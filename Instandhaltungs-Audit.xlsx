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Übersicht" sheetId="1" state="visible" r:id="rId3"/>
    <sheet name="Audit_Allgemein" sheetId="2" state="visible" r:id="rId4"/>
    <sheet name="Audit_Maschine" sheetId="3" state="visible" r:id="rId5"/>
    <sheet name="Audit_Werkzeuge" sheetId="4" state="visible" r:id="rId6"/>
    <sheet name="Audit_Kompakt" sheetId="5" state="visible" r:id="rId7"/>
    <sheet name="Maßnahmen" sheetId="6" state="visible" r:id="rId8"/>
    <sheet name="Maschinen" sheetId="7" state="visible" r:id="rId9"/>
    <sheet name="Stammblatt" sheetId="8" state="visible" r:id="rId10"/>
    <sheet name="Wissen" sheetId="9" state="visible" r:id="rId11"/>
    <sheet name="Anleitung" sheetId="10" state="visible" r:id="rId12"/>
  </sheets>
  <definedNames>
    <definedName function="false" hidden="false" localSheetId="1" name="_xlnm.Print_Titles" vbProcedure="false">Audit_Allgemein!$11:$11</definedName>
    <definedName function="false" hidden="true" localSheetId="1" name="_xlnm._FilterDatabase" vbProcedure="false">Audit_Allgemein!$A$11:$K$50</definedName>
    <definedName function="false" hidden="false" localSheetId="4" name="_xlnm.Print_Titles" vbProcedure="false">Audit_Kompakt!$11:$11</definedName>
    <definedName function="false" hidden="true" localSheetId="4" name="_xlnm._FilterDatabase" vbProcedure="false">Audit_Kompakt!$A$11:$K$35</definedName>
    <definedName function="false" hidden="false" localSheetId="2" name="_xlnm.Print_Titles" vbProcedure="false">Audit_Maschine!$11:$11</definedName>
    <definedName function="false" hidden="true" localSheetId="2" name="_xlnm._FilterDatabase" vbProcedure="false">Audit_Maschine!$A$11:$K$24</definedName>
    <definedName function="false" hidden="false" localSheetId="3" name="_xlnm.Print_Titles" vbProcedure="false">Audit_Werkzeuge!$11:$11</definedName>
    <definedName function="false" hidden="true" localSheetId="3" name="_xlnm._FilterDatabase" vbProcedure="false">Audit_Werkzeuge!$A$11:$K$21</definedName>
    <definedName function="false" hidden="false" localSheetId="5" name="_xlnm.Print_Titles" vbProcedure="false">Maßnahmen!$4:$4</definedName>
    <definedName function="false" hidden="true" localSheetId="5" name="_xlnm._FilterDatabase" vbProcedure="false">Maßnahmen!$A$4:$J$90</definedName>
    <definedName function="false" hidden="false" localSheetId="0" name="_xlnm.Print_Area" vbProcedure="false">Übersicht!$A$1:$M$60</definedName>
    <definedName function="false" hidden="false" name="Ampel_gelb" vbProcedure="false">Übersicht!$C$8</definedName>
    <definedName function="false" hidden="false" name="Ampel_gruen" vbProcedure="false">Übersicht!$C$7</definedName>
    <definedName function="false" hidden="false" name="Gewicht_bedOK" vbProcedure="false">Übersicht!$C$6</definedName>
    <definedName function="false" hidden="false" name="Offset_allg" vbProcedure="false">Übersicht!$P$12</definedName>
    <definedName function="false" hidden="false" name="Offset_kompakt" vbProcedure="false">Übersicht!$P$15</definedName>
    <definedName function="false" hidden="false" name="Offset_maschine" vbProcedure="false">Übersicht!$P$13</definedName>
    <definedName function="false" hidden="false" name="Offset_werkzeug" vbProcedure="false">Übersicht!$P$14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Erscheint nur hier; frei ausfüllen.</t>
        </r>
      </text>
    </comment>
    <comment ref="C6" authorId="0">
      <text>
        <r>
          <rPr>
            <sz val="10"/>
            <rFont val="Arial"/>
            <family val="2"/>
          </rPr>
          <t xml:space="preserve">Annahme (Vorschlag): bed. OK zählt zur Hälfte. Die Excel-Vorlage enthält keine Formel.</t>
        </r>
      </text>
    </comment>
    <comment ref="C7" authorId="0">
      <text>
        <r>
          <rPr>
            <sz val="10"/>
            <rFont val="Arial"/>
            <family val="2"/>
          </rPr>
          <t xml:space="preserve">Annahme (Vorschlag), frei änderbar.</t>
        </r>
      </text>
    </comment>
    <comment ref="C8" authorId="0">
      <text>
        <r>
          <rPr>
            <sz val="10"/>
            <rFont val="Arial"/>
            <family val="2"/>
          </rPr>
          <t xml:space="preserve">Annahme (Vorschlag), frei änderbar.</t>
        </r>
      </text>
    </comment>
  </commentList>
</comments>
</file>

<file path=xl/sharedStrings.xml><?xml version="1.0" encoding="utf-8"?>
<sst xmlns="http://schemas.openxmlformats.org/spreadsheetml/2006/main" count="839" uniqueCount="568">
  <si>
    <t xml:space="preserve">Instandhaltungs-Audit – Übersicht</t>
  </si>
  <si>
    <t xml:space="preserve">Auswertung aller Checklisten dieser Mappe. Gelbe Felder sind Eingaben.</t>
  </si>
  <si>
    <t xml:space="preserve">Einstellungen</t>
  </si>
  <si>
    <t xml:space="preserve">Firma / Werk / Abteilung</t>
  </si>
  <si>
    <t xml:space="preserve">Erscheint nur hier; frei ausfüllen.</t>
  </si>
  <si>
    <t xml:space="preserve">Gewicht „bed. OK“</t>
  </si>
  <si>
    <t xml:space="preserve">Annahme (Vorschlag): bed. OK zählt zur Hälfte. Die Excel-Vorlage enthält keine Formel.</t>
  </si>
  <si>
    <t xml:space="preserve">Ampel grün ab</t>
  </si>
  <si>
    <t xml:space="preserve">Annahme (Vorschlag), frei änderbar.</t>
  </si>
  <si>
    <t xml:space="preserve">Ampel gelb ab</t>
  </si>
  <si>
    <t xml:space="preserve">Ergebnis je Checkliste</t>
  </si>
  <si>
    <t xml:space="preserve">Hilfswerte (nicht ändern)</t>
  </si>
  <si>
    <t xml:space="preserve">Checkliste</t>
  </si>
  <si>
    <t xml:space="preserve">Objekt</t>
  </si>
  <si>
    <t xml:space="preserve">Datum</t>
  </si>
  <si>
    <t xml:space="preserve">Auditor</t>
  </si>
  <si>
    <t xml:space="preserve">Punkte</t>
  </si>
  <si>
    <t xml:space="preserve">N.I.O</t>
  </si>
  <si>
    <t xml:space="preserve">bed. OK</t>
  </si>
  <si>
    <t xml:space="preserve">OK</t>
  </si>
  <si>
    <t xml:space="preserve">n. b.</t>
  </si>
  <si>
    <t xml:space="preserve">offen</t>
  </si>
  <si>
    <t xml:space="preserve">Erfüllungsgrad</t>
  </si>
  <si>
    <t xml:space="preserve">Ampel</t>
  </si>
  <si>
    <t xml:space="preserve">Maßnahmen</t>
  </si>
  <si>
    <t xml:space="preserve">Offset Allgemein</t>
  </si>
  <si>
    <t xml:space="preserve">Allgemein</t>
  </si>
  <si>
    <t xml:space="preserve">Offset Maschine</t>
  </si>
  <si>
    <t xml:space="preserve">Maschine</t>
  </si>
  <si>
    <t xml:space="preserve">Offset Werkzeug</t>
  </si>
  <si>
    <t xml:space="preserve">Werkzeug</t>
  </si>
  <si>
    <t xml:space="preserve">Offset Kompakt</t>
  </si>
  <si>
    <t xml:space="preserve">Kompakt</t>
  </si>
  <si>
    <t xml:space="preserve">Gesamt</t>
  </si>
  <si>
    <t xml:space="preserve">Umsetzungsstand Maßnahmen</t>
  </si>
  <si>
    <t xml:space="preserve">Maschinenpark nach Kritikalität</t>
  </si>
  <si>
    <t xml:space="preserve">Status</t>
  </si>
  <si>
    <t xml:space="preserve">Anzahl</t>
  </si>
  <si>
    <t xml:space="preserve">Klasse</t>
  </si>
  <si>
    <t xml:space="preserve">überfällig</t>
  </si>
  <si>
    <t xml:space="preserve">A – kritisch</t>
  </si>
  <si>
    <t xml:space="preserve">B – mittel</t>
  </si>
  <si>
    <t xml:space="preserve">erledigt</t>
  </si>
  <si>
    <t xml:space="preserve">C – gering</t>
  </si>
  <si>
    <t xml:space="preserve">nicht eingestuft</t>
  </si>
  <si>
    <t xml:space="preserve">Audit-Checkliste für: Instandhaltung allgemein</t>
  </si>
  <si>
    <t xml:space="preserve">Vorlage: Blatt „Auditcheckliste_allg“ · Bewertung: Zustand</t>
  </si>
  <si>
    <t xml:space="preserve">Ergebnis</t>
  </si>
  <si>
    <t xml:space="preserve">Abteilung / Bereich</t>
  </si>
  <si>
    <t xml:space="preserve">Equipmentnummer</t>
  </si>
  <si>
    <t xml:space="preserve">Erfüllungsgrad = (OK + Gewicht × bed. OK) ÷ (N.I.O + bed. OK + OK); Gewicht und Ampelgrenzen auf „Übersicht“.</t>
  </si>
  <si>
    <t xml:space="preserve">Nr.</t>
  </si>
  <si>
    <t xml:space="preserve">Kapitel</t>
  </si>
  <si>
    <t xml:space="preserve">Check-Punkt</t>
  </si>
  <si>
    <t xml:space="preserve">Check-Punkt (EN)</t>
  </si>
  <si>
    <t xml:space="preserve">Bewertung</t>
  </si>
  <si>
    <t xml:space="preserve">Maßnahmen / Bemerkung</t>
  </si>
  <si>
    <t xml:space="preserve">Verantwortlich</t>
  </si>
  <si>
    <t xml:space="preserve">Termin</t>
  </si>
  <si>
    <t xml:space="preserve">Erledigt</t>
  </si>
  <si>
    <t xml:space="preserve">Maßn.-Nr.</t>
  </si>
  <si>
    <t xml:space="preserve">1</t>
  </si>
  <si>
    <t xml:space="preserve">Organisation &amp; Personal</t>
  </si>
  <si>
    <t xml:space="preserve">Existiert eine Verfahrensanweisung für das Instandhaltungssystem (aktuell / wird sie gelebt)?</t>
  </si>
  <si>
    <t xml:space="preserve">Is there a procedure for the maintenance system? (Is it currently being followed/implemented?)</t>
  </si>
  <si>
    <t xml:space="preserve">2</t>
  </si>
  <si>
    <t xml:space="preserve">Existiert eine Arbeitsanweisung für die vorbeugende Instandhaltung (aktuell / wird sie gelebt)?</t>
  </si>
  <si>
    <t xml:space="preserve">Is there a work instruction for preventive maintenance? (Is it currently being implemented/is it being followed?)</t>
  </si>
  <si>
    <t xml:space="preserve">3</t>
  </si>
  <si>
    <t xml:space="preserve">Existiert eine Qualifikationsmatrix / Vertretungsregelung / Struktur der IH?</t>
  </si>
  <si>
    <t xml:space="preserve">Does a qualification matrix / substitution arrangement / structure of the IH exist?</t>
  </si>
  <si>
    <t xml:space="preserve">4</t>
  </si>
  <si>
    <t xml:space="preserve">Existiert eine Schichtregelung? Ist die technische Betreuung der Anlage gewährleistet?</t>
  </si>
  <si>
    <t xml:space="preserve">Is there a shift system in place? Is technical support for the plant guaranteed?</t>
  </si>
  <si>
    <t xml:space="preserve">5</t>
  </si>
  <si>
    <t xml:space="preserve">Führungskräfteanzahl in der IH</t>
  </si>
  <si>
    <t xml:space="preserve">6</t>
  </si>
  <si>
    <t xml:space="preserve">Existiert eine Kapazitäts- und Terminplanung der MA (T/W/M/J)?</t>
  </si>
  <si>
    <t xml:space="preserve">7</t>
  </si>
  <si>
    <t xml:space="preserve">Flexibilität und Qualifikation der MA innerhalb der Fertigungsbereiche</t>
  </si>
  <si>
    <t xml:space="preserve">8</t>
  </si>
  <si>
    <t xml:space="preserve">Strategie &amp; IH-System</t>
  </si>
  <si>
    <t xml:space="preserve">Anwendung von Instandhaltungsstrategien (welche Instandhaltungsstrategie?)</t>
  </si>
  <si>
    <t xml:space="preserve">Application of maintenance strategies (which maintenance strategy)</t>
  </si>
  <si>
    <t xml:space="preserve">9</t>
  </si>
  <si>
    <t xml:space="preserve">Welches IH-System steht zur Verfügung (Wartung, Inspektion, geplante/ungeplante Reparatur) und wird es genutzt?</t>
  </si>
  <si>
    <t xml:space="preserve">Which maintenance system is available (maintenance; inspection; planned/unplanned repairs) and is it being used?</t>
  </si>
  <si>
    <t xml:space="preserve">10</t>
  </si>
  <si>
    <t xml:space="preserve">Existiert eine vorbeugende Instandhaltung?</t>
  </si>
  <si>
    <t xml:space="preserve">Preventive maintenance exists</t>
  </si>
  <si>
    <t xml:space="preserve">11</t>
  </si>
  <si>
    <t xml:space="preserve">Qualität planmäßige Wartung (Intervalle, Arbeitspläne, Arbeitsabläufe)</t>
  </si>
  <si>
    <t xml:space="preserve">Quality of scheduled maintenance (intervals; work plans; work processes)</t>
  </si>
  <si>
    <t xml:space="preserve">12</t>
  </si>
  <si>
    <t xml:space="preserve">Qualität planmäßige Inspektion (Intervalle, Arbeitspläne, Arbeitsabläufe)</t>
  </si>
  <si>
    <t xml:space="preserve">Quality of scheduled inspections (intervals; work plans; work procedures)</t>
  </si>
  <si>
    <t xml:space="preserve">13</t>
  </si>
  <si>
    <t xml:space="preserve">Qualität planmäßig vorbeugende Instandsetzung (Intervalle, Arbeitspläne, Arbeitsabläufe)</t>
  </si>
  <si>
    <t xml:space="preserve">Quality of scheduled preventive maintenance (intervals; work plans; workflows)</t>
  </si>
  <si>
    <t xml:space="preserve">14</t>
  </si>
  <si>
    <t xml:space="preserve">Qualität störungsbedingte, bedarfsweise Instandsetzung / Einsatzbereitschaft (Arbeitspläne, Reaktionsvermögen bei Störungen)</t>
  </si>
  <si>
    <t xml:space="preserve">Quality of breakdown-based and demand-based maintenance / operational readiness (work plans; responsiveness to malfunctions)</t>
  </si>
  <si>
    <t xml:space="preserve">15</t>
  </si>
  <si>
    <t xml:space="preserve">Wird Outsourcing (Fremdauftragsvergabe) für Wartung, Inspektion und geplante Instandsetzung praktiziert?</t>
  </si>
  <si>
    <t xml:space="preserve">Is outsourcing (contracting) practiced for maintenance, inspection, and planned repairs?</t>
  </si>
  <si>
    <t xml:space="preserve">16</t>
  </si>
  <si>
    <t xml:space="preserve">Durchführung &amp; Schulung</t>
  </si>
  <si>
    <t xml:space="preserve">Sind MA für präventive Instandhaltung (PM) geschult worden?</t>
  </si>
  <si>
    <t xml:space="preserve">Have employees been trained in preventive maintenance (PM)?</t>
  </si>
  <si>
    <t xml:space="preserve">17</t>
  </si>
  <si>
    <t xml:space="preserve">Werden Betriebsstoffe für PM bereitgestellt?</t>
  </si>
  <si>
    <t xml:space="preserve">Are operating materials provided for PM?</t>
  </si>
  <si>
    <t xml:space="preserve">18</t>
  </si>
  <si>
    <t xml:space="preserve">Werden Wartungen sachgemäß durchgeführt? Sichtkontrolle? Erledigte/unerledigte Aufträge?</t>
  </si>
  <si>
    <t xml:space="preserve">Is maintenance being carried out properly? Visual inspection? Completed/uncompleted tasks?</t>
  </si>
  <si>
    <t xml:space="preserve">19</t>
  </si>
  <si>
    <t xml:space="preserve">Wie werden Werkzeuge gewartet? In welchem Zustand?</t>
  </si>
  <si>
    <t xml:space="preserve">How are tools maintained? In what condition?</t>
  </si>
  <si>
    <t xml:space="preserve">20</t>
  </si>
  <si>
    <t xml:space="preserve">Auswertung &amp; Verbesserung</t>
  </si>
  <si>
    <t xml:space="preserve">Werden Wartungsmängel ausgewertet?</t>
  </si>
  <si>
    <t xml:space="preserve">Are maintenance deficiencies evaluated?</t>
  </si>
  <si>
    <t xml:space="preserve">21</t>
  </si>
  <si>
    <t xml:space="preserve">Kontinuierliche Optimierung der Wartungs-/Inspektionspläne?</t>
  </si>
  <si>
    <t xml:space="preserve">Continuous optimization of maintenance/inspection plans?</t>
  </si>
  <si>
    <t xml:space="preserve">22</t>
  </si>
  <si>
    <t xml:space="preserve">Schadensregistrierung (Änderung durch konstruktives Beseitigen von Störquellen)</t>
  </si>
  <si>
    <t xml:space="preserve">23</t>
  </si>
  <si>
    <t xml:space="preserve">Schadensanalysen und Durchführung</t>
  </si>
  <si>
    <t xml:space="preserve">Damage analysis and implementation</t>
  </si>
  <si>
    <t xml:space="preserve">24</t>
  </si>
  <si>
    <t xml:space="preserve">Technische Verfügbarkeit der Maschinen als Maß für die IH &lt;&gt; 90 %</t>
  </si>
  <si>
    <t xml:space="preserve">Technical availability of machines as a measure of IH &lt;&gt; 80 %</t>
  </si>
  <si>
    <t xml:space="preserve">25</t>
  </si>
  <si>
    <t xml:space="preserve">Dokumentation &amp; Kommunikation</t>
  </si>
  <si>
    <t xml:space="preserve">Verwaltung der technischen Dokumentation (Stücklisten, Maschinenbeschreibung, technische Zeichnungen)</t>
  </si>
  <si>
    <t xml:space="preserve">Management of technical documentation (parts lists; machine descriptions; technical drawings)</t>
  </si>
  <si>
    <t xml:space="preserve">26</t>
  </si>
  <si>
    <t xml:space="preserve">Findet eine Absprache zwischen Instandhaltung und Produktion statt?</t>
  </si>
  <si>
    <t xml:space="preserve">Is there coordination between maintenance and production?</t>
  </si>
  <si>
    <t xml:space="preserve">27</t>
  </si>
  <si>
    <t xml:space="preserve">Wie gelangen Informationen an die Instandhalter / Anlagenführer?</t>
  </si>
  <si>
    <t xml:space="preserve">28</t>
  </si>
  <si>
    <t xml:space="preserve">Wie ist die Bereitschaft der Instandhalter zu Weiterbildungsmaßnahmen?</t>
  </si>
  <si>
    <t xml:space="preserve">29</t>
  </si>
  <si>
    <t xml:space="preserve">Werkstatt &amp; Betriebsmittel</t>
  </si>
  <si>
    <t xml:space="preserve">Wie sieht die Werkstattausstattung aus und wie ist deren Qualität?</t>
  </si>
  <si>
    <t xml:space="preserve">What does the workshop equipment look like and what is its quality?</t>
  </si>
  <si>
    <t xml:space="preserve">30</t>
  </si>
  <si>
    <t xml:space="preserve">Gibt es Betriebsmittel für Instandsetzung, PM und Generalüberholung?</t>
  </si>
  <si>
    <t xml:space="preserve">Are there resources available for repair, preventive maintenance (PM), and major overhauls?</t>
  </si>
  <si>
    <t xml:space="preserve">31</t>
  </si>
  <si>
    <t xml:space="preserve">Material &amp; Ersatzteile</t>
  </si>
  <si>
    <t xml:space="preserve">Wie wird die Materialplanung (Ersatzteile, Betriebs- und Hilfsstoffe) durchgeführt (Stücklisten, Programme, Disposition)?</t>
  </si>
  <si>
    <t xml:space="preserve">How is material planning (spare parts, operating and auxiliary materials) carried out (bills of materials; programs; scheduling)?</t>
  </si>
  <si>
    <t xml:space="preserve">32</t>
  </si>
  <si>
    <t xml:space="preserve">Ersatzteile Anlagen</t>
  </si>
  <si>
    <t xml:space="preserve">Spare parts machines</t>
  </si>
  <si>
    <t xml:space="preserve">33</t>
  </si>
  <si>
    <t xml:space="preserve">Ersatzteile Werkzeuge</t>
  </si>
  <si>
    <t xml:space="preserve">Spare parts tools</t>
  </si>
  <si>
    <t xml:space="preserve">34</t>
  </si>
  <si>
    <t xml:space="preserve">Betriebs- und Hilfsstoffe</t>
  </si>
  <si>
    <t xml:space="preserve">Operating and auxiliary materials</t>
  </si>
  <si>
    <t xml:space="preserve">35</t>
  </si>
  <si>
    <t xml:space="preserve">Qualität der Ersatzteillager / Ordnung</t>
  </si>
  <si>
    <t xml:space="preserve">Quality of spare parts storage / organization</t>
  </si>
  <si>
    <t xml:space="preserve">36</t>
  </si>
  <si>
    <t xml:space="preserve">Qualität der Ersatzteillager / Sicherheitsbestände</t>
  </si>
  <si>
    <t xml:space="preserve">Quality of spare parts inventory / safety stocks</t>
  </si>
  <si>
    <t xml:space="preserve">37</t>
  </si>
  <si>
    <t xml:space="preserve">Kennzahlen</t>
  </si>
  <si>
    <t xml:space="preserve">Gibt es Instandhaltungs-Kennzahlen?</t>
  </si>
  <si>
    <t xml:space="preserve">Are there maintenance indicators?</t>
  </si>
  <si>
    <t xml:space="preserve">38</t>
  </si>
  <si>
    <t xml:space="preserve">Nutzung von Kennzahlen</t>
  </si>
  <si>
    <t xml:space="preserve">KPI</t>
  </si>
  <si>
    <t xml:space="preserve">39</t>
  </si>
  <si>
    <t xml:space="preserve">Arbeits- &amp; Umweltschutz</t>
  </si>
  <si>
    <t xml:space="preserve">Arbeits- und Umweltschutz und technische Sicherheit</t>
  </si>
  <si>
    <t xml:space="preserve">Occupational safety, environmental protection and technical safety</t>
  </si>
  <si>
    <t xml:space="preserve">Auswertung je Kapitel</t>
  </si>
  <si>
    <t xml:space="preserve">Audit-Checkliste für: Maschine</t>
  </si>
  <si>
    <t xml:space="preserve">Vorlage: Blatt „Auditcheckliste_Maschine“ · Bewertung: M.Z. (Maschinenzustand)</t>
  </si>
  <si>
    <t xml:space="preserve">Maschinenbezeichnung</t>
  </si>
  <si>
    <t xml:space="preserve">Hinweis</t>
  </si>
  <si>
    <t xml:space="preserve">Zustand</t>
  </si>
  <si>
    <t xml:space="preserve">Allgemeiner Zustand der Maschine (Sauberkeit, Umgebung, Bezeichnung?)</t>
  </si>
  <si>
    <t xml:space="preserve">Vorbeugende Instandhaltung</t>
  </si>
  <si>
    <t xml:space="preserve">Existiert eine vorbeugende Instandhaltung (aktuell / wird sie gelebt und optimiert?)</t>
  </si>
  <si>
    <t xml:space="preserve">2.1</t>
  </si>
  <si>
    <t xml:space="preserve">Gibt es Schmierpläne für diese Maschine?</t>
  </si>
  <si>
    <t xml:space="preserve">2.2</t>
  </si>
  <si>
    <t xml:space="preserve">Sind die Schmierarbeiten gemäß den vorgegebenen Schmierintervallen durchgeführt?</t>
  </si>
  <si>
    <t xml:space="preserve">2.3</t>
  </si>
  <si>
    <t xml:space="preserve">Gibt es Nachweise über die wöchentlich, monatlich, … durchgeführten Wartungs- und Inspektionsarbeiten?</t>
  </si>
  <si>
    <t xml:space="preserve">2.4</t>
  </si>
  <si>
    <t xml:space="preserve">Verwaltung der technischen Dokumentation (Stücklisten, Maschinenbeschreibung, technische Zeichnungen)?</t>
  </si>
  <si>
    <t xml:space="preserve">2.5</t>
  </si>
  <si>
    <t xml:space="preserve">Funktion &amp; Zustand der Technik</t>
  </si>
  <si>
    <t xml:space="preserve">Funktion und Zustand der Mechanik (bezogen auf durchgeführte Inspektion, siehe Checkliste)</t>
  </si>
  <si>
    <t xml:space="preserve">2.6</t>
  </si>
  <si>
    <t xml:space="preserve">Funktion und Zustand der Hydraulik (bezogen auf durchgeführte Inspektion, siehe Checkliste)</t>
  </si>
  <si>
    <t xml:space="preserve">2.7</t>
  </si>
  <si>
    <t xml:space="preserve">Funktion und Zustand der Pneumatik (bezogen auf durchgeführte Inspektion, siehe Checkliste)</t>
  </si>
  <si>
    <t xml:space="preserve">2.8</t>
  </si>
  <si>
    <t xml:space="preserve">Funktion und Zustand der Elektrik (bezogen auf durchgeführte Inspektion, siehe Checkliste)</t>
  </si>
  <si>
    <t xml:space="preserve">Rüsten &amp; Störungen</t>
  </si>
  <si>
    <t xml:space="preserve">Gibt es eine definierte Vorgehensweise beim Rüsten (Qualifikationsmatrix)?</t>
  </si>
  <si>
    <t xml:space="preserve">Vorgehensweise bei ungeplanten Störungen (Schwachstellenanalyse)</t>
  </si>
  <si>
    <t xml:space="preserve">4.1</t>
  </si>
  <si>
    <t xml:space="preserve">Ist ein Ablauf / Maßnahmenplan / Qualifikation der Mitarbeiter für schnelle Reparatur beschrieben?</t>
  </si>
  <si>
    <t xml:space="preserve">Audit-Checkliste für: Werkzeuge</t>
  </si>
  <si>
    <t xml:space="preserve">Vorlage: Blatt „Auditcheckliste_Werkzeuge“ · Bewertung: WKZ (Werkzeugzustand)</t>
  </si>
  <si>
    <t xml:space="preserve">Allgemeiner Zustand der Werkzeuge</t>
  </si>
  <si>
    <t xml:space="preserve">1.1</t>
  </si>
  <si>
    <t xml:space="preserve">Sauberkeit</t>
  </si>
  <si>
    <t xml:space="preserve">1.2</t>
  </si>
  <si>
    <t xml:space="preserve">Lagerung</t>
  </si>
  <si>
    <t xml:space="preserve">1.3</t>
  </si>
  <si>
    <t xml:space="preserve">Schmierung</t>
  </si>
  <si>
    <t xml:space="preserve">Ersatzteile</t>
  </si>
  <si>
    <t xml:space="preserve">Ersatzteile für oben genanntes Werkzeug</t>
  </si>
  <si>
    <t xml:space="preserve">Inspektion &amp; Wartung</t>
  </si>
  <si>
    <t xml:space="preserve">Gibt es Anweisungen für Inspektion und Wartung der Werkzeuge?</t>
  </si>
  <si>
    <t xml:space="preserve">3.1</t>
  </si>
  <si>
    <t xml:space="preserve">Funktion und Zustand der Werkzeuge (bezogen auf durchgeführte Inspektion, siehe Checkliste)</t>
  </si>
  <si>
    <t xml:space="preserve">Dokumentation</t>
  </si>
  <si>
    <t xml:space="preserve">Verwaltung der technischen Dokumentation (Stücklisten, Werkzeugbeschreibung, technische Zeichnungen)?</t>
  </si>
  <si>
    <t xml:space="preserve">Verschleiß &amp; Instandsetzung</t>
  </si>
  <si>
    <t xml:space="preserve">Nach welchen Kriterien entscheidet Instandhalter/Meister, dass ein Werkzeug verschleißbedingt überholt werden muss? Sind diese Kriterien schriftlich festgelegt, und wo?</t>
  </si>
  <si>
    <t xml:space="preserve">5.1</t>
  </si>
  <si>
    <t xml:space="preserve">Vorgehensweise bei Nacharbeit und Instandsetzung der Werkzeuge</t>
  </si>
  <si>
    <t xml:space="preserve">Audit-Checkliste für: Kompakt-Audit Anlage · Werkzeuge · Ersatzteile</t>
  </si>
  <si>
    <t xml:space="preserve">Vorlage: Blatt „Auditcheckliste_1“ · Bewertung: Zustand</t>
  </si>
  <si>
    <t xml:space="preserve">Normbezug</t>
  </si>
  <si>
    <t xml:space="preserve">A1</t>
  </si>
  <si>
    <t xml:space="preserve">Anlage</t>
  </si>
  <si>
    <t xml:space="preserve">Allgemeiner Zustand der Maschine (Sauberkeit, Umgebung)</t>
  </si>
  <si>
    <t xml:space="preserve">A2</t>
  </si>
  <si>
    <t xml:space="preserve">Existiert eine vorbeugende Instandhaltung (aktuell / wird sie gelebt)?</t>
  </si>
  <si>
    <t xml:space="preserve">A3</t>
  </si>
  <si>
    <t xml:space="preserve">Gibt es Schmierpläne in der Nähe der Maschinen?</t>
  </si>
  <si>
    <t xml:space="preserve">A4</t>
  </si>
  <si>
    <t xml:space="preserve">A5</t>
  </si>
  <si>
    <t xml:space="preserve">A6</t>
  </si>
  <si>
    <t xml:space="preserve">Wie werden ungeplante Reparaturen durchgeführt? Werden Betriebsmittel dafür bereitgestellt?</t>
  </si>
  <si>
    <t xml:space="preserve">A7</t>
  </si>
  <si>
    <t xml:space="preserve">Sicherheitseinrichtungen an der Anlage?</t>
  </si>
  <si>
    <t xml:space="preserve">A8</t>
  </si>
  <si>
    <t xml:space="preserve">Werden die Instandhalter geschult?</t>
  </si>
  <si>
    <t xml:space="preserve">A9</t>
  </si>
  <si>
    <t xml:space="preserve">Technische Dokumente (System, Stücklisten, technische Zeichnungen)</t>
  </si>
  <si>
    <t xml:space="preserve">A10</t>
  </si>
  <si>
    <t xml:space="preserve">Werden die Anlagen bereitgestellt?</t>
  </si>
  <si>
    <t xml:space="preserve">A11</t>
  </si>
  <si>
    <t xml:space="preserve">Betreuung</t>
  </si>
  <si>
    <t xml:space="preserve">N1</t>
  </si>
  <si>
    <t xml:space="preserve">Normanforderungen (ISO/TS 16949)</t>
  </si>
  <si>
    <t xml:space="preserve">Ermittelt die Organisation die für Schlüsselprozesse notwendigen Anlagen, stellt sie Ressourcen für die Instandhaltung der Maschinen und Betriebsmittel bereit und baut sie ein wirksames, geplantes, vorbeugendes Instandhaltungssystem auf?</t>
  </si>
  <si>
    <t xml:space="preserve">ISO/TS 16949:2009, 7.5.1.4</t>
  </si>
  <si>
    <t xml:space="preserve">N2a</t>
  </si>
  <si>
    <t xml:space="preserve">Umfasst das vorbeugende Instandhaltungssystem geplante Instandhaltungstätigkeiten?</t>
  </si>
  <si>
    <t xml:space="preserve">N2b</t>
  </si>
  <si>
    <t xml:space="preserve">… Verpackung und Konservierung von Betriebsmitteln, Werkzeugen und Prüfmitteln?</t>
  </si>
  <si>
    <t xml:space="preserve">N2c</t>
  </si>
  <si>
    <t xml:space="preserve">… Verfügbarkeit von Ersatzteilen für Produktionseinrichtungen von Schlüsselprozessen?</t>
  </si>
  <si>
    <t xml:space="preserve">N2d</t>
  </si>
  <si>
    <t xml:space="preserve">… Dokumentation, Bewertung und Weiterentwicklung der Instandhaltungsziele?</t>
  </si>
  <si>
    <t xml:space="preserve">N3</t>
  </si>
  <si>
    <t xml:space="preserve">Hält die Organisation ihre Betriebsstätten in einem ordentlichen, sauberen Zustand und sorgt sie für deren Instandhaltung im Einklang mit den Erfordernissen des Produkts?</t>
  </si>
  <si>
    <t xml:space="preserve">ISO/TS 16949:2009, 6.4.2</t>
  </si>
  <si>
    <t xml:space="preserve">W1</t>
  </si>
  <si>
    <t xml:space="preserve">Werkzeuge &amp; Ersatzteile</t>
  </si>
  <si>
    <t xml:space="preserve">Allgemeiner Zustand der Werkzeuge (Sauberkeit, Umgebung)</t>
  </si>
  <si>
    <t xml:space="preserve">W2</t>
  </si>
  <si>
    <t xml:space="preserve">Technische Dokumente Werkzeuge (System, Stücklisten, technische Zeichnungen)</t>
  </si>
  <si>
    <t xml:space="preserve">W3</t>
  </si>
  <si>
    <t xml:space="preserve">Nach welchen Kriterien entscheidet Instandhalter/Meister, dass ein Werkzeug verschleißbedingt überholt werden muss?</t>
  </si>
  <si>
    <t xml:space="preserve">W4</t>
  </si>
  <si>
    <t xml:space="preserve">Gibt es ein Werkzeugmanagement? Werkzeugmappen?</t>
  </si>
  <si>
    <t xml:space="preserve">E1</t>
  </si>
  <si>
    <t xml:space="preserve">Allgemeiner Zustand der Ersatzteile (Sauberkeit, Umgebung)</t>
  </si>
  <si>
    <t xml:space="preserve">E2</t>
  </si>
  <si>
    <t xml:space="preserve">Existieren flächendeckend Ersatzteillisten für eigen- und fremdgefertigte Maschinen?</t>
  </si>
  <si>
    <t xml:space="preserve">E3</t>
  </si>
  <si>
    <t xml:space="preserve">Technische Dokumente Ersatzteile (System, Stücklisten, technische Zeichnungen)</t>
  </si>
  <si>
    <t xml:space="preserve">Maßnahmenplan</t>
  </si>
  <si>
    <t xml:space="preserve">Füllt sich automatisch aus allen Prüfpunkten mit N.I.O oder bed. OK. Eingaben bitte in den Audit-Blättern machen.</t>
  </si>
  <si>
    <t xml:space="preserve">Punkt</t>
  </si>
  <si>
    <t xml:space="preserve">Befund / Maßnahme</t>
  </si>
  <si>
    <t xml:space="preserve">Maschinen – Stammdaten</t>
  </si>
  <si>
    <t xml:space="preserve">Spalten nach Blatt „Checkliste_Maschine_Daten“ der Vorlage. Eine Zeile pro Anlage; Zeilen 5–8 aus der Vorlage übernommen.</t>
  </si>
  <si>
    <t xml:space="preserve">1 Anlagennummer</t>
  </si>
  <si>
    <t xml:space="preserve">2 Inventarnummer</t>
  </si>
  <si>
    <t xml:space="preserve">3 Hersteller</t>
  </si>
  <si>
    <t xml:space="preserve">4 Typ</t>
  </si>
  <si>
    <t xml:space="preserve">5 Seriennummer</t>
  </si>
  <si>
    <t xml:space="preserve">6 Baujahr</t>
  </si>
  <si>
    <t xml:space="preserve">7 Prozess</t>
  </si>
  <si>
    <t xml:space="preserve">8 Gewicht</t>
  </si>
  <si>
    <t xml:space="preserve">9 Länge / Breite / Höhe</t>
  </si>
  <si>
    <t xml:space="preserve">10 Werkzeuge vorhanden?</t>
  </si>
  <si>
    <t xml:space="preserve">11 Maschinen-/Prozessbesonderheiten / Grenzen</t>
  </si>
  <si>
    <t xml:space="preserve">12 Zustand der Anlage</t>
  </si>
  <si>
    <t xml:space="preserve">13 Automatisierungsgrad</t>
  </si>
  <si>
    <t xml:space="preserve">14 CE-Kennzeichnung</t>
  </si>
  <si>
    <t xml:space="preserve">15 Technische Dokumentation vorhanden?</t>
  </si>
  <si>
    <t xml:space="preserve">16 Ersatzteile vorhanden</t>
  </si>
  <si>
    <t xml:space="preserve">17 Kritische Maschine [A / B / C]</t>
  </si>
  <si>
    <t xml:space="preserve">18 Verfügbarkeit Ersatzmaschine</t>
  </si>
  <si>
    <t xml:space="preserve">19 Absaugung (Ist-Zustand)</t>
  </si>
  <si>
    <t xml:space="preserve">20 Netzwerkanschluss erforderlich</t>
  </si>
  <si>
    <t xml:space="preserve">21 Druckluft erforderlich</t>
  </si>
  <si>
    <t xml:space="preserve">22 Gase</t>
  </si>
  <si>
    <t xml:space="preserve">23 Kühlwasser</t>
  </si>
  <si>
    <t xml:space="preserve">24 Frischwasser</t>
  </si>
  <si>
    <t xml:space="preserve">25 Hydraulik</t>
  </si>
  <si>
    <t xml:space="preserve">26 Wassergefährdungsklasse (WGK)</t>
  </si>
  <si>
    <t xml:space="preserve">27 Nennleistung [kW]</t>
  </si>
  <si>
    <t xml:space="preserve">28 Umgebung</t>
  </si>
  <si>
    <t xml:space="preserve">Bemerkungen</t>
  </si>
  <si>
    <t xml:space="preserve">Quelle (Blatt der Vorlage)</t>
  </si>
  <si>
    <t xml:space="preserve">Positionneuer (Rundschweißtisch)</t>
  </si>
  <si>
    <t xml:space="preserve">4977</t>
  </si>
  <si>
    <t xml:space="preserve">207-16.PS7</t>
  </si>
  <si>
    <t xml:space="preserve">S464</t>
  </si>
  <si>
    <t xml:space="preserve">Rundschweißen / Rundschweißtisch</t>
  </si>
  <si>
    <t xml:space="preserve">250 kg</t>
  </si>
  <si>
    <t xml:space="preserve">1 x 0,7 x 1,8</t>
  </si>
  <si>
    <t xml:space="preserve">70–90 %</t>
  </si>
  <si>
    <t xml:space="preserve">manuell / Schweißen</t>
  </si>
  <si>
    <t xml:space="preserve">ja</t>
  </si>
  <si>
    <t xml:space="preserve">–</t>
  </si>
  <si>
    <t xml:space="preserve">B</t>
  </si>
  <si>
    <t xml:space="preserve">ja / D = 80 mm</t>
  </si>
  <si>
    <t xml:space="preserve">optional / empfohlen</t>
  </si>
  <si>
    <t xml:space="preserve">Argon</t>
  </si>
  <si>
    <t xml:space="preserve">Eher bei Reinigungsstoffen, die beim Schweißen verwendet werden</t>
  </si>
  <si>
    <t xml:space="preserve">0,6 kW / Anschluss 16 A</t>
  </si>
  <si>
    <t xml:space="preserve">Checkliste_Maschine_Schweiß_dre</t>
  </si>
  <si>
    <t xml:space="preserve">Marqueuse Laser (Laserbeschriftung)</t>
  </si>
  <si>
    <t xml:space="preserve">206-16.M3</t>
  </si>
  <si>
    <t xml:space="preserve">SIC</t>
  </si>
  <si>
    <t xml:space="preserve">XL-Box 4</t>
  </si>
  <si>
    <t xml:space="preserve">Prüfen</t>
  </si>
  <si>
    <t xml:space="preserve">1,9 x 0,7 x 2,2</t>
  </si>
  <si>
    <t xml:space="preserve">manuell</t>
  </si>
  <si>
    <t xml:space="preserve">A</t>
  </si>
  <si>
    <t xml:space="preserve">Checkliste_Maschine_div</t>
  </si>
  <si>
    <t xml:space="preserve">Détecteur de fuite (Dichtheitsprüfgerät)</t>
  </si>
  <si>
    <t xml:space="preserve">293</t>
  </si>
  <si>
    <t xml:space="preserve">XXX</t>
  </si>
  <si>
    <t xml:space="preserve">Oerlikon Leybold</t>
  </si>
  <si>
    <t xml:space="preserve">Phoenixl 300 Modul</t>
  </si>
  <si>
    <t xml:space="preserve">90001232041</t>
  </si>
  <si>
    <t xml:space="preserve">150 kg</t>
  </si>
  <si>
    <t xml:space="preserve">0,8 x 0,8 x 1,2</t>
  </si>
  <si>
    <t xml:space="preserve">Halbautomatik</t>
  </si>
  <si>
    <t xml:space="preserve">Helium</t>
  </si>
  <si>
    <t xml:space="preserve">0,4 kW / 400 V / 16 A</t>
  </si>
  <si>
    <t xml:space="preserve">Inventarnummer: Equipment-Nr.: 293; Typ: Serie 32</t>
  </si>
  <si>
    <t xml:space="preserve">Checkliste_Maschine_Schweiß (2)</t>
  </si>
  <si>
    <t xml:space="preserve">Orbital Welding Frames x5</t>
  </si>
  <si>
    <t xml:space="preserve">Checkliste_Maschine_Daten</t>
  </si>
  <si>
    <t xml:space="preserve">Checkliste Maschinendaten</t>
  </si>
  <si>
    <t xml:space="preserve">Maschine im gelben Feld auswählen – die Angaben kommen aus dem Blatt „Maschinen“.</t>
  </si>
  <si>
    <t xml:space="preserve">Angaben</t>
  </si>
  <si>
    <t xml:space="preserve">Hinweis aus der Vorlage</t>
  </si>
  <si>
    <t xml:space="preserve">Anlagennummer</t>
  </si>
  <si>
    <t xml:space="preserve">Inventarnummer</t>
  </si>
  <si>
    <t xml:space="preserve">Hersteller</t>
  </si>
  <si>
    <t xml:space="preserve">Typ</t>
  </si>
  <si>
    <t xml:space="preserve">Seriennummer</t>
  </si>
  <si>
    <t xml:space="preserve">Baujahr</t>
  </si>
  <si>
    <t xml:space="preserve">Prozess</t>
  </si>
  <si>
    <t xml:space="preserve">Gewicht</t>
  </si>
  <si>
    <t xml:space="preserve">Länge / Breite / Höhe</t>
  </si>
  <si>
    <t xml:space="preserve">Werkzeuge vorhanden?</t>
  </si>
  <si>
    <t xml:space="preserve">Maschinen-/Prozessbesonderheiten / Grenzen</t>
  </si>
  <si>
    <t xml:space="preserve">z. B. Temperatur, Druck bis 500 bar, Materialdicke, Produktlänge</t>
  </si>
  <si>
    <t xml:space="preserve">Zustand der Anlage</t>
  </si>
  <si>
    <t xml:space="preserve">Automatisierungsgrad</t>
  </si>
  <si>
    <t xml:space="preserve">CE-Kennzeichnung</t>
  </si>
  <si>
    <t xml:space="preserve">Technische Dokumentation vorhanden?</t>
  </si>
  <si>
    <t xml:space="preserve">Digital / Papier</t>
  </si>
  <si>
    <t xml:space="preserve">Ersatzteile vorhanden</t>
  </si>
  <si>
    <t xml:space="preserve">Kritische Maschine [A / B / C]</t>
  </si>
  <si>
    <t xml:space="preserve">A, B oder C</t>
  </si>
  <si>
    <t xml:space="preserve">Verfügbarkeit Ersatzmaschine</t>
  </si>
  <si>
    <t xml:space="preserve">Absaugung (Ist-Zustand)</t>
  </si>
  <si>
    <t xml:space="preserve">Netzwerkanschluss erforderlich</t>
  </si>
  <si>
    <t xml:space="preserve">Druckluft erforderlich</t>
  </si>
  <si>
    <t xml:space="preserve">Gase</t>
  </si>
  <si>
    <t xml:space="preserve">CO2 / N2 / He / ArH 90/10 / ArH 80/20 / Argon 4.6 / H2 / C2H2 (Acetylen) / Sagox 2K (Argon-CO2-Gemisch)</t>
  </si>
  <si>
    <t xml:space="preserve">Kühlwasser</t>
  </si>
  <si>
    <t xml:space="preserve">Wasserart / Abwasser / Entsorgung</t>
  </si>
  <si>
    <t xml:space="preserve">Frischwasser</t>
  </si>
  <si>
    <t xml:space="preserve">Hydraulik</t>
  </si>
  <si>
    <t xml:space="preserve">Wassergefährdungsklasse (WGK)</t>
  </si>
  <si>
    <t xml:space="preserve">Gesamtvolumen in der Anlage [m³] / Rückhaltevolumen [m³]</t>
  </si>
  <si>
    <t xml:space="preserve">Nennleistung [kW]</t>
  </si>
  <si>
    <t xml:space="preserve">Vorsicherung [A], Spannung [V], Anschlussart (z. B. direkt, CEE-Stecker 16 A)</t>
  </si>
  <si>
    <t xml:space="preserve">Umgebung</t>
  </si>
  <si>
    <t xml:space="preserve">Raumklimatisierung / Temp., Bekranung + Hebelast [t], Boden-/Fundamentanforderungen, Schallemission [dB], Zugangsbeschränkung / Zugänglichkeit</t>
  </si>
  <si>
    <t xml:space="preserve">Wissen: Instandhaltung</t>
  </si>
  <si>
    <t xml:space="preserve">Normen, Strategien und Kennzahlen, auf die sich die Checklisten beziehen. Quellen siehe Blatt „Anleitung“.</t>
  </si>
  <si>
    <t xml:space="preserve">Die vier Grundmaßnahmen nach DIN 31051 (2019-06)</t>
  </si>
  <si>
    <t xml:space="preserve">Maßnahme</t>
  </si>
  <si>
    <t xml:space="preserve">Ziel</t>
  </si>
  <si>
    <t xml:space="preserve">Beispiele</t>
  </si>
  <si>
    <t xml:space="preserve">Bezug Checkliste</t>
  </si>
  <si>
    <t xml:space="preserve">Wartung</t>
  </si>
  <si>
    <t xml:space="preserve">Abbau des vorhandenen Abnutzungsvorrats verzögern</t>
  </si>
  <si>
    <t xml:space="preserve">Schmieren, Betriebsstoffe nachfüllen, Verschleißteile tauschen</t>
  </si>
  <si>
    <t xml:space="preserve">Schmierpläne, Wartungsnachweise</t>
  </si>
  <si>
    <t xml:space="preserve">Inspektion</t>
  </si>
  <si>
    <t xml:space="preserve">Ist-Zustand auf Konformität prüfen</t>
  </si>
  <si>
    <t xml:space="preserve">Messen, Beobachten, Funktionsprüfung</t>
  </si>
  <si>
    <t xml:space="preserve">Mechanik, Hydraulik, Pneumatik, Elektrik</t>
  </si>
  <si>
    <t xml:space="preserve">Instandsetzung</t>
  </si>
  <si>
    <t xml:space="preserve">Funktion einer fehlerhaften Einheit wiederherstellen</t>
  </si>
  <si>
    <t xml:space="preserve">Reparieren, Austauschen</t>
  </si>
  <si>
    <t xml:space="preserve">Störungen, ungeplante Reparaturen</t>
  </si>
  <si>
    <t xml:space="preserve">Verbesserung</t>
  </si>
  <si>
    <t xml:space="preserve">Zuverlässigkeit, Instandhaltbarkeit oder Sicherheit erhöhen</t>
  </si>
  <si>
    <t xml:space="preserve">Konstruktive Änderung, Beseitigen von Schwachstellen</t>
  </si>
  <si>
    <t xml:space="preserve">Schwachstellen- und Schadensanalyse</t>
  </si>
  <si>
    <t xml:space="preserve">Instandhaltungsstrategien (Begriffe nach DIN EN 13306)</t>
  </si>
  <si>
    <t xml:space="preserve">Strategie</t>
  </si>
  <si>
    <t xml:space="preserve">Auslöser</t>
  </si>
  <si>
    <t xml:space="preserve">Stärken</t>
  </si>
  <si>
    <t xml:space="preserve">Grenzen</t>
  </si>
  <si>
    <t xml:space="preserve">Typischer Einsatz</t>
  </si>
  <si>
    <t xml:space="preserve">Korrektiv (ausfallbedingt)</t>
  </si>
  <si>
    <t xml:space="preserve">Ausfall / Störung</t>
  </si>
  <si>
    <t xml:space="preserve">Abnutzungsvorrat voll genutzt, kein Planungsaufwand</t>
  </si>
  <si>
    <t xml:space="preserve">Ungeplante Stillstände, Folgeschäden</t>
  </si>
  <si>
    <t xml:space="preserve">C-Anlagen, redundante Einheiten</t>
  </si>
  <si>
    <t xml:space="preserve">Präventiv, vorausbestimmt</t>
  </si>
  <si>
    <t xml:space="preserve">Feste Intervalle (Zeit, Zyklen, Laufzeit)</t>
  </si>
  <si>
    <t xml:space="preserve">Gut planbar</t>
  </si>
  <si>
    <t xml:space="preserve">Teile ggf. zu früh getauscht</t>
  </si>
  <si>
    <t xml:space="preserve">Sicherheitsrelevante Teile, Herstellervorgaben, gesetzliche Prüfungen</t>
  </si>
  <si>
    <t xml:space="preserve">Zustandsorientiert</t>
  </si>
  <si>
    <t xml:space="preserve">Inspektion / Überwachung zeigt Abnutzung</t>
  </si>
  <si>
    <t xml:space="preserve">Eingriff erst bei Bedarf</t>
  </si>
  <si>
    <t xml:space="preserve">Messung, Grenzwerte und Inspektionsdisziplin nötig</t>
  </si>
  <si>
    <t xml:space="preserve">Lager, Spindeln, Hydraulik</t>
  </si>
  <si>
    <t xml:space="preserve">Voraussagend (predictive)</t>
  </si>
  <si>
    <t xml:space="preserve">Prognose aus Daten- und Trendanalyse</t>
  </si>
  <si>
    <t xml:space="preserve">Eingriff kurz vor erwartetem Ausfall</t>
  </si>
  <si>
    <t xml:space="preserve">Sensorik und Datenauswertung nötig</t>
  </si>
  <si>
    <t xml:space="preserve">A-Anlagen mit hohen Ausfallkosten</t>
  </si>
  <si>
    <t xml:space="preserve">TPM (Total Productive Maintenance)</t>
  </si>
  <si>
    <t xml:space="preserve">Ganzheitlich, Bediener übernehmen einfache Pflege</t>
  </si>
  <si>
    <t xml:space="preserve">Kontinuierliche Verbesserung der OEE</t>
  </si>
  <si>
    <t xml:space="preserve">Braucht Schulung und Führung</t>
  </si>
  <si>
    <t xml:space="preserve">Automobilindustrie (IATF 16949, 8.5.1.5)</t>
  </si>
  <si>
    <t xml:space="preserve">Normen und Vorschriften</t>
  </si>
  <si>
    <t xml:space="preserve">Regelwerk</t>
  </si>
  <si>
    <t xml:space="preserve">Inhalt</t>
  </si>
  <si>
    <t xml:space="preserve">DIN 31051 (2019-06)</t>
  </si>
  <si>
    <t xml:space="preserve">Grundlagen der Instandhaltung: Wartung, Inspektion, Instandsetzung, Verbesserung</t>
  </si>
  <si>
    <t xml:space="preserve">Allgemein 9–14, Maschine 2–2.8</t>
  </si>
  <si>
    <t xml:space="preserve">DIN EN 13306</t>
  </si>
  <si>
    <t xml:space="preserve">Begriffe der Instandhaltung, Instandhaltungsarten und -strategien</t>
  </si>
  <si>
    <t xml:space="preserve">Allgemein 8</t>
  </si>
  <si>
    <t xml:space="preserve">DIN EN 15341</t>
  </si>
  <si>
    <t xml:space="preserve">Wesentliche Leistungskennzahlen (KPI) für die Instandhaltung (über 50 Kennzahlen)</t>
  </si>
  <si>
    <t xml:space="preserve">Allgemein 24, 37, 38</t>
  </si>
  <si>
    <t xml:space="preserve">IATF 16949:2016, 8.5.1.5</t>
  </si>
  <si>
    <t xml:space="preserve">Dokumentiertes TPM-System: Schlüsselanlagen, Ressourcen, Ersatzteilverfügbarkeit, Verpackung und Konservierung von Ausrüstung, Werkzeugen und Prüfmitteln, kundenspezifische Anforderungen, dokumentierte Instandhaltungsziele (z. B. OEE, MTBF, MTTR), regelmäßige Überprüfung, vorausschauende Methoden, periodische Überholung</t>
  </si>
  <si>
    <t xml:space="preserve">Kompakt N1–N2d</t>
  </si>
  <si>
    <t xml:space="preserve">ISO/TS 16949:2009, 7.5.1.4 und 6.4.2</t>
  </si>
  <si>
    <t xml:space="preserve">Vorgänger der IATF 16949 (2016 ersetzt). Die Normfragen im Kompakt-Audit stammen aus diesen Abschnitten</t>
  </si>
  <si>
    <t xml:space="preserve">Kompakt N1–N3</t>
  </si>
  <si>
    <t xml:space="preserve">BetrSichV § 10</t>
  </si>
  <si>
    <t xml:space="preserve">Instandhaltung von Arbeitsmitteln: sicherer Zustand während der Verwendungsdauer, Gefährdungsbeurteilung, Herstellerangaben, nur fachkundige und beauftragte Beschäftigte oder vergleichbar qualifizierte Fremdfirmen</t>
  </si>
  <si>
    <t xml:space="preserve">Allgemein 15, 16, 39</t>
  </si>
  <si>
    <t xml:space="preserve">BetrSichV § 14</t>
  </si>
  <si>
    <t xml:space="preserve">Prüfung von Arbeitsmitteln durch eine zur Prüfung befähigte Person</t>
  </si>
  <si>
    <t xml:space="preserve">Allgemein 12, 39</t>
  </si>
  <si>
    <t xml:space="preserve">TRBS 1112</t>
  </si>
  <si>
    <t xml:space="preserve">Gefährdungsbeurteilung und Schutzmaßnahmen bei Instandhaltungsarbeiten nach § 10 BetrSichV</t>
  </si>
  <si>
    <t xml:space="preserve">Allgemein 39</t>
  </si>
  <si>
    <t xml:space="preserve">DGUV Vorschrift 3</t>
  </si>
  <si>
    <t xml:space="preserve">Prüfung elektrischer Anlagen und Betriebsmittel. Richtwerte: ortsveränderliche Geräte 6 Monate (Baustellen 3), bei Fehlerquote &lt; 2 % in Werkstätten bis 1 Jahr; ortsfeste Anlagen 4 Jahre. Maßgeblich ist die Gefährdungsbeurteilung</t>
  </si>
  <si>
    <t xml:space="preserve">Maschine 2.8</t>
  </si>
  <si>
    <t xml:space="preserve">AwSV</t>
  </si>
  <si>
    <t xml:space="preserve">WGK 1 schwach, WGK 2 deutlich, WGK 3 stark wassergefährdend; nicht eingestufte Stoffe gelten als WGK 3</t>
  </si>
  <si>
    <t xml:space="preserve">Stammblatt Feld 26</t>
  </si>
  <si>
    <t xml:space="preserve">Kritikalität A / B / C (übliche Einteilung – betriebsintern festlegen)</t>
  </si>
  <si>
    <t xml:space="preserve">Beschreibung</t>
  </si>
  <si>
    <t xml:space="preserve">Strategie-Hinweis</t>
  </si>
  <si>
    <t xml:space="preserve">Ausfall stoppt die Produktion oder gefährdet Sicherheit/Qualität, keine Ersatzmaschine</t>
  </si>
  <si>
    <t xml:space="preserve">Vorbeugend oder zustandsorientiert, Ersatzteile auf Lager</t>
  </si>
  <si>
    <t xml:space="preserve">Ausfall beeinträchtigt die Produktion, Ausweichen begrenzt möglich</t>
  </si>
  <si>
    <t xml:space="preserve">Planmäßige Wartung und Inspektion</t>
  </si>
  <si>
    <t xml:space="preserve">C</t>
  </si>
  <si>
    <t xml:space="preserve">Geringe Auswirkung oder Redundanz vorhanden</t>
  </si>
  <si>
    <t xml:space="preserve">Ausfallbedingte IH kann wirtschaftlich sein</t>
  </si>
  <si>
    <t xml:space="preserve">Kennzahlen-Rechner</t>
  </si>
  <si>
    <t xml:space="preserve">Gelbe Felder ändern. Die Startwerte sind Rechenbeispiele, keine Messwerte.</t>
  </si>
  <si>
    <t xml:space="preserve">Betriebszeit [h]</t>
  </si>
  <si>
    <t xml:space="preserve">Anzahl Ausfälle</t>
  </si>
  <si>
    <t xml:space="preserve">Reparaturzeit gesamt [h]</t>
  </si>
  <si>
    <t xml:space="preserve">MTBF [h] = Betriebszeit ÷ Ausfälle</t>
  </si>
  <si>
    <t xml:space="preserve">MTTR [h] = Reparaturzeit ÷ Ausfälle</t>
  </si>
  <si>
    <t xml:space="preserve">Technische Verfügbarkeit = MTBF ÷ (MTBF + MTTR)</t>
  </si>
  <si>
    <t xml:space="preserve">Verfügbarkeit</t>
  </si>
  <si>
    <t xml:space="preserve">Leistung</t>
  </si>
  <si>
    <t xml:space="preserve">Qualität</t>
  </si>
  <si>
    <t xml:space="preserve">OEE = Verfügbarkeit × Leistung × Qualität</t>
  </si>
  <si>
    <t xml:space="preserve">Anleitung</t>
  </si>
  <si>
    <t xml:space="preserve">Digitale Fassung von „Vorlage_Audit_Instandhaltung.xlsm“ – ohne Makros.</t>
  </si>
  <si>
    <t xml:space="preserve">So geht's</t>
  </si>
  <si>
    <t xml:space="preserve">1.</t>
  </si>
  <si>
    <t xml:space="preserve">Kopfdaten im Audit-Blatt ausfüllen (Objekt, Equipmentnummer, Datum, Auditor, Bereich).</t>
  </si>
  <si>
    <t xml:space="preserve">2.</t>
  </si>
  <si>
    <t xml:space="preserve">In Spalte „Bewertung“ je Prüfpunkt aus der Liste wählen: N.I.O, bed. OK, OK oder n. b. (nicht bewertet / nicht zutreffend).</t>
  </si>
  <si>
    <t xml:space="preserve">3.</t>
  </si>
  <si>
    <t xml:space="preserve">Bei N.I.O und bed. OK: Befund/Maßnahme, Verantwortlich und Termin eintragen. Erledigt = ja setzt den Status auf „erledigt“.</t>
  </si>
  <si>
    <t xml:space="preserve">4.</t>
  </si>
  <si>
    <t xml:space="preserve">Ergebnis, Auswertung je Kapitel und Diagramme rechnen sich automatisch. Alle Maßnahmen erscheinen im Blatt „Maßnahmen“.</t>
  </si>
  <si>
    <t xml:space="preserve">5.</t>
  </si>
  <si>
    <t xml:space="preserve">Maschinen im Blatt „Maschinen“ pflegen; „Stammblatt“ zeigt eine ausgewählte Maschine druckfertig.</t>
  </si>
  <si>
    <t xml:space="preserve">Farben</t>
  </si>
  <si>
    <t xml:space="preserve">Gelbe Zellen, blaue Schrift</t>
  </si>
  <si>
    <t xml:space="preserve">Eingabefelder – nur hier eintragen.</t>
  </si>
  <si>
    <t xml:space="preserve">Schwarze / grüne Schrift</t>
  </si>
  <si>
    <t xml:space="preserve">Formeln bzw. Verweise auf andere Blätter – nicht überschreiben.</t>
  </si>
  <si>
    <t xml:space="preserve">Beispiel (nur Format)</t>
  </si>
  <si>
    <t xml:space="preserve">Bewertung: bed. OK · Maßnahme: Schmierplan an der Maschine aushängen · Verantwortlich: Meister IH · Termin: 31.12.2026 · Erledigt: nein</t>
  </si>
  <si>
    <t xml:space="preserve">Berechnung</t>
  </si>
  <si>
    <t xml:space="preserve">(OK + Gewicht × bed. OK) ÷ (N.I.O + bed. OK + OK). „n. b.“ und leere Punkte zählen nicht. Die Vorlage hatte Zeilen „Sum/Total“ ohne Formel; Gewicht 50 % und Ampel (grün ab 85 %, gelb ab 60 %) sind Annahmen und auf „Übersicht“ änderbar.</t>
  </si>
  <si>
    <t xml:space="preserve">Mehrere Maschinen</t>
  </si>
  <si>
    <t xml:space="preserve">Pro Mappe ist je Checkliste ein Audit vorgesehen. Für weitere Maschinen die Mappe kopieren (Datei speichern unter …).</t>
  </si>
  <si>
    <t xml:space="preserve">Hinweise zur Vorlage</t>
  </si>
  <si>
    <t xml:space="preserve">Prüfpunkt 24</t>
  </si>
  <si>
    <t xml:space="preserve">Deutscher Text nennt 90 % technische Verfügbarkeit, die englische Fassung 80 %. Bitte den gültigen Zielwert klären.</t>
  </si>
  <si>
    <t xml:space="preserve">Kompakt-Audit</t>
  </si>
  <si>
    <t xml:space="preserve">Normfragen stammen aus ISO/TS 16949:2009 (7.5.1.4, 6.4.2); diese wurde 2016 durch IATF 16949 ersetzt (heute 8.5.1.5).</t>
  </si>
  <si>
    <t xml:space="preserve">Korrekturen</t>
  </si>
  <si>
    <t xml:space="preserve">Rechtschreibfehler der Vorlage wurden korrigiert, Inhalte nicht verändert. Das Kompakt-Audit entspricht dem Blatt „Auditcheckliste_1“.</t>
  </si>
  <si>
    <t xml:space="preserve">Quellen</t>
  </si>
  <si>
    <t xml:space="preserve">DIN 31051</t>
  </si>
  <si>
    <t xml:space="preserve">https://www.baunormenlexikon.de/norm/din-31051/8d1293a4-de10-49d4-9fee-0b415e6545a1</t>
  </si>
  <si>
    <t xml:space="preserve">https://www.buerklin.com/de/elektronik-kompetenz/instandhaltung/din-31051-grundlagen-der-instandhaltung/</t>
  </si>
  <si>
    <t xml:space="preserve">https://ihb.tuev-media.de/docs/din_en_13306.html</t>
  </si>
  <si>
    <t xml:space="preserve">https://blog.ccc-industriesoftware.de/kennzahlen-und-kpis-instandhaltung/</t>
  </si>
  <si>
    <t xml:space="preserve">MTTR / MTBF</t>
  </si>
  <si>
    <t xml:space="preserve">https://comain.cloud/glossar/mttr-mtbf</t>
  </si>
  <si>
    <t xml:space="preserve">OEE</t>
  </si>
  <si>
    <t xml:space="preserve">https://de.wikipedia.org/wiki/Gesamtanlageneffektivit%C3%A4t</t>
  </si>
  <si>
    <t xml:space="preserve">IATF 16949 TPM</t>
  </si>
  <si>
    <t xml:space="preserve">https://community.advisera.com/topic/total-productive-maintenance-in-iatf-16949/</t>
  </si>
  <si>
    <t xml:space="preserve">IATF 16949 8.5.1.5</t>
  </si>
  <si>
    <t xml:space="preserve">https://elsmar.com/elsmarqualityforum/threads/iatf-16949-section-8-5-1-5-total-productive-maintenance.70125/</t>
  </si>
  <si>
    <t xml:space="preserve">ISO/TS 16949 7.5.1.4</t>
  </si>
  <si>
    <t xml:space="preserve">https://elsmar.com/elsmarqualityforum/threads/ts-16949-clause-7-5-1-4-preventive-and-predictive-maintenance-requirements-scope.54706/</t>
  </si>
  <si>
    <t xml:space="preserve">BetrSichV</t>
  </si>
  <si>
    <t xml:space="preserve">https://www.gesetze-im-internet.de/betrsichv_2015/BJNR004910015.html</t>
  </si>
  <si>
    <t xml:space="preserve">https://www.baua.de/DE/Angebote/Regelwerk/TRBS/pdf/TRBS-1112.pdf</t>
  </si>
  <si>
    <t xml:space="preserve">DGUV V3</t>
  </si>
  <si>
    <t xml:space="preserve">https://www.forum-verlag.com/fachwissen/elektrosicherheit-und-elektrotechnik/prueffristen-nach-dguv-v3/</t>
  </si>
  <si>
    <t xml:space="preserve">AwSV / WGK</t>
  </si>
  <si>
    <t xml:space="preserve">https://www.umweltbundesamt.de/system/files/medien/421/dokumente/info_awsv_dieter_wgk.pdf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</si>
</sst>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%"/>
    <numFmt numFmtId="166" formatCode="dd\.mm\.yyyy"/>
    <numFmt numFmtId="167" formatCode="General"/>
    <numFmt numFmtId="168" formatCode="0.0"/>
    <numFmt numFmtId="169" formatCode="0.0%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F172A"/>
      <name val="Arial"/>
      <family val="0"/>
      <charset val="1"/>
    </font>
    <font>
      <i val="true"/>
      <sz val="10"/>
      <color rgb="FF5B6678"/>
      <name val="Arial"/>
      <family val="0"/>
      <charset val="1"/>
    </font>
    <font>
      <b val="true"/>
      <sz val="12"/>
      <color rgb="FF0F172A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5B6678"/>
      <name val="Arial"/>
      <family val="0"/>
      <charset val="1"/>
    </font>
    <font>
      <i val="true"/>
      <sz val="8"/>
      <color rgb="FF8A94A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8"/>
      <color rgb="FF8A94A6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11"/>
      <color theme="1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F172A"/>
      <name val="Arial"/>
      <family val="0"/>
      <charset val="1"/>
    </font>
    <font>
      <b val="true"/>
      <sz val="2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u val="single"/>
      <sz val="10"/>
      <color rgb="FF1D4ED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7CC"/>
        <bgColor rgb="FFFCEBC2"/>
      </patternFill>
    </fill>
    <fill>
      <patternFill patternType="solid">
        <fgColor rgb="FF0F172A"/>
        <bgColor rgb="FF1F1600"/>
      </patternFill>
    </fill>
    <fill>
      <patternFill patternType="solid">
        <fgColor rgb="FFF1F4F8"/>
        <bgColor rgb="FFF9F9F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5DCE6"/>
      </left>
      <right style="thin">
        <color rgb="FFD5DCE6"/>
      </right>
      <top style="thin">
        <color rgb="FFD5DCE6"/>
      </top>
      <bottom style="thin">
        <color rgb="FFD5DCE6"/>
      </bottom>
      <diagonal/>
    </border>
    <border diagonalUp="false" diagonalDown="false">
      <left style="thin">
        <color rgb="FFD5DCE6"/>
      </left>
      <right/>
      <top style="thin">
        <color rgb="FFD5DCE6"/>
      </top>
      <bottom/>
      <diagonal/>
    </border>
    <border diagonalUp="false" diagonalDown="false">
      <left style="thin">
        <color rgb="FFD5DCE6"/>
      </left>
      <right/>
      <top style="thin">
        <color rgb="FFD5DCE6"/>
      </top>
      <bottom style="thin">
        <color rgb="FFD5DC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8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ont>
        <b val="1"/>
        <color rgb="FF0F7A2F"/>
      </font>
      <fill>
        <patternFill>
          <bgColor rgb="FFD3F0DB"/>
        </patternFill>
      </fill>
    </dxf>
    <dxf>
      <font>
        <b val="1"/>
        <color rgb="FFB47400"/>
      </font>
      <fill>
        <patternFill>
          <bgColor rgb="FFFCEBC2"/>
        </patternFill>
      </fill>
    </dxf>
    <dxf>
      <font>
        <b val="1"/>
        <color rgb="FFC62F2F"/>
      </font>
      <fill>
        <patternFill>
          <bgColor rgb="FFFBDADA"/>
        </patternFill>
      </fill>
    </dxf>
    <dxf>
      <fill>
        <patternFill patternType="solid">
          <fgColor rgb="FF0F172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B6678"/>
          <bgColor rgb="FF000000"/>
        </patternFill>
      </fill>
    </dxf>
    <dxf>
      <fill>
        <patternFill patternType="solid">
          <fgColor rgb="FFFFF7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8A94A6"/>
          <bgColor rgb="FF000000"/>
        </patternFill>
      </fill>
    </dxf>
    <dxf>
      <font>
        <b val="1"/>
        <color rgb="FFFFFFFF"/>
      </font>
      <fill>
        <patternFill>
          <bgColor rgb="FFC62F2F"/>
        </patternFill>
      </fill>
    </dxf>
    <dxf>
      <font>
        <b val="1"/>
        <color rgb="FF1F1600"/>
      </font>
      <fill>
        <patternFill>
          <bgColor rgb="FFF0A812"/>
        </patternFill>
      </fill>
    </dxf>
    <dxf>
      <font>
        <b val="1"/>
        <color rgb="FFFFFFFF"/>
      </font>
      <fill>
        <patternFill>
          <bgColor rgb="FF13A13D"/>
        </patternFill>
      </fill>
    </dxf>
    <dxf>
      <font>
        <b val="1"/>
        <color rgb="FFFFFFFF"/>
      </font>
      <fill>
        <patternFill>
          <bgColor rgb="FF8A94A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47400"/>
      <rgbColor rgb="FF800080"/>
      <rgbColor rgb="FF0F7A2F"/>
      <rgbColor rgb="FFD9D9D9"/>
      <rgbColor rgb="FF878787"/>
      <rgbColor rgb="FF9999FF"/>
      <rgbColor rgb="FF993366"/>
      <rgbColor rgb="FFFFF7CC"/>
      <rgbColor rgb="FFF1F4F8"/>
      <rgbColor rgb="FF660066"/>
      <rgbColor rgb="FFFF8080"/>
      <rgbColor rgb="FF1D4ED8"/>
      <rgbColor rgb="FFD5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D3F0DB"/>
      <rgbColor rgb="FFFCEBC2"/>
      <rgbColor rgb="FF99CCFF"/>
      <rgbColor rgb="FFFF99CC"/>
      <rgbColor rgb="FFCC99FF"/>
      <rgbColor rgb="FFFBDADA"/>
      <rgbColor rgb="FF3366FF"/>
      <rgbColor rgb="FF33CCCC"/>
      <rgbColor rgb="FF99CC00"/>
      <rgbColor rgb="FFFFCC00"/>
      <rgbColor rgb="FFF0A812"/>
      <rgbColor rgb="FFFF6600"/>
      <rgbColor rgb="FF5B6678"/>
      <rgbColor rgb="FF8A94A6"/>
      <rgbColor rgb="FF003366"/>
      <rgbColor rgb="FF13A13D"/>
      <rgbColor rgb="FF0F172A"/>
      <rgbColor rgb="FF1F1600"/>
      <rgbColor rgb="FFC62F2F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Erfüllungsgrad je Checkliste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Übersicht!K12</c:f>
              <c:strCache>
                <c:ptCount val="1"/>
                <c:pt idx="0">
                  <c:v>Erfüllungsgrad</c:v>
                </c:pt>
              </c:strCache>
            </c:strRef>
          </c:tx>
          <c:spPr>
            <a:solidFill>
              <a:srgbClr val="1d4ed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Übersicht!$A$13:$A$16</c:f>
              <c:strCache>
                <c:ptCount val="4"/>
                <c:pt idx="0">
                  <c:v>Allgemein</c:v>
                </c:pt>
                <c:pt idx="1">
                  <c:v>Maschine</c:v>
                </c:pt>
                <c:pt idx="2">
                  <c:v>Werkzeug</c:v>
                </c:pt>
                <c:pt idx="3">
                  <c:v>Kompakt</c:v>
                </c:pt>
              </c:strCache>
            </c:strRef>
          </c:cat>
          <c:val>
            <c:numRef>
              <c:f>Übersicht!$K$13:$K$16</c:f>
              <c:numCache>
                <c:formatCode>General</c:formatCode>
                <c:ptCount val="4"/>
              </c:numCache>
            </c:numRef>
          </c:val>
        </c:ser>
        <c:gapWidth val="150"/>
        <c:overlap val="0"/>
        <c:axId val="62229826"/>
        <c:axId val="35701826"/>
      </c:barChart>
      <c:catAx>
        <c:axId val="6222982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701826"/>
        <c:crosses val="autoZero"/>
        <c:auto val="1"/>
        <c:lblAlgn val="ctr"/>
        <c:lblOffset val="100"/>
        <c:noMultiLvlLbl val="0"/>
      </c:catAx>
      <c:valAx>
        <c:axId val="35701826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22982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Bewertungen je Checkliste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Übersicht!F12</c:f>
              <c:strCache>
                <c:ptCount val="1"/>
                <c:pt idx="0">
                  <c:v>N.I.O</c:v>
                </c:pt>
              </c:strCache>
            </c:strRef>
          </c:tx>
          <c:spPr>
            <a:solidFill>
              <a:srgbClr val="c62f2f"/>
            </a:solidFill>
            <a:ln w="936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Übersicht!$A$13:$A$16</c:f>
              <c:strCache>
                <c:ptCount val="4"/>
                <c:pt idx="0">
                  <c:v>Allgemein</c:v>
                </c:pt>
                <c:pt idx="1">
                  <c:v>Maschine</c:v>
                </c:pt>
                <c:pt idx="2">
                  <c:v>Werkzeug</c:v>
                </c:pt>
                <c:pt idx="3">
                  <c:v>Kompakt</c:v>
                </c:pt>
              </c:strCache>
            </c:strRef>
          </c:cat>
          <c:val>
            <c:numRef>
              <c:f>Übersicht!$F$13:$F$16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Übersicht!G12</c:f>
              <c:strCache>
                <c:ptCount val="1"/>
                <c:pt idx="0">
                  <c:v>bed. OK</c:v>
                </c:pt>
              </c:strCache>
            </c:strRef>
          </c:tx>
          <c:spPr>
            <a:solidFill>
              <a:srgbClr val="f0a812"/>
            </a:solidFill>
            <a:ln w="936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Übersicht!$A$13:$A$16</c:f>
              <c:strCache>
                <c:ptCount val="4"/>
                <c:pt idx="0">
                  <c:v>Allgemein</c:v>
                </c:pt>
                <c:pt idx="1">
                  <c:v>Maschine</c:v>
                </c:pt>
                <c:pt idx="2">
                  <c:v>Werkzeug</c:v>
                </c:pt>
                <c:pt idx="3">
                  <c:v>Kompakt</c:v>
                </c:pt>
              </c:strCache>
            </c:strRef>
          </c:cat>
          <c:val>
            <c:numRef>
              <c:f>Übersicht!$G$13:$G$16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2"/>
          <c:order val="2"/>
          <c:tx>
            <c:strRef>
              <c:f>Übersicht!H12</c:f>
              <c:strCache>
                <c:ptCount val="1"/>
                <c:pt idx="0">
                  <c:v>OK</c:v>
                </c:pt>
              </c:strCache>
            </c:strRef>
          </c:tx>
          <c:spPr>
            <a:solidFill>
              <a:srgbClr val="13a13d"/>
            </a:solidFill>
            <a:ln w="936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Übersicht!$A$13:$A$16</c:f>
              <c:strCache>
                <c:ptCount val="4"/>
                <c:pt idx="0">
                  <c:v>Allgemein</c:v>
                </c:pt>
                <c:pt idx="1">
                  <c:v>Maschine</c:v>
                </c:pt>
                <c:pt idx="2">
                  <c:v>Werkzeug</c:v>
                </c:pt>
                <c:pt idx="3">
                  <c:v>Kompakt</c:v>
                </c:pt>
              </c:strCache>
            </c:strRef>
          </c:cat>
          <c:val>
            <c:numRef>
              <c:f>Übersicht!$H$13:$H$16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3"/>
          <c:order val="3"/>
          <c:tx>
            <c:strRef>
              <c:f>Übersicht!I12</c:f>
              <c:strCache>
                <c:ptCount val="1"/>
                <c:pt idx="0">
                  <c:v>n. b.</c:v>
                </c:pt>
              </c:strCache>
            </c:strRef>
          </c:tx>
          <c:spPr>
            <a:solidFill>
              <a:srgbClr val="8a94a6"/>
            </a:solidFill>
            <a:ln w="936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Übersicht!$A$13:$A$16</c:f>
              <c:strCache>
                <c:ptCount val="4"/>
                <c:pt idx="0">
                  <c:v>Allgemein</c:v>
                </c:pt>
                <c:pt idx="1">
                  <c:v>Maschine</c:v>
                </c:pt>
                <c:pt idx="2">
                  <c:v>Werkzeug</c:v>
                </c:pt>
                <c:pt idx="3">
                  <c:v>Kompakt</c:v>
                </c:pt>
              </c:strCache>
            </c:strRef>
          </c:cat>
          <c:val>
            <c:numRef>
              <c:f>Übersicht!$I$13:$I$16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gapWidth val="150"/>
        <c:overlap val="100"/>
        <c:axId val="82825357"/>
        <c:axId val="12285162"/>
      </c:barChart>
      <c:catAx>
        <c:axId val="828253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285162"/>
        <c:crosses val="autoZero"/>
        <c:auto val="1"/>
        <c:lblAlgn val="ctr"/>
        <c:lblOffset val="100"/>
        <c:noMultiLvlLbl val="0"/>
      </c:catAx>
      <c:valAx>
        <c:axId val="122851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82535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Maßnahmen nach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Übersicht!B21</c:f>
              <c:strCache>
                <c:ptCount val="1"/>
                <c:pt idx="0">
                  <c:v>Anzahl</c:v>
                </c:pt>
              </c:strCache>
            </c:strRef>
          </c:tx>
          <c:spPr>
            <a:solidFill>
              <a:srgbClr val="b474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Übersicht!$A$22:$A$24</c:f>
              <c:strCache>
                <c:ptCount val="3"/>
                <c:pt idx="0">
                  <c:v>überfällig</c:v>
                </c:pt>
                <c:pt idx="1">
                  <c:v>offen</c:v>
                </c:pt>
                <c:pt idx="2">
                  <c:v>erledigt</c:v>
                </c:pt>
              </c:strCache>
            </c:strRef>
          </c:cat>
          <c:val>
            <c:numRef>
              <c:f>Übersicht!$B$22:$B$24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gapWidth val="150"/>
        <c:overlap val="0"/>
        <c:axId val="42947941"/>
        <c:axId val="46634138"/>
      </c:barChart>
      <c:catAx>
        <c:axId val="4294794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634138"/>
        <c:crosses val="autoZero"/>
        <c:auto val="1"/>
        <c:lblAlgn val="ctr"/>
        <c:lblOffset val="100"/>
        <c:noMultiLvlLbl val="0"/>
      </c:catAx>
      <c:valAx>
        <c:axId val="466341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94794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Maschinen nach Kritikalität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Übersicht!E21</c:f>
              <c:strCache>
                <c:ptCount val="1"/>
                <c:pt idx="0">
                  <c:v>Anzahl</c:v>
                </c:pt>
              </c:strCache>
            </c:strRef>
          </c:tx>
          <c:spPr>
            <a:solidFill>
              <a:srgbClr val="5b667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Übersicht!$D$22:$D$25</c:f>
              <c:strCache>
                <c:ptCount val="4"/>
                <c:pt idx="0">
                  <c:v>A – kritisch</c:v>
                </c:pt>
                <c:pt idx="1">
                  <c:v>B – mittel</c:v>
                </c:pt>
                <c:pt idx="2">
                  <c:v>C – gering</c:v>
                </c:pt>
                <c:pt idx="3">
                  <c:v>nicht eingestuft</c:v>
                </c:pt>
              </c:strCache>
            </c:strRef>
          </c:cat>
          <c:val>
            <c:numRef>
              <c:f>Übersicht!$E$22:$E$25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</c:ser>
        <c:gapWidth val="150"/>
        <c:overlap val="0"/>
        <c:axId val="6818153"/>
        <c:axId val="89944710"/>
      </c:barChart>
      <c:catAx>
        <c:axId val="681815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944710"/>
        <c:crosses val="autoZero"/>
        <c:auto val="1"/>
        <c:lblAlgn val="ctr"/>
        <c:lblOffset val="100"/>
        <c:noMultiLvlLbl val="0"/>
      </c:catAx>
      <c:valAx>
        <c:axId val="899447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1815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Erfüllungsgrad je Kapitel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Audit_Allgemein!I53</c:f>
              <c:strCache>
                <c:ptCount val="1"/>
                <c:pt idx="0">
                  <c:v>Erfüllungsgrad</c:v>
                </c:pt>
              </c:strCache>
            </c:strRef>
          </c:tx>
          <c:spPr>
            <a:solidFill>
              <a:srgbClr val="1d4ed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Audit_Allgemein!$B$54:$B$62</c:f>
              <c:strCache>
                <c:ptCount val="9"/>
                <c:pt idx="0">
                  <c:v>Organisation &amp; Personal</c:v>
                </c:pt>
                <c:pt idx="1">
                  <c:v>Strategie &amp; IH-System</c:v>
                </c:pt>
                <c:pt idx="2">
                  <c:v>Durchführung &amp; Schulung</c:v>
                </c:pt>
                <c:pt idx="3">
                  <c:v>Auswertung &amp; Verbesserung</c:v>
                </c:pt>
                <c:pt idx="4">
                  <c:v>Dokumentation &amp; Kommunikation</c:v>
                </c:pt>
                <c:pt idx="5">
                  <c:v>Werkstatt &amp; Betriebsmittel</c:v>
                </c:pt>
                <c:pt idx="6">
                  <c:v>Material &amp; Ersatzteile</c:v>
                </c:pt>
                <c:pt idx="7">
                  <c:v>Kennzahlen</c:v>
                </c:pt>
                <c:pt idx="8">
                  <c:v>Arbeits- &amp; Umweltschutz</c:v>
                </c:pt>
              </c:strCache>
            </c:strRef>
          </c:cat>
          <c:val>
            <c:numRef>
              <c:f>Audit_Allgemein!$I$54:$I$62</c:f>
              <c:numCache>
                <c:formatCode>General</c:formatCode>
                <c:ptCount val="9"/>
              </c:numCache>
            </c:numRef>
          </c:val>
        </c:ser>
        <c:gapWidth val="150"/>
        <c:overlap val="0"/>
        <c:axId val="16890619"/>
        <c:axId val="17119"/>
      </c:barChart>
      <c:catAx>
        <c:axId val="1689061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119"/>
        <c:crosses val="autoZero"/>
        <c:auto val="1"/>
        <c:lblAlgn val="ctr"/>
        <c:lblOffset val="100"/>
        <c:noMultiLvlLbl val="0"/>
      </c:catAx>
      <c:valAx>
        <c:axId val="17119"/>
        <c:scaling>
          <c:orientation val="minMax"/>
          <c:max val="1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89061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Erfüllungsgrad je Kapitel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Audit_Maschine!I27</c:f>
              <c:strCache>
                <c:ptCount val="1"/>
                <c:pt idx="0">
                  <c:v>Erfüllungsgrad</c:v>
                </c:pt>
              </c:strCache>
            </c:strRef>
          </c:tx>
          <c:spPr>
            <a:solidFill>
              <a:srgbClr val="1d4ed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Audit_Maschine!$B$28:$B$31</c:f>
              <c:strCache>
                <c:ptCount val="4"/>
                <c:pt idx="0">
                  <c:v>Zustand</c:v>
                </c:pt>
                <c:pt idx="1">
                  <c:v>Vorbeugende Instandhaltung</c:v>
                </c:pt>
                <c:pt idx="2">
                  <c:v>Funktion &amp; Zustand der Technik</c:v>
                </c:pt>
                <c:pt idx="3">
                  <c:v>Rüsten &amp; Störungen</c:v>
                </c:pt>
              </c:strCache>
            </c:strRef>
          </c:cat>
          <c:val>
            <c:numRef>
              <c:f>Audit_Maschine!$I$28:$I$31</c:f>
              <c:numCache>
                <c:formatCode>General</c:formatCode>
                <c:ptCount val="4"/>
              </c:numCache>
            </c:numRef>
          </c:val>
        </c:ser>
        <c:gapWidth val="150"/>
        <c:overlap val="0"/>
        <c:axId val="74146090"/>
        <c:axId val="25354673"/>
      </c:barChart>
      <c:catAx>
        <c:axId val="7414609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354673"/>
        <c:crosses val="autoZero"/>
        <c:auto val="1"/>
        <c:lblAlgn val="ctr"/>
        <c:lblOffset val="100"/>
        <c:noMultiLvlLbl val="0"/>
      </c:catAx>
      <c:valAx>
        <c:axId val="25354673"/>
        <c:scaling>
          <c:orientation val="minMax"/>
          <c:max val="1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14609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Erfüllungsgrad je Kapitel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Audit_Werkzeuge!I24</c:f>
              <c:strCache>
                <c:ptCount val="1"/>
                <c:pt idx="0">
                  <c:v>Erfüllungsgrad</c:v>
                </c:pt>
              </c:strCache>
            </c:strRef>
          </c:tx>
          <c:spPr>
            <a:solidFill>
              <a:srgbClr val="1d4ed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Audit_Werkzeuge!$B$25:$B$29</c:f>
              <c:strCache>
                <c:ptCount val="5"/>
                <c:pt idx="0">
                  <c:v>Zustand</c:v>
                </c:pt>
                <c:pt idx="1">
                  <c:v>Ersatzteile</c:v>
                </c:pt>
                <c:pt idx="2">
                  <c:v>Inspektion &amp; Wartung</c:v>
                </c:pt>
                <c:pt idx="3">
                  <c:v>Dokumentation</c:v>
                </c:pt>
                <c:pt idx="4">
                  <c:v>Verschleiß &amp; Instandsetzung</c:v>
                </c:pt>
              </c:strCache>
            </c:strRef>
          </c:cat>
          <c:val>
            <c:numRef>
              <c:f>Audit_Werkzeuge!$I$25:$I$29</c:f>
              <c:numCache>
                <c:formatCode>General</c:formatCode>
                <c:ptCount val="5"/>
              </c:numCache>
            </c:numRef>
          </c:val>
        </c:ser>
        <c:gapWidth val="150"/>
        <c:overlap val="0"/>
        <c:axId val="88856414"/>
        <c:axId val="85569881"/>
      </c:barChart>
      <c:catAx>
        <c:axId val="8885641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569881"/>
        <c:crosses val="autoZero"/>
        <c:auto val="1"/>
        <c:lblAlgn val="ctr"/>
        <c:lblOffset val="100"/>
        <c:noMultiLvlLbl val="0"/>
      </c:catAx>
      <c:valAx>
        <c:axId val="85569881"/>
        <c:scaling>
          <c:orientation val="minMax"/>
          <c:max val="1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85641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Erfüllungsgrad je Kapitel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Audit_Kompakt!I38</c:f>
              <c:strCache>
                <c:ptCount val="1"/>
                <c:pt idx="0">
                  <c:v>Erfüllungsgrad</c:v>
                </c:pt>
              </c:strCache>
            </c:strRef>
          </c:tx>
          <c:spPr>
            <a:solidFill>
              <a:srgbClr val="1d4ed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Audit_Kompakt!$B$39:$B$41</c:f>
              <c:strCache>
                <c:ptCount val="3"/>
                <c:pt idx="0">
                  <c:v>Anlage</c:v>
                </c:pt>
                <c:pt idx="1">
                  <c:v>Normanforderungen (ISO/TS 16949)</c:v>
                </c:pt>
                <c:pt idx="2">
                  <c:v>Werkzeuge &amp; Ersatzteile</c:v>
                </c:pt>
              </c:strCache>
            </c:strRef>
          </c:cat>
          <c:val>
            <c:numRef>
              <c:f>Audit_Kompakt!$I$39:$I$41</c:f>
              <c:numCache>
                <c:formatCode>General</c:formatCode>
                <c:ptCount val="3"/>
              </c:numCache>
            </c:numRef>
          </c:val>
        </c:ser>
        <c:gapWidth val="150"/>
        <c:overlap val="0"/>
        <c:axId val="36229330"/>
        <c:axId val="19325637"/>
      </c:barChart>
      <c:catAx>
        <c:axId val="3622933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325637"/>
        <c:crosses val="autoZero"/>
        <c:auto val="1"/>
        <c:lblAlgn val="ctr"/>
        <c:lblOffset val="100"/>
        <c:noMultiLvlLbl val="0"/>
      </c:catAx>
      <c:valAx>
        <c:axId val="19325637"/>
        <c:scaling>
          <c:orientation val="minMax"/>
          <c:max val="1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22933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26</xdr:row>
      <xdr:rowOff>131040</xdr:rowOff>
    </xdr:from>
    <xdr:to>
      <xdr:col>3</xdr:col>
      <xdr:colOff>65520</xdr:colOff>
      <xdr:row>40</xdr:row>
      <xdr:rowOff>163800</xdr:rowOff>
    </xdr:to>
    <xdr:graphicFrame>
      <xdr:nvGraphicFramePr>
        <xdr:cNvPr id="0" name="Chart 1"/>
        <xdr:cNvGraphicFramePr/>
      </xdr:nvGraphicFramePr>
      <xdr:xfrm>
        <a:off x="0" y="51436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26</xdr:row>
      <xdr:rowOff>131040</xdr:rowOff>
    </xdr:from>
    <xdr:to>
      <xdr:col>12</xdr:col>
      <xdr:colOff>785880</xdr:colOff>
      <xdr:row>40</xdr:row>
      <xdr:rowOff>163800</xdr:rowOff>
    </xdr:to>
    <xdr:graphicFrame>
      <xdr:nvGraphicFramePr>
        <xdr:cNvPr id="1" name="Chart 2"/>
        <xdr:cNvGraphicFramePr/>
      </xdr:nvGraphicFramePr>
      <xdr:xfrm>
        <a:off x="8445600" y="514368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42</xdr:row>
      <xdr:rowOff>130680</xdr:rowOff>
    </xdr:from>
    <xdr:to>
      <xdr:col>1</xdr:col>
      <xdr:colOff>2359440</xdr:colOff>
      <xdr:row>56</xdr:row>
      <xdr:rowOff>163440</xdr:rowOff>
    </xdr:to>
    <xdr:graphicFrame>
      <xdr:nvGraphicFramePr>
        <xdr:cNvPr id="2" name="Chart 3"/>
        <xdr:cNvGraphicFramePr/>
      </xdr:nvGraphicFramePr>
      <xdr:xfrm>
        <a:off x="0" y="8191440"/>
        <a:ext cx="39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42</xdr:row>
      <xdr:rowOff>130680</xdr:rowOff>
    </xdr:from>
    <xdr:to>
      <xdr:col>10</xdr:col>
      <xdr:colOff>1026000</xdr:colOff>
      <xdr:row>56</xdr:row>
      <xdr:rowOff>163440</xdr:rowOff>
    </xdr:to>
    <xdr:graphicFrame>
      <xdr:nvGraphicFramePr>
        <xdr:cNvPr id="3" name="Chart 4"/>
        <xdr:cNvGraphicFramePr/>
      </xdr:nvGraphicFramePr>
      <xdr:xfrm>
        <a:off x="8445600" y="8191440"/>
        <a:ext cx="39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63</xdr:row>
      <xdr:rowOff>18360</xdr:rowOff>
    </xdr:from>
    <xdr:to>
      <xdr:col>2</xdr:col>
      <xdr:colOff>3804120</xdr:colOff>
      <xdr:row>83</xdr:row>
      <xdr:rowOff>24120</xdr:rowOff>
    </xdr:to>
    <xdr:graphicFrame>
      <xdr:nvGraphicFramePr>
        <xdr:cNvPr id="4" name="Chart 1"/>
        <xdr:cNvGraphicFramePr/>
      </xdr:nvGraphicFramePr>
      <xdr:xfrm>
        <a:off x="622440" y="22860000"/>
        <a:ext cx="5759640" cy="381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32</xdr:row>
      <xdr:rowOff>18360</xdr:rowOff>
    </xdr:from>
    <xdr:to>
      <xdr:col>2</xdr:col>
      <xdr:colOff>3804120</xdr:colOff>
      <xdr:row>48</xdr:row>
      <xdr:rowOff>65880</xdr:rowOff>
    </xdr:to>
    <xdr:graphicFrame>
      <xdr:nvGraphicFramePr>
        <xdr:cNvPr id="5" name="Chart 1"/>
        <xdr:cNvGraphicFramePr/>
      </xdr:nvGraphicFramePr>
      <xdr:xfrm>
        <a:off x="622440" y="10667880"/>
        <a:ext cx="5759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30</xdr:row>
      <xdr:rowOff>18360</xdr:rowOff>
    </xdr:from>
    <xdr:to>
      <xdr:col>2</xdr:col>
      <xdr:colOff>3804120</xdr:colOff>
      <xdr:row>47</xdr:row>
      <xdr:rowOff>19440</xdr:rowOff>
    </xdr:to>
    <xdr:graphicFrame>
      <xdr:nvGraphicFramePr>
        <xdr:cNvPr id="6" name="Chart 1"/>
        <xdr:cNvGraphicFramePr/>
      </xdr:nvGraphicFramePr>
      <xdr:xfrm>
        <a:off x="622440" y="8381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42</xdr:row>
      <xdr:rowOff>18720</xdr:rowOff>
    </xdr:from>
    <xdr:to>
      <xdr:col>2</xdr:col>
      <xdr:colOff>3804120</xdr:colOff>
      <xdr:row>57</xdr:row>
      <xdr:rowOff>112680</xdr:rowOff>
    </xdr:to>
    <xdr:graphicFrame>
      <xdr:nvGraphicFramePr>
        <xdr:cNvPr id="7" name="Chart 1"/>
        <xdr:cNvGraphicFramePr/>
      </xdr:nvGraphicFramePr>
      <xdr:xfrm>
        <a:off x="622440" y="15430680"/>
        <a:ext cx="575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https://www.baunormenlexikon.de/norm/din-31051/8d1293a4-de10-49d4-9fee-0b415e6545a1" TargetMode="External"/><Relationship Id="rId2" Type="http://schemas.openxmlformats.org/officeDocument/2006/relationships/hyperlink" Target="https://www.buerklin.com/de/elektronik-kompetenz/instandhaltung/din-31051-grundlagen-der-instandhaltung/" TargetMode="External"/><Relationship Id="rId3" Type="http://schemas.openxmlformats.org/officeDocument/2006/relationships/hyperlink" Target="https://ihb.tuev-media.de/docs/din_en_13306.html" TargetMode="External"/><Relationship Id="rId4" Type="http://schemas.openxmlformats.org/officeDocument/2006/relationships/hyperlink" Target="https://blog.ccc-industriesoftware.de/kennzahlen-und-kpis-instandhaltung/" TargetMode="External"/><Relationship Id="rId5" Type="http://schemas.openxmlformats.org/officeDocument/2006/relationships/hyperlink" Target="https://comain.cloud/glossar/mttr-mtbf" TargetMode="External"/><Relationship Id="rId6" Type="http://schemas.openxmlformats.org/officeDocument/2006/relationships/hyperlink" Target="https://de.wikipedia.org/wiki/Gesamtanlageneffektivit&#228;t" TargetMode="External"/><Relationship Id="rId7" Type="http://schemas.openxmlformats.org/officeDocument/2006/relationships/hyperlink" Target="https://community.advisera.com/topic/total-productive-maintenance-in-iatf-16949/" TargetMode="External"/><Relationship Id="rId8" Type="http://schemas.openxmlformats.org/officeDocument/2006/relationships/hyperlink" Target="https://elsmar.com/elsmarqualityforum/threads/iatf-16949-section-8-5-1-5-total-productive-maintenance.70125/" TargetMode="External"/><Relationship Id="rId9" Type="http://schemas.openxmlformats.org/officeDocument/2006/relationships/hyperlink" Target="https://elsmar.com/elsmarqualityforum/threads/ts-16949-clause-7-5-1-4-preventive-and-predictive-maintenance-requirements-scope.54706/" TargetMode="External"/><Relationship Id="rId10" Type="http://schemas.openxmlformats.org/officeDocument/2006/relationships/hyperlink" Target="https://www.gesetze-im-internet.de/betrsichv_2015/BJNR004910015.html" TargetMode="External"/><Relationship Id="rId11" Type="http://schemas.openxmlformats.org/officeDocument/2006/relationships/hyperlink" Target="https://www.baua.de/DE/Angebote/Regelwerk/TRBS/pdf/TRBS-1112.pdf" TargetMode="External"/><Relationship Id="rId12" Type="http://schemas.openxmlformats.org/officeDocument/2006/relationships/hyperlink" Target="https://www.forum-verlag.com/fachwissen/elektrosicherheit-und-elektrotechnik/prueffristen-nach-dguv-v3/" TargetMode="External"/><Relationship Id="rId13" Type="http://schemas.openxmlformats.org/officeDocument/2006/relationships/hyperlink" Target="https://www.umweltbundesamt.de/system/files/medien/421/dokumente/info_awsv_dieter_wgk.pd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4ED8"/>
    <pageSetUpPr fitToPage="true"/>
  </sheetPr>
  <dimension ref="A1:P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7" min="7" style="0" width="9"/>
    <col collapsed="false" customWidth="true" hidden="false" outlineLevel="0" max="10" min="8" style="0" width="8"/>
    <col collapsed="false" customWidth="true" hidden="false" outlineLevel="0" max="11" min="11" style="0" width="14"/>
    <col collapsed="false" customWidth="true" hidden="false" outlineLevel="0" max="12" min="12" style="0" width="13"/>
    <col collapsed="false" customWidth="true" hidden="false" outlineLevel="0" max="13" min="13" style="0" width="1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C5" s="5"/>
      <c r="D5" s="6" t="s">
        <v>4</v>
      </c>
    </row>
    <row r="6" customFormat="false" ht="15" hidden="false" customHeight="false" outlineLevel="0" collapsed="false">
      <c r="A6" s="4" t="s">
        <v>5</v>
      </c>
      <c r="C6" s="7" t="n">
        <v>0.5</v>
      </c>
      <c r="D6" s="6" t="s">
        <v>6</v>
      </c>
    </row>
    <row r="7" customFormat="false" ht="15" hidden="false" customHeight="false" outlineLevel="0" collapsed="false">
      <c r="A7" s="4" t="s">
        <v>7</v>
      </c>
      <c r="C7" s="7" t="n">
        <v>0.85</v>
      </c>
      <c r="D7" s="6" t="s">
        <v>8</v>
      </c>
    </row>
    <row r="8" customFormat="false" ht="15" hidden="false" customHeight="false" outlineLevel="0" collapsed="false">
      <c r="A8" s="4" t="s">
        <v>9</v>
      </c>
      <c r="C8" s="7" t="n">
        <v>0.6</v>
      </c>
      <c r="D8" s="6" t="s">
        <v>8</v>
      </c>
    </row>
    <row r="11" customFormat="false" ht="15" hidden="false" customHeight="false" outlineLevel="0" collapsed="false">
      <c r="A11" s="3" t="s">
        <v>10</v>
      </c>
      <c r="O11" s="8" t="s">
        <v>11</v>
      </c>
    </row>
    <row r="12" customFormat="false" ht="15" hidden="false" customHeight="false" outlineLevel="0" collapsed="false">
      <c r="A12" s="9" t="s">
        <v>12</v>
      </c>
      <c r="B12" s="9" t="s">
        <v>13</v>
      </c>
      <c r="C12" s="9" t="s">
        <v>14</v>
      </c>
      <c r="D12" s="9" t="s">
        <v>15</v>
      </c>
      <c r="E12" s="9" t="s">
        <v>16</v>
      </c>
      <c r="F12" s="9" t="s">
        <v>17</v>
      </c>
      <c r="G12" s="9" t="s">
        <v>18</v>
      </c>
      <c r="H12" s="9" t="s">
        <v>19</v>
      </c>
      <c r="I12" s="9" t="s">
        <v>20</v>
      </c>
      <c r="J12" s="9" t="s">
        <v>21</v>
      </c>
      <c r="K12" s="9" t="s">
        <v>22</v>
      </c>
      <c r="L12" s="9" t="s">
        <v>23</v>
      </c>
      <c r="M12" s="9" t="s">
        <v>24</v>
      </c>
      <c r="O12" s="10" t="s">
        <v>25</v>
      </c>
      <c r="P12" s="10" t="n">
        <v>0</v>
      </c>
    </row>
    <row r="13" customFormat="false" ht="15" hidden="false" customHeight="false" outlineLevel="0" collapsed="false">
      <c r="A13" s="11" t="s">
        <v>26</v>
      </c>
      <c r="B13" s="12" t="str">
        <f aca="false">IF(Audit_Allgemein!C4="","–",Audit_Allgemein!C4)</f>
        <v>–</v>
      </c>
      <c r="C13" s="13" t="str">
        <f aca="false">IF(Audit_Allgemein!C6="","–",Audit_Allgemein!C6)</f>
        <v>–</v>
      </c>
      <c r="D13" s="12" t="str">
        <f aca="false">IF(Audit_Allgemein!C7="","–",Audit_Allgemein!C7)</f>
        <v>–</v>
      </c>
      <c r="E13" s="14" t="n">
        <v>39</v>
      </c>
      <c r="F13" s="15" t="n">
        <f aca="false">Audit_Allgemein!H4</f>
        <v>0</v>
      </c>
      <c r="G13" s="15" t="n">
        <f aca="false">Audit_Allgemein!H5</f>
        <v>0</v>
      </c>
      <c r="H13" s="15" t="n">
        <f aca="false">Audit_Allgemein!H6</f>
        <v>0</v>
      </c>
      <c r="I13" s="15" t="n">
        <f aca="false">Audit_Allgemein!H7</f>
        <v>0</v>
      </c>
      <c r="J13" s="15" t="n">
        <f aca="false">Audit_Allgemein!H8</f>
        <v>39</v>
      </c>
      <c r="K13" s="16" t="str">
        <f aca="false">Audit_Allgemein!I5</f>
        <v/>
      </c>
      <c r="L13" s="17" t="str">
        <f aca="false">Audit_Allgemein!I7</f>
        <v>nicht bewertet</v>
      </c>
      <c r="M13" s="15" t="n">
        <f aca="false">COUNTIF(Audit_Allgemein!E12:E50,"N.I.O")+COUNTIF(Audit_Allgemein!E12:E50,"bed. OK")</f>
        <v>0</v>
      </c>
      <c r="O13" s="10" t="s">
        <v>27</v>
      </c>
      <c r="P13" s="10" t="n">
        <f aca="false">P12+M13</f>
        <v>0</v>
      </c>
    </row>
    <row r="14" customFormat="false" ht="15" hidden="false" customHeight="false" outlineLevel="0" collapsed="false">
      <c r="A14" s="11" t="s">
        <v>28</v>
      </c>
      <c r="B14" s="12" t="str">
        <f aca="false">IF(Audit_Maschine!C4="","–",Audit_Maschine!C4)</f>
        <v>–</v>
      </c>
      <c r="C14" s="13" t="str">
        <f aca="false">IF(Audit_Maschine!C6="","–",Audit_Maschine!C6)</f>
        <v>–</v>
      </c>
      <c r="D14" s="12" t="str">
        <f aca="false">IF(Audit_Maschine!C7="","–",Audit_Maschine!C7)</f>
        <v>–</v>
      </c>
      <c r="E14" s="14" t="n">
        <v>13</v>
      </c>
      <c r="F14" s="15" t="n">
        <f aca="false">Audit_Maschine!H4</f>
        <v>0</v>
      </c>
      <c r="G14" s="15" t="n">
        <f aca="false">Audit_Maschine!H5</f>
        <v>0</v>
      </c>
      <c r="H14" s="15" t="n">
        <f aca="false">Audit_Maschine!H6</f>
        <v>0</v>
      </c>
      <c r="I14" s="15" t="n">
        <f aca="false">Audit_Maschine!H7</f>
        <v>0</v>
      </c>
      <c r="J14" s="15" t="n">
        <f aca="false">Audit_Maschine!H8</f>
        <v>13</v>
      </c>
      <c r="K14" s="16" t="str">
        <f aca="false">Audit_Maschine!I5</f>
        <v/>
      </c>
      <c r="L14" s="17" t="str">
        <f aca="false">Audit_Maschine!I7</f>
        <v>nicht bewertet</v>
      </c>
      <c r="M14" s="15" t="n">
        <f aca="false">COUNTIF(Audit_Maschine!E12:E24,"N.I.O")+COUNTIF(Audit_Maschine!E12:E24,"bed. OK")</f>
        <v>0</v>
      </c>
      <c r="O14" s="10" t="s">
        <v>29</v>
      </c>
      <c r="P14" s="10" t="n">
        <f aca="false">P13+M14</f>
        <v>0</v>
      </c>
    </row>
    <row r="15" customFormat="false" ht="15" hidden="false" customHeight="false" outlineLevel="0" collapsed="false">
      <c r="A15" s="11" t="s">
        <v>30</v>
      </c>
      <c r="B15" s="12" t="str">
        <f aca="false">IF(Audit_Werkzeuge!C4="","–",Audit_Werkzeuge!C4)</f>
        <v>–</v>
      </c>
      <c r="C15" s="13" t="str">
        <f aca="false">IF(Audit_Werkzeuge!C6="","–",Audit_Werkzeuge!C6)</f>
        <v>–</v>
      </c>
      <c r="D15" s="12" t="str">
        <f aca="false">IF(Audit_Werkzeuge!C7="","–",Audit_Werkzeuge!C7)</f>
        <v>–</v>
      </c>
      <c r="E15" s="14" t="n">
        <v>10</v>
      </c>
      <c r="F15" s="15" t="n">
        <f aca="false">Audit_Werkzeuge!H4</f>
        <v>0</v>
      </c>
      <c r="G15" s="15" t="n">
        <f aca="false">Audit_Werkzeuge!H5</f>
        <v>0</v>
      </c>
      <c r="H15" s="15" t="n">
        <f aca="false">Audit_Werkzeuge!H6</f>
        <v>0</v>
      </c>
      <c r="I15" s="15" t="n">
        <f aca="false">Audit_Werkzeuge!H7</f>
        <v>0</v>
      </c>
      <c r="J15" s="15" t="n">
        <f aca="false">Audit_Werkzeuge!H8</f>
        <v>10</v>
      </c>
      <c r="K15" s="16" t="str">
        <f aca="false">Audit_Werkzeuge!I5</f>
        <v/>
      </c>
      <c r="L15" s="17" t="str">
        <f aca="false">Audit_Werkzeuge!I7</f>
        <v>nicht bewertet</v>
      </c>
      <c r="M15" s="15" t="n">
        <f aca="false">COUNTIF(Audit_Werkzeuge!E12:E21,"N.I.O")+COUNTIF(Audit_Werkzeuge!E12:E21,"bed. OK")</f>
        <v>0</v>
      </c>
      <c r="O15" s="10" t="s">
        <v>31</v>
      </c>
      <c r="P15" s="10" t="n">
        <f aca="false">P14+M15</f>
        <v>0</v>
      </c>
    </row>
    <row r="16" customFormat="false" ht="15" hidden="false" customHeight="false" outlineLevel="0" collapsed="false">
      <c r="A16" s="11" t="s">
        <v>32</v>
      </c>
      <c r="B16" s="12" t="str">
        <f aca="false">IF(Audit_Kompakt!C4="","–",Audit_Kompakt!C4)</f>
        <v>–</v>
      </c>
      <c r="C16" s="13" t="str">
        <f aca="false">IF(Audit_Kompakt!C6="","–",Audit_Kompakt!C6)</f>
        <v>–</v>
      </c>
      <c r="D16" s="12" t="str">
        <f aca="false">IF(Audit_Kompakt!C7="","–",Audit_Kompakt!C7)</f>
        <v>–</v>
      </c>
      <c r="E16" s="14" t="n">
        <v>24</v>
      </c>
      <c r="F16" s="15" t="n">
        <f aca="false">Audit_Kompakt!H4</f>
        <v>0</v>
      </c>
      <c r="G16" s="15" t="n">
        <f aca="false">Audit_Kompakt!H5</f>
        <v>0</v>
      </c>
      <c r="H16" s="15" t="n">
        <f aca="false">Audit_Kompakt!H6</f>
        <v>0</v>
      </c>
      <c r="I16" s="15" t="n">
        <f aca="false">Audit_Kompakt!H7</f>
        <v>0</v>
      </c>
      <c r="J16" s="15" t="n">
        <f aca="false">Audit_Kompakt!H8</f>
        <v>24</v>
      </c>
      <c r="K16" s="16" t="str">
        <f aca="false">Audit_Kompakt!I5</f>
        <v/>
      </c>
      <c r="L16" s="17" t="str">
        <f aca="false">Audit_Kompakt!I7</f>
        <v>nicht bewertet</v>
      </c>
      <c r="M16" s="15" t="n">
        <f aca="false">COUNTIF(Audit_Kompakt!E12:E35,"N.I.O")+COUNTIF(Audit_Kompakt!E12:E35,"bed. OK")</f>
        <v>0</v>
      </c>
    </row>
    <row r="17" customFormat="false" ht="15" hidden="false" customHeight="false" outlineLevel="0" collapsed="false">
      <c r="A17" s="18" t="s">
        <v>33</v>
      </c>
      <c r="B17" s="18"/>
      <c r="C17" s="18"/>
      <c r="D17" s="18"/>
      <c r="E17" s="19" t="n">
        <f aca="false">SUM(E13:E16)</f>
        <v>86</v>
      </c>
      <c r="F17" s="19" t="n">
        <f aca="false">SUM(F13:F16)</f>
        <v>0</v>
      </c>
      <c r="G17" s="19" t="n">
        <f aca="false">SUM(G13:G16)</f>
        <v>0</v>
      </c>
      <c r="H17" s="19" t="n">
        <f aca="false">SUM(H13:H16)</f>
        <v>0</v>
      </c>
      <c r="I17" s="19" t="n">
        <f aca="false">SUM(I13:I16)</f>
        <v>0</v>
      </c>
      <c r="J17" s="19" t="n">
        <f aca="false">SUM(J13:J16)</f>
        <v>86</v>
      </c>
      <c r="K17" s="20" t="str">
        <f aca="false">IFERROR((H17+Gewicht_bedOK*G17)/(F17+G17+H17),"")</f>
        <v/>
      </c>
      <c r="L17" s="21" t="str">
        <f aca="false">IF(K17="","nicht bewertet",IF(K17&gt;=Ampel_gruen,"gut",IF(K17&gt;=Ampel_gelb,"mittel","kritisch")))</f>
        <v>nicht bewertet</v>
      </c>
      <c r="M17" s="19" t="n">
        <f aca="false">SUM(M13:M16)</f>
        <v>0</v>
      </c>
    </row>
    <row r="20" customFormat="false" ht="15" hidden="false" customHeight="false" outlineLevel="0" collapsed="false">
      <c r="A20" s="3" t="s">
        <v>34</v>
      </c>
      <c r="D20" s="3" t="s">
        <v>35</v>
      </c>
    </row>
    <row r="21" customFormat="false" ht="15" hidden="false" customHeight="false" outlineLevel="0" collapsed="false">
      <c r="A21" s="9" t="s">
        <v>36</v>
      </c>
      <c r="B21" s="9" t="s">
        <v>37</v>
      </c>
      <c r="D21" s="9" t="s">
        <v>38</v>
      </c>
      <c r="E21" s="9" t="s">
        <v>37</v>
      </c>
    </row>
    <row r="22" customFormat="false" ht="15" hidden="false" customHeight="false" outlineLevel="0" collapsed="false">
      <c r="A22" s="22" t="s">
        <v>39</v>
      </c>
      <c r="B22" s="23" t="n">
        <f aca="false">COUNTIF(Audit_Allgemein!J12:J50,"überfällig")+COUNTIF(Audit_Maschine!J12:J24,"überfällig")+COUNTIF(Audit_Werkzeuge!J12:J21,"überfällig")+COUNTIF(Audit_Kompakt!J12:J35,"überfällig")</f>
        <v>0</v>
      </c>
      <c r="D22" s="22" t="s">
        <v>40</v>
      </c>
      <c r="E22" s="23" t="n">
        <f aca="false">COUNTIF(Maschinen!$T$5:$T$24,"A*")</f>
        <v>2</v>
      </c>
    </row>
    <row r="23" customFormat="false" ht="15" hidden="false" customHeight="false" outlineLevel="0" collapsed="false">
      <c r="A23" s="22" t="s">
        <v>21</v>
      </c>
      <c r="B23" s="23" t="n">
        <f aca="false">COUNTIF(Audit_Allgemein!J12:J50,"offen")+COUNTIF(Audit_Maschine!J12:J24,"offen")+COUNTIF(Audit_Werkzeuge!J12:J21,"offen")+COUNTIF(Audit_Kompakt!J12:J35,"offen")</f>
        <v>0</v>
      </c>
      <c r="D23" s="22" t="s">
        <v>41</v>
      </c>
      <c r="E23" s="23" t="n">
        <f aca="false">COUNTIF(Maschinen!$T$5:$T$24,"B*")</f>
        <v>1</v>
      </c>
    </row>
    <row r="24" customFormat="false" ht="15" hidden="false" customHeight="false" outlineLevel="0" collapsed="false">
      <c r="A24" s="22" t="s">
        <v>42</v>
      </c>
      <c r="B24" s="23" t="n">
        <f aca="false">COUNTIF(Audit_Allgemein!J12:J50,"erledigt")+COUNTIF(Audit_Maschine!J12:J24,"erledigt")+COUNTIF(Audit_Werkzeuge!J12:J21,"erledigt")+COUNTIF(Audit_Kompakt!J12:J35,"erledigt")</f>
        <v>0</v>
      </c>
      <c r="D24" s="22" t="s">
        <v>43</v>
      </c>
      <c r="E24" s="23" t="n">
        <f aca="false">COUNTIF(Maschinen!$T$5:$T$24,"C*")</f>
        <v>0</v>
      </c>
    </row>
    <row r="25" customFormat="false" ht="15" hidden="false" customHeight="false" outlineLevel="0" collapsed="false">
      <c r="D25" s="22" t="s">
        <v>44</v>
      </c>
      <c r="E25" s="23" t="n">
        <f aca="false">COUNTIF(Maschinen!$B$5:$B$24,"?*")-SUM(E22:E24)</f>
        <v>1</v>
      </c>
    </row>
  </sheetData>
  <conditionalFormatting sqref="K13:L17">
    <cfRule type="expression" priority="2" aboveAverage="0" equalAverage="0" bottom="0" percent="0" rank="0" text="" dxfId="0">
      <formula>AND($K13&lt;&gt;"",$K13&gt;=Ampel_gruen)</formula>
    </cfRule>
    <cfRule type="expression" priority="3" aboveAverage="0" equalAverage="0" bottom="0" percent="0" rank="0" text="" dxfId="1">
      <formula>AND($K13&lt;&gt;"",$K13&gt;=Ampel_gelb,$K13&lt;Ampel_gruen)</formula>
    </cfRule>
    <cfRule type="expression" priority="4" aboveAverage="0" equalAverage="0" bottom="0" percent="0" rank="0" text="" dxfId="2">
      <formula>AND($K13&lt;&gt;"",$K13&lt;Ampel_gelb)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3A13D"/>
    <pageSetUpPr fitToPage="true"/>
  </sheetPr>
  <dimension ref="A1:K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1" topLeftCell="C12" activePane="bottomRight" state="frozen"/>
      <selection pane="topLeft" activeCell="A1" activeCellId="0" sqref="A1"/>
      <selection pane="topRight" activeCell="C1" activeCellId="0" sqref="C1"/>
      <selection pane="bottomLeft" activeCell="A12" activeCellId="0" sqref="A1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52"/>
    <col collapsed="false" customWidth="true" hidden="false" outlineLevel="0" max="4" min="4" style="0" width="32"/>
    <col collapsed="false" customWidth="true" hidden="false" outlineLevel="0" max="5" min="5" style="0" width="12"/>
    <col collapsed="false" customWidth="true" hidden="false" outlineLevel="0" max="6" min="6" style="0" width="38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9"/>
  </cols>
  <sheetData>
    <row r="1" customFormat="false" ht="19.7" hidden="false" customHeight="false" outlineLevel="0" collapsed="false">
      <c r="A1" s="1" t="s">
        <v>45</v>
      </c>
    </row>
    <row r="2" customFormat="false" ht="15" hidden="false" customHeight="false" outlineLevel="0" collapsed="false">
      <c r="A2" s="2" t="s">
        <v>46</v>
      </c>
    </row>
    <row r="3" customFormat="false" ht="15" hidden="false" customHeight="false" outlineLevel="0" collapsed="false">
      <c r="G3" s="24" t="s">
        <v>47</v>
      </c>
    </row>
    <row r="4" customFormat="false" ht="15" hidden="false" customHeight="false" outlineLevel="0" collapsed="false">
      <c r="A4" s="25" t="s">
        <v>48</v>
      </c>
      <c r="C4" s="5"/>
      <c r="D4" s="5"/>
      <c r="G4" s="26" t="s">
        <v>17</v>
      </c>
      <c r="H4" s="27" t="n">
        <f aca="false">COUNTIF($E$12:$E$50,"N.I.O")</f>
        <v>0</v>
      </c>
      <c r="I4" s="25" t="s">
        <v>22</v>
      </c>
    </row>
    <row r="5" customFormat="false" ht="15" hidden="false" customHeight="false" outlineLevel="0" collapsed="false">
      <c r="A5" s="25" t="s">
        <v>49</v>
      </c>
      <c r="C5" s="5"/>
      <c r="D5" s="5"/>
      <c r="G5" s="26" t="s">
        <v>18</v>
      </c>
      <c r="H5" s="27" t="n">
        <f aca="false">COUNTIF($E$12:$E$50,"bed. OK")</f>
        <v>0</v>
      </c>
      <c r="I5" s="28" t="str">
        <f aca="false">IFERROR((H6+Gewicht_bedOK*H5)/(H4+H5+H6),"")</f>
        <v/>
      </c>
      <c r="J5" s="28"/>
    </row>
    <row r="6" customFormat="false" ht="15" hidden="false" customHeight="false" outlineLevel="0" collapsed="false">
      <c r="A6" s="25" t="s">
        <v>14</v>
      </c>
      <c r="C6" s="29"/>
      <c r="D6" s="29"/>
      <c r="G6" s="26" t="s">
        <v>19</v>
      </c>
      <c r="H6" s="27" t="n">
        <f aca="false">COUNTIF($E$12:$E$50,"OK")</f>
        <v>0</v>
      </c>
      <c r="I6" s="28"/>
      <c r="J6" s="28"/>
    </row>
    <row r="7" customFormat="false" ht="15" hidden="false" customHeight="false" outlineLevel="0" collapsed="false">
      <c r="A7" s="25" t="s">
        <v>15</v>
      </c>
      <c r="C7" s="5"/>
      <c r="D7" s="5"/>
      <c r="G7" s="26" t="s">
        <v>20</v>
      </c>
      <c r="H7" s="27" t="n">
        <f aca="false">COUNTIF($E$12:$E$50,"n. b.")</f>
        <v>0</v>
      </c>
      <c r="I7" s="30" t="str">
        <f aca="false">IF(I5="","nicht bewertet",IF(I5&gt;=Ampel_gruen,"gut",IF(I5&gt;=Ampel_gelb,"mittel","kritisch")))</f>
        <v>nicht bewertet</v>
      </c>
      <c r="J7" s="30"/>
    </row>
    <row r="8" customFormat="false" ht="15" hidden="false" customHeight="false" outlineLevel="0" collapsed="false">
      <c r="A8" s="25" t="s">
        <v>48</v>
      </c>
      <c r="C8" s="5"/>
      <c r="D8" s="5"/>
      <c r="G8" s="26" t="s">
        <v>21</v>
      </c>
      <c r="H8" s="27" t="n">
        <f aca="false">39-SUM(H4:H7)</f>
        <v>39</v>
      </c>
    </row>
    <row r="9" customFormat="false" ht="15" hidden="false" customHeight="false" outlineLevel="0" collapsed="false">
      <c r="G9" s="6" t="s">
        <v>50</v>
      </c>
    </row>
    <row r="11" customFormat="false" ht="15" hidden="false" customHeight="false" outlineLevel="0" collapsed="false">
      <c r="A11" s="9" t="s">
        <v>51</v>
      </c>
      <c r="B11" s="9" t="s">
        <v>52</v>
      </c>
      <c r="C11" s="9" t="s">
        <v>53</v>
      </c>
      <c r="D11" s="9" t="s">
        <v>54</v>
      </c>
      <c r="E11" s="9" t="s">
        <v>55</v>
      </c>
      <c r="F11" s="9" t="s">
        <v>56</v>
      </c>
      <c r="G11" s="9" t="s">
        <v>57</v>
      </c>
      <c r="H11" s="9" t="s">
        <v>58</v>
      </c>
      <c r="I11" s="9" t="s">
        <v>59</v>
      </c>
      <c r="J11" s="9" t="s">
        <v>36</v>
      </c>
      <c r="K11" s="9" t="s">
        <v>60</v>
      </c>
    </row>
    <row r="12" customFormat="false" ht="45" hidden="false" customHeight="true" outlineLevel="0" collapsed="false">
      <c r="A12" s="31" t="s">
        <v>61</v>
      </c>
      <c r="B12" s="32" t="s">
        <v>62</v>
      </c>
      <c r="C12" s="32" t="s">
        <v>63</v>
      </c>
      <c r="D12" s="33" t="s">
        <v>64</v>
      </c>
      <c r="E12" s="34"/>
      <c r="F12" s="35"/>
      <c r="G12" s="34"/>
      <c r="H12" s="36"/>
      <c r="I12" s="34"/>
      <c r="J12" s="37" t="str">
        <f aca="true">IF(OR(E12="N.I.O",E12="bed. OK"),IF(I12="ja","erledigt",IF(AND(H12&lt;&gt;"",H12&lt;TODAY()),"überfällig","offen")),"")</f>
        <v/>
      </c>
      <c r="K12" s="38" t="str">
        <f aca="false">IF(OR(E12="N.I.O",E12="bed. OK"),Offset_allg+COUNTIF($E$12:E12,"N.I.O")+COUNTIF($E$12:E12,"bed. OK"),"")</f>
        <v/>
      </c>
    </row>
    <row r="13" customFormat="false" ht="45" hidden="false" customHeight="true" outlineLevel="0" collapsed="false">
      <c r="A13" s="31" t="s">
        <v>65</v>
      </c>
      <c r="B13" s="32" t="s">
        <v>62</v>
      </c>
      <c r="C13" s="32" t="s">
        <v>66</v>
      </c>
      <c r="D13" s="33" t="s">
        <v>67</v>
      </c>
      <c r="E13" s="34"/>
      <c r="F13" s="35"/>
      <c r="G13" s="34"/>
      <c r="H13" s="36"/>
      <c r="I13" s="34"/>
      <c r="J13" s="37" t="str">
        <f aca="true">IF(OR(E13="N.I.O",E13="bed. OK"),IF(I13="ja","erledigt",IF(AND(H13&lt;&gt;"",H13&lt;TODAY()),"überfällig","offen")),"")</f>
        <v/>
      </c>
      <c r="K13" s="38" t="str">
        <f aca="false">IF(OR(E13="N.I.O",E13="bed. OK"),Offset_allg+COUNTIF($E$12:E13,"N.I.O")+COUNTIF($E$12:E13,"bed. OK"),"")</f>
        <v/>
      </c>
    </row>
    <row r="14" customFormat="false" ht="45" hidden="false" customHeight="true" outlineLevel="0" collapsed="false">
      <c r="A14" s="31" t="s">
        <v>68</v>
      </c>
      <c r="B14" s="32" t="s">
        <v>62</v>
      </c>
      <c r="C14" s="32" t="s">
        <v>69</v>
      </c>
      <c r="D14" s="33" t="s">
        <v>70</v>
      </c>
      <c r="E14" s="34"/>
      <c r="F14" s="35"/>
      <c r="G14" s="34"/>
      <c r="H14" s="36"/>
      <c r="I14" s="34"/>
      <c r="J14" s="37" t="str">
        <f aca="true">IF(OR(E14="N.I.O",E14="bed. OK"),IF(I14="ja","erledigt",IF(AND(H14&lt;&gt;"",H14&lt;TODAY()),"überfällig","offen")),"")</f>
        <v/>
      </c>
      <c r="K14" s="38" t="str">
        <f aca="false">IF(OR(E14="N.I.O",E14="bed. OK"),Offset_allg+COUNTIF($E$12:E14,"N.I.O")+COUNTIF($E$12:E14,"bed. OK"),"")</f>
        <v/>
      </c>
    </row>
    <row r="15" customFormat="false" ht="45" hidden="false" customHeight="true" outlineLevel="0" collapsed="false">
      <c r="A15" s="31" t="s">
        <v>71</v>
      </c>
      <c r="B15" s="32" t="s">
        <v>62</v>
      </c>
      <c r="C15" s="32" t="s">
        <v>72</v>
      </c>
      <c r="D15" s="33" t="s">
        <v>73</v>
      </c>
      <c r="E15" s="34"/>
      <c r="F15" s="35"/>
      <c r="G15" s="34"/>
      <c r="H15" s="36"/>
      <c r="I15" s="34"/>
      <c r="J15" s="37" t="str">
        <f aca="true">IF(OR(E15="N.I.O",E15="bed. OK"),IF(I15="ja","erledigt",IF(AND(H15&lt;&gt;"",H15&lt;TODAY()),"überfällig","offen")),"")</f>
        <v/>
      </c>
      <c r="K15" s="38" t="str">
        <f aca="false">IF(OR(E15="N.I.O",E15="bed. OK"),Offset_allg+COUNTIF($E$12:E15,"N.I.O")+COUNTIF($E$12:E15,"bed. OK"),"")</f>
        <v/>
      </c>
    </row>
    <row r="16" customFormat="false" ht="30" hidden="false" customHeight="true" outlineLevel="0" collapsed="false">
      <c r="A16" s="31" t="s">
        <v>74</v>
      </c>
      <c r="B16" s="32" t="s">
        <v>62</v>
      </c>
      <c r="C16" s="32" t="s">
        <v>75</v>
      </c>
      <c r="D16" s="33"/>
      <c r="E16" s="34"/>
      <c r="F16" s="35"/>
      <c r="G16" s="34"/>
      <c r="H16" s="36"/>
      <c r="I16" s="34"/>
      <c r="J16" s="37" t="str">
        <f aca="true">IF(OR(E16="N.I.O",E16="bed. OK"),IF(I16="ja","erledigt",IF(AND(H16&lt;&gt;"",H16&lt;TODAY()),"überfällig","offen")),"")</f>
        <v/>
      </c>
      <c r="K16" s="38" t="str">
        <f aca="false">IF(OR(E16="N.I.O",E16="bed. OK"),Offset_allg+COUNTIF($E$12:E16,"N.I.O")+COUNTIF($E$12:E16,"bed. OK"),"")</f>
        <v/>
      </c>
    </row>
    <row r="17" customFormat="false" ht="30" hidden="false" customHeight="true" outlineLevel="0" collapsed="false">
      <c r="A17" s="31" t="s">
        <v>76</v>
      </c>
      <c r="B17" s="32" t="s">
        <v>62</v>
      </c>
      <c r="C17" s="32" t="s">
        <v>77</v>
      </c>
      <c r="D17" s="33"/>
      <c r="E17" s="34"/>
      <c r="F17" s="35"/>
      <c r="G17" s="34"/>
      <c r="H17" s="36"/>
      <c r="I17" s="34"/>
      <c r="J17" s="37" t="str">
        <f aca="true">IF(OR(E17="N.I.O",E17="bed. OK"),IF(I17="ja","erledigt",IF(AND(H17&lt;&gt;"",H17&lt;TODAY()),"überfällig","offen")),"")</f>
        <v/>
      </c>
      <c r="K17" s="38" t="str">
        <f aca="false">IF(OR(E17="N.I.O",E17="bed. OK"),Offset_allg+COUNTIF($E$12:E17,"N.I.O")+COUNTIF($E$12:E17,"bed. OK"),"")</f>
        <v/>
      </c>
    </row>
    <row r="18" customFormat="false" ht="45" hidden="false" customHeight="true" outlineLevel="0" collapsed="false">
      <c r="A18" s="31" t="s">
        <v>78</v>
      </c>
      <c r="B18" s="32" t="s">
        <v>62</v>
      </c>
      <c r="C18" s="32" t="s">
        <v>79</v>
      </c>
      <c r="D18" s="33"/>
      <c r="E18" s="34"/>
      <c r="F18" s="35"/>
      <c r="G18" s="34"/>
      <c r="H18" s="36"/>
      <c r="I18" s="34"/>
      <c r="J18" s="37" t="str">
        <f aca="true">IF(OR(E18="N.I.O",E18="bed. OK"),IF(I18="ja","erledigt",IF(AND(H18&lt;&gt;"",H18&lt;TODAY()),"überfällig","offen")),"")</f>
        <v/>
      </c>
      <c r="K18" s="38" t="str">
        <f aca="false">IF(OR(E18="N.I.O",E18="bed. OK"),Offset_allg+COUNTIF($E$12:E18,"N.I.O")+COUNTIF($E$12:E18,"bed. OK"),"")</f>
        <v/>
      </c>
    </row>
    <row r="19" customFormat="false" ht="45" hidden="false" customHeight="true" outlineLevel="0" collapsed="false">
      <c r="A19" s="31" t="s">
        <v>80</v>
      </c>
      <c r="B19" s="32" t="s">
        <v>81</v>
      </c>
      <c r="C19" s="32" t="s">
        <v>82</v>
      </c>
      <c r="D19" s="33" t="s">
        <v>83</v>
      </c>
      <c r="E19" s="34"/>
      <c r="F19" s="35"/>
      <c r="G19" s="34"/>
      <c r="H19" s="36"/>
      <c r="I19" s="34"/>
      <c r="J19" s="37" t="str">
        <f aca="true">IF(OR(E19="N.I.O",E19="bed. OK"),IF(I19="ja","erledigt",IF(AND(H19&lt;&gt;"",H19&lt;TODAY()),"überfällig","offen")),"")</f>
        <v/>
      </c>
      <c r="K19" s="38" t="str">
        <f aca="false">IF(OR(E19="N.I.O",E19="bed. OK"),Offset_allg+COUNTIF($E$12:E19,"N.I.O")+COUNTIF($E$12:E19,"bed. OK"),"")</f>
        <v/>
      </c>
    </row>
    <row r="20" customFormat="false" ht="45" hidden="false" customHeight="true" outlineLevel="0" collapsed="false">
      <c r="A20" s="31" t="s">
        <v>84</v>
      </c>
      <c r="B20" s="32" t="s">
        <v>81</v>
      </c>
      <c r="C20" s="32" t="s">
        <v>85</v>
      </c>
      <c r="D20" s="33" t="s">
        <v>86</v>
      </c>
      <c r="E20" s="34"/>
      <c r="F20" s="35"/>
      <c r="G20" s="34"/>
      <c r="H20" s="36"/>
      <c r="I20" s="34"/>
      <c r="J20" s="37" t="str">
        <f aca="true">IF(OR(E20="N.I.O",E20="bed. OK"),IF(I20="ja","erledigt",IF(AND(H20&lt;&gt;"",H20&lt;TODAY()),"überfällig","offen")),"")</f>
        <v/>
      </c>
      <c r="K20" s="38" t="str">
        <f aca="false">IF(OR(E20="N.I.O",E20="bed. OK"),Offset_allg+COUNTIF($E$12:E20,"N.I.O")+COUNTIF($E$12:E20,"bed. OK"),"")</f>
        <v/>
      </c>
    </row>
    <row r="21" customFormat="false" ht="30" hidden="false" customHeight="true" outlineLevel="0" collapsed="false">
      <c r="A21" s="31" t="s">
        <v>87</v>
      </c>
      <c r="B21" s="32" t="s">
        <v>81</v>
      </c>
      <c r="C21" s="32" t="s">
        <v>88</v>
      </c>
      <c r="D21" s="33" t="s">
        <v>89</v>
      </c>
      <c r="E21" s="34"/>
      <c r="F21" s="35"/>
      <c r="G21" s="34"/>
      <c r="H21" s="36"/>
      <c r="I21" s="34"/>
      <c r="J21" s="37" t="str">
        <f aca="true">IF(OR(E21="N.I.O",E21="bed. OK"),IF(I21="ja","erledigt",IF(AND(H21&lt;&gt;"",H21&lt;TODAY()),"überfällig","offen")),"")</f>
        <v/>
      </c>
      <c r="K21" s="38" t="str">
        <f aca="false">IF(OR(E21="N.I.O",E21="bed. OK"),Offset_allg+COUNTIF($E$12:E21,"N.I.O")+COUNTIF($E$12:E21,"bed. OK"),"")</f>
        <v/>
      </c>
    </row>
    <row r="22" customFormat="false" ht="45" hidden="false" customHeight="true" outlineLevel="0" collapsed="false">
      <c r="A22" s="31" t="s">
        <v>90</v>
      </c>
      <c r="B22" s="32" t="s">
        <v>81</v>
      </c>
      <c r="C22" s="32" t="s">
        <v>91</v>
      </c>
      <c r="D22" s="33" t="s">
        <v>92</v>
      </c>
      <c r="E22" s="34"/>
      <c r="F22" s="35"/>
      <c r="G22" s="34"/>
      <c r="H22" s="36"/>
      <c r="I22" s="34"/>
      <c r="J22" s="37" t="str">
        <f aca="true">IF(OR(E22="N.I.O",E22="bed. OK"),IF(I22="ja","erledigt",IF(AND(H22&lt;&gt;"",H22&lt;TODAY()),"überfällig","offen")),"")</f>
        <v/>
      </c>
      <c r="K22" s="38" t="str">
        <f aca="false">IF(OR(E22="N.I.O",E22="bed. OK"),Offset_allg+COUNTIF($E$12:E22,"N.I.O")+COUNTIF($E$12:E22,"bed. OK"),"")</f>
        <v/>
      </c>
    </row>
    <row r="23" customFormat="false" ht="45" hidden="false" customHeight="true" outlineLevel="0" collapsed="false">
      <c r="A23" s="31" t="s">
        <v>93</v>
      </c>
      <c r="B23" s="32" t="s">
        <v>81</v>
      </c>
      <c r="C23" s="32" t="s">
        <v>94</v>
      </c>
      <c r="D23" s="33" t="s">
        <v>95</v>
      </c>
      <c r="E23" s="34"/>
      <c r="F23" s="35"/>
      <c r="G23" s="34"/>
      <c r="H23" s="36"/>
      <c r="I23" s="34"/>
      <c r="J23" s="37" t="str">
        <f aca="true">IF(OR(E23="N.I.O",E23="bed. OK"),IF(I23="ja","erledigt",IF(AND(H23&lt;&gt;"",H23&lt;TODAY()),"überfällig","offen")),"")</f>
        <v/>
      </c>
      <c r="K23" s="38" t="str">
        <f aca="false">IF(OR(E23="N.I.O",E23="bed. OK"),Offset_allg+COUNTIF($E$12:E23,"N.I.O")+COUNTIF($E$12:E23,"bed. OK"),"")</f>
        <v/>
      </c>
    </row>
    <row r="24" customFormat="false" ht="45" hidden="false" customHeight="true" outlineLevel="0" collapsed="false">
      <c r="A24" s="31" t="s">
        <v>96</v>
      </c>
      <c r="B24" s="32" t="s">
        <v>81</v>
      </c>
      <c r="C24" s="32" t="s">
        <v>97</v>
      </c>
      <c r="D24" s="33" t="s">
        <v>98</v>
      </c>
      <c r="E24" s="34"/>
      <c r="F24" s="35"/>
      <c r="G24" s="34"/>
      <c r="H24" s="36"/>
      <c r="I24" s="34"/>
      <c r="J24" s="37" t="str">
        <f aca="true">IF(OR(E24="N.I.O",E24="bed. OK"),IF(I24="ja","erledigt",IF(AND(H24&lt;&gt;"",H24&lt;TODAY()),"überfällig","offen")),"")</f>
        <v/>
      </c>
      <c r="K24" s="38" t="str">
        <f aca="false">IF(OR(E24="N.I.O",E24="bed. OK"),Offset_allg+COUNTIF($E$12:E24,"N.I.O")+COUNTIF($E$12:E24,"bed. OK"),"")</f>
        <v/>
      </c>
    </row>
    <row r="25" customFormat="false" ht="45" hidden="false" customHeight="true" outlineLevel="0" collapsed="false">
      <c r="A25" s="31" t="s">
        <v>99</v>
      </c>
      <c r="B25" s="32" t="s">
        <v>81</v>
      </c>
      <c r="C25" s="32" t="s">
        <v>100</v>
      </c>
      <c r="D25" s="33" t="s">
        <v>101</v>
      </c>
      <c r="E25" s="34"/>
      <c r="F25" s="35"/>
      <c r="G25" s="34"/>
      <c r="H25" s="36"/>
      <c r="I25" s="34"/>
      <c r="J25" s="37" t="str">
        <f aca="true">IF(OR(E25="N.I.O",E25="bed. OK"),IF(I25="ja","erledigt",IF(AND(H25&lt;&gt;"",H25&lt;TODAY()),"überfällig","offen")),"")</f>
        <v/>
      </c>
      <c r="K25" s="38" t="str">
        <f aca="false">IF(OR(E25="N.I.O",E25="bed. OK"),Offset_allg+COUNTIF($E$12:E25,"N.I.O")+COUNTIF($E$12:E25,"bed. OK"),"")</f>
        <v/>
      </c>
    </row>
    <row r="26" customFormat="false" ht="45" hidden="false" customHeight="true" outlineLevel="0" collapsed="false">
      <c r="A26" s="31" t="s">
        <v>102</v>
      </c>
      <c r="B26" s="32" t="s">
        <v>81</v>
      </c>
      <c r="C26" s="32" t="s">
        <v>103</v>
      </c>
      <c r="D26" s="33" t="s">
        <v>104</v>
      </c>
      <c r="E26" s="34"/>
      <c r="F26" s="35"/>
      <c r="G26" s="34"/>
      <c r="H26" s="36"/>
      <c r="I26" s="34"/>
      <c r="J26" s="37" t="str">
        <f aca="true">IF(OR(E26="N.I.O",E26="bed. OK"),IF(I26="ja","erledigt",IF(AND(H26&lt;&gt;"",H26&lt;TODAY()),"überfällig","offen")),"")</f>
        <v/>
      </c>
      <c r="K26" s="38" t="str">
        <f aca="false">IF(OR(E26="N.I.O",E26="bed. OK"),Offset_allg+COUNTIF($E$12:E26,"N.I.O")+COUNTIF($E$12:E26,"bed. OK"),"")</f>
        <v/>
      </c>
    </row>
    <row r="27" customFormat="false" ht="30" hidden="false" customHeight="true" outlineLevel="0" collapsed="false">
      <c r="A27" s="31" t="s">
        <v>105</v>
      </c>
      <c r="B27" s="32" t="s">
        <v>106</v>
      </c>
      <c r="C27" s="32" t="s">
        <v>107</v>
      </c>
      <c r="D27" s="33" t="s">
        <v>108</v>
      </c>
      <c r="E27" s="34"/>
      <c r="F27" s="35"/>
      <c r="G27" s="34"/>
      <c r="H27" s="36"/>
      <c r="I27" s="34"/>
      <c r="J27" s="37" t="str">
        <f aca="true">IF(OR(E27="N.I.O",E27="bed. OK"),IF(I27="ja","erledigt",IF(AND(H27&lt;&gt;"",H27&lt;TODAY()),"überfällig","offen")),"")</f>
        <v/>
      </c>
      <c r="K27" s="38" t="str">
        <f aca="false">IF(OR(E27="N.I.O",E27="bed. OK"),Offset_allg+COUNTIF($E$12:E27,"N.I.O")+COUNTIF($E$12:E27,"bed. OK"),"")</f>
        <v/>
      </c>
    </row>
    <row r="28" customFormat="false" ht="30" hidden="false" customHeight="true" outlineLevel="0" collapsed="false">
      <c r="A28" s="31" t="s">
        <v>109</v>
      </c>
      <c r="B28" s="32" t="s">
        <v>106</v>
      </c>
      <c r="C28" s="32" t="s">
        <v>110</v>
      </c>
      <c r="D28" s="33" t="s">
        <v>111</v>
      </c>
      <c r="E28" s="34"/>
      <c r="F28" s="35"/>
      <c r="G28" s="34"/>
      <c r="H28" s="36"/>
      <c r="I28" s="34"/>
      <c r="J28" s="37" t="str">
        <f aca="true">IF(OR(E28="N.I.O",E28="bed. OK"),IF(I28="ja","erledigt",IF(AND(H28&lt;&gt;"",H28&lt;TODAY()),"überfällig","offen")),"")</f>
        <v/>
      </c>
      <c r="K28" s="38" t="str">
        <f aca="false">IF(OR(E28="N.I.O",E28="bed. OK"),Offset_allg+COUNTIF($E$12:E28,"N.I.O")+COUNTIF($E$12:E28,"bed. OK"),"")</f>
        <v/>
      </c>
    </row>
    <row r="29" customFormat="false" ht="45" hidden="false" customHeight="true" outlineLevel="0" collapsed="false">
      <c r="A29" s="31" t="s">
        <v>112</v>
      </c>
      <c r="B29" s="32" t="s">
        <v>106</v>
      </c>
      <c r="C29" s="32" t="s">
        <v>113</v>
      </c>
      <c r="D29" s="33" t="s">
        <v>114</v>
      </c>
      <c r="E29" s="34"/>
      <c r="F29" s="35"/>
      <c r="G29" s="34"/>
      <c r="H29" s="36"/>
      <c r="I29" s="34"/>
      <c r="J29" s="37" t="str">
        <f aca="true">IF(OR(E29="N.I.O",E29="bed. OK"),IF(I29="ja","erledigt",IF(AND(H29&lt;&gt;"",H29&lt;TODAY()),"überfällig","offen")),"")</f>
        <v/>
      </c>
      <c r="K29" s="38" t="str">
        <f aca="false">IF(OR(E29="N.I.O",E29="bed. OK"),Offset_allg+COUNTIF($E$12:E29,"N.I.O")+COUNTIF($E$12:E29,"bed. OK"),"")</f>
        <v/>
      </c>
    </row>
    <row r="30" customFormat="false" ht="30" hidden="false" customHeight="true" outlineLevel="0" collapsed="false">
      <c r="A30" s="31" t="s">
        <v>115</v>
      </c>
      <c r="B30" s="32" t="s">
        <v>106</v>
      </c>
      <c r="C30" s="32" t="s">
        <v>116</v>
      </c>
      <c r="D30" s="33" t="s">
        <v>117</v>
      </c>
      <c r="E30" s="34"/>
      <c r="F30" s="35"/>
      <c r="G30" s="34"/>
      <c r="H30" s="36"/>
      <c r="I30" s="34"/>
      <c r="J30" s="37" t="str">
        <f aca="true">IF(OR(E30="N.I.O",E30="bed. OK"),IF(I30="ja","erledigt",IF(AND(H30&lt;&gt;"",H30&lt;TODAY()),"überfällig","offen")),"")</f>
        <v/>
      </c>
      <c r="K30" s="38" t="str">
        <f aca="false">IF(OR(E30="N.I.O",E30="bed. OK"),Offset_allg+COUNTIF($E$12:E30,"N.I.O")+COUNTIF($E$12:E30,"bed. OK"),"")</f>
        <v/>
      </c>
    </row>
    <row r="31" customFormat="false" ht="30" hidden="false" customHeight="true" outlineLevel="0" collapsed="false">
      <c r="A31" s="31" t="s">
        <v>118</v>
      </c>
      <c r="B31" s="32" t="s">
        <v>119</v>
      </c>
      <c r="C31" s="32" t="s">
        <v>120</v>
      </c>
      <c r="D31" s="33" t="s">
        <v>121</v>
      </c>
      <c r="E31" s="34"/>
      <c r="F31" s="35"/>
      <c r="G31" s="34"/>
      <c r="H31" s="36"/>
      <c r="I31" s="34"/>
      <c r="J31" s="37" t="str">
        <f aca="true">IF(OR(E31="N.I.O",E31="bed. OK"),IF(I31="ja","erledigt",IF(AND(H31&lt;&gt;"",H31&lt;TODAY()),"überfällig","offen")),"")</f>
        <v/>
      </c>
      <c r="K31" s="38" t="str">
        <f aca="false">IF(OR(E31="N.I.O",E31="bed. OK"),Offset_allg+COUNTIF($E$12:E31,"N.I.O")+COUNTIF($E$12:E31,"bed. OK"),"")</f>
        <v/>
      </c>
    </row>
    <row r="32" customFormat="false" ht="30" hidden="false" customHeight="true" outlineLevel="0" collapsed="false">
      <c r="A32" s="31" t="s">
        <v>122</v>
      </c>
      <c r="B32" s="32" t="s">
        <v>119</v>
      </c>
      <c r="C32" s="32" t="s">
        <v>123</v>
      </c>
      <c r="D32" s="33" t="s">
        <v>124</v>
      </c>
      <c r="E32" s="34"/>
      <c r="F32" s="35"/>
      <c r="G32" s="34"/>
      <c r="H32" s="36"/>
      <c r="I32" s="34"/>
      <c r="J32" s="37" t="str">
        <f aca="true">IF(OR(E32="N.I.O",E32="bed. OK"),IF(I32="ja","erledigt",IF(AND(H32&lt;&gt;"",H32&lt;TODAY()),"überfällig","offen")),"")</f>
        <v/>
      </c>
      <c r="K32" s="38" t="str">
        <f aca="false">IF(OR(E32="N.I.O",E32="bed. OK"),Offset_allg+COUNTIF($E$12:E32,"N.I.O")+COUNTIF($E$12:E32,"bed. OK"),"")</f>
        <v/>
      </c>
    </row>
    <row r="33" customFormat="false" ht="45" hidden="false" customHeight="true" outlineLevel="0" collapsed="false">
      <c r="A33" s="31" t="s">
        <v>125</v>
      </c>
      <c r="B33" s="32" t="s">
        <v>119</v>
      </c>
      <c r="C33" s="32" t="s">
        <v>126</v>
      </c>
      <c r="D33" s="33"/>
      <c r="E33" s="34"/>
      <c r="F33" s="35"/>
      <c r="G33" s="34"/>
      <c r="H33" s="36"/>
      <c r="I33" s="34"/>
      <c r="J33" s="37" t="str">
        <f aca="true">IF(OR(E33="N.I.O",E33="bed. OK"),IF(I33="ja","erledigt",IF(AND(H33&lt;&gt;"",H33&lt;TODAY()),"überfällig","offen")),"")</f>
        <v/>
      </c>
      <c r="K33" s="38" t="str">
        <f aca="false">IF(OR(E33="N.I.O",E33="bed. OK"),Offset_allg+COUNTIF($E$12:E33,"N.I.O")+COUNTIF($E$12:E33,"bed. OK"),"")</f>
        <v/>
      </c>
    </row>
    <row r="34" customFormat="false" ht="30" hidden="false" customHeight="true" outlineLevel="0" collapsed="false">
      <c r="A34" s="31" t="s">
        <v>127</v>
      </c>
      <c r="B34" s="32" t="s">
        <v>119</v>
      </c>
      <c r="C34" s="32" t="s">
        <v>128</v>
      </c>
      <c r="D34" s="33" t="s">
        <v>129</v>
      </c>
      <c r="E34" s="34"/>
      <c r="F34" s="35"/>
      <c r="G34" s="34"/>
      <c r="H34" s="36"/>
      <c r="I34" s="34"/>
      <c r="J34" s="37" t="str">
        <f aca="true">IF(OR(E34="N.I.O",E34="bed. OK"),IF(I34="ja","erledigt",IF(AND(H34&lt;&gt;"",H34&lt;TODAY()),"überfällig","offen")),"")</f>
        <v/>
      </c>
      <c r="K34" s="38" t="str">
        <f aca="false">IF(OR(E34="N.I.O",E34="bed. OK"),Offset_allg+COUNTIF($E$12:E34,"N.I.O")+COUNTIF($E$12:E34,"bed. OK"),"")</f>
        <v/>
      </c>
    </row>
    <row r="35" customFormat="false" ht="30" hidden="false" customHeight="true" outlineLevel="0" collapsed="false">
      <c r="A35" s="31" t="s">
        <v>130</v>
      </c>
      <c r="B35" s="32" t="s">
        <v>119</v>
      </c>
      <c r="C35" s="32" t="s">
        <v>131</v>
      </c>
      <c r="D35" s="33" t="s">
        <v>132</v>
      </c>
      <c r="E35" s="34"/>
      <c r="F35" s="35"/>
      <c r="G35" s="34"/>
      <c r="H35" s="36"/>
      <c r="I35" s="34"/>
      <c r="J35" s="37" t="str">
        <f aca="true">IF(OR(E35="N.I.O",E35="bed. OK"),IF(I35="ja","erledigt",IF(AND(H35&lt;&gt;"",H35&lt;TODAY()),"überfällig","offen")),"")</f>
        <v/>
      </c>
      <c r="K35" s="38" t="str">
        <f aca="false">IF(OR(E35="N.I.O",E35="bed. OK"),Offset_allg+COUNTIF($E$12:E35,"N.I.O")+COUNTIF($E$12:E35,"bed. OK"),"")</f>
        <v/>
      </c>
    </row>
    <row r="36" customFormat="false" ht="45" hidden="false" customHeight="true" outlineLevel="0" collapsed="false">
      <c r="A36" s="31" t="s">
        <v>133</v>
      </c>
      <c r="B36" s="32" t="s">
        <v>134</v>
      </c>
      <c r="C36" s="32" t="s">
        <v>135</v>
      </c>
      <c r="D36" s="33" t="s">
        <v>136</v>
      </c>
      <c r="E36" s="34"/>
      <c r="F36" s="35"/>
      <c r="G36" s="34"/>
      <c r="H36" s="36"/>
      <c r="I36" s="34"/>
      <c r="J36" s="37" t="str">
        <f aca="true">IF(OR(E36="N.I.O",E36="bed. OK"),IF(I36="ja","erledigt",IF(AND(H36&lt;&gt;"",H36&lt;TODAY()),"überfällig","offen")),"")</f>
        <v/>
      </c>
      <c r="K36" s="38" t="str">
        <f aca="false">IF(OR(E36="N.I.O",E36="bed. OK"),Offset_allg+COUNTIF($E$12:E36,"N.I.O")+COUNTIF($E$12:E36,"bed. OK"),"")</f>
        <v/>
      </c>
    </row>
    <row r="37" customFormat="false" ht="30" hidden="false" customHeight="true" outlineLevel="0" collapsed="false">
      <c r="A37" s="31" t="s">
        <v>137</v>
      </c>
      <c r="B37" s="32" t="s">
        <v>134</v>
      </c>
      <c r="C37" s="32" t="s">
        <v>138</v>
      </c>
      <c r="D37" s="33" t="s">
        <v>139</v>
      </c>
      <c r="E37" s="34"/>
      <c r="F37" s="35"/>
      <c r="G37" s="34"/>
      <c r="H37" s="36"/>
      <c r="I37" s="34"/>
      <c r="J37" s="37" t="str">
        <f aca="true">IF(OR(E37="N.I.O",E37="bed. OK"),IF(I37="ja","erledigt",IF(AND(H37&lt;&gt;"",H37&lt;TODAY()),"überfällig","offen")),"")</f>
        <v/>
      </c>
      <c r="K37" s="38" t="str">
        <f aca="false">IF(OR(E37="N.I.O",E37="bed. OK"),Offset_allg+COUNTIF($E$12:E37,"N.I.O")+COUNTIF($E$12:E37,"bed. OK"),"")</f>
        <v/>
      </c>
    </row>
    <row r="38" customFormat="false" ht="30" hidden="false" customHeight="true" outlineLevel="0" collapsed="false">
      <c r="A38" s="31" t="s">
        <v>140</v>
      </c>
      <c r="B38" s="32" t="s">
        <v>134</v>
      </c>
      <c r="C38" s="32" t="s">
        <v>141</v>
      </c>
      <c r="D38" s="33"/>
      <c r="E38" s="34"/>
      <c r="F38" s="35"/>
      <c r="G38" s="34"/>
      <c r="H38" s="36"/>
      <c r="I38" s="34"/>
      <c r="J38" s="37" t="str">
        <f aca="true">IF(OR(E38="N.I.O",E38="bed. OK"),IF(I38="ja","erledigt",IF(AND(H38&lt;&gt;"",H38&lt;TODAY()),"überfällig","offen")),"")</f>
        <v/>
      </c>
      <c r="K38" s="38" t="str">
        <f aca="false">IF(OR(E38="N.I.O",E38="bed. OK"),Offset_allg+COUNTIF($E$12:E38,"N.I.O")+COUNTIF($E$12:E38,"bed. OK"),"")</f>
        <v/>
      </c>
    </row>
    <row r="39" customFormat="false" ht="45" hidden="false" customHeight="true" outlineLevel="0" collapsed="false">
      <c r="A39" s="31" t="s">
        <v>142</v>
      </c>
      <c r="B39" s="32" t="s">
        <v>134</v>
      </c>
      <c r="C39" s="32" t="s">
        <v>143</v>
      </c>
      <c r="D39" s="33"/>
      <c r="E39" s="34"/>
      <c r="F39" s="35"/>
      <c r="G39" s="34"/>
      <c r="H39" s="36"/>
      <c r="I39" s="34"/>
      <c r="J39" s="37" t="str">
        <f aca="true">IF(OR(E39="N.I.O",E39="bed. OK"),IF(I39="ja","erledigt",IF(AND(H39&lt;&gt;"",H39&lt;TODAY()),"überfällig","offen")),"")</f>
        <v/>
      </c>
      <c r="K39" s="38" t="str">
        <f aca="false">IF(OR(E39="N.I.O",E39="bed. OK"),Offset_allg+COUNTIF($E$12:E39,"N.I.O")+COUNTIF($E$12:E39,"bed. OK"),"")</f>
        <v/>
      </c>
    </row>
    <row r="40" customFormat="false" ht="30" hidden="false" customHeight="true" outlineLevel="0" collapsed="false">
      <c r="A40" s="31" t="s">
        <v>144</v>
      </c>
      <c r="B40" s="32" t="s">
        <v>145</v>
      </c>
      <c r="C40" s="32" t="s">
        <v>146</v>
      </c>
      <c r="D40" s="33" t="s">
        <v>147</v>
      </c>
      <c r="E40" s="34"/>
      <c r="F40" s="35"/>
      <c r="G40" s="34"/>
      <c r="H40" s="36"/>
      <c r="I40" s="34"/>
      <c r="J40" s="37" t="str">
        <f aca="true">IF(OR(E40="N.I.O",E40="bed. OK"),IF(I40="ja","erledigt",IF(AND(H40&lt;&gt;"",H40&lt;TODAY()),"überfällig","offen")),"")</f>
        <v/>
      </c>
      <c r="K40" s="38" t="str">
        <f aca="false">IF(OR(E40="N.I.O",E40="bed. OK"),Offset_allg+COUNTIF($E$12:E40,"N.I.O")+COUNTIF($E$12:E40,"bed. OK"),"")</f>
        <v/>
      </c>
    </row>
    <row r="41" customFormat="false" ht="30" hidden="false" customHeight="true" outlineLevel="0" collapsed="false">
      <c r="A41" s="31" t="s">
        <v>148</v>
      </c>
      <c r="B41" s="32" t="s">
        <v>145</v>
      </c>
      <c r="C41" s="32" t="s">
        <v>149</v>
      </c>
      <c r="D41" s="33" t="s">
        <v>150</v>
      </c>
      <c r="E41" s="34"/>
      <c r="F41" s="35"/>
      <c r="G41" s="34"/>
      <c r="H41" s="36"/>
      <c r="I41" s="34"/>
      <c r="J41" s="37" t="str">
        <f aca="true">IF(OR(E41="N.I.O",E41="bed. OK"),IF(I41="ja","erledigt",IF(AND(H41&lt;&gt;"",H41&lt;TODAY()),"überfällig","offen")),"")</f>
        <v/>
      </c>
      <c r="K41" s="38" t="str">
        <f aca="false">IF(OR(E41="N.I.O",E41="bed. OK"),Offset_allg+COUNTIF($E$12:E41,"N.I.O")+COUNTIF($E$12:E41,"bed. OK"),"")</f>
        <v/>
      </c>
    </row>
    <row r="42" customFormat="false" ht="45" hidden="false" customHeight="true" outlineLevel="0" collapsed="false">
      <c r="A42" s="31" t="s">
        <v>151</v>
      </c>
      <c r="B42" s="32" t="s">
        <v>152</v>
      </c>
      <c r="C42" s="32" t="s">
        <v>153</v>
      </c>
      <c r="D42" s="33" t="s">
        <v>154</v>
      </c>
      <c r="E42" s="34"/>
      <c r="F42" s="35"/>
      <c r="G42" s="34"/>
      <c r="H42" s="36"/>
      <c r="I42" s="34"/>
      <c r="J42" s="37" t="str">
        <f aca="true">IF(OR(E42="N.I.O",E42="bed. OK"),IF(I42="ja","erledigt",IF(AND(H42&lt;&gt;"",H42&lt;TODAY()),"überfällig","offen")),"")</f>
        <v/>
      </c>
      <c r="K42" s="38" t="str">
        <f aca="false">IF(OR(E42="N.I.O",E42="bed. OK"),Offset_allg+COUNTIF($E$12:E42,"N.I.O")+COUNTIF($E$12:E42,"bed. OK"),"")</f>
        <v/>
      </c>
    </row>
    <row r="43" customFormat="false" ht="30" hidden="false" customHeight="true" outlineLevel="0" collapsed="false">
      <c r="A43" s="31" t="s">
        <v>155</v>
      </c>
      <c r="B43" s="32" t="s">
        <v>152</v>
      </c>
      <c r="C43" s="32" t="s">
        <v>156</v>
      </c>
      <c r="D43" s="33" t="s">
        <v>157</v>
      </c>
      <c r="E43" s="34"/>
      <c r="F43" s="35"/>
      <c r="G43" s="34"/>
      <c r="H43" s="36"/>
      <c r="I43" s="34"/>
      <c r="J43" s="37" t="str">
        <f aca="true">IF(OR(E43="N.I.O",E43="bed. OK"),IF(I43="ja","erledigt",IF(AND(H43&lt;&gt;"",H43&lt;TODAY()),"überfällig","offen")),"")</f>
        <v/>
      </c>
      <c r="K43" s="38" t="str">
        <f aca="false">IF(OR(E43="N.I.O",E43="bed. OK"),Offset_allg+COUNTIF($E$12:E43,"N.I.O")+COUNTIF($E$12:E43,"bed. OK"),"")</f>
        <v/>
      </c>
    </row>
    <row r="44" customFormat="false" ht="30" hidden="false" customHeight="true" outlineLevel="0" collapsed="false">
      <c r="A44" s="31" t="s">
        <v>158</v>
      </c>
      <c r="B44" s="32" t="s">
        <v>152</v>
      </c>
      <c r="C44" s="32" t="s">
        <v>159</v>
      </c>
      <c r="D44" s="33" t="s">
        <v>160</v>
      </c>
      <c r="E44" s="34"/>
      <c r="F44" s="35"/>
      <c r="G44" s="34"/>
      <c r="H44" s="36"/>
      <c r="I44" s="34"/>
      <c r="J44" s="37" t="str">
        <f aca="true">IF(OR(E44="N.I.O",E44="bed. OK"),IF(I44="ja","erledigt",IF(AND(H44&lt;&gt;"",H44&lt;TODAY()),"überfällig","offen")),"")</f>
        <v/>
      </c>
      <c r="K44" s="38" t="str">
        <f aca="false">IF(OR(E44="N.I.O",E44="bed. OK"),Offset_allg+COUNTIF($E$12:E44,"N.I.O")+COUNTIF($E$12:E44,"bed. OK"),"")</f>
        <v/>
      </c>
    </row>
    <row r="45" customFormat="false" ht="30" hidden="false" customHeight="true" outlineLevel="0" collapsed="false">
      <c r="A45" s="31" t="s">
        <v>161</v>
      </c>
      <c r="B45" s="32" t="s">
        <v>152</v>
      </c>
      <c r="C45" s="32" t="s">
        <v>162</v>
      </c>
      <c r="D45" s="33" t="s">
        <v>163</v>
      </c>
      <c r="E45" s="34"/>
      <c r="F45" s="35"/>
      <c r="G45" s="34"/>
      <c r="H45" s="36"/>
      <c r="I45" s="34"/>
      <c r="J45" s="37" t="str">
        <f aca="true">IF(OR(E45="N.I.O",E45="bed. OK"),IF(I45="ja","erledigt",IF(AND(H45&lt;&gt;"",H45&lt;TODAY()),"überfällig","offen")),"")</f>
        <v/>
      </c>
      <c r="K45" s="38" t="str">
        <f aca="false">IF(OR(E45="N.I.O",E45="bed. OK"),Offset_allg+COUNTIF($E$12:E45,"N.I.O")+COUNTIF($E$12:E45,"bed. OK"),"")</f>
        <v/>
      </c>
    </row>
    <row r="46" customFormat="false" ht="30" hidden="false" customHeight="true" outlineLevel="0" collapsed="false">
      <c r="A46" s="31" t="s">
        <v>164</v>
      </c>
      <c r="B46" s="32" t="s">
        <v>152</v>
      </c>
      <c r="C46" s="32" t="s">
        <v>165</v>
      </c>
      <c r="D46" s="33" t="s">
        <v>166</v>
      </c>
      <c r="E46" s="34"/>
      <c r="F46" s="35"/>
      <c r="G46" s="34"/>
      <c r="H46" s="36"/>
      <c r="I46" s="34"/>
      <c r="J46" s="37" t="str">
        <f aca="true">IF(OR(E46="N.I.O",E46="bed. OK"),IF(I46="ja","erledigt",IF(AND(H46&lt;&gt;"",H46&lt;TODAY()),"überfällig","offen")),"")</f>
        <v/>
      </c>
      <c r="K46" s="38" t="str">
        <f aca="false">IF(OR(E46="N.I.O",E46="bed. OK"),Offset_allg+COUNTIF($E$12:E46,"N.I.O")+COUNTIF($E$12:E46,"bed. OK"),"")</f>
        <v/>
      </c>
    </row>
    <row r="47" customFormat="false" ht="30" hidden="false" customHeight="true" outlineLevel="0" collapsed="false">
      <c r="A47" s="31" t="s">
        <v>167</v>
      </c>
      <c r="B47" s="32" t="s">
        <v>152</v>
      </c>
      <c r="C47" s="32" t="s">
        <v>168</v>
      </c>
      <c r="D47" s="33" t="s">
        <v>169</v>
      </c>
      <c r="E47" s="34"/>
      <c r="F47" s="35"/>
      <c r="G47" s="34"/>
      <c r="H47" s="36"/>
      <c r="I47" s="34"/>
      <c r="J47" s="37" t="str">
        <f aca="true">IF(OR(E47="N.I.O",E47="bed. OK"),IF(I47="ja","erledigt",IF(AND(H47&lt;&gt;"",H47&lt;TODAY()),"überfällig","offen")),"")</f>
        <v/>
      </c>
      <c r="K47" s="38" t="str">
        <f aca="false">IF(OR(E47="N.I.O",E47="bed. OK"),Offset_allg+COUNTIF($E$12:E47,"N.I.O")+COUNTIF($E$12:E47,"bed. OK"),"")</f>
        <v/>
      </c>
    </row>
    <row r="48" customFormat="false" ht="30" hidden="false" customHeight="true" outlineLevel="0" collapsed="false">
      <c r="A48" s="31" t="s">
        <v>170</v>
      </c>
      <c r="B48" s="32" t="s">
        <v>171</v>
      </c>
      <c r="C48" s="32" t="s">
        <v>172</v>
      </c>
      <c r="D48" s="33" t="s">
        <v>173</v>
      </c>
      <c r="E48" s="34"/>
      <c r="F48" s="35"/>
      <c r="G48" s="34"/>
      <c r="H48" s="36"/>
      <c r="I48" s="34"/>
      <c r="J48" s="37" t="str">
        <f aca="true">IF(OR(E48="N.I.O",E48="bed. OK"),IF(I48="ja","erledigt",IF(AND(H48&lt;&gt;"",H48&lt;TODAY()),"überfällig","offen")),"")</f>
        <v/>
      </c>
      <c r="K48" s="38" t="str">
        <f aca="false">IF(OR(E48="N.I.O",E48="bed. OK"),Offset_allg+COUNTIF($E$12:E48,"N.I.O")+COUNTIF($E$12:E48,"bed. OK"),"")</f>
        <v/>
      </c>
    </row>
    <row r="49" customFormat="false" ht="30" hidden="false" customHeight="true" outlineLevel="0" collapsed="false">
      <c r="A49" s="31" t="s">
        <v>174</v>
      </c>
      <c r="B49" s="32" t="s">
        <v>171</v>
      </c>
      <c r="C49" s="32" t="s">
        <v>175</v>
      </c>
      <c r="D49" s="33" t="s">
        <v>176</v>
      </c>
      <c r="E49" s="34"/>
      <c r="F49" s="35"/>
      <c r="G49" s="34"/>
      <c r="H49" s="36"/>
      <c r="I49" s="34"/>
      <c r="J49" s="37" t="str">
        <f aca="true">IF(OR(E49="N.I.O",E49="bed. OK"),IF(I49="ja","erledigt",IF(AND(H49&lt;&gt;"",H49&lt;TODAY()),"überfällig","offen")),"")</f>
        <v/>
      </c>
      <c r="K49" s="38" t="str">
        <f aca="false">IF(OR(E49="N.I.O",E49="bed. OK"),Offset_allg+COUNTIF($E$12:E49,"N.I.O")+COUNTIF($E$12:E49,"bed. OK"),"")</f>
        <v/>
      </c>
    </row>
    <row r="50" customFormat="false" ht="30" hidden="false" customHeight="true" outlineLevel="0" collapsed="false">
      <c r="A50" s="31" t="s">
        <v>177</v>
      </c>
      <c r="B50" s="32" t="s">
        <v>178</v>
      </c>
      <c r="C50" s="32" t="s">
        <v>179</v>
      </c>
      <c r="D50" s="33" t="s">
        <v>180</v>
      </c>
      <c r="E50" s="34"/>
      <c r="F50" s="35"/>
      <c r="G50" s="34"/>
      <c r="H50" s="36"/>
      <c r="I50" s="34"/>
      <c r="J50" s="37" t="str">
        <f aca="true">IF(OR(E50="N.I.O",E50="bed. OK"),IF(I50="ja","erledigt",IF(AND(H50&lt;&gt;"",H50&lt;TODAY()),"überfällig","offen")),"")</f>
        <v/>
      </c>
      <c r="K50" s="38" t="str">
        <f aca="false">IF(OR(E50="N.I.O",E50="bed. OK"),Offset_allg+COUNTIF($E$12:E50,"N.I.O")+COUNTIF($E$12:E50,"bed. OK"),"")</f>
        <v/>
      </c>
    </row>
    <row r="52" customFormat="false" ht="15" hidden="false" customHeight="false" outlineLevel="0" collapsed="false">
      <c r="A52" s="3" t="s">
        <v>181</v>
      </c>
    </row>
    <row r="53" customFormat="false" ht="23.85" hidden="false" customHeight="false" outlineLevel="0" collapsed="false">
      <c r="A53" s="9"/>
      <c r="B53" s="9" t="s">
        <v>52</v>
      </c>
      <c r="C53" s="9" t="s">
        <v>16</v>
      </c>
      <c r="D53" s="9" t="s">
        <v>17</v>
      </c>
      <c r="E53" s="9" t="s">
        <v>18</v>
      </c>
      <c r="F53" s="9" t="s">
        <v>19</v>
      </c>
      <c r="G53" s="9" t="s">
        <v>20</v>
      </c>
      <c r="H53" s="9" t="s">
        <v>21</v>
      </c>
      <c r="I53" s="9" t="s">
        <v>22</v>
      </c>
    </row>
    <row r="54" customFormat="false" ht="15" hidden="false" customHeight="false" outlineLevel="0" collapsed="false">
      <c r="B54" s="26" t="s">
        <v>62</v>
      </c>
      <c r="C54" s="39" t="n">
        <f aca="false">COUNTIF($B$12:$B$50,B54)</f>
        <v>7</v>
      </c>
      <c r="D54" s="39" t="n">
        <f aca="false">COUNTIFS($B$12:$B$50,$B54,$E$12:$E$50,"N.I.O")</f>
        <v>0</v>
      </c>
      <c r="E54" s="39" t="n">
        <f aca="false">COUNTIFS($B$12:$B$50,$B54,$E$12:$E$50,"bed. OK")</f>
        <v>0</v>
      </c>
      <c r="F54" s="39" t="n">
        <f aca="false">COUNTIFS($B$12:$B$50,$B54,$E$12:$E$50,"OK")</f>
        <v>0</v>
      </c>
      <c r="G54" s="39" t="n">
        <f aca="false">COUNTIFS($B$12:$B$50,$B54,$E$12:$E$50,"n. b.")</f>
        <v>0</v>
      </c>
      <c r="H54" s="39" t="n">
        <f aca="false">C54-SUM(D54:G54)</f>
        <v>7</v>
      </c>
      <c r="I54" s="40" t="str">
        <f aca="false">IFERROR((F54+Gewicht_bedOK*E54)/(D54+E54+F54),"")</f>
        <v/>
      </c>
    </row>
    <row r="55" customFormat="false" ht="15" hidden="false" customHeight="false" outlineLevel="0" collapsed="false">
      <c r="B55" s="26" t="s">
        <v>81</v>
      </c>
      <c r="C55" s="39" t="n">
        <f aca="false">COUNTIF($B$12:$B$50,B55)</f>
        <v>8</v>
      </c>
      <c r="D55" s="39" t="n">
        <f aca="false">COUNTIFS($B$12:$B$50,$B55,$E$12:$E$50,"N.I.O")</f>
        <v>0</v>
      </c>
      <c r="E55" s="39" t="n">
        <f aca="false">COUNTIFS($B$12:$B$50,$B55,$E$12:$E$50,"bed. OK")</f>
        <v>0</v>
      </c>
      <c r="F55" s="39" t="n">
        <f aca="false">COUNTIFS($B$12:$B$50,$B55,$E$12:$E$50,"OK")</f>
        <v>0</v>
      </c>
      <c r="G55" s="39" t="n">
        <f aca="false">COUNTIFS($B$12:$B$50,$B55,$E$12:$E$50,"n. b.")</f>
        <v>0</v>
      </c>
      <c r="H55" s="39" t="n">
        <f aca="false">C55-SUM(D55:G55)</f>
        <v>8</v>
      </c>
      <c r="I55" s="40" t="str">
        <f aca="false">IFERROR((F55+Gewicht_bedOK*E55)/(D55+E55+F55),"")</f>
        <v/>
      </c>
    </row>
    <row r="56" customFormat="false" ht="15" hidden="false" customHeight="false" outlineLevel="0" collapsed="false">
      <c r="B56" s="26" t="s">
        <v>106</v>
      </c>
      <c r="C56" s="39" t="n">
        <f aca="false">COUNTIF($B$12:$B$50,B56)</f>
        <v>4</v>
      </c>
      <c r="D56" s="39" t="n">
        <f aca="false">COUNTIFS($B$12:$B$50,$B56,$E$12:$E$50,"N.I.O")</f>
        <v>0</v>
      </c>
      <c r="E56" s="39" t="n">
        <f aca="false">COUNTIFS($B$12:$B$50,$B56,$E$12:$E$50,"bed. OK")</f>
        <v>0</v>
      </c>
      <c r="F56" s="39" t="n">
        <f aca="false">COUNTIFS($B$12:$B$50,$B56,$E$12:$E$50,"OK")</f>
        <v>0</v>
      </c>
      <c r="G56" s="39" t="n">
        <f aca="false">COUNTIFS($B$12:$B$50,$B56,$E$12:$E$50,"n. b.")</f>
        <v>0</v>
      </c>
      <c r="H56" s="39" t="n">
        <f aca="false">C56-SUM(D56:G56)</f>
        <v>4</v>
      </c>
      <c r="I56" s="40" t="str">
        <f aca="false">IFERROR((F56+Gewicht_bedOK*E56)/(D56+E56+F56),"")</f>
        <v/>
      </c>
    </row>
    <row r="57" customFormat="false" ht="15" hidden="false" customHeight="false" outlineLevel="0" collapsed="false">
      <c r="B57" s="26" t="s">
        <v>119</v>
      </c>
      <c r="C57" s="39" t="n">
        <f aca="false">COUNTIF($B$12:$B$50,B57)</f>
        <v>5</v>
      </c>
      <c r="D57" s="39" t="n">
        <f aca="false">COUNTIFS($B$12:$B$50,$B57,$E$12:$E$50,"N.I.O")</f>
        <v>0</v>
      </c>
      <c r="E57" s="39" t="n">
        <f aca="false">COUNTIFS($B$12:$B$50,$B57,$E$12:$E$50,"bed. OK")</f>
        <v>0</v>
      </c>
      <c r="F57" s="39" t="n">
        <f aca="false">COUNTIFS($B$12:$B$50,$B57,$E$12:$E$50,"OK")</f>
        <v>0</v>
      </c>
      <c r="G57" s="39" t="n">
        <f aca="false">COUNTIFS($B$12:$B$50,$B57,$E$12:$E$50,"n. b.")</f>
        <v>0</v>
      </c>
      <c r="H57" s="39" t="n">
        <f aca="false">C57-SUM(D57:G57)</f>
        <v>5</v>
      </c>
      <c r="I57" s="40" t="str">
        <f aca="false">IFERROR((F57+Gewicht_bedOK*E57)/(D57+E57+F57),"")</f>
        <v/>
      </c>
    </row>
    <row r="58" customFormat="false" ht="15" hidden="false" customHeight="false" outlineLevel="0" collapsed="false">
      <c r="B58" s="26" t="s">
        <v>134</v>
      </c>
      <c r="C58" s="39" t="n">
        <f aca="false">COUNTIF($B$12:$B$50,B58)</f>
        <v>4</v>
      </c>
      <c r="D58" s="39" t="n">
        <f aca="false">COUNTIFS($B$12:$B$50,$B58,$E$12:$E$50,"N.I.O")</f>
        <v>0</v>
      </c>
      <c r="E58" s="39" t="n">
        <f aca="false">COUNTIFS($B$12:$B$50,$B58,$E$12:$E$50,"bed. OK")</f>
        <v>0</v>
      </c>
      <c r="F58" s="39" t="n">
        <f aca="false">COUNTIFS($B$12:$B$50,$B58,$E$12:$E$50,"OK")</f>
        <v>0</v>
      </c>
      <c r="G58" s="39" t="n">
        <f aca="false">COUNTIFS($B$12:$B$50,$B58,$E$12:$E$50,"n. b.")</f>
        <v>0</v>
      </c>
      <c r="H58" s="39" t="n">
        <f aca="false">C58-SUM(D58:G58)</f>
        <v>4</v>
      </c>
      <c r="I58" s="40" t="str">
        <f aca="false">IFERROR((F58+Gewicht_bedOK*E58)/(D58+E58+F58),"")</f>
        <v/>
      </c>
    </row>
    <row r="59" customFormat="false" ht="15" hidden="false" customHeight="false" outlineLevel="0" collapsed="false">
      <c r="B59" s="26" t="s">
        <v>145</v>
      </c>
      <c r="C59" s="39" t="n">
        <f aca="false">COUNTIF($B$12:$B$50,B59)</f>
        <v>2</v>
      </c>
      <c r="D59" s="39" t="n">
        <f aca="false">COUNTIFS($B$12:$B$50,$B59,$E$12:$E$50,"N.I.O")</f>
        <v>0</v>
      </c>
      <c r="E59" s="39" t="n">
        <f aca="false">COUNTIFS($B$12:$B$50,$B59,$E$12:$E$50,"bed. OK")</f>
        <v>0</v>
      </c>
      <c r="F59" s="39" t="n">
        <f aca="false">COUNTIFS($B$12:$B$50,$B59,$E$12:$E$50,"OK")</f>
        <v>0</v>
      </c>
      <c r="G59" s="39" t="n">
        <f aca="false">COUNTIFS($B$12:$B$50,$B59,$E$12:$E$50,"n. b.")</f>
        <v>0</v>
      </c>
      <c r="H59" s="39" t="n">
        <f aca="false">C59-SUM(D59:G59)</f>
        <v>2</v>
      </c>
      <c r="I59" s="40" t="str">
        <f aca="false">IFERROR((F59+Gewicht_bedOK*E59)/(D59+E59+F59),"")</f>
        <v/>
      </c>
    </row>
    <row r="60" customFormat="false" ht="15" hidden="false" customHeight="false" outlineLevel="0" collapsed="false">
      <c r="B60" s="26" t="s">
        <v>152</v>
      </c>
      <c r="C60" s="39" t="n">
        <f aca="false">COUNTIF($B$12:$B$50,B60)</f>
        <v>6</v>
      </c>
      <c r="D60" s="39" t="n">
        <f aca="false">COUNTIFS($B$12:$B$50,$B60,$E$12:$E$50,"N.I.O")</f>
        <v>0</v>
      </c>
      <c r="E60" s="39" t="n">
        <f aca="false">COUNTIFS($B$12:$B$50,$B60,$E$12:$E$50,"bed. OK")</f>
        <v>0</v>
      </c>
      <c r="F60" s="39" t="n">
        <f aca="false">COUNTIFS($B$12:$B$50,$B60,$E$12:$E$50,"OK")</f>
        <v>0</v>
      </c>
      <c r="G60" s="39" t="n">
        <f aca="false">COUNTIFS($B$12:$B$50,$B60,$E$12:$E$50,"n. b.")</f>
        <v>0</v>
      </c>
      <c r="H60" s="39" t="n">
        <f aca="false">C60-SUM(D60:G60)</f>
        <v>6</v>
      </c>
      <c r="I60" s="40" t="str">
        <f aca="false">IFERROR((F60+Gewicht_bedOK*E60)/(D60+E60+F60),"")</f>
        <v/>
      </c>
    </row>
    <row r="61" customFormat="false" ht="15" hidden="false" customHeight="false" outlineLevel="0" collapsed="false">
      <c r="B61" s="26" t="s">
        <v>171</v>
      </c>
      <c r="C61" s="39" t="n">
        <f aca="false">COUNTIF($B$12:$B$50,B61)</f>
        <v>2</v>
      </c>
      <c r="D61" s="39" t="n">
        <f aca="false">COUNTIFS($B$12:$B$50,$B61,$E$12:$E$50,"N.I.O")</f>
        <v>0</v>
      </c>
      <c r="E61" s="39" t="n">
        <f aca="false">COUNTIFS($B$12:$B$50,$B61,$E$12:$E$50,"bed. OK")</f>
        <v>0</v>
      </c>
      <c r="F61" s="39" t="n">
        <f aca="false">COUNTIFS($B$12:$B$50,$B61,$E$12:$E$50,"OK")</f>
        <v>0</v>
      </c>
      <c r="G61" s="39" t="n">
        <f aca="false">COUNTIFS($B$12:$B$50,$B61,$E$12:$E$50,"n. b.")</f>
        <v>0</v>
      </c>
      <c r="H61" s="39" t="n">
        <f aca="false">C61-SUM(D61:G61)</f>
        <v>2</v>
      </c>
      <c r="I61" s="40" t="str">
        <f aca="false">IFERROR((F61+Gewicht_bedOK*E61)/(D61+E61+F61),"")</f>
        <v/>
      </c>
    </row>
    <row r="62" customFormat="false" ht="15" hidden="false" customHeight="false" outlineLevel="0" collapsed="false">
      <c r="B62" s="26" t="s">
        <v>178</v>
      </c>
      <c r="C62" s="39" t="n">
        <f aca="false">COUNTIF($B$12:$B$50,B62)</f>
        <v>1</v>
      </c>
      <c r="D62" s="39" t="n">
        <f aca="false">COUNTIFS($B$12:$B$50,$B62,$E$12:$E$50,"N.I.O")</f>
        <v>0</v>
      </c>
      <c r="E62" s="39" t="n">
        <f aca="false">COUNTIFS($B$12:$B$50,$B62,$E$12:$E$50,"bed. OK")</f>
        <v>0</v>
      </c>
      <c r="F62" s="39" t="n">
        <f aca="false">COUNTIFS($B$12:$B$50,$B62,$E$12:$E$50,"OK")</f>
        <v>0</v>
      </c>
      <c r="G62" s="39" t="n">
        <f aca="false">COUNTIFS($B$12:$B$50,$B62,$E$12:$E$50,"n. b.")</f>
        <v>0</v>
      </c>
      <c r="H62" s="39" t="n">
        <f aca="false">C62-SUM(D62:G62)</f>
        <v>1</v>
      </c>
      <c r="I62" s="40" t="str">
        <f aca="false">IFERROR((F62+Gewicht_bedOK*E62)/(D62+E62+F62),"")</f>
        <v/>
      </c>
    </row>
  </sheetData>
  <autoFilter ref="A11:K50"/>
  <mergeCells count="7">
    <mergeCell ref="C4:D4"/>
    <mergeCell ref="C5:D5"/>
    <mergeCell ref="I5:J6"/>
    <mergeCell ref="C6:D6"/>
    <mergeCell ref="C7:D7"/>
    <mergeCell ref="I7:J7"/>
    <mergeCell ref="C8:D8"/>
  </mergeCells>
  <conditionalFormatting sqref="I5">
    <cfRule type="expression" priority="2" aboveAverage="0" equalAverage="0" bottom="0" percent="0" rank="0" text="" dxfId="0">
      <formula>AND($I$5&lt;&gt;"",$I$5&gt;=Ampel_gruen)</formula>
    </cfRule>
    <cfRule type="expression" priority="3" aboveAverage="0" equalAverage="0" bottom="0" percent="0" rank="0" text="" dxfId="1">
      <formula>AND($I$5&lt;&gt;"",$I$5&gt;=Ampel_gelb,$I$5&lt;Ampel_gruen)</formula>
    </cfRule>
    <cfRule type="expression" priority="4" aboveAverage="0" equalAverage="0" bottom="0" percent="0" rank="0" text="" dxfId="2">
      <formula>AND($I$5&lt;&gt;"",$I$5&lt;Ampel_gelb)</formula>
    </cfRule>
  </conditionalFormatting>
  <conditionalFormatting sqref="I7">
    <cfRule type="expression" priority="5" aboveAverage="0" equalAverage="0" bottom="0" percent="0" rank="0" text="" dxfId="0">
      <formula>AND($I$5&lt;&gt;"",$I$5&gt;=Ampel_gruen)</formula>
    </cfRule>
    <cfRule type="expression" priority="6" aboveAverage="0" equalAverage="0" bottom="0" percent="0" rank="0" text="" dxfId="1">
      <formula>AND($I$5&lt;&gt;"",$I$5&gt;=Ampel_gelb,$I$5&lt;Ampel_gruen)</formula>
    </cfRule>
    <cfRule type="expression" priority="7" aboveAverage="0" equalAverage="0" bottom="0" percent="0" rank="0" text="" dxfId="2">
      <formula>AND($I$5&lt;&gt;"",$I$5&lt;Ampel_gelb)</formula>
    </cfRule>
  </conditionalFormatting>
  <conditionalFormatting sqref="E12:E50">
    <cfRule type="cellIs" priority="8" operator="equal" aboveAverage="0" equalAverage="0" bottom="0" percent="0" rank="0" text="" dxfId="11">
      <formula>"N.I.O"</formula>
    </cfRule>
    <cfRule type="cellIs" priority="9" operator="equal" aboveAverage="0" equalAverage="0" bottom="0" percent="0" rank="0" text="" dxfId="12">
      <formula>"bed. OK"</formula>
    </cfRule>
    <cfRule type="cellIs" priority="10" operator="equal" aboveAverage="0" equalAverage="0" bottom="0" percent="0" rank="0" text="" dxfId="13">
      <formula>"OK"</formula>
    </cfRule>
    <cfRule type="cellIs" priority="11" operator="equal" aboveAverage="0" equalAverage="0" bottom="0" percent="0" rank="0" text="" dxfId="14">
      <formula>"n. b."</formula>
    </cfRule>
  </conditionalFormatting>
  <conditionalFormatting sqref="J12:J50">
    <cfRule type="cellIs" priority="12" operator="equal" aboveAverage="0" equalAverage="0" bottom="0" percent="0" rank="0" text="" dxfId="2">
      <formula>"überfällig"</formula>
    </cfRule>
    <cfRule type="cellIs" priority="13" operator="equal" aboveAverage="0" equalAverage="0" bottom="0" percent="0" rank="0" text="" dxfId="1">
      <formula>"offen"</formula>
    </cfRule>
    <cfRule type="cellIs" priority="14" operator="equal" aboveAverage="0" equalAverage="0" bottom="0" percent="0" rank="0" text="" dxfId="0">
      <formula>"erledigt"</formula>
    </cfRule>
  </conditionalFormatting>
  <conditionalFormatting sqref="I54:I62">
    <cfRule type="expression" priority="15" aboveAverage="0" equalAverage="0" bottom="0" percent="0" rank="0" text="" dxfId="0">
      <formula>AND(I54&lt;&gt;"",I54&gt;=Ampel_gruen)</formula>
    </cfRule>
    <cfRule type="expression" priority="16" aboveAverage="0" equalAverage="0" bottom="0" percent="0" rank="0" text="" dxfId="1">
      <formula>AND(I54&lt;&gt;"",I54&gt;=Ampel_gelb,I54&lt;Ampel_gruen)</formula>
    </cfRule>
    <cfRule type="expression" priority="17" aboveAverage="0" equalAverage="0" bottom="0" percent="0" rank="0" text="" dxfId="2">
      <formula>AND(I54&lt;&gt;"",I54&lt;Ampel_gelb)</formula>
    </cfRule>
  </conditionalFormatting>
  <dataValidations count="3">
    <dataValidation allowBlank="true" error="Bitte N.I.O, bed. OK, OK oder n. b. wählen." errorStyle="stop" errorTitle="Bewertung" operator="between" showDropDown="false" showErrorMessage="false" showInputMessage="false" sqref="E12:E50" type="list">
      <formula1>"N.I.O,bed. OK,OK,n. b."</formula1>
      <formula2>0</formula2>
    </dataValidation>
    <dataValidation allowBlank="true" errorStyle="stop" operator="between" showDropDown="false" showErrorMessage="false" showInputMessage="false" sqref="I12:I50" type="list">
      <formula1>"ja,nein"</formula1>
      <formula2>0</formula2>
    </dataValidation>
    <dataValidation allowBlank="true" error="Bitte ein Datum eingeben (TT.MM.JJJJ)." errorStyle="stop" operator="greaterThan" showDropDown="false" showErrorMessage="false" showInputMessage="false" sqref="C6 H12:H50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3A13D"/>
    <pageSetUpPr fitToPage="true"/>
  </sheetPr>
  <dimension ref="A1:K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1" topLeftCell="C12" activePane="bottomRight" state="frozen"/>
      <selection pane="topLeft" activeCell="A1" activeCellId="0" sqref="A1"/>
      <selection pane="topRight" activeCell="C1" activeCellId="0" sqref="C1"/>
      <selection pane="bottomLeft" activeCell="A12" activeCellId="0" sqref="A1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52"/>
    <col collapsed="false" customWidth="true" hidden="false" outlineLevel="0" max="4" min="4" style="0" width="32"/>
    <col collapsed="false" customWidth="true" hidden="false" outlineLevel="0" max="5" min="5" style="0" width="12"/>
    <col collapsed="false" customWidth="true" hidden="false" outlineLevel="0" max="6" min="6" style="0" width="38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9"/>
  </cols>
  <sheetData>
    <row r="1" customFormat="false" ht="19.7" hidden="false" customHeight="false" outlineLevel="0" collapsed="false">
      <c r="A1" s="1" t="s">
        <v>182</v>
      </c>
    </row>
    <row r="2" customFormat="false" ht="15" hidden="false" customHeight="false" outlineLevel="0" collapsed="false">
      <c r="A2" s="2" t="s">
        <v>183</v>
      </c>
    </row>
    <row r="3" customFormat="false" ht="15" hidden="false" customHeight="false" outlineLevel="0" collapsed="false">
      <c r="G3" s="24" t="s">
        <v>47</v>
      </c>
    </row>
    <row r="4" customFormat="false" ht="15" hidden="false" customHeight="false" outlineLevel="0" collapsed="false">
      <c r="A4" s="25" t="s">
        <v>184</v>
      </c>
      <c r="C4" s="5"/>
      <c r="D4" s="5"/>
      <c r="G4" s="26" t="s">
        <v>17</v>
      </c>
      <c r="H4" s="27" t="n">
        <f aca="false">COUNTIF($E$12:$E$24,"N.I.O")</f>
        <v>0</v>
      </c>
      <c r="I4" s="25" t="s">
        <v>22</v>
      </c>
    </row>
    <row r="5" customFormat="false" ht="15" hidden="false" customHeight="false" outlineLevel="0" collapsed="false">
      <c r="A5" s="25" t="s">
        <v>49</v>
      </c>
      <c r="C5" s="5"/>
      <c r="D5" s="5"/>
      <c r="G5" s="26" t="s">
        <v>18</v>
      </c>
      <c r="H5" s="27" t="n">
        <f aca="false">COUNTIF($E$12:$E$24,"bed. OK")</f>
        <v>0</v>
      </c>
      <c r="I5" s="28" t="str">
        <f aca="false">IFERROR((H6+Gewicht_bedOK*H5)/(H4+H5+H6),"")</f>
        <v/>
      </c>
      <c r="J5" s="28"/>
    </row>
    <row r="6" customFormat="false" ht="15" hidden="false" customHeight="false" outlineLevel="0" collapsed="false">
      <c r="A6" s="25" t="s">
        <v>14</v>
      </c>
      <c r="C6" s="29"/>
      <c r="D6" s="29"/>
      <c r="G6" s="26" t="s">
        <v>19</v>
      </c>
      <c r="H6" s="27" t="n">
        <f aca="false">COUNTIF($E$12:$E$24,"OK")</f>
        <v>0</v>
      </c>
      <c r="I6" s="28"/>
      <c r="J6" s="28"/>
    </row>
    <row r="7" customFormat="false" ht="15" hidden="false" customHeight="false" outlineLevel="0" collapsed="false">
      <c r="A7" s="25" t="s">
        <v>15</v>
      </c>
      <c r="C7" s="5"/>
      <c r="D7" s="5"/>
      <c r="G7" s="26" t="s">
        <v>20</v>
      </c>
      <c r="H7" s="27" t="n">
        <f aca="false">COUNTIF($E$12:$E$24,"n. b.")</f>
        <v>0</v>
      </c>
      <c r="I7" s="30" t="str">
        <f aca="false">IF(I5="","nicht bewertet",IF(I5&gt;=Ampel_gruen,"gut",IF(I5&gt;=Ampel_gelb,"mittel","kritisch")))</f>
        <v>nicht bewertet</v>
      </c>
      <c r="J7" s="30"/>
    </row>
    <row r="8" customFormat="false" ht="15" hidden="false" customHeight="false" outlineLevel="0" collapsed="false">
      <c r="A8" s="25" t="s">
        <v>48</v>
      </c>
      <c r="C8" s="5"/>
      <c r="D8" s="5"/>
      <c r="G8" s="26" t="s">
        <v>21</v>
      </c>
      <c r="H8" s="27" t="n">
        <f aca="false">13-SUM(H4:H7)</f>
        <v>13</v>
      </c>
    </row>
    <row r="9" customFormat="false" ht="15" hidden="false" customHeight="false" outlineLevel="0" collapsed="false">
      <c r="G9" s="6" t="s">
        <v>50</v>
      </c>
    </row>
    <row r="11" customFormat="false" ht="15" hidden="false" customHeight="false" outlineLevel="0" collapsed="false">
      <c r="A11" s="9" t="s">
        <v>51</v>
      </c>
      <c r="B11" s="9" t="s">
        <v>52</v>
      </c>
      <c r="C11" s="9" t="s">
        <v>53</v>
      </c>
      <c r="D11" s="9" t="s">
        <v>185</v>
      </c>
      <c r="E11" s="9" t="s">
        <v>55</v>
      </c>
      <c r="F11" s="9" t="s">
        <v>56</v>
      </c>
      <c r="G11" s="9" t="s">
        <v>57</v>
      </c>
      <c r="H11" s="9" t="s">
        <v>58</v>
      </c>
      <c r="I11" s="9" t="s">
        <v>59</v>
      </c>
      <c r="J11" s="9" t="s">
        <v>36</v>
      </c>
      <c r="K11" s="9" t="s">
        <v>60</v>
      </c>
    </row>
    <row r="12" customFormat="false" ht="30" hidden="false" customHeight="true" outlineLevel="0" collapsed="false">
      <c r="A12" s="31" t="s">
        <v>61</v>
      </c>
      <c r="B12" s="32" t="s">
        <v>186</v>
      </c>
      <c r="C12" s="32" t="s">
        <v>187</v>
      </c>
      <c r="D12" s="33"/>
      <c r="E12" s="34"/>
      <c r="F12" s="35"/>
      <c r="G12" s="34"/>
      <c r="H12" s="36"/>
      <c r="I12" s="34"/>
      <c r="J12" s="37" t="str">
        <f aca="true">IF(OR(E12="N.I.O",E12="bed. OK"),IF(I12="ja","erledigt",IF(AND(H12&lt;&gt;"",H12&lt;TODAY()),"überfällig","offen")),"")</f>
        <v/>
      </c>
      <c r="K12" s="38" t="str">
        <f aca="false">IF(OR(E12="N.I.O",E12="bed. OK"),Offset_maschine+COUNTIF($E$12:E12,"N.I.O")+COUNTIF($E$12:E12,"bed. OK"),"")</f>
        <v/>
      </c>
    </row>
    <row r="13" customFormat="false" ht="45" hidden="false" customHeight="true" outlineLevel="0" collapsed="false">
      <c r="A13" s="31" t="s">
        <v>65</v>
      </c>
      <c r="B13" s="32" t="s">
        <v>188</v>
      </c>
      <c r="C13" s="32" t="s">
        <v>189</v>
      </c>
      <c r="D13" s="33"/>
      <c r="E13" s="34"/>
      <c r="F13" s="35"/>
      <c r="G13" s="34"/>
      <c r="H13" s="36"/>
      <c r="I13" s="34"/>
      <c r="J13" s="37" t="str">
        <f aca="true">IF(OR(E13="N.I.O",E13="bed. OK"),IF(I13="ja","erledigt",IF(AND(H13&lt;&gt;"",H13&lt;TODAY()),"überfällig","offen")),"")</f>
        <v/>
      </c>
      <c r="K13" s="38" t="str">
        <f aca="false">IF(OR(E13="N.I.O",E13="bed. OK"),Offset_maschine+COUNTIF($E$12:E13,"N.I.O")+COUNTIF($E$12:E13,"bed. OK"),"")</f>
        <v/>
      </c>
    </row>
    <row r="14" customFormat="false" ht="30" hidden="false" customHeight="true" outlineLevel="0" collapsed="false">
      <c r="A14" s="31" t="s">
        <v>190</v>
      </c>
      <c r="B14" s="32" t="s">
        <v>188</v>
      </c>
      <c r="C14" s="32" t="s">
        <v>191</v>
      </c>
      <c r="D14" s="33"/>
      <c r="E14" s="34"/>
      <c r="F14" s="35"/>
      <c r="G14" s="34"/>
      <c r="H14" s="36"/>
      <c r="I14" s="34"/>
      <c r="J14" s="37" t="str">
        <f aca="true">IF(OR(E14="N.I.O",E14="bed. OK"),IF(I14="ja","erledigt",IF(AND(H14&lt;&gt;"",H14&lt;TODAY()),"überfällig","offen")),"")</f>
        <v/>
      </c>
      <c r="K14" s="38" t="str">
        <f aca="false">IF(OR(E14="N.I.O",E14="bed. OK"),Offset_maschine+COUNTIF($E$12:E14,"N.I.O")+COUNTIF($E$12:E14,"bed. OK"),"")</f>
        <v/>
      </c>
    </row>
    <row r="15" customFormat="false" ht="45" hidden="false" customHeight="true" outlineLevel="0" collapsed="false">
      <c r="A15" s="31" t="s">
        <v>192</v>
      </c>
      <c r="B15" s="32" t="s">
        <v>188</v>
      </c>
      <c r="C15" s="32" t="s">
        <v>193</v>
      </c>
      <c r="D15" s="33"/>
      <c r="E15" s="34"/>
      <c r="F15" s="35"/>
      <c r="G15" s="34"/>
      <c r="H15" s="36"/>
      <c r="I15" s="34"/>
      <c r="J15" s="37" t="str">
        <f aca="true">IF(OR(E15="N.I.O",E15="bed. OK"),IF(I15="ja","erledigt",IF(AND(H15&lt;&gt;"",H15&lt;TODAY()),"überfällig","offen")),"")</f>
        <v/>
      </c>
      <c r="K15" s="38" t="str">
        <f aca="false">IF(OR(E15="N.I.O",E15="bed. OK"),Offset_maschine+COUNTIF($E$12:E15,"N.I.O")+COUNTIF($E$12:E15,"bed. OK"),"")</f>
        <v/>
      </c>
    </row>
    <row r="16" customFormat="false" ht="45" hidden="false" customHeight="true" outlineLevel="0" collapsed="false">
      <c r="A16" s="31" t="s">
        <v>194</v>
      </c>
      <c r="B16" s="32" t="s">
        <v>188</v>
      </c>
      <c r="C16" s="32" t="s">
        <v>195</v>
      </c>
      <c r="D16" s="33"/>
      <c r="E16" s="34"/>
      <c r="F16" s="35"/>
      <c r="G16" s="34"/>
      <c r="H16" s="36"/>
      <c r="I16" s="34"/>
      <c r="J16" s="37" t="str">
        <f aca="true">IF(OR(E16="N.I.O",E16="bed. OK"),IF(I16="ja","erledigt",IF(AND(H16&lt;&gt;"",H16&lt;TODAY()),"überfällig","offen")),"")</f>
        <v/>
      </c>
      <c r="K16" s="38" t="str">
        <f aca="false">IF(OR(E16="N.I.O",E16="bed. OK"),Offset_maschine+COUNTIF($E$12:E16,"N.I.O")+COUNTIF($E$12:E16,"bed. OK"),"")</f>
        <v/>
      </c>
    </row>
    <row r="17" customFormat="false" ht="45" hidden="false" customHeight="true" outlineLevel="0" collapsed="false">
      <c r="A17" s="31" t="s">
        <v>196</v>
      </c>
      <c r="B17" s="32" t="s">
        <v>188</v>
      </c>
      <c r="C17" s="32" t="s">
        <v>197</v>
      </c>
      <c r="D17" s="33"/>
      <c r="E17" s="34"/>
      <c r="F17" s="35"/>
      <c r="G17" s="34"/>
      <c r="H17" s="36"/>
      <c r="I17" s="34"/>
      <c r="J17" s="37" t="str">
        <f aca="true">IF(OR(E17="N.I.O",E17="bed. OK"),IF(I17="ja","erledigt",IF(AND(H17&lt;&gt;"",H17&lt;TODAY()),"überfällig","offen")),"")</f>
        <v/>
      </c>
      <c r="K17" s="38" t="str">
        <f aca="false">IF(OR(E17="N.I.O",E17="bed. OK"),Offset_maschine+COUNTIF($E$12:E17,"N.I.O")+COUNTIF($E$12:E17,"bed. OK"),"")</f>
        <v/>
      </c>
    </row>
    <row r="18" customFormat="false" ht="45" hidden="false" customHeight="true" outlineLevel="0" collapsed="false">
      <c r="A18" s="31" t="s">
        <v>198</v>
      </c>
      <c r="B18" s="32" t="s">
        <v>199</v>
      </c>
      <c r="C18" s="32" t="s">
        <v>200</v>
      </c>
      <c r="D18" s="33"/>
      <c r="E18" s="34"/>
      <c r="F18" s="35"/>
      <c r="G18" s="34"/>
      <c r="H18" s="36"/>
      <c r="I18" s="34"/>
      <c r="J18" s="37" t="str">
        <f aca="true">IF(OR(E18="N.I.O",E18="bed. OK"),IF(I18="ja","erledigt",IF(AND(H18&lt;&gt;"",H18&lt;TODAY()),"überfällig","offen")),"")</f>
        <v/>
      </c>
      <c r="K18" s="38" t="str">
        <f aca="false">IF(OR(E18="N.I.O",E18="bed. OK"),Offset_maschine+COUNTIF($E$12:E18,"N.I.O")+COUNTIF($E$12:E18,"bed. OK"),"")</f>
        <v/>
      </c>
    </row>
    <row r="19" customFormat="false" ht="45" hidden="false" customHeight="true" outlineLevel="0" collapsed="false">
      <c r="A19" s="31" t="s">
        <v>201</v>
      </c>
      <c r="B19" s="32" t="s">
        <v>199</v>
      </c>
      <c r="C19" s="32" t="s">
        <v>202</v>
      </c>
      <c r="D19" s="33"/>
      <c r="E19" s="34"/>
      <c r="F19" s="35"/>
      <c r="G19" s="34"/>
      <c r="H19" s="36"/>
      <c r="I19" s="34"/>
      <c r="J19" s="37" t="str">
        <f aca="true">IF(OR(E19="N.I.O",E19="bed. OK"),IF(I19="ja","erledigt",IF(AND(H19&lt;&gt;"",H19&lt;TODAY()),"überfällig","offen")),"")</f>
        <v/>
      </c>
      <c r="K19" s="38" t="str">
        <f aca="false">IF(OR(E19="N.I.O",E19="bed. OK"),Offset_maschine+COUNTIF($E$12:E19,"N.I.O")+COUNTIF($E$12:E19,"bed. OK"),"")</f>
        <v/>
      </c>
    </row>
    <row r="20" customFormat="false" ht="45" hidden="false" customHeight="true" outlineLevel="0" collapsed="false">
      <c r="A20" s="31" t="s">
        <v>203</v>
      </c>
      <c r="B20" s="32" t="s">
        <v>199</v>
      </c>
      <c r="C20" s="32" t="s">
        <v>204</v>
      </c>
      <c r="D20" s="33"/>
      <c r="E20" s="34"/>
      <c r="F20" s="35"/>
      <c r="G20" s="34"/>
      <c r="H20" s="36"/>
      <c r="I20" s="34"/>
      <c r="J20" s="37" t="str">
        <f aca="true">IF(OR(E20="N.I.O",E20="bed. OK"),IF(I20="ja","erledigt",IF(AND(H20&lt;&gt;"",H20&lt;TODAY()),"überfällig","offen")),"")</f>
        <v/>
      </c>
      <c r="K20" s="38" t="str">
        <f aca="false">IF(OR(E20="N.I.O",E20="bed. OK"),Offset_maschine+COUNTIF($E$12:E20,"N.I.O")+COUNTIF($E$12:E20,"bed. OK"),"")</f>
        <v/>
      </c>
    </row>
    <row r="21" customFormat="false" ht="45" hidden="false" customHeight="true" outlineLevel="0" collapsed="false">
      <c r="A21" s="31" t="s">
        <v>205</v>
      </c>
      <c r="B21" s="32" t="s">
        <v>199</v>
      </c>
      <c r="C21" s="32" t="s">
        <v>206</v>
      </c>
      <c r="D21" s="33"/>
      <c r="E21" s="34"/>
      <c r="F21" s="35"/>
      <c r="G21" s="34"/>
      <c r="H21" s="36"/>
      <c r="I21" s="34"/>
      <c r="J21" s="37" t="str">
        <f aca="true">IF(OR(E21="N.I.O",E21="bed. OK"),IF(I21="ja","erledigt",IF(AND(H21&lt;&gt;"",H21&lt;TODAY()),"überfällig","offen")),"")</f>
        <v/>
      </c>
      <c r="K21" s="38" t="str">
        <f aca="false">IF(OR(E21="N.I.O",E21="bed. OK"),Offset_maschine+COUNTIF($E$12:E21,"N.I.O")+COUNTIF($E$12:E21,"bed. OK"),"")</f>
        <v/>
      </c>
    </row>
    <row r="22" customFormat="false" ht="45" hidden="false" customHeight="true" outlineLevel="0" collapsed="false">
      <c r="A22" s="31" t="s">
        <v>68</v>
      </c>
      <c r="B22" s="32" t="s">
        <v>207</v>
      </c>
      <c r="C22" s="32" t="s">
        <v>208</v>
      </c>
      <c r="D22" s="33"/>
      <c r="E22" s="34"/>
      <c r="F22" s="35"/>
      <c r="G22" s="34"/>
      <c r="H22" s="36"/>
      <c r="I22" s="34"/>
      <c r="J22" s="37" t="str">
        <f aca="true">IF(OR(E22="N.I.O",E22="bed. OK"),IF(I22="ja","erledigt",IF(AND(H22&lt;&gt;"",H22&lt;TODAY()),"überfällig","offen")),"")</f>
        <v/>
      </c>
      <c r="K22" s="38" t="str">
        <f aca="false">IF(OR(E22="N.I.O",E22="bed. OK"),Offset_maschine+COUNTIF($E$12:E22,"N.I.O")+COUNTIF($E$12:E22,"bed. OK"),"")</f>
        <v/>
      </c>
    </row>
    <row r="23" customFormat="false" ht="30" hidden="false" customHeight="true" outlineLevel="0" collapsed="false">
      <c r="A23" s="31" t="s">
        <v>71</v>
      </c>
      <c r="B23" s="32" t="s">
        <v>207</v>
      </c>
      <c r="C23" s="32" t="s">
        <v>209</v>
      </c>
      <c r="D23" s="33"/>
      <c r="E23" s="34"/>
      <c r="F23" s="35"/>
      <c r="G23" s="34"/>
      <c r="H23" s="36"/>
      <c r="I23" s="34"/>
      <c r="J23" s="37" t="str">
        <f aca="true">IF(OR(E23="N.I.O",E23="bed. OK"),IF(I23="ja","erledigt",IF(AND(H23&lt;&gt;"",H23&lt;TODAY()),"überfällig","offen")),"")</f>
        <v/>
      </c>
      <c r="K23" s="38" t="str">
        <f aca="false">IF(OR(E23="N.I.O",E23="bed. OK"),Offset_maschine+COUNTIF($E$12:E23,"N.I.O")+COUNTIF($E$12:E23,"bed. OK"),"")</f>
        <v/>
      </c>
    </row>
    <row r="24" customFormat="false" ht="45" hidden="false" customHeight="true" outlineLevel="0" collapsed="false">
      <c r="A24" s="31" t="s">
        <v>210</v>
      </c>
      <c r="B24" s="32" t="s">
        <v>207</v>
      </c>
      <c r="C24" s="32" t="s">
        <v>211</v>
      </c>
      <c r="D24" s="33"/>
      <c r="E24" s="34"/>
      <c r="F24" s="35"/>
      <c r="G24" s="34"/>
      <c r="H24" s="36"/>
      <c r="I24" s="34"/>
      <c r="J24" s="37" t="str">
        <f aca="true">IF(OR(E24="N.I.O",E24="bed. OK"),IF(I24="ja","erledigt",IF(AND(H24&lt;&gt;"",H24&lt;TODAY()),"überfällig","offen")),"")</f>
        <v/>
      </c>
      <c r="K24" s="38" t="str">
        <f aca="false">IF(OR(E24="N.I.O",E24="bed. OK"),Offset_maschine+COUNTIF($E$12:E24,"N.I.O")+COUNTIF($E$12:E24,"bed. OK"),"")</f>
        <v/>
      </c>
    </row>
    <row r="26" customFormat="false" ht="15" hidden="false" customHeight="false" outlineLevel="0" collapsed="false">
      <c r="A26" s="3" t="s">
        <v>181</v>
      </c>
    </row>
    <row r="27" customFormat="false" ht="23.85" hidden="false" customHeight="false" outlineLevel="0" collapsed="false">
      <c r="A27" s="9"/>
      <c r="B27" s="9" t="s">
        <v>52</v>
      </c>
      <c r="C27" s="9" t="s">
        <v>16</v>
      </c>
      <c r="D27" s="9" t="s">
        <v>17</v>
      </c>
      <c r="E27" s="9" t="s">
        <v>18</v>
      </c>
      <c r="F27" s="9" t="s">
        <v>19</v>
      </c>
      <c r="G27" s="9" t="s">
        <v>20</v>
      </c>
      <c r="H27" s="9" t="s">
        <v>21</v>
      </c>
      <c r="I27" s="9" t="s">
        <v>22</v>
      </c>
    </row>
    <row r="28" customFormat="false" ht="15" hidden="false" customHeight="false" outlineLevel="0" collapsed="false">
      <c r="B28" s="26" t="s">
        <v>186</v>
      </c>
      <c r="C28" s="39" t="n">
        <f aca="false">COUNTIF($B$12:$B$24,B28)</f>
        <v>1</v>
      </c>
      <c r="D28" s="39" t="n">
        <f aca="false">COUNTIFS($B$12:$B$24,$B28,$E$12:$E$24,"N.I.O")</f>
        <v>0</v>
      </c>
      <c r="E28" s="39" t="n">
        <f aca="false">COUNTIFS($B$12:$B$24,$B28,$E$12:$E$24,"bed. OK")</f>
        <v>0</v>
      </c>
      <c r="F28" s="39" t="n">
        <f aca="false">COUNTIFS($B$12:$B$24,$B28,$E$12:$E$24,"OK")</f>
        <v>0</v>
      </c>
      <c r="G28" s="39" t="n">
        <f aca="false">COUNTIFS($B$12:$B$24,$B28,$E$12:$E$24,"n. b.")</f>
        <v>0</v>
      </c>
      <c r="H28" s="39" t="n">
        <f aca="false">C28-SUM(D28:G28)</f>
        <v>1</v>
      </c>
      <c r="I28" s="40" t="str">
        <f aca="false">IFERROR((F28+Gewicht_bedOK*E28)/(D28+E28+F28),"")</f>
        <v/>
      </c>
    </row>
    <row r="29" customFormat="false" ht="15" hidden="false" customHeight="false" outlineLevel="0" collapsed="false">
      <c r="B29" s="26" t="s">
        <v>188</v>
      </c>
      <c r="C29" s="39" t="n">
        <f aca="false">COUNTIF($B$12:$B$24,B29)</f>
        <v>5</v>
      </c>
      <c r="D29" s="39" t="n">
        <f aca="false">COUNTIFS($B$12:$B$24,$B29,$E$12:$E$24,"N.I.O")</f>
        <v>0</v>
      </c>
      <c r="E29" s="39" t="n">
        <f aca="false">COUNTIFS($B$12:$B$24,$B29,$E$12:$E$24,"bed. OK")</f>
        <v>0</v>
      </c>
      <c r="F29" s="39" t="n">
        <f aca="false">COUNTIFS($B$12:$B$24,$B29,$E$12:$E$24,"OK")</f>
        <v>0</v>
      </c>
      <c r="G29" s="39" t="n">
        <f aca="false">COUNTIFS($B$12:$B$24,$B29,$E$12:$E$24,"n. b.")</f>
        <v>0</v>
      </c>
      <c r="H29" s="39" t="n">
        <f aca="false">C29-SUM(D29:G29)</f>
        <v>5</v>
      </c>
      <c r="I29" s="40" t="str">
        <f aca="false">IFERROR((F29+Gewicht_bedOK*E29)/(D29+E29+F29),"")</f>
        <v/>
      </c>
    </row>
    <row r="30" customFormat="false" ht="15" hidden="false" customHeight="false" outlineLevel="0" collapsed="false">
      <c r="B30" s="26" t="s">
        <v>199</v>
      </c>
      <c r="C30" s="39" t="n">
        <f aca="false">COUNTIF($B$12:$B$24,B30)</f>
        <v>4</v>
      </c>
      <c r="D30" s="39" t="n">
        <f aca="false">COUNTIFS($B$12:$B$24,$B30,$E$12:$E$24,"N.I.O")</f>
        <v>0</v>
      </c>
      <c r="E30" s="39" t="n">
        <f aca="false">COUNTIFS($B$12:$B$24,$B30,$E$12:$E$24,"bed. OK")</f>
        <v>0</v>
      </c>
      <c r="F30" s="39" t="n">
        <f aca="false">COUNTIFS($B$12:$B$24,$B30,$E$12:$E$24,"OK")</f>
        <v>0</v>
      </c>
      <c r="G30" s="39" t="n">
        <f aca="false">COUNTIFS($B$12:$B$24,$B30,$E$12:$E$24,"n. b.")</f>
        <v>0</v>
      </c>
      <c r="H30" s="39" t="n">
        <f aca="false">C30-SUM(D30:G30)</f>
        <v>4</v>
      </c>
      <c r="I30" s="40" t="str">
        <f aca="false">IFERROR((F30+Gewicht_bedOK*E30)/(D30+E30+F30),"")</f>
        <v/>
      </c>
    </row>
    <row r="31" customFormat="false" ht="15" hidden="false" customHeight="false" outlineLevel="0" collapsed="false">
      <c r="B31" s="26" t="s">
        <v>207</v>
      </c>
      <c r="C31" s="39" t="n">
        <f aca="false">COUNTIF($B$12:$B$24,B31)</f>
        <v>3</v>
      </c>
      <c r="D31" s="39" t="n">
        <f aca="false">COUNTIFS($B$12:$B$24,$B31,$E$12:$E$24,"N.I.O")</f>
        <v>0</v>
      </c>
      <c r="E31" s="39" t="n">
        <f aca="false">COUNTIFS($B$12:$B$24,$B31,$E$12:$E$24,"bed. OK")</f>
        <v>0</v>
      </c>
      <c r="F31" s="39" t="n">
        <f aca="false">COUNTIFS($B$12:$B$24,$B31,$E$12:$E$24,"OK")</f>
        <v>0</v>
      </c>
      <c r="G31" s="39" t="n">
        <f aca="false">COUNTIFS($B$12:$B$24,$B31,$E$12:$E$24,"n. b.")</f>
        <v>0</v>
      </c>
      <c r="H31" s="39" t="n">
        <f aca="false">C31-SUM(D31:G31)</f>
        <v>3</v>
      </c>
      <c r="I31" s="40" t="str">
        <f aca="false">IFERROR((F31+Gewicht_bedOK*E31)/(D31+E31+F31),"")</f>
        <v/>
      </c>
    </row>
  </sheetData>
  <autoFilter ref="A11:K24"/>
  <mergeCells count="7">
    <mergeCell ref="C4:D4"/>
    <mergeCell ref="C5:D5"/>
    <mergeCell ref="I5:J6"/>
    <mergeCell ref="C6:D6"/>
    <mergeCell ref="C7:D7"/>
    <mergeCell ref="I7:J7"/>
    <mergeCell ref="C8:D8"/>
  </mergeCells>
  <conditionalFormatting sqref="I5">
    <cfRule type="expression" priority="2" aboveAverage="0" equalAverage="0" bottom="0" percent="0" rank="0" text="" dxfId="0">
      <formula>AND($I$5&lt;&gt;"",$I$5&gt;=Ampel_gruen)</formula>
    </cfRule>
    <cfRule type="expression" priority="3" aboveAverage="0" equalAverage="0" bottom="0" percent="0" rank="0" text="" dxfId="1">
      <formula>AND($I$5&lt;&gt;"",$I$5&gt;=Ampel_gelb,$I$5&lt;Ampel_gruen)</formula>
    </cfRule>
    <cfRule type="expression" priority="4" aboveAverage="0" equalAverage="0" bottom="0" percent="0" rank="0" text="" dxfId="2">
      <formula>AND($I$5&lt;&gt;"",$I$5&lt;Ampel_gelb)</formula>
    </cfRule>
  </conditionalFormatting>
  <conditionalFormatting sqref="I7">
    <cfRule type="expression" priority="5" aboveAverage="0" equalAverage="0" bottom="0" percent="0" rank="0" text="" dxfId="0">
      <formula>AND($I$5&lt;&gt;"",$I$5&gt;=Ampel_gruen)</formula>
    </cfRule>
    <cfRule type="expression" priority="6" aboveAverage="0" equalAverage="0" bottom="0" percent="0" rank="0" text="" dxfId="1">
      <formula>AND($I$5&lt;&gt;"",$I$5&gt;=Ampel_gelb,$I$5&lt;Ampel_gruen)</formula>
    </cfRule>
    <cfRule type="expression" priority="7" aboveAverage="0" equalAverage="0" bottom="0" percent="0" rank="0" text="" dxfId="2">
      <formula>AND($I$5&lt;&gt;"",$I$5&lt;Ampel_gelb)</formula>
    </cfRule>
  </conditionalFormatting>
  <conditionalFormatting sqref="E12:E24">
    <cfRule type="cellIs" priority="8" operator="equal" aboveAverage="0" equalAverage="0" bottom="0" percent="0" rank="0" text="" dxfId="11">
      <formula>"N.I.O"</formula>
    </cfRule>
    <cfRule type="cellIs" priority="9" operator="equal" aboveAverage="0" equalAverage="0" bottom="0" percent="0" rank="0" text="" dxfId="12">
      <formula>"bed. OK"</formula>
    </cfRule>
    <cfRule type="cellIs" priority="10" operator="equal" aboveAverage="0" equalAverage="0" bottom="0" percent="0" rank="0" text="" dxfId="13">
      <formula>"OK"</formula>
    </cfRule>
    <cfRule type="cellIs" priority="11" operator="equal" aboveAverage="0" equalAverage="0" bottom="0" percent="0" rank="0" text="" dxfId="14">
      <formula>"n. b."</formula>
    </cfRule>
  </conditionalFormatting>
  <conditionalFormatting sqref="J12:J24">
    <cfRule type="cellIs" priority="12" operator="equal" aboveAverage="0" equalAverage="0" bottom="0" percent="0" rank="0" text="" dxfId="2">
      <formula>"überfällig"</formula>
    </cfRule>
    <cfRule type="cellIs" priority="13" operator="equal" aboveAverage="0" equalAverage="0" bottom="0" percent="0" rank="0" text="" dxfId="1">
      <formula>"offen"</formula>
    </cfRule>
    <cfRule type="cellIs" priority="14" operator="equal" aboveAverage="0" equalAverage="0" bottom="0" percent="0" rank="0" text="" dxfId="0">
      <formula>"erledigt"</formula>
    </cfRule>
  </conditionalFormatting>
  <conditionalFormatting sqref="I28:I31">
    <cfRule type="expression" priority="15" aboveAverage="0" equalAverage="0" bottom="0" percent="0" rank="0" text="" dxfId="0">
      <formula>AND(I28&lt;&gt;"",I28&gt;=Ampel_gruen)</formula>
    </cfRule>
    <cfRule type="expression" priority="16" aboveAverage="0" equalAverage="0" bottom="0" percent="0" rank="0" text="" dxfId="1">
      <formula>AND(I28&lt;&gt;"",I28&gt;=Ampel_gelb,I28&lt;Ampel_gruen)</formula>
    </cfRule>
    <cfRule type="expression" priority="17" aboveAverage="0" equalAverage="0" bottom="0" percent="0" rank="0" text="" dxfId="2">
      <formula>AND(I28&lt;&gt;"",I28&lt;Ampel_gelb)</formula>
    </cfRule>
  </conditionalFormatting>
  <dataValidations count="3">
    <dataValidation allowBlank="true" error="Bitte ein Datum eingeben (TT.MM.JJJJ)." errorStyle="stop" operator="greaterThan" showDropDown="false" showErrorMessage="false" showInputMessage="false" sqref="C6 H12:H24" type="date">
      <formula1>36526</formula1>
      <formula2>0</formula2>
    </dataValidation>
    <dataValidation allowBlank="true" error="Bitte N.I.O, bed. OK, OK oder n. b. wählen." errorStyle="stop" errorTitle="Bewertung" operator="between" showDropDown="false" showErrorMessage="false" showInputMessage="false" sqref="E12:E24" type="list">
      <formula1>"N.I.O,bed. OK,OK,n. b."</formula1>
      <formula2>0</formula2>
    </dataValidation>
    <dataValidation allowBlank="true" errorStyle="stop" operator="between" showDropDown="false" showErrorMessage="false" showInputMessage="false" sqref="I12:I24" type="list">
      <formula1>"ja,nein"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3A13D"/>
    <pageSetUpPr fitToPage="true"/>
  </sheetPr>
  <dimension ref="A1:K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1" topLeftCell="C12" activePane="bottomRight" state="frozen"/>
      <selection pane="topLeft" activeCell="A1" activeCellId="0" sqref="A1"/>
      <selection pane="topRight" activeCell="C1" activeCellId="0" sqref="C1"/>
      <selection pane="bottomLeft" activeCell="A12" activeCellId="0" sqref="A1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52"/>
    <col collapsed="false" customWidth="true" hidden="false" outlineLevel="0" max="4" min="4" style="0" width="32"/>
    <col collapsed="false" customWidth="true" hidden="false" outlineLevel="0" max="5" min="5" style="0" width="12"/>
    <col collapsed="false" customWidth="true" hidden="false" outlineLevel="0" max="6" min="6" style="0" width="38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9"/>
  </cols>
  <sheetData>
    <row r="1" customFormat="false" ht="19.7" hidden="false" customHeight="false" outlineLevel="0" collapsed="false">
      <c r="A1" s="1" t="s">
        <v>212</v>
      </c>
    </row>
    <row r="2" customFormat="false" ht="15" hidden="false" customHeight="false" outlineLevel="0" collapsed="false">
      <c r="A2" s="2" t="s">
        <v>213</v>
      </c>
    </row>
    <row r="3" customFormat="false" ht="15" hidden="false" customHeight="false" outlineLevel="0" collapsed="false">
      <c r="G3" s="24" t="s">
        <v>47</v>
      </c>
    </row>
    <row r="4" customFormat="false" ht="15" hidden="false" customHeight="false" outlineLevel="0" collapsed="false">
      <c r="A4" s="25" t="s">
        <v>30</v>
      </c>
      <c r="C4" s="5"/>
      <c r="D4" s="5"/>
      <c r="G4" s="26" t="s">
        <v>17</v>
      </c>
      <c r="H4" s="27" t="n">
        <f aca="false">COUNTIF($E$12:$E$21,"N.I.O")</f>
        <v>0</v>
      </c>
      <c r="I4" s="25" t="s">
        <v>22</v>
      </c>
    </row>
    <row r="5" customFormat="false" ht="15" hidden="false" customHeight="false" outlineLevel="0" collapsed="false">
      <c r="A5" s="25" t="s">
        <v>49</v>
      </c>
      <c r="C5" s="5"/>
      <c r="D5" s="5"/>
      <c r="G5" s="26" t="s">
        <v>18</v>
      </c>
      <c r="H5" s="27" t="n">
        <f aca="false">COUNTIF($E$12:$E$21,"bed. OK")</f>
        <v>0</v>
      </c>
      <c r="I5" s="28" t="str">
        <f aca="false">IFERROR((H6+Gewicht_bedOK*H5)/(H4+H5+H6),"")</f>
        <v/>
      </c>
      <c r="J5" s="28"/>
    </row>
    <row r="6" customFormat="false" ht="15" hidden="false" customHeight="false" outlineLevel="0" collapsed="false">
      <c r="A6" s="25" t="s">
        <v>14</v>
      </c>
      <c r="C6" s="29"/>
      <c r="D6" s="29"/>
      <c r="G6" s="26" t="s">
        <v>19</v>
      </c>
      <c r="H6" s="27" t="n">
        <f aca="false">COUNTIF($E$12:$E$21,"OK")</f>
        <v>0</v>
      </c>
      <c r="I6" s="28"/>
      <c r="J6" s="28"/>
    </row>
    <row r="7" customFormat="false" ht="15" hidden="false" customHeight="false" outlineLevel="0" collapsed="false">
      <c r="A7" s="25" t="s">
        <v>15</v>
      </c>
      <c r="C7" s="5"/>
      <c r="D7" s="5"/>
      <c r="G7" s="26" t="s">
        <v>20</v>
      </c>
      <c r="H7" s="27" t="n">
        <f aca="false">COUNTIF($E$12:$E$21,"n. b.")</f>
        <v>0</v>
      </c>
      <c r="I7" s="30" t="str">
        <f aca="false">IF(I5="","nicht bewertet",IF(I5&gt;=Ampel_gruen,"gut",IF(I5&gt;=Ampel_gelb,"mittel","kritisch")))</f>
        <v>nicht bewertet</v>
      </c>
      <c r="J7" s="30"/>
    </row>
    <row r="8" customFormat="false" ht="15" hidden="false" customHeight="false" outlineLevel="0" collapsed="false">
      <c r="A8" s="25" t="s">
        <v>48</v>
      </c>
      <c r="C8" s="5"/>
      <c r="D8" s="5"/>
      <c r="G8" s="26" t="s">
        <v>21</v>
      </c>
      <c r="H8" s="27" t="n">
        <f aca="false">10-SUM(H4:H7)</f>
        <v>10</v>
      </c>
    </row>
    <row r="9" customFormat="false" ht="15" hidden="false" customHeight="false" outlineLevel="0" collapsed="false">
      <c r="G9" s="6" t="s">
        <v>50</v>
      </c>
    </row>
    <row r="11" customFormat="false" ht="15" hidden="false" customHeight="false" outlineLevel="0" collapsed="false">
      <c r="A11" s="9" t="s">
        <v>51</v>
      </c>
      <c r="B11" s="9" t="s">
        <v>52</v>
      </c>
      <c r="C11" s="9" t="s">
        <v>53</v>
      </c>
      <c r="D11" s="9" t="s">
        <v>185</v>
      </c>
      <c r="E11" s="9" t="s">
        <v>55</v>
      </c>
      <c r="F11" s="9" t="s">
        <v>56</v>
      </c>
      <c r="G11" s="9" t="s">
        <v>57</v>
      </c>
      <c r="H11" s="9" t="s">
        <v>58</v>
      </c>
      <c r="I11" s="9" t="s">
        <v>59</v>
      </c>
      <c r="J11" s="9" t="s">
        <v>36</v>
      </c>
      <c r="K11" s="9" t="s">
        <v>60</v>
      </c>
    </row>
    <row r="12" customFormat="false" ht="30" hidden="false" customHeight="true" outlineLevel="0" collapsed="false">
      <c r="A12" s="31" t="s">
        <v>61</v>
      </c>
      <c r="B12" s="32" t="s">
        <v>186</v>
      </c>
      <c r="C12" s="32" t="s">
        <v>214</v>
      </c>
      <c r="D12" s="33"/>
      <c r="E12" s="34"/>
      <c r="F12" s="35"/>
      <c r="G12" s="34"/>
      <c r="H12" s="36"/>
      <c r="I12" s="34"/>
      <c r="J12" s="37" t="str">
        <f aca="true">IF(OR(E12="N.I.O",E12="bed. OK"),IF(I12="ja","erledigt",IF(AND(H12&lt;&gt;"",H12&lt;TODAY()),"überfällig","offen")),"")</f>
        <v/>
      </c>
      <c r="K12" s="38" t="str">
        <f aca="false">IF(OR(E12="N.I.O",E12="bed. OK"),Offset_werkzeug+COUNTIF($E$12:E12,"N.I.O")+COUNTIF($E$12:E12,"bed. OK"),"")</f>
        <v/>
      </c>
    </row>
    <row r="13" customFormat="false" ht="30" hidden="false" customHeight="true" outlineLevel="0" collapsed="false">
      <c r="A13" s="31" t="s">
        <v>215</v>
      </c>
      <c r="B13" s="32" t="s">
        <v>186</v>
      </c>
      <c r="C13" s="32" t="s">
        <v>216</v>
      </c>
      <c r="D13" s="33"/>
      <c r="E13" s="34"/>
      <c r="F13" s="35"/>
      <c r="G13" s="34"/>
      <c r="H13" s="36"/>
      <c r="I13" s="34"/>
      <c r="J13" s="37" t="str">
        <f aca="true">IF(OR(E13="N.I.O",E13="bed. OK"),IF(I13="ja","erledigt",IF(AND(H13&lt;&gt;"",H13&lt;TODAY()),"überfällig","offen")),"")</f>
        <v/>
      </c>
      <c r="K13" s="38" t="str">
        <f aca="false">IF(OR(E13="N.I.O",E13="bed. OK"),Offset_werkzeug+COUNTIF($E$12:E13,"N.I.O")+COUNTIF($E$12:E13,"bed. OK"),"")</f>
        <v/>
      </c>
    </row>
    <row r="14" customFormat="false" ht="30" hidden="false" customHeight="true" outlineLevel="0" collapsed="false">
      <c r="A14" s="31" t="s">
        <v>217</v>
      </c>
      <c r="B14" s="32" t="s">
        <v>186</v>
      </c>
      <c r="C14" s="32" t="s">
        <v>218</v>
      </c>
      <c r="D14" s="33"/>
      <c r="E14" s="34"/>
      <c r="F14" s="35"/>
      <c r="G14" s="34"/>
      <c r="H14" s="36"/>
      <c r="I14" s="34"/>
      <c r="J14" s="37" t="str">
        <f aca="true">IF(OR(E14="N.I.O",E14="bed. OK"),IF(I14="ja","erledigt",IF(AND(H14&lt;&gt;"",H14&lt;TODAY()),"überfällig","offen")),"")</f>
        <v/>
      </c>
      <c r="K14" s="38" t="str">
        <f aca="false">IF(OR(E14="N.I.O",E14="bed. OK"),Offset_werkzeug+COUNTIF($E$12:E14,"N.I.O")+COUNTIF($E$12:E14,"bed. OK"),"")</f>
        <v/>
      </c>
    </row>
    <row r="15" customFormat="false" ht="30" hidden="false" customHeight="true" outlineLevel="0" collapsed="false">
      <c r="A15" s="31" t="s">
        <v>219</v>
      </c>
      <c r="B15" s="32" t="s">
        <v>186</v>
      </c>
      <c r="C15" s="32" t="s">
        <v>220</v>
      </c>
      <c r="D15" s="33"/>
      <c r="E15" s="34"/>
      <c r="F15" s="35"/>
      <c r="G15" s="34"/>
      <c r="H15" s="36"/>
      <c r="I15" s="34"/>
      <c r="J15" s="37" t="str">
        <f aca="true">IF(OR(E15="N.I.O",E15="bed. OK"),IF(I15="ja","erledigt",IF(AND(H15&lt;&gt;"",H15&lt;TODAY()),"überfällig","offen")),"")</f>
        <v/>
      </c>
      <c r="K15" s="38" t="str">
        <f aca="false">IF(OR(E15="N.I.O",E15="bed. OK"),Offset_werkzeug+COUNTIF($E$12:E15,"N.I.O")+COUNTIF($E$12:E15,"bed. OK"),"")</f>
        <v/>
      </c>
    </row>
    <row r="16" customFormat="false" ht="30" hidden="false" customHeight="true" outlineLevel="0" collapsed="false">
      <c r="A16" s="31" t="s">
        <v>65</v>
      </c>
      <c r="B16" s="32" t="s">
        <v>221</v>
      </c>
      <c r="C16" s="32" t="s">
        <v>222</v>
      </c>
      <c r="D16" s="33"/>
      <c r="E16" s="34"/>
      <c r="F16" s="35"/>
      <c r="G16" s="34"/>
      <c r="H16" s="36"/>
      <c r="I16" s="34"/>
      <c r="J16" s="37" t="str">
        <f aca="true">IF(OR(E16="N.I.O",E16="bed. OK"),IF(I16="ja","erledigt",IF(AND(H16&lt;&gt;"",H16&lt;TODAY()),"überfällig","offen")),"")</f>
        <v/>
      </c>
      <c r="K16" s="38" t="str">
        <f aca="false">IF(OR(E16="N.I.O",E16="bed. OK"),Offset_werkzeug+COUNTIF($E$12:E16,"N.I.O")+COUNTIF($E$12:E16,"bed. OK"),"")</f>
        <v/>
      </c>
    </row>
    <row r="17" customFormat="false" ht="30" hidden="false" customHeight="true" outlineLevel="0" collapsed="false">
      <c r="A17" s="31" t="s">
        <v>68</v>
      </c>
      <c r="B17" s="32" t="s">
        <v>223</v>
      </c>
      <c r="C17" s="32" t="s">
        <v>224</v>
      </c>
      <c r="D17" s="33"/>
      <c r="E17" s="34"/>
      <c r="F17" s="35"/>
      <c r="G17" s="34"/>
      <c r="H17" s="36"/>
      <c r="I17" s="34"/>
      <c r="J17" s="37" t="str">
        <f aca="true">IF(OR(E17="N.I.O",E17="bed. OK"),IF(I17="ja","erledigt",IF(AND(H17&lt;&gt;"",H17&lt;TODAY()),"überfällig","offen")),"")</f>
        <v/>
      </c>
      <c r="K17" s="38" t="str">
        <f aca="false">IF(OR(E17="N.I.O",E17="bed. OK"),Offset_werkzeug+COUNTIF($E$12:E17,"N.I.O")+COUNTIF($E$12:E17,"bed. OK"),"")</f>
        <v/>
      </c>
    </row>
    <row r="18" customFormat="false" ht="45" hidden="false" customHeight="true" outlineLevel="0" collapsed="false">
      <c r="A18" s="31" t="s">
        <v>225</v>
      </c>
      <c r="B18" s="32" t="s">
        <v>223</v>
      </c>
      <c r="C18" s="32" t="s">
        <v>226</v>
      </c>
      <c r="D18" s="33"/>
      <c r="E18" s="34"/>
      <c r="F18" s="35"/>
      <c r="G18" s="34"/>
      <c r="H18" s="36"/>
      <c r="I18" s="34"/>
      <c r="J18" s="37" t="str">
        <f aca="true">IF(OR(E18="N.I.O",E18="bed. OK"),IF(I18="ja","erledigt",IF(AND(H18&lt;&gt;"",H18&lt;TODAY()),"überfällig","offen")),"")</f>
        <v/>
      </c>
      <c r="K18" s="38" t="str">
        <f aca="false">IF(OR(E18="N.I.O",E18="bed. OK"),Offset_werkzeug+COUNTIF($E$12:E18,"N.I.O")+COUNTIF($E$12:E18,"bed. OK"),"")</f>
        <v/>
      </c>
    </row>
    <row r="19" customFormat="false" ht="45" hidden="false" customHeight="true" outlineLevel="0" collapsed="false">
      <c r="A19" s="31" t="s">
        <v>71</v>
      </c>
      <c r="B19" s="32" t="s">
        <v>227</v>
      </c>
      <c r="C19" s="32" t="s">
        <v>228</v>
      </c>
      <c r="D19" s="33"/>
      <c r="E19" s="34"/>
      <c r="F19" s="35"/>
      <c r="G19" s="34"/>
      <c r="H19" s="36"/>
      <c r="I19" s="34"/>
      <c r="J19" s="37" t="str">
        <f aca="true">IF(OR(E19="N.I.O",E19="bed. OK"),IF(I19="ja","erledigt",IF(AND(H19&lt;&gt;"",H19&lt;TODAY()),"überfällig","offen")),"")</f>
        <v/>
      </c>
      <c r="K19" s="38" t="str">
        <f aca="false">IF(OR(E19="N.I.O",E19="bed. OK"),Offset_werkzeug+COUNTIF($E$12:E19,"N.I.O")+COUNTIF($E$12:E19,"bed. OK"),"")</f>
        <v/>
      </c>
    </row>
    <row r="20" customFormat="false" ht="45" hidden="false" customHeight="true" outlineLevel="0" collapsed="false">
      <c r="A20" s="31" t="s">
        <v>74</v>
      </c>
      <c r="B20" s="32" t="s">
        <v>229</v>
      </c>
      <c r="C20" s="32" t="s">
        <v>230</v>
      </c>
      <c r="D20" s="33"/>
      <c r="E20" s="34"/>
      <c r="F20" s="35"/>
      <c r="G20" s="34"/>
      <c r="H20" s="36"/>
      <c r="I20" s="34"/>
      <c r="J20" s="37" t="str">
        <f aca="true">IF(OR(E20="N.I.O",E20="bed. OK"),IF(I20="ja","erledigt",IF(AND(H20&lt;&gt;"",H20&lt;TODAY()),"überfällig","offen")),"")</f>
        <v/>
      </c>
      <c r="K20" s="38" t="str">
        <f aca="false">IF(OR(E20="N.I.O",E20="bed. OK"),Offset_werkzeug+COUNTIF($E$12:E20,"N.I.O")+COUNTIF($E$12:E20,"bed. OK"),"")</f>
        <v/>
      </c>
    </row>
    <row r="21" customFormat="false" ht="30" hidden="false" customHeight="true" outlineLevel="0" collapsed="false">
      <c r="A21" s="31" t="s">
        <v>231</v>
      </c>
      <c r="B21" s="32" t="s">
        <v>229</v>
      </c>
      <c r="C21" s="32" t="s">
        <v>232</v>
      </c>
      <c r="D21" s="33"/>
      <c r="E21" s="34"/>
      <c r="F21" s="35"/>
      <c r="G21" s="34"/>
      <c r="H21" s="36"/>
      <c r="I21" s="34"/>
      <c r="J21" s="37" t="str">
        <f aca="true">IF(OR(E21="N.I.O",E21="bed. OK"),IF(I21="ja","erledigt",IF(AND(H21&lt;&gt;"",H21&lt;TODAY()),"überfällig","offen")),"")</f>
        <v/>
      </c>
      <c r="K21" s="38" t="str">
        <f aca="false">IF(OR(E21="N.I.O",E21="bed. OK"),Offset_werkzeug+COUNTIF($E$12:E21,"N.I.O")+COUNTIF($E$12:E21,"bed. OK"),"")</f>
        <v/>
      </c>
    </row>
    <row r="23" customFormat="false" ht="15" hidden="false" customHeight="false" outlineLevel="0" collapsed="false">
      <c r="A23" s="3" t="s">
        <v>181</v>
      </c>
    </row>
    <row r="24" customFormat="false" ht="23.85" hidden="false" customHeight="false" outlineLevel="0" collapsed="false">
      <c r="A24" s="9"/>
      <c r="B24" s="9" t="s">
        <v>52</v>
      </c>
      <c r="C24" s="9" t="s">
        <v>16</v>
      </c>
      <c r="D24" s="9" t="s">
        <v>17</v>
      </c>
      <c r="E24" s="9" t="s">
        <v>18</v>
      </c>
      <c r="F24" s="9" t="s">
        <v>19</v>
      </c>
      <c r="G24" s="9" t="s">
        <v>20</v>
      </c>
      <c r="H24" s="9" t="s">
        <v>21</v>
      </c>
      <c r="I24" s="9" t="s">
        <v>22</v>
      </c>
    </row>
    <row r="25" customFormat="false" ht="15" hidden="false" customHeight="false" outlineLevel="0" collapsed="false">
      <c r="B25" s="26" t="s">
        <v>186</v>
      </c>
      <c r="C25" s="39" t="n">
        <f aca="false">COUNTIF($B$12:$B$21,B25)</f>
        <v>4</v>
      </c>
      <c r="D25" s="39" t="n">
        <f aca="false">COUNTIFS($B$12:$B$21,$B25,$E$12:$E$21,"N.I.O")</f>
        <v>0</v>
      </c>
      <c r="E25" s="39" t="n">
        <f aca="false">COUNTIFS($B$12:$B$21,$B25,$E$12:$E$21,"bed. OK")</f>
        <v>0</v>
      </c>
      <c r="F25" s="39" t="n">
        <f aca="false">COUNTIFS($B$12:$B$21,$B25,$E$12:$E$21,"OK")</f>
        <v>0</v>
      </c>
      <c r="G25" s="39" t="n">
        <f aca="false">COUNTIFS($B$12:$B$21,$B25,$E$12:$E$21,"n. b.")</f>
        <v>0</v>
      </c>
      <c r="H25" s="39" t="n">
        <f aca="false">C25-SUM(D25:G25)</f>
        <v>4</v>
      </c>
      <c r="I25" s="40" t="str">
        <f aca="false">IFERROR((F25+Gewicht_bedOK*E25)/(D25+E25+F25),"")</f>
        <v/>
      </c>
    </row>
    <row r="26" customFormat="false" ht="15" hidden="false" customHeight="false" outlineLevel="0" collapsed="false">
      <c r="B26" s="26" t="s">
        <v>221</v>
      </c>
      <c r="C26" s="39" t="n">
        <f aca="false">COUNTIF($B$12:$B$21,B26)</f>
        <v>1</v>
      </c>
      <c r="D26" s="39" t="n">
        <f aca="false">COUNTIFS($B$12:$B$21,$B26,$E$12:$E$21,"N.I.O")</f>
        <v>0</v>
      </c>
      <c r="E26" s="39" t="n">
        <f aca="false">COUNTIFS($B$12:$B$21,$B26,$E$12:$E$21,"bed. OK")</f>
        <v>0</v>
      </c>
      <c r="F26" s="39" t="n">
        <f aca="false">COUNTIFS($B$12:$B$21,$B26,$E$12:$E$21,"OK")</f>
        <v>0</v>
      </c>
      <c r="G26" s="39" t="n">
        <f aca="false">COUNTIFS($B$12:$B$21,$B26,$E$12:$E$21,"n. b.")</f>
        <v>0</v>
      </c>
      <c r="H26" s="39" t="n">
        <f aca="false">C26-SUM(D26:G26)</f>
        <v>1</v>
      </c>
      <c r="I26" s="40" t="str">
        <f aca="false">IFERROR((F26+Gewicht_bedOK*E26)/(D26+E26+F26),"")</f>
        <v/>
      </c>
    </row>
    <row r="27" customFormat="false" ht="15" hidden="false" customHeight="false" outlineLevel="0" collapsed="false">
      <c r="B27" s="26" t="s">
        <v>223</v>
      </c>
      <c r="C27" s="39" t="n">
        <f aca="false">COUNTIF($B$12:$B$21,B27)</f>
        <v>2</v>
      </c>
      <c r="D27" s="39" t="n">
        <f aca="false">COUNTIFS($B$12:$B$21,$B27,$E$12:$E$21,"N.I.O")</f>
        <v>0</v>
      </c>
      <c r="E27" s="39" t="n">
        <f aca="false">COUNTIFS($B$12:$B$21,$B27,$E$12:$E$21,"bed. OK")</f>
        <v>0</v>
      </c>
      <c r="F27" s="39" t="n">
        <f aca="false">COUNTIFS($B$12:$B$21,$B27,$E$12:$E$21,"OK")</f>
        <v>0</v>
      </c>
      <c r="G27" s="39" t="n">
        <f aca="false">COUNTIFS($B$12:$B$21,$B27,$E$12:$E$21,"n. b.")</f>
        <v>0</v>
      </c>
      <c r="H27" s="39" t="n">
        <f aca="false">C27-SUM(D27:G27)</f>
        <v>2</v>
      </c>
      <c r="I27" s="40" t="str">
        <f aca="false">IFERROR((F27+Gewicht_bedOK*E27)/(D27+E27+F27),"")</f>
        <v/>
      </c>
    </row>
    <row r="28" customFormat="false" ht="15" hidden="false" customHeight="false" outlineLevel="0" collapsed="false">
      <c r="B28" s="26" t="s">
        <v>227</v>
      </c>
      <c r="C28" s="39" t="n">
        <f aca="false">COUNTIF($B$12:$B$21,B28)</f>
        <v>1</v>
      </c>
      <c r="D28" s="39" t="n">
        <f aca="false">COUNTIFS($B$12:$B$21,$B28,$E$12:$E$21,"N.I.O")</f>
        <v>0</v>
      </c>
      <c r="E28" s="39" t="n">
        <f aca="false">COUNTIFS($B$12:$B$21,$B28,$E$12:$E$21,"bed. OK")</f>
        <v>0</v>
      </c>
      <c r="F28" s="39" t="n">
        <f aca="false">COUNTIFS($B$12:$B$21,$B28,$E$12:$E$21,"OK")</f>
        <v>0</v>
      </c>
      <c r="G28" s="39" t="n">
        <f aca="false">COUNTIFS($B$12:$B$21,$B28,$E$12:$E$21,"n. b.")</f>
        <v>0</v>
      </c>
      <c r="H28" s="39" t="n">
        <f aca="false">C28-SUM(D28:G28)</f>
        <v>1</v>
      </c>
      <c r="I28" s="40" t="str">
        <f aca="false">IFERROR((F28+Gewicht_bedOK*E28)/(D28+E28+F28),"")</f>
        <v/>
      </c>
    </row>
    <row r="29" customFormat="false" ht="15" hidden="false" customHeight="false" outlineLevel="0" collapsed="false">
      <c r="B29" s="26" t="s">
        <v>229</v>
      </c>
      <c r="C29" s="39" t="n">
        <f aca="false">COUNTIF($B$12:$B$21,B29)</f>
        <v>2</v>
      </c>
      <c r="D29" s="39" t="n">
        <f aca="false">COUNTIFS($B$12:$B$21,$B29,$E$12:$E$21,"N.I.O")</f>
        <v>0</v>
      </c>
      <c r="E29" s="39" t="n">
        <f aca="false">COUNTIFS($B$12:$B$21,$B29,$E$12:$E$21,"bed. OK")</f>
        <v>0</v>
      </c>
      <c r="F29" s="39" t="n">
        <f aca="false">COUNTIFS($B$12:$B$21,$B29,$E$12:$E$21,"OK")</f>
        <v>0</v>
      </c>
      <c r="G29" s="39" t="n">
        <f aca="false">COUNTIFS($B$12:$B$21,$B29,$E$12:$E$21,"n. b.")</f>
        <v>0</v>
      </c>
      <c r="H29" s="39" t="n">
        <f aca="false">C29-SUM(D29:G29)</f>
        <v>2</v>
      </c>
      <c r="I29" s="40" t="str">
        <f aca="false">IFERROR((F29+Gewicht_bedOK*E29)/(D29+E29+F29),"")</f>
        <v/>
      </c>
    </row>
  </sheetData>
  <autoFilter ref="A11:K21"/>
  <mergeCells count="7">
    <mergeCell ref="C4:D4"/>
    <mergeCell ref="C5:D5"/>
    <mergeCell ref="I5:J6"/>
    <mergeCell ref="C6:D6"/>
    <mergeCell ref="C7:D7"/>
    <mergeCell ref="I7:J7"/>
    <mergeCell ref="C8:D8"/>
  </mergeCells>
  <conditionalFormatting sqref="I5">
    <cfRule type="expression" priority="2" aboveAverage="0" equalAverage="0" bottom="0" percent="0" rank="0" text="" dxfId="0">
      <formula>AND($I$5&lt;&gt;"",$I$5&gt;=Ampel_gruen)</formula>
    </cfRule>
    <cfRule type="expression" priority="3" aboveAverage="0" equalAverage="0" bottom="0" percent="0" rank="0" text="" dxfId="1">
      <formula>AND($I$5&lt;&gt;"",$I$5&gt;=Ampel_gelb,$I$5&lt;Ampel_gruen)</formula>
    </cfRule>
    <cfRule type="expression" priority="4" aboveAverage="0" equalAverage="0" bottom="0" percent="0" rank="0" text="" dxfId="2">
      <formula>AND($I$5&lt;&gt;"",$I$5&lt;Ampel_gelb)</formula>
    </cfRule>
  </conditionalFormatting>
  <conditionalFormatting sqref="I7">
    <cfRule type="expression" priority="5" aboveAverage="0" equalAverage="0" bottom="0" percent="0" rank="0" text="" dxfId="0">
      <formula>AND($I$5&lt;&gt;"",$I$5&gt;=Ampel_gruen)</formula>
    </cfRule>
    <cfRule type="expression" priority="6" aboveAverage="0" equalAverage="0" bottom="0" percent="0" rank="0" text="" dxfId="1">
      <formula>AND($I$5&lt;&gt;"",$I$5&gt;=Ampel_gelb,$I$5&lt;Ampel_gruen)</formula>
    </cfRule>
    <cfRule type="expression" priority="7" aboveAverage="0" equalAverage="0" bottom="0" percent="0" rank="0" text="" dxfId="2">
      <formula>AND($I$5&lt;&gt;"",$I$5&lt;Ampel_gelb)</formula>
    </cfRule>
  </conditionalFormatting>
  <conditionalFormatting sqref="E12:E21">
    <cfRule type="cellIs" priority="8" operator="equal" aboveAverage="0" equalAverage="0" bottom="0" percent="0" rank="0" text="" dxfId="11">
      <formula>"N.I.O"</formula>
    </cfRule>
    <cfRule type="cellIs" priority="9" operator="equal" aboveAverage="0" equalAverage="0" bottom="0" percent="0" rank="0" text="" dxfId="12">
      <formula>"bed. OK"</formula>
    </cfRule>
    <cfRule type="cellIs" priority="10" operator="equal" aboveAverage="0" equalAverage="0" bottom="0" percent="0" rank="0" text="" dxfId="13">
      <formula>"OK"</formula>
    </cfRule>
    <cfRule type="cellIs" priority="11" operator="equal" aboveAverage="0" equalAverage="0" bottom="0" percent="0" rank="0" text="" dxfId="14">
      <formula>"n. b."</formula>
    </cfRule>
  </conditionalFormatting>
  <conditionalFormatting sqref="J12:J21">
    <cfRule type="cellIs" priority="12" operator="equal" aboveAverage="0" equalAverage="0" bottom="0" percent="0" rank="0" text="" dxfId="2">
      <formula>"überfällig"</formula>
    </cfRule>
    <cfRule type="cellIs" priority="13" operator="equal" aboveAverage="0" equalAverage="0" bottom="0" percent="0" rank="0" text="" dxfId="1">
      <formula>"offen"</formula>
    </cfRule>
    <cfRule type="cellIs" priority="14" operator="equal" aboveAverage="0" equalAverage="0" bottom="0" percent="0" rank="0" text="" dxfId="0">
      <formula>"erledigt"</formula>
    </cfRule>
  </conditionalFormatting>
  <conditionalFormatting sqref="I25:I29">
    <cfRule type="expression" priority="15" aboveAverage="0" equalAverage="0" bottom="0" percent="0" rank="0" text="" dxfId="0">
      <formula>AND(I25&lt;&gt;"",I25&gt;=Ampel_gruen)</formula>
    </cfRule>
    <cfRule type="expression" priority="16" aboveAverage="0" equalAverage="0" bottom="0" percent="0" rank="0" text="" dxfId="1">
      <formula>AND(I25&lt;&gt;"",I25&gt;=Ampel_gelb,I25&lt;Ampel_gruen)</formula>
    </cfRule>
    <cfRule type="expression" priority="17" aboveAverage="0" equalAverage="0" bottom="0" percent="0" rank="0" text="" dxfId="2">
      <formula>AND(I25&lt;&gt;"",I25&lt;Ampel_gelb)</formula>
    </cfRule>
  </conditionalFormatting>
  <dataValidations count="3">
    <dataValidation allowBlank="true" error="Bitte ein Datum eingeben (TT.MM.JJJJ)." errorStyle="stop" operator="greaterThan" showDropDown="false" showErrorMessage="false" showInputMessage="false" sqref="C6 H12:H21" type="date">
      <formula1>36526</formula1>
      <formula2>0</formula2>
    </dataValidation>
    <dataValidation allowBlank="true" error="Bitte N.I.O, bed. OK, OK oder n. b. wählen." errorStyle="stop" errorTitle="Bewertung" operator="between" showDropDown="false" showErrorMessage="false" showInputMessage="false" sqref="E12:E21" type="list">
      <formula1>"N.I.O,bed. OK,OK,n. b."</formula1>
      <formula2>0</formula2>
    </dataValidation>
    <dataValidation allowBlank="true" errorStyle="stop" operator="between" showDropDown="false" showErrorMessage="false" showInputMessage="false" sqref="I12:I21" type="list">
      <formula1>"ja,nein"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3A13D"/>
    <pageSetUpPr fitToPage="true"/>
  </sheetPr>
  <dimension ref="A1:K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1" topLeftCell="C12" activePane="bottomRight" state="frozen"/>
      <selection pane="topLeft" activeCell="A1" activeCellId="0" sqref="A1"/>
      <selection pane="topRight" activeCell="C1" activeCellId="0" sqref="C1"/>
      <selection pane="bottomLeft" activeCell="A12" activeCellId="0" sqref="A1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52"/>
    <col collapsed="false" customWidth="true" hidden="false" outlineLevel="0" max="4" min="4" style="0" width="32"/>
    <col collapsed="false" customWidth="true" hidden="false" outlineLevel="0" max="5" min="5" style="0" width="12"/>
    <col collapsed="false" customWidth="true" hidden="false" outlineLevel="0" max="6" min="6" style="0" width="38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9"/>
  </cols>
  <sheetData>
    <row r="1" customFormat="false" ht="19.7" hidden="false" customHeight="false" outlineLevel="0" collapsed="false">
      <c r="A1" s="1" t="s">
        <v>233</v>
      </c>
    </row>
    <row r="2" customFormat="false" ht="15" hidden="false" customHeight="false" outlineLevel="0" collapsed="false">
      <c r="A2" s="2" t="s">
        <v>234</v>
      </c>
    </row>
    <row r="3" customFormat="false" ht="15" hidden="false" customHeight="false" outlineLevel="0" collapsed="false">
      <c r="G3" s="24" t="s">
        <v>47</v>
      </c>
    </row>
    <row r="4" customFormat="false" ht="15" hidden="false" customHeight="false" outlineLevel="0" collapsed="false">
      <c r="A4" s="25" t="s">
        <v>184</v>
      </c>
      <c r="C4" s="5"/>
      <c r="D4" s="5"/>
      <c r="G4" s="26" t="s">
        <v>17</v>
      </c>
      <c r="H4" s="27" t="n">
        <f aca="false">COUNTIF($E$12:$E$35,"N.I.O")</f>
        <v>0</v>
      </c>
      <c r="I4" s="25" t="s">
        <v>22</v>
      </c>
    </row>
    <row r="5" customFormat="false" ht="15" hidden="false" customHeight="false" outlineLevel="0" collapsed="false">
      <c r="A5" s="25" t="s">
        <v>49</v>
      </c>
      <c r="C5" s="5"/>
      <c r="D5" s="5"/>
      <c r="G5" s="26" t="s">
        <v>18</v>
      </c>
      <c r="H5" s="27" t="n">
        <f aca="false">COUNTIF($E$12:$E$35,"bed. OK")</f>
        <v>0</v>
      </c>
      <c r="I5" s="28" t="str">
        <f aca="false">IFERROR((H6+Gewicht_bedOK*H5)/(H4+H5+H6),"")</f>
        <v/>
      </c>
      <c r="J5" s="28"/>
    </row>
    <row r="6" customFormat="false" ht="15" hidden="false" customHeight="false" outlineLevel="0" collapsed="false">
      <c r="A6" s="25" t="s">
        <v>14</v>
      </c>
      <c r="C6" s="29"/>
      <c r="D6" s="29"/>
      <c r="G6" s="26" t="s">
        <v>19</v>
      </c>
      <c r="H6" s="27" t="n">
        <f aca="false">COUNTIF($E$12:$E$35,"OK")</f>
        <v>0</v>
      </c>
      <c r="I6" s="28"/>
      <c r="J6" s="28"/>
    </row>
    <row r="7" customFormat="false" ht="15" hidden="false" customHeight="false" outlineLevel="0" collapsed="false">
      <c r="A7" s="25" t="s">
        <v>15</v>
      </c>
      <c r="C7" s="5"/>
      <c r="D7" s="5"/>
      <c r="G7" s="26" t="s">
        <v>20</v>
      </c>
      <c r="H7" s="27" t="n">
        <f aca="false">COUNTIF($E$12:$E$35,"n. b.")</f>
        <v>0</v>
      </c>
      <c r="I7" s="30" t="str">
        <f aca="false">IF(I5="","nicht bewertet",IF(I5&gt;=Ampel_gruen,"gut",IF(I5&gt;=Ampel_gelb,"mittel","kritisch")))</f>
        <v>nicht bewertet</v>
      </c>
      <c r="J7" s="30"/>
    </row>
    <row r="8" customFormat="false" ht="15" hidden="false" customHeight="false" outlineLevel="0" collapsed="false">
      <c r="A8" s="25" t="s">
        <v>48</v>
      </c>
      <c r="C8" s="5"/>
      <c r="D8" s="5"/>
      <c r="G8" s="26" t="s">
        <v>21</v>
      </c>
      <c r="H8" s="27" t="n">
        <f aca="false">24-SUM(H4:H7)</f>
        <v>24</v>
      </c>
    </row>
    <row r="9" customFormat="false" ht="15" hidden="false" customHeight="false" outlineLevel="0" collapsed="false">
      <c r="G9" s="6" t="s">
        <v>50</v>
      </c>
    </row>
    <row r="11" customFormat="false" ht="15" hidden="false" customHeight="false" outlineLevel="0" collapsed="false">
      <c r="A11" s="9" t="s">
        <v>51</v>
      </c>
      <c r="B11" s="9" t="s">
        <v>52</v>
      </c>
      <c r="C11" s="9" t="s">
        <v>53</v>
      </c>
      <c r="D11" s="9" t="s">
        <v>235</v>
      </c>
      <c r="E11" s="9" t="s">
        <v>55</v>
      </c>
      <c r="F11" s="9" t="s">
        <v>56</v>
      </c>
      <c r="G11" s="9" t="s">
        <v>57</v>
      </c>
      <c r="H11" s="9" t="s">
        <v>58</v>
      </c>
      <c r="I11" s="9" t="s">
        <v>59</v>
      </c>
      <c r="J11" s="9" t="s">
        <v>36</v>
      </c>
      <c r="K11" s="9" t="s">
        <v>60</v>
      </c>
    </row>
    <row r="12" customFormat="false" ht="30" hidden="false" customHeight="true" outlineLevel="0" collapsed="false">
      <c r="A12" s="31" t="s">
        <v>236</v>
      </c>
      <c r="B12" s="32" t="s">
        <v>237</v>
      </c>
      <c r="C12" s="32" t="s">
        <v>238</v>
      </c>
      <c r="D12" s="33"/>
      <c r="E12" s="34"/>
      <c r="F12" s="35"/>
      <c r="G12" s="34"/>
      <c r="H12" s="36"/>
      <c r="I12" s="34"/>
      <c r="J12" s="37" t="str">
        <f aca="true">IF(OR(E12="N.I.O",E12="bed. OK"),IF(I12="ja","erledigt",IF(AND(H12&lt;&gt;"",H12&lt;TODAY()),"überfällig","offen")),"")</f>
        <v/>
      </c>
      <c r="K12" s="38" t="str">
        <f aca="false">IF(OR(E12="N.I.O",E12="bed. OK"),Offset_kompakt+COUNTIF($E$12:E12,"N.I.O")+COUNTIF($E$12:E12,"bed. OK"),"")</f>
        <v/>
      </c>
    </row>
    <row r="13" customFormat="false" ht="45" hidden="false" customHeight="true" outlineLevel="0" collapsed="false">
      <c r="A13" s="31" t="s">
        <v>239</v>
      </c>
      <c r="B13" s="32" t="s">
        <v>237</v>
      </c>
      <c r="C13" s="32" t="s">
        <v>240</v>
      </c>
      <c r="D13" s="33"/>
      <c r="E13" s="34"/>
      <c r="F13" s="35"/>
      <c r="G13" s="34"/>
      <c r="H13" s="36"/>
      <c r="I13" s="34"/>
      <c r="J13" s="37" t="str">
        <f aca="true">IF(OR(E13="N.I.O",E13="bed. OK"),IF(I13="ja","erledigt",IF(AND(H13&lt;&gt;"",H13&lt;TODAY()),"überfällig","offen")),"")</f>
        <v/>
      </c>
      <c r="K13" s="38" t="str">
        <f aca="false">IF(OR(E13="N.I.O",E13="bed. OK"),Offset_kompakt+COUNTIF($E$12:E13,"N.I.O")+COUNTIF($E$12:E13,"bed. OK"),"")</f>
        <v/>
      </c>
    </row>
    <row r="14" customFormat="false" ht="30" hidden="false" customHeight="true" outlineLevel="0" collapsed="false">
      <c r="A14" s="31" t="s">
        <v>241</v>
      </c>
      <c r="B14" s="32" t="s">
        <v>237</v>
      </c>
      <c r="C14" s="32" t="s">
        <v>242</v>
      </c>
      <c r="D14" s="33"/>
      <c r="E14" s="34"/>
      <c r="F14" s="35"/>
      <c r="G14" s="34"/>
      <c r="H14" s="36"/>
      <c r="I14" s="34"/>
      <c r="J14" s="37" t="str">
        <f aca="true">IF(OR(E14="N.I.O",E14="bed. OK"),IF(I14="ja","erledigt",IF(AND(H14&lt;&gt;"",H14&lt;TODAY()),"überfällig","offen")),"")</f>
        <v/>
      </c>
      <c r="K14" s="38" t="str">
        <f aca="false">IF(OR(E14="N.I.O",E14="bed. OK"),Offset_kompakt+COUNTIF($E$12:E14,"N.I.O")+COUNTIF($E$12:E14,"bed. OK"),"")</f>
        <v/>
      </c>
    </row>
    <row r="15" customFormat="false" ht="45" hidden="false" customHeight="true" outlineLevel="0" collapsed="false">
      <c r="A15" s="31" t="s">
        <v>243</v>
      </c>
      <c r="B15" s="32" t="s">
        <v>237</v>
      </c>
      <c r="C15" s="32" t="s">
        <v>195</v>
      </c>
      <c r="D15" s="33"/>
      <c r="E15" s="34"/>
      <c r="F15" s="35"/>
      <c r="G15" s="34"/>
      <c r="H15" s="36"/>
      <c r="I15" s="34"/>
      <c r="J15" s="37" t="str">
        <f aca="true">IF(OR(E15="N.I.O",E15="bed. OK"),IF(I15="ja","erledigt",IF(AND(H15&lt;&gt;"",H15&lt;TODAY()),"überfällig","offen")),"")</f>
        <v/>
      </c>
      <c r="K15" s="38" t="str">
        <f aca="false">IF(OR(E15="N.I.O",E15="bed. OK"),Offset_kompakt+COUNTIF($E$12:E15,"N.I.O")+COUNTIF($E$12:E15,"bed. OK"),"")</f>
        <v/>
      </c>
    </row>
    <row r="16" customFormat="false" ht="45" hidden="false" customHeight="true" outlineLevel="0" collapsed="false">
      <c r="A16" s="31" t="s">
        <v>244</v>
      </c>
      <c r="B16" s="32" t="s">
        <v>237</v>
      </c>
      <c r="C16" s="32" t="s">
        <v>193</v>
      </c>
      <c r="D16" s="33"/>
      <c r="E16" s="34"/>
      <c r="F16" s="35"/>
      <c r="G16" s="34"/>
      <c r="H16" s="36"/>
      <c r="I16" s="34"/>
      <c r="J16" s="37" t="str">
        <f aca="true">IF(OR(E16="N.I.O",E16="bed. OK"),IF(I16="ja","erledigt",IF(AND(H16&lt;&gt;"",H16&lt;TODAY()),"überfällig","offen")),"")</f>
        <v/>
      </c>
      <c r="K16" s="38" t="str">
        <f aca="false">IF(OR(E16="N.I.O",E16="bed. OK"),Offset_kompakt+COUNTIF($E$12:E16,"N.I.O")+COUNTIF($E$12:E16,"bed. OK"),"")</f>
        <v/>
      </c>
    </row>
    <row r="17" customFormat="false" ht="45" hidden="false" customHeight="true" outlineLevel="0" collapsed="false">
      <c r="A17" s="31" t="s">
        <v>245</v>
      </c>
      <c r="B17" s="32" t="s">
        <v>237</v>
      </c>
      <c r="C17" s="32" t="s">
        <v>246</v>
      </c>
      <c r="D17" s="33"/>
      <c r="E17" s="34"/>
      <c r="F17" s="35"/>
      <c r="G17" s="34"/>
      <c r="H17" s="36"/>
      <c r="I17" s="34"/>
      <c r="J17" s="37" t="str">
        <f aca="true">IF(OR(E17="N.I.O",E17="bed. OK"),IF(I17="ja","erledigt",IF(AND(H17&lt;&gt;"",H17&lt;TODAY()),"überfällig","offen")),"")</f>
        <v/>
      </c>
      <c r="K17" s="38" t="str">
        <f aca="false">IF(OR(E17="N.I.O",E17="bed. OK"),Offset_kompakt+COUNTIF($E$12:E17,"N.I.O")+COUNTIF($E$12:E17,"bed. OK"),"")</f>
        <v/>
      </c>
    </row>
    <row r="18" customFormat="false" ht="30" hidden="false" customHeight="true" outlineLevel="0" collapsed="false">
      <c r="A18" s="31" t="s">
        <v>247</v>
      </c>
      <c r="B18" s="32" t="s">
        <v>237</v>
      </c>
      <c r="C18" s="32" t="s">
        <v>248</v>
      </c>
      <c r="D18" s="33"/>
      <c r="E18" s="34"/>
      <c r="F18" s="35"/>
      <c r="G18" s="34"/>
      <c r="H18" s="36"/>
      <c r="I18" s="34"/>
      <c r="J18" s="37" t="str">
        <f aca="true">IF(OR(E18="N.I.O",E18="bed. OK"),IF(I18="ja","erledigt",IF(AND(H18&lt;&gt;"",H18&lt;TODAY()),"überfällig","offen")),"")</f>
        <v/>
      </c>
      <c r="K18" s="38" t="str">
        <f aca="false">IF(OR(E18="N.I.O",E18="bed. OK"),Offset_kompakt+COUNTIF($E$12:E18,"N.I.O")+COUNTIF($E$12:E18,"bed. OK"),"")</f>
        <v/>
      </c>
    </row>
    <row r="19" customFormat="false" ht="30" hidden="false" customHeight="true" outlineLevel="0" collapsed="false">
      <c r="A19" s="31" t="s">
        <v>249</v>
      </c>
      <c r="B19" s="32" t="s">
        <v>237</v>
      </c>
      <c r="C19" s="32" t="s">
        <v>250</v>
      </c>
      <c r="D19" s="33"/>
      <c r="E19" s="34"/>
      <c r="F19" s="35"/>
      <c r="G19" s="34"/>
      <c r="H19" s="36"/>
      <c r="I19" s="34"/>
      <c r="J19" s="37" t="str">
        <f aca="true">IF(OR(E19="N.I.O",E19="bed. OK"),IF(I19="ja","erledigt",IF(AND(H19&lt;&gt;"",H19&lt;TODAY()),"überfällig","offen")),"")</f>
        <v/>
      </c>
      <c r="K19" s="38" t="str">
        <f aca="false">IF(OR(E19="N.I.O",E19="bed. OK"),Offset_kompakt+COUNTIF($E$12:E19,"N.I.O")+COUNTIF($E$12:E19,"bed. OK"),"")</f>
        <v/>
      </c>
    </row>
    <row r="20" customFormat="false" ht="30" hidden="false" customHeight="true" outlineLevel="0" collapsed="false">
      <c r="A20" s="31" t="s">
        <v>251</v>
      </c>
      <c r="B20" s="32" t="s">
        <v>237</v>
      </c>
      <c r="C20" s="32" t="s">
        <v>252</v>
      </c>
      <c r="D20" s="33"/>
      <c r="E20" s="34"/>
      <c r="F20" s="35"/>
      <c r="G20" s="34"/>
      <c r="H20" s="36"/>
      <c r="I20" s="34"/>
      <c r="J20" s="37" t="str">
        <f aca="true">IF(OR(E20="N.I.O",E20="bed. OK"),IF(I20="ja","erledigt",IF(AND(H20&lt;&gt;"",H20&lt;TODAY()),"überfällig","offen")),"")</f>
        <v/>
      </c>
      <c r="K20" s="38" t="str">
        <f aca="false">IF(OR(E20="N.I.O",E20="bed. OK"),Offset_kompakt+COUNTIF($E$12:E20,"N.I.O")+COUNTIF($E$12:E20,"bed. OK"),"")</f>
        <v/>
      </c>
    </row>
    <row r="21" customFormat="false" ht="30" hidden="false" customHeight="true" outlineLevel="0" collapsed="false">
      <c r="A21" s="31" t="s">
        <v>253</v>
      </c>
      <c r="B21" s="32" t="s">
        <v>237</v>
      </c>
      <c r="C21" s="32" t="s">
        <v>254</v>
      </c>
      <c r="D21" s="33"/>
      <c r="E21" s="34"/>
      <c r="F21" s="35"/>
      <c r="G21" s="34"/>
      <c r="H21" s="36"/>
      <c r="I21" s="34"/>
      <c r="J21" s="37" t="str">
        <f aca="true">IF(OR(E21="N.I.O",E21="bed. OK"),IF(I21="ja","erledigt",IF(AND(H21&lt;&gt;"",H21&lt;TODAY()),"überfällig","offen")),"")</f>
        <v/>
      </c>
      <c r="K21" s="38" t="str">
        <f aca="false">IF(OR(E21="N.I.O",E21="bed. OK"),Offset_kompakt+COUNTIF($E$12:E21,"N.I.O")+COUNTIF($E$12:E21,"bed. OK"),"")</f>
        <v/>
      </c>
    </row>
    <row r="22" customFormat="false" ht="30" hidden="false" customHeight="true" outlineLevel="0" collapsed="false">
      <c r="A22" s="31" t="s">
        <v>255</v>
      </c>
      <c r="B22" s="32" t="s">
        <v>237</v>
      </c>
      <c r="C22" s="32" t="s">
        <v>256</v>
      </c>
      <c r="D22" s="33"/>
      <c r="E22" s="34"/>
      <c r="F22" s="35"/>
      <c r="G22" s="34"/>
      <c r="H22" s="36"/>
      <c r="I22" s="34"/>
      <c r="J22" s="37" t="str">
        <f aca="true">IF(OR(E22="N.I.O",E22="bed. OK"),IF(I22="ja","erledigt",IF(AND(H22&lt;&gt;"",H22&lt;TODAY()),"überfällig","offen")),"")</f>
        <v/>
      </c>
      <c r="K22" s="38" t="str">
        <f aca="false">IF(OR(E22="N.I.O",E22="bed. OK"),Offset_kompakt+COUNTIF($E$12:E22,"N.I.O")+COUNTIF($E$12:E22,"bed. OK"),"")</f>
        <v/>
      </c>
    </row>
    <row r="23" customFormat="false" ht="45" hidden="false" customHeight="true" outlineLevel="0" collapsed="false">
      <c r="A23" s="31" t="s">
        <v>257</v>
      </c>
      <c r="B23" s="32" t="s">
        <v>258</v>
      </c>
      <c r="C23" s="32" t="s">
        <v>259</v>
      </c>
      <c r="D23" s="33" t="s">
        <v>260</v>
      </c>
      <c r="E23" s="34"/>
      <c r="F23" s="35"/>
      <c r="G23" s="34"/>
      <c r="H23" s="36"/>
      <c r="I23" s="34"/>
      <c r="J23" s="37" t="str">
        <f aca="true">IF(OR(E23="N.I.O",E23="bed. OK"),IF(I23="ja","erledigt",IF(AND(H23&lt;&gt;"",H23&lt;TODAY()),"überfällig","offen")),"")</f>
        <v/>
      </c>
      <c r="K23" s="38" t="str">
        <f aca="false">IF(OR(E23="N.I.O",E23="bed. OK"),Offset_kompakt+COUNTIF($E$12:E23,"N.I.O")+COUNTIF($E$12:E23,"bed. OK"),"")</f>
        <v/>
      </c>
    </row>
    <row r="24" customFormat="false" ht="45" hidden="false" customHeight="true" outlineLevel="0" collapsed="false">
      <c r="A24" s="31" t="s">
        <v>261</v>
      </c>
      <c r="B24" s="32" t="s">
        <v>258</v>
      </c>
      <c r="C24" s="32" t="s">
        <v>262</v>
      </c>
      <c r="D24" s="33" t="s">
        <v>260</v>
      </c>
      <c r="E24" s="34"/>
      <c r="F24" s="35"/>
      <c r="G24" s="34"/>
      <c r="H24" s="36"/>
      <c r="I24" s="34"/>
      <c r="J24" s="37" t="str">
        <f aca="true">IF(OR(E24="N.I.O",E24="bed. OK"),IF(I24="ja","erledigt",IF(AND(H24&lt;&gt;"",H24&lt;TODAY()),"überfällig","offen")),"")</f>
        <v/>
      </c>
      <c r="K24" s="38" t="str">
        <f aca="false">IF(OR(E24="N.I.O",E24="bed. OK"),Offset_kompakt+COUNTIF($E$12:E24,"N.I.O")+COUNTIF($E$12:E24,"bed. OK"),"")</f>
        <v/>
      </c>
    </row>
    <row r="25" customFormat="false" ht="45" hidden="false" customHeight="true" outlineLevel="0" collapsed="false">
      <c r="A25" s="31" t="s">
        <v>263</v>
      </c>
      <c r="B25" s="32" t="s">
        <v>258</v>
      </c>
      <c r="C25" s="32" t="s">
        <v>264</v>
      </c>
      <c r="D25" s="33" t="s">
        <v>260</v>
      </c>
      <c r="E25" s="34"/>
      <c r="F25" s="35"/>
      <c r="G25" s="34"/>
      <c r="H25" s="36"/>
      <c r="I25" s="34"/>
      <c r="J25" s="37" t="str">
        <f aca="true">IF(OR(E25="N.I.O",E25="bed. OK"),IF(I25="ja","erledigt",IF(AND(H25&lt;&gt;"",H25&lt;TODAY()),"überfällig","offen")),"")</f>
        <v/>
      </c>
      <c r="K25" s="38" t="str">
        <f aca="false">IF(OR(E25="N.I.O",E25="bed. OK"),Offset_kompakt+COUNTIF($E$12:E25,"N.I.O")+COUNTIF($E$12:E25,"bed. OK"),"")</f>
        <v/>
      </c>
    </row>
    <row r="26" customFormat="false" ht="45" hidden="false" customHeight="true" outlineLevel="0" collapsed="false">
      <c r="A26" s="31" t="s">
        <v>265</v>
      </c>
      <c r="B26" s="32" t="s">
        <v>258</v>
      </c>
      <c r="C26" s="32" t="s">
        <v>266</v>
      </c>
      <c r="D26" s="33" t="s">
        <v>260</v>
      </c>
      <c r="E26" s="34"/>
      <c r="F26" s="35"/>
      <c r="G26" s="34"/>
      <c r="H26" s="36"/>
      <c r="I26" s="34"/>
      <c r="J26" s="37" t="str">
        <f aca="true">IF(OR(E26="N.I.O",E26="bed. OK"),IF(I26="ja","erledigt",IF(AND(H26&lt;&gt;"",H26&lt;TODAY()),"überfällig","offen")),"")</f>
        <v/>
      </c>
      <c r="K26" s="38" t="str">
        <f aca="false">IF(OR(E26="N.I.O",E26="bed. OK"),Offset_kompakt+COUNTIF($E$12:E26,"N.I.O")+COUNTIF($E$12:E26,"bed. OK"),"")</f>
        <v/>
      </c>
    </row>
    <row r="27" customFormat="false" ht="45" hidden="false" customHeight="true" outlineLevel="0" collapsed="false">
      <c r="A27" s="31" t="s">
        <v>267</v>
      </c>
      <c r="B27" s="32" t="s">
        <v>258</v>
      </c>
      <c r="C27" s="32" t="s">
        <v>268</v>
      </c>
      <c r="D27" s="33" t="s">
        <v>260</v>
      </c>
      <c r="E27" s="34"/>
      <c r="F27" s="35"/>
      <c r="G27" s="34"/>
      <c r="H27" s="36"/>
      <c r="I27" s="34"/>
      <c r="J27" s="37" t="str">
        <f aca="true">IF(OR(E27="N.I.O",E27="bed. OK"),IF(I27="ja","erledigt",IF(AND(H27&lt;&gt;"",H27&lt;TODAY()),"überfällig","offen")),"")</f>
        <v/>
      </c>
      <c r="K27" s="38" t="str">
        <f aca="false">IF(OR(E27="N.I.O",E27="bed. OK"),Offset_kompakt+COUNTIF($E$12:E27,"N.I.O")+COUNTIF($E$12:E27,"bed. OK"),"")</f>
        <v/>
      </c>
    </row>
    <row r="28" customFormat="false" ht="45" hidden="false" customHeight="true" outlineLevel="0" collapsed="false">
      <c r="A28" s="31" t="s">
        <v>269</v>
      </c>
      <c r="B28" s="32" t="s">
        <v>258</v>
      </c>
      <c r="C28" s="32" t="s">
        <v>270</v>
      </c>
      <c r="D28" s="33" t="s">
        <v>271</v>
      </c>
      <c r="E28" s="34"/>
      <c r="F28" s="35"/>
      <c r="G28" s="34"/>
      <c r="H28" s="36"/>
      <c r="I28" s="34"/>
      <c r="J28" s="37" t="str">
        <f aca="true">IF(OR(E28="N.I.O",E28="bed. OK"),IF(I28="ja","erledigt",IF(AND(H28&lt;&gt;"",H28&lt;TODAY()),"überfällig","offen")),"")</f>
        <v/>
      </c>
      <c r="K28" s="38" t="str">
        <f aca="false">IF(OR(E28="N.I.O",E28="bed. OK"),Offset_kompakt+COUNTIF($E$12:E28,"N.I.O")+COUNTIF($E$12:E28,"bed. OK"),"")</f>
        <v/>
      </c>
    </row>
    <row r="29" customFormat="false" ht="30" hidden="false" customHeight="true" outlineLevel="0" collapsed="false">
      <c r="A29" s="31" t="s">
        <v>272</v>
      </c>
      <c r="B29" s="32" t="s">
        <v>273</v>
      </c>
      <c r="C29" s="32" t="s">
        <v>274</v>
      </c>
      <c r="D29" s="33"/>
      <c r="E29" s="34"/>
      <c r="F29" s="35"/>
      <c r="G29" s="34"/>
      <c r="H29" s="36"/>
      <c r="I29" s="34"/>
      <c r="J29" s="37" t="str">
        <f aca="true">IF(OR(E29="N.I.O",E29="bed. OK"),IF(I29="ja","erledigt",IF(AND(H29&lt;&gt;"",H29&lt;TODAY()),"überfällig","offen")),"")</f>
        <v/>
      </c>
      <c r="K29" s="38" t="str">
        <f aca="false">IF(OR(E29="N.I.O",E29="bed. OK"),Offset_kompakt+COUNTIF($E$12:E29,"N.I.O")+COUNTIF($E$12:E29,"bed. OK"),"")</f>
        <v/>
      </c>
    </row>
    <row r="30" customFormat="false" ht="45" hidden="false" customHeight="true" outlineLevel="0" collapsed="false">
      <c r="A30" s="31" t="s">
        <v>275</v>
      </c>
      <c r="B30" s="32" t="s">
        <v>273</v>
      </c>
      <c r="C30" s="32" t="s">
        <v>276</v>
      </c>
      <c r="D30" s="33"/>
      <c r="E30" s="34"/>
      <c r="F30" s="35"/>
      <c r="G30" s="34"/>
      <c r="H30" s="36"/>
      <c r="I30" s="34"/>
      <c r="J30" s="37" t="str">
        <f aca="true">IF(OR(E30="N.I.O",E30="bed. OK"),IF(I30="ja","erledigt",IF(AND(H30&lt;&gt;"",H30&lt;TODAY()),"überfällig","offen")),"")</f>
        <v/>
      </c>
      <c r="K30" s="38" t="str">
        <f aca="false">IF(OR(E30="N.I.O",E30="bed. OK"),Offset_kompakt+COUNTIF($E$12:E30,"N.I.O")+COUNTIF($E$12:E30,"bed. OK"),"")</f>
        <v/>
      </c>
    </row>
    <row r="31" customFormat="false" ht="45" hidden="false" customHeight="true" outlineLevel="0" collapsed="false">
      <c r="A31" s="31" t="s">
        <v>277</v>
      </c>
      <c r="B31" s="32" t="s">
        <v>273</v>
      </c>
      <c r="C31" s="32" t="s">
        <v>278</v>
      </c>
      <c r="D31" s="33"/>
      <c r="E31" s="34"/>
      <c r="F31" s="35"/>
      <c r="G31" s="34"/>
      <c r="H31" s="36"/>
      <c r="I31" s="34"/>
      <c r="J31" s="37" t="str">
        <f aca="true">IF(OR(E31="N.I.O",E31="bed. OK"),IF(I31="ja","erledigt",IF(AND(H31&lt;&gt;"",H31&lt;TODAY()),"überfällig","offen")),"")</f>
        <v/>
      </c>
      <c r="K31" s="38" t="str">
        <f aca="false">IF(OR(E31="N.I.O",E31="bed. OK"),Offset_kompakt+COUNTIF($E$12:E31,"N.I.O")+COUNTIF($E$12:E31,"bed. OK"),"")</f>
        <v/>
      </c>
    </row>
    <row r="32" customFormat="false" ht="30" hidden="false" customHeight="true" outlineLevel="0" collapsed="false">
      <c r="A32" s="31" t="s">
        <v>279</v>
      </c>
      <c r="B32" s="32" t="s">
        <v>273</v>
      </c>
      <c r="C32" s="32" t="s">
        <v>280</v>
      </c>
      <c r="D32" s="33"/>
      <c r="E32" s="34"/>
      <c r="F32" s="35"/>
      <c r="G32" s="34"/>
      <c r="H32" s="36"/>
      <c r="I32" s="34"/>
      <c r="J32" s="37" t="str">
        <f aca="true">IF(OR(E32="N.I.O",E32="bed. OK"),IF(I32="ja","erledigt",IF(AND(H32&lt;&gt;"",H32&lt;TODAY()),"überfällig","offen")),"")</f>
        <v/>
      </c>
      <c r="K32" s="38" t="str">
        <f aca="false">IF(OR(E32="N.I.O",E32="bed. OK"),Offset_kompakt+COUNTIF($E$12:E32,"N.I.O")+COUNTIF($E$12:E32,"bed. OK"),"")</f>
        <v/>
      </c>
    </row>
    <row r="33" customFormat="false" ht="30" hidden="false" customHeight="true" outlineLevel="0" collapsed="false">
      <c r="A33" s="31" t="s">
        <v>281</v>
      </c>
      <c r="B33" s="32" t="s">
        <v>273</v>
      </c>
      <c r="C33" s="32" t="s">
        <v>282</v>
      </c>
      <c r="D33" s="33"/>
      <c r="E33" s="34"/>
      <c r="F33" s="35"/>
      <c r="G33" s="34"/>
      <c r="H33" s="36"/>
      <c r="I33" s="34"/>
      <c r="J33" s="37" t="str">
        <f aca="true">IF(OR(E33="N.I.O",E33="bed. OK"),IF(I33="ja","erledigt",IF(AND(H33&lt;&gt;"",H33&lt;TODAY()),"überfällig","offen")),"")</f>
        <v/>
      </c>
      <c r="K33" s="38" t="str">
        <f aca="false">IF(OR(E33="N.I.O",E33="bed. OK"),Offset_kompakt+COUNTIF($E$12:E33,"N.I.O")+COUNTIF($E$12:E33,"bed. OK"),"")</f>
        <v/>
      </c>
    </row>
    <row r="34" customFormat="false" ht="45" hidden="false" customHeight="true" outlineLevel="0" collapsed="false">
      <c r="A34" s="31" t="s">
        <v>283</v>
      </c>
      <c r="B34" s="32" t="s">
        <v>273</v>
      </c>
      <c r="C34" s="32" t="s">
        <v>284</v>
      </c>
      <c r="D34" s="33"/>
      <c r="E34" s="34"/>
      <c r="F34" s="35"/>
      <c r="G34" s="34"/>
      <c r="H34" s="36"/>
      <c r="I34" s="34"/>
      <c r="J34" s="37" t="str">
        <f aca="true">IF(OR(E34="N.I.O",E34="bed. OK"),IF(I34="ja","erledigt",IF(AND(H34&lt;&gt;"",H34&lt;TODAY()),"überfällig","offen")),"")</f>
        <v/>
      </c>
      <c r="K34" s="38" t="str">
        <f aca="false">IF(OR(E34="N.I.O",E34="bed. OK"),Offset_kompakt+COUNTIF($E$12:E34,"N.I.O")+COUNTIF($E$12:E34,"bed. OK"),"")</f>
        <v/>
      </c>
    </row>
    <row r="35" customFormat="false" ht="45" hidden="false" customHeight="true" outlineLevel="0" collapsed="false">
      <c r="A35" s="31" t="s">
        <v>285</v>
      </c>
      <c r="B35" s="32" t="s">
        <v>273</v>
      </c>
      <c r="C35" s="32" t="s">
        <v>286</v>
      </c>
      <c r="D35" s="33"/>
      <c r="E35" s="34"/>
      <c r="F35" s="35"/>
      <c r="G35" s="34"/>
      <c r="H35" s="36"/>
      <c r="I35" s="34"/>
      <c r="J35" s="37" t="str">
        <f aca="true">IF(OR(E35="N.I.O",E35="bed. OK"),IF(I35="ja","erledigt",IF(AND(H35&lt;&gt;"",H35&lt;TODAY()),"überfällig","offen")),"")</f>
        <v/>
      </c>
      <c r="K35" s="38" t="str">
        <f aca="false">IF(OR(E35="N.I.O",E35="bed. OK"),Offset_kompakt+COUNTIF($E$12:E35,"N.I.O")+COUNTIF($E$12:E35,"bed. OK"),"")</f>
        <v/>
      </c>
    </row>
    <row r="37" customFormat="false" ht="15" hidden="false" customHeight="false" outlineLevel="0" collapsed="false">
      <c r="A37" s="3" t="s">
        <v>181</v>
      </c>
    </row>
    <row r="38" customFormat="false" ht="23.85" hidden="false" customHeight="false" outlineLevel="0" collapsed="false">
      <c r="A38" s="9"/>
      <c r="B38" s="9" t="s">
        <v>52</v>
      </c>
      <c r="C38" s="9" t="s">
        <v>16</v>
      </c>
      <c r="D38" s="9" t="s">
        <v>17</v>
      </c>
      <c r="E38" s="9" t="s">
        <v>18</v>
      </c>
      <c r="F38" s="9" t="s">
        <v>19</v>
      </c>
      <c r="G38" s="9" t="s">
        <v>20</v>
      </c>
      <c r="H38" s="9" t="s">
        <v>21</v>
      </c>
      <c r="I38" s="9" t="s">
        <v>22</v>
      </c>
    </row>
    <row r="39" customFormat="false" ht="15" hidden="false" customHeight="false" outlineLevel="0" collapsed="false">
      <c r="B39" s="26" t="s">
        <v>237</v>
      </c>
      <c r="C39" s="39" t="n">
        <f aca="false">COUNTIF($B$12:$B$35,B39)</f>
        <v>11</v>
      </c>
      <c r="D39" s="39" t="n">
        <f aca="false">COUNTIFS($B$12:$B$35,$B39,$E$12:$E$35,"N.I.O")</f>
        <v>0</v>
      </c>
      <c r="E39" s="39" t="n">
        <f aca="false">COUNTIFS($B$12:$B$35,$B39,$E$12:$E$35,"bed. OK")</f>
        <v>0</v>
      </c>
      <c r="F39" s="39" t="n">
        <f aca="false">COUNTIFS($B$12:$B$35,$B39,$E$12:$E$35,"OK")</f>
        <v>0</v>
      </c>
      <c r="G39" s="39" t="n">
        <f aca="false">COUNTIFS($B$12:$B$35,$B39,$E$12:$E$35,"n. b.")</f>
        <v>0</v>
      </c>
      <c r="H39" s="39" t="n">
        <f aca="false">C39-SUM(D39:G39)</f>
        <v>11</v>
      </c>
      <c r="I39" s="40" t="str">
        <f aca="false">IFERROR((F39+Gewicht_bedOK*E39)/(D39+E39+F39),"")</f>
        <v/>
      </c>
    </row>
    <row r="40" customFormat="false" ht="15" hidden="false" customHeight="false" outlineLevel="0" collapsed="false">
      <c r="B40" s="26" t="s">
        <v>258</v>
      </c>
      <c r="C40" s="39" t="n">
        <f aca="false">COUNTIF($B$12:$B$35,B40)</f>
        <v>6</v>
      </c>
      <c r="D40" s="39" t="n">
        <f aca="false">COUNTIFS($B$12:$B$35,$B40,$E$12:$E$35,"N.I.O")</f>
        <v>0</v>
      </c>
      <c r="E40" s="39" t="n">
        <f aca="false">COUNTIFS($B$12:$B$35,$B40,$E$12:$E$35,"bed. OK")</f>
        <v>0</v>
      </c>
      <c r="F40" s="39" t="n">
        <f aca="false">COUNTIFS($B$12:$B$35,$B40,$E$12:$E$35,"OK")</f>
        <v>0</v>
      </c>
      <c r="G40" s="39" t="n">
        <f aca="false">COUNTIFS($B$12:$B$35,$B40,$E$12:$E$35,"n. b.")</f>
        <v>0</v>
      </c>
      <c r="H40" s="39" t="n">
        <f aca="false">C40-SUM(D40:G40)</f>
        <v>6</v>
      </c>
      <c r="I40" s="40" t="str">
        <f aca="false">IFERROR((F40+Gewicht_bedOK*E40)/(D40+E40+F40),"")</f>
        <v/>
      </c>
    </row>
    <row r="41" customFormat="false" ht="15" hidden="false" customHeight="false" outlineLevel="0" collapsed="false">
      <c r="B41" s="26" t="s">
        <v>273</v>
      </c>
      <c r="C41" s="39" t="n">
        <f aca="false">COUNTIF($B$12:$B$35,B41)</f>
        <v>7</v>
      </c>
      <c r="D41" s="39" t="n">
        <f aca="false">COUNTIFS($B$12:$B$35,$B41,$E$12:$E$35,"N.I.O")</f>
        <v>0</v>
      </c>
      <c r="E41" s="39" t="n">
        <f aca="false">COUNTIFS($B$12:$B$35,$B41,$E$12:$E$35,"bed. OK")</f>
        <v>0</v>
      </c>
      <c r="F41" s="39" t="n">
        <f aca="false">COUNTIFS($B$12:$B$35,$B41,$E$12:$E$35,"OK")</f>
        <v>0</v>
      </c>
      <c r="G41" s="39" t="n">
        <f aca="false">COUNTIFS($B$12:$B$35,$B41,$E$12:$E$35,"n. b.")</f>
        <v>0</v>
      </c>
      <c r="H41" s="39" t="n">
        <f aca="false">C41-SUM(D41:G41)</f>
        <v>7</v>
      </c>
      <c r="I41" s="40" t="str">
        <f aca="false">IFERROR((F41+Gewicht_bedOK*E41)/(D41+E41+F41),"")</f>
        <v/>
      </c>
    </row>
  </sheetData>
  <autoFilter ref="A11:K35"/>
  <mergeCells count="7">
    <mergeCell ref="C4:D4"/>
    <mergeCell ref="C5:D5"/>
    <mergeCell ref="I5:J6"/>
    <mergeCell ref="C6:D6"/>
    <mergeCell ref="C7:D7"/>
    <mergeCell ref="I7:J7"/>
    <mergeCell ref="C8:D8"/>
  </mergeCells>
  <conditionalFormatting sqref="I5">
    <cfRule type="expression" priority="2" aboveAverage="0" equalAverage="0" bottom="0" percent="0" rank="0" text="" dxfId="0">
      <formula>AND($I$5&lt;&gt;"",$I$5&gt;=Ampel_gruen)</formula>
    </cfRule>
    <cfRule type="expression" priority="3" aboveAverage="0" equalAverage="0" bottom="0" percent="0" rank="0" text="" dxfId="1">
      <formula>AND($I$5&lt;&gt;"",$I$5&gt;=Ampel_gelb,$I$5&lt;Ampel_gruen)</formula>
    </cfRule>
    <cfRule type="expression" priority="4" aboveAverage="0" equalAverage="0" bottom="0" percent="0" rank="0" text="" dxfId="2">
      <formula>AND($I$5&lt;&gt;"",$I$5&lt;Ampel_gelb)</formula>
    </cfRule>
  </conditionalFormatting>
  <conditionalFormatting sqref="I7">
    <cfRule type="expression" priority="5" aboveAverage="0" equalAverage="0" bottom="0" percent="0" rank="0" text="" dxfId="0">
      <formula>AND($I$5&lt;&gt;"",$I$5&gt;=Ampel_gruen)</formula>
    </cfRule>
    <cfRule type="expression" priority="6" aboveAverage="0" equalAverage="0" bottom="0" percent="0" rank="0" text="" dxfId="1">
      <formula>AND($I$5&lt;&gt;"",$I$5&gt;=Ampel_gelb,$I$5&lt;Ampel_gruen)</formula>
    </cfRule>
    <cfRule type="expression" priority="7" aboveAverage="0" equalAverage="0" bottom="0" percent="0" rank="0" text="" dxfId="2">
      <formula>AND($I$5&lt;&gt;"",$I$5&lt;Ampel_gelb)</formula>
    </cfRule>
  </conditionalFormatting>
  <conditionalFormatting sqref="E12:E35">
    <cfRule type="cellIs" priority="8" operator="equal" aboveAverage="0" equalAverage="0" bottom="0" percent="0" rank="0" text="" dxfId="11">
      <formula>"N.I.O"</formula>
    </cfRule>
    <cfRule type="cellIs" priority="9" operator="equal" aboveAverage="0" equalAverage="0" bottom="0" percent="0" rank="0" text="" dxfId="12">
      <formula>"bed. OK"</formula>
    </cfRule>
    <cfRule type="cellIs" priority="10" operator="equal" aboveAverage="0" equalAverage="0" bottom="0" percent="0" rank="0" text="" dxfId="13">
      <formula>"OK"</formula>
    </cfRule>
    <cfRule type="cellIs" priority="11" operator="equal" aboveAverage="0" equalAverage="0" bottom="0" percent="0" rank="0" text="" dxfId="14">
      <formula>"n. b."</formula>
    </cfRule>
  </conditionalFormatting>
  <conditionalFormatting sqref="J12:J35">
    <cfRule type="cellIs" priority="12" operator="equal" aboveAverage="0" equalAverage="0" bottom="0" percent="0" rank="0" text="" dxfId="2">
      <formula>"überfällig"</formula>
    </cfRule>
    <cfRule type="cellIs" priority="13" operator="equal" aboveAverage="0" equalAverage="0" bottom="0" percent="0" rank="0" text="" dxfId="1">
      <formula>"offen"</formula>
    </cfRule>
    <cfRule type="cellIs" priority="14" operator="equal" aboveAverage="0" equalAverage="0" bottom="0" percent="0" rank="0" text="" dxfId="0">
      <formula>"erledigt"</formula>
    </cfRule>
  </conditionalFormatting>
  <conditionalFormatting sqref="I39:I41">
    <cfRule type="expression" priority="15" aboveAverage="0" equalAverage="0" bottom="0" percent="0" rank="0" text="" dxfId="0">
      <formula>AND(I39&lt;&gt;"",I39&gt;=Ampel_gruen)</formula>
    </cfRule>
    <cfRule type="expression" priority="16" aboveAverage="0" equalAverage="0" bottom="0" percent="0" rank="0" text="" dxfId="1">
      <formula>AND(I39&lt;&gt;"",I39&gt;=Ampel_gelb,I39&lt;Ampel_gruen)</formula>
    </cfRule>
    <cfRule type="expression" priority="17" aboveAverage="0" equalAverage="0" bottom="0" percent="0" rank="0" text="" dxfId="2">
      <formula>AND(I39&lt;&gt;"",I39&lt;Ampel_gelb)</formula>
    </cfRule>
  </conditionalFormatting>
  <dataValidations count="3">
    <dataValidation allowBlank="true" error="Bitte ein Datum eingeben (TT.MM.JJJJ)." errorStyle="stop" operator="greaterThan" showDropDown="false" showErrorMessage="false" showInputMessage="false" sqref="C6 H12:H35" type="date">
      <formula1>36526</formula1>
      <formula2>0</formula2>
    </dataValidation>
    <dataValidation allowBlank="true" error="Bitte N.I.O, bed. OK, OK oder n. b. wählen." errorStyle="stop" errorTitle="Bewertung" operator="between" showDropDown="false" showErrorMessage="false" showInputMessage="false" sqref="E12:E35" type="list">
      <formula1>"N.I.O,bed. OK,OK,n. b."</formula1>
      <formula2>0</formula2>
    </dataValidation>
    <dataValidation allowBlank="true" errorStyle="stop" operator="between" showDropDown="false" showErrorMessage="false" showInputMessage="false" sqref="I12:I35" type="list">
      <formula1>"ja,nein"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0A812"/>
    <pageSetUpPr fitToPage="true"/>
  </sheetPr>
  <dimension ref="A1:J9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7"/>
    <col collapsed="false" customWidth="true" hidden="false" outlineLevel="0" max="5" min="5" style="0" width="46"/>
    <col collapsed="false" customWidth="true" hidden="false" outlineLevel="0" max="6" min="6" style="0" width="11"/>
    <col collapsed="false" customWidth="true" hidden="false" outlineLevel="0" max="7" min="7" style="0" width="40"/>
    <col collapsed="false" customWidth="true" hidden="false" outlineLevel="0" max="8" min="8" style="0" width="18"/>
    <col collapsed="false" customWidth="true" hidden="false" outlineLevel="0" max="10" min="9" style="0" width="12"/>
  </cols>
  <sheetData>
    <row r="1" customFormat="false" ht="19.7" hidden="false" customHeight="false" outlineLevel="0" collapsed="false">
      <c r="A1" s="1" t="s">
        <v>287</v>
      </c>
    </row>
    <row r="2" customFormat="false" ht="15" hidden="false" customHeight="false" outlineLevel="0" collapsed="false">
      <c r="A2" s="2" t="s">
        <v>288</v>
      </c>
    </row>
    <row r="4" customFormat="false" ht="15" hidden="false" customHeight="false" outlineLevel="0" collapsed="false">
      <c r="A4" s="9" t="s">
        <v>51</v>
      </c>
      <c r="B4" s="9" t="s">
        <v>12</v>
      </c>
      <c r="C4" s="9" t="s">
        <v>13</v>
      </c>
      <c r="D4" s="9" t="s">
        <v>289</v>
      </c>
      <c r="E4" s="9" t="s">
        <v>53</v>
      </c>
      <c r="F4" s="9" t="s">
        <v>55</v>
      </c>
      <c r="G4" s="9" t="s">
        <v>290</v>
      </c>
      <c r="H4" s="9" t="s">
        <v>57</v>
      </c>
      <c r="I4" s="9" t="s">
        <v>58</v>
      </c>
      <c r="J4" s="9" t="s">
        <v>36</v>
      </c>
    </row>
    <row r="5" customFormat="false" ht="15" hidden="false" customHeight="false" outlineLevel="0" collapsed="false">
      <c r="A5" s="41" t="str">
        <f aca="false">IF(1&lt;=Übersicht!$M$17,1,"")</f>
        <v/>
      </c>
      <c r="B5" s="41" t="str">
        <f aca="false">IFERROR(IF($A5="","",IF($A5&lt;=Übersicht!$P$13,"Allgemein",IF($A5&lt;=Übersicht!$P$14,"Maschine",IF($A5&lt;=Übersicht!$P$15,"Werkzeug","Kompakt")))),"")</f>
        <v/>
      </c>
      <c r="C5" s="41" t="str">
        <f aca="false">IFERROR(IF($A5="","",IF($A5&lt;=Übersicht!$P$13,IF(Audit_Allgemein!$C$4="","–",Audit_Allgemein!$C$4),IF($A5&lt;=Übersicht!$P$14,IF(Audit_Maschine!$C$4="","–",Audit_Maschine!$C$4),IF($A5&lt;=Übersicht!$P$15,IF(Audit_Werkzeuge!$C$4="","–",Audit_Werkzeuge!$C$4),IF(Audit_Kompakt!$C$4="","–",Audit_Kompakt!$C$4))))),"")</f>
        <v/>
      </c>
      <c r="D5" s="41" t="str">
        <f aca="false">IFERROR(IF($A5="","",IF($A5&lt;=Übersicht!$P$13,IF(INDEX(Audit_Allgemein!$A$12:$A$50,MATCH($A5,Audit_Allgemein!$K$12:$K$50,0))="","",INDEX(Audit_Allgemein!$A$12:$A$50,MATCH($A5,Audit_Allgemein!$K$12:$K$50,0))),IF($A5&lt;=Übersicht!$P$14,IF(INDEX(Audit_Maschine!$A$12:$A$24,MATCH($A5,Audit_Maschine!$K$12:$K$24,0))="","",INDEX(Audit_Maschine!$A$12:$A$24,MATCH($A5,Audit_Maschine!$K$12:$K$24,0))),IF($A5&lt;=Übersicht!$P$15,IF(INDEX(Audit_Werkzeuge!$A$12:$A$21,MATCH($A5,Audit_Werkzeuge!$K$12:$K$21,0))="","",INDEX(Audit_Werkzeuge!$A$12:$A$21,MATCH($A5,Audit_Werkzeuge!$K$12:$K$21,0))),IF(INDEX(Audit_Kompakt!$A$12:$A$35,MATCH($A5,Audit_Kompakt!$K$12:$K$35,0))="","",INDEX(Audit_Kompakt!$A$12:$A$35,MATCH($A5,Audit_Kompakt!$K$12:$K$35,0))))))),"")</f>
        <v/>
      </c>
      <c r="E5" s="42" t="str">
        <f aca="false">IFERROR(IF($A5="","",IF($A5&lt;=Übersicht!$P$13,IF(INDEX(Audit_Allgemein!$C$12:$C$50,MATCH($A5,Audit_Allgemein!$K$12:$K$50,0))="","",INDEX(Audit_Allgemein!$C$12:$C$50,MATCH($A5,Audit_Allgemein!$K$12:$K$50,0))),IF($A5&lt;=Übersicht!$P$14,IF(INDEX(Audit_Maschine!$C$12:$C$24,MATCH($A5,Audit_Maschine!$K$12:$K$24,0))="","",INDEX(Audit_Maschine!$C$12:$C$24,MATCH($A5,Audit_Maschine!$K$12:$K$24,0))),IF($A5&lt;=Übersicht!$P$15,IF(INDEX(Audit_Werkzeuge!$C$12:$C$21,MATCH($A5,Audit_Werkzeuge!$K$12:$K$21,0))="","",INDEX(Audit_Werkzeuge!$C$12:$C$21,MATCH($A5,Audit_Werkzeuge!$K$12:$K$21,0))),IF(INDEX(Audit_Kompakt!$C$12:$C$35,MATCH($A5,Audit_Kompakt!$K$12:$K$35,0))="","",INDEX(Audit_Kompakt!$C$12:$C$35,MATCH($A5,Audit_Kompakt!$K$12:$K$35,0))))))),"")</f>
        <v/>
      </c>
      <c r="F5" s="41" t="str">
        <f aca="false">IFERROR(IF($A5="","",IF($A5&lt;=Übersicht!$P$13,IF(INDEX(Audit_Allgemein!$E$12:$E$50,MATCH($A5,Audit_Allgemein!$K$12:$K$50,0))="","",INDEX(Audit_Allgemein!$E$12:$E$50,MATCH($A5,Audit_Allgemein!$K$12:$K$50,0))),IF($A5&lt;=Übersicht!$P$14,IF(INDEX(Audit_Maschine!$E$12:$E$24,MATCH($A5,Audit_Maschine!$K$12:$K$24,0))="","",INDEX(Audit_Maschine!$E$12:$E$24,MATCH($A5,Audit_Maschine!$K$12:$K$24,0))),IF($A5&lt;=Übersicht!$P$15,IF(INDEX(Audit_Werkzeuge!$E$12:$E$21,MATCH($A5,Audit_Werkzeuge!$K$12:$K$21,0))="","",INDEX(Audit_Werkzeuge!$E$12:$E$21,MATCH($A5,Audit_Werkzeuge!$K$12:$K$21,0))),IF(INDEX(Audit_Kompakt!$E$12:$E$35,MATCH($A5,Audit_Kompakt!$K$12:$K$35,0))="","",INDEX(Audit_Kompakt!$E$12:$E$35,MATCH($A5,Audit_Kompakt!$K$12:$K$35,0))))))),"")</f>
        <v/>
      </c>
      <c r="G5" s="42" t="str">
        <f aca="false">IFERROR(IF($A5="","",IF($A5&lt;=Übersicht!$P$13,IF(INDEX(Audit_Allgemein!$F$12:$F$50,MATCH($A5,Audit_Allgemein!$K$12:$K$50,0))="","",INDEX(Audit_Allgemein!$F$12:$F$50,MATCH($A5,Audit_Allgemein!$K$12:$K$50,0))),IF($A5&lt;=Übersicht!$P$14,IF(INDEX(Audit_Maschine!$F$12:$F$24,MATCH($A5,Audit_Maschine!$K$12:$K$24,0))="","",INDEX(Audit_Maschine!$F$12:$F$24,MATCH($A5,Audit_Maschine!$K$12:$K$24,0))),IF($A5&lt;=Übersicht!$P$15,IF(INDEX(Audit_Werkzeuge!$F$12:$F$21,MATCH($A5,Audit_Werkzeuge!$K$12:$K$21,0))="","",INDEX(Audit_Werkzeuge!$F$12:$F$21,MATCH($A5,Audit_Werkzeuge!$K$12:$K$21,0))),IF(INDEX(Audit_Kompakt!$F$12:$F$35,MATCH($A5,Audit_Kompakt!$K$12:$K$35,0))="","",INDEX(Audit_Kompakt!$F$12:$F$35,MATCH($A5,Audit_Kompakt!$K$12:$K$35,0))))))),"")</f>
        <v/>
      </c>
      <c r="H5" s="41" t="str">
        <f aca="false">IFERROR(IF($A5="","",IF($A5&lt;=Übersicht!$P$13,IF(INDEX(Audit_Allgemein!$G$12:$G$50,MATCH($A5,Audit_Allgemein!$K$12:$K$50,0))="","",INDEX(Audit_Allgemein!$G$12:$G$50,MATCH($A5,Audit_Allgemein!$K$12:$K$50,0))),IF($A5&lt;=Übersicht!$P$14,IF(INDEX(Audit_Maschine!$G$12:$G$24,MATCH($A5,Audit_Maschine!$K$12:$K$24,0))="","",INDEX(Audit_Maschine!$G$12:$G$24,MATCH($A5,Audit_Maschine!$K$12:$K$24,0))),IF($A5&lt;=Übersicht!$P$15,IF(INDEX(Audit_Werkzeuge!$G$12:$G$21,MATCH($A5,Audit_Werkzeuge!$K$12:$K$21,0))="","",INDEX(Audit_Werkzeuge!$G$12:$G$21,MATCH($A5,Audit_Werkzeuge!$K$12:$K$21,0))),IF(INDEX(Audit_Kompakt!$G$12:$G$35,MATCH($A5,Audit_Kompakt!$K$12:$K$35,0))="","",INDEX(Audit_Kompakt!$G$12:$G$35,MATCH($A5,Audit_Kompakt!$K$12:$K$35,0))))))),"")</f>
        <v/>
      </c>
      <c r="I5" s="43" t="str">
        <f aca="false">IFERROR(IF($A5="","",IF($A5&lt;=Übersicht!$P$13,IF(INDEX(Audit_Allgemein!$H$12:$H$50,MATCH($A5,Audit_Allgemein!$K$12:$K$50,0))="","",INDEX(Audit_Allgemein!$H$12:$H$50,MATCH($A5,Audit_Allgemein!$K$12:$K$50,0))),IF($A5&lt;=Übersicht!$P$14,IF(INDEX(Audit_Maschine!$H$12:$H$24,MATCH($A5,Audit_Maschine!$K$12:$K$24,0))="","",INDEX(Audit_Maschine!$H$12:$H$24,MATCH($A5,Audit_Maschine!$K$12:$K$24,0))),IF($A5&lt;=Übersicht!$P$15,IF(INDEX(Audit_Werkzeuge!$H$12:$H$21,MATCH($A5,Audit_Werkzeuge!$K$12:$K$21,0))="","",INDEX(Audit_Werkzeuge!$H$12:$H$21,MATCH($A5,Audit_Werkzeuge!$K$12:$K$21,0))),IF(INDEX(Audit_Kompakt!$H$12:$H$35,MATCH($A5,Audit_Kompakt!$K$12:$K$35,0))="","",INDEX(Audit_Kompakt!$H$12:$H$35,MATCH($A5,Audit_Kompakt!$K$12:$K$35,0))))))),"")</f>
        <v/>
      </c>
      <c r="J5" s="41" t="str">
        <f aca="false">IFERROR(IF($A5="","",IF($A5&lt;=Übersicht!$P$13,IF(INDEX(Audit_Allgemein!$J$12:$J$50,MATCH($A5,Audit_Allgemein!$K$12:$K$50,0))="","",INDEX(Audit_Allgemein!$J$12:$J$50,MATCH($A5,Audit_Allgemein!$K$12:$K$50,0))),IF($A5&lt;=Übersicht!$P$14,IF(INDEX(Audit_Maschine!$J$12:$J$24,MATCH($A5,Audit_Maschine!$K$12:$K$24,0))="","",INDEX(Audit_Maschine!$J$12:$J$24,MATCH($A5,Audit_Maschine!$K$12:$K$24,0))),IF($A5&lt;=Übersicht!$P$15,IF(INDEX(Audit_Werkzeuge!$J$12:$J$21,MATCH($A5,Audit_Werkzeuge!$K$12:$K$21,0))="","",INDEX(Audit_Werkzeuge!$J$12:$J$21,MATCH($A5,Audit_Werkzeuge!$K$12:$K$21,0))),IF(INDEX(Audit_Kompakt!$J$12:$J$35,MATCH($A5,Audit_Kompakt!$K$12:$K$35,0))="","",INDEX(Audit_Kompakt!$J$12:$J$35,MATCH($A5,Audit_Kompakt!$K$12:$K$35,0))))))),"")</f>
        <v/>
      </c>
    </row>
    <row r="6" customFormat="false" ht="15" hidden="false" customHeight="false" outlineLevel="0" collapsed="false">
      <c r="A6" s="41" t="str">
        <f aca="false">IF(2&lt;=Übersicht!$M$17,2,"")</f>
        <v/>
      </c>
      <c r="B6" s="41" t="str">
        <f aca="false">IFERROR(IF($A6="","",IF($A6&lt;=Übersicht!$P$13,"Allgemein",IF($A6&lt;=Übersicht!$P$14,"Maschine",IF($A6&lt;=Übersicht!$P$15,"Werkzeug","Kompakt")))),"")</f>
        <v/>
      </c>
      <c r="C6" s="41" t="str">
        <f aca="false">IFERROR(IF($A6="","",IF($A6&lt;=Übersicht!$P$13,IF(Audit_Allgemein!$C$4="","–",Audit_Allgemein!$C$4),IF($A6&lt;=Übersicht!$P$14,IF(Audit_Maschine!$C$4="","–",Audit_Maschine!$C$4),IF($A6&lt;=Übersicht!$P$15,IF(Audit_Werkzeuge!$C$4="","–",Audit_Werkzeuge!$C$4),IF(Audit_Kompakt!$C$4="","–",Audit_Kompakt!$C$4))))),"")</f>
        <v/>
      </c>
      <c r="D6" s="41" t="str">
        <f aca="false">IFERROR(IF($A6="","",IF($A6&lt;=Übersicht!$P$13,IF(INDEX(Audit_Allgemein!$A$12:$A$50,MATCH($A6,Audit_Allgemein!$K$12:$K$50,0))="","",INDEX(Audit_Allgemein!$A$12:$A$50,MATCH($A6,Audit_Allgemein!$K$12:$K$50,0))),IF($A6&lt;=Übersicht!$P$14,IF(INDEX(Audit_Maschine!$A$12:$A$24,MATCH($A6,Audit_Maschine!$K$12:$K$24,0))="","",INDEX(Audit_Maschine!$A$12:$A$24,MATCH($A6,Audit_Maschine!$K$12:$K$24,0))),IF($A6&lt;=Übersicht!$P$15,IF(INDEX(Audit_Werkzeuge!$A$12:$A$21,MATCH($A6,Audit_Werkzeuge!$K$12:$K$21,0))="","",INDEX(Audit_Werkzeuge!$A$12:$A$21,MATCH($A6,Audit_Werkzeuge!$K$12:$K$21,0))),IF(INDEX(Audit_Kompakt!$A$12:$A$35,MATCH($A6,Audit_Kompakt!$K$12:$K$35,0))="","",INDEX(Audit_Kompakt!$A$12:$A$35,MATCH($A6,Audit_Kompakt!$K$12:$K$35,0))))))),"")</f>
        <v/>
      </c>
      <c r="E6" s="42" t="str">
        <f aca="false">IFERROR(IF($A6="","",IF($A6&lt;=Übersicht!$P$13,IF(INDEX(Audit_Allgemein!$C$12:$C$50,MATCH($A6,Audit_Allgemein!$K$12:$K$50,0))="","",INDEX(Audit_Allgemein!$C$12:$C$50,MATCH($A6,Audit_Allgemein!$K$12:$K$50,0))),IF($A6&lt;=Übersicht!$P$14,IF(INDEX(Audit_Maschine!$C$12:$C$24,MATCH($A6,Audit_Maschine!$K$12:$K$24,0))="","",INDEX(Audit_Maschine!$C$12:$C$24,MATCH($A6,Audit_Maschine!$K$12:$K$24,0))),IF($A6&lt;=Übersicht!$P$15,IF(INDEX(Audit_Werkzeuge!$C$12:$C$21,MATCH($A6,Audit_Werkzeuge!$K$12:$K$21,0))="","",INDEX(Audit_Werkzeuge!$C$12:$C$21,MATCH($A6,Audit_Werkzeuge!$K$12:$K$21,0))),IF(INDEX(Audit_Kompakt!$C$12:$C$35,MATCH($A6,Audit_Kompakt!$K$12:$K$35,0))="","",INDEX(Audit_Kompakt!$C$12:$C$35,MATCH($A6,Audit_Kompakt!$K$12:$K$35,0))))))),"")</f>
        <v/>
      </c>
      <c r="F6" s="41" t="str">
        <f aca="false">IFERROR(IF($A6="","",IF($A6&lt;=Übersicht!$P$13,IF(INDEX(Audit_Allgemein!$E$12:$E$50,MATCH($A6,Audit_Allgemein!$K$12:$K$50,0))="","",INDEX(Audit_Allgemein!$E$12:$E$50,MATCH($A6,Audit_Allgemein!$K$12:$K$50,0))),IF($A6&lt;=Übersicht!$P$14,IF(INDEX(Audit_Maschine!$E$12:$E$24,MATCH($A6,Audit_Maschine!$K$12:$K$24,0))="","",INDEX(Audit_Maschine!$E$12:$E$24,MATCH($A6,Audit_Maschine!$K$12:$K$24,0))),IF($A6&lt;=Übersicht!$P$15,IF(INDEX(Audit_Werkzeuge!$E$12:$E$21,MATCH($A6,Audit_Werkzeuge!$K$12:$K$21,0))="","",INDEX(Audit_Werkzeuge!$E$12:$E$21,MATCH($A6,Audit_Werkzeuge!$K$12:$K$21,0))),IF(INDEX(Audit_Kompakt!$E$12:$E$35,MATCH($A6,Audit_Kompakt!$K$12:$K$35,0))="","",INDEX(Audit_Kompakt!$E$12:$E$35,MATCH($A6,Audit_Kompakt!$K$12:$K$35,0))))))),"")</f>
        <v/>
      </c>
      <c r="G6" s="42" t="str">
        <f aca="false">IFERROR(IF($A6="","",IF($A6&lt;=Übersicht!$P$13,IF(INDEX(Audit_Allgemein!$F$12:$F$50,MATCH($A6,Audit_Allgemein!$K$12:$K$50,0))="","",INDEX(Audit_Allgemein!$F$12:$F$50,MATCH($A6,Audit_Allgemein!$K$12:$K$50,0))),IF($A6&lt;=Übersicht!$P$14,IF(INDEX(Audit_Maschine!$F$12:$F$24,MATCH($A6,Audit_Maschine!$K$12:$K$24,0))="","",INDEX(Audit_Maschine!$F$12:$F$24,MATCH($A6,Audit_Maschine!$K$12:$K$24,0))),IF($A6&lt;=Übersicht!$P$15,IF(INDEX(Audit_Werkzeuge!$F$12:$F$21,MATCH($A6,Audit_Werkzeuge!$K$12:$K$21,0))="","",INDEX(Audit_Werkzeuge!$F$12:$F$21,MATCH($A6,Audit_Werkzeuge!$K$12:$K$21,0))),IF(INDEX(Audit_Kompakt!$F$12:$F$35,MATCH($A6,Audit_Kompakt!$K$12:$K$35,0))="","",INDEX(Audit_Kompakt!$F$12:$F$35,MATCH($A6,Audit_Kompakt!$K$12:$K$35,0))))))),"")</f>
        <v/>
      </c>
      <c r="H6" s="41" t="str">
        <f aca="false">IFERROR(IF($A6="","",IF($A6&lt;=Übersicht!$P$13,IF(INDEX(Audit_Allgemein!$G$12:$G$50,MATCH($A6,Audit_Allgemein!$K$12:$K$50,0))="","",INDEX(Audit_Allgemein!$G$12:$G$50,MATCH($A6,Audit_Allgemein!$K$12:$K$50,0))),IF($A6&lt;=Übersicht!$P$14,IF(INDEX(Audit_Maschine!$G$12:$G$24,MATCH($A6,Audit_Maschine!$K$12:$K$24,0))="","",INDEX(Audit_Maschine!$G$12:$G$24,MATCH($A6,Audit_Maschine!$K$12:$K$24,0))),IF($A6&lt;=Übersicht!$P$15,IF(INDEX(Audit_Werkzeuge!$G$12:$G$21,MATCH($A6,Audit_Werkzeuge!$K$12:$K$21,0))="","",INDEX(Audit_Werkzeuge!$G$12:$G$21,MATCH($A6,Audit_Werkzeuge!$K$12:$K$21,0))),IF(INDEX(Audit_Kompakt!$G$12:$G$35,MATCH($A6,Audit_Kompakt!$K$12:$K$35,0))="","",INDEX(Audit_Kompakt!$G$12:$G$35,MATCH($A6,Audit_Kompakt!$K$12:$K$35,0))))))),"")</f>
        <v/>
      </c>
      <c r="I6" s="43" t="str">
        <f aca="false">IFERROR(IF($A6="","",IF($A6&lt;=Übersicht!$P$13,IF(INDEX(Audit_Allgemein!$H$12:$H$50,MATCH($A6,Audit_Allgemein!$K$12:$K$50,0))="","",INDEX(Audit_Allgemein!$H$12:$H$50,MATCH($A6,Audit_Allgemein!$K$12:$K$50,0))),IF($A6&lt;=Übersicht!$P$14,IF(INDEX(Audit_Maschine!$H$12:$H$24,MATCH($A6,Audit_Maschine!$K$12:$K$24,0))="","",INDEX(Audit_Maschine!$H$12:$H$24,MATCH($A6,Audit_Maschine!$K$12:$K$24,0))),IF($A6&lt;=Übersicht!$P$15,IF(INDEX(Audit_Werkzeuge!$H$12:$H$21,MATCH($A6,Audit_Werkzeuge!$K$12:$K$21,0))="","",INDEX(Audit_Werkzeuge!$H$12:$H$21,MATCH($A6,Audit_Werkzeuge!$K$12:$K$21,0))),IF(INDEX(Audit_Kompakt!$H$12:$H$35,MATCH($A6,Audit_Kompakt!$K$12:$K$35,0))="","",INDEX(Audit_Kompakt!$H$12:$H$35,MATCH($A6,Audit_Kompakt!$K$12:$K$35,0))))))),"")</f>
        <v/>
      </c>
      <c r="J6" s="41" t="str">
        <f aca="false">IFERROR(IF($A6="","",IF($A6&lt;=Übersicht!$P$13,IF(INDEX(Audit_Allgemein!$J$12:$J$50,MATCH($A6,Audit_Allgemein!$K$12:$K$50,0))="","",INDEX(Audit_Allgemein!$J$12:$J$50,MATCH($A6,Audit_Allgemein!$K$12:$K$50,0))),IF($A6&lt;=Übersicht!$P$14,IF(INDEX(Audit_Maschine!$J$12:$J$24,MATCH($A6,Audit_Maschine!$K$12:$K$24,0))="","",INDEX(Audit_Maschine!$J$12:$J$24,MATCH($A6,Audit_Maschine!$K$12:$K$24,0))),IF($A6&lt;=Übersicht!$P$15,IF(INDEX(Audit_Werkzeuge!$J$12:$J$21,MATCH($A6,Audit_Werkzeuge!$K$12:$K$21,0))="","",INDEX(Audit_Werkzeuge!$J$12:$J$21,MATCH($A6,Audit_Werkzeuge!$K$12:$K$21,0))),IF(INDEX(Audit_Kompakt!$J$12:$J$35,MATCH($A6,Audit_Kompakt!$K$12:$K$35,0))="","",INDEX(Audit_Kompakt!$J$12:$J$35,MATCH($A6,Audit_Kompakt!$K$12:$K$35,0))))))),"")</f>
        <v/>
      </c>
    </row>
    <row r="7" customFormat="false" ht="15" hidden="false" customHeight="false" outlineLevel="0" collapsed="false">
      <c r="A7" s="41" t="str">
        <f aca="false">IF(3&lt;=Übersicht!$M$17,3,"")</f>
        <v/>
      </c>
      <c r="B7" s="41" t="str">
        <f aca="false">IFERROR(IF($A7="","",IF($A7&lt;=Übersicht!$P$13,"Allgemein",IF($A7&lt;=Übersicht!$P$14,"Maschine",IF($A7&lt;=Übersicht!$P$15,"Werkzeug","Kompakt")))),"")</f>
        <v/>
      </c>
      <c r="C7" s="41" t="str">
        <f aca="false">IFERROR(IF($A7="","",IF($A7&lt;=Übersicht!$P$13,IF(Audit_Allgemein!$C$4="","–",Audit_Allgemein!$C$4),IF($A7&lt;=Übersicht!$P$14,IF(Audit_Maschine!$C$4="","–",Audit_Maschine!$C$4),IF($A7&lt;=Übersicht!$P$15,IF(Audit_Werkzeuge!$C$4="","–",Audit_Werkzeuge!$C$4),IF(Audit_Kompakt!$C$4="","–",Audit_Kompakt!$C$4))))),"")</f>
        <v/>
      </c>
      <c r="D7" s="41" t="str">
        <f aca="false">IFERROR(IF($A7="","",IF($A7&lt;=Übersicht!$P$13,IF(INDEX(Audit_Allgemein!$A$12:$A$50,MATCH($A7,Audit_Allgemein!$K$12:$K$50,0))="","",INDEX(Audit_Allgemein!$A$12:$A$50,MATCH($A7,Audit_Allgemein!$K$12:$K$50,0))),IF($A7&lt;=Übersicht!$P$14,IF(INDEX(Audit_Maschine!$A$12:$A$24,MATCH($A7,Audit_Maschine!$K$12:$K$24,0))="","",INDEX(Audit_Maschine!$A$12:$A$24,MATCH($A7,Audit_Maschine!$K$12:$K$24,0))),IF($A7&lt;=Übersicht!$P$15,IF(INDEX(Audit_Werkzeuge!$A$12:$A$21,MATCH($A7,Audit_Werkzeuge!$K$12:$K$21,0))="","",INDEX(Audit_Werkzeuge!$A$12:$A$21,MATCH($A7,Audit_Werkzeuge!$K$12:$K$21,0))),IF(INDEX(Audit_Kompakt!$A$12:$A$35,MATCH($A7,Audit_Kompakt!$K$12:$K$35,0))="","",INDEX(Audit_Kompakt!$A$12:$A$35,MATCH($A7,Audit_Kompakt!$K$12:$K$35,0))))))),"")</f>
        <v/>
      </c>
      <c r="E7" s="42" t="str">
        <f aca="false">IFERROR(IF($A7="","",IF($A7&lt;=Übersicht!$P$13,IF(INDEX(Audit_Allgemein!$C$12:$C$50,MATCH($A7,Audit_Allgemein!$K$12:$K$50,0))="","",INDEX(Audit_Allgemein!$C$12:$C$50,MATCH($A7,Audit_Allgemein!$K$12:$K$50,0))),IF($A7&lt;=Übersicht!$P$14,IF(INDEX(Audit_Maschine!$C$12:$C$24,MATCH($A7,Audit_Maschine!$K$12:$K$24,0))="","",INDEX(Audit_Maschine!$C$12:$C$24,MATCH($A7,Audit_Maschine!$K$12:$K$24,0))),IF($A7&lt;=Übersicht!$P$15,IF(INDEX(Audit_Werkzeuge!$C$12:$C$21,MATCH($A7,Audit_Werkzeuge!$K$12:$K$21,0))="","",INDEX(Audit_Werkzeuge!$C$12:$C$21,MATCH($A7,Audit_Werkzeuge!$K$12:$K$21,0))),IF(INDEX(Audit_Kompakt!$C$12:$C$35,MATCH($A7,Audit_Kompakt!$K$12:$K$35,0))="","",INDEX(Audit_Kompakt!$C$12:$C$35,MATCH($A7,Audit_Kompakt!$K$12:$K$35,0))))))),"")</f>
        <v/>
      </c>
      <c r="F7" s="41" t="str">
        <f aca="false">IFERROR(IF($A7="","",IF($A7&lt;=Übersicht!$P$13,IF(INDEX(Audit_Allgemein!$E$12:$E$50,MATCH($A7,Audit_Allgemein!$K$12:$K$50,0))="","",INDEX(Audit_Allgemein!$E$12:$E$50,MATCH($A7,Audit_Allgemein!$K$12:$K$50,0))),IF($A7&lt;=Übersicht!$P$14,IF(INDEX(Audit_Maschine!$E$12:$E$24,MATCH($A7,Audit_Maschine!$K$12:$K$24,0))="","",INDEX(Audit_Maschine!$E$12:$E$24,MATCH($A7,Audit_Maschine!$K$12:$K$24,0))),IF($A7&lt;=Übersicht!$P$15,IF(INDEX(Audit_Werkzeuge!$E$12:$E$21,MATCH($A7,Audit_Werkzeuge!$K$12:$K$21,0))="","",INDEX(Audit_Werkzeuge!$E$12:$E$21,MATCH($A7,Audit_Werkzeuge!$K$12:$K$21,0))),IF(INDEX(Audit_Kompakt!$E$12:$E$35,MATCH($A7,Audit_Kompakt!$K$12:$K$35,0))="","",INDEX(Audit_Kompakt!$E$12:$E$35,MATCH($A7,Audit_Kompakt!$K$12:$K$35,0))))))),"")</f>
        <v/>
      </c>
      <c r="G7" s="42" t="str">
        <f aca="false">IFERROR(IF($A7="","",IF($A7&lt;=Übersicht!$P$13,IF(INDEX(Audit_Allgemein!$F$12:$F$50,MATCH($A7,Audit_Allgemein!$K$12:$K$50,0))="","",INDEX(Audit_Allgemein!$F$12:$F$50,MATCH($A7,Audit_Allgemein!$K$12:$K$50,0))),IF($A7&lt;=Übersicht!$P$14,IF(INDEX(Audit_Maschine!$F$12:$F$24,MATCH($A7,Audit_Maschine!$K$12:$K$24,0))="","",INDEX(Audit_Maschine!$F$12:$F$24,MATCH($A7,Audit_Maschine!$K$12:$K$24,0))),IF($A7&lt;=Übersicht!$P$15,IF(INDEX(Audit_Werkzeuge!$F$12:$F$21,MATCH($A7,Audit_Werkzeuge!$K$12:$K$21,0))="","",INDEX(Audit_Werkzeuge!$F$12:$F$21,MATCH($A7,Audit_Werkzeuge!$K$12:$K$21,0))),IF(INDEX(Audit_Kompakt!$F$12:$F$35,MATCH($A7,Audit_Kompakt!$K$12:$K$35,0))="","",INDEX(Audit_Kompakt!$F$12:$F$35,MATCH($A7,Audit_Kompakt!$K$12:$K$35,0))))))),"")</f>
        <v/>
      </c>
      <c r="H7" s="41" t="str">
        <f aca="false">IFERROR(IF($A7="","",IF($A7&lt;=Übersicht!$P$13,IF(INDEX(Audit_Allgemein!$G$12:$G$50,MATCH($A7,Audit_Allgemein!$K$12:$K$50,0))="","",INDEX(Audit_Allgemein!$G$12:$G$50,MATCH($A7,Audit_Allgemein!$K$12:$K$50,0))),IF($A7&lt;=Übersicht!$P$14,IF(INDEX(Audit_Maschine!$G$12:$G$24,MATCH($A7,Audit_Maschine!$K$12:$K$24,0))="","",INDEX(Audit_Maschine!$G$12:$G$24,MATCH($A7,Audit_Maschine!$K$12:$K$24,0))),IF($A7&lt;=Übersicht!$P$15,IF(INDEX(Audit_Werkzeuge!$G$12:$G$21,MATCH($A7,Audit_Werkzeuge!$K$12:$K$21,0))="","",INDEX(Audit_Werkzeuge!$G$12:$G$21,MATCH($A7,Audit_Werkzeuge!$K$12:$K$21,0))),IF(INDEX(Audit_Kompakt!$G$12:$G$35,MATCH($A7,Audit_Kompakt!$K$12:$K$35,0))="","",INDEX(Audit_Kompakt!$G$12:$G$35,MATCH($A7,Audit_Kompakt!$K$12:$K$35,0))))))),"")</f>
        <v/>
      </c>
      <c r="I7" s="43" t="str">
        <f aca="false">IFERROR(IF($A7="","",IF($A7&lt;=Übersicht!$P$13,IF(INDEX(Audit_Allgemein!$H$12:$H$50,MATCH($A7,Audit_Allgemein!$K$12:$K$50,0))="","",INDEX(Audit_Allgemein!$H$12:$H$50,MATCH($A7,Audit_Allgemein!$K$12:$K$50,0))),IF($A7&lt;=Übersicht!$P$14,IF(INDEX(Audit_Maschine!$H$12:$H$24,MATCH($A7,Audit_Maschine!$K$12:$K$24,0))="","",INDEX(Audit_Maschine!$H$12:$H$24,MATCH($A7,Audit_Maschine!$K$12:$K$24,0))),IF($A7&lt;=Übersicht!$P$15,IF(INDEX(Audit_Werkzeuge!$H$12:$H$21,MATCH($A7,Audit_Werkzeuge!$K$12:$K$21,0))="","",INDEX(Audit_Werkzeuge!$H$12:$H$21,MATCH($A7,Audit_Werkzeuge!$K$12:$K$21,0))),IF(INDEX(Audit_Kompakt!$H$12:$H$35,MATCH($A7,Audit_Kompakt!$K$12:$K$35,0))="","",INDEX(Audit_Kompakt!$H$12:$H$35,MATCH($A7,Audit_Kompakt!$K$12:$K$35,0))))))),"")</f>
        <v/>
      </c>
      <c r="J7" s="41" t="str">
        <f aca="false">IFERROR(IF($A7="","",IF($A7&lt;=Übersicht!$P$13,IF(INDEX(Audit_Allgemein!$J$12:$J$50,MATCH($A7,Audit_Allgemein!$K$12:$K$50,0))="","",INDEX(Audit_Allgemein!$J$12:$J$50,MATCH($A7,Audit_Allgemein!$K$12:$K$50,0))),IF($A7&lt;=Übersicht!$P$14,IF(INDEX(Audit_Maschine!$J$12:$J$24,MATCH($A7,Audit_Maschine!$K$12:$K$24,0))="","",INDEX(Audit_Maschine!$J$12:$J$24,MATCH($A7,Audit_Maschine!$K$12:$K$24,0))),IF($A7&lt;=Übersicht!$P$15,IF(INDEX(Audit_Werkzeuge!$J$12:$J$21,MATCH($A7,Audit_Werkzeuge!$K$12:$K$21,0))="","",INDEX(Audit_Werkzeuge!$J$12:$J$21,MATCH($A7,Audit_Werkzeuge!$K$12:$K$21,0))),IF(INDEX(Audit_Kompakt!$J$12:$J$35,MATCH($A7,Audit_Kompakt!$K$12:$K$35,0))="","",INDEX(Audit_Kompakt!$J$12:$J$35,MATCH($A7,Audit_Kompakt!$K$12:$K$35,0))))))),"")</f>
        <v/>
      </c>
    </row>
    <row r="8" customFormat="false" ht="15" hidden="false" customHeight="false" outlineLevel="0" collapsed="false">
      <c r="A8" s="41" t="str">
        <f aca="false">IF(4&lt;=Übersicht!$M$17,4,"")</f>
        <v/>
      </c>
      <c r="B8" s="41" t="str">
        <f aca="false">IFERROR(IF($A8="","",IF($A8&lt;=Übersicht!$P$13,"Allgemein",IF($A8&lt;=Übersicht!$P$14,"Maschine",IF($A8&lt;=Übersicht!$P$15,"Werkzeug","Kompakt")))),"")</f>
        <v/>
      </c>
      <c r="C8" s="41" t="str">
        <f aca="false">IFERROR(IF($A8="","",IF($A8&lt;=Übersicht!$P$13,IF(Audit_Allgemein!$C$4="","–",Audit_Allgemein!$C$4),IF($A8&lt;=Übersicht!$P$14,IF(Audit_Maschine!$C$4="","–",Audit_Maschine!$C$4),IF($A8&lt;=Übersicht!$P$15,IF(Audit_Werkzeuge!$C$4="","–",Audit_Werkzeuge!$C$4),IF(Audit_Kompakt!$C$4="","–",Audit_Kompakt!$C$4))))),"")</f>
        <v/>
      </c>
      <c r="D8" s="41" t="str">
        <f aca="false">IFERROR(IF($A8="","",IF($A8&lt;=Übersicht!$P$13,IF(INDEX(Audit_Allgemein!$A$12:$A$50,MATCH($A8,Audit_Allgemein!$K$12:$K$50,0))="","",INDEX(Audit_Allgemein!$A$12:$A$50,MATCH($A8,Audit_Allgemein!$K$12:$K$50,0))),IF($A8&lt;=Übersicht!$P$14,IF(INDEX(Audit_Maschine!$A$12:$A$24,MATCH($A8,Audit_Maschine!$K$12:$K$24,0))="","",INDEX(Audit_Maschine!$A$12:$A$24,MATCH($A8,Audit_Maschine!$K$12:$K$24,0))),IF($A8&lt;=Übersicht!$P$15,IF(INDEX(Audit_Werkzeuge!$A$12:$A$21,MATCH($A8,Audit_Werkzeuge!$K$12:$K$21,0))="","",INDEX(Audit_Werkzeuge!$A$12:$A$21,MATCH($A8,Audit_Werkzeuge!$K$12:$K$21,0))),IF(INDEX(Audit_Kompakt!$A$12:$A$35,MATCH($A8,Audit_Kompakt!$K$12:$K$35,0))="","",INDEX(Audit_Kompakt!$A$12:$A$35,MATCH($A8,Audit_Kompakt!$K$12:$K$35,0))))))),"")</f>
        <v/>
      </c>
      <c r="E8" s="42" t="str">
        <f aca="false">IFERROR(IF($A8="","",IF($A8&lt;=Übersicht!$P$13,IF(INDEX(Audit_Allgemein!$C$12:$C$50,MATCH($A8,Audit_Allgemein!$K$12:$K$50,0))="","",INDEX(Audit_Allgemein!$C$12:$C$50,MATCH($A8,Audit_Allgemein!$K$12:$K$50,0))),IF($A8&lt;=Übersicht!$P$14,IF(INDEX(Audit_Maschine!$C$12:$C$24,MATCH($A8,Audit_Maschine!$K$12:$K$24,0))="","",INDEX(Audit_Maschine!$C$12:$C$24,MATCH($A8,Audit_Maschine!$K$12:$K$24,0))),IF($A8&lt;=Übersicht!$P$15,IF(INDEX(Audit_Werkzeuge!$C$12:$C$21,MATCH($A8,Audit_Werkzeuge!$K$12:$K$21,0))="","",INDEX(Audit_Werkzeuge!$C$12:$C$21,MATCH($A8,Audit_Werkzeuge!$K$12:$K$21,0))),IF(INDEX(Audit_Kompakt!$C$12:$C$35,MATCH($A8,Audit_Kompakt!$K$12:$K$35,0))="","",INDEX(Audit_Kompakt!$C$12:$C$35,MATCH($A8,Audit_Kompakt!$K$12:$K$35,0))))))),"")</f>
        <v/>
      </c>
      <c r="F8" s="41" t="str">
        <f aca="false">IFERROR(IF($A8="","",IF($A8&lt;=Übersicht!$P$13,IF(INDEX(Audit_Allgemein!$E$12:$E$50,MATCH($A8,Audit_Allgemein!$K$12:$K$50,0))="","",INDEX(Audit_Allgemein!$E$12:$E$50,MATCH($A8,Audit_Allgemein!$K$12:$K$50,0))),IF($A8&lt;=Übersicht!$P$14,IF(INDEX(Audit_Maschine!$E$12:$E$24,MATCH($A8,Audit_Maschine!$K$12:$K$24,0))="","",INDEX(Audit_Maschine!$E$12:$E$24,MATCH($A8,Audit_Maschine!$K$12:$K$24,0))),IF($A8&lt;=Übersicht!$P$15,IF(INDEX(Audit_Werkzeuge!$E$12:$E$21,MATCH($A8,Audit_Werkzeuge!$K$12:$K$21,0))="","",INDEX(Audit_Werkzeuge!$E$12:$E$21,MATCH($A8,Audit_Werkzeuge!$K$12:$K$21,0))),IF(INDEX(Audit_Kompakt!$E$12:$E$35,MATCH($A8,Audit_Kompakt!$K$12:$K$35,0))="","",INDEX(Audit_Kompakt!$E$12:$E$35,MATCH($A8,Audit_Kompakt!$K$12:$K$35,0))))))),"")</f>
        <v/>
      </c>
      <c r="G8" s="42" t="str">
        <f aca="false">IFERROR(IF($A8="","",IF($A8&lt;=Übersicht!$P$13,IF(INDEX(Audit_Allgemein!$F$12:$F$50,MATCH($A8,Audit_Allgemein!$K$12:$K$50,0))="","",INDEX(Audit_Allgemein!$F$12:$F$50,MATCH($A8,Audit_Allgemein!$K$12:$K$50,0))),IF($A8&lt;=Übersicht!$P$14,IF(INDEX(Audit_Maschine!$F$12:$F$24,MATCH($A8,Audit_Maschine!$K$12:$K$24,0))="","",INDEX(Audit_Maschine!$F$12:$F$24,MATCH($A8,Audit_Maschine!$K$12:$K$24,0))),IF($A8&lt;=Übersicht!$P$15,IF(INDEX(Audit_Werkzeuge!$F$12:$F$21,MATCH($A8,Audit_Werkzeuge!$K$12:$K$21,0))="","",INDEX(Audit_Werkzeuge!$F$12:$F$21,MATCH($A8,Audit_Werkzeuge!$K$12:$K$21,0))),IF(INDEX(Audit_Kompakt!$F$12:$F$35,MATCH($A8,Audit_Kompakt!$K$12:$K$35,0))="","",INDEX(Audit_Kompakt!$F$12:$F$35,MATCH($A8,Audit_Kompakt!$K$12:$K$35,0))))))),"")</f>
        <v/>
      </c>
      <c r="H8" s="41" t="str">
        <f aca="false">IFERROR(IF($A8="","",IF($A8&lt;=Übersicht!$P$13,IF(INDEX(Audit_Allgemein!$G$12:$G$50,MATCH($A8,Audit_Allgemein!$K$12:$K$50,0))="","",INDEX(Audit_Allgemein!$G$12:$G$50,MATCH($A8,Audit_Allgemein!$K$12:$K$50,0))),IF($A8&lt;=Übersicht!$P$14,IF(INDEX(Audit_Maschine!$G$12:$G$24,MATCH($A8,Audit_Maschine!$K$12:$K$24,0))="","",INDEX(Audit_Maschine!$G$12:$G$24,MATCH($A8,Audit_Maschine!$K$12:$K$24,0))),IF($A8&lt;=Übersicht!$P$15,IF(INDEX(Audit_Werkzeuge!$G$12:$G$21,MATCH($A8,Audit_Werkzeuge!$K$12:$K$21,0))="","",INDEX(Audit_Werkzeuge!$G$12:$G$21,MATCH($A8,Audit_Werkzeuge!$K$12:$K$21,0))),IF(INDEX(Audit_Kompakt!$G$12:$G$35,MATCH($A8,Audit_Kompakt!$K$12:$K$35,0))="","",INDEX(Audit_Kompakt!$G$12:$G$35,MATCH($A8,Audit_Kompakt!$K$12:$K$35,0))))))),"")</f>
        <v/>
      </c>
      <c r="I8" s="43" t="str">
        <f aca="false">IFERROR(IF($A8="","",IF($A8&lt;=Übersicht!$P$13,IF(INDEX(Audit_Allgemein!$H$12:$H$50,MATCH($A8,Audit_Allgemein!$K$12:$K$50,0))="","",INDEX(Audit_Allgemein!$H$12:$H$50,MATCH($A8,Audit_Allgemein!$K$12:$K$50,0))),IF($A8&lt;=Übersicht!$P$14,IF(INDEX(Audit_Maschine!$H$12:$H$24,MATCH($A8,Audit_Maschine!$K$12:$K$24,0))="","",INDEX(Audit_Maschine!$H$12:$H$24,MATCH($A8,Audit_Maschine!$K$12:$K$24,0))),IF($A8&lt;=Übersicht!$P$15,IF(INDEX(Audit_Werkzeuge!$H$12:$H$21,MATCH($A8,Audit_Werkzeuge!$K$12:$K$21,0))="","",INDEX(Audit_Werkzeuge!$H$12:$H$21,MATCH($A8,Audit_Werkzeuge!$K$12:$K$21,0))),IF(INDEX(Audit_Kompakt!$H$12:$H$35,MATCH($A8,Audit_Kompakt!$K$12:$K$35,0))="","",INDEX(Audit_Kompakt!$H$12:$H$35,MATCH($A8,Audit_Kompakt!$K$12:$K$35,0))))))),"")</f>
        <v/>
      </c>
      <c r="J8" s="41" t="str">
        <f aca="false">IFERROR(IF($A8="","",IF($A8&lt;=Übersicht!$P$13,IF(INDEX(Audit_Allgemein!$J$12:$J$50,MATCH($A8,Audit_Allgemein!$K$12:$K$50,0))="","",INDEX(Audit_Allgemein!$J$12:$J$50,MATCH($A8,Audit_Allgemein!$K$12:$K$50,0))),IF($A8&lt;=Übersicht!$P$14,IF(INDEX(Audit_Maschine!$J$12:$J$24,MATCH($A8,Audit_Maschine!$K$12:$K$24,0))="","",INDEX(Audit_Maschine!$J$12:$J$24,MATCH($A8,Audit_Maschine!$K$12:$K$24,0))),IF($A8&lt;=Übersicht!$P$15,IF(INDEX(Audit_Werkzeuge!$J$12:$J$21,MATCH($A8,Audit_Werkzeuge!$K$12:$K$21,0))="","",INDEX(Audit_Werkzeuge!$J$12:$J$21,MATCH($A8,Audit_Werkzeuge!$K$12:$K$21,0))),IF(INDEX(Audit_Kompakt!$J$12:$J$35,MATCH($A8,Audit_Kompakt!$K$12:$K$35,0))="","",INDEX(Audit_Kompakt!$J$12:$J$35,MATCH($A8,Audit_Kompakt!$K$12:$K$35,0))))))),"")</f>
        <v/>
      </c>
    </row>
    <row r="9" customFormat="false" ht="15" hidden="false" customHeight="false" outlineLevel="0" collapsed="false">
      <c r="A9" s="41" t="str">
        <f aca="false">IF(5&lt;=Übersicht!$M$17,5,"")</f>
        <v/>
      </c>
      <c r="B9" s="41" t="str">
        <f aca="false">IFERROR(IF($A9="","",IF($A9&lt;=Übersicht!$P$13,"Allgemein",IF($A9&lt;=Übersicht!$P$14,"Maschine",IF($A9&lt;=Übersicht!$P$15,"Werkzeug","Kompakt")))),"")</f>
        <v/>
      </c>
      <c r="C9" s="41" t="str">
        <f aca="false">IFERROR(IF($A9="","",IF($A9&lt;=Übersicht!$P$13,IF(Audit_Allgemein!$C$4="","–",Audit_Allgemein!$C$4),IF($A9&lt;=Übersicht!$P$14,IF(Audit_Maschine!$C$4="","–",Audit_Maschine!$C$4),IF($A9&lt;=Übersicht!$P$15,IF(Audit_Werkzeuge!$C$4="","–",Audit_Werkzeuge!$C$4),IF(Audit_Kompakt!$C$4="","–",Audit_Kompakt!$C$4))))),"")</f>
        <v/>
      </c>
      <c r="D9" s="41" t="str">
        <f aca="false">IFERROR(IF($A9="","",IF($A9&lt;=Übersicht!$P$13,IF(INDEX(Audit_Allgemein!$A$12:$A$50,MATCH($A9,Audit_Allgemein!$K$12:$K$50,0))="","",INDEX(Audit_Allgemein!$A$12:$A$50,MATCH($A9,Audit_Allgemein!$K$12:$K$50,0))),IF($A9&lt;=Übersicht!$P$14,IF(INDEX(Audit_Maschine!$A$12:$A$24,MATCH($A9,Audit_Maschine!$K$12:$K$24,0))="","",INDEX(Audit_Maschine!$A$12:$A$24,MATCH($A9,Audit_Maschine!$K$12:$K$24,0))),IF($A9&lt;=Übersicht!$P$15,IF(INDEX(Audit_Werkzeuge!$A$12:$A$21,MATCH($A9,Audit_Werkzeuge!$K$12:$K$21,0))="","",INDEX(Audit_Werkzeuge!$A$12:$A$21,MATCH($A9,Audit_Werkzeuge!$K$12:$K$21,0))),IF(INDEX(Audit_Kompakt!$A$12:$A$35,MATCH($A9,Audit_Kompakt!$K$12:$K$35,0))="","",INDEX(Audit_Kompakt!$A$12:$A$35,MATCH($A9,Audit_Kompakt!$K$12:$K$35,0))))))),"")</f>
        <v/>
      </c>
      <c r="E9" s="42" t="str">
        <f aca="false">IFERROR(IF($A9="","",IF($A9&lt;=Übersicht!$P$13,IF(INDEX(Audit_Allgemein!$C$12:$C$50,MATCH($A9,Audit_Allgemein!$K$12:$K$50,0))="","",INDEX(Audit_Allgemein!$C$12:$C$50,MATCH($A9,Audit_Allgemein!$K$12:$K$50,0))),IF($A9&lt;=Übersicht!$P$14,IF(INDEX(Audit_Maschine!$C$12:$C$24,MATCH($A9,Audit_Maschine!$K$12:$K$24,0))="","",INDEX(Audit_Maschine!$C$12:$C$24,MATCH($A9,Audit_Maschine!$K$12:$K$24,0))),IF($A9&lt;=Übersicht!$P$15,IF(INDEX(Audit_Werkzeuge!$C$12:$C$21,MATCH($A9,Audit_Werkzeuge!$K$12:$K$21,0))="","",INDEX(Audit_Werkzeuge!$C$12:$C$21,MATCH($A9,Audit_Werkzeuge!$K$12:$K$21,0))),IF(INDEX(Audit_Kompakt!$C$12:$C$35,MATCH($A9,Audit_Kompakt!$K$12:$K$35,0))="","",INDEX(Audit_Kompakt!$C$12:$C$35,MATCH($A9,Audit_Kompakt!$K$12:$K$35,0))))))),"")</f>
        <v/>
      </c>
      <c r="F9" s="41" t="str">
        <f aca="false">IFERROR(IF($A9="","",IF($A9&lt;=Übersicht!$P$13,IF(INDEX(Audit_Allgemein!$E$12:$E$50,MATCH($A9,Audit_Allgemein!$K$12:$K$50,0))="","",INDEX(Audit_Allgemein!$E$12:$E$50,MATCH($A9,Audit_Allgemein!$K$12:$K$50,0))),IF($A9&lt;=Übersicht!$P$14,IF(INDEX(Audit_Maschine!$E$12:$E$24,MATCH($A9,Audit_Maschine!$K$12:$K$24,0))="","",INDEX(Audit_Maschine!$E$12:$E$24,MATCH($A9,Audit_Maschine!$K$12:$K$24,0))),IF($A9&lt;=Übersicht!$P$15,IF(INDEX(Audit_Werkzeuge!$E$12:$E$21,MATCH($A9,Audit_Werkzeuge!$K$12:$K$21,0))="","",INDEX(Audit_Werkzeuge!$E$12:$E$21,MATCH($A9,Audit_Werkzeuge!$K$12:$K$21,0))),IF(INDEX(Audit_Kompakt!$E$12:$E$35,MATCH($A9,Audit_Kompakt!$K$12:$K$35,0))="","",INDEX(Audit_Kompakt!$E$12:$E$35,MATCH($A9,Audit_Kompakt!$K$12:$K$35,0))))))),"")</f>
        <v/>
      </c>
      <c r="G9" s="42" t="str">
        <f aca="false">IFERROR(IF($A9="","",IF($A9&lt;=Übersicht!$P$13,IF(INDEX(Audit_Allgemein!$F$12:$F$50,MATCH($A9,Audit_Allgemein!$K$12:$K$50,0))="","",INDEX(Audit_Allgemein!$F$12:$F$50,MATCH($A9,Audit_Allgemein!$K$12:$K$50,0))),IF($A9&lt;=Übersicht!$P$14,IF(INDEX(Audit_Maschine!$F$12:$F$24,MATCH($A9,Audit_Maschine!$K$12:$K$24,0))="","",INDEX(Audit_Maschine!$F$12:$F$24,MATCH($A9,Audit_Maschine!$K$12:$K$24,0))),IF($A9&lt;=Übersicht!$P$15,IF(INDEX(Audit_Werkzeuge!$F$12:$F$21,MATCH($A9,Audit_Werkzeuge!$K$12:$K$21,0))="","",INDEX(Audit_Werkzeuge!$F$12:$F$21,MATCH($A9,Audit_Werkzeuge!$K$12:$K$21,0))),IF(INDEX(Audit_Kompakt!$F$12:$F$35,MATCH($A9,Audit_Kompakt!$K$12:$K$35,0))="","",INDEX(Audit_Kompakt!$F$12:$F$35,MATCH($A9,Audit_Kompakt!$K$12:$K$35,0))))))),"")</f>
        <v/>
      </c>
      <c r="H9" s="41" t="str">
        <f aca="false">IFERROR(IF($A9="","",IF($A9&lt;=Übersicht!$P$13,IF(INDEX(Audit_Allgemein!$G$12:$G$50,MATCH($A9,Audit_Allgemein!$K$12:$K$50,0))="","",INDEX(Audit_Allgemein!$G$12:$G$50,MATCH($A9,Audit_Allgemein!$K$12:$K$50,0))),IF($A9&lt;=Übersicht!$P$14,IF(INDEX(Audit_Maschine!$G$12:$G$24,MATCH($A9,Audit_Maschine!$K$12:$K$24,0))="","",INDEX(Audit_Maschine!$G$12:$G$24,MATCH($A9,Audit_Maschine!$K$12:$K$24,0))),IF($A9&lt;=Übersicht!$P$15,IF(INDEX(Audit_Werkzeuge!$G$12:$G$21,MATCH($A9,Audit_Werkzeuge!$K$12:$K$21,0))="","",INDEX(Audit_Werkzeuge!$G$12:$G$21,MATCH($A9,Audit_Werkzeuge!$K$12:$K$21,0))),IF(INDEX(Audit_Kompakt!$G$12:$G$35,MATCH($A9,Audit_Kompakt!$K$12:$K$35,0))="","",INDEX(Audit_Kompakt!$G$12:$G$35,MATCH($A9,Audit_Kompakt!$K$12:$K$35,0))))))),"")</f>
        <v/>
      </c>
      <c r="I9" s="43" t="str">
        <f aca="false">IFERROR(IF($A9="","",IF($A9&lt;=Übersicht!$P$13,IF(INDEX(Audit_Allgemein!$H$12:$H$50,MATCH($A9,Audit_Allgemein!$K$12:$K$50,0))="","",INDEX(Audit_Allgemein!$H$12:$H$50,MATCH($A9,Audit_Allgemein!$K$12:$K$50,0))),IF($A9&lt;=Übersicht!$P$14,IF(INDEX(Audit_Maschine!$H$12:$H$24,MATCH($A9,Audit_Maschine!$K$12:$K$24,0))="","",INDEX(Audit_Maschine!$H$12:$H$24,MATCH($A9,Audit_Maschine!$K$12:$K$24,0))),IF($A9&lt;=Übersicht!$P$15,IF(INDEX(Audit_Werkzeuge!$H$12:$H$21,MATCH($A9,Audit_Werkzeuge!$K$12:$K$21,0))="","",INDEX(Audit_Werkzeuge!$H$12:$H$21,MATCH($A9,Audit_Werkzeuge!$K$12:$K$21,0))),IF(INDEX(Audit_Kompakt!$H$12:$H$35,MATCH($A9,Audit_Kompakt!$K$12:$K$35,0))="","",INDEX(Audit_Kompakt!$H$12:$H$35,MATCH($A9,Audit_Kompakt!$K$12:$K$35,0))))))),"")</f>
        <v/>
      </c>
      <c r="J9" s="41" t="str">
        <f aca="false">IFERROR(IF($A9="","",IF($A9&lt;=Übersicht!$P$13,IF(INDEX(Audit_Allgemein!$J$12:$J$50,MATCH($A9,Audit_Allgemein!$K$12:$K$50,0))="","",INDEX(Audit_Allgemein!$J$12:$J$50,MATCH($A9,Audit_Allgemein!$K$12:$K$50,0))),IF($A9&lt;=Übersicht!$P$14,IF(INDEX(Audit_Maschine!$J$12:$J$24,MATCH($A9,Audit_Maschine!$K$12:$K$24,0))="","",INDEX(Audit_Maschine!$J$12:$J$24,MATCH($A9,Audit_Maschine!$K$12:$K$24,0))),IF($A9&lt;=Übersicht!$P$15,IF(INDEX(Audit_Werkzeuge!$J$12:$J$21,MATCH($A9,Audit_Werkzeuge!$K$12:$K$21,0))="","",INDEX(Audit_Werkzeuge!$J$12:$J$21,MATCH($A9,Audit_Werkzeuge!$K$12:$K$21,0))),IF(INDEX(Audit_Kompakt!$J$12:$J$35,MATCH($A9,Audit_Kompakt!$K$12:$K$35,0))="","",INDEX(Audit_Kompakt!$J$12:$J$35,MATCH($A9,Audit_Kompakt!$K$12:$K$35,0))))))),"")</f>
        <v/>
      </c>
    </row>
    <row r="10" customFormat="false" ht="15" hidden="false" customHeight="false" outlineLevel="0" collapsed="false">
      <c r="A10" s="41" t="str">
        <f aca="false">IF(6&lt;=Übersicht!$M$17,6,"")</f>
        <v/>
      </c>
      <c r="B10" s="41" t="str">
        <f aca="false">IFERROR(IF($A10="","",IF($A10&lt;=Übersicht!$P$13,"Allgemein",IF($A10&lt;=Übersicht!$P$14,"Maschine",IF($A10&lt;=Übersicht!$P$15,"Werkzeug","Kompakt")))),"")</f>
        <v/>
      </c>
      <c r="C10" s="41" t="str">
        <f aca="false">IFERROR(IF($A10="","",IF($A10&lt;=Übersicht!$P$13,IF(Audit_Allgemein!$C$4="","–",Audit_Allgemein!$C$4),IF($A10&lt;=Übersicht!$P$14,IF(Audit_Maschine!$C$4="","–",Audit_Maschine!$C$4),IF($A10&lt;=Übersicht!$P$15,IF(Audit_Werkzeuge!$C$4="","–",Audit_Werkzeuge!$C$4),IF(Audit_Kompakt!$C$4="","–",Audit_Kompakt!$C$4))))),"")</f>
        <v/>
      </c>
      <c r="D10" s="41" t="str">
        <f aca="false">IFERROR(IF($A10="","",IF($A10&lt;=Übersicht!$P$13,IF(INDEX(Audit_Allgemein!$A$12:$A$50,MATCH($A10,Audit_Allgemein!$K$12:$K$50,0))="","",INDEX(Audit_Allgemein!$A$12:$A$50,MATCH($A10,Audit_Allgemein!$K$12:$K$50,0))),IF($A10&lt;=Übersicht!$P$14,IF(INDEX(Audit_Maschine!$A$12:$A$24,MATCH($A10,Audit_Maschine!$K$12:$K$24,0))="","",INDEX(Audit_Maschine!$A$12:$A$24,MATCH($A10,Audit_Maschine!$K$12:$K$24,0))),IF($A10&lt;=Übersicht!$P$15,IF(INDEX(Audit_Werkzeuge!$A$12:$A$21,MATCH($A10,Audit_Werkzeuge!$K$12:$K$21,0))="","",INDEX(Audit_Werkzeuge!$A$12:$A$21,MATCH($A10,Audit_Werkzeuge!$K$12:$K$21,0))),IF(INDEX(Audit_Kompakt!$A$12:$A$35,MATCH($A10,Audit_Kompakt!$K$12:$K$35,0))="","",INDEX(Audit_Kompakt!$A$12:$A$35,MATCH($A10,Audit_Kompakt!$K$12:$K$35,0))))))),"")</f>
        <v/>
      </c>
      <c r="E10" s="42" t="str">
        <f aca="false">IFERROR(IF($A10="","",IF($A10&lt;=Übersicht!$P$13,IF(INDEX(Audit_Allgemein!$C$12:$C$50,MATCH($A10,Audit_Allgemein!$K$12:$K$50,0))="","",INDEX(Audit_Allgemein!$C$12:$C$50,MATCH($A10,Audit_Allgemein!$K$12:$K$50,0))),IF($A10&lt;=Übersicht!$P$14,IF(INDEX(Audit_Maschine!$C$12:$C$24,MATCH($A10,Audit_Maschine!$K$12:$K$24,0))="","",INDEX(Audit_Maschine!$C$12:$C$24,MATCH($A10,Audit_Maschine!$K$12:$K$24,0))),IF($A10&lt;=Übersicht!$P$15,IF(INDEX(Audit_Werkzeuge!$C$12:$C$21,MATCH($A10,Audit_Werkzeuge!$K$12:$K$21,0))="","",INDEX(Audit_Werkzeuge!$C$12:$C$21,MATCH($A10,Audit_Werkzeuge!$K$12:$K$21,0))),IF(INDEX(Audit_Kompakt!$C$12:$C$35,MATCH($A10,Audit_Kompakt!$K$12:$K$35,0))="","",INDEX(Audit_Kompakt!$C$12:$C$35,MATCH($A10,Audit_Kompakt!$K$12:$K$35,0))))))),"")</f>
        <v/>
      </c>
      <c r="F10" s="41" t="str">
        <f aca="false">IFERROR(IF($A10="","",IF($A10&lt;=Übersicht!$P$13,IF(INDEX(Audit_Allgemein!$E$12:$E$50,MATCH($A10,Audit_Allgemein!$K$12:$K$50,0))="","",INDEX(Audit_Allgemein!$E$12:$E$50,MATCH($A10,Audit_Allgemein!$K$12:$K$50,0))),IF($A10&lt;=Übersicht!$P$14,IF(INDEX(Audit_Maschine!$E$12:$E$24,MATCH($A10,Audit_Maschine!$K$12:$K$24,0))="","",INDEX(Audit_Maschine!$E$12:$E$24,MATCH($A10,Audit_Maschine!$K$12:$K$24,0))),IF($A10&lt;=Übersicht!$P$15,IF(INDEX(Audit_Werkzeuge!$E$12:$E$21,MATCH($A10,Audit_Werkzeuge!$K$12:$K$21,0))="","",INDEX(Audit_Werkzeuge!$E$12:$E$21,MATCH($A10,Audit_Werkzeuge!$K$12:$K$21,0))),IF(INDEX(Audit_Kompakt!$E$12:$E$35,MATCH($A10,Audit_Kompakt!$K$12:$K$35,0))="","",INDEX(Audit_Kompakt!$E$12:$E$35,MATCH($A10,Audit_Kompakt!$K$12:$K$35,0))))))),"")</f>
        <v/>
      </c>
      <c r="G10" s="42" t="str">
        <f aca="false">IFERROR(IF($A10="","",IF($A10&lt;=Übersicht!$P$13,IF(INDEX(Audit_Allgemein!$F$12:$F$50,MATCH($A10,Audit_Allgemein!$K$12:$K$50,0))="","",INDEX(Audit_Allgemein!$F$12:$F$50,MATCH($A10,Audit_Allgemein!$K$12:$K$50,0))),IF($A10&lt;=Übersicht!$P$14,IF(INDEX(Audit_Maschine!$F$12:$F$24,MATCH($A10,Audit_Maschine!$K$12:$K$24,0))="","",INDEX(Audit_Maschine!$F$12:$F$24,MATCH($A10,Audit_Maschine!$K$12:$K$24,0))),IF($A10&lt;=Übersicht!$P$15,IF(INDEX(Audit_Werkzeuge!$F$12:$F$21,MATCH($A10,Audit_Werkzeuge!$K$12:$K$21,0))="","",INDEX(Audit_Werkzeuge!$F$12:$F$21,MATCH($A10,Audit_Werkzeuge!$K$12:$K$21,0))),IF(INDEX(Audit_Kompakt!$F$12:$F$35,MATCH($A10,Audit_Kompakt!$K$12:$K$35,0))="","",INDEX(Audit_Kompakt!$F$12:$F$35,MATCH($A10,Audit_Kompakt!$K$12:$K$35,0))))))),"")</f>
        <v/>
      </c>
      <c r="H10" s="41" t="str">
        <f aca="false">IFERROR(IF($A10="","",IF($A10&lt;=Übersicht!$P$13,IF(INDEX(Audit_Allgemein!$G$12:$G$50,MATCH($A10,Audit_Allgemein!$K$12:$K$50,0))="","",INDEX(Audit_Allgemein!$G$12:$G$50,MATCH($A10,Audit_Allgemein!$K$12:$K$50,0))),IF($A10&lt;=Übersicht!$P$14,IF(INDEX(Audit_Maschine!$G$12:$G$24,MATCH($A10,Audit_Maschine!$K$12:$K$24,0))="","",INDEX(Audit_Maschine!$G$12:$G$24,MATCH($A10,Audit_Maschine!$K$12:$K$24,0))),IF($A10&lt;=Übersicht!$P$15,IF(INDEX(Audit_Werkzeuge!$G$12:$G$21,MATCH($A10,Audit_Werkzeuge!$K$12:$K$21,0))="","",INDEX(Audit_Werkzeuge!$G$12:$G$21,MATCH($A10,Audit_Werkzeuge!$K$12:$K$21,0))),IF(INDEX(Audit_Kompakt!$G$12:$G$35,MATCH($A10,Audit_Kompakt!$K$12:$K$35,0))="","",INDEX(Audit_Kompakt!$G$12:$G$35,MATCH($A10,Audit_Kompakt!$K$12:$K$35,0))))))),"")</f>
        <v/>
      </c>
      <c r="I10" s="43" t="str">
        <f aca="false">IFERROR(IF($A10="","",IF($A10&lt;=Übersicht!$P$13,IF(INDEX(Audit_Allgemein!$H$12:$H$50,MATCH($A10,Audit_Allgemein!$K$12:$K$50,0))="","",INDEX(Audit_Allgemein!$H$12:$H$50,MATCH($A10,Audit_Allgemein!$K$12:$K$50,0))),IF($A10&lt;=Übersicht!$P$14,IF(INDEX(Audit_Maschine!$H$12:$H$24,MATCH($A10,Audit_Maschine!$K$12:$K$24,0))="","",INDEX(Audit_Maschine!$H$12:$H$24,MATCH($A10,Audit_Maschine!$K$12:$K$24,0))),IF($A10&lt;=Übersicht!$P$15,IF(INDEX(Audit_Werkzeuge!$H$12:$H$21,MATCH($A10,Audit_Werkzeuge!$K$12:$K$21,0))="","",INDEX(Audit_Werkzeuge!$H$12:$H$21,MATCH($A10,Audit_Werkzeuge!$K$12:$K$21,0))),IF(INDEX(Audit_Kompakt!$H$12:$H$35,MATCH($A10,Audit_Kompakt!$K$12:$K$35,0))="","",INDEX(Audit_Kompakt!$H$12:$H$35,MATCH($A10,Audit_Kompakt!$K$12:$K$35,0))))))),"")</f>
        <v/>
      </c>
      <c r="J10" s="41" t="str">
        <f aca="false">IFERROR(IF($A10="","",IF($A10&lt;=Übersicht!$P$13,IF(INDEX(Audit_Allgemein!$J$12:$J$50,MATCH($A10,Audit_Allgemein!$K$12:$K$50,0))="","",INDEX(Audit_Allgemein!$J$12:$J$50,MATCH($A10,Audit_Allgemein!$K$12:$K$50,0))),IF($A10&lt;=Übersicht!$P$14,IF(INDEX(Audit_Maschine!$J$12:$J$24,MATCH($A10,Audit_Maschine!$K$12:$K$24,0))="","",INDEX(Audit_Maschine!$J$12:$J$24,MATCH($A10,Audit_Maschine!$K$12:$K$24,0))),IF($A10&lt;=Übersicht!$P$15,IF(INDEX(Audit_Werkzeuge!$J$12:$J$21,MATCH($A10,Audit_Werkzeuge!$K$12:$K$21,0))="","",INDEX(Audit_Werkzeuge!$J$12:$J$21,MATCH($A10,Audit_Werkzeuge!$K$12:$K$21,0))),IF(INDEX(Audit_Kompakt!$J$12:$J$35,MATCH($A10,Audit_Kompakt!$K$12:$K$35,0))="","",INDEX(Audit_Kompakt!$J$12:$J$35,MATCH($A10,Audit_Kompakt!$K$12:$K$35,0))))))),"")</f>
        <v/>
      </c>
    </row>
    <row r="11" customFormat="false" ht="15" hidden="false" customHeight="false" outlineLevel="0" collapsed="false">
      <c r="A11" s="41" t="str">
        <f aca="false">IF(7&lt;=Übersicht!$M$17,7,"")</f>
        <v/>
      </c>
      <c r="B11" s="41" t="str">
        <f aca="false">IFERROR(IF($A11="","",IF($A11&lt;=Übersicht!$P$13,"Allgemein",IF($A11&lt;=Übersicht!$P$14,"Maschine",IF($A11&lt;=Übersicht!$P$15,"Werkzeug","Kompakt")))),"")</f>
        <v/>
      </c>
      <c r="C11" s="41" t="str">
        <f aca="false">IFERROR(IF($A11="","",IF($A11&lt;=Übersicht!$P$13,IF(Audit_Allgemein!$C$4="","–",Audit_Allgemein!$C$4),IF($A11&lt;=Übersicht!$P$14,IF(Audit_Maschine!$C$4="","–",Audit_Maschine!$C$4),IF($A11&lt;=Übersicht!$P$15,IF(Audit_Werkzeuge!$C$4="","–",Audit_Werkzeuge!$C$4),IF(Audit_Kompakt!$C$4="","–",Audit_Kompakt!$C$4))))),"")</f>
        <v/>
      </c>
      <c r="D11" s="41" t="str">
        <f aca="false">IFERROR(IF($A11="","",IF($A11&lt;=Übersicht!$P$13,IF(INDEX(Audit_Allgemein!$A$12:$A$50,MATCH($A11,Audit_Allgemein!$K$12:$K$50,0))="","",INDEX(Audit_Allgemein!$A$12:$A$50,MATCH($A11,Audit_Allgemein!$K$12:$K$50,0))),IF($A11&lt;=Übersicht!$P$14,IF(INDEX(Audit_Maschine!$A$12:$A$24,MATCH($A11,Audit_Maschine!$K$12:$K$24,0))="","",INDEX(Audit_Maschine!$A$12:$A$24,MATCH($A11,Audit_Maschine!$K$12:$K$24,0))),IF($A11&lt;=Übersicht!$P$15,IF(INDEX(Audit_Werkzeuge!$A$12:$A$21,MATCH($A11,Audit_Werkzeuge!$K$12:$K$21,0))="","",INDEX(Audit_Werkzeuge!$A$12:$A$21,MATCH($A11,Audit_Werkzeuge!$K$12:$K$21,0))),IF(INDEX(Audit_Kompakt!$A$12:$A$35,MATCH($A11,Audit_Kompakt!$K$12:$K$35,0))="","",INDEX(Audit_Kompakt!$A$12:$A$35,MATCH($A11,Audit_Kompakt!$K$12:$K$35,0))))))),"")</f>
        <v/>
      </c>
      <c r="E11" s="42" t="str">
        <f aca="false">IFERROR(IF($A11="","",IF($A11&lt;=Übersicht!$P$13,IF(INDEX(Audit_Allgemein!$C$12:$C$50,MATCH($A11,Audit_Allgemein!$K$12:$K$50,0))="","",INDEX(Audit_Allgemein!$C$12:$C$50,MATCH($A11,Audit_Allgemein!$K$12:$K$50,0))),IF($A11&lt;=Übersicht!$P$14,IF(INDEX(Audit_Maschine!$C$12:$C$24,MATCH($A11,Audit_Maschine!$K$12:$K$24,0))="","",INDEX(Audit_Maschine!$C$12:$C$24,MATCH($A11,Audit_Maschine!$K$12:$K$24,0))),IF($A11&lt;=Übersicht!$P$15,IF(INDEX(Audit_Werkzeuge!$C$12:$C$21,MATCH($A11,Audit_Werkzeuge!$K$12:$K$21,0))="","",INDEX(Audit_Werkzeuge!$C$12:$C$21,MATCH($A11,Audit_Werkzeuge!$K$12:$K$21,0))),IF(INDEX(Audit_Kompakt!$C$12:$C$35,MATCH($A11,Audit_Kompakt!$K$12:$K$35,0))="","",INDEX(Audit_Kompakt!$C$12:$C$35,MATCH($A11,Audit_Kompakt!$K$12:$K$35,0))))))),"")</f>
        <v/>
      </c>
      <c r="F11" s="41" t="str">
        <f aca="false">IFERROR(IF($A11="","",IF($A11&lt;=Übersicht!$P$13,IF(INDEX(Audit_Allgemein!$E$12:$E$50,MATCH($A11,Audit_Allgemein!$K$12:$K$50,0))="","",INDEX(Audit_Allgemein!$E$12:$E$50,MATCH($A11,Audit_Allgemein!$K$12:$K$50,0))),IF($A11&lt;=Übersicht!$P$14,IF(INDEX(Audit_Maschine!$E$12:$E$24,MATCH($A11,Audit_Maschine!$K$12:$K$24,0))="","",INDEX(Audit_Maschine!$E$12:$E$24,MATCH($A11,Audit_Maschine!$K$12:$K$24,0))),IF($A11&lt;=Übersicht!$P$15,IF(INDEX(Audit_Werkzeuge!$E$12:$E$21,MATCH($A11,Audit_Werkzeuge!$K$12:$K$21,0))="","",INDEX(Audit_Werkzeuge!$E$12:$E$21,MATCH($A11,Audit_Werkzeuge!$K$12:$K$21,0))),IF(INDEX(Audit_Kompakt!$E$12:$E$35,MATCH($A11,Audit_Kompakt!$K$12:$K$35,0))="","",INDEX(Audit_Kompakt!$E$12:$E$35,MATCH($A11,Audit_Kompakt!$K$12:$K$35,0))))))),"")</f>
        <v/>
      </c>
      <c r="G11" s="42" t="str">
        <f aca="false">IFERROR(IF($A11="","",IF($A11&lt;=Übersicht!$P$13,IF(INDEX(Audit_Allgemein!$F$12:$F$50,MATCH($A11,Audit_Allgemein!$K$12:$K$50,0))="","",INDEX(Audit_Allgemein!$F$12:$F$50,MATCH($A11,Audit_Allgemein!$K$12:$K$50,0))),IF($A11&lt;=Übersicht!$P$14,IF(INDEX(Audit_Maschine!$F$12:$F$24,MATCH($A11,Audit_Maschine!$K$12:$K$24,0))="","",INDEX(Audit_Maschine!$F$12:$F$24,MATCH($A11,Audit_Maschine!$K$12:$K$24,0))),IF($A11&lt;=Übersicht!$P$15,IF(INDEX(Audit_Werkzeuge!$F$12:$F$21,MATCH($A11,Audit_Werkzeuge!$K$12:$K$21,0))="","",INDEX(Audit_Werkzeuge!$F$12:$F$21,MATCH($A11,Audit_Werkzeuge!$K$12:$K$21,0))),IF(INDEX(Audit_Kompakt!$F$12:$F$35,MATCH($A11,Audit_Kompakt!$K$12:$K$35,0))="","",INDEX(Audit_Kompakt!$F$12:$F$35,MATCH($A11,Audit_Kompakt!$K$12:$K$35,0))))))),"")</f>
        <v/>
      </c>
      <c r="H11" s="41" t="str">
        <f aca="false">IFERROR(IF($A11="","",IF($A11&lt;=Übersicht!$P$13,IF(INDEX(Audit_Allgemein!$G$12:$G$50,MATCH($A11,Audit_Allgemein!$K$12:$K$50,0))="","",INDEX(Audit_Allgemein!$G$12:$G$50,MATCH($A11,Audit_Allgemein!$K$12:$K$50,0))),IF($A11&lt;=Übersicht!$P$14,IF(INDEX(Audit_Maschine!$G$12:$G$24,MATCH($A11,Audit_Maschine!$K$12:$K$24,0))="","",INDEX(Audit_Maschine!$G$12:$G$24,MATCH($A11,Audit_Maschine!$K$12:$K$24,0))),IF($A11&lt;=Übersicht!$P$15,IF(INDEX(Audit_Werkzeuge!$G$12:$G$21,MATCH($A11,Audit_Werkzeuge!$K$12:$K$21,0))="","",INDEX(Audit_Werkzeuge!$G$12:$G$21,MATCH($A11,Audit_Werkzeuge!$K$12:$K$21,0))),IF(INDEX(Audit_Kompakt!$G$12:$G$35,MATCH($A11,Audit_Kompakt!$K$12:$K$35,0))="","",INDEX(Audit_Kompakt!$G$12:$G$35,MATCH($A11,Audit_Kompakt!$K$12:$K$35,0))))))),"")</f>
        <v/>
      </c>
      <c r="I11" s="43" t="str">
        <f aca="false">IFERROR(IF($A11="","",IF($A11&lt;=Übersicht!$P$13,IF(INDEX(Audit_Allgemein!$H$12:$H$50,MATCH($A11,Audit_Allgemein!$K$12:$K$50,0))="","",INDEX(Audit_Allgemein!$H$12:$H$50,MATCH($A11,Audit_Allgemein!$K$12:$K$50,0))),IF($A11&lt;=Übersicht!$P$14,IF(INDEX(Audit_Maschine!$H$12:$H$24,MATCH($A11,Audit_Maschine!$K$12:$K$24,0))="","",INDEX(Audit_Maschine!$H$12:$H$24,MATCH($A11,Audit_Maschine!$K$12:$K$24,0))),IF($A11&lt;=Übersicht!$P$15,IF(INDEX(Audit_Werkzeuge!$H$12:$H$21,MATCH($A11,Audit_Werkzeuge!$K$12:$K$21,0))="","",INDEX(Audit_Werkzeuge!$H$12:$H$21,MATCH($A11,Audit_Werkzeuge!$K$12:$K$21,0))),IF(INDEX(Audit_Kompakt!$H$12:$H$35,MATCH($A11,Audit_Kompakt!$K$12:$K$35,0))="","",INDEX(Audit_Kompakt!$H$12:$H$35,MATCH($A11,Audit_Kompakt!$K$12:$K$35,0))))))),"")</f>
        <v/>
      </c>
      <c r="J11" s="41" t="str">
        <f aca="false">IFERROR(IF($A11="","",IF($A11&lt;=Übersicht!$P$13,IF(INDEX(Audit_Allgemein!$J$12:$J$50,MATCH($A11,Audit_Allgemein!$K$12:$K$50,0))="","",INDEX(Audit_Allgemein!$J$12:$J$50,MATCH($A11,Audit_Allgemein!$K$12:$K$50,0))),IF($A11&lt;=Übersicht!$P$14,IF(INDEX(Audit_Maschine!$J$12:$J$24,MATCH($A11,Audit_Maschine!$K$12:$K$24,0))="","",INDEX(Audit_Maschine!$J$12:$J$24,MATCH($A11,Audit_Maschine!$K$12:$K$24,0))),IF($A11&lt;=Übersicht!$P$15,IF(INDEX(Audit_Werkzeuge!$J$12:$J$21,MATCH($A11,Audit_Werkzeuge!$K$12:$K$21,0))="","",INDEX(Audit_Werkzeuge!$J$12:$J$21,MATCH($A11,Audit_Werkzeuge!$K$12:$K$21,0))),IF(INDEX(Audit_Kompakt!$J$12:$J$35,MATCH($A11,Audit_Kompakt!$K$12:$K$35,0))="","",INDEX(Audit_Kompakt!$J$12:$J$35,MATCH($A11,Audit_Kompakt!$K$12:$K$35,0))))))),"")</f>
        <v/>
      </c>
    </row>
    <row r="12" customFormat="false" ht="15" hidden="false" customHeight="false" outlineLevel="0" collapsed="false">
      <c r="A12" s="41" t="str">
        <f aca="false">IF(8&lt;=Übersicht!$M$17,8,"")</f>
        <v/>
      </c>
      <c r="B12" s="41" t="str">
        <f aca="false">IFERROR(IF($A12="","",IF($A12&lt;=Übersicht!$P$13,"Allgemein",IF($A12&lt;=Übersicht!$P$14,"Maschine",IF($A12&lt;=Übersicht!$P$15,"Werkzeug","Kompakt")))),"")</f>
        <v/>
      </c>
      <c r="C12" s="41" t="str">
        <f aca="false">IFERROR(IF($A12="","",IF($A12&lt;=Übersicht!$P$13,IF(Audit_Allgemein!$C$4="","–",Audit_Allgemein!$C$4),IF($A12&lt;=Übersicht!$P$14,IF(Audit_Maschine!$C$4="","–",Audit_Maschine!$C$4),IF($A12&lt;=Übersicht!$P$15,IF(Audit_Werkzeuge!$C$4="","–",Audit_Werkzeuge!$C$4),IF(Audit_Kompakt!$C$4="","–",Audit_Kompakt!$C$4))))),"")</f>
        <v/>
      </c>
      <c r="D12" s="41" t="str">
        <f aca="false">IFERROR(IF($A12="","",IF($A12&lt;=Übersicht!$P$13,IF(INDEX(Audit_Allgemein!$A$12:$A$50,MATCH($A12,Audit_Allgemein!$K$12:$K$50,0))="","",INDEX(Audit_Allgemein!$A$12:$A$50,MATCH($A12,Audit_Allgemein!$K$12:$K$50,0))),IF($A12&lt;=Übersicht!$P$14,IF(INDEX(Audit_Maschine!$A$12:$A$24,MATCH($A12,Audit_Maschine!$K$12:$K$24,0))="","",INDEX(Audit_Maschine!$A$12:$A$24,MATCH($A12,Audit_Maschine!$K$12:$K$24,0))),IF($A12&lt;=Übersicht!$P$15,IF(INDEX(Audit_Werkzeuge!$A$12:$A$21,MATCH($A12,Audit_Werkzeuge!$K$12:$K$21,0))="","",INDEX(Audit_Werkzeuge!$A$12:$A$21,MATCH($A12,Audit_Werkzeuge!$K$12:$K$21,0))),IF(INDEX(Audit_Kompakt!$A$12:$A$35,MATCH($A12,Audit_Kompakt!$K$12:$K$35,0))="","",INDEX(Audit_Kompakt!$A$12:$A$35,MATCH($A12,Audit_Kompakt!$K$12:$K$35,0))))))),"")</f>
        <v/>
      </c>
      <c r="E12" s="42" t="str">
        <f aca="false">IFERROR(IF($A12="","",IF($A12&lt;=Übersicht!$P$13,IF(INDEX(Audit_Allgemein!$C$12:$C$50,MATCH($A12,Audit_Allgemein!$K$12:$K$50,0))="","",INDEX(Audit_Allgemein!$C$12:$C$50,MATCH($A12,Audit_Allgemein!$K$12:$K$50,0))),IF($A12&lt;=Übersicht!$P$14,IF(INDEX(Audit_Maschine!$C$12:$C$24,MATCH($A12,Audit_Maschine!$K$12:$K$24,0))="","",INDEX(Audit_Maschine!$C$12:$C$24,MATCH($A12,Audit_Maschine!$K$12:$K$24,0))),IF($A12&lt;=Übersicht!$P$15,IF(INDEX(Audit_Werkzeuge!$C$12:$C$21,MATCH($A12,Audit_Werkzeuge!$K$12:$K$21,0))="","",INDEX(Audit_Werkzeuge!$C$12:$C$21,MATCH($A12,Audit_Werkzeuge!$K$12:$K$21,0))),IF(INDEX(Audit_Kompakt!$C$12:$C$35,MATCH($A12,Audit_Kompakt!$K$12:$K$35,0))="","",INDEX(Audit_Kompakt!$C$12:$C$35,MATCH($A12,Audit_Kompakt!$K$12:$K$35,0))))))),"")</f>
        <v/>
      </c>
      <c r="F12" s="41" t="str">
        <f aca="false">IFERROR(IF($A12="","",IF($A12&lt;=Übersicht!$P$13,IF(INDEX(Audit_Allgemein!$E$12:$E$50,MATCH($A12,Audit_Allgemein!$K$12:$K$50,0))="","",INDEX(Audit_Allgemein!$E$12:$E$50,MATCH($A12,Audit_Allgemein!$K$12:$K$50,0))),IF($A12&lt;=Übersicht!$P$14,IF(INDEX(Audit_Maschine!$E$12:$E$24,MATCH($A12,Audit_Maschine!$K$12:$K$24,0))="","",INDEX(Audit_Maschine!$E$12:$E$24,MATCH($A12,Audit_Maschine!$K$12:$K$24,0))),IF($A12&lt;=Übersicht!$P$15,IF(INDEX(Audit_Werkzeuge!$E$12:$E$21,MATCH($A12,Audit_Werkzeuge!$K$12:$K$21,0))="","",INDEX(Audit_Werkzeuge!$E$12:$E$21,MATCH($A12,Audit_Werkzeuge!$K$12:$K$21,0))),IF(INDEX(Audit_Kompakt!$E$12:$E$35,MATCH($A12,Audit_Kompakt!$K$12:$K$35,0))="","",INDEX(Audit_Kompakt!$E$12:$E$35,MATCH($A12,Audit_Kompakt!$K$12:$K$35,0))))))),"")</f>
        <v/>
      </c>
      <c r="G12" s="42" t="str">
        <f aca="false">IFERROR(IF($A12="","",IF($A12&lt;=Übersicht!$P$13,IF(INDEX(Audit_Allgemein!$F$12:$F$50,MATCH($A12,Audit_Allgemein!$K$12:$K$50,0))="","",INDEX(Audit_Allgemein!$F$12:$F$50,MATCH($A12,Audit_Allgemein!$K$12:$K$50,0))),IF($A12&lt;=Übersicht!$P$14,IF(INDEX(Audit_Maschine!$F$12:$F$24,MATCH($A12,Audit_Maschine!$K$12:$K$24,0))="","",INDEX(Audit_Maschine!$F$12:$F$24,MATCH($A12,Audit_Maschine!$K$12:$K$24,0))),IF($A12&lt;=Übersicht!$P$15,IF(INDEX(Audit_Werkzeuge!$F$12:$F$21,MATCH($A12,Audit_Werkzeuge!$K$12:$K$21,0))="","",INDEX(Audit_Werkzeuge!$F$12:$F$21,MATCH($A12,Audit_Werkzeuge!$K$12:$K$21,0))),IF(INDEX(Audit_Kompakt!$F$12:$F$35,MATCH($A12,Audit_Kompakt!$K$12:$K$35,0))="","",INDEX(Audit_Kompakt!$F$12:$F$35,MATCH($A12,Audit_Kompakt!$K$12:$K$35,0))))))),"")</f>
        <v/>
      </c>
      <c r="H12" s="41" t="str">
        <f aca="false">IFERROR(IF($A12="","",IF($A12&lt;=Übersicht!$P$13,IF(INDEX(Audit_Allgemein!$G$12:$G$50,MATCH($A12,Audit_Allgemein!$K$12:$K$50,0))="","",INDEX(Audit_Allgemein!$G$12:$G$50,MATCH($A12,Audit_Allgemein!$K$12:$K$50,0))),IF($A12&lt;=Übersicht!$P$14,IF(INDEX(Audit_Maschine!$G$12:$G$24,MATCH($A12,Audit_Maschine!$K$12:$K$24,0))="","",INDEX(Audit_Maschine!$G$12:$G$24,MATCH($A12,Audit_Maschine!$K$12:$K$24,0))),IF($A12&lt;=Übersicht!$P$15,IF(INDEX(Audit_Werkzeuge!$G$12:$G$21,MATCH($A12,Audit_Werkzeuge!$K$12:$K$21,0))="","",INDEX(Audit_Werkzeuge!$G$12:$G$21,MATCH($A12,Audit_Werkzeuge!$K$12:$K$21,0))),IF(INDEX(Audit_Kompakt!$G$12:$G$35,MATCH($A12,Audit_Kompakt!$K$12:$K$35,0))="","",INDEX(Audit_Kompakt!$G$12:$G$35,MATCH($A12,Audit_Kompakt!$K$12:$K$35,0))))))),"")</f>
        <v/>
      </c>
      <c r="I12" s="43" t="str">
        <f aca="false">IFERROR(IF($A12="","",IF($A12&lt;=Übersicht!$P$13,IF(INDEX(Audit_Allgemein!$H$12:$H$50,MATCH($A12,Audit_Allgemein!$K$12:$K$50,0))="","",INDEX(Audit_Allgemein!$H$12:$H$50,MATCH($A12,Audit_Allgemein!$K$12:$K$50,0))),IF($A12&lt;=Übersicht!$P$14,IF(INDEX(Audit_Maschine!$H$12:$H$24,MATCH($A12,Audit_Maschine!$K$12:$K$24,0))="","",INDEX(Audit_Maschine!$H$12:$H$24,MATCH($A12,Audit_Maschine!$K$12:$K$24,0))),IF($A12&lt;=Übersicht!$P$15,IF(INDEX(Audit_Werkzeuge!$H$12:$H$21,MATCH($A12,Audit_Werkzeuge!$K$12:$K$21,0))="","",INDEX(Audit_Werkzeuge!$H$12:$H$21,MATCH($A12,Audit_Werkzeuge!$K$12:$K$21,0))),IF(INDEX(Audit_Kompakt!$H$12:$H$35,MATCH($A12,Audit_Kompakt!$K$12:$K$35,0))="","",INDEX(Audit_Kompakt!$H$12:$H$35,MATCH($A12,Audit_Kompakt!$K$12:$K$35,0))))))),"")</f>
        <v/>
      </c>
      <c r="J12" s="41" t="str">
        <f aca="false">IFERROR(IF($A12="","",IF($A12&lt;=Übersicht!$P$13,IF(INDEX(Audit_Allgemein!$J$12:$J$50,MATCH($A12,Audit_Allgemein!$K$12:$K$50,0))="","",INDEX(Audit_Allgemein!$J$12:$J$50,MATCH($A12,Audit_Allgemein!$K$12:$K$50,0))),IF($A12&lt;=Übersicht!$P$14,IF(INDEX(Audit_Maschine!$J$12:$J$24,MATCH($A12,Audit_Maschine!$K$12:$K$24,0))="","",INDEX(Audit_Maschine!$J$12:$J$24,MATCH($A12,Audit_Maschine!$K$12:$K$24,0))),IF($A12&lt;=Übersicht!$P$15,IF(INDEX(Audit_Werkzeuge!$J$12:$J$21,MATCH($A12,Audit_Werkzeuge!$K$12:$K$21,0))="","",INDEX(Audit_Werkzeuge!$J$12:$J$21,MATCH($A12,Audit_Werkzeuge!$K$12:$K$21,0))),IF(INDEX(Audit_Kompakt!$J$12:$J$35,MATCH($A12,Audit_Kompakt!$K$12:$K$35,0))="","",INDEX(Audit_Kompakt!$J$12:$J$35,MATCH($A12,Audit_Kompakt!$K$12:$K$35,0))))))),"")</f>
        <v/>
      </c>
    </row>
    <row r="13" customFormat="false" ht="15" hidden="false" customHeight="false" outlineLevel="0" collapsed="false">
      <c r="A13" s="41" t="str">
        <f aca="false">IF(9&lt;=Übersicht!$M$17,9,"")</f>
        <v/>
      </c>
      <c r="B13" s="41" t="str">
        <f aca="false">IFERROR(IF($A13="","",IF($A13&lt;=Übersicht!$P$13,"Allgemein",IF($A13&lt;=Übersicht!$P$14,"Maschine",IF($A13&lt;=Übersicht!$P$15,"Werkzeug","Kompakt")))),"")</f>
        <v/>
      </c>
      <c r="C13" s="41" t="str">
        <f aca="false">IFERROR(IF($A13="","",IF($A13&lt;=Übersicht!$P$13,IF(Audit_Allgemein!$C$4="","–",Audit_Allgemein!$C$4),IF($A13&lt;=Übersicht!$P$14,IF(Audit_Maschine!$C$4="","–",Audit_Maschine!$C$4),IF($A13&lt;=Übersicht!$P$15,IF(Audit_Werkzeuge!$C$4="","–",Audit_Werkzeuge!$C$4),IF(Audit_Kompakt!$C$4="","–",Audit_Kompakt!$C$4))))),"")</f>
        <v/>
      </c>
      <c r="D13" s="41" t="str">
        <f aca="false">IFERROR(IF($A13="","",IF($A13&lt;=Übersicht!$P$13,IF(INDEX(Audit_Allgemein!$A$12:$A$50,MATCH($A13,Audit_Allgemein!$K$12:$K$50,0))="","",INDEX(Audit_Allgemein!$A$12:$A$50,MATCH($A13,Audit_Allgemein!$K$12:$K$50,0))),IF($A13&lt;=Übersicht!$P$14,IF(INDEX(Audit_Maschine!$A$12:$A$24,MATCH($A13,Audit_Maschine!$K$12:$K$24,0))="","",INDEX(Audit_Maschine!$A$12:$A$24,MATCH($A13,Audit_Maschine!$K$12:$K$24,0))),IF($A13&lt;=Übersicht!$P$15,IF(INDEX(Audit_Werkzeuge!$A$12:$A$21,MATCH($A13,Audit_Werkzeuge!$K$12:$K$21,0))="","",INDEX(Audit_Werkzeuge!$A$12:$A$21,MATCH($A13,Audit_Werkzeuge!$K$12:$K$21,0))),IF(INDEX(Audit_Kompakt!$A$12:$A$35,MATCH($A13,Audit_Kompakt!$K$12:$K$35,0))="","",INDEX(Audit_Kompakt!$A$12:$A$35,MATCH($A13,Audit_Kompakt!$K$12:$K$35,0))))))),"")</f>
        <v/>
      </c>
      <c r="E13" s="42" t="str">
        <f aca="false">IFERROR(IF($A13="","",IF($A13&lt;=Übersicht!$P$13,IF(INDEX(Audit_Allgemein!$C$12:$C$50,MATCH($A13,Audit_Allgemein!$K$12:$K$50,0))="","",INDEX(Audit_Allgemein!$C$12:$C$50,MATCH($A13,Audit_Allgemein!$K$12:$K$50,0))),IF($A13&lt;=Übersicht!$P$14,IF(INDEX(Audit_Maschine!$C$12:$C$24,MATCH($A13,Audit_Maschine!$K$12:$K$24,0))="","",INDEX(Audit_Maschine!$C$12:$C$24,MATCH($A13,Audit_Maschine!$K$12:$K$24,0))),IF($A13&lt;=Übersicht!$P$15,IF(INDEX(Audit_Werkzeuge!$C$12:$C$21,MATCH($A13,Audit_Werkzeuge!$K$12:$K$21,0))="","",INDEX(Audit_Werkzeuge!$C$12:$C$21,MATCH($A13,Audit_Werkzeuge!$K$12:$K$21,0))),IF(INDEX(Audit_Kompakt!$C$12:$C$35,MATCH($A13,Audit_Kompakt!$K$12:$K$35,0))="","",INDEX(Audit_Kompakt!$C$12:$C$35,MATCH($A13,Audit_Kompakt!$K$12:$K$35,0))))))),"")</f>
        <v/>
      </c>
      <c r="F13" s="41" t="str">
        <f aca="false">IFERROR(IF($A13="","",IF($A13&lt;=Übersicht!$P$13,IF(INDEX(Audit_Allgemein!$E$12:$E$50,MATCH($A13,Audit_Allgemein!$K$12:$K$50,0))="","",INDEX(Audit_Allgemein!$E$12:$E$50,MATCH($A13,Audit_Allgemein!$K$12:$K$50,0))),IF($A13&lt;=Übersicht!$P$14,IF(INDEX(Audit_Maschine!$E$12:$E$24,MATCH($A13,Audit_Maschine!$K$12:$K$24,0))="","",INDEX(Audit_Maschine!$E$12:$E$24,MATCH($A13,Audit_Maschine!$K$12:$K$24,0))),IF($A13&lt;=Übersicht!$P$15,IF(INDEX(Audit_Werkzeuge!$E$12:$E$21,MATCH($A13,Audit_Werkzeuge!$K$12:$K$21,0))="","",INDEX(Audit_Werkzeuge!$E$12:$E$21,MATCH($A13,Audit_Werkzeuge!$K$12:$K$21,0))),IF(INDEX(Audit_Kompakt!$E$12:$E$35,MATCH($A13,Audit_Kompakt!$K$12:$K$35,0))="","",INDEX(Audit_Kompakt!$E$12:$E$35,MATCH($A13,Audit_Kompakt!$K$12:$K$35,0))))))),"")</f>
        <v/>
      </c>
      <c r="G13" s="42" t="str">
        <f aca="false">IFERROR(IF($A13="","",IF($A13&lt;=Übersicht!$P$13,IF(INDEX(Audit_Allgemein!$F$12:$F$50,MATCH($A13,Audit_Allgemein!$K$12:$K$50,0))="","",INDEX(Audit_Allgemein!$F$12:$F$50,MATCH($A13,Audit_Allgemein!$K$12:$K$50,0))),IF($A13&lt;=Übersicht!$P$14,IF(INDEX(Audit_Maschine!$F$12:$F$24,MATCH($A13,Audit_Maschine!$K$12:$K$24,0))="","",INDEX(Audit_Maschine!$F$12:$F$24,MATCH($A13,Audit_Maschine!$K$12:$K$24,0))),IF($A13&lt;=Übersicht!$P$15,IF(INDEX(Audit_Werkzeuge!$F$12:$F$21,MATCH($A13,Audit_Werkzeuge!$K$12:$K$21,0))="","",INDEX(Audit_Werkzeuge!$F$12:$F$21,MATCH($A13,Audit_Werkzeuge!$K$12:$K$21,0))),IF(INDEX(Audit_Kompakt!$F$12:$F$35,MATCH($A13,Audit_Kompakt!$K$12:$K$35,0))="","",INDEX(Audit_Kompakt!$F$12:$F$35,MATCH($A13,Audit_Kompakt!$K$12:$K$35,0))))))),"")</f>
        <v/>
      </c>
      <c r="H13" s="41" t="str">
        <f aca="false">IFERROR(IF($A13="","",IF($A13&lt;=Übersicht!$P$13,IF(INDEX(Audit_Allgemein!$G$12:$G$50,MATCH($A13,Audit_Allgemein!$K$12:$K$50,0))="","",INDEX(Audit_Allgemein!$G$12:$G$50,MATCH($A13,Audit_Allgemein!$K$12:$K$50,0))),IF($A13&lt;=Übersicht!$P$14,IF(INDEX(Audit_Maschine!$G$12:$G$24,MATCH($A13,Audit_Maschine!$K$12:$K$24,0))="","",INDEX(Audit_Maschine!$G$12:$G$24,MATCH($A13,Audit_Maschine!$K$12:$K$24,0))),IF($A13&lt;=Übersicht!$P$15,IF(INDEX(Audit_Werkzeuge!$G$12:$G$21,MATCH($A13,Audit_Werkzeuge!$K$12:$K$21,0))="","",INDEX(Audit_Werkzeuge!$G$12:$G$21,MATCH($A13,Audit_Werkzeuge!$K$12:$K$21,0))),IF(INDEX(Audit_Kompakt!$G$12:$G$35,MATCH($A13,Audit_Kompakt!$K$12:$K$35,0))="","",INDEX(Audit_Kompakt!$G$12:$G$35,MATCH($A13,Audit_Kompakt!$K$12:$K$35,0))))))),"")</f>
        <v/>
      </c>
      <c r="I13" s="43" t="str">
        <f aca="false">IFERROR(IF($A13="","",IF($A13&lt;=Übersicht!$P$13,IF(INDEX(Audit_Allgemein!$H$12:$H$50,MATCH($A13,Audit_Allgemein!$K$12:$K$50,0))="","",INDEX(Audit_Allgemein!$H$12:$H$50,MATCH($A13,Audit_Allgemein!$K$12:$K$50,0))),IF($A13&lt;=Übersicht!$P$14,IF(INDEX(Audit_Maschine!$H$12:$H$24,MATCH($A13,Audit_Maschine!$K$12:$K$24,0))="","",INDEX(Audit_Maschine!$H$12:$H$24,MATCH($A13,Audit_Maschine!$K$12:$K$24,0))),IF($A13&lt;=Übersicht!$P$15,IF(INDEX(Audit_Werkzeuge!$H$12:$H$21,MATCH($A13,Audit_Werkzeuge!$K$12:$K$21,0))="","",INDEX(Audit_Werkzeuge!$H$12:$H$21,MATCH($A13,Audit_Werkzeuge!$K$12:$K$21,0))),IF(INDEX(Audit_Kompakt!$H$12:$H$35,MATCH($A13,Audit_Kompakt!$K$12:$K$35,0))="","",INDEX(Audit_Kompakt!$H$12:$H$35,MATCH($A13,Audit_Kompakt!$K$12:$K$35,0))))))),"")</f>
        <v/>
      </c>
      <c r="J13" s="41" t="str">
        <f aca="false">IFERROR(IF($A13="","",IF($A13&lt;=Übersicht!$P$13,IF(INDEX(Audit_Allgemein!$J$12:$J$50,MATCH($A13,Audit_Allgemein!$K$12:$K$50,0))="","",INDEX(Audit_Allgemein!$J$12:$J$50,MATCH($A13,Audit_Allgemein!$K$12:$K$50,0))),IF($A13&lt;=Übersicht!$P$14,IF(INDEX(Audit_Maschine!$J$12:$J$24,MATCH($A13,Audit_Maschine!$K$12:$K$24,0))="","",INDEX(Audit_Maschine!$J$12:$J$24,MATCH($A13,Audit_Maschine!$K$12:$K$24,0))),IF($A13&lt;=Übersicht!$P$15,IF(INDEX(Audit_Werkzeuge!$J$12:$J$21,MATCH($A13,Audit_Werkzeuge!$K$12:$K$21,0))="","",INDEX(Audit_Werkzeuge!$J$12:$J$21,MATCH($A13,Audit_Werkzeuge!$K$12:$K$21,0))),IF(INDEX(Audit_Kompakt!$J$12:$J$35,MATCH($A13,Audit_Kompakt!$K$12:$K$35,0))="","",INDEX(Audit_Kompakt!$J$12:$J$35,MATCH($A13,Audit_Kompakt!$K$12:$K$35,0))))))),"")</f>
        <v/>
      </c>
    </row>
    <row r="14" customFormat="false" ht="15" hidden="false" customHeight="false" outlineLevel="0" collapsed="false">
      <c r="A14" s="41" t="str">
        <f aca="false">IF(10&lt;=Übersicht!$M$17,10,"")</f>
        <v/>
      </c>
      <c r="B14" s="41" t="str">
        <f aca="false">IFERROR(IF($A14="","",IF($A14&lt;=Übersicht!$P$13,"Allgemein",IF($A14&lt;=Übersicht!$P$14,"Maschine",IF($A14&lt;=Übersicht!$P$15,"Werkzeug","Kompakt")))),"")</f>
        <v/>
      </c>
      <c r="C14" s="41" t="str">
        <f aca="false">IFERROR(IF($A14="","",IF($A14&lt;=Übersicht!$P$13,IF(Audit_Allgemein!$C$4="","–",Audit_Allgemein!$C$4),IF($A14&lt;=Übersicht!$P$14,IF(Audit_Maschine!$C$4="","–",Audit_Maschine!$C$4),IF($A14&lt;=Übersicht!$P$15,IF(Audit_Werkzeuge!$C$4="","–",Audit_Werkzeuge!$C$4),IF(Audit_Kompakt!$C$4="","–",Audit_Kompakt!$C$4))))),"")</f>
        <v/>
      </c>
      <c r="D14" s="41" t="str">
        <f aca="false">IFERROR(IF($A14="","",IF($A14&lt;=Übersicht!$P$13,IF(INDEX(Audit_Allgemein!$A$12:$A$50,MATCH($A14,Audit_Allgemein!$K$12:$K$50,0))="","",INDEX(Audit_Allgemein!$A$12:$A$50,MATCH($A14,Audit_Allgemein!$K$12:$K$50,0))),IF($A14&lt;=Übersicht!$P$14,IF(INDEX(Audit_Maschine!$A$12:$A$24,MATCH($A14,Audit_Maschine!$K$12:$K$24,0))="","",INDEX(Audit_Maschine!$A$12:$A$24,MATCH($A14,Audit_Maschine!$K$12:$K$24,0))),IF($A14&lt;=Übersicht!$P$15,IF(INDEX(Audit_Werkzeuge!$A$12:$A$21,MATCH($A14,Audit_Werkzeuge!$K$12:$K$21,0))="","",INDEX(Audit_Werkzeuge!$A$12:$A$21,MATCH($A14,Audit_Werkzeuge!$K$12:$K$21,0))),IF(INDEX(Audit_Kompakt!$A$12:$A$35,MATCH($A14,Audit_Kompakt!$K$12:$K$35,0))="","",INDEX(Audit_Kompakt!$A$12:$A$35,MATCH($A14,Audit_Kompakt!$K$12:$K$35,0))))))),"")</f>
        <v/>
      </c>
      <c r="E14" s="42" t="str">
        <f aca="false">IFERROR(IF($A14="","",IF($A14&lt;=Übersicht!$P$13,IF(INDEX(Audit_Allgemein!$C$12:$C$50,MATCH($A14,Audit_Allgemein!$K$12:$K$50,0))="","",INDEX(Audit_Allgemein!$C$12:$C$50,MATCH($A14,Audit_Allgemein!$K$12:$K$50,0))),IF($A14&lt;=Übersicht!$P$14,IF(INDEX(Audit_Maschine!$C$12:$C$24,MATCH($A14,Audit_Maschine!$K$12:$K$24,0))="","",INDEX(Audit_Maschine!$C$12:$C$24,MATCH($A14,Audit_Maschine!$K$12:$K$24,0))),IF($A14&lt;=Übersicht!$P$15,IF(INDEX(Audit_Werkzeuge!$C$12:$C$21,MATCH($A14,Audit_Werkzeuge!$K$12:$K$21,0))="","",INDEX(Audit_Werkzeuge!$C$12:$C$21,MATCH($A14,Audit_Werkzeuge!$K$12:$K$21,0))),IF(INDEX(Audit_Kompakt!$C$12:$C$35,MATCH($A14,Audit_Kompakt!$K$12:$K$35,0))="","",INDEX(Audit_Kompakt!$C$12:$C$35,MATCH($A14,Audit_Kompakt!$K$12:$K$35,0))))))),"")</f>
        <v/>
      </c>
      <c r="F14" s="41" t="str">
        <f aca="false">IFERROR(IF($A14="","",IF($A14&lt;=Übersicht!$P$13,IF(INDEX(Audit_Allgemein!$E$12:$E$50,MATCH($A14,Audit_Allgemein!$K$12:$K$50,0))="","",INDEX(Audit_Allgemein!$E$12:$E$50,MATCH($A14,Audit_Allgemein!$K$12:$K$50,0))),IF($A14&lt;=Übersicht!$P$14,IF(INDEX(Audit_Maschine!$E$12:$E$24,MATCH($A14,Audit_Maschine!$K$12:$K$24,0))="","",INDEX(Audit_Maschine!$E$12:$E$24,MATCH($A14,Audit_Maschine!$K$12:$K$24,0))),IF($A14&lt;=Übersicht!$P$15,IF(INDEX(Audit_Werkzeuge!$E$12:$E$21,MATCH($A14,Audit_Werkzeuge!$K$12:$K$21,0))="","",INDEX(Audit_Werkzeuge!$E$12:$E$21,MATCH($A14,Audit_Werkzeuge!$K$12:$K$21,0))),IF(INDEX(Audit_Kompakt!$E$12:$E$35,MATCH($A14,Audit_Kompakt!$K$12:$K$35,0))="","",INDEX(Audit_Kompakt!$E$12:$E$35,MATCH($A14,Audit_Kompakt!$K$12:$K$35,0))))))),"")</f>
        <v/>
      </c>
      <c r="G14" s="42" t="str">
        <f aca="false">IFERROR(IF($A14="","",IF($A14&lt;=Übersicht!$P$13,IF(INDEX(Audit_Allgemein!$F$12:$F$50,MATCH($A14,Audit_Allgemein!$K$12:$K$50,0))="","",INDEX(Audit_Allgemein!$F$12:$F$50,MATCH($A14,Audit_Allgemein!$K$12:$K$50,0))),IF($A14&lt;=Übersicht!$P$14,IF(INDEX(Audit_Maschine!$F$12:$F$24,MATCH($A14,Audit_Maschine!$K$12:$K$24,0))="","",INDEX(Audit_Maschine!$F$12:$F$24,MATCH($A14,Audit_Maschine!$K$12:$K$24,0))),IF($A14&lt;=Übersicht!$P$15,IF(INDEX(Audit_Werkzeuge!$F$12:$F$21,MATCH($A14,Audit_Werkzeuge!$K$12:$K$21,0))="","",INDEX(Audit_Werkzeuge!$F$12:$F$21,MATCH($A14,Audit_Werkzeuge!$K$12:$K$21,0))),IF(INDEX(Audit_Kompakt!$F$12:$F$35,MATCH($A14,Audit_Kompakt!$K$12:$K$35,0))="","",INDEX(Audit_Kompakt!$F$12:$F$35,MATCH($A14,Audit_Kompakt!$K$12:$K$35,0))))))),"")</f>
        <v/>
      </c>
      <c r="H14" s="41" t="str">
        <f aca="false">IFERROR(IF($A14="","",IF($A14&lt;=Übersicht!$P$13,IF(INDEX(Audit_Allgemein!$G$12:$G$50,MATCH($A14,Audit_Allgemein!$K$12:$K$50,0))="","",INDEX(Audit_Allgemein!$G$12:$G$50,MATCH($A14,Audit_Allgemein!$K$12:$K$50,0))),IF($A14&lt;=Übersicht!$P$14,IF(INDEX(Audit_Maschine!$G$12:$G$24,MATCH($A14,Audit_Maschine!$K$12:$K$24,0))="","",INDEX(Audit_Maschine!$G$12:$G$24,MATCH($A14,Audit_Maschine!$K$12:$K$24,0))),IF($A14&lt;=Übersicht!$P$15,IF(INDEX(Audit_Werkzeuge!$G$12:$G$21,MATCH($A14,Audit_Werkzeuge!$K$12:$K$21,0))="","",INDEX(Audit_Werkzeuge!$G$12:$G$21,MATCH($A14,Audit_Werkzeuge!$K$12:$K$21,0))),IF(INDEX(Audit_Kompakt!$G$12:$G$35,MATCH($A14,Audit_Kompakt!$K$12:$K$35,0))="","",INDEX(Audit_Kompakt!$G$12:$G$35,MATCH($A14,Audit_Kompakt!$K$12:$K$35,0))))))),"")</f>
        <v/>
      </c>
      <c r="I14" s="43" t="str">
        <f aca="false">IFERROR(IF($A14="","",IF($A14&lt;=Übersicht!$P$13,IF(INDEX(Audit_Allgemein!$H$12:$H$50,MATCH($A14,Audit_Allgemein!$K$12:$K$50,0))="","",INDEX(Audit_Allgemein!$H$12:$H$50,MATCH($A14,Audit_Allgemein!$K$12:$K$50,0))),IF($A14&lt;=Übersicht!$P$14,IF(INDEX(Audit_Maschine!$H$12:$H$24,MATCH($A14,Audit_Maschine!$K$12:$K$24,0))="","",INDEX(Audit_Maschine!$H$12:$H$24,MATCH($A14,Audit_Maschine!$K$12:$K$24,0))),IF($A14&lt;=Übersicht!$P$15,IF(INDEX(Audit_Werkzeuge!$H$12:$H$21,MATCH($A14,Audit_Werkzeuge!$K$12:$K$21,0))="","",INDEX(Audit_Werkzeuge!$H$12:$H$21,MATCH($A14,Audit_Werkzeuge!$K$12:$K$21,0))),IF(INDEX(Audit_Kompakt!$H$12:$H$35,MATCH($A14,Audit_Kompakt!$K$12:$K$35,0))="","",INDEX(Audit_Kompakt!$H$12:$H$35,MATCH($A14,Audit_Kompakt!$K$12:$K$35,0))))))),"")</f>
        <v/>
      </c>
      <c r="J14" s="41" t="str">
        <f aca="false">IFERROR(IF($A14="","",IF($A14&lt;=Übersicht!$P$13,IF(INDEX(Audit_Allgemein!$J$12:$J$50,MATCH($A14,Audit_Allgemein!$K$12:$K$50,0))="","",INDEX(Audit_Allgemein!$J$12:$J$50,MATCH($A14,Audit_Allgemein!$K$12:$K$50,0))),IF($A14&lt;=Übersicht!$P$14,IF(INDEX(Audit_Maschine!$J$12:$J$24,MATCH($A14,Audit_Maschine!$K$12:$K$24,0))="","",INDEX(Audit_Maschine!$J$12:$J$24,MATCH($A14,Audit_Maschine!$K$12:$K$24,0))),IF($A14&lt;=Übersicht!$P$15,IF(INDEX(Audit_Werkzeuge!$J$12:$J$21,MATCH($A14,Audit_Werkzeuge!$K$12:$K$21,0))="","",INDEX(Audit_Werkzeuge!$J$12:$J$21,MATCH($A14,Audit_Werkzeuge!$K$12:$K$21,0))),IF(INDEX(Audit_Kompakt!$J$12:$J$35,MATCH($A14,Audit_Kompakt!$K$12:$K$35,0))="","",INDEX(Audit_Kompakt!$J$12:$J$35,MATCH($A14,Audit_Kompakt!$K$12:$K$35,0))))))),"")</f>
        <v/>
      </c>
    </row>
    <row r="15" customFormat="false" ht="15" hidden="false" customHeight="false" outlineLevel="0" collapsed="false">
      <c r="A15" s="41" t="str">
        <f aca="false">IF(11&lt;=Übersicht!$M$17,11,"")</f>
        <v/>
      </c>
      <c r="B15" s="41" t="str">
        <f aca="false">IFERROR(IF($A15="","",IF($A15&lt;=Übersicht!$P$13,"Allgemein",IF($A15&lt;=Übersicht!$P$14,"Maschine",IF($A15&lt;=Übersicht!$P$15,"Werkzeug","Kompakt")))),"")</f>
        <v/>
      </c>
      <c r="C15" s="41" t="str">
        <f aca="false">IFERROR(IF($A15="","",IF($A15&lt;=Übersicht!$P$13,IF(Audit_Allgemein!$C$4="","–",Audit_Allgemein!$C$4),IF($A15&lt;=Übersicht!$P$14,IF(Audit_Maschine!$C$4="","–",Audit_Maschine!$C$4),IF($A15&lt;=Übersicht!$P$15,IF(Audit_Werkzeuge!$C$4="","–",Audit_Werkzeuge!$C$4),IF(Audit_Kompakt!$C$4="","–",Audit_Kompakt!$C$4))))),"")</f>
        <v/>
      </c>
      <c r="D15" s="41" t="str">
        <f aca="false">IFERROR(IF($A15="","",IF($A15&lt;=Übersicht!$P$13,IF(INDEX(Audit_Allgemein!$A$12:$A$50,MATCH($A15,Audit_Allgemein!$K$12:$K$50,0))="","",INDEX(Audit_Allgemein!$A$12:$A$50,MATCH($A15,Audit_Allgemein!$K$12:$K$50,0))),IF($A15&lt;=Übersicht!$P$14,IF(INDEX(Audit_Maschine!$A$12:$A$24,MATCH($A15,Audit_Maschine!$K$12:$K$24,0))="","",INDEX(Audit_Maschine!$A$12:$A$24,MATCH($A15,Audit_Maschine!$K$12:$K$24,0))),IF($A15&lt;=Übersicht!$P$15,IF(INDEX(Audit_Werkzeuge!$A$12:$A$21,MATCH($A15,Audit_Werkzeuge!$K$12:$K$21,0))="","",INDEX(Audit_Werkzeuge!$A$12:$A$21,MATCH($A15,Audit_Werkzeuge!$K$12:$K$21,0))),IF(INDEX(Audit_Kompakt!$A$12:$A$35,MATCH($A15,Audit_Kompakt!$K$12:$K$35,0))="","",INDEX(Audit_Kompakt!$A$12:$A$35,MATCH($A15,Audit_Kompakt!$K$12:$K$35,0))))))),"")</f>
        <v/>
      </c>
      <c r="E15" s="42" t="str">
        <f aca="false">IFERROR(IF($A15="","",IF($A15&lt;=Übersicht!$P$13,IF(INDEX(Audit_Allgemein!$C$12:$C$50,MATCH($A15,Audit_Allgemein!$K$12:$K$50,0))="","",INDEX(Audit_Allgemein!$C$12:$C$50,MATCH($A15,Audit_Allgemein!$K$12:$K$50,0))),IF($A15&lt;=Übersicht!$P$14,IF(INDEX(Audit_Maschine!$C$12:$C$24,MATCH($A15,Audit_Maschine!$K$12:$K$24,0))="","",INDEX(Audit_Maschine!$C$12:$C$24,MATCH($A15,Audit_Maschine!$K$12:$K$24,0))),IF($A15&lt;=Übersicht!$P$15,IF(INDEX(Audit_Werkzeuge!$C$12:$C$21,MATCH($A15,Audit_Werkzeuge!$K$12:$K$21,0))="","",INDEX(Audit_Werkzeuge!$C$12:$C$21,MATCH($A15,Audit_Werkzeuge!$K$12:$K$21,0))),IF(INDEX(Audit_Kompakt!$C$12:$C$35,MATCH($A15,Audit_Kompakt!$K$12:$K$35,0))="","",INDEX(Audit_Kompakt!$C$12:$C$35,MATCH($A15,Audit_Kompakt!$K$12:$K$35,0))))))),"")</f>
        <v/>
      </c>
      <c r="F15" s="41" t="str">
        <f aca="false">IFERROR(IF($A15="","",IF($A15&lt;=Übersicht!$P$13,IF(INDEX(Audit_Allgemein!$E$12:$E$50,MATCH($A15,Audit_Allgemein!$K$12:$K$50,0))="","",INDEX(Audit_Allgemein!$E$12:$E$50,MATCH($A15,Audit_Allgemein!$K$12:$K$50,0))),IF($A15&lt;=Übersicht!$P$14,IF(INDEX(Audit_Maschine!$E$12:$E$24,MATCH($A15,Audit_Maschine!$K$12:$K$24,0))="","",INDEX(Audit_Maschine!$E$12:$E$24,MATCH($A15,Audit_Maschine!$K$12:$K$24,0))),IF($A15&lt;=Übersicht!$P$15,IF(INDEX(Audit_Werkzeuge!$E$12:$E$21,MATCH($A15,Audit_Werkzeuge!$K$12:$K$21,0))="","",INDEX(Audit_Werkzeuge!$E$12:$E$21,MATCH($A15,Audit_Werkzeuge!$K$12:$K$21,0))),IF(INDEX(Audit_Kompakt!$E$12:$E$35,MATCH($A15,Audit_Kompakt!$K$12:$K$35,0))="","",INDEX(Audit_Kompakt!$E$12:$E$35,MATCH($A15,Audit_Kompakt!$K$12:$K$35,0))))))),"")</f>
        <v/>
      </c>
      <c r="G15" s="42" t="str">
        <f aca="false">IFERROR(IF($A15="","",IF($A15&lt;=Übersicht!$P$13,IF(INDEX(Audit_Allgemein!$F$12:$F$50,MATCH($A15,Audit_Allgemein!$K$12:$K$50,0))="","",INDEX(Audit_Allgemein!$F$12:$F$50,MATCH($A15,Audit_Allgemein!$K$12:$K$50,0))),IF($A15&lt;=Übersicht!$P$14,IF(INDEX(Audit_Maschine!$F$12:$F$24,MATCH($A15,Audit_Maschine!$K$12:$K$24,0))="","",INDEX(Audit_Maschine!$F$12:$F$24,MATCH($A15,Audit_Maschine!$K$12:$K$24,0))),IF($A15&lt;=Übersicht!$P$15,IF(INDEX(Audit_Werkzeuge!$F$12:$F$21,MATCH($A15,Audit_Werkzeuge!$K$12:$K$21,0))="","",INDEX(Audit_Werkzeuge!$F$12:$F$21,MATCH($A15,Audit_Werkzeuge!$K$12:$K$21,0))),IF(INDEX(Audit_Kompakt!$F$12:$F$35,MATCH($A15,Audit_Kompakt!$K$12:$K$35,0))="","",INDEX(Audit_Kompakt!$F$12:$F$35,MATCH($A15,Audit_Kompakt!$K$12:$K$35,0))))))),"")</f>
        <v/>
      </c>
      <c r="H15" s="41" t="str">
        <f aca="false">IFERROR(IF($A15="","",IF($A15&lt;=Übersicht!$P$13,IF(INDEX(Audit_Allgemein!$G$12:$G$50,MATCH($A15,Audit_Allgemein!$K$12:$K$50,0))="","",INDEX(Audit_Allgemein!$G$12:$G$50,MATCH($A15,Audit_Allgemein!$K$12:$K$50,0))),IF($A15&lt;=Übersicht!$P$14,IF(INDEX(Audit_Maschine!$G$12:$G$24,MATCH($A15,Audit_Maschine!$K$12:$K$24,0))="","",INDEX(Audit_Maschine!$G$12:$G$24,MATCH($A15,Audit_Maschine!$K$12:$K$24,0))),IF($A15&lt;=Übersicht!$P$15,IF(INDEX(Audit_Werkzeuge!$G$12:$G$21,MATCH($A15,Audit_Werkzeuge!$K$12:$K$21,0))="","",INDEX(Audit_Werkzeuge!$G$12:$G$21,MATCH($A15,Audit_Werkzeuge!$K$12:$K$21,0))),IF(INDEX(Audit_Kompakt!$G$12:$G$35,MATCH($A15,Audit_Kompakt!$K$12:$K$35,0))="","",INDEX(Audit_Kompakt!$G$12:$G$35,MATCH($A15,Audit_Kompakt!$K$12:$K$35,0))))))),"")</f>
        <v/>
      </c>
      <c r="I15" s="43" t="str">
        <f aca="false">IFERROR(IF($A15="","",IF($A15&lt;=Übersicht!$P$13,IF(INDEX(Audit_Allgemein!$H$12:$H$50,MATCH($A15,Audit_Allgemein!$K$12:$K$50,0))="","",INDEX(Audit_Allgemein!$H$12:$H$50,MATCH($A15,Audit_Allgemein!$K$12:$K$50,0))),IF($A15&lt;=Übersicht!$P$14,IF(INDEX(Audit_Maschine!$H$12:$H$24,MATCH($A15,Audit_Maschine!$K$12:$K$24,0))="","",INDEX(Audit_Maschine!$H$12:$H$24,MATCH($A15,Audit_Maschine!$K$12:$K$24,0))),IF($A15&lt;=Übersicht!$P$15,IF(INDEX(Audit_Werkzeuge!$H$12:$H$21,MATCH($A15,Audit_Werkzeuge!$K$12:$K$21,0))="","",INDEX(Audit_Werkzeuge!$H$12:$H$21,MATCH($A15,Audit_Werkzeuge!$K$12:$K$21,0))),IF(INDEX(Audit_Kompakt!$H$12:$H$35,MATCH($A15,Audit_Kompakt!$K$12:$K$35,0))="","",INDEX(Audit_Kompakt!$H$12:$H$35,MATCH($A15,Audit_Kompakt!$K$12:$K$35,0))))))),"")</f>
        <v/>
      </c>
      <c r="J15" s="41" t="str">
        <f aca="false">IFERROR(IF($A15="","",IF($A15&lt;=Übersicht!$P$13,IF(INDEX(Audit_Allgemein!$J$12:$J$50,MATCH($A15,Audit_Allgemein!$K$12:$K$50,0))="","",INDEX(Audit_Allgemein!$J$12:$J$50,MATCH($A15,Audit_Allgemein!$K$12:$K$50,0))),IF($A15&lt;=Übersicht!$P$14,IF(INDEX(Audit_Maschine!$J$12:$J$24,MATCH($A15,Audit_Maschine!$K$12:$K$24,0))="","",INDEX(Audit_Maschine!$J$12:$J$24,MATCH($A15,Audit_Maschine!$K$12:$K$24,0))),IF($A15&lt;=Übersicht!$P$15,IF(INDEX(Audit_Werkzeuge!$J$12:$J$21,MATCH($A15,Audit_Werkzeuge!$K$12:$K$21,0))="","",INDEX(Audit_Werkzeuge!$J$12:$J$21,MATCH($A15,Audit_Werkzeuge!$K$12:$K$21,0))),IF(INDEX(Audit_Kompakt!$J$12:$J$35,MATCH($A15,Audit_Kompakt!$K$12:$K$35,0))="","",INDEX(Audit_Kompakt!$J$12:$J$35,MATCH($A15,Audit_Kompakt!$K$12:$K$35,0))))))),"")</f>
        <v/>
      </c>
    </row>
    <row r="16" customFormat="false" ht="15" hidden="false" customHeight="false" outlineLevel="0" collapsed="false">
      <c r="A16" s="41" t="str">
        <f aca="false">IF(12&lt;=Übersicht!$M$17,12,"")</f>
        <v/>
      </c>
      <c r="B16" s="41" t="str">
        <f aca="false">IFERROR(IF($A16="","",IF($A16&lt;=Übersicht!$P$13,"Allgemein",IF($A16&lt;=Übersicht!$P$14,"Maschine",IF($A16&lt;=Übersicht!$P$15,"Werkzeug","Kompakt")))),"")</f>
        <v/>
      </c>
      <c r="C16" s="41" t="str">
        <f aca="false">IFERROR(IF($A16="","",IF($A16&lt;=Übersicht!$P$13,IF(Audit_Allgemein!$C$4="","–",Audit_Allgemein!$C$4),IF($A16&lt;=Übersicht!$P$14,IF(Audit_Maschine!$C$4="","–",Audit_Maschine!$C$4),IF($A16&lt;=Übersicht!$P$15,IF(Audit_Werkzeuge!$C$4="","–",Audit_Werkzeuge!$C$4),IF(Audit_Kompakt!$C$4="","–",Audit_Kompakt!$C$4))))),"")</f>
        <v/>
      </c>
      <c r="D16" s="41" t="str">
        <f aca="false">IFERROR(IF($A16="","",IF($A16&lt;=Übersicht!$P$13,IF(INDEX(Audit_Allgemein!$A$12:$A$50,MATCH($A16,Audit_Allgemein!$K$12:$K$50,0))="","",INDEX(Audit_Allgemein!$A$12:$A$50,MATCH($A16,Audit_Allgemein!$K$12:$K$50,0))),IF($A16&lt;=Übersicht!$P$14,IF(INDEX(Audit_Maschine!$A$12:$A$24,MATCH($A16,Audit_Maschine!$K$12:$K$24,0))="","",INDEX(Audit_Maschine!$A$12:$A$24,MATCH($A16,Audit_Maschine!$K$12:$K$24,0))),IF($A16&lt;=Übersicht!$P$15,IF(INDEX(Audit_Werkzeuge!$A$12:$A$21,MATCH($A16,Audit_Werkzeuge!$K$12:$K$21,0))="","",INDEX(Audit_Werkzeuge!$A$12:$A$21,MATCH($A16,Audit_Werkzeuge!$K$12:$K$21,0))),IF(INDEX(Audit_Kompakt!$A$12:$A$35,MATCH($A16,Audit_Kompakt!$K$12:$K$35,0))="","",INDEX(Audit_Kompakt!$A$12:$A$35,MATCH($A16,Audit_Kompakt!$K$12:$K$35,0))))))),"")</f>
        <v/>
      </c>
      <c r="E16" s="42" t="str">
        <f aca="false">IFERROR(IF($A16="","",IF($A16&lt;=Übersicht!$P$13,IF(INDEX(Audit_Allgemein!$C$12:$C$50,MATCH($A16,Audit_Allgemein!$K$12:$K$50,0))="","",INDEX(Audit_Allgemein!$C$12:$C$50,MATCH($A16,Audit_Allgemein!$K$12:$K$50,0))),IF($A16&lt;=Übersicht!$P$14,IF(INDEX(Audit_Maschine!$C$12:$C$24,MATCH($A16,Audit_Maschine!$K$12:$K$24,0))="","",INDEX(Audit_Maschine!$C$12:$C$24,MATCH($A16,Audit_Maschine!$K$12:$K$24,0))),IF($A16&lt;=Übersicht!$P$15,IF(INDEX(Audit_Werkzeuge!$C$12:$C$21,MATCH($A16,Audit_Werkzeuge!$K$12:$K$21,0))="","",INDEX(Audit_Werkzeuge!$C$12:$C$21,MATCH($A16,Audit_Werkzeuge!$K$12:$K$21,0))),IF(INDEX(Audit_Kompakt!$C$12:$C$35,MATCH($A16,Audit_Kompakt!$K$12:$K$35,0))="","",INDEX(Audit_Kompakt!$C$12:$C$35,MATCH($A16,Audit_Kompakt!$K$12:$K$35,0))))))),"")</f>
        <v/>
      </c>
      <c r="F16" s="41" t="str">
        <f aca="false">IFERROR(IF($A16="","",IF($A16&lt;=Übersicht!$P$13,IF(INDEX(Audit_Allgemein!$E$12:$E$50,MATCH($A16,Audit_Allgemein!$K$12:$K$50,0))="","",INDEX(Audit_Allgemein!$E$12:$E$50,MATCH($A16,Audit_Allgemein!$K$12:$K$50,0))),IF($A16&lt;=Übersicht!$P$14,IF(INDEX(Audit_Maschine!$E$12:$E$24,MATCH($A16,Audit_Maschine!$K$12:$K$24,0))="","",INDEX(Audit_Maschine!$E$12:$E$24,MATCH($A16,Audit_Maschine!$K$12:$K$24,0))),IF($A16&lt;=Übersicht!$P$15,IF(INDEX(Audit_Werkzeuge!$E$12:$E$21,MATCH($A16,Audit_Werkzeuge!$K$12:$K$21,0))="","",INDEX(Audit_Werkzeuge!$E$12:$E$21,MATCH($A16,Audit_Werkzeuge!$K$12:$K$21,0))),IF(INDEX(Audit_Kompakt!$E$12:$E$35,MATCH($A16,Audit_Kompakt!$K$12:$K$35,0))="","",INDEX(Audit_Kompakt!$E$12:$E$35,MATCH($A16,Audit_Kompakt!$K$12:$K$35,0))))))),"")</f>
        <v/>
      </c>
      <c r="G16" s="42" t="str">
        <f aca="false">IFERROR(IF($A16="","",IF($A16&lt;=Übersicht!$P$13,IF(INDEX(Audit_Allgemein!$F$12:$F$50,MATCH($A16,Audit_Allgemein!$K$12:$K$50,0))="","",INDEX(Audit_Allgemein!$F$12:$F$50,MATCH($A16,Audit_Allgemein!$K$12:$K$50,0))),IF($A16&lt;=Übersicht!$P$14,IF(INDEX(Audit_Maschine!$F$12:$F$24,MATCH($A16,Audit_Maschine!$K$12:$K$24,0))="","",INDEX(Audit_Maschine!$F$12:$F$24,MATCH($A16,Audit_Maschine!$K$12:$K$24,0))),IF($A16&lt;=Übersicht!$P$15,IF(INDEX(Audit_Werkzeuge!$F$12:$F$21,MATCH($A16,Audit_Werkzeuge!$K$12:$K$21,0))="","",INDEX(Audit_Werkzeuge!$F$12:$F$21,MATCH($A16,Audit_Werkzeuge!$K$12:$K$21,0))),IF(INDEX(Audit_Kompakt!$F$12:$F$35,MATCH($A16,Audit_Kompakt!$K$12:$K$35,0))="","",INDEX(Audit_Kompakt!$F$12:$F$35,MATCH($A16,Audit_Kompakt!$K$12:$K$35,0))))))),"")</f>
        <v/>
      </c>
      <c r="H16" s="41" t="str">
        <f aca="false">IFERROR(IF($A16="","",IF($A16&lt;=Übersicht!$P$13,IF(INDEX(Audit_Allgemein!$G$12:$G$50,MATCH($A16,Audit_Allgemein!$K$12:$K$50,0))="","",INDEX(Audit_Allgemein!$G$12:$G$50,MATCH($A16,Audit_Allgemein!$K$12:$K$50,0))),IF($A16&lt;=Übersicht!$P$14,IF(INDEX(Audit_Maschine!$G$12:$G$24,MATCH($A16,Audit_Maschine!$K$12:$K$24,0))="","",INDEX(Audit_Maschine!$G$12:$G$24,MATCH($A16,Audit_Maschine!$K$12:$K$24,0))),IF($A16&lt;=Übersicht!$P$15,IF(INDEX(Audit_Werkzeuge!$G$12:$G$21,MATCH($A16,Audit_Werkzeuge!$K$12:$K$21,0))="","",INDEX(Audit_Werkzeuge!$G$12:$G$21,MATCH($A16,Audit_Werkzeuge!$K$12:$K$21,0))),IF(INDEX(Audit_Kompakt!$G$12:$G$35,MATCH($A16,Audit_Kompakt!$K$12:$K$35,0))="","",INDEX(Audit_Kompakt!$G$12:$G$35,MATCH($A16,Audit_Kompakt!$K$12:$K$35,0))))))),"")</f>
        <v/>
      </c>
      <c r="I16" s="43" t="str">
        <f aca="false">IFERROR(IF($A16="","",IF($A16&lt;=Übersicht!$P$13,IF(INDEX(Audit_Allgemein!$H$12:$H$50,MATCH($A16,Audit_Allgemein!$K$12:$K$50,0))="","",INDEX(Audit_Allgemein!$H$12:$H$50,MATCH($A16,Audit_Allgemein!$K$12:$K$50,0))),IF($A16&lt;=Übersicht!$P$14,IF(INDEX(Audit_Maschine!$H$12:$H$24,MATCH($A16,Audit_Maschine!$K$12:$K$24,0))="","",INDEX(Audit_Maschine!$H$12:$H$24,MATCH($A16,Audit_Maschine!$K$12:$K$24,0))),IF($A16&lt;=Übersicht!$P$15,IF(INDEX(Audit_Werkzeuge!$H$12:$H$21,MATCH($A16,Audit_Werkzeuge!$K$12:$K$21,0))="","",INDEX(Audit_Werkzeuge!$H$12:$H$21,MATCH($A16,Audit_Werkzeuge!$K$12:$K$21,0))),IF(INDEX(Audit_Kompakt!$H$12:$H$35,MATCH($A16,Audit_Kompakt!$K$12:$K$35,0))="","",INDEX(Audit_Kompakt!$H$12:$H$35,MATCH($A16,Audit_Kompakt!$K$12:$K$35,0))))))),"")</f>
        <v/>
      </c>
      <c r="J16" s="41" t="str">
        <f aca="false">IFERROR(IF($A16="","",IF($A16&lt;=Übersicht!$P$13,IF(INDEX(Audit_Allgemein!$J$12:$J$50,MATCH($A16,Audit_Allgemein!$K$12:$K$50,0))="","",INDEX(Audit_Allgemein!$J$12:$J$50,MATCH($A16,Audit_Allgemein!$K$12:$K$50,0))),IF($A16&lt;=Übersicht!$P$14,IF(INDEX(Audit_Maschine!$J$12:$J$24,MATCH($A16,Audit_Maschine!$K$12:$K$24,0))="","",INDEX(Audit_Maschine!$J$12:$J$24,MATCH($A16,Audit_Maschine!$K$12:$K$24,0))),IF($A16&lt;=Übersicht!$P$15,IF(INDEX(Audit_Werkzeuge!$J$12:$J$21,MATCH($A16,Audit_Werkzeuge!$K$12:$K$21,0))="","",INDEX(Audit_Werkzeuge!$J$12:$J$21,MATCH($A16,Audit_Werkzeuge!$K$12:$K$21,0))),IF(INDEX(Audit_Kompakt!$J$12:$J$35,MATCH($A16,Audit_Kompakt!$K$12:$K$35,0))="","",INDEX(Audit_Kompakt!$J$12:$J$35,MATCH($A16,Audit_Kompakt!$K$12:$K$35,0))))))),"")</f>
        <v/>
      </c>
    </row>
    <row r="17" customFormat="false" ht="15" hidden="false" customHeight="false" outlineLevel="0" collapsed="false">
      <c r="A17" s="41" t="str">
        <f aca="false">IF(13&lt;=Übersicht!$M$17,13,"")</f>
        <v/>
      </c>
      <c r="B17" s="41" t="str">
        <f aca="false">IFERROR(IF($A17="","",IF($A17&lt;=Übersicht!$P$13,"Allgemein",IF($A17&lt;=Übersicht!$P$14,"Maschine",IF($A17&lt;=Übersicht!$P$15,"Werkzeug","Kompakt")))),"")</f>
        <v/>
      </c>
      <c r="C17" s="41" t="str">
        <f aca="false">IFERROR(IF($A17="","",IF($A17&lt;=Übersicht!$P$13,IF(Audit_Allgemein!$C$4="","–",Audit_Allgemein!$C$4),IF($A17&lt;=Übersicht!$P$14,IF(Audit_Maschine!$C$4="","–",Audit_Maschine!$C$4),IF($A17&lt;=Übersicht!$P$15,IF(Audit_Werkzeuge!$C$4="","–",Audit_Werkzeuge!$C$4),IF(Audit_Kompakt!$C$4="","–",Audit_Kompakt!$C$4))))),"")</f>
        <v/>
      </c>
      <c r="D17" s="41" t="str">
        <f aca="false">IFERROR(IF($A17="","",IF($A17&lt;=Übersicht!$P$13,IF(INDEX(Audit_Allgemein!$A$12:$A$50,MATCH($A17,Audit_Allgemein!$K$12:$K$50,0))="","",INDEX(Audit_Allgemein!$A$12:$A$50,MATCH($A17,Audit_Allgemein!$K$12:$K$50,0))),IF($A17&lt;=Übersicht!$P$14,IF(INDEX(Audit_Maschine!$A$12:$A$24,MATCH($A17,Audit_Maschine!$K$12:$K$24,0))="","",INDEX(Audit_Maschine!$A$12:$A$24,MATCH($A17,Audit_Maschine!$K$12:$K$24,0))),IF($A17&lt;=Übersicht!$P$15,IF(INDEX(Audit_Werkzeuge!$A$12:$A$21,MATCH($A17,Audit_Werkzeuge!$K$12:$K$21,0))="","",INDEX(Audit_Werkzeuge!$A$12:$A$21,MATCH($A17,Audit_Werkzeuge!$K$12:$K$21,0))),IF(INDEX(Audit_Kompakt!$A$12:$A$35,MATCH($A17,Audit_Kompakt!$K$12:$K$35,0))="","",INDEX(Audit_Kompakt!$A$12:$A$35,MATCH($A17,Audit_Kompakt!$K$12:$K$35,0))))))),"")</f>
        <v/>
      </c>
      <c r="E17" s="42" t="str">
        <f aca="false">IFERROR(IF($A17="","",IF($A17&lt;=Übersicht!$P$13,IF(INDEX(Audit_Allgemein!$C$12:$C$50,MATCH($A17,Audit_Allgemein!$K$12:$K$50,0))="","",INDEX(Audit_Allgemein!$C$12:$C$50,MATCH($A17,Audit_Allgemein!$K$12:$K$50,0))),IF($A17&lt;=Übersicht!$P$14,IF(INDEX(Audit_Maschine!$C$12:$C$24,MATCH($A17,Audit_Maschine!$K$12:$K$24,0))="","",INDEX(Audit_Maschine!$C$12:$C$24,MATCH($A17,Audit_Maschine!$K$12:$K$24,0))),IF($A17&lt;=Übersicht!$P$15,IF(INDEX(Audit_Werkzeuge!$C$12:$C$21,MATCH($A17,Audit_Werkzeuge!$K$12:$K$21,0))="","",INDEX(Audit_Werkzeuge!$C$12:$C$21,MATCH($A17,Audit_Werkzeuge!$K$12:$K$21,0))),IF(INDEX(Audit_Kompakt!$C$12:$C$35,MATCH($A17,Audit_Kompakt!$K$12:$K$35,0))="","",INDEX(Audit_Kompakt!$C$12:$C$35,MATCH($A17,Audit_Kompakt!$K$12:$K$35,0))))))),"")</f>
        <v/>
      </c>
      <c r="F17" s="41" t="str">
        <f aca="false">IFERROR(IF($A17="","",IF($A17&lt;=Übersicht!$P$13,IF(INDEX(Audit_Allgemein!$E$12:$E$50,MATCH($A17,Audit_Allgemein!$K$12:$K$50,0))="","",INDEX(Audit_Allgemein!$E$12:$E$50,MATCH($A17,Audit_Allgemein!$K$12:$K$50,0))),IF($A17&lt;=Übersicht!$P$14,IF(INDEX(Audit_Maschine!$E$12:$E$24,MATCH($A17,Audit_Maschine!$K$12:$K$24,0))="","",INDEX(Audit_Maschine!$E$12:$E$24,MATCH($A17,Audit_Maschine!$K$12:$K$24,0))),IF($A17&lt;=Übersicht!$P$15,IF(INDEX(Audit_Werkzeuge!$E$12:$E$21,MATCH($A17,Audit_Werkzeuge!$K$12:$K$21,0))="","",INDEX(Audit_Werkzeuge!$E$12:$E$21,MATCH($A17,Audit_Werkzeuge!$K$12:$K$21,0))),IF(INDEX(Audit_Kompakt!$E$12:$E$35,MATCH($A17,Audit_Kompakt!$K$12:$K$35,0))="","",INDEX(Audit_Kompakt!$E$12:$E$35,MATCH($A17,Audit_Kompakt!$K$12:$K$35,0))))))),"")</f>
        <v/>
      </c>
      <c r="G17" s="42" t="str">
        <f aca="false">IFERROR(IF($A17="","",IF($A17&lt;=Übersicht!$P$13,IF(INDEX(Audit_Allgemein!$F$12:$F$50,MATCH($A17,Audit_Allgemein!$K$12:$K$50,0))="","",INDEX(Audit_Allgemein!$F$12:$F$50,MATCH($A17,Audit_Allgemein!$K$12:$K$50,0))),IF($A17&lt;=Übersicht!$P$14,IF(INDEX(Audit_Maschine!$F$12:$F$24,MATCH($A17,Audit_Maschine!$K$12:$K$24,0))="","",INDEX(Audit_Maschine!$F$12:$F$24,MATCH($A17,Audit_Maschine!$K$12:$K$24,0))),IF($A17&lt;=Übersicht!$P$15,IF(INDEX(Audit_Werkzeuge!$F$12:$F$21,MATCH($A17,Audit_Werkzeuge!$K$12:$K$21,0))="","",INDEX(Audit_Werkzeuge!$F$12:$F$21,MATCH($A17,Audit_Werkzeuge!$K$12:$K$21,0))),IF(INDEX(Audit_Kompakt!$F$12:$F$35,MATCH($A17,Audit_Kompakt!$K$12:$K$35,0))="","",INDEX(Audit_Kompakt!$F$12:$F$35,MATCH($A17,Audit_Kompakt!$K$12:$K$35,0))))))),"")</f>
        <v/>
      </c>
      <c r="H17" s="41" t="str">
        <f aca="false">IFERROR(IF($A17="","",IF($A17&lt;=Übersicht!$P$13,IF(INDEX(Audit_Allgemein!$G$12:$G$50,MATCH($A17,Audit_Allgemein!$K$12:$K$50,0))="","",INDEX(Audit_Allgemein!$G$12:$G$50,MATCH($A17,Audit_Allgemein!$K$12:$K$50,0))),IF($A17&lt;=Übersicht!$P$14,IF(INDEX(Audit_Maschine!$G$12:$G$24,MATCH($A17,Audit_Maschine!$K$12:$K$24,0))="","",INDEX(Audit_Maschine!$G$12:$G$24,MATCH($A17,Audit_Maschine!$K$12:$K$24,0))),IF($A17&lt;=Übersicht!$P$15,IF(INDEX(Audit_Werkzeuge!$G$12:$G$21,MATCH($A17,Audit_Werkzeuge!$K$12:$K$21,0))="","",INDEX(Audit_Werkzeuge!$G$12:$G$21,MATCH($A17,Audit_Werkzeuge!$K$12:$K$21,0))),IF(INDEX(Audit_Kompakt!$G$12:$G$35,MATCH($A17,Audit_Kompakt!$K$12:$K$35,0))="","",INDEX(Audit_Kompakt!$G$12:$G$35,MATCH($A17,Audit_Kompakt!$K$12:$K$35,0))))))),"")</f>
        <v/>
      </c>
      <c r="I17" s="43" t="str">
        <f aca="false">IFERROR(IF($A17="","",IF($A17&lt;=Übersicht!$P$13,IF(INDEX(Audit_Allgemein!$H$12:$H$50,MATCH($A17,Audit_Allgemein!$K$12:$K$50,0))="","",INDEX(Audit_Allgemein!$H$12:$H$50,MATCH($A17,Audit_Allgemein!$K$12:$K$50,0))),IF($A17&lt;=Übersicht!$P$14,IF(INDEX(Audit_Maschine!$H$12:$H$24,MATCH($A17,Audit_Maschine!$K$12:$K$24,0))="","",INDEX(Audit_Maschine!$H$12:$H$24,MATCH($A17,Audit_Maschine!$K$12:$K$24,0))),IF($A17&lt;=Übersicht!$P$15,IF(INDEX(Audit_Werkzeuge!$H$12:$H$21,MATCH($A17,Audit_Werkzeuge!$K$12:$K$21,0))="","",INDEX(Audit_Werkzeuge!$H$12:$H$21,MATCH($A17,Audit_Werkzeuge!$K$12:$K$21,0))),IF(INDEX(Audit_Kompakt!$H$12:$H$35,MATCH($A17,Audit_Kompakt!$K$12:$K$35,0))="","",INDEX(Audit_Kompakt!$H$12:$H$35,MATCH($A17,Audit_Kompakt!$K$12:$K$35,0))))))),"")</f>
        <v/>
      </c>
      <c r="J17" s="41" t="str">
        <f aca="false">IFERROR(IF($A17="","",IF($A17&lt;=Übersicht!$P$13,IF(INDEX(Audit_Allgemein!$J$12:$J$50,MATCH($A17,Audit_Allgemein!$K$12:$K$50,0))="","",INDEX(Audit_Allgemein!$J$12:$J$50,MATCH($A17,Audit_Allgemein!$K$12:$K$50,0))),IF($A17&lt;=Übersicht!$P$14,IF(INDEX(Audit_Maschine!$J$12:$J$24,MATCH($A17,Audit_Maschine!$K$12:$K$24,0))="","",INDEX(Audit_Maschine!$J$12:$J$24,MATCH($A17,Audit_Maschine!$K$12:$K$24,0))),IF($A17&lt;=Übersicht!$P$15,IF(INDEX(Audit_Werkzeuge!$J$12:$J$21,MATCH($A17,Audit_Werkzeuge!$K$12:$K$21,0))="","",INDEX(Audit_Werkzeuge!$J$12:$J$21,MATCH($A17,Audit_Werkzeuge!$K$12:$K$21,0))),IF(INDEX(Audit_Kompakt!$J$12:$J$35,MATCH($A17,Audit_Kompakt!$K$12:$K$35,0))="","",INDEX(Audit_Kompakt!$J$12:$J$35,MATCH($A17,Audit_Kompakt!$K$12:$K$35,0))))))),"")</f>
        <v/>
      </c>
    </row>
    <row r="18" customFormat="false" ht="15" hidden="false" customHeight="false" outlineLevel="0" collapsed="false">
      <c r="A18" s="41" t="str">
        <f aca="false">IF(14&lt;=Übersicht!$M$17,14,"")</f>
        <v/>
      </c>
      <c r="B18" s="41" t="str">
        <f aca="false">IFERROR(IF($A18="","",IF($A18&lt;=Übersicht!$P$13,"Allgemein",IF($A18&lt;=Übersicht!$P$14,"Maschine",IF($A18&lt;=Übersicht!$P$15,"Werkzeug","Kompakt")))),"")</f>
        <v/>
      </c>
      <c r="C18" s="41" t="str">
        <f aca="false">IFERROR(IF($A18="","",IF($A18&lt;=Übersicht!$P$13,IF(Audit_Allgemein!$C$4="","–",Audit_Allgemein!$C$4),IF($A18&lt;=Übersicht!$P$14,IF(Audit_Maschine!$C$4="","–",Audit_Maschine!$C$4),IF($A18&lt;=Übersicht!$P$15,IF(Audit_Werkzeuge!$C$4="","–",Audit_Werkzeuge!$C$4),IF(Audit_Kompakt!$C$4="","–",Audit_Kompakt!$C$4))))),"")</f>
        <v/>
      </c>
      <c r="D18" s="41" t="str">
        <f aca="false">IFERROR(IF($A18="","",IF($A18&lt;=Übersicht!$P$13,IF(INDEX(Audit_Allgemein!$A$12:$A$50,MATCH($A18,Audit_Allgemein!$K$12:$K$50,0))="","",INDEX(Audit_Allgemein!$A$12:$A$50,MATCH($A18,Audit_Allgemein!$K$12:$K$50,0))),IF($A18&lt;=Übersicht!$P$14,IF(INDEX(Audit_Maschine!$A$12:$A$24,MATCH($A18,Audit_Maschine!$K$12:$K$24,0))="","",INDEX(Audit_Maschine!$A$12:$A$24,MATCH($A18,Audit_Maschine!$K$12:$K$24,0))),IF($A18&lt;=Übersicht!$P$15,IF(INDEX(Audit_Werkzeuge!$A$12:$A$21,MATCH($A18,Audit_Werkzeuge!$K$12:$K$21,0))="","",INDEX(Audit_Werkzeuge!$A$12:$A$21,MATCH($A18,Audit_Werkzeuge!$K$12:$K$21,0))),IF(INDEX(Audit_Kompakt!$A$12:$A$35,MATCH($A18,Audit_Kompakt!$K$12:$K$35,0))="","",INDEX(Audit_Kompakt!$A$12:$A$35,MATCH($A18,Audit_Kompakt!$K$12:$K$35,0))))))),"")</f>
        <v/>
      </c>
      <c r="E18" s="42" t="str">
        <f aca="false">IFERROR(IF($A18="","",IF($A18&lt;=Übersicht!$P$13,IF(INDEX(Audit_Allgemein!$C$12:$C$50,MATCH($A18,Audit_Allgemein!$K$12:$K$50,0))="","",INDEX(Audit_Allgemein!$C$12:$C$50,MATCH($A18,Audit_Allgemein!$K$12:$K$50,0))),IF($A18&lt;=Übersicht!$P$14,IF(INDEX(Audit_Maschine!$C$12:$C$24,MATCH($A18,Audit_Maschine!$K$12:$K$24,0))="","",INDEX(Audit_Maschine!$C$12:$C$24,MATCH($A18,Audit_Maschine!$K$12:$K$24,0))),IF($A18&lt;=Übersicht!$P$15,IF(INDEX(Audit_Werkzeuge!$C$12:$C$21,MATCH($A18,Audit_Werkzeuge!$K$12:$K$21,0))="","",INDEX(Audit_Werkzeuge!$C$12:$C$21,MATCH($A18,Audit_Werkzeuge!$K$12:$K$21,0))),IF(INDEX(Audit_Kompakt!$C$12:$C$35,MATCH($A18,Audit_Kompakt!$K$12:$K$35,0))="","",INDEX(Audit_Kompakt!$C$12:$C$35,MATCH($A18,Audit_Kompakt!$K$12:$K$35,0))))))),"")</f>
        <v/>
      </c>
      <c r="F18" s="41" t="str">
        <f aca="false">IFERROR(IF($A18="","",IF($A18&lt;=Übersicht!$P$13,IF(INDEX(Audit_Allgemein!$E$12:$E$50,MATCH($A18,Audit_Allgemein!$K$12:$K$50,0))="","",INDEX(Audit_Allgemein!$E$12:$E$50,MATCH($A18,Audit_Allgemein!$K$12:$K$50,0))),IF($A18&lt;=Übersicht!$P$14,IF(INDEX(Audit_Maschine!$E$12:$E$24,MATCH($A18,Audit_Maschine!$K$12:$K$24,0))="","",INDEX(Audit_Maschine!$E$12:$E$24,MATCH($A18,Audit_Maschine!$K$12:$K$24,0))),IF($A18&lt;=Übersicht!$P$15,IF(INDEX(Audit_Werkzeuge!$E$12:$E$21,MATCH($A18,Audit_Werkzeuge!$K$12:$K$21,0))="","",INDEX(Audit_Werkzeuge!$E$12:$E$21,MATCH($A18,Audit_Werkzeuge!$K$12:$K$21,0))),IF(INDEX(Audit_Kompakt!$E$12:$E$35,MATCH($A18,Audit_Kompakt!$K$12:$K$35,0))="","",INDEX(Audit_Kompakt!$E$12:$E$35,MATCH($A18,Audit_Kompakt!$K$12:$K$35,0))))))),"")</f>
        <v/>
      </c>
      <c r="G18" s="42" t="str">
        <f aca="false">IFERROR(IF($A18="","",IF($A18&lt;=Übersicht!$P$13,IF(INDEX(Audit_Allgemein!$F$12:$F$50,MATCH($A18,Audit_Allgemein!$K$12:$K$50,0))="","",INDEX(Audit_Allgemein!$F$12:$F$50,MATCH($A18,Audit_Allgemein!$K$12:$K$50,0))),IF($A18&lt;=Übersicht!$P$14,IF(INDEX(Audit_Maschine!$F$12:$F$24,MATCH($A18,Audit_Maschine!$K$12:$K$24,0))="","",INDEX(Audit_Maschine!$F$12:$F$24,MATCH($A18,Audit_Maschine!$K$12:$K$24,0))),IF($A18&lt;=Übersicht!$P$15,IF(INDEX(Audit_Werkzeuge!$F$12:$F$21,MATCH($A18,Audit_Werkzeuge!$K$12:$K$21,0))="","",INDEX(Audit_Werkzeuge!$F$12:$F$21,MATCH($A18,Audit_Werkzeuge!$K$12:$K$21,0))),IF(INDEX(Audit_Kompakt!$F$12:$F$35,MATCH($A18,Audit_Kompakt!$K$12:$K$35,0))="","",INDEX(Audit_Kompakt!$F$12:$F$35,MATCH($A18,Audit_Kompakt!$K$12:$K$35,0))))))),"")</f>
        <v/>
      </c>
      <c r="H18" s="41" t="str">
        <f aca="false">IFERROR(IF($A18="","",IF($A18&lt;=Übersicht!$P$13,IF(INDEX(Audit_Allgemein!$G$12:$G$50,MATCH($A18,Audit_Allgemein!$K$12:$K$50,0))="","",INDEX(Audit_Allgemein!$G$12:$G$50,MATCH($A18,Audit_Allgemein!$K$12:$K$50,0))),IF($A18&lt;=Übersicht!$P$14,IF(INDEX(Audit_Maschine!$G$12:$G$24,MATCH($A18,Audit_Maschine!$K$12:$K$24,0))="","",INDEX(Audit_Maschine!$G$12:$G$24,MATCH($A18,Audit_Maschine!$K$12:$K$24,0))),IF($A18&lt;=Übersicht!$P$15,IF(INDEX(Audit_Werkzeuge!$G$12:$G$21,MATCH($A18,Audit_Werkzeuge!$K$12:$K$21,0))="","",INDEX(Audit_Werkzeuge!$G$12:$G$21,MATCH($A18,Audit_Werkzeuge!$K$12:$K$21,0))),IF(INDEX(Audit_Kompakt!$G$12:$G$35,MATCH($A18,Audit_Kompakt!$K$12:$K$35,0))="","",INDEX(Audit_Kompakt!$G$12:$G$35,MATCH($A18,Audit_Kompakt!$K$12:$K$35,0))))))),"")</f>
        <v/>
      </c>
      <c r="I18" s="43" t="str">
        <f aca="false">IFERROR(IF($A18="","",IF($A18&lt;=Übersicht!$P$13,IF(INDEX(Audit_Allgemein!$H$12:$H$50,MATCH($A18,Audit_Allgemein!$K$12:$K$50,0))="","",INDEX(Audit_Allgemein!$H$12:$H$50,MATCH($A18,Audit_Allgemein!$K$12:$K$50,0))),IF($A18&lt;=Übersicht!$P$14,IF(INDEX(Audit_Maschine!$H$12:$H$24,MATCH($A18,Audit_Maschine!$K$12:$K$24,0))="","",INDEX(Audit_Maschine!$H$12:$H$24,MATCH($A18,Audit_Maschine!$K$12:$K$24,0))),IF($A18&lt;=Übersicht!$P$15,IF(INDEX(Audit_Werkzeuge!$H$12:$H$21,MATCH($A18,Audit_Werkzeuge!$K$12:$K$21,0))="","",INDEX(Audit_Werkzeuge!$H$12:$H$21,MATCH($A18,Audit_Werkzeuge!$K$12:$K$21,0))),IF(INDEX(Audit_Kompakt!$H$12:$H$35,MATCH($A18,Audit_Kompakt!$K$12:$K$35,0))="","",INDEX(Audit_Kompakt!$H$12:$H$35,MATCH($A18,Audit_Kompakt!$K$12:$K$35,0))))))),"")</f>
        <v/>
      </c>
      <c r="J18" s="41" t="str">
        <f aca="false">IFERROR(IF($A18="","",IF($A18&lt;=Übersicht!$P$13,IF(INDEX(Audit_Allgemein!$J$12:$J$50,MATCH($A18,Audit_Allgemein!$K$12:$K$50,0))="","",INDEX(Audit_Allgemein!$J$12:$J$50,MATCH($A18,Audit_Allgemein!$K$12:$K$50,0))),IF($A18&lt;=Übersicht!$P$14,IF(INDEX(Audit_Maschine!$J$12:$J$24,MATCH($A18,Audit_Maschine!$K$12:$K$24,0))="","",INDEX(Audit_Maschine!$J$12:$J$24,MATCH($A18,Audit_Maschine!$K$12:$K$24,0))),IF($A18&lt;=Übersicht!$P$15,IF(INDEX(Audit_Werkzeuge!$J$12:$J$21,MATCH($A18,Audit_Werkzeuge!$K$12:$K$21,0))="","",INDEX(Audit_Werkzeuge!$J$12:$J$21,MATCH($A18,Audit_Werkzeuge!$K$12:$K$21,0))),IF(INDEX(Audit_Kompakt!$J$12:$J$35,MATCH($A18,Audit_Kompakt!$K$12:$K$35,0))="","",INDEX(Audit_Kompakt!$J$12:$J$35,MATCH($A18,Audit_Kompakt!$K$12:$K$35,0))))))),"")</f>
        <v/>
      </c>
    </row>
    <row r="19" customFormat="false" ht="15" hidden="false" customHeight="false" outlineLevel="0" collapsed="false">
      <c r="A19" s="41" t="str">
        <f aca="false">IF(15&lt;=Übersicht!$M$17,15,"")</f>
        <v/>
      </c>
      <c r="B19" s="41" t="str">
        <f aca="false">IFERROR(IF($A19="","",IF($A19&lt;=Übersicht!$P$13,"Allgemein",IF($A19&lt;=Übersicht!$P$14,"Maschine",IF($A19&lt;=Übersicht!$P$15,"Werkzeug","Kompakt")))),"")</f>
        <v/>
      </c>
      <c r="C19" s="41" t="str">
        <f aca="false">IFERROR(IF($A19="","",IF($A19&lt;=Übersicht!$P$13,IF(Audit_Allgemein!$C$4="","–",Audit_Allgemein!$C$4),IF($A19&lt;=Übersicht!$P$14,IF(Audit_Maschine!$C$4="","–",Audit_Maschine!$C$4),IF($A19&lt;=Übersicht!$P$15,IF(Audit_Werkzeuge!$C$4="","–",Audit_Werkzeuge!$C$4),IF(Audit_Kompakt!$C$4="","–",Audit_Kompakt!$C$4))))),"")</f>
        <v/>
      </c>
      <c r="D19" s="41" t="str">
        <f aca="false">IFERROR(IF($A19="","",IF($A19&lt;=Übersicht!$P$13,IF(INDEX(Audit_Allgemein!$A$12:$A$50,MATCH($A19,Audit_Allgemein!$K$12:$K$50,0))="","",INDEX(Audit_Allgemein!$A$12:$A$50,MATCH($A19,Audit_Allgemein!$K$12:$K$50,0))),IF($A19&lt;=Übersicht!$P$14,IF(INDEX(Audit_Maschine!$A$12:$A$24,MATCH($A19,Audit_Maschine!$K$12:$K$24,0))="","",INDEX(Audit_Maschine!$A$12:$A$24,MATCH($A19,Audit_Maschine!$K$12:$K$24,0))),IF($A19&lt;=Übersicht!$P$15,IF(INDEX(Audit_Werkzeuge!$A$12:$A$21,MATCH($A19,Audit_Werkzeuge!$K$12:$K$21,0))="","",INDEX(Audit_Werkzeuge!$A$12:$A$21,MATCH($A19,Audit_Werkzeuge!$K$12:$K$21,0))),IF(INDEX(Audit_Kompakt!$A$12:$A$35,MATCH($A19,Audit_Kompakt!$K$12:$K$35,0))="","",INDEX(Audit_Kompakt!$A$12:$A$35,MATCH($A19,Audit_Kompakt!$K$12:$K$35,0))))))),"")</f>
        <v/>
      </c>
      <c r="E19" s="42" t="str">
        <f aca="false">IFERROR(IF($A19="","",IF($A19&lt;=Übersicht!$P$13,IF(INDEX(Audit_Allgemein!$C$12:$C$50,MATCH($A19,Audit_Allgemein!$K$12:$K$50,0))="","",INDEX(Audit_Allgemein!$C$12:$C$50,MATCH($A19,Audit_Allgemein!$K$12:$K$50,0))),IF($A19&lt;=Übersicht!$P$14,IF(INDEX(Audit_Maschine!$C$12:$C$24,MATCH($A19,Audit_Maschine!$K$12:$K$24,0))="","",INDEX(Audit_Maschine!$C$12:$C$24,MATCH($A19,Audit_Maschine!$K$12:$K$24,0))),IF($A19&lt;=Übersicht!$P$15,IF(INDEX(Audit_Werkzeuge!$C$12:$C$21,MATCH($A19,Audit_Werkzeuge!$K$12:$K$21,0))="","",INDEX(Audit_Werkzeuge!$C$12:$C$21,MATCH($A19,Audit_Werkzeuge!$K$12:$K$21,0))),IF(INDEX(Audit_Kompakt!$C$12:$C$35,MATCH($A19,Audit_Kompakt!$K$12:$K$35,0))="","",INDEX(Audit_Kompakt!$C$12:$C$35,MATCH($A19,Audit_Kompakt!$K$12:$K$35,0))))))),"")</f>
        <v/>
      </c>
      <c r="F19" s="41" t="str">
        <f aca="false">IFERROR(IF($A19="","",IF($A19&lt;=Übersicht!$P$13,IF(INDEX(Audit_Allgemein!$E$12:$E$50,MATCH($A19,Audit_Allgemein!$K$12:$K$50,0))="","",INDEX(Audit_Allgemein!$E$12:$E$50,MATCH($A19,Audit_Allgemein!$K$12:$K$50,0))),IF($A19&lt;=Übersicht!$P$14,IF(INDEX(Audit_Maschine!$E$12:$E$24,MATCH($A19,Audit_Maschine!$K$12:$K$24,0))="","",INDEX(Audit_Maschine!$E$12:$E$24,MATCH($A19,Audit_Maschine!$K$12:$K$24,0))),IF($A19&lt;=Übersicht!$P$15,IF(INDEX(Audit_Werkzeuge!$E$12:$E$21,MATCH($A19,Audit_Werkzeuge!$K$12:$K$21,0))="","",INDEX(Audit_Werkzeuge!$E$12:$E$21,MATCH($A19,Audit_Werkzeuge!$K$12:$K$21,0))),IF(INDEX(Audit_Kompakt!$E$12:$E$35,MATCH($A19,Audit_Kompakt!$K$12:$K$35,0))="","",INDEX(Audit_Kompakt!$E$12:$E$35,MATCH($A19,Audit_Kompakt!$K$12:$K$35,0))))))),"")</f>
        <v/>
      </c>
      <c r="G19" s="42" t="str">
        <f aca="false">IFERROR(IF($A19="","",IF($A19&lt;=Übersicht!$P$13,IF(INDEX(Audit_Allgemein!$F$12:$F$50,MATCH($A19,Audit_Allgemein!$K$12:$K$50,0))="","",INDEX(Audit_Allgemein!$F$12:$F$50,MATCH($A19,Audit_Allgemein!$K$12:$K$50,0))),IF($A19&lt;=Übersicht!$P$14,IF(INDEX(Audit_Maschine!$F$12:$F$24,MATCH($A19,Audit_Maschine!$K$12:$K$24,0))="","",INDEX(Audit_Maschine!$F$12:$F$24,MATCH($A19,Audit_Maschine!$K$12:$K$24,0))),IF($A19&lt;=Übersicht!$P$15,IF(INDEX(Audit_Werkzeuge!$F$12:$F$21,MATCH($A19,Audit_Werkzeuge!$K$12:$K$21,0))="","",INDEX(Audit_Werkzeuge!$F$12:$F$21,MATCH($A19,Audit_Werkzeuge!$K$12:$K$21,0))),IF(INDEX(Audit_Kompakt!$F$12:$F$35,MATCH($A19,Audit_Kompakt!$K$12:$K$35,0))="","",INDEX(Audit_Kompakt!$F$12:$F$35,MATCH($A19,Audit_Kompakt!$K$12:$K$35,0))))))),"")</f>
        <v/>
      </c>
      <c r="H19" s="41" t="str">
        <f aca="false">IFERROR(IF($A19="","",IF($A19&lt;=Übersicht!$P$13,IF(INDEX(Audit_Allgemein!$G$12:$G$50,MATCH($A19,Audit_Allgemein!$K$12:$K$50,0))="","",INDEX(Audit_Allgemein!$G$12:$G$50,MATCH($A19,Audit_Allgemein!$K$12:$K$50,0))),IF($A19&lt;=Übersicht!$P$14,IF(INDEX(Audit_Maschine!$G$12:$G$24,MATCH($A19,Audit_Maschine!$K$12:$K$24,0))="","",INDEX(Audit_Maschine!$G$12:$G$24,MATCH($A19,Audit_Maschine!$K$12:$K$24,0))),IF($A19&lt;=Übersicht!$P$15,IF(INDEX(Audit_Werkzeuge!$G$12:$G$21,MATCH($A19,Audit_Werkzeuge!$K$12:$K$21,0))="","",INDEX(Audit_Werkzeuge!$G$12:$G$21,MATCH($A19,Audit_Werkzeuge!$K$12:$K$21,0))),IF(INDEX(Audit_Kompakt!$G$12:$G$35,MATCH($A19,Audit_Kompakt!$K$12:$K$35,0))="","",INDEX(Audit_Kompakt!$G$12:$G$35,MATCH($A19,Audit_Kompakt!$K$12:$K$35,0))))))),"")</f>
        <v/>
      </c>
      <c r="I19" s="43" t="str">
        <f aca="false">IFERROR(IF($A19="","",IF($A19&lt;=Übersicht!$P$13,IF(INDEX(Audit_Allgemein!$H$12:$H$50,MATCH($A19,Audit_Allgemein!$K$12:$K$50,0))="","",INDEX(Audit_Allgemein!$H$12:$H$50,MATCH($A19,Audit_Allgemein!$K$12:$K$50,0))),IF($A19&lt;=Übersicht!$P$14,IF(INDEX(Audit_Maschine!$H$12:$H$24,MATCH($A19,Audit_Maschine!$K$12:$K$24,0))="","",INDEX(Audit_Maschine!$H$12:$H$24,MATCH($A19,Audit_Maschine!$K$12:$K$24,0))),IF($A19&lt;=Übersicht!$P$15,IF(INDEX(Audit_Werkzeuge!$H$12:$H$21,MATCH($A19,Audit_Werkzeuge!$K$12:$K$21,0))="","",INDEX(Audit_Werkzeuge!$H$12:$H$21,MATCH($A19,Audit_Werkzeuge!$K$12:$K$21,0))),IF(INDEX(Audit_Kompakt!$H$12:$H$35,MATCH($A19,Audit_Kompakt!$K$12:$K$35,0))="","",INDEX(Audit_Kompakt!$H$12:$H$35,MATCH($A19,Audit_Kompakt!$K$12:$K$35,0))))))),"")</f>
        <v/>
      </c>
      <c r="J19" s="41" t="str">
        <f aca="false">IFERROR(IF($A19="","",IF($A19&lt;=Übersicht!$P$13,IF(INDEX(Audit_Allgemein!$J$12:$J$50,MATCH($A19,Audit_Allgemein!$K$12:$K$50,0))="","",INDEX(Audit_Allgemein!$J$12:$J$50,MATCH($A19,Audit_Allgemein!$K$12:$K$50,0))),IF($A19&lt;=Übersicht!$P$14,IF(INDEX(Audit_Maschine!$J$12:$J$24,MATCH($A19,Audit_Maschine!$K$12:$K$24,0))="","",INDEX(Audit_Maschine!$J$12:$J$24,MATCH($A19,Audit_Maschine!$K$12:$K$24,0))),IF($A19&lt;=Übersicht!$P$15,IF(INDEX(Audit_Werkzeuge!$J$12:$J$21,MATCH($A19,Audit_Werkzeuge!$K$12:$K$21,0))="","",INDEX(Audit_Werkzeuge!$J$12:$J$21,MATCH($A19,Audit_Werkzeuge!$K$12:$K$21,0))),IF(INDEX(Audit_Kompakt!$J$12:$J$35,MATCH($A19,Audit_Kompakt!$K$12:$K$35,0))="","",INDEX(Audit_Kompakt!$J$12:$J$35,MATCH($A19,Audit_Kompakt!$K$12:$K$35,0))))))),"")</f>
        <v/>
      </c>
    </row>
    <row r="20" customFormat="false" ht="15" hidden="false" customHeight="false" outlineLevel="0" collapsed="false">
      <c r="A20" s="41" t="str">
        <f aca="false">IF(16&lt;=Übersicht!$M$17,16,"")</f>
        <v/>
      </c>
      <c r="B20" s="41" t="str">
        <f aca="false">IFERROR(IF($A20="","",IF($A20&lt;=Übersicht!$P$13,"Allgemein",IF($A20&lt;=Übersicht!$P$14,"Maschine",IF($A20&lt;=Übersicht!$P$15,"Werkzeug","Kompakt")))),"")</f>
        <v/>
      </c>
      <c r="C20" s="41" t="str">
        <f aca="false">IFERROR(IF($A20="","",IF($A20&lt;=Übersicht!$P$13,IF(Audit_Allgemein!$C$4="","–",Audit_Allgemein!$C$4),IF($A20&lt;=Übersicht!$P$14,IF(Audit_Maschine!$C$4="","–",Audit_Maschine!$C$4),IF($A20&lt;=Übersicht!$P$15,IF(Audit_Werkzeuge!$C$4="","–",Audit_Werkzeuge!$C$4),IF(Audit_Kompakt!$C$4="","–",Audit_Kompakt!$C$4))))),"")</f>
        <v/>
      </c>
      <c r="D20" s="41" t="str">
        <f aca="false">IFERROR(IF($A20="","",IF($A20&lt;=Übersicht!$P$13,IF(INDEX(Audit_Allgemein!$A$12:$A$50,MATCH($A20,Audit_Allgemein!$K$12:$K$50,0))="","",INDEX(Audit_Allgemein!$A$12:$A$50,MATCH($A20,Audit_Allgemein!$K$12:$K$50,0))),IF($A20&lt;=Übersicht!$P$14,IF(INDEX(Audit_Maschine!$A$12:$A$24,MATCH($A20,Audit_Maschine!$K$12:$K$24,0))="","",INDEX(Audit_Maschine!$A$12:$A$24,MATCH($A20,Audit_Maschine!$K$12:$K$24,0))),IF($A20&lt;=Übersicht!$P$15,IF(INDEX(Audit_Werkzeuge!$A$12:$A$21,MATCH($A20,Audit_Werkzeuge!$K$12:$K$21,0))="","",INDEX(Audit_Werkzeuge!$A$12:$A$21,MATCH($A20,Audit_Werkzeuge!$K$12:$K$21,0))),IF(INDEX(Audit_Kompakt!$A$12:$A$35,MATCH($A20,Audit_Kompakt!$K$12:$K$35,0))="","",INDEX(Audit_Kompakt!$A$12:$A$35,MATCH($A20,Audit_Kompakt!$K$12:$K$35,0))))))),"")</f>
        <v/>
      </c>
      <c r="E20" s="42" t="str">
        <f aca="false">IFERROR(IF($A20="","",IF($A20&lt;=Übersicht!$P$13,IF(INDEX(Audit_Allgemein!$C$12:$C$50,MATCH($A20,Audit_Allgemein!$K$12:$K$50,0))="","",INDEX(Audit_Allgemein!$C$12:$C$50,MATCH($A20,Audit_Allgemein!$K$12:$K$50,0))),IF($A20&lt;=Übersicht!$P$14,IF(INDEX(Audit_Maschine!$C$12:$C$24,MATCH($A20,Audit_Maschine!$K$12:$K$24,0))="","",INDEX(Audit_Maschine!$C$12:$C$24,MATCH($A20,Audit_Maschine!$K$12:$K$24,0))),IF($A20&lt;=Übersicht!$P$15,IF(INDEX(Audit_Werkzeuge!$C$12:$C$21,MATCH($A20,Audit_Werkzeuge!$K$12:$K$21,0))="","",INDEX(Audit_Werkzeuge!$C$12:$C$21,MATCH($A20,Audit_Werkzeuge!$K$12:$K$21,0))),IF(INDEX(Audit_Kompakt!$C$12:$C$35,MATCH($A20,Audit_Kompakt!$K$12:$K$35,0))="","",INDEX(Audit_Kompakt!$C$12:$C$35,MATCH($A20,Audit_Kompakt!$K$12:$K$35,0))))))),"")</f>
        <v/>
      </c>
      <c r="F20" s="41" t="str">
        <f aca="false">IFERROR(IF($A20="","",IF($A20&lt;=Übersicht!$P$13,IF(INDEX(Audit_Allgemein!$E$12:$E$50,MATCH($A20,Audit_Allgemein!$K$12:$K$50,0))="","",INDEX(Audit_Allgemein!$E$12:$E$50,MATCH($A20,Audit_Allgemein!$K$12:$K$50,0))),IF($A20&lt;=Übersicht!$P$14,IF(INDEX(Audit_Maschine!$E$12:$E$24,MATCH($A20,Audit_Maschine!$K$12:$K$24,0))="","",INDEX(Audit_Maschine!$E$12:$E$24,MATCH($A20,Audit_Maschine!$K$12:$K$24,0))),IF($A20&lt;=Übersicht!$P$15,IF(INDEX(Audit_Werkzeuge!$E$12:$E$21,MATCH($A20,Audit_Werkzeuge!$K$12:$K$21,0))="","",INDEX(Audit_Werkzeuge!$E$12:$E$21,MATCH($A20,Audit_Werkzeuge!$K$12:$K$21,0))),IF(INDEX(Audit_Kompakt!$E$12:$E$35,MATCH($A20,Audit_Kompakt!$K$12:$K$35,0))="","",INDEX(Audit_Kompakt!$E$12:$E$35,MATCH($A20,Audit_Kompakt!$K$12:$K$35,0))))))),"")</f>
        <v/>
      </c>
      <c r="G20" s="42" t="str">
        <f aca="false">IFERROR(IF($A20="","",IF($A20&lt;=Übersicht!$P$13,IF(INDEX(Audit_Allgemein!$F$12:$F$50,MATCH($A20,Audit_Allgemein!$K$12:$K$50,0))="","",INDEX(Audit_Allgemein!$F$12:$F$50,MATCH($A20,Audit_Allgemein!$K$12:$K$50,0))),IF($A20&lt;=Übersicht!$P$14,IF(INDEX(Audit_Maschine!$F$12:$F$24,MATCH($A20,Audit_Maschine!$K$12:$K$24,0))="","",INDEX(Audit_Maschine!$F$12:$F$24,MATCH($A20,Audit_Maschine!$K$12:$K$24,0))),IF($A20&lt;=Übersicht!$P$15,IF(INDEX(Audit_Werkzeuge!$F$12:$F$21,MATCH($A20,Audit_Werkzeuge!$K$12:$K$21,0))="","",INDEX(Audit_Werkzeuge!$F$12:$F$21,MATCH($A20,Audit_Werkzeuge!$K$12:$K$21,0))),IF(INDEX(Audit_Kompakt!$F$12:$F$35,MATCH($A20,Audit_Kompakt!$K$12:$K$35,0))="","",INDEX(Audit_Kompakt!$F$12:$F$35,MATCH($A20,Audit_Kompakt!$K$12:$K$35,0))))))),"")</f>
        <v/>
      </c>
      <c r="H20" s="41" t="str">
        <f aca="false">IFERROR(IF($A20="","",IF($A20&lt;=Übersicht!$P$13,IF(INDEX(Audit_Allgemein!$G$12:$G$50,MATCH($A20,Audit_Allgemein!$K$12:$K$50,0))="","",INDEX(Audit_Allgemein!$G$12:$G$50,MATCH($A20,Audit_Allgemein!$K$12:$K$50,0))),IF($A20&lt;=Übersicht!$P$14,IF(INDEX(Audit_Maschine!$G$12:$G$24,MATCH($A20,Audit_Maschine!$K$12:$K$24,0))="","",INDEX(Audit_Maschine!$G$12:$G$24,MATCH($A20,Audit_Maschine!$K$12:$K$24,0))),IF($A20&lt;=Übersicht!$P$15,IF(INDEX(Audit_Werkzeuge!$G$12:$G$21,MATCH($A20,Audit_Werkzeuge!$K$12:$K$21,0))="","",INDEX(Audit_Werkzeuge!$G$12:$G$21,MATCH($A20,Audit_Werkzeuge!$K$12:$K$21,0))),IF(INDEX(Audit_Kompakt!$G$12:$G$35,MATCH($A20,Audit_Kompakt!$K$12:$K$35,0))="","",INDEX(Audit_Kompakt!$G$12:$G$35,MATCH($A20,Audit_Kompakt!$K$12:$K$35,0))))))),"")</f>
        <v/>
      </c>
      <c r="I20" s="43" t="str">
        <f aca="false">IFERROR(IF($A20="","",IF($A20&lt;=Übersicht!$P$13,IF(INDEX(Audit_Allgemein!$H$12:$H$50,MATCH($A20,Audit_Allgemein!$K$12:$K$50,0))="","",INDEX(Audit_Allgemein!$H$12:$H$50,MATCH($A20,Audit_Allgemein!$K$12:$K$50,0))),IF($A20&lt;=Übersicht!$P$14,IF(INDEX(Audit_Maschine!$H$12:$H$24,MATCH($A20,Audit_Maschine!$K$12:$K$24,0))="","",INDEX(Audit_Maschine!$H$12:$H$24,MATCH($A20,Audit_Maschine!$K$12:$K$24,0))),IF($A20&lt;=Übersicht!$P$15,IF(INDEX(Audit_Werkzeuge!$H$12:$H$21,MATCH($A20,Audit_Werkzeuge!$K$12:$K$21,0))="","",INDEX(Audit_Werkzeuge!$H$12:$H$21,MATCH($A20,Audit_Werkzeuge!$K$12:$K$21,0))),IF(INDEX(Audit_Kompakt!$H$12:$H$35,MATCH($A20,Audit_Kompakt!$K$12:$K$35,0))="","",INDEX(Audit_Kompakt!$H$12:$H$35,MATCH($A20,Audit_Kompakt!$K$12:$K$35,0))))))),"")</f>
        <v/>
      </c>
      <c r="J20" s="41" t="str">
        <f aca="false">IFERROR(IF($A20="","",IF($A20&lt;=Übersicht!$P$13,IF(INDEX(Audit_Allgemein!$J$12:$J$50,MATCH($A20,Audit_Allgemein!$K$12:$K$50,0))="","",INDEX(Audit_Allgemein!$J$12:$J$50,MATCH($A20,Audit_Allgemein!$K$12:$K$50,0))),IF($A20&lt;=Übersicht!$P$14,IF(INDEX(Audit_Maschine!$J$12:$J$24,MATCH($A20,Audit_Maschine!$K$12:$K$24,0))="","",INDEX(Audit_Maschine!$J$12:$J$24,MATCH($A20,Audit_Maschine!$K$12:$K$24,0))),IF($A20&lt;=Übersicht!$P$15,IF(INDEX(Audit_Werkzeuge!$J$12:$J$21,MATCH($A20,Audit_Werkzeuge!$K$12:$K$21,0))="","",INDEX(Audit_Werkzeuge!$J$12:$J$21,MATCH($A20,Audit_Werkzeuge!$K$12:$K$21,0))),IF(INDEX(Audit_Kompakt!$J$12:$J$35,MATCH($A20,Audit_Kompakt!$K$12:$K$35,0))="","",INDEX(Audit_Kompakt!$J$12:$J$35,MATCH($A20,Audit_Kompakt!$K$12:$K$35,0))))))),"")</f>
        <v/>
      </c>
    </row>
    <row r="21" customFormat="false" ht="15" hidden="false" customHeight="false" outlineLevel="0" collapsed="false">
      <c r="A21" s="41" t="str">
        <f aca="false">IF(17&lt;=Übersicht!$M$17,17,"")</f>
        <v/>
      </c>
      <c r="B21" s="41" t="str">
        <f aca="false">IFERROR(IF($A21="","",IF($A21&lt;=Übersicht!$P$13,"Allgemein",IF($A21&lt;=Übersicht!$P$14,"Maschine",IF($A21&lt;=Übersicht!$P$15,"Werkzeug","Kompakt")))),"")</f>
        <v/>
      </c>
      <c r="C21" s="41" t="str">
        <f aca="false">IFERROR(IF($A21="","",IF($A21&lt;=Übersicht!$P$13,IF(Audit_Allgemein!$C$4="","–",Audit_Allgemein!$C$4),IF($A21&lt;=Übersicht!$P$14,IF(Audit_Maschine!$C$4="","–",Audit_Maschine!$C$4),IF($A21&lt;=Übersicht!$P$15,IF(Audit_Werkzeuge!$C$4="","–",Audit_Werkzeuge!$C$4),IF(Audit_Kompakt!$C$4="","–",Audit_Kompakt!$C$4))))),"")</f>
        <v/>
      </c>
      <c r="D21" s="41" t="str">
        <f aca="false">IFERROR(IF($A21="","",IF($A21&lt;=Übersicht!$P$13,IF(INDEX(Audit_Allgemein!$A$12:$A$50,MATCH($A21,Audit_Allgemein!$K$12:$K$50,0))="","",INDEX(Audit_Allgemein!$A$12:$A$50,MATCH($A21,Audit_Allgemein!$K$12:$K$50,0))),IF($A21&lt;=Übersicht!$P$14,IF(INDEX(Audit_Maschine!$A$12:$A$24,MATCH($A21,Audit_Maschine!$K$12:$K$24,0))="","",INDEX(Audit_Maschine!$A$12:$A$24,MATCH($A21,Audit_Maschine!$K$12:$K$24,0))),IF($A21&lt;=Übersicht!$P$15,IF(INDEX(Audit_Werkzeuge!$A$12:$A$21,MATCH($A21,Audit_Werkzeuge!$K$12:$K$21,0))="","",INDEX(Audit_Werkzeuge!$A$12:$A$21,MATCH($A21,Audit_Werkzeuge!$K$12:$K$21,0))),IF(INDEX(Audit_Kompakt!$A$12:$A$35,MATCH($A21,Audit_Kompakt!$K$12:$K$35,0))="","",INDEX(Audit_Kompakt!$A$12:$A$35,MATCH($A21,Audit_Kompakt!$K$12:$K$35,0))))))),"")</f>
        <v/>
      </c>
      <c r="E21" s="42" t="str">
        <f aca="false">IFERROR(IF($A21="","",IF($A21&lt;=Übersicht!$P$13,IF(INDEX(Audit_Allgemein!$C$12:$C$50,MATCH($A21,Audit_Allgemein!$K$12:$K$50,0))="","",INDEX(Audit_Allgemein!$C$12:$C$50,MATCH($A21,Audit_Allgemein!$K$12:$K$50,0))),IF($A21&lt;=Übersicht!$P$14,IF(INDEX(Audit_Maschine!$C$12:$C$24,MATCH($A21,Audit_Maschine!$K$12:$K$24,0))="","",INDEX(Audit_Maschine!$C$12:$C$24,MATCH($A21,Audit_Maschine!$K$12:$K$24,0))),IF($A21&lt;=Übersicht!$P$15,IF(INDEX(Audit_Werkzeuge!$C$12:$C$21,MATCH($A21,Audit_Werkzeuge!$K$12:$K$21,0))="","",INDEX(Audit_Werkzeuge!$C$12:$C$21,MATCH($A21,Audit_Werkzeuge!$K$12:$K$21,0))),IF(INDEX(Audit_Kompakt!$C$12:$C$35,MATCH($A21,Audit_Kompakt!$K$12:$K$35,0))="","",INDEX(Audit_Kompakt!$C$12:$C$35,MATCH($A21,Audit_Kompakt!$K$12:$K$35,0))))))),"")</f>
        <v/>
      </c>
      <c r="F21" s="41" t="str">
        <f aca="false">IFERROR(IF($A21="","",IF($A21&lt;=Übersicht!$P$13,IF(INDEX(Audit_Allgemein!$E$12:$E$50,MATCH($A21,Audit_Allgemein!$K$12:$K$50,0))="","",INDEX(Audit_Allgemein!$E$12:$E$50,MATCH($A21,Audit_Allgemein!$K$12:$K$50,0))),IF($A21&lt;=Übersicht!$P$14,IF(INDEX(Audit_Maschine!$E$12:$E$24,MATCH($A21,Audit_Maschine!$K$12:$K$24,0))="","",INDEX(Audit_Maschine!$E$12:$E$24,MATCH($A21,Audit_Maschine!$K$12:$K$24,0))),IF($A21&lt;=Übersicht!$P$15,IF(INDEX(Audit_Werkzeuge!$E$12:$E$21,MATCH($A21,Audit_Werkzeuge!$K$12:$K$21,0))="","",INDEX(Audit_Werkzeuge!$E$12:$E$21,MATCH($A21,Audit_Werkzeuge!$K$12:$K$21,0))),IF(INDEX(Audit_Kompakt!$E$12:$E$35,MATCH($A21,Audit_Kompakt!$K$12:$K$35,0))="","",INDEX(Audit_Kompakt!$E$12:$E$35,MATCH($A21,Audit_Kompakt!$K$12:$K$35,0))))))),"")</f>
        <v/>
      </c>
      <c r="G21" s="42" t="str">
        <f aca="false">IFERROR(IF($A21="","",IF($A21&lt;=Übersicht!$P$13,IF(INDEX(Audit_Allgemein!$F$12:$F$50,MATCH($A21,Audit_Allgemein!$K$12:$K$50,0))="","",INDEX(Audit_Allgemein!$F$12:$F$50,MATCH($A21,Audit_Allgemein!$K$12:$K$50,0))),IF($A21&lt;=Übersicht!$P$14,IF(INDEX(Audit_Maschine!$F$12:$F$24,MATCH($A21,Audit_Maschine!$K$12:$K$24,0))="","",INDEX(Audit_Maschine!$F$12:$F$24,MATCH($A21,Audit_Maschine!$K$12:$K$24,0))),IF($A21&lt;=Übersicht!$P$15,IF(INDEX(Audit_Werkzeuge!$F$12:$F$21,MATCH($A21,Audit_Werkzeuge!$K$12:$K$21,0))="","",INDEX(Audit_Werkzeuge!$F$12:$F$21,MATCH($A21,Audit_Werkzeuge!$K$12:$K$21,0))),IF(INDEX(Audit_Kompakt!$F$12:$F$35,MATCH($A21,Audit_Kompakt!$K$12:$K$35,0))="","",INDEX(Audit_Kompakt!$F$12:$F$35,MATCH($A21,Audit_Kompakt!$K$12:$K$35,0))))))),"")</f>
        <v/>
      </c>
      <c r="H21" s="41" t="str">
        <f aca="false">IFERROR(IF($A21="","",IF($A21&lt;=Übersicht!$P$13,IF(INDEX(Audit_Allgemein!$G$12:$G$50,MATCH($A21,Audit_Allgemein!$K$12:$K$50,0))="","",INDEX(Audit_Allgemein!$G$12:$G$50,MATCH($A21,Audit_Allgemein!$K$12:$K$50,0))),IF($A21&lt;=Übersicht!$P$14,IF(INDEX(Audit_Maschine!$G$12:$G$24,MATCH($A21,Audit_Maschine!$K$12:$K$24,0))="","",INDEX(Audit_Maschine!$G$12:$G$24,MATCH($A21,Audit_Maschine!$K$12:$K$24,0))),IF($A21&lt;=Übersicht!$P$15,IF(INDEX(Audit_Werkzeuge!$G$12:$G$21,MATCH($A21,Audit_Werkzeuge!$K$12:$K$21,0))="","",INDEX(Audit_Werkzeuge!$G$12:$G$21,MATCH($A21,Audit_Werkzeuge!$K$12:$K$21,0))),IF(INDEX(Audit_Kompakt!$G$12:$G$35,MATCH($A21,Audit_Kompakt!$K$12:$K$35,0))="","",INDEX(Audit_Kompakt!$G$12:$G$35,MATCH($A21,Audit_Kompakt!$K$12:$K$35,0))))))),"")</f>
        <v/>
      </c>
      <c r="I21" s="43" t="str">
        <f aca="false">IFERROR(IF($A21="","",IF($A21&lt;=Übersicht!$P$13,IF(INDEX(Audit_Allgemein!$H$12:$H$50,MATCH($A21,Audit_Allgemein!$K$12:$K$50,0))="","",INDEX(Audit_Allgemein!$H$12:$H$50,MATCH($A21,Audit_Allgemein!$K$12:$K$50,0))),IF($A21&lt;=Übersicht!$P$14,IF(INDEX(Audit_Maschine!$H$12:$H$24,MATCH($A21,Audit_Maschine!$K$12:$K$24,0))="","",INDEX(Audit_Maschine!$H$12:$H$24,MATCH($A21,Audit_Maschine!$K$12:$K$24,0))),IF($A21&lt;=Übersicht!$P$15,IF(INDEX(Audit_Werkzeuge!$H$12:$H$21,MATCH($A21,Audit_Werkzeuge!$K$12:$K$21,0))="","",INDEX(Audit_Werkzeuge!$H$12:$H$21,MATCH($A21,Audit_Werkzeuge!$K$12:$K$21,0))),IF(INDEX(Audit_Kompakt!$H$12:$H$35,MATCH($A21,Audit_Kompakt!$K$12:$K$35,0))="","",INDEX(Audit_Kompakt!$H$12:$H$35,MATCH($A21,Audit_Kompakt!$K$12:$K$35,0))))))),"")</f>
        <v/>
      </c>
      <c r="J21" s="41" t="str">
        <f aca="false">IFERROR(IF($A21="","",IF($A21&lt;=Übersicht!$P$13,IF(INDEX(Audit_Allgemein!$J$12:$J$50,MATCH($A21,Audit_Allgemein!$K$12:$K$50,0))="","",INDEX(Audit_Allgemein!$J$12:$J$50,MATCH($A21,Audit_Allgemein!$K$12:$K$50,0))),IF($A21&lt;=Übersicht!$P$14,IF(INDEX(Audit_Maschine!$J$12:$J$24,MATCH($A21,Audit_Maschine!$K$12:$K$24,0))="","",INDEX(Audit_Maschine!$J$12:$J$24,MATCH($A21,Audit_Maschine!$K$12:$K$24,0))),IF($A21&lt;=Übersicht!$P$15,IF(INDEX(Audit_Werkzeuge!$J$12:$J$21,MATCH($A21,Audit_Werkzeuge!$K$12:$K$21,0))="","",INDEX(Audit_Werkzeuge!$J$12:$J$21,MATCH($A21,Audit_Werkzeuge!$K$12:$K$21,0))),IF(INDEX(Audit_Kompakt!$J$12:$J$35,MATCH($A21,Audit_Kompakt!$K$12:$K$35,0))="","",INDEX(Audit_Kompakt!$J$12:$J$35,MATCH($A21,Audit_Kompakt!$K$12:$K$35,0))))))),"")</f>
        <v/>
      </c>
    </row>
    <row r="22" customFormat="false" ht="15" hidden="false" customHeight="false" outlineLevel="0" collapsed="false">
      <c r="A22" s="41" t="str">
        <f aca="false">IF(18&lt;=Übersicht!$M$17,18,"")</f>
        <v/>
      </c>
      <c r="B22" s="41" t="str">
        <f aca="false">IFERROR(IF($A22="","",IF($A22&lt;=Übersicht!$P$13,"Allgemein",IF($A22&lt;=Übersicht!$P$14,"Maschine",IF($A22&lt;=Übersicht!$P$15,"Werkzeug","Kompakt")))),"")</f>
        <v/>
      </c>
      <c r="C22" s="41" t="str">
        <f aca="false">IFERROR(IF($A22="","",IF($A22&lt;=Übersicht!$P$13,IF(Audit_Allgemein!$C$4="","–",Audit_Allgemein!$C$4),IF($A22&lt;=Übersicht!$P$14,IF(Audit_Maschine!$C$4="","–",Audit_Maschine!$C$4),IF($A22&lt;=Übersicht!$P$15,IF(Audit_Werkzeuge!$C$4="","–",Audit_Werkzeuge!$C$4),IF(Audit_Kompakt!$C$4="","–",Audit_Kompakt!$C$4))))),"")</f>
        <v/>
      </c>
      <c r="D22" s="41" t="str">
        <f aca="false">IFERROR(IF($A22="","",IF($A22&lt;=Übersicht!$P$13,IF(INDEX(Audit_Allgemein!$A$12:$A$50,MATCH($A22,Audit_Allgemein!$K$12:$K$50,0))="","",INDEX(Audit_Allgemein!$A$12:$A$50,MATCH($A22,Audit_Allgemein!$K$12:$K$50,0))),IF($A22&lt;=Übersicht!$P$14,IF(INDEX(Audit_Maschine!$A$12:$A$24,MATCH($A22,Audit_Maschine!$K$12:$K$24,0))="","",INDEX(Audit_Maschine!$A$12:$A$24,MATCH($A22,Audit_Maschine!$K$12:$K$24,0))),IF($A22&lt;=Übersicht!$P$15,IF(INDEX(Audit_Werkzeuge!$A$12:$A$21,MATCH($A22,Audit_Werkzeuge!$K$12:$K$21,0))="","",INDEX(Audit_Werkzeuge!$A$12:$A$21,MATCH($A22,Audit_Werkzeuge!$K$12:$K$21,0))),IF(INDEX(Audit_Kompakt!$A$12:$A$35,MATCH($A22,Audit_Kompakt!$K$12:$K$35,0))="","",INDEX(Audit_Kompakt!$A$12:$A$35,MATCH($A22,Audit_Kompakt!$K$12:$K$35,0))))))),"")</f>
        <v/>
      </c>
      <c r="E22" s="42" t="str">
        <f aca="false">IFERROR(IF($A22="","",IF($A22&lt;=Übersicht!$P$13,IF(INDEX(Audit_Allgemein!$C$12:$C$50,MATCH($A22,Audit_Allgemein!$K$12:$K$50,0))="","",INDEX(Audit_Allgemein!$C$12:$C$50,MATCH($A22,Audit_Allgemein!$K$12:$K$50,0))),IF($A22&lt;=Übersicht!$P$14,IF(INDEX(Audit_Maschine!$C$12:$C$24,MATCH($A22,Audit_Maschine!$K$12:$K$24,0))="","",INDEX(Audit_Maschine!$C$12:$C$24,MATCH($A22,Audit_Maschine!$K$12:$K$24,0))),IF($A22&lt;=Übersicht!$P$15,IF(INDEX(Audit_Werkzeuge!$C$12:$C$21,MATCH($A22,Audit_Werkzeuge!$K$12:$K$21,0))="","",INDEX(Audit_Werkzeuge!$C$12:$C$21,MATCH($A22,Audit_Werkzeuge!$K$12:$K$21,0))),IF(INDEX(Audit_Kompakt!$C$12:$C$35,MATCH($A22,Audit_Kompakt!$K$12:$K$35,0))="","",INDEX(Audit_Kompakt!$C$12:$C$35,MATCH($A22,Audit_Kompakt!$K$12:$K$35,0))))))),"")</f>
        <v/>
      </c>
      <c r="F22" s="41" t="str">
        <f aca="false">IFERROR(IF($A22="","",IF($A22&lt;=Übersicht!$P$13,IF(INDEX(Audit_Allgemein!$E$12:$E$50,MATCH($A22,Audit_Allgemein!$K$12:$K$50,0))="","",INDEX(Audit_Allgemein!$E$12:$E$50,MATCH($A22,Audit_Allgemein!$K$12:$K$50,0))),IF($A22&lt;=Übersicht!$P$14,IF(INDEX(Audit_Maschine!$E$12:$E$24,MATCH($A22,Audit_Maschine!$K$12:$K$24,0))="","",INDEX(Audit_Maschine!$E$12:$E$24,MATCH($A22,Audit_Maschine!$K$12:$K$24,0))),IF($A22&lt;=Übersicht!$P$15,IF(INDEX(Audit_Werkzeuge!$E$12:$E$21,MATCH($A22,Audit_Werkzeuge!$K$12:$K$21,0))="","",INDEX(Audit_Werkzeuge!$E$12:$E$21,MATCH($A22,Audit_Werkzeuge!$K$12:$K$21,0))),IF(INDEX(Audit_Kompakt!$E$12:$E$35,MATCH($A22,Audit_Kompakt!$K$12:$K$35,0))="","",INDEX(Audit_Kompakt!$E$12:$E$35,MATCH($A22,Audit_Kompakt!$K$12:$K$35,0))))))),"")</f>
        <v/>
      </c>
      <c r="G22" s="42" t="str">
        <f aca="false">IFERROR(IF($A22="","",IF($A22&lt;=Übersicht!$P$13,IF(INDEX(Audit_Allgemein!$F$12:$F$50,MATCH($A22,Audit_Allgemein!$K$12:$K$50,0))="","",INDEX(Audit_Allgemein!$F$12:$F$50,MATCH($A22,Audit_Allgemein!$K$12:$K$50,0))),IF($A22&lt;=Übersicht!$P$14,IF(INDEX(Audit_Maschine!$F$12:$F$24,MATCH($A22,Audit_Maschine!$K$12:$K$24,0))="","",INDEX(Audit_Maschine!$F$12:$F$24,MATCH($A22,Audit_Maschine!$K$12:$K$24,0))),IF($A22&lt;=Übersicht!$P$15,IF(INDEX(Audit_Werkzeuge!$F$12:$F$21,MATCH($A22,Audit_Werkzeuge!$K$12:$K$21,0))="","",INDEX(Audit_Werkzeuge!$F$12:$F$21,MATCH($A22,Audit_Werkzeuge!$K$12:$K$21,0))),IF(INDEX(Audit_Kompakt!$F$12:$F$35,MATCH($A22,Audit_Kompakt!$K$12:$K$35,0))="","",INDEX(Audit_Kompakt!$F$12:$F$35,MATCH($A22,Audit_Kompakt!$K$12:$K$35,0))))))),"")</f>
        <v/>
      </c>
      <c r="H22" s="41" t="str">
        <f aca="false">IFERROR(IF($A22="","",IF($A22&lt;=Übersicht!$P$13,IF(INDEX(Audit_Allgemein!$G$12:$G$50,MATCH($A22,Audit_Allgemein!$K$12:$K$50,0))="","",INDEX(Audit_Allgemein!$G$12:$G$50,MATCH($A22,Audit_Allgemein!$K$12:$K$50,0))),IF($A22&lt;=Übersicht!$P$14,IF(INDEX(Audit_Maschine!$G$12:$G$24,MATCH($A22,Audit_Maschine!$K$12:$K$24,0))="","",INDEX(Audit_Maschine!$G$12:$G$24,MATCH($A22,Audit_Maschine!$K$12:$K$24,0))),IF($A22&lt;=Übersicht!$P$15,IF(INDEX(Audit_Werkzeuge!$G$12:$G$21,MATCH($A22,Audit_Werkzeuge!$K$12:$K$21,0))="","",INDEX(Audit_Werkzeuge!$G$12:$G$21,MATCH($A22,Audit_Werkzeuge!$K$12:$K$21,0))),IF(INDEX(Audit_Kompakt!$G$12:$G$35,MATCH($A22,Audit_Kompakt!$K$12:$K$35,0))="","",INDEX(Audit_Kompakt!$G$12:$G$35,MATCH($A22,Audit_Kompakt!$K$12:$K$35,0))))))),"")</f>
        <v/>
      </c>
      <c r="I22" s="43" t="str">
        <f aca="false">IFERROR(IF($A22="","",IF($A22&lt;=Übersicht!$P$13,IF(INDEX(Audit_Allgemein!$H$12:$H$50,MATCH($A22,Audit_Allgemein!$K$12:$K$50,0))="","",INDEX(Audit_Allgemein!$H$12:$H$50,MATCH($A22,Audit_Allgemein!$K$12:$K$50,0))),IF($A22&lt;=Übersicht!$P$14,IF(INDEX(Audit_Maschine!$H$12:$H$24,MATCH($A22,Audit_Maschine!$K$12:$K$24,0))="","",INDEX(Audit_Maschine!$H$12:$H$24,MATCH($A22,Audit_Maschine!$K$12:$K$24,0))),IF($A22&lt;=Übersicht!$P$15,IF(INDEX(Audit_Werkzeuge!$H$12:$H$21,MATCH($A22,Audit_Werkzeuge!$K$12:$K$21,0))="","",INDEX(Audit_Werkzeuge!$H$12:$H$21,MATCH($A22,Audit_Werkzeuge!$K$12:$K$21,0))),IF(INDEX(Audit_Kompakt!$H$12:$H$35,MATCH($A22,Audit_Kompakt!$K$12:$K$35,0))="","",INDEX(Audit_Kompakt!$H$12:$H$35,MATCH($A22,Audit_Kompakt!$K$12:$K$35,0))))))),"")</f>
        <v/>
      </c>
      <c r="J22" s="41" t="str">
        <f aca="false">IFERROR(IF($A22="","",IF($A22&lt;=Übersicht!$P$13,IF(INDEX(Audit_Allgemein!$J$12:$J$50,MATCH($A22,Audit_Allgemein!$K$12:$K$50,0))="","",INDEX(Audit_Allgemein!$J$12:$J$50,MATCH($A22,Audit_Allgemein!$K$12:$K$50,0))),IF($A22&lt;=Übersicht!$P$14,IF(INDEX(Audit_Maschine!$J$12:$J$24,MATCH($A22,Audit_Maschine!$K$12:$K$24,0))="","",INDEX(Audit_Maschine!$J$12:$J$24,MATCH($A22,Audit_Maschine!$K$12:$K$24,0))),IF($A22&lt;=Übersicht!$P$15,IF(INDEX(Audit_Werkzeuge!$J$12:$J$21,MATCH($A22,Audit_Werkzeuge!$K$12:$K$21,0))="","",INDEX(Audit_Werkzeuge!$J$12:$J$21,MATCH($A22,Audit_Werkzeuge!$K$12:$K$21,0))),IF(INDEX(Audit_Kompakt!$J$12:$J$35,MATCH($A22,Audit_Kompakt!$K$12:$K$35,0))="","",INDEX(Audit_Kompakt!$J$12:$J$35,MATCH($A22,Audit_Kompakt!$K$12:$K$35,0))))))),"")</f>
        <v/>
      </c>
    </row>
    <row r="23" customFormat="false" ht="15" hidden="false" customHeight="false" outlineLevel="0" collapsed="false">
      <c r="A23" s="41" t="str">
        <f aca="false">IF(19&lt;=Übersicht!$M$17,19,"")</f>
        <v/>
      </c>
      <c r="B23" s="41" t="str">
        <f aca="false">IFERROR(IF($A23="","",IF($A23&lt;=Übersicht!$P$13,"Allgemein",IF($A23&lt;=Übersicht!$P$14,"Maschine",IF($A23&lt;=Übersicht!$P$15,"Werkzeug","Kompakt")))),"")</f>
        <v/>
      </c>
      <c r="C23" s="41" t="str">
        <f aca="false">IFERROR(IF($A23="","",IF($A23&lt;=Übersicht!$P$13,IF(Audit_Allgemein!$C$4="","–",Audit_Allgemein!$C$4),IF($A23&lt;=Übersicht!$P$14,IF(Audit_Maschine!$C$4="","–",Audit_Maschine!$C$4),IF($A23&lt;=Übersicht!$P$15,IF(Audit_Werkzeuge!$C$4="","–",Audit_Werkzeuge!$C$4),IF(Audit_Kompakt!$C$4="","–",Audit_Kompakt!$C$4))))),"")</f>
        <v/>
      </c>
      <c r="D23" s="41" t="str">
        <f aca="false">IFERROR(IF($A23="","",IF($A23&lt;=Übersicht!$P$13,IF(INDEX(Audit_Allgemein!$A$12:$A$50,MATCH($A23,Audit_Allgemein!$K$12:$K$50,0))="","",INDEX(Audit_Allgemein!$A$12:$A$50,MATCH($A23,Audit_Allgemein!$K$12:$K$50,0))),IF($A23&lt;=Übersicht!$P$14,IF(INDEX(Audit_Maschine!$A$12:$A$24,MATCH($A23,Audit_Maschine!$K$12:$K$24,0))="","",INDEX(Audit_Maschine!$A$12:$A$24,MATCH($A23,Audit_Maschine!$K$12:$K$24,0))),IF($A23&lt;=Übersicht!$P$15,IF(INDEX(Audit_Werkzeuge!$A$12:$A$21,MATCH($A23,Audit_Werkzeuge!$K$12:$K$21,0))="","",INDEX(Audit_Werkzeuge!$A$12:$A$21,MATCH($A23,Audit_Werkzeuge!$K$12:$K$21,0))),IF(INDEX(Audit_Kompakt!$A$12:$A$35,MATCH($A23,Audit_Kompakt!$K$12:$K$35,0))="","",INDEX(Audit_Kompakt!$A$12:$A$35,MATCH($A23,Audit_Kompakt!$K$12:$K$35,0))))))),"")</f>
        <v/>
      </c>
      <c r="E23" s="42" t="str">
        <f aca="false">IFERROR(IF($A23="","",IF($A23&lt;=Übersicht!$P$13,IF(INDEX(Audit_Allgemein!$C$12:$C$50,MATCH($A23,Audit_Allgemein!$K$12:$K$50,0))="","",INDEX(Audit_Allgemein!$C$12:$C$50,MATCH($A23,Audit_Allgemein!$K$12:$K$50,0))),IF($A23&lt;=Übersicht!$P$14,IF(INDEX(Audit_Maschine!$C$12:$C$24,MATCH($A23,Audit_Maschine!$K$12:$K$24,0))="","",INDEX(Audit_Maschine!$C$12:$C$24,MATCH($A23,Audit_Maschine!$K$12:$K$24,0))),IF($A23&lt;=Übersicht!$P$15,IF(INDEX(Audit_Werkzeuge!$C$12:$C$21,MATCH($A23,Audit_Werkzeuge!$K$12:$K$21,0))="","",INDEX(Audit_Werkzeuge!$C$12:$C$21,MATCH($A23,Audit_Werkzeuge!$K$12:$K$21,0))),IF(INDEX(Audit_Kompakt!$C$12:$C$35,MATCH($A23,Audit_Kompakt!$K$12:$K$35,0))="","",INDEX(Audit_Kompakt!$C$12:$C$35,MATCH($A23,Audit_Kompakt!$K$12:$K$35,0))))))),"")</f>
        <v/>
      </c>
      <c r="F23" s="41" t="str">
        <f aca="false">IFERROR(IF($A23="","",IF($A23&lt;=Übersicht!$P$13,IF(INDEX(Audit_Allgemein!$E$12:$E$50,MATCH($A23,Audit_Allgemein!$K$12:$K$50,0))="","",INDEX(Audit_Allgemein!$E$12:$E$50,MATCH($A23,Audit_Allgemein!$K$12:$K$50,0))),IF($A23&lt;=Übersicht!$P$14,IF(INDEX(Audit_Maschine!$E$12:$E$24,MATCH($A23,Audit_Maschine!$K$12:$K$24,0))="","",INDEX(Audit_Maschine!$E$12:$E$24,MATCH($A23,Audit_Maschine!$K$12:$K$24,0))),IF($A23&lt;=Übersicht!$P$15,IF(INDEX(Audit_Werkzeuge!$E$12:$E$21,MATCH($A23,Audit_Werkzeuge!$K$12:$K$21,0))="","",INDEX(Audit_Werkzeuge!$E$12:$E$21,MATCH($A23,Audit_Werkzeuge!$K$12:$K$21,0))),IF(INDEX(Audit_Kompakt!$E$12:$E$35,MATCH($A23,Audit_Kompakt!$K$12:$K$35,0))="","",INDEX(Audit_Kompakt!$E$12:$E$35,MATCH($A23,Audit_Kompakt!$K$12:$K$35,0))))))),"")</f>
        <v/>
      </c>
      <c r="G23" s="42" t="str">
        <f aca="false">IFERROR(IF($A23="","",IF($A23&lt;=Übersicht!$P$13,IF(INDEX(Audit_Allgemein!$F$12:$F$50,MATCH($A23,Audit_Allgemein!$K$12:$K$50,0))="","",INDEX(Audit_Allgemein!$F$12:$F$50,MATCH($A23,Audit_Allgemein!$K$12:$K$50,0))),IF($A23&lt;=Übersicht!$P$14,IF(INDEX(Audit_Maschine!$F$12:$F$24,MATCH($A23,Audit_Maschine!$K$12:$K$24,0))="","",INDEX(Audit_Maschine!$F$12:$F$24,MATCH($A23,Audit_Maschine!$K$12:$K$24,0))),IF($A23&lt;=Übersicht!$P$15,IF(INDEX(Audit_Werkzeuge!$F$12:$F$21,MATCH($A23,Audit_Werkzeuge!$K$12:$K$21,0))="","",INDEX(Audit_Werkzeuge!$F$12:$F$21,MATCH($A23,Audit_Werkzeuge!$K$12:$K$21,0))),IF(INDEX(Audit_Kompakt!$F$12:$F$35,MATCH($A23,Audit_Kompakt!$K$12:$K$35,0))="","",INDEX(Audit_Kompakt!$F$12:$F$35,MATCH($A23,Audit_Kompakt!$K$12:$K$35,0))))))),"")</f>
        <v/>
      </c>
      <c r="H23" s="41" t="str">
        <f aca="false">IFERROR(IF($A23="","",IF($A23&lt;=Übersicht!$P$13,IF(INDEX(Audit_Allgemein!$G$12:$G$50,MATCH($A23,Audit_Allgemein!$K$12:$K$50,0))="","",INDEX(Audit_Allgemein!$G$12:$G$50,MATCH($A23,Audit_Allgemein!$K$12:$K$50,0))),IF($A23&lt;=Übersicht!$P$14,IF(INDEX(Audit_Maschine!$G$12:$G$24,MATCH($A23,Audit_Maschine!$K$12:$K$24,0))="","",INDEX(Audit_Maschine!$G$12:$G$24,MATCH($A23,Audit_Maschine!$K$12:$K$24,0))),IF($A23&lt;=Übersicht!$P$15,IF(INDEX(Audit_Werkzeuge!$G$12:$G$21,MATCH($A23,Audit_Werkzeuge!$K$12:$K$21,0))="","",INDEX(Audit_Werkzeuge!$G$12:$G$21,MATCH($A23,Audit_Werkzeuge!$K$12:$K$21,0))),IF(INDEX(Audit_Kompakt!$G$12:$G$35,MATCH($A23,Audit_Kompakt!$K$12:$K$35,0))="","",INDEX(Audit_Kompakt!$G$12:$G$35,MATCH($A23,Audit_Kompakt!$K$12:$K$35,0))))))),"")</f>
        <v/>
      </c>
      <c r="I23" s="43" t="str">
        <f aca="false">IFERROR(IF($A23="","",IF($A23&lt;=Übersicht!$P$13,IF(INDEX(Audit_Allgemein!$H$12:$H$50,MATCH($A23,Audit_Allgemein!$K$12:$K$50,0))="","",INDEX(Audit_Allgemein!$H$12:$H$50,MATCH($A23,Audit_Allgemein!$K$12:$K$50,0))),IF($A23&lt;=Übersicht!$P$14,IF(INDEX(Audit_Maschine!$H$12:$H$24,MATCH($A23,Audit_Maschine!$K$12:$K$24,0))="","",INDEX(Audit_Maschine!$H$12:$H$24,MATCH($A23,Audit_Maschine!$K$12:$K$24,0))),IF($A23&lt;=Übersicht!$P$15,IF(INDEX(Audit_Werkzeuge!$H$12:$H$21,MATCH($A23,Audit_Werkzeuge!$K$12:$K$21,0))="","",INDEX(Audit_Werkzeuge!$H$12:$H$21,MATCH($A23,Audit_Werkzeuge!$K$12:$K$21,0))),IF(INDEX(Audit_Kompakt!$H$12:$H$35,MATCH($A23,Audit_Kompakt!$K$12:$K$35,0))="","",INDEX(Audit_Kompakt!$H$12:$H$35,MATCH($A23,Audit_Kompakt!$K$12:$K$35,0))))))),"")</f>
        <v/>
      </c>
      <c r="J23" s="41" t="str">
        <f aca="false">IFERROR(IF($A23="","",IF($A23&lt;=Übersicht!$P$13,IF(INDEX(Audit_Allgemein!$J$12:$J$50,MATCH($A23,Audit_Allgemein!$K$12:$K$50,0))="","",INDEX(Audit_Allgemein!$J$12:$J$50,MATCH($A23,Audit_Allgemein!$K$12:$K$50,0))),IF($A23&lt;=Übersicht!$P$14,IF(INDEX(Audit_Maschine!$J$12:$J$24,MATCH($A23,Audit_Maschine!$K$12:$K$24,0))="","",INDEX(Audit_Maschine!$J$12:$J$24,MATCH($A23,Audit_Maschine!$K$12:$K$24,0))),IF($A23&lt;=Übersicht!$P$15,IF(INDEX(Audit_Werkzeuge!$J$12:$J$21,MATCH($A23,Audit_Werkzeuge!$K$12:$K$21,0))="","",INDEX(Audit_Werkzeuge!$J$12:$J$21,MATCH($A23,Audit_Werkzeuge!$K$12:$K$21,0))),IF(INDEX(Audit_Kompakt!$J$12:$J$35,MATCH($A23,Audit_Kompakt!$K$12:$K$35,0))="","",INDEX(Audit_Kompakt!$J$12:$J$35,MATCH($A23,Audit_Kompakt!$K$12:$K$35,0))))))),"")</f>
        <v/>
      </c>
    </row>
    <row r="24" customFormat="false" ht="15" hidden="false" customHeight="false" outlineLevel="0" collapsed="false">
      <c r="A24" s="41" t="str">
        <f aca="false">IF(20&lt;=Übersicht!$M$17,20,"")</f>
        <v/>
      </c>
      <c r="B24" s="41" t="str">
        <f aca="false">IFERROR(IF($A24="","",IF($A24&lt;=Übersicht!$P$13,"Allgemein",IF($A24&lt;=Übersicht!$P$14,"Maschine",IF($A24&lt;=Übersicht!$P$15,"Werkzeug","Kompakt")))),"")</f>
        <v/>
      </c>
      <c r="C24" s="41" t="str">
        <f aca="false">IFERROR(IF($A24="","",IF($A24&lt;=Übersicht!$P$13,IF(Audit_Allgemein!$C$4="","–",Audit_Allgemein!$C$4),IF($A24&lt;=Übersicht!$P$14,IF(Audit_Maschine!$C$4="","–",Audit_Maschine!$C$4),IF($A24&lt;=Übersicht!$P$15,IF(Audit_Werkzeuge!$C$4="","–",Audit_Werkzeuge!$C$4),IF(Audit_Kompakt!$C$4="","–",Audit_Kompakt!$C$4))))),"")</f>
        <v/>
      </c>
      <c r="D24" s="41" t="str">
        <f aca="false">IFERROR(IF($A24="","",IF($A24&lt;=Übersicht!$P$13,IF(INDEX(Audit_Allgemein!$A$12:$A$50,MATCH($A24,Audit_Allgemein!$K$12:$K$50,0))="","",INDEX(Audit_Allgemein!$A$12:$A$50,MATCH($A24,Audit_Allgemein!$K$12:$K$50,0))),IF($A24&lt;=Übersicht!$P$14,IF(INDEX(Audit_Maschine!$A$12:$A$24,MATCH($A24,Audit_Maschine!$K$12:$K$24,0))="","",INDEX(Audit_Maschine!$A$12:$A$24,MATCH($A24,Audit_Maschine!$K$12:$K$24,0))),IF($A24&lt;=Übersicht!$P$15,IF(INDEX(Audit_Werkzeuge!$A$12:$A$21,MATCH($A24,Audit_Werkzeuge!$K$12:$K$21,0))="","",INDEX(Audit_Werkzeuge!$A$12:$A$21,MATCH($A24,Audit_Werkzeuge!$K$12:$K$21,0))),IF(INDEX(Audit_Kompakt!$A$12:$A$35,MATCH($A24,Audit_Kompakt!$K$12:$K$35,0))="","",INDEX(Audit_Kompakt!$A$12:$A$35,MATCH($A24,Audit_Kompakt!$K$12:$K$35,0))))))),"")</f>
        <v/>
      </c>
      <c r="E24" s="42" t="str">
        <f aca="false">IFERROR(IF($A24="","",IF($A24&lt;=Übersicht!$P$13,IF(INDEX(Audit_Allgemein!$C$12:$C$50,MATCH($A24,Audit_Allgemein!$K$12:$K$50,0))="","",INDEX(Audit_Allgemein!$C$12:$C$50,MATCH($A24,Audit_Allgemein!$K$12:$K$50,0))),IF($A24&lt;=Übersicht!$P$14,IF(INDEX(Audit_Maschine!$C$12:$C$24,MATCH($A24,Audit_Maschine!$K$12:$K$24,0))="","",INDEX(Audit_Maschine!$C$12:$C$24,MATCH($A24,Audit_Maschine!$K$12:$K$24,0))),IF($A24&lt;=Übersicht!$P$15,IF(INDEX(Audit_Werkzeuge!$C$12:$C$21,MATCH($A24,Audit_Werkzeuge!$K$12:$K$21,0))="","",INDEX(Audit_Werkzeuge!$C$12:$C$21,MATCH($A24,Audit_Werkzeuge!$K$12:$K$21,0))),IF(INDEX(Audit_Kompakt!$C$12:$C$35,MATCH($A24,Audit_Kompakt!$K$12:$K$35,0))="","",INDEX(Audit_Kompakt!$C$12:$C$35,MATCH($A24,Audit_Kompakt!$K$12:$K$35,0))))))),"")</f>
        <v/>
      </c>
      <c r="F24" s="41" t="str">
        <f aca="false">IFERROR(IF($A24="","",IF($A24&lt;=Übersicht!$P$13,IF(INDEX(Audit_Allgemein!$E$12:$E$50,MATCH($A24,Audit_Allgemein!$K$12:$K$50,0))="","",INDEX(Audit_Allgemein!$E$12:$E$50,MATCH($A24,Audit_Allgemein!$K$12:$K$50,0))),IF($A24&lt;=Übersicht!$P$14,IF(INDEX(Audit_Maschine!$E$12:$E$24,MATCH($A24,Audit_Maschine!$K$12:$K$24,0))="","",INDEX(Audit_Maschine!$E$12:$E$24,MATCH($A24,Audit_Maschine!$K$12:$K$24,0))),IF($A24&lt;=Übersicht!$P$15,IF(INDEX(Audit_Werkzeuge!$E$12:$E$21,MATCH($A24,Audit_Werkzeuge!$K$12:$K$21,0))="","",INDEX(Audit_Werkzeuge!$E$12:$E$21,MATCH($A24,Audit_Werkzeuge!$K$12:$K$21,0))),IF(INDEX(Audit_Kompakt!$E$12:$E$35,MATCH($A24,Audit_Kompakt!$K$12:$K$35,0))="","",INDEX(Audit_Kompakt!$E$12:$E$35,MATCH($A24,Audit_Kompakt!$K$12:$K$35,0))))))),"")</f>
        <v/>
      </c>
      <c r="G24" s="42" t="str">
        <f aca="false">IFERROR(IF($A24="","",IF($A24&lt;=Übersicht!$P$13,IF(INDEX(Audit_Allgemein!$F$12:$F$50,MATCH($A24,Audit_Allgemein!$K$12:$K$50,0))="","",INDEX(Audit_Allgemein!$F$12:$F$50,MATCH($A24,Audit_Allgemein!$K$12:$K$50,0))),IF($A24&lt;=Übersicht!$P$14,IF(INDEX(Audit_Maschine!$F$12:$F$24,MATCH($A24,Audit_Maschine!$K$12:$K$24,0))="","",INDEX(Audit_Maschine!$F$12:$F$24,MATCH($A24,Audit_Maschine!$K$12:$K$24,0))),IF($A24&lt;=Übersicht!$P$15,IF(INDEX(Audit_Werkzeuge!$F$12:$F$21,MATCH($A24,Audit_Werkzeuge!$K$12:$K$21,0))="","",INDEX(Audit_Werkzeuge!$F$12:$F$21,MATCH($A24,Audit_Werkzeuge!$K$12:$K$21,0))),IF(INDEX(Audit_Kompakt!$F$12:$F$35,MATCH($A24,Audit_Kompakt!$K$12:$K$35,0))="","",INDEX(Audit_Kompakt!$F$12:$F$35,MATCH($A24,Audit_Kompakt!$K$12:$K$35,0))))))),"")</f>
        <v/>
      </c>
      <c r="H24" s="41" t="str">
        <f aca="false">IFERROR(IF($A24="","",IF($A24&lt;=Übersicht!$P$13,IF(INDEX(Audit_Allgemein!$G$12:$G$50,MATCH($A24,Audit_Allgemein!$K$12:$K$50,0))="","",INDEX(Audit_Allgemein!$G$12:$G$50,MATCH($A24,Audit_Allgemein!$K$12:$K$50,0))),IF($A24&lt;=Übersicht!$P$14,IF(INDEX(Audit_Maschine!$G$12:$G$24,MATCH($A24,Audit_Maschine!$K$12:$K$24,0))="","",INDEX(Audit_Maschine!$G$12:$G$24,MATCH($A24,Audit_Maschine!$K$12:$K$24,0))),IF($A24&lt;=Übersicht!$P$15,IF(INDEX(Audit_Werkzeuge!$G$12:$G$21,MATCH($A24,Audit_Werkzeuge!$K$12:$K$21,0))="","",INDEX(Audit_Werkzeuge!$G$12:$G$21,MATCH($A24,Audit_Werkzeuge!$K$12:$K$21,0))),IF(INDEX(Audit_Kompakt!$G$12:$G$35,MATCH($A24,Audit_Kompakt!$K$12:$K$35,0))="","",INDEX(Audit_Kompakt!$G$12:$G$35,MATCH($A24,Audit_Kompakt!$K$12:$K$35,0))))))),"")</f>
        <v/>
      </c>
      <c r="I24" s="43" t="str">
        <f aca="false">IFERROR(IF($A24="","",IF($A24&lt;=Übersicht!$P$13,IF(INDEX(Audit_Allgemein!$H$12:$H$50,MATCH($A24,Audit_Allgemein!$K$12:$K$50,0))="","",INDEX(Audit_Allgemein!$H$12:$H$50,MATCH($A24,Audit_Allgemein!$K$12:$K$50,0))),IF($A24&lt;=Übersicht!$P$14,IF(INDEX(Audit_Maschine!$H$12:$H$24,MATCH($A24,Audit_Maschine!$K$12:$K$24,0))="","",INDEX(Audit_Maschine!$H$12:$H$24,MATCH($A24,Audit_Maschine!$K$12:$K$24,0))),IF($A24&lt;=Übersicht!$P$15,IF(INDEX(Audit_Werkzeuge!$H$12:$H$21,MATCH($A24,Audit_Werkzeuge!$K$12:$K$21,0))="","",INDEX(Audit_Werkzeuge!$H$12:$H$21,MATCH($A24,Audit_Werkzeuge!$K$12:$K$21,0))),IF(INDEX(Audit_Kompakt!$H$12:$H$35,MATCH($A24,Audit_Kompakt!$K$12:$K$35,0))="","",INDEX(Audit_Kompakt!$H$12:$H$35,MATCH($A24,Audit_Kompakt!$K$12:$K$35,0))))))),"")</f>
        <v/>
      </c>
      <c r="J24" s="41" t="str">
        <f aca="false">IFERROR(IF($A24="","",IF($A24&lt;=Übersicht!$P$13,IF(INDEX(Audit_Allgemein!$J$12:$J$50,MATCH($A24,Audit_Allgemein!$K$12:$K$50,0))="","",INDEX(Audit_Allgemein!$J$12:$J$50,MATCH($A24,Audit_Allgemein!$K$12:$K$50,0))),IF($A24&lt;=Übersicht!$P$14,IF(INDEX(Audit_Maschine!$J$12:$J$24,MATCH($A24,Audit_Maschine!$K$12:$K$24,0))="","",INDEX(Audit_Maschine!$J$12:$J$24,MATCH($A24,Audit_Maschine!$K$12:$K$24,0))),IF($A24&lt;=Übersicht!$P$15,IF(INDEX(Audit_Werkzeuge!$J$12:$J$21,MATCH($A24,Audit_Werkzeuge!$K$12:$K$21,0))="","",INDEX(Audit_Werkzeuge!$J$12:$J$21,MATCH($A24,Audit_Werkzeuge!$K$12:$K$21,0))),IF(INDEX(Audit_Kompakt!$J$12:$J$35,MATCH($A24,Audit_Kompakt!$K$12:$K$35,0))="","",INDEX(Audit_Kompakt!$J$12:$J$35,MATCH($A24,Audit_Kompakt!$K$12:$K$35,0))))))),"")</f>
        <v/>
      </c>
    </row>
    <row r="25" customFormat="false" ht="15" hidden="false" customHeight="false" outlineLevel="0" collapsed="false">
      <c r="A25" s="41" t="str">
        <f aca="false">IF(21&lt;=Übersicht!$M$17,21,"")</f>
        <v/>
      </c>
      <c r="B25" s="41" t="str">
        <f aca="false">IFERROR(IF($A25="","",IF($A25&lt;=Übersicht!$P$13,"Allgemein",IF($A25&lt;=Übersicht!$P$14,"Maschine",IF($A25&lt;=Übersicht!$P$15,"Werkzeug","Kompakt")))),"")</f>
        <v/>
      </c>
      <c r="C25" s="41" t="str">
        <f aca="false">IFERROR(IF($A25="","",IF($A25&lt;=Übersicht!$P$13,IF(Audit_Allgemein!$C$4="","–",Audit_Allgemein!$C$4),IF($A25&lt;=Übersicht!$P$14,IF(Audit_Maschine!$C$4="","–",Audit_Maschine!$C$4),IF($A25&lt;=Übersicht!$P$15,IF(Audit_Werkzeuge!$C$4="","–",Audit_Werkzeuge!$C$4),IF(Audit_Kompakt!$C$4="","–",Audit_Kompakt!$C$4))))),"")</f>
        <v/>
      </c>
      <c r="D25" s="41" t="str">
        <f aca="false">IFERROR(IF($A25="","",IF($A25&lt;=Übersicht!$P$13,IF(INDEX(Audit_Allgemein!$A$12:$A$50,MATCH($A25,Audit_Allgemein!$K$12:$K$50,0))="","",INDEX(Audit_Allgemein!$A$12:$A$50,MATCH($A25,Audit_Allgemein!$K$12:$K$50,0))),IF($A25&lt;=Übersicht!$P$14,IF(INDEX(Audit_Maschine!$A$12:$A$24,MATCH($A25,Audit_Maschine!$K$12:$K$24,0))="","",INDEX(Audit_Maschine!$A$12:$A$24,MATCH($A25,Audit_Maschine!$K$12:$K$24,0))),IF($A25&lt;=Übersicht!$P$15,IF(INDEX(Audit_Werkzeuge!$A$12:$A$21,MATCH($A25,Audit_Werkzeuge!$K$12:$K$21,0))="","",INDEX(Audit_Werkzeuge!$A$12:$A$21,MATCH($A25,Audit_Werkzeuge!$K$12:$K$21,0))),IF(INDEX(Audit_Kompakt!$A$12:$A$35,MATCH($A25,Audit_Kompakt!$K$12:$K$35,0))="","",INDEX(Audit_Kompakt!$A$12:$A$35,MATCH($A25,Audit_Kompakt!$K$12:$K$35,0))))))),"")</f>
        <v/>
      </c>
      <c r="E25" s="42" t="str">
        <f aca="false">IFERROR(IF($A25="","",IF($A25&lt;=Übersicht!$P$13,IF(INDEX(Audit_Allgemein!$C$12:$C$50,MATCH($A25,Audit_Allgemein!$K$12:$K$50,0))="","",INDEX(Audit_Allgemein!$C$12:$C$50,MATCH($A25,Audit_Allgemein!$K$12:$K$50,0))),IF($A25&lt;=Übersicht!$P$14,IF(INDEX(Audit_Maschine!$C$12:$C$24,MATCH($A25,Audit_Maschine!$K$12:$K$24,0))="","",INDEX(Audit_Maschine!$C$12:$C$24,MATCH($A25,Audit_Maschine!$K$12:$K$24,0))),IF($A25&lt;=Übersicht!$P$15,IF(INDEX(Audit_Werkzeuge!$C$12:$C$21,MATCH($A25,Audit_Werkzeuge!$K$12:$K$21,0))="","",INDEX(Audit_Werkzeuge!$C$12:$C$21,MATCH($A25,Audit_Werkzeuge!$K$12:$K$21,0))),IF(INDEX(Audit_Kompakt!$C$12:$C$35,MATCH($A25,Audit_Kompakt!$K$12:$K$35,0))="","",INDEX(Audit_Kompakt!$C$12:$C$35,MATCH($A25,Audit_Kompakt!$K$12:$K$35,0))))))),"")</f>
        <v/>
      </c>
      <c r="F25" s="41" t="str">
        <f aca="false">IFERROR(IF($A25="","",IF($A25&lt;=Übersicht!$P$13,IF(INDEX(Audit_Allgemein!$E$12:$E$50,MATCH($A25,Audit_Allgemein!$K$12:$K$50,0))="","",INDEX(Audit_Allgemein!$E$12:$E$50,MATCH($A25,Audit_Allgemein!$K$12:$K$50,0))),IF($A25&lt;=Übersicht!$P$14,IF(INDEX(Audit_Maschine!$E$12:$E$24,MATCH($A25,Audit_Maschine!$K$12:$K$24,0))="","",INDEX(Audit_Maschine!$E$12:$E$24,MATCH($A25,Audit_Maschine!$K$12:$K$24,0))),IF($A25&lt;=Übersicht!$P$15,IF(INDEX(Audit_Werkzeuge!$E$12:$E$21,MATCH($A25,Audit_Werkzeuge!$K$12:$K$21,0))="","",INDEX(Audit_Werkzeuge!$E$12:$E$21,MATCH($A25,Audit_Werkzeuge!$K$12:$K$21,0))),IF(INDEX(Audit_Kompakt!$E$12:$E$35,MATCH($A25,Audit_Kompakt!$K$12:$K$35,0))="","",INDEX(Audit_Kompakt!$E$12:$E$35,MATCH($A25,Audit_Kompakt!$K$12:$K$35,0))))))),"")</f>
        <v/>
      </c>
      <c r="G25" s="42" t="str">
        <f aca="false">IFERROR(IF($A25="","",IF($A25&lt;=Übersicht!$P$13,IF(INDEX(Audit_Allgemein!$F$12:$F$50,MATCH($A25,Audit_Allgemein!$K$12:$K$50,0))="","",INDEX(Audit_Allgemein!$F$12:$F$50,MATCH($A25,Audit_Allgemein!$K$12:$K$50,0))),IF($A25&lt;=Übersicht!$P$14,IF(INDEX(Audit_Maschine!$F$12:$F$24,MATCH($A25,Audit_Maschine!$K$12:$K$24,0))="","",INDEX(Audit_Maschine!$F$12:$F$24,MATCH($A25,Audit_Maschine!$K$12:$K$24,0))),IF($A25&lt;=Übersicht!$P$15,IF(INDEX(Audit_Werkzeuge!$F$12:$F$21,MATCH($A25,Audit_Werkzeuge!$K$12:$K$21,0))="","",INDEX(Audit_Werkzeuge!$F$12:$F$21,MATCH($A25,Audit_Werkzeuge!$K$12:$K$21,0))),IF(INDEX(Audit_Kompakt!$F$12:$F$35,MATCH($A25,Audit_Kompakt!$K$12:$K$35,0))="","",INDEX(Audit_Kompakt!$F$12:$F$35,MATCH($A25,Audit_Kompakt!$K$12:$K$35,0))))))),"")</f>
        <v/>
      </c>
      <c r="H25" s="41" t="str">
        <f aca="false">IFERROR(IF($A25="","",IF($A25&lt;=Übersicht!$P$13,IF(INDEX(Audit_Allgemein!$G$12:$G$50,MATCH($A25,Audit_Allgemein!$K$12:$K$50,0))="","",INDEX(Audit_Allgemein!$G$12:$G$50,MATCH($A25,Audit_Allgemein!$K$12:$K$50,0))),IF($A25&lt;=Übersicht!$P$14,IF(INDEX(Audit_Maschine!$G$12:$G$24,MATCH($A25,Audit_Maschine!$K$12:$K$24,0))="","",INDEX(Audit_Maschine!$G$12:$G$24,MATCH($A25,Audit_Maschine!$K$12:$K$24,0))),IF($A25&lt;=Übersicht!$P$15,IF(INDEX(Audit_Werkzeuge!$G$12:$G$21,MATCH($A25,Audit_Werkzeuge!$K$12:$K$21,0))="","",INDEX(Audit_Werkzeuge!$G$12:$G$21,MATCH($A25,Audit_Werkzeuge!$K$12:$K$21,0))),IF(INDEX(Audit_Kompakt!$G$12:$G$35,MATCH($A25,Audit_Kompakt!$K$12:$K$35,0))="","",INDEX(Audit_Kompakt!$G$12:$G$35,MATCH($A25,Audit_Kompakt!$K$12:$K$35,0))))))),"")</f>
        <v/>
      </c>
      <c r="I25" s="43" t="str">
        <f aca="false">IFERROR(IF($A25="","",IF($A25&lt;=Übersicht!$P$13,IF(INDEX(Audit_Allgemein!$H$12:$H$50,MATCH($A25,Audit_Allgemein!$K$12:$K$50,0))="","",INDEX(Audit_Allgemein!$H$12:$H$50,MATCH($A25,Audit_Allgemein!$K$12:$K$50,0))),IF($A25&lt;=Übersicht!$P$14,IF(INDEX(Audit_Maschine!$H$12:$H$24,MATCH($A25,Audit_Maschine!$K$12:$K$24,0))="","",INDEX(Audit_Maschine!$H$12:$H$24,MATCH($A25,Audit_Maschine!$K$12:$K$24,0))),IF($A25&lt;=Übersicht!$P$15,IF(INDEX(Audit_Werkzeuge!$H$12:$H$21,MATCH($A25,Audit_Werkzeuge!$K$12:$K$21,0))="","",INDEX(Audit_Werkzeuge!$H$12:$H$21,MATCH($A25,Audit_Werkzeuge!$K$12:$K$21,0))),IF(INDEX(Audit_Kompakt!$H$12:$H$35,MATCH($A25,Audit_Kompakt!$K$12:$K$35,0))="","",INDEX(Audit_Kompakt!$H$12:$H$35,MATCH($A25,Audit_Kompakt!$K$12:$K$35,0))))))),"")</f>
        <v/>
      </c>
      <c r="J25" s="41" t="str">
        <f aca="false">IFERROR(IF($A25="","",IF($A25&lt;=Übersicht!$P$13,IF(INDEX(Audit_Allgemein!$J$12:$J$50,MATCH($A25,Audit_Allgemein!$K$12:$K$50,0))="","",INDEX(Audit_Allgemein!$J$12:$J$50,MATCH($A25,Audit_Allgemein!$K$12:$K$50,0))),IF($A25&lt;=Übersicht!$P$14,IF(INDEX(Audit_Maschine!$J$12:$J$24,MATCH($A25,Audit_Maschine!$K$12:$K$24,0))="","",INDEX(Audit_Maschine!$J$12:$J$24,MATCH($A25,Audit_Maschine!$K$12:$K$24,0))),IF($A25&lt;=Übersicht!$P$15,IF(INDEX(Audit_Werkzeuge!$J$12:$J$21,MATCH($A25,Audit_Werkzeuge!$K$12:$K$21,0))="","",INDEX(Audit_Werkzeuge!$J$12:$J$21,MATCH($A25,Audit_Werkzeuge!$K$12:$K$21,0))),IF(INDEX(Audit_Kompakt!$J$12:$J$35,MATCH($A25,Audit_Kompakt!$K$12:$K$35,0))="","",INDEX(Audit_Kompakt!$J$12:$J$35,MATCH($A25,Audit_Kompakt!$K$12:$K$35,0))))))),"")</f>
        <v/>
      </c>
    </row>
    <row r="26" customFormat="false" ht="15" hidden="false" customHeight="false" outlineLevel="0" collapsed="false">
      <c r="A26" s="41" t="str">
        <f aca="false">IF(22&lt;=Übersicht!$M$17,22,"")</f>
        <v/>
      </c>
      <c r="B26" s="41" t="str">
        <f aca="false">IFERROR(IF($A26="","",IF($A26&lt;=Übersicht!$P$13,"Allgemein",IF($A26&lt;=Übersicht!$P$14,"Maschine",IF($A26&lt;=Übersicht!$P$15,"Werkzeug","Kompakt")))),"")</f>
        <v/>
      </c>
      <c r="C26" s="41" t="str">
        <f aca="false">IFERROR(IF($A26="","",IF($A26&lt;=Übersicht!$P$13,IF(Audit_Allgemein!$C$4="","–",Audit_Allgemein!$C$4),IF($A26&lt;=Übersicht!$P$14,IF(Audit_Maschine!$C$4="","–",Audit_Maschine!$C$4),IF($A26&lt;=Übersicht!$P$15,IF(Audit_Werkzeuge!$C$4="","–",Audit_Werkzeuge!$C$4),IF(Audit_Kompakt!$C$4="","–",Audit_Kompakt!$C$4))))),"")</f>
        <v/>
      </c>
      <c r="D26" s="41" t="str">
        <f aca="false">IFERROR(IF($A26="","",IF($A26&lt;=Übersicht!$P$13,IF(INDEX(Audit_Allgemein!$A$12:$A$50,MATCH($A26,Audit_Allgemein!$K$12:$K$50,0))="","",INDEX(Audit_Allgemein!$A$12:$A$50,MATCH($A26,Audit_Allgemein!$K$12:$K$50,0))),IF($A26&lt;=Übersicht!$P$14,IF(INDEX(Audit_Maschine!$A$12:$A$24,MATCH($A26,Audit_Maschine!$K$12:$K$24,0))="","",INDEX(Audit_Maschine!$A$12:$A$24,MATCH($A26,Audit_Maschine!$K$12:$K$24,0))),IF($A26&lt;=Übersicht!$P$15,IF(INDEX(Audit_Werkzeuge!$A$12:$A$21,MATCH($A26,Audit_Werkzeuge!$K$12:$K$21,0))="","",INDEX(Audit_Werkzeuge!$A$12:$A$21,MATCH($A26,Audit_Werkzeuge!$K$12:$K$21,0))),IF(INDEX(Audit_Kompakt!$A$12:$A$35,MATCH($A26,Audit_Kompakt!$K$12:$K$35,0))="","",INDEX(Audit_Kompakt!$A$12:$A$35,MATCH($A26,Audit_Kompakt!$K$12:$K$35,0))))))),"")</f>
        <v/>
      </c>
      <c r="E26" s="42" t="str">
        <f aca="false">IFERROR(IF($A26="","",IF($A26&lt;=Übersicht!$P$13,IF(INDEX(Audit_Allgemein!$C$12:$C$50,MATCH($A26,Audit_Allgemein!$K$12:$K$50,0))="","",INDEX(Audit_Allgemein!$C$12:$C$50,MATCH($A26,Audit_Allgemein!$K$12:$K$50,0))),IF($A26&lt;=Übersicht!$P$14,IF(INDEX(Audit_Maschine!$C$12:$C$24,MATCH($A26,Audit_Maschine!$K$12:$K$24,0))="","",INDEX(Audit_Maschine!$C$12:$C$24,MATCH($A26,Audit_Maschine!$K$12:$K$24,0))),IF($A26&lt;=Übersicht!$P$15,IF(INDEX(Audit_Werkzeuge!$C$12:$C$21,MATCH($A26,Audit_Werkzeuge!$K$12:$K$21,0))="","",INDEX(Audit_Werkzeuge!$C$12:$C$21,MATCH($A26,Audit_Werkzeuge!$K$12:$K$21,0))),IF(INDEX(Audit_Kompakt!$C$12:$C$35,MATCH($A26,Audit_Kompakt!$K$12:$K$35,0))="","",INDEX(Audit_Kompakt!$C$12:$C$35,MATCH($A26,Audit_Kompakt!$K$12:$K$35,0))))))),"")</f>
        <v/>
      </c>
      <c r="F26" s="41" t="str">
        <f aca="false">IFERROR(IF($A26="","",IF($A26&lt;=Übersicht!$P$13,IF(INDEX(Audit_Allgemein!$E$12:$E$50,MATCH($A26,Audit_Allgemein!$K$12:$K$50,0))="","",INDEX(Audit_Allgemein!$E$12:$E$50,MATCH($A26,Audit_Allgemein!$K$12:$K$50,0))),IF($A26&lt;=Übersicht!$P$14,IF(INDEX(Audit_Maschine!$E$12:$E$24,MATCH($A26,Audit_Maschine!$K$12:$K$24,0))="","",INDEX(Audit_Maschine!$E$12:$E$24,MATCH($A26,Audit_Maschine!$K$12:$K$24,0))),IF($A26&lt;=Übersicht!$P$15,IF(INDEX(Audit_Werkzeuge!$E$12:$E$21,MATCH($A26,Audit_Werkzeuge!$K$12:$K$21,0))="","",INDEX(Audit_Werkzeuge!$E$12:$E$21,MATCH($A26,Audit_Werkzeuge!$K$12:$K$21,0))),IF(INDEX(Audit_Kompakt!$E$12:$E$35,MATCH($A26,Audit_Kompakt!$K$12:$K$35,0))="","",INDEX(Audit_Kompakt!$E$12:$E$35,MATCH($A26,Audit_Kompakt!$K$12:$K$35,0))))))),"")</f>
        <v/>
      </c>
      <c r="G26" s="42" t="str">
        <f aca="false">IFERROR(IF($A26="","",IF($A26&lt;=Übersicht!$P$13,IF(INDEX(Audit_Allgemein!$F$12:$F$50,MATCH($A26,Audit_Allgemein!$K$12:$K$50,0))="","",INDEX(Audit_Allgemein!$F$12:$F$50,MATCH($A26,Audit_Allgemein!$K$12:$K$50,0))),IF($A26&lt;=Übersicht!$P$14,IF(INDEX(Audit_Maschine!$F$12:$F$24,MATCH($A26,Audit_Maschine!$K$12:$K$24,0))="","",INDEX(Audit_Maschine!$F$12:$F$24,MATCH($A26,Audit_Maschine!$K$12:$K$24,0))),IF($A26&lt;=Übersicht!$P$15,IF(INDEX(Audit_Werkzeuge!$F$12:$F$21,MATCH($A26,Audit_Werkzeuge!$K$12:$K$21,0))="","",INDEX(Audit_Werkzeuge!$F$12:$F$21,MATCH($A26,Audit_Werkzeuge!$K$12:$K$21,0))),IF(INDEX(Audit_Kompakt!$F$12:$F$35,MATCH($A26,Audit_Kompakt!$K$12:$K$35,0))="","",INDEX(Audit_Kompakt!$F$12:$F$35,MATCH($A26,Audit_Kompakt!$K$12:$K$35,0))))))),"")</f>
        <v/>
      </c>
      <c r="H26" s="41" t="str">
        <f aca="false">IFERROR(IF($A26="","",IF($A26&lt;=Übersicht!$P$13,IF(INDEX(Audit_Allgemein!$G$12:$G$50,MATCH($A26,Audit_Allgemein!$K$12:$K$50,0))="","",INDEX(Audit_Allgemein!$G$12:$G$50,MATCH($A26,Audit_Allgemein!$K$12:$K$50,0))),IF($A26&lt;=Übersicht!$P$14,IF(INDEX(Audit_Maschine!$G$12:$G$24,MATCH($A26,Audit_Maschine!$K$12:$K$24,0))="","",INDEX(Audit_Maschine!$G$12:$G$24,MATCH($A26,Audit_Maschine!$K$12:$K$24,0))),IF($A26&lt;=Übersicht!$P$15,IF(INDEX(Audit_Werkzeuge!$G$12:$G$21,MATCH($A26,Audit_Werkzeuge!$K$12:$K$21,0))="","",INDEX(Audit_Werkzeuge!$G$12:$G$21,MATCH($A26,Audit_Werkzeuge!$K$12:$K$21,0))),IF(INDEX(Audit_Kompakt!$G$12:$G$35,MATCH($A26,Audit_Kompakt!$K$12:$K$35,0))="","",INDEX(Audit_Kompakt!$G$12:$G$35,MATCH($A26,Audit_Kompakt!$K$12:$K$35,0))))))),"")</f>
        <v/>
      </c>
      <c r="I26" s="43" t="str">
        <f aca="false">IFERROR(IF($A26="","",IF($A26&lt;=Übersicht!$P$13,IF(INDEX(Audit_Allgemein!$H$12:$H$50,MATCH($A26,Audit_Allgemein!$K$12:$K$50,0))="","",INDEX(Audit_Allgemein!$H$12:$H$50,MATCH($A26,Audit_Allgemein!$K$12:$K$50,0))),IF($A26&lt;=Übersicht!$P$14,IF(INDEX(Audit_Maschine!$H$12:$H$24,MATCH($A26,Audit_Maschine!$K$12:$K$24,0))="","",INDEX(Audit_Maschine!$H$12:$H$24,MATCH($A26,Audit_Maschine!$K$12:$K$24,0))),IF($A26&lt;=Übersicht!$P$15,IF(INDEX(Audit_Werkzeuge!$H$12:$H$21,MATCH($A26,Audit_Werkzeuge!$K$12:$K$21,0))="","",INDEX(Audit_Werkzeuge!$H$12:$H$21,MATCH($A26,Audit_Werkzeuge!$K$12:$K$21,0))),IF(INDEX(Audit_Kompakt!$H$12:$H$35,MATCH($A26,Audit_Kompakt!$K$12:$K$35,0))="","",INDEX(Audit_Kompakt!$H$12:$H$35,MATCH($A26,Audit_Kompakt!$K$12:$K$35,0))))))),"")</f>
        <v/>
      </c>
      <c r="J26" s="41" t="str">
        <f aca="false">IFERROR(IF($A26="","",IF($A26&lt;=Übersicht!$P$13,IF(INDEX(Audit_Allgemein!$J$12:$J$50,MATCH($A26,Audit_Allgemein!$K$12:$K$50,0))="","",INDEX(Audit_Allgemein!$J$12:$J$50,MATCH($A26,Audit_Allgemein!$K$12:$K$50,0))),IF($A26&lt;=Übersicht!$P$14,IF(INDEX(Audit_Maschine!$J$12:$J$24,MATCH($A26,Audit_Maschine!$K$12:$K$24,0))="","",INDEX(Audit_Maschine!$J$12:$J$24,MATCH($A26,Audit_Maschine!$K$12:$K$24,0))),IF($A26&lt;=Übersicht!$P$15,IF(INDEX(Audit_Werkzeuge!$J$12:$J$21,MATCH($A26,Audit_Werkzeuge!$K$12:$K$21,0))="","",INDEX(Audit_Werkzeuge!$J$12:$J$21,MATCH($A26,Audit_Werkzeuge!$K$12:$K$21,0))),IF(INDEX(Audit_Kompakt!$J$12:$J$35,MATCH($A26,Audit_Kompakt!$K$12:$K$35,0))="","",INDEX(Audit_Kompakt!$J$12:$J$35,MATCH($A26,Audit_Kompakt!$K$12:$K$35,0))))))),"")</f>
        <v/>
      </c>
    </row>
    <row r="27" customFormat="false" ht="15" hidden="false" customHeight="false" outlineLevel="0" collapsed="false">
      <c r="A27" s="41" t="str">
        <f aca="false">IF(23&lt;=Übersicht!$M$17,23,"")</f>
        <v/>
      </c>
      <c r="B27" s="41" t="str">
        <f aca="false">IFERROR(IF($A27="","",IF($A27&lt;=Übersicht!$P$13,"Allgemein",IF($A27&lt;=Übersicht!$P$14,"Maschine",IF($A27&lt;=Übersicht!$P$15,"Werkzeug","Kompakt")))),"")</f>
        <v/>
      </c>
      <c r="C27" s="41" t="str">
        <f aca="false">IFERROR(IF($A27="","",IF($A27&lt;=Übersicht!$P$13,IF(Audit_Allgemein!$C$4="","–",Audit_Allgemein!$C$4),IF($A27&lt;=Übersicht!$P$14,IF(Audit_Maschine!$C$4="","–",Audit_Maschine!$C$4),IF($A27&lt;=Übersicht!$P$15,IF(Audit_Werkzeuge!$C$4="","–",Audit_Werkzeuge!$C$4),IF(Audit_Kompakt!$C$4="","–",Audit_Kompakt!$C$4))))),"")</f>
        <v/>
      </c>
      <c r="D27" s="41" t="str">
        <f aca="false">IFERROR(IF($A27="","",IF($A27&lt;=Übersicht!$P$13,IF(INDEX(Audit_Allgemein!$A$12:$A$50,MATCH($A27,Audit_Allgemein!$K$12:$K$50,0))="","",INDEX(Audit_Allgemein!$A$12:$A$50,MATCH($A27,Audit_Allgemein!$K$12:$K$50,0))),IF($A27&lt;=Übersicht!$P$14,IF(INDEX(Audit_Maschine!$A$12:$A$24,MATCH($A27,Audit_Maschine!$K$12:$K$24,0))="","",INDEX(Audit_Maschine!$A$12:$A$24,MATCH($A27,Audit_Maschine!$K$12:$K$24,0))),IF($A27&lt;=Übersicht!$P$15,IF(INDEX(Audit_Werkzeuge!$A$12:$A$21,MATCH($A27,Audit_Werkzeuge!$K$12:$K$21,0))="","",INDEX(Audit_Werkzeuge!$A$12:$A$21,MATCH($A27,Audit_Werkzeuge!$K$12:$K$21,0))),IF(INDEX(Audit_Kompakt!$A$12:$A$35,MATCH($A27,Audit_Kompakt!$K$12:$K$35,0))="","",INDEX(Audit_Kompakt!$A$12:$A$35,MATCH($A27,Audit_Kompakt!$K$12:$K$35,0))))))),"")</f>
        <v/>
      </c>
      <c r="E27" s="42" t="str">
        <f aca="false">IFERROR(IF($A27="","",IF($A27&lt;=Übersicht!$P$13,IF(INDEX(Audit_Allgemein!$C$12:$C$50,MATCH($A27,Audit_Allgemein!$K$12:$K$50,0))="","",INDEX(Audit_Allgemein!$C$12:$C$50,MATCH($A27,Audit_Allgemein!$K$12:$K$50,0))),IF($A27&lt;=Übersicht!$P$14,IF(INDEX(Audit_Maschine!$C$12:$C$24,MATCH($A27,Audit_Maschine!$K$12:$K$24,0))="","",INDEX(Audit_Maschine!$C$12:$C$24,MATCH($A27,Audit_Maschine!$K$12:$K$24,0))),IF($A27&lt;=Übersicht!$P$15,IF(INDEX(Audit_Werkzeuge!$C$12:$C$21,MATCH($A27,Audit_Werkzeuge!$K$12:$K$21,0))="","",INDEX(Audit_Werkzeuge!$C$12:$C$21,MATCH($A27,Audit_Werkzeuge!$K$12:$K$21,0))),IF(INDEX(Audit_Kompakt!$C$12:$C$35,MATCH($A27,Audit_Kompakt!$K$12:$K$35,0))="","",INDEX(Audit_Kompakt!$C$12:$C$35,MATCH($A27,Audit_Kompakt!$K$12:$K$35,0))))))),"")</f>
        <v/>
      </c>
      <c r="F27" s="41" t="str">
        <f aca="false">IFERROR(IF($A27="","",IF($A27&lt;=Übersicht!$P$13,IF(INDEX(Audit_Allgemein!$E$12:$E$50,MATCH($A27,Audit_Allgemein!$K$12:$K$50,0))="","",INDEX(Audit_Allgemein!$E$12:$E$50,MATCH($A27,Audit_Allgemein!$K$12:$K$50,0))),IF($A27&lt;=Übersicht!$P$14,IF(INDEX(Audit_Maschine!$E$12:$E$24,MATCH($A27,Audit_Maschine!$K$12:$K$24,0))="","",INDEX(Audit_Maschine!$E$12:$E$24,MATCH($A27,Audit_Maschine!$K$12:$K$24,0))),IF($A27&lt;=Übersicht!$P$15,IF(INDEX(Audit_Werkzeuge!$E$12:$E$21,MATCH($A27,Audit_Werkzeuge!$K$12:$K$21,0))="","",INDEX(Audit_Werkzeuge!$E$12:$E$21,MATCH($A27,Audit_Werkzeuge!$K$12:$K$21,0))),IF(INDEX(Audit_Kompakt!$E$12:$E$35,MATCH($A27,Audit_Kompakt!$K$12:$K$35,0))="","",INDEX(Audit_Kompakt!$E$12:$E$35,MATCH($A27,Audit_Kompakt!$K$12:$K$35,0))))))),"")</f>
        <v/>
      </c>
      <c r="G27" s="42" t="str">
        <f aca="false">IFERROR(IF($A27="","",IF($A27&lt;=Übersicht!$P$13,IF(INDEX(Audit_Allgemein!$F$12:$F$50,MATCH($A27,Audit_Allgemein!$K$12:$K$50,0))="","",INDEX(Audit_Allgemein!$F$12:$F$50,MATCH($A27,Audit_Allgemein!$K$12:$K$50,0))),IF($A27&lt;=Übersicht!$P$14,IF(INDEX(Audit_Maschine!$F$12:$F$24,MATCH($A27,Audit_Maschine!$K$12:$K$24,0))="","",INDEX(Audit_Maschine!$F$12:$F$24,MATCH($A27,Audit_Maschine!$K$12:$K$24,0))),IF($A27&lt;=Übersicht!$P$15,IF(INDEX(Audit_Werkzeuge!$F$12:$F$21,MATCH($A27,Audit_Werkzeuge!$K$12:$K$21,0))="","",INDEX(Audit_Werkzeuge!$F$12:$F$21,MATCH($A27,Audit_Werkzeuge!$K$12:$K$21,0))),IF(INDEX(Audit_Kompakt!$F$12:$F$35,MATCH($A27,Audit_Kompakt!$K$12:$K$35,0))="","",INDEX(Audit_Kompakt!$F$12:$F$35,MATCH($A27,Audit_Kompakt!$K$12:$K$35,0))))))),"")</f>
        <v/>
      </c>
      <c r="H27" s="41" t="str">
        <f aca="false">IFERROR(IF($A27="","",IF($A27&lt;=Übersicht!$P$13,IF(INDEX(Audit_Allgemein!$G$12:$G$50,MATCH($A27,Audit_Allgemein!$K$12:$K$50,0))="","",INDEX(Audit_Allgemein!$G$12:$G$50,MATCH($A27,Audit_Allgemein!$K$12:$K$50,0))),IF($A27&lt;=Übersicht!$P$14,IF(INDEX(Audit_Maschine!$G$12:$G$24,MATCH($A27,Audit_Maschine!$K$12:$K$24,0))="","",INDEX(Audit_Maschine!$G$12:$G$24,MATCH($A27,Audit_Maschine!$K$12:$K$24,0))),IF($A27&lt;=Übersicht!$P$15,IF(INDEX(Audit_Werkzeuge!$G$12:$G$21,MATCH($A27,Audit_Werkzeuge!$K$12:$K$21,0))="","",INDEX(Audit_Werkzeuge!$G$12:$G$21,MATCH($A27,Audit_Werkzeuge!$K$12:$K$21,0))),IF(INDEX(Audit_Kompakt!$G$12:$G$35,MATCH($A27,Audit_Kompakt!$K$12:$K$35,0))="","",INDEX(Audit_Kompakt!$G$12:$G$35,MATCH($A27,Audit_Kompakt!$K$12:$K$35,0))))))),"")</f>
        <v/>
      </c>
      <c r="I27" s="43" t="str">
        <f aca="false">IFERROR(IF($A27="","",IF($A27&lt;=Übersicht!$P$13,IF(INDEX(Audit_Allgemein!$H$12:$H$50,MATCH($A27,Audit_Allgemein!$K$12:$K$50,0))="","",INDEX(Audit_Allgemein!$H$12:$H$50,MATCH($A27,Audit_Allgemein!$K$12:$K$50,0))),IF($A27&lt;=Übersicht!$P$14,IF(INDEX(Audit_Maschine!$H$12:$H$24,MATCH($A27,Audit_Maschine!$K$12:$K$24,0))="","",INDEX(Audit_Maschine!$H$12:$H$24,MATCH($A27,Audit_Maschine!$K$12:$K$24,0))),IF($A27&lt;=Übersicht!$P$15,IF(INDEX(Audit_Werkzeuge!$H$12:$H$21,MATCH($A27,Audit_Werkzeuge!$K$12:$K$21,0))="","",INDEX(Audit_Werkzeuge!$H$12:$H$21,MATCH($A27,Audit_Werkzeuge!$K$12:$K$21,0))),IF(INDEX(Audit_Kompakt!$H$12:$H$35,MATCH($A27,Audit_Kompakt!$K$12:$K$35,0))="","",INDEX(Audit_Kompakt!$H$12:$H$35,MATCH($A27,Audit_Kompakt!$K$12:$K$35,0))))))),"")</f>
        <v/>
      </c>
      <c r="J27" s="41" t="str">
        <f aca="false">IFERROR(IF($A27="","",IF($A27&lt;=Übersicht!$P$13,IF(INDEX(Audit_Allgemein!$J$12:$J$50,MATCH($A27,Audit_Allgemein!$K$12:$K$50,0))="","",INDEX(Audit_Allgemein!$J$12:$J$50,MATCH($A27,Audit_Allgemein!$K$12:$K$50,0))),IF($A27&lt;=Übersicht!$P$14,IF(INDEX(Audit_Maschine!$J$12:$J$24,MATCH($A27,Audit_Maschine!$K$12:$K$24,0))="","",INDEX(Audit_Maschine!$J$12:$J$24,MATCH($A27,Audit_Maschine!$K$12:$K$24,0))),IF($A27&lt;=Übersicht!$P$15,IF(INDEX(Audit_Werkzeuge!$J$12:$J$21,MATCH($A27,Audit_Werkzeuge!$K$12:$K$21,0))="","",INDEX(Audit_Werkzeuge!$J$12:$J$21,MATCH($A27,Audit_Werkzeuge!$K$12:$K$21,0))),IF(INDEX(Audit_Kompakt!$J$12:$J$35,MATCH($A27,Audit_Kompakt!$K$12:$K$35,0))="","",INDEX(Audit_Kompakt!$J$12:$J$35,MATCH($A27,Audit_Kompakt!$K$12:$K$35,0))))))),"")</f>
        <v/>
      </c>
    </row>
    <row r="28" customFormat="false" ht="15" hidden="false" customHeight="false" outlineLevel="0" collapsed="false">
      <c r="A28" s="41" t="str">
        <f aca="false">IF(24&lt;=Übersicht!$M$17,24,"")</f>
        <v/>
      </c>
      <c r="B28" s="41" t="str">
        <f aca="false">IFERROR(IF($A28="","",IF($A28&lt;=Übersicht!$P$13,"Allgemein",IF($A28&lt;=Übersicht!$P$14,"Maschine",IF($A28&lt;=Übersicht!$P$15,"Werkzeug","Kompakt")))),"")</f>
        <v/>
      </c>
      <c r="C28" s="41" t="str">
        <f aca="false">IFERROR(IF($A28="","",IF($A28&lt;=Übersicht!$P$13,IF(Audit_Allgemein!$C$4="","–",Audit_Allgemein!$C$4),IF($A28&lt;=Übersicht!$P$14,IF(Audit_Maschine!$C$4="","–",Audit_Maschine!$C$4),IF($A28&lt;=Übersicht!$P$15,IF(Audit_Werkzeuge!$C$4="","–",Audit_Werkzeuge!$C$4),IF(Audit_Kompakt!$C$4="","–",Audit_Kompakt!$C$4))))),"")</f>
        <v/>
      </c>
      <c r="D28" s="41" t="str">
        <f aca="false">IFERROR(IF($A28="","",IF($A28&lt;=Übersicht!$P$13,IF(INDEX(Audit_Allgemein!$A$12:$A$50,MATCH($A28,Audit_Allgemein!$K$12:$K$50,0))="","",INDEX(Audit_Allgemein!$A$12:$A$50,MATCH($A28,Audit_Allgemein!$K$12:$K$50,0))),IF($A28&lt;=Übersicht!$P$14,IF(INDEX(Audit_Maschine!$A$12:$A$24,MATCH($A28,Audit_Maschine!$K$12:$K$24,0))="","",INDEX(Audit_Maschine!$A$12:$A$24,MATCH($A28,Audit_Maschine!$K$12:$K$24,0))),IF($A28&lt;=Übersicht!$P$15,IF(INDEX(Audit_Werkzeuge!$A$12:$A$21,MATCH($A28,Audit_Werkzeuge!$K$12:$K$21,0))="","",INDEX(Audit_Werkzeuge!$A$12:$A$21,MATCH($A28,Audit_Werkzeuge!$K$12:$K$21,0))),IF(INDEX(Audit_Kompakt!$A$12:$A$35,MATCH($A28,Audit_Kompakt!$K$12:$K$35,0))="","",INDEX(Audit_Kompakt!$A$12:$A$35,MATCH($A28,Audit_Kompakt!$K$12:$K$35,0))))))),"")</f>
        <v/>
      </c>
      <c r="E28" s="42" t="str">
        <f aca="false">IFERROR(IF($A28="","",IF($A28&lt;=Übersicht!$P$13,IF(INDEX(Audit_Allgemein!$C$12:$C$50,MATCH($A28,Audit_Allgemein!$K$12:$K$50,0))="","",INDEX(Audit_Allgemein!$C$12:$C$50,MATCH($A28,Audit_Allgemein!$K$12:$K$50,0))),IF($A28&lt;=Übersicht!$P$14,IF(INDEX(Audit_Maschine!$C$12:$C$24,MATCH($A28,Audit_Maschine!$K$12:$K$24,0))="","",INDEX(Audit_Maschine!$C$12:$C$24,MATCH($A28,Audit_Maschine!$K$12:$K$24,0))),IF($A28&lt;=Übersicht!$P$15,IF(INDEX(Audit_Werkzeuge!$C$12:$C$21,MATCH($A28,Audit_Werkzeuge!$K$12:$K$21,0))="","",INDEX(Audit_Werkzeuge!$C$12:$C$21,MATCH($A28,Audit_Werkzeuge!$K$12:$K$21,0))),IF(INDEX(Audit_Kompakt!$C$12:$C$35,MATCH($A28,Audit_Kompakt!$K$12:$K$35,0))="","",INDEX(Audit_Kompakt!$C$12:$C$35,MATCH($A28,Audit_Kompakt!$K$12:$K$35,0))))))),"")</f>
        <v/>
      </c>
      <c r="F28" s="41" t="str">
        <f aca="false">IFERROR(IF($A28="","",IF($A28&lt;=Übersicht!$P$13,IF(INDEX(Audit_Allgemein!$E$12:$E$50,MATCH($A28,Audit_Allgemein!$K$12:$K$50,0))="","",INDEX(Audit_Allgemein!$E$12:$E$50,MATCH($A28,Audit_Allgemein!$K$12:$K$50,0))),IF($A28&lt;=Übersicht!$P$14,IF(INDEX(Audit_Maschine!$E$12:$E$24,MATCH($A28,Audit_Maschine!$K$12:$K$24,0))="","",INDEX(Audit_Maschine!$E$12:$E$24,MATCH($A28,Audit_Maschine!$K$12:$K$24,0))),IF($A28&lt;=Übersicht!$P$15,IF(INDEX(Audit_Werkzeuge!$E$12:$E$21,MATCH($A28,Audit_Werkzeuge!$K$12:$K$21,0))="","",INDEX(Audit_Werkzeuge!$E$12:$E$21,MATCH($A28,Audit_Werkzeuge!$K$12:$K$21,0))),IF(INDEX(Audit_Kompakt!$E$12:$E$35,MATCH($A28,Audit_Kompakt!$K$12:$K$35,0))="","",INDEX(Audit_Kompakt!$E$12:$E$35,MATCH($A28,Audit_Kompakt!$K$12:$K$35,0))))))),"")</f>
        <v/>
      </c>
      <c r="G28" s="42" t="str">
        <f aca="false">IFERROR(IF($A28="","",IF($A28&lt;=Übersicht!$P$13,IF(INDEX(Audit_Allgemein!$F$12:$F$50,MATCH($A28,Audit_Allgemein!$K$12:$K$50,0))="","",INDEX(Audit_Allgemein!$F$12:$F$50,MATCH($A28,Audit_Allgemein!$K$12:$K$50,0))),IF($A28&lt;=Übersicht!$P$14,IF(INDEX(Audit_Maschine!$F$12:$F$24,MATCH($A28,Audit_Maschine!$K$12:$K$24,0))="","",INDEX(Audit_Maschine!$F$12:$F$24,MATCH($A28,Audit_Maschine!$K$12:$K$24,0))),IF($A28&lt;=Übersicht!$P$15,IF(INDEX(Audit_Werkzeuge!$F$12:$F$21,MATCH($A28,Audit_Werkzeuge!$K$12:$K$21,0))="","",INDEX(Audit_Werkzeuge!$F$12:$F$21,MATCH($A28,Audit_Werkzeuge!$K$12:$K$21,0))),IF(INDEX(Audit_Kompakt!$F$12:$F$35,MATCH($A28,Audit_Kompakt!$K$12:$K$35,0))="","",INDEX(Audit_Kompakt!$F$12:$F$35,MATCH($A28,Audit_Kompakt!$K$12:$K$35,0))))))),"")</f>
        <v/>
      </c>
      <c r="H28" s="41" t="str">
        <f aca="false">IFERROR(IF($A28="","",IF($A28&lt;=Übersicht!$P$13,IF(INDEX(Audit_Allgemein!$G$12:$G$50,MATCH($A28,Audit_Allgemein!$K$12:$K$50,0))="","",INDEX(Audit_Allgemein!$G$12:$G$50,MATCH($A28,Audit_Allgemein!$K$12:$K$50,0))),IF($A28&lt;=Übersicht!$P$14,IF(INDEX(Audit_Maschine!$G$12:$G$24,MATCH($A28,Audit_Maschine!$K$12:$K$24,0))="","",INDEX(Audit_Maschine!$G$12:$G$24,MATCH($A28,Audit_Maschine!$K$12:$K$24,0))),IF($A28&lt;=Übersicht!$P$15,IF(INDEX(Audit_Werkzeuge!$G$12:$G$21,MATCH($A28,Audit_Werkzeuge!$K$12:$K$21,0))="","",INDEX(Audit_Werkzeuge!$G$12:$G$21,MATCH($A28,Audit_Werkzeuge!$K$12:$K$21,0))),IF(INDEX(Audit_Kompakt!$G$12:$G$35,MATCH($A28,Audit_Kompakt!$K$12:$K$35,0))="","",INDEX(Audit_Kompakt!$G$12:$G$35,MATCH($A28,Audit_Kompakt!$K$12:$K$35,0))))))),"")</f>
        <v/>
      </c>
      <c r="I28" s="43" t="str">
        <f aca="false">IFERROR(IF($A28="","",IF($A28&lt;=Übersicht!$P$13,IF(INDEX(Audit_Allgemein!$H$12:$H$50,MATCH($A28,Audit_Allgemein!$K$12:$K$50,0))="","",INDEX(Audit_Allgemein!$H$12:$H$50,MATCH($A28,Audit_Allgemein!$K$12:$K$50,0))),IF($A28&lt;=Übersicht!$P$14,IF(INDEX(Audit_Maschine!$H$12:$H$24,MATCH($A28,Audit_Maschine!$K$12:$K$24,0))="","",INDEX(Audit_Maschine!$H$12:$H$24,MATCH($A28,Audit_Maschine!$K$12:$K$24,0))),IF($A28&lt;=Übersicht!$P$15,IF(INDEX(Audit_Werkzeuge!$H$12:$H$21,MATCH($A28,Audit_Werkzeuge!$K$12:$K$21,0))="","",INDEX(Audit_Werkzeuge!$H$12:$H$21,MATCH($A28,Audit_Werkzeuge!$K$12:$K$21,0))),IF(INDEX(Audit_Kompakt!$H$12:$H$35,MATCH($A28,Audit_Kompakt!$K$12:$K$35,0))="","",INDEX(Audit_Kompakt!$H$12:$H$35,MATCH($A28,Audit_Kompakt!$K$12:$K$35,0))))))),"")</f>
        <v/>
      </c>
      <c r="J28" s="41" t="str">
        <f aca="false">IFERROR(IF($A28="","",IF($A28&lt;=Übersicht!$P$13,IF(INDEX(Audit_Allgemein!$J$12:$J$50,MATCH($A28,Audit_Allgemein!$K$12:$K$50,0))="","",INDEX(Audit_Allgemein!$J$12:$J$50,MATCH($A28,Audit_Allgemein!$K$12:$K$50,0))),IF($A28&lt;=Übersicht!$P$14,IF(INDEX(Audit_Maschine!$J$12:$J$24,MATCH($A28,Audit_Maschine!$K$12:$K$24,0))="","",INDEX(Audit_Maschine!$J$12:$J$24,MATCH($A28,Audit_Maschine!$K$12:$K$24,0))),IF($A28&lt;=Übersicht!$P$15,IF(INDEX(Audit_Werkzeuge!$J$12:$J$21,MATCH($A28,Audit_Werkzeuge!$K$12:$K$21,0))="","",INDEX(Audit_Werkzeuge!$J$12:$J$21,MATCH($A28,Audit_Werkzeuge!$K$12:$K$21,0))),IF(INDEX(Audit_Kompakt!$J$12:$J$35,MATCH($A28,Audit_Kompakt!$K$12:$K$35,0))="","",INDEX(Audit_Kompakt!$J$12:$J$35,MATCH($A28,Audit_Kompakt!$K$12:$K$35,0))))))),"")</f>
        <v/>
      </c>
    </row>
    <row r="29" customFormat="false" ht="15" hidden="false" customHeight="false" outlineLevel="0" collapsed="false">
      <c r="A29" s="41" t="str">
        <f aca="false">IF(25&lt;=Übersicht!$M$17,25,"")</f>
        <v/>
      </c>
      <c r="B29" s="41" t="str">
        <f aca="false">IFERROR(IF($A29="","",IF($A29&lt;=Übersicht!$P$13,"Allgemein",IF($A29&lt;=Übersicht!$P$14,"Maschine",IF($A29&lt;=Übersicht!$P$15,"Werkzeug","Kompakt")))),"")</f>
        <v/>
      </c>
      <c r="C29" s="41" t="str">
        <f aca="false">IFERROR(IF($A29="","",IF($A29&lt;=Übersicht!$P$13,IF(Audit_Allgemein!$C$4="","–",Audit_Allgemein!$C$4),IF($A29&lt;=Übersicht!$P$14,IF(Audit_Maschine!$C$4="","–",Audit_Maschine!$C$4),IF($A29&lt;=Übersicht!$P$15,IF(Audit_Werkzeuge!$C$4="","–",Audit_Werkzeuge!$C$4),IF(Audit_Kompakt!$C$4="","–",Audit_Kompakt!$C$4))))),"")</f>
        <v/>
      </c>
      <c r="D29" s="41" t="str">
        <f aca="false">IFERROR(IF($A29="","",IF($A29&lt;=Übersicht!$P$13,IF(INDEX(Audit_Allgemein!$A$12:$A$50,MATCH($A29,Audit_Allgemein!$K$12:$K$50,0))="","",INDEX(Audit_Allgemein!$A$12:$A$50,MATCH($A29,Audit_Allgemein!$K$12:$K$50,0))),IF($A29&lt;=Übersicht!$P$14,IF(INDEX(Audit_Maschine!$A$12:$A$24,MATCH($A29,Audit_Maschine!$K$12:$K$24,0))="","",INDEX(Audit_Maschine!$A$12:$A$24,MATCH($A29,Audit_Maschine!$K$12:$K$24,0))),IF($A29&lt;=Übersicht!$P$15,IF(INDEX(Audit_Werkzeuge!$A$12:$A$21,MATCH($A29,Audit_Werkzeuge!$K$12:$K$21,0))="","",INDEX(Audit_Werkzeuge!$A$12:$A$21,MATCH($A29,Audit_Werkzeuge!$K$12:$K$21,0))),IF(INDEX(Audit_Kompakt!$A$12:$A$35,MATCH($A29,Audit_Kompakt!$K$12:$K$35,0))="","",INDEX(Audit_Kompakt!$A$12:$A$35,MATCH($A29,Audit_Kompakt!$K$12:$K$35,0))))))),"")</f>
        <v/>
      </c>
      <c r="E29" s="42" t="str">
        <f aca="false">IFERROR(IF($A29="","",IF($A29&lt;=Übersicht!$P$13,IF(INDEX(Audit_Allgemein!$C$12:$C$50,MATCH($A29,Audit_Allgemein!$K$12:$K$50,0))="","",INDEX(Audit_Allgemein!$C$12:$C$50,MATCH($A29,Audit_Allgemein!$K$12:$K$50,0))),IF($A29&lt;=Übersicht!$P$14,IF(INDEX(Audit_Maschine!$C$12:$C$24,MATCH($A29,Audit_Maschine!$K$12:$K$24,0))="","",INDEX(Audit_Maschine!$C$12:$C$24,MATCH($A29,Audit_Maschine!$K$12:$K$24,0))),IF($A29&lt;=Übersicht!$P$15,IF(INDEX(Audit_Werkzeuge!$C$12:$C$21,MATCH($A29,Audit_Werkzeuge!$K$12:$K$21,0))="","",INDEX(Audit_Werkzeuge!$C$12:$C$21,MATCH($A29,Audit_Werkzeuge!$K$12:$K$21,0))),IF(INDEX(Audit_Kompakt!$C$12:$C$35,MATCH($A29,Audit_Kompakt!$K$12:$K$35,0))="","",INDEX(Audit_Kompakt!$C$12:$C$35,MATCH($A29,Audit_Kompakt!$K$12:$K$35,0))))))),"")</f>
        <v/>
      </c>
      <c r="F29" s="41" t="str">
        <f aca="false">IFERROR(IF($A29="","",IF($A29&lt;=Übersicht!$P$13,IF(INDEX(Audit_Allgemein!$E$12:$E$50,MATCH($A29,Audit_Allgemein!$K$12:$K$50,0))="","",INDEX(Audit_Allgemein!$E$12:$E$50,MATCH($A29,Audit_Allgemein!$K$12:$K$50,0))),IF($A29&lt;=Übersicht!$P$14,IF(INDEX(Audit_Maschine!$E$12:$E$24,MATCH($A29,Audit_Maschine!$K$12:$K$24,0))="","",INDEX(Audit_Maschine!$E$12:$E$24,MATCH($A29,Audit_Maschine!$K$12:$K$24,0))),IF($A29&lt;=Übersicht!$P$15,IF(INDEX(Audit_Werkzeuge!$E$12:$E$21,MATCH($A29,Audit_Werkzeuge!$K$12:$K$21,0))="","",INDEX(Audit_Werkzeuge!$E$12:$E$21,MATCH($A29,Audit_Werkzeuge!$K$12:$K$21,0))),IF(INDEX(Audit_Kompakt!$E$12:$E$35,MATCH($A29,Audit_Kompakt!$K$12:$K$35,0))="","",INDEX(Audit_Kompakt!$E$12:$E$35,MATCH($A29,Audit_Kompakt!$K$12:$K$35,0))))))),"")</f>
        <v/>
      </c>
      <c r="G29" s="42" t="str">
        <f aca="false">IFERROR(IF($A29="","",IF($A29&lt;=Übersicht!$P$13,IF(INDEX(Audit_Allgemein!$F$12:$F$50,MATCH($A29,Audit_Allgemein!$K$12:$K$50,0))="","",INDEX(Audit_Allgemein!$F$12:$F$50,MATCH($A29,Audit_Allgemein!$K$12:$K$50,0))),IF($A29&lt;=Übersicht!$P$14,IF(INDEX(Audit_Maschine!$F$12:$F$24,MATCH($A29,Audit_Maschine!$K$12:$K$24,0))="","",INDEX(Audit_Maschine!$F$12:$F$24,MATCH($A29,Audit_Maschine!$K$12:$K$24,0))),IF($A29&lt;=Übersicht!$P$15,IF(INDEX(Audit_Werkzeuge!$F$12:$F$21,MATCH($A29,Audit_Werkzeuge!$K$12:$K$21,0))="","",INDEX(Audit_Werkzeuge!$F$12:$F$21,MATCH($A29,Audit_Werkzeuge!$K$12:$K$21,0))),IF(INDEX(Audit_Kompakt!$F$12:$F$35,MATCH($A29,Audit_Kompakt!$K$12:$K$35,0))="","",INDEX(Audit_Kompakt!$F$12:$F$35,MATCH($A29,Audit_Kompakt!$K$12:$K$35,0))))))),"")</f>
        <v/>
      </c>
      <c r="H29" s="41" t="str">
        <f aca="false">IFERROR(IF($A29="","",IF($A29&lt;=Übersicht!$P$13,IF(INDEX(Audit_Allgemein!$G$12:$G$50,MATCH($A29,Audit_Allgemein!$K$12:$K$50,0))="","",INDEX(Audit_Allgemein!$G$12:$G$50,MATCH($A29,Audit_Allgemein!$K$12:$K$50,0))),IF($A29&lt;=Übersicht!$P$14,IF(INDEX(Audit_Maschine!$G$12:$G$24,MATCH($A29,Audit_Maschine!$K$12:$K$24,0))="","",INDEX(Audit_Maschine!$G$12:$G$24,MATCH($A29,Audit_Maschine!$K$12:$K$24,0))),IF($A29&lt;=Übersicht!$P$15,IF(INDEX(Audit_Werkzeuge!$G$12:$G$21,MATCH($A29,Audit_Werkzeuge!$K$12:$K$21,0))="","",INDEX(Audit_Werkzeuge!$G$12:$G$21,MATCH($A29,Audit_Werkzeuge!$K$12:$K$21,0))),IF(INDEX(Audit_Kompakt!$G$12:$G$35,MATCH($A29,Audit_Kompakt!$K$12:$K$35,0))="","",INDEX(Audit_Kompakt!$G$12:$G$35,MATCH($A29,Audit_Kompakt!$K$12:$K$35,0))))))),"")</f>
        <v/>
      </c>
      <c r="I29" s="43" t="str">
        <f aca="false">IFERROR(IF($A29="","",IF($A29&lt;=Übersicht!$P$13,IF(INDEX(Audit_Allgemein!$H$12:$H$50,MATCH($A29,Audit_Allgemein!$K$12:$K$50,0))="","",INDEX(Audit_Allgemein!$H$12:$H$50,MATCH($A29,Audit_Allgemein!$K$12:$K$50,0))),IF($A29&lt;=Übersicht!$P$14,IF(INDEX(Audit_Maschine!$H$12:$H$24,MATCH($A29,Audit_Maschine!$K$12:$K$24,0))="","",INDEX(Audit_Maschine!$H$12:$H$24,MATCH($A29,Audit_Maschine!$K$12:$K$24,0))),IF($A29&lt;=Übersicht!$P$15,IF(INDEX(Audit_Werkzeuge!$H$12:$H$21,MATCH($A29,Audit_Werkzeuge!$K$12:$K$21,0))="","",INDEX(Audit_Werkzeuge!$H$12:$H$21,MATCH($A29,Audit_Werkzeuge!$K$12:$K$21,0))),IF(INDEX(Audit_Kompakt!$H$12:$H$35,MATCH($A29,Audit_Kompakt!$K$12:$K$35,0))="","",INDEX(Audit_Kompakt!$H$12:$H$35,MATCH($A29,Audit_Kompakt!$K$12:$K$35,0))))))),"")</f>
        <v/>
      </c>
      <c r="J29" s="41" t="str">
        <f aca="false">IFERROR(IF($A29="","",IF($A29&lt;=Übersicht!$P$13,IF(INDEX(Audit_Allgemein!$J$12:$J$50,MATCH($A29,Audit_Allgemein!$K$12:$K$50,0))="","",INDEX(Audit_Allgemein!$J$12:$J$50,MATCH($A29,Audit_Allgemein!$K$12:$K$50,0))),IF($A29&lt;=Übersicht!$P$14,IF(INDEX(Audit_Maschine!$J$12:$J$24,MATCH($A29,Audit_Maschine!$K$12:$K$24,0))="","",INDEX(Audit_Maschine!$J$12:$J$24,MATCH($A29,Audit_Maschine!$K$12:$K$24,0))),IF($A29&lt;=Übersicht!$P$15,IF(INDEX(Audit_Werkzeuge!$J$12:$J$21,MATCH($A29,Audit_Werkzeuge!$K$12:$K$21,0))="","",INDEX(Audit_Werkzeuge!$J$12:$J$21,MATCH($A29,Audit_Werkzeuge!$K$12:$K$21,0))),IF(INDEX(Audit_Kompakt!$J$12:$J$35,MATCH($A29,Audit_Kompakt!$K$12:$K$35,0))="","",INDEX(Audit_Kompakt!$J$12:$J$35,MATCH($A29,Audit_Kompakt!$K$12:$K$35,0))))))),"")</f>
        <v/>
      </c>
    </row>
    <row r="30" customFormat="false" ht="15" hidden="false" customHeight="false" outlineLevel="0" collapsed="false">
      <c r="A30" s="41" t="str">
        <f aca="false">IF(26&lt;=Übersicht!$M$17,26,"")</f>
        <v/>
      </c>
      <c r="B30" s="41" t="str">
        <f aca="false">IFERROR(IF($A30="","",IF($A30&lt;=Übersicht!$P$13,"Allgemein",IF($A30&lt;=Übersicht!$P$14,"Maschine",IF($A30&lt;=Übersicht!$P$15,"Werkzeug","Kompakt")))),"")</f>
        <v/>
      </c>
      <c r="C30" s="41" t="str">
        <f aca="false">IFERROR(IF($A30="","",IF($A30&lt;=Übersicht!$P$13,IF(Audit_Allgemein!$C$4="","–",Audit_Allgemein!$C$4),IF($A30&lt;=Übersicht!$P$14,IF(Audit_Maschine!$C$4="","–",Audit_Maschine!$C$4),IF($A30&lt;=Übersicht!$P$15,IF(Audit_Werkzeuge!$C$4="","–",Audit_Werkzeuge!$C$4),IF(Audit_Kompakt!$C$4="","–",Audit_Kompakt!$C$4))))),"")</f>
        <v/>
      </c>
      <c r="D30" s="41" t="str">
        <f aca="false">IFERROR(IF($A30="","",IF($A30&lt;=Übersicht!$P$13,IF(INDEX(Audit_Allgemein!$A$12:$A$50,MATCH($A30,Audit_Allgemein!$K$12:$K$50,0))="","",INDEX(Audit_Allgemein!$A$12:$A$50,MATCH($A30,Audit_Allgemein!$K$12:$K$50,0))),IF($A30&lt;=Übersicht!$P$14,IF(INDEX(Audit_Maschine!$A$12:$A$24,MATCH($A30,Audit_Maschine!$K$12:$K$24,0))="","",INDEX(Audit_Maschine!$A$12:$A$24,MATCH($A30,Audit_Maschine!$K$12:$K$24,0))),IF($A30&lt;=Übersicht!$P$15,IF(INDEX(Audit_Werkzeuge!$A$12:$A$21,MATCH($A30,Audit_Werkzeuge!$K$12:$K$21,0))="","",INDEX(Audit_Werkzeuge!$A$12:$A$21,MATCH($A30,Audit_Werkzeuge!$K$12:$K$21,0))),IF(INDEX(Audit_Kompakt!$A$12:$A$35,MATCH($A30,Audit_Kompakt!$K$12:$K$35,0))="","",INDEX(Audit_Kompakt!$A$12:$A$35,MATCH($A30,Audit_Kompakt!$K$12:$K$35,0))))))),"")</f>
        <v/>
      </c>
      <c r="E30" s="42" t="str">
        <f aca="false">IFERROR(IF($A30="","",IF($A30&lt;=Übersicht!$P$13,IF(INDEX(Audit_Allgemein!$C$12:$C$50,MATCH($A30,Audit_Allgemein!$K$12:$K$50,0))="","",INDEX(Audit_Allgemein!$C$12:$C$50,MATCH($A30,Audit_Allgemein!$K$12:$K$50,0))),IF($A30&lt;=Übersicht!$P$14,IF(INDEX(Audit_Maschine!$C$12:$C$24,MATCH($A30,Audit_Maschine!$K$12:$K$24,0))="","",INDEX(Audit_Maschine!$C$12:$C$24,MATCH($A30,Audit_Maschine!$K$12:$K$24,0))),IF($A30&lt;=Übersicht!$P$15,IF(INDEX(Audit_Werkzeuge!$C$12:$C$21,MATCH($A30,Audit_Werkzeuge!$K$12:$K$21,0))="","",INDEX(Audit_Werkzeuge!$C$12:$C$21,MATCH($A30,Audit_Werkzeuge!$K$12:$K$21,0))),IF(INDEX(Audit_Kompakt!$C$12:$C$35,MATCH($A30,Audit_Kompakt!$K$12:$K$35,0))="","",INDEX(Audit_Kompakt!$C$12:$C$35,MATCH($A30,Audit_Kompakt!$K$12:$K$35,0))))))),"")</f>
        <v/>
      </c>
      <c r="F30" s="41" t="str">
        <f aca="false">IFERROR(IF($A30="","",IF($A30&lt;=Übersicht!$P$13,IF(INDEX(Audit_Allgemein!$E$12:$E$50,MATCH($A30,Audit_Allgemein!$K$12:$K$50,0))="","",INDEX(Audit_Allgemein!$E$12:$E$50,MATCH($A30,Audit_Allgemein!$K$12:$K$50,0))),IF($A30&lt;=Übersicht!$P$14,IF(INDEX(Audit_Maschine!$E$12:$E$24,MATCH($A30,Audit_Maschine!$K$12:$K$24,0))="","",INDEX(Audit_Maschine!$E$12:$E$24,MATCH($A30,Audit_Maschine!$K$12:$K$24,0))),IF($A30&lt;=Übersicht!$P$15,IF(INDEX(Audit_Werkzeuge!$E$12:$E$21,MATCH($A30,Audit_Werkzeuge!$K$12:$K$21,0))="","",INDEX(Audit_Werkzeuge!$E$12:$E$21,MATCH($A30,Audit_Werkzeuge!$K$12:$K$21,0))),IF(INDEX(Audit_Kompakt!$E$12:$E$35,MATCH($A30,Audit_Kompakt!$K$12:$K$35,0))="","",INDEX(Audit_Kompakt!$E$12:$E$35,MATCH($A30,Audit_Kompakt!$K$12:$K$35,0))))))),"")</f>
        <v/>
      </c>
      <c r="G30" s="42" t="str">
        <f aca="false">IFERROR(IF($A30="","",IF($A30&lt;=Übersicht!$P$13,IF(INDEX(Audit_Allgemein!$F$12:$F$50,MATCH($A30,Audit_Allgemein!$K$12:$K$50,0))="","",INDEX(Audit_Allgemein!$F$12:$F$50,MATCH($A30,Audit_Allgemein!$K$12:$K$50,0))),IF($A30&lt;=Übersicht!$P$14,IF(INDEX(Audit_Maschine!$F$12:$F$24,MATCH($A30,Audit_Maschine!$K$12:$K$24,0))="","",INDEX(Audit_Maschine!$F$12:$F$24,MATCH($A30,Audit_Maschine!$K$12:$K$24,0))),IF($A30&lt;=Übersicht!$P$15,IF(INDEX(Audit_Werkzeuge!$F$12:$F$21,MATCH($A30,Audit_Werkzeuge!$K$12:$K$21,0))="","",INDEX(Audit_Werkzeuge!$F$12:$F$21,MATCH($A30,Audit_Werkzeuge!$K$12:$K$21,0))),IF(INDEX(Audit_Kompakt!$F$12:$F$35,MATCH($A30,Audit_Kompakt!$K$12:$K$35,0))="","",INDEX(Audit_Kompakt!$F$12:$F$35,MATCH($A30,Audit_Kompakt!$K$12:$K$35,0))))))),"")</f>
        <v/>
      </c>
      <c r="H30" s="41" t="str">
        <f aca="false">IFERROR(IF($A30="","",IF($A30&lt;=Übersicht!$P$13,IF(INDEX(Audit_Allgemein!$G$12:$G$50,MATCH($A30,Audit_Allgemein!$K$12:$K$50,0))="","",INDEX(Audit_Allgemein!$G$12:$G$50,MATCH($A30,Audit_Allgemein!$K$12:$K$50,0))),IF($A30&lt;=Übersicht!$P$14,IF(INDEX(Audit_Maschine!$G$12:$G$24,MATCH($A30,Audit_Maschine!$K$12:$K$24,0))="","",INDEX(Audit_Maschine!$G$12:$G$24,MATCH($A30,Audit_Maschine!$K$12:$K$24,0))),IF($A30&lt;=Übersicht!$P$15,IF(INDEX(Audit_Werkzeuge!$G$12:$G$21,MATCH($A30,Audit_Werkzeuge!$K$12:$K$21,0))="","",INDEX(Audit_Werkzeuge!$G$12:$G$21,MATCH($A30,Audit_Werkzeuge!$K$12:$K$21,0))),IF(INDEX(Audit_Kompakt!$G$12:$G$35,MATCH($A30,Audit_Kompakt!$K$12:$K$35,0))="","",INDEX(Audit_Kompakt!$G$12:$G$35,MATCH($A30,Audit_Kompakt!$K$12:$K$35,0))))))),"")</f>
        <v/>
      </c>
      <c r="I30" s="43" t="str">
        <f aca="false">IFERROR(IF($A30="","",IF($A30&lt;=Übersicht!$P$13,IF(INDEX(Audit_Allgemein!$H$12:$H$50,MATCH($A30,Audit_Allgemein!$K$12:$K$50,0))="","",INDEX(Audit_Allgemein!$H$12:$H$50,MATCH($A30,Audit_Allgemein!$K$12:$K$50,0))),IF($A30&lt;=Übersicht!$P$14,IF(INDEX(Audit_Maschine!$H$12:$H$24,MATCH($A30,Audit_Maschine!$K$12:$K$24,0))="","",INDEX(Audit_Maschine!$H$12:$H$24,MATCH($A30,Audit_Maschine!$K$12:$K$24,0))),IF($A30&lt;=Übersicht!$P$15,IF(INDEX(Audit_Werkzeuge!$H$12:$H$21,MATCH($A30,Audit_Werkzeuge!$K$12:$K$21,0))="","",INDEX(Audit_Werkzeuge!$H$12:$H$21,MATCH($A30,Audit_Werkzeuge!$K$12:$K$21,0))),IF(INDEX(Audit_Kompakt!$H$12:$H$35,MATCH($A30,Audit_Kompakt!$K$12:$K$35,0))="","",INDEX(Audit_Kompakt!$H$12:$H$35,MATCH($A30,Audit_Kompakt!$K$12:$K$35,0))))))),"")</f>
        <v/>
      </c>
      <c r="J30" s="41" t="str">
        <f aca="false">IFERROR(IF($A30="","",IF($A30&lt;=Übersicht!$P$13,IF(INDEX(Audit_Allgemein!$J$12:$J$50,MATCH($A30,Audit_Allgemein!$K$12:$K$50,0))="","",INDEX(Audit_Allgemein!$J$12:$J$50,MATCH($A30,Audit_Allgemein!$K$12:$K$50,0))),IF($A30&lt;=Übersicht!$P$14,IF(INDEX(Audit_Maschine!$J$12:$J$24,MATCH($A30,Audit_Maschine!$K$12:$K$24,0))="","",INDEX(Audit_Maschine!$J$12:$J$24,MATCH($A30,Audit_Maschine!$K$12:$K$24,0))),IF($A30&lt;=Übersicht!$P$15,IF(INDEX(Audit_Werkzeuge!$J$12:$J$21,MATCH($A30,Audit_Werkzeuge!$K$12:$K$21,0))="","",INDEX(Audit_Werkzeuge!$J$12:$J$21,MATCH($A30,Audit_Werkzeuge!$K$12:$K$21,0))),IF(INDEX(Audit_Kompakt!$J$12:$J$35,MATCH($A30,Audit_Kompakt!$K$12:$K$35,0))="","",INDEX(Audit_Kompakt!$J$12:$J$35,MATCH($A30,Audit_Kompakt!$K$12:$K$35,0))))))),"")</f>
        <v/>
      </c>
    </row>
    <row r="31" customFormat="false" ht="15" hidden="false" customHeight="false" outlineLevel="0" collapsed="false">
      <c r="A31" s="41" t="str">
        <f aca="false">IF(27&lt;=Übersicht!$M$17,27,"")</f>
        <v/>
      </c>
      <c r="B31" s="41" t="str">
        <f aca="false">IFERROR(IF($A31="","",IF($A31&lt;=Übersicht!$P$13,"Allgemein",IF($A31&lt;=Übersicht!$P$14,"Maschine",IF($A31&lt;=Übersicht!$P$15,"Werkzeug","Kompakt")))),"")</f>
        <v/>
      </c>
      <c r="C31" s="41" t="str">
        <f aca="false">IFERROR(IF($A31="","",IF($A31&lt;=Übersicht!$P$13,IF(Audit_Allgemein!$C$4="","–",Audit_Allgemein!$C$4),IF($A31&lt;=Übersicht!$P$14,IF(Audit_Maschine!$C$4="","–",Audit_Maschine!$C$4),IF($A31&lt;=Übersicht!$P$15,IF(Audit_Werkzeuge!$C$4="","–",Audit_Werkzeuge!$C$4),IF(Audit_Kompakt!$C$4="","–",Audit_Kompakt!$C$4))))),"")</f>
        <v/>
      </c>
      <c r="D31" s="41" t="str">
        <f aca="false">IFERROR(IF($A31="","",IF($A31&lt;=Übersicht!$P$13,IF(INDEX(Audit_Allgemein!$A$12:$A$50,MATCH($A31,Audit_Allgemein!$K$12:$K$50,0))="","",INDEX(Audit_Allgemein!$A$12:$A$50,MATCH($A31,Audit_Allgemein!$K$12:$K$50,0))),IF($A31&lt;=Übersicht!$P$14,IF(INDEX(Audit_Maschine!$A$12:$A$24,MATCH($A31,Audit_Maschine!$K$12:$K$24,0))="","",INDEX(Audit_Maschine!$A$12:$A$24,MATCH($A31,Audit_Maschine!$K$12:$K$24,0))),IF($A31&lt;=Übersicht!$P$15,IF(INDEX(Audit_Werkzeuge!$A$12:$A$21,MATCH($A31,Audit_Werkzeuge!$K$12:$K$21,0))="","",INDEX(Audit_Werkzeuge!$A$12:$A$21,MATCH($A31,Audit_Werkzeuge!$K$12:$K$21,0))),IF(INDEX(Audit_Kompakt!$A$12:$A$35,MATCH($A31,Audit_Kompakt!$K$12:$K$35,0))="","",INDEX(Audit_Kompakt!$A$12:$A$35,MATCH($A31,Audit_Kompakt!$K$12:$K$35,0))))))),"")</f>
        <v/>
      </c>
      <c r="E31" s="42" t="str">
        <f aca="false">IFERROR(IF($A31="","",IF($A31&lt;=Übersicht!$P$13,IF(INDEX(Audit_Allgemein!$C$12:$C$50,MATCH($A31,Audit_Allgemein!$K$12:$K$50,0))="","",INDEX(Audit_Allgemein!$C$12:$C$50,MATCH($A31,Audit_Allgemein!$K$12:$K$50,0))),IF($A31&lt;=Übersicht!$P$14,IF(INDEX(Audit_Maschine!$C$12:$C$24,MATCH($A31,Audit_Maschine!$K$12:$K$24,0))="","",INDEX(Audit_Maschine!$C$12:$C$24,MATCH($A31,Audit_Maschine!$K$12:$K$24,0))),IF($A31&lt;=Übersicht!$P$15,IF(INDEX(Audit_Werkzeuge!$C$12:$C$21,MATCH($A31,Audit_Werkzeuge!$K$12:$K$21,0))="","",INDEX(Audit_Werkzeuge!$C$12:$C$21,MATCH($A31,Audit_Werkzeuge!$K$12:$K$21,0))),IF(INDEX(Audit_Kompakt!$C$12:$C$35,MATCH($A31,Audit_Kompakt!$K$12:$K$35,0))="","",INDEX(Audit_Kompakt!$C$12:$C$35,MATCH($A31,Audit_Kompakt!$K$12:$K$35,0))))))),"")</f>
        <v/>
      </c>
      <c r="F31" s="41" t="str">
        <f aca="false">IFERROR(IF($A31="","",IF($A31&lt;=Übersicht!$P$13,IF(INDEX(Audit_Allgemein!$E$12:$E$50,MATCH($A31,Audit_Allgemein!$K$12:$K$50,0))="","",INDEX(Audit_Allgemein!$E$12:$E$50,MATCH($A31,Audit_Allgemein!$K$12:$K$50,0))),IF($A31&lt;=Übersicht!$P$14,IF(INDEX(Audit_Maschine!$E$12:$E$24,MATCH($A31,Audit_Maschine!$K$12:$K$24,0))="","",INDEX(Audit_Maschine!$E$12:$E$24,MATCH($A31,Audit_Maschine!$K$12:$K$24,0))),IF($A31&lt;=Übersicht!$P$15,IF(INDEX(Audit_Werkzeuge!$E$12:$E$21,MATCH($A31,Audit_Werkzeuge!$K$12:$K$21,0))="","",INDEX(Audit_Werkzeuge!$E$12:$E$21,MATCH($A31,Audit_Werkzeuge!$K$12:$K$21,0))),IF(INDEX(Audit_Kompakt!$E$12:$E$35,MATCH($A31,Audit_Kompakt!$K$12:$K$35,0))="","",INDEX(Audit_Kompakt!$E$12:$E$35,MATCH($A31,Audit_Kompakt!$K$12:$K$35,0))))))),"")</f>
        <v/>
      </c>
      <c r="G31" s="42" t="str">
        <f aca="false">IFERROR(IF($A31="","",IF($A31&lt;=Übersicht!$P$13,IF(INDEX(Audit_Allgemein!$F$12:$F$50,MATCH($A31,Audit_Allgemein!$K$12:$K$50,0))="","",INDEX(Audit_Allgemein!$F$12:$F$50,MATCH($A31,Audit_Allgemein!$K$12:$K$50,0))),IF($A31&lt;=Übersicht!$P$14,IF(INDEX(Audit_Maschine!$F$12:$F$24,MATCH($A31,Audit_Maschine!$K$12:$K$24,0))="","",INDEX(Audit_Maschine!$F$12:$F$24,MATCH($A31,Audit_Maschine!$K$12:$K$24,0))),IF($A31&lt;=Übersicht!$P$15,IF(INDEX(Audit_Werkzeuge!$F$12:$F$21,MATCH($A31,Audit_Werkzeuge!$K$12:$K$21,0))="","",INDEX(Audit_Werkzeuge!$F$12:$F$21,MATCH($A31,Audit_Werkzeuge!$K$12:$K$21,0))),IF(INDEX(Audit_Kompakt!$F$12:$F$35,MATCH($A31,Audit_Kompakt!$K$12:$K$35,0))="","",INDEX(Audit_Kompakt!$F$12:$F$35,MATCH($A31,Audit_Kompakt!$K$12:$K$35,0))))))),"")</f>
        <v/>
      </c>
      <c r="H31" s="41" t="str">
        <f aca="false">IFERROR(IF($A31="","",IF($A31&lt;=Übersicht!$P$13,IF(INDEX(Audit_Allgemein!$G$12:$G$50,MATCH($A31,Audit_Allgemein!$K$12:$K$50,0))="","",INDEX(Audit_Allgemein!$G$12:$G$50,MATCH($A31,Audit_Allgemein!$K$12:$K$50,0))),IF($A31&lt;=Übersicht!$P$14,IF(INDEX(Audit_Maschine!$G$12:$G$24,MATCH($A31,Audit_Maschine!$K$12:$K$24,0))="","",INDEX(Audit_Maschine!$G$12:$G$24,MATCH($A31,Audit_Maschine!$K$12:$K$24,0))),IF($A31&lt;=Übersicht!$P$15,IF(INDEX(Audit_Werkzeuge!$G$12:$G$21,MATCH($A31,Audit_Werkzeuge!$K$12:$K$21,0))="","",INDEX(Audit_Werkzeuge!$G$12:$G$21,MATCH($A31,Audit_Werkzeuge!$K$12:$K$21,0))),IF(INDEX(Audit_Kompakt!$G$12:$G$35,MATCH($A31,Audit_Kompakt!$K$12:$K$35,0))="","",INDEX(Audit_Kompakt!$G$12:$G$35,MATCH($A31,Audit_Kompakt!$K$12:$K$35,0))))))),"")</f>
        <v/>
      </c>
      <c r="I31" s="43" t="str">
        <f aca="false">IFERROR(IF($A31="","",IF($A31&lt;=Übersicht!$P$13,IF(INDEX(Audit_Allgemein!$H$12:$H$50,MATCH($A31,Audit_Allgemein!$K$12:$K$50,0))="","",INDEX(Audit_Allgemein!$H$12:$H$50,MATCH($A31,Audit_Allgemein!$K$12:$K$50,0))),IF($A31&lt;=Übersicht!$P$14,IF(INDEX(Audit_Maschine!$H$12:$H$24,MATCH($A31,Audit_Maschine!$K$12:$K$24,0))="","",INDEX(Audit_Maschine!$H$12:$H$24,MATCH($A31,Audit_Maschine!$K$12:$K$24,0))),IF($A31&lt;=Übersicht!$P$15,IF(INDEX(Audit_Werkzeuge!$H$12:$H$21,MATCH($A31,Audit_Werkzeuge!$K$12:$K$21,0))="","",INDEX(Audit_Werkzeuge!$H$12:$H$21,MATCH($A31,Audit_Werkzeuge!$K$12:$K$21,0))),IF(INDEX(Audit_Kompakt!$H$12:$H$35,MATCH($A31,Audit_Kompakt!$K$12:$K$35,0))="","",INDEX(Audit_Kompakt!$H$12:$H$35,MATCH($A31,Audit_Kompakt!$K$12:$K$35,0))))))),"")</f>
        <v/>
      </c>
      <c r="J31" s="41" t="str">
        <f aca="false">IFERROR(IF($A31="","",IF($A31&lt;=Übersicht!$P$13,IF(INDEX(Audit_Allgemein!$J$12:$J$50,MATCH($A31,Audit_Allgemein!$K$12:$K$50,0))="","",INDEX(Audit_Allgemein!$J$12:$J$50,MATCH($A31,Audit_Allgemein!$K$12:$K$50,0))),IF($A31&lt;=Übersicht!$P$14,IF(INDEX(Audit_Maschine!$J$12:$J$24,MATCH($A31,Audit_Maschine!$K$12:$K$24,0))="","",INDEX(Audit_Maschine!$J$12:$J$24,MATCH($A31,Audit_Maschine!$K$12:$K$24,0))),IF($A31&lt;=Übersicht!$P$15,IF(INDEX(Audit_Werkzeuge!$J$12:$J$21,MATCH($A31,Audit_Werkzeuge!$K$12:$K$21,0))="","",INDEX(Audit_Werkzeuge!$J$12:$J$21,MATCH($A31,Audit_Werkzeuge!$K$12:$K$21,0))),IF(INDEX(Audit_Kompakt!$J$12:$J$35,MATCH($A31,Audit_Kompakt!$K$12:$K$35,0))="","",INDEX(Audit_Kompakt!$J$12:$J$35,MATCH($A31,Audit_Kompakt!$K$12:$K$35,0))))))),"")</f>
        <v/>
      </c>
    </row>
    <row r="32" customFormat="false" ht="15" hidden="false" customHeight="false" outlineLevel="0" collapsed="false">
      <c r="A32" s="41" t="str">
        <f aca="false">IF(28&lt;=Übersicht!$M$17,28,"")</f>
        <v/>
      </c>
      <c r="B32" s="41" t="str">
        <f aca="false">IFERROR(IF($A32="","",IF($A32&lt;=Übersicht!$P$13,"Allgemein",IF($A32&lt;=Übersicht!$P$14,"Maschine",IF($A32&lt;=Übersicht!$P$15,"Werkzeug","Kompakt")))),"")</f>
        <v/>
      </c>
      <c r="C32" s="41" t="str">
        <f aca="false">IFERROR(IF($A32="","",IF($A32&lt;=Übersicht!$P$13,IF(Audit_Allgemein!$C$4="","–",Audit_Allgemein!$C$4),IF($A32&lt;=Übersicht!$P$14,IF(Audit_Maschine!$C$4="","–",Audit_Maschine!$C$4),IF($A32&lt;=Übersicht!$P$15,IF(Audit_Werkzeuge!$C$4="","–",Audit_Werkzeuge!$C$4),IF(Audit_Kompakt!$C$4="","–",Audit_Kompakt!$C$4))))),"")</f>
        <v/>
      </c>
      <c r="D32" s="41" t="str">
        <f aca="false">IFERROR(IF($A32="","",IF($A32&lt;=Übersicht!$P$13,IF(INDEX(Audit_Allgemein!$A$12:$A$50,MATCH($A32,Audit_Allgemein!$K$12:$K$50,0))="","",INDEX(Audit_Allgemein!$A$12:$A$50,MATCH($A32,Audit_Allgemein!$K$12:$K$50,0))),IF($A32&lt;=Übersicht!$P$14,IF(INDEX(Audit_Maschine!$A$12:$A$24,MATCH($A32,Audit_Maschine!$K$12:$K$24,0))="","",INDEX(Audit_Maschine!$A$12:$A$24,MATCH($A32,Audit_Maschine!$K$12:$K$24,0))),IF($A32&lt;=Übersicht!$P$15,IF(INDEX(Audit_Werkzeuge!$A$12:$A$21,MATCH($A32,Audit_Werkzeuge!$K$12:$K$21,0))="","",INDEX(Audit_Werkzeuge!$A$12:$A$21,MATCH($A32,Audit_Werkzeuge!$K$12:$K$21,0))),IF(INDEX(Audit_Kompakt!$A$12:$A$35,MATCH($A32,Audit_Kompakt!$K$12:$K$35,0))="","",INDEX(Audit_Kompakt!$A$12:$A$35,MATCH($A32,Audit_Kompakt!$K$12:$K$35,0))))))),"")</f>
        <v/>
      </c>
      <c r="E32" s="42" t="str">
        <f aca="false">IFERROR(IF($A32="","",IF($A32&lt;=Übersicht!$P$13,IF(INDEX(Audit_Allgemein!$C$12:$C$50,MATCH($A32,Audit_Allgemein!$K$12:$K$50,0))="","",INDEX(Audit_Allgemein!$C$12:$C$50,MATCH($A32,Audit_Allgemein!$K$12:$K$50,0))),IF($A32&lt;=Übersicht!$P$14,IF(INDEX(Audit_Maschine!$C$12:$C$24,MATCH($A32,Audit_Maschine!$K$12:$K$24,0))="","",INDEX(Audit_Maschine!$C$12:$C$24,MATCH($A32,Audit_Maschine!$K$12:$K$24,0))),IF($A32&lt;=Übersicht!$P$15,IF(INDEX(Audit_Werkzeuge!$C$12:$C$21,MATCH($A32,Audit_Werkzeuge!$K$12:$K$21,0))="","",INDEX(Audit_Werkzeuge!$C$12:$C$21,MATCH($A32,Audit_Werkzeuge!$K$12:$K$21,0))),IF(INDEX(Audit_Kompakt!$C$12:$C$35,MATCH($A32,Audit_Kompakt!$K$12:$K$35,0))="","",INDEX(Audit_Kompakt!$C$12:$C$35,MATCH($A32,Audit_Kompakt!$K$12:$K$35,0))))))),"")</f>
        <v/>
      </c>
      <c r="F32" s="41" t="str">
        <f aca="false">IFERROR(IF($A32="","",IF($A32&lt;=Übersicht!$P$13,IF(INDEX(Audit_Allgemein!$E$12:$E$50,MATCH($A32,Audit_Allgemein!$K$12:$K$50,0))="","",INDEX(Audit_Allgemein!$E$12:$E$50,MATCH($A32,Audit_Allgemein!$K$12:$K$50,0))),IF($A32&lt;=Übersicht!$P$14,IF(INDEX(Audit_Maschine!$E$12:$E$24,MATCH($A32,Audit_Maschine!$K$12:$K$24,0))="","",INDEX(Audit_Maschine!$E$12:$E$24,MATCH($A32,Audit_Maschine!$K$12:$K$24,0))),IF($A32&lt;=Übersicht!$P$15,IF(INDEX(Audit_Werkzeuge!$E$12:$E$21,MATCH($A32,Audit_Werkzeuge!$K$12:$K$21,0))="","",INDEX(Audit_Werkzeuge!$E$12:$E$21,MATCH($A32,Audit_Werkzeuge!$K$12:$K$21,0))),IF(INDEX(Audit_Kompakt!$E$12:$E$35,MATCH($A32,Audit_Kompakt!$K$12:$K$35,0))="","",INDEX(Audit_Kompakt!$E$12:$E$35,MATCH($A32,Audit_Kompakt!$K$12:$K$35,0))))))),"")</f>
        <v/>
      </c>
      <c r="G32" s="42" t="str">
        <f aca="false">IFERROR(IF($A32="","",IF($A32&lt;=Übersicht!$P$13,IF(INDEX(Audit_Allgemein!$F$12:$F$50,MATCH($A32,Audit_Allgemein!$K$12:$K$50,0))="","",INDEX(Audit_Allgemein!$F$12:$F$50,MATCH($A32,Audit_Allgemein!$K$12:$K$50,0))),IF($A32&lt;=Übersicht!$P$14,IF(INDEX(Audit_Maschine!$F$12:$F$24,MATCH($A32,Audit_Maschine!$K$12:$K$24,0))="","",INDEX(Audit_Maschine!$F$12:$F$24,MATCH($A32,Audit_Maschine!$K$12:$K$24,0))),IF($A32&lt;=Übersicht!$P$15,IF(INDEX(Audit_Werkzeuge!$F$12:$F$21,MATCH($A32,Audit_Werkzeuge!$K$12:$K$21,0))="","",INDEX(Audit_Werkzeuge!$F$12:$F$21,MATCH($A32,Audit_Werkzeuge!$K$12:$K$21,0))),IF(INDEX(Audit_Kompakt!$F$12:$F$35,MATCH($A32,Audit_Kompakt!$K$12:$K$35,0))="","",INDEX(Audit_Kompakt!$F$12:$F$35,MATCH($A32,Audit_Kompakt!$K$12:$K$35,0))))))),"")</f>
        <v/>
      </c>
      <c r="H32" s="41" t="str">
        <f aca="false">IFERROR(IF($A32="","",IF($A32&lt;=Übersicht!$P$13,IF(INDEX(Audit_Allgemein!$G$12:$G$50,MATCH($A32,Audit_Allgemein!$K$12:$K$50,0))="","",INDEX(Audit_Allgemein!$G$12:$G$50,MATCH($A32,Audit_Allgemein!$K$12:$K$50,0))),IF($A32&lt;=Übersicht!$P$14,IF(INDEX(Audit_Maschine!$G$12:$G$24,MATCH($A32,Audit_Maschine!$K$12:$K$24,0))="","",INDEX(Audit_Maschine!$G$12:$G$24,MATCH($A32,Audit_Maschine!$K$12:$K$24,0))),IF($A32&lt;=Übersicht!$P$15,IF(INDEX(Audit_Werkzeuge!$G$12:$G$21,MATCH($A32,Audit_Werkzeuge!$K$12:$K$21,0))="","",INDEX(Audit_Werkzeuge!$G$12:$G$21,MATCH($A32,Audit_Werkzeuge!$K$12:$K$21,0))),IF(INDEX(Audit_Kompakt!$G$12:$G$35,MATCH($A32,Audit_Kompakt!$K$12:$K$35,0))="","",INDEX(Audit_Kompakt!$G$12:$G$35,MATCH($A32,Audit_Kompakt!$K$12:$K$35,0))))))),"")</f>
        <v/>
      </c>
      <c r="I32" s="43" t="str">
        <f aca="false">IFERROR(IF($A32="","",IF($A32&lt;=Übersicht!$P$13,IF(INDEX(Audit_Allgemein!$H$12:$H$50,MATCH($A32,Audit_Allgemein!$K$12:$K$50,0))="","",INDEX(Audit_Allgemein!$H$12:$H$50,MATCH($A32,Audit_Allgemein!$K$12:$K$50,0))),IF($A32&lt;=Übersicht!$P$14,IF(INDEX(Audit_Maschine!$H$12:$H$24,MATCH($A32,Audit_Maschine!$K$12:$K$24,0))="","",INDEX(Audit_Maschine!$H$12:$H$24,MATCH($A32,Audit_Maschine!$K$12:$K$24,0))),IF($A32&lt;=Übersicht!$P$15,IF(INDEX(Audit_Werkzeuge!$H$12:$H$21,MATCH($A32,Audit_Werkzeuge!$K$12:$K$21,0))="","",INDEX(Audit_Werkzeuge!$H$12:$H$21,MATCH($A32,Audit_Werkzeuge!$K$12:$K$21,0))),IF(INDEX(Audit_Kompakt!$H$12:$H$35,MATCH($A32,Audit_Kompakt!$K$12:$K$35,0))="","",INDEX(Audit_Kompakt!$H$12:$H$35,MATCH($A32,Audit_Kompakt!$K$12:$K$35,0))))))),"")</f>
        <v/>
      </c>
      <c r="J32" s="41" t="str">
        <f aca="false">IFERROR(IF($A32="","",IF($A32&lt;=Übersicht!$P$13,IF(INDEX(Audit_Allgemein!$J$12:$J$50,MATCH($A32,Audit_Allgemein!$K$12:$K$50,0))="","",INDEX(Audit_Allgemein!$J$12:$J$50,MATCH($A32,Audit_Allgemein!$K$12:$K$50,0))),IF($A32&lt;=Übersicht!$P$14,IF(INDEX(Audit_Maschine!$J$12:$J$24,MATCH($A32,Audit_Maschine!$K$12:$K$24,0))="","",INDEX(Audit_Maschine!$J$12:$J$24,MATCH($A32,Audit_Maschine!$K$12:$K$24,0))),IF($A32&lt;=Übersicht!$P$15,IF(INDEX(Audit_Werkzeuge!$J$12:$J$21,MATCH($A32,Audit_Werkzeuge!$K$12:$K$21,0))="","",INDEX(Audit_Werkzeuge!$J$12:$J$21,MATCH($A32,Audit_Werkzeuge!$K$12:$K$21,0))),IF(INDEX(Audit_Kompakt!$J$12:$J$35,MATCH($A32,Audit_Kompakt!$K$12:$K$35,0))="","",INDEX(Audit_Kompakt!$J$12:$J$35,MATCH($A32,Audit_Kompakt!$K$12:$K$35,0))))))),"")</f>
        <v/>
      </c>
    </row>
    <row r="33" customFormat="false" ht="15" hidden="false" customHeight="false" outlineLevel="0" collapsed="false">
      <c r="A33" s="41" t="str">
        <f aca="false">IF(29&lt;=Übersicht!$M$17,29,"")</f>
        <v/>
      </c>
      <c r="B33" s="41" t="str">
        <f aca="false">IFERROR(IF($A33="","",IF($A33&lt;=Übersicht!$P$13,"Allgemein",IF($A33&lt;=Übersicht!$P$14,"Maschine",IF($A33&lt;=Übersicht!$P$15,"Werkzeug","Kompakt")))),"")</f>
        <v/>
      </c>
      <c r="C33" s="41" t="str">
        <f aca="false">IFERROR(IF($A33="","",IF($A33&lt;=Übersicht!$P$13,IF(Audit_Allgemein!$C$4="","–",Audit_Allgemein!$C$4),IF($A33&lt;=Übersicht!$P$14,IF(Audit_Maschine!$C$4="","–",Audit_Maschine!$C$4),IF($A33&lt;=Übersicht!$P$15,IF(Audit_Werkzeuge!$C$4="","–",Audit_Werkzeuge!$C$4),IF(Audit_Kompakt!$C$4="","–",Audit_Kompakt!$C$4))))),"")</f>
        <v/>
      </c>
      <c r="D33" s="41" t="str">
        <f aca="false">IFERROR(IF($A33="","",IF($A33&lt;=Übersicht!$P$13,IF(INDEX(Audit_Allgemein!$A$12:$A$50,MATCH($A33,Audit_Allgemein!$K$12:$K$50,0))="","",INDEX(Audit_Allgemein!$A$12:$A$50,MATCH($A33,Audit_Allgemein!$K$12:$K$50,0))),IF($A33&lt;=Übersicht!$P$14,IF(INDEX(Audit_Maschine!$A$12:$A$24,MATCH($A33,Audit_Maschine!$K$12:$K$24,0))="","",INDEX(Audit_Maschine!$A$12:$A$24,MATCH($A33,Audit_Maschine!$K$12:$K$24,0))),IF($A33&lt;=Übersicht!$P$15,IF(INDEX(Audit_Werkzeuge!$A$12:$A$21,MATCH($A33,Audit_Werkzeuge!$K$12:$K$21,0))="","",INDEX(Audit_Werkzeuge!$A$12:$A$21,MATCH($A33,Audit_Werkzeuge!$K$12:$K$21,0))),IF(INDEX(Audit_Kompakt!$A$12:$A$35,MATCH($A33,Audit_Kompakt!$K$12:$K$35,0))="","",INDEX(Audit_Kompakt!$A$12:$A$35,MATCH($A33,Audit_Kompakt!$K$12:$K$35,0))))))),"")</f>
        <v/>
      </c>
      <c r="E33" s="42" t="str">
        <f aca="false">IFERROR(IF($A33="","",IF($A33&lt;=Übersicht!$P$13,IF(INDEX(Audit_Allgemein!$C$12:$C$50,MATCH($A33,Audit_Allgemein!$K$12:$K$50,0))="","",INDEX(Audit_Allgemein!$C$12:$C$50,MATCH($A33,Audit_Allgemein!$K$12:$K$50,0))),IF($A33&lt;=Übersicht!$P$14,IF(INDEX(Audit_Maschine!$C$12:$C$24,MATCH($A33,Audit_Maschine!$K$12:$K$24,0))="","",INDEX(Audit_Maschine!$C$12:$C$24,MATCH($A33,Audit_Maschine!$K$12:$K$24,0))),IF($A33&lt;=Übersicht!$P$15,IF(INDEX(Audit_Werkzeuge!$C$12:$C$21,MATCH($A33,Audit_Werkzeuge!$K$12:$K$21,0))="","",INDEX(Audit_Werkzeuge!$C$12:$C$21,MATCH($A33,Audit_Werkzeuge!$K$12:$K$21,0))),IF(INDEX(Audit_Kompakt!$C$12:$C$35,MATCH($A33,Audit_Kompakt!$K$12:$K$35,0))="","",INDEX(Audit_Kompakt!$C$12:$C$35,MATCH($A33,Audit_Kompakt!$K$12:$K$35,0))))))),"")</f>
        <v/>
      </c>
      <c r="F33" s="41" t="str">
        <f aca="false">IFERROR(IF($A33="","",IF($A33&lt;=Übersicht!$P$13,IF(INDEX(Audit_Allgemein!$E$12:$E$50,MATCH($A33,Audit_Allgemein!$K$12:$K$50,0))="","",INDEX(Audit_Allgemein!$E$12:$E$50,MATCH($A33,Audit_Allgemein!$K$12:$K$50,0))),IF($A33&lt;=Übersicht!$P$14,IF(INDEX(Audit_Maschine!$E$12:$E$24,MATCH($A33,Audit_Maschine!$K$12:$K$24,0))="","",INDEX(Audit_Maschine!$E$12:$E$24,MATCH($A33,Audit_Maschine!$K$12:$K$24,0))),IF($A33&lt;=Übersicht!$P$15,IF(INDEX(Audit_Werkzeuge!$E$12:$E$21,MATCH($A33,Audit_Werkzeuge!$K$12:$K$21,0))="","",INDEX(Audit_Werkzeuge!$E$12:$E$21,MATCH($A33,Audit_Werkzeuge!$K$12:$K$21,0))),IF(INDEX(Audit_Kompakt!$E$12:$E$35,MATCH($A33,Audit_Kompakt!$K$12:$K$35,0))="","",INDEX(Audit_Kompakt!$E$12:$E$35,MATCH($A33,Audit_Kompakt!$K$12:$K$35,0))))))),"")</f>
        <v/>
      </c>
      <c r="G33" s="42" t="str">
        <f aca="false">IFERROR(IF($A33="","",IF($A33&lt;=Übersicht!$P$13,IF(INDEX(Audit_Allgemein!$F$12:$F$50,MATCH($A33,Audit_Allgemein!$K$12:$K$50,0))="","",INDEX(Audit_Allgemein!$F$12:$F$50,MATCH($A33,Audit_Allgemein!$K$12:$K$50,0))),IF($A33&lt;=Übersicht!$P$14,IF(INDEX(Audit_Maschine!$F$12:$F$24,MATCH($A33,Audit_Maschine!$K$12:$K$24,0))="","",INDEX(Audit_Maschine!$F$12:$F$24,MATCH($A33,Audit_Maschine!$K$12:$K$24,0))),IF($A33&lt;=Übersicht!$P$15,IF(INDEX(Audit_Werkzeuge!$F$12:$F$21,MATCH($A33,Audit_Werkzeuge!$K$12:$K$21,0))="","",INDEX(Audit_Werkzeuge!$F$12:$F$21,MATCH($A33,Audit_Werkzeuge!$K$12:$K$21,0))),IF(INDEX(Audit_Kompakt!$F$12:$F$35,MATCH($A33,Audit_Kompakt!$K$12:$K$35,0))="","",INDEX(Audit_Kompakt!$F$12:$F$35,MATCH($A33,Audit_Kompakt!$K$12:$K$35,0))))))),"")</f>
        <v/>
      </c>
      <c r="H33" s="41" t="str">
        <f aca="false">IFERROR(IF($A33="","",IF($A33&lt;=Übersicht!$P$13,IF(INDEX(Audit_Allgemein!$G$12:$G$50,MATCH($A33,Audit_Allgemein!$K$12:$K$50,0))="","",INDEX(Audit_Allgemein!$G$12:$G$50,MATCH($A33,Audit_Allgemein!$K$12:$K$50,0))),IF($A33&lt;=Übersicht!$P$14,IF(INDEX(Audit_Maschine!$G$12:$G$24,MATCH($A33,Audit_Maschine!$K$12:$K$24,0))="","",INDEX(Audit_Maschine!$G$12:$G$24,MATCH($A33,Audit_Maschine!$K$12:$K$24,0))),IF($A33&lt;=Übersicht!$P$15,IF(INDEX(Audit_Werkzeuge!$G$12:$G$21,MATCH($A33,Audit_Werkzeuge!$K$12:$K$21,0))="","",INDEX(Audit_Werkzeuge!$G$12:$G$21,MATCH($A33,Audit_Werkzeuge!$K$12:$K$21,0))),IF(INDEX(Audit_Kompakt!$G$12:$G$35,MATCH($A33,Audit_Kompakt!$K$12:$K$35,0))="","",INDEX(Audit_Kompakt!$G$12:$G$35,MATCH($A33,Audit_Kompakt!$K$12:$K$35,0))))))),"")</f>
        <v/>
      </c>
      <c r="I33" s="43" t="str">
        <f aca="false">IFERROR(IF($A33="","",IF($A33&lt;=Übersicht!$P$13,IF(INDEX(Audit_Allgemein!$H$12:$H$50,MATCH($A33,Audit_Allgemein!$K$12:$K$50,0))="","",INDEX(Audit_Allgemein!$H$12:$H$50,MATCH($A33,Audit_Allgemein!$K$12:$K$50,0))),IF($A33&lt;=Übersicht!$P$14,IF(INDEX(Audit_Maschine!$H$12:$H$24,MATCH($A33,Audit_Maschine!$K$12:$K$24,0))="","",INDEX(Audit_Maschine!$H$12:$H$24,MATCH($A33,Audit_Maschine!$K$12:$K$24,0))),IF($A33&lt;=Übersicht!$P$15,IF(INDEX(Audit_Werkzeuge!$H$12:$H$21,MATCH($A33,Audit_Werkzeuge!$K$12:$K$21,0))="","",INDEX(Audit_Werkzeuge!$H$12:$H$21,MATCH($A33,Audit_Werkzeuge!$K$12:$K$21,0))),IF(INDEX(Audit_Kompakt!$H$12:$H$35,MATCH($A33,Audit_Kompakt!$K$12:$K$35,0))="","",INDEX(Audit_Kompakt!$H$12:$H$35,MATCH($A33,Audit_Kompakt!$K$12:$K$35,0))))))),"")</f>
        <v/>
      </c>
      <c r="J33" s="41" t="str">
        <f aca="false">IFERROR(IF($A33="","",IF($A33&lt;=Übersicht!$P$13,IF(INDEX(Audit_Allgemein!$J$12:$J$50,MATCH($A33,Audit_Allgemein!$K$12:$K$50,0))="","",INDEX(Audit_Allgemein!$J$12:$J$50,MATCH($A33,Audit_Allgemein!$K$12:$K$50,0))),IF($A33&lt;=Übersicht!$P$14,IF(INDEX(Audit_Maschine!$J$12:$J$24,MATCH($A33,Audit_Maschine!$K$12:$K$24,0))="","",INDEX(Audit_Maschine!$J$12:$J$24,MATCH($A33,Audit_Maschine!$K$12:$K$24,0))),IF($A33&lt;=Übersicht!$P$15,IF(INDEX(Audit_Werkzeuge!$J$12:$J$21,MATCH($A33,Audit_Werkzeuge!$K$12:$K$21,0))="","",INDEX(Audit_Werkzeuge!$J$12:$J$21,MATCH($A33,Audit_Werkzeuge!$K$12:$K$21,0))),IF(INDEX(Audit_Kompakt!$J$12:$J$35,MATCH($A33,Audit_Kompakt!$K$12:$K$35,0))="","",INDEX(Audit_Kompakt!$J$12:$J$35,MATCH($A33,Audit_Kompakt!$K$12:$K$35,0))))))),"")</f>
        <v/>
      </c>
    </row>
    <row r="34" customFormat="false" ht="15" hidden="false" customHeight="false" outlineLevel="0" collapsed="false">
      <c r="A34" s="41" t="str">
        <f aca="false">IF(30&lt;=Übersicht!$M$17,30,"")</f>
        <v/>
      </c>
      <c r="B34" s="41" t="str">
        <f aca="false">IFERROR(IF($A34="","",IF($A34&lt;=Übersicht!$P$13,"Allgemein",IF($A34&lt;=Übersicht!$P$14,"Maschine",IF($A34&lt;=Übersicht!$P$15,"Werkzeug","Kompakt")))),"")</f>
        <v/>
      </c>
      <c r="C34" s="41" t="str">
        <f aca="false">IFERROR(IF($A34="","",IF($A34&lt;=Übersicht!$P$13,IF(Audit_Allgemein!$C$4="","–",Audit_Allgemein!$C$4),IF($A34&lt;=Übersicht!$P$14,IF(Audit_Maschine!$C$4="","–",Audit_Maschine!$C$4),IF($A34&lt;=Übersicht!$P$15,IF(Audit_Werkzeuge!$C$4="","–",Audit_Werkzeuge!$C$4),IF(Audit_Kompakt!$C$4="","–",Audit_Kompakt!$C$4))))),"")</f>
        <v/>
      </c>
      <c r="D34" s="41" t="str">
        <f aca="false">IFERROR(IF($A34="","",IF($A34&lt;=Übersicht!$P$13,IF(INDEX(Audit_Allgemein!$A$12:$A$50,MATCH($A34,Audit_Allgemein!$K$12:$K$50,0))="","",INDEX(Audit_Allgemein!$A$12:$A$50,MATCH($A34,Audit_Allgemein!$K$12:$K$50,0))),IF($A34&lt;=Übersicht!$P$14,IF(INDEX(Audit_Maschine!$A$12:$A$24,MATCH($A34,Audit_Maschine!$K$12:$K$24,0))="","",INDEX(Audit_Maschine!$A$12:$A$24,MATCH($A34,Audit_Maschine!$K$12:$K$24,0))),IF($A34&lt;=Übersicht!$P$15,IF(INDEX(Audit_Werkzeuge!$A$12:$A$21,MATCH($A34,Audit_Werkzeuge!$K$12:$K$21,0))="","",INDEX(Audit_Werkzeuge!$A$12:$A$21,MATCH($A34,Audit_Werkzeuge!$K$12:$K$21,0))),IF(INDEX(Audit_Kompakt!$A$12:$A$35,MATCH($A34,Audit_Kompakt!$K$12:$K$35,0))="","",INDEX(Audit_Kompakt!$A$12:$A$35,MATCH($A34,Audit_Kompakt!$K$12:$K$35,0))))))),"")</f>
        <v/>
      </c>
      <c r="E34" s="42" t="str">
        <f aca="false">IFERROR(IF($A34="","",IF($A34&lt;=Übersicht!$P$13,IF(INDEX(Audit_Allgemein!$C$12:$C$50,MATCH($A34,Audit_Allgemein!$K$12:$K$50,0))="","",INDEX(Audit_Allgemein!$C$12:$C$50,MATCH($A34,Audit_Allgemein!$K$12:$K$50,0))),IF($A34&lt;=Übersicht!$P$14,IF(INDEX(Audit_Maschine!$C$12:$C$24,MATCH($A34,Audit_Maschine!$K$12:$K$24,0))="","",INDEX(Audit_Maschine!$C$12:$C$24,MATCH($A34,Audit_Maschine!$K$12:$K$24,0))),IF($A34&lt;=Übersicht!$P$15,IF(INDEX(Audit_Werkzeuge!$C$12:$C$21,MATCH($A34,Audit_Werkzeuge!$K$12:$K$21,0))="","",INDEX(Audit_Werkzeuge!$C$12:$C$21,MATCH($A34,Audit_Werkzeuge!$K$12:$K$21,0))),IF(INDEX(Audit_Kompakt!$C$12:$C$35,MATCH($A34,Audit_Kompakt!$K$12:$K$35,0))="","",INDEX(Audit_Kompakt!$C$12:$C$35,MATCH($A34,Audit_Kompakt!$K$12:$K$35,0))))))),"")</f>
        <v/>
      </c>
      <c r="F34" s="41" t="str">
        <f aca="false">IFERROR(IF($A34="","",IF($A34&lt;=Übersicht!$P$13,IF(INDEX(Audit_Allgemein!$E$12:$E$50,MATCH($A34,Audit_Allgemein!$K$12:$K$50,0))="","",INDEX(Audit_Allgemein!$E$12:$E$50,MATCH($A34,Audit_Allgemein!$K$12:$K$50,0))),IF($A34&lt;=Übersicht!$P$14,IF(INDEX(Audit_Maschine!$E$12:$E$24,MATCH($A34,Audit_Maschine!$K$12:$K$24,0))="","",INDEX(Audit_Maschine!$E$12:$E$24,MATCH($A34,Audit_Maschine!$K$12:$K$24,0))),IF($A34&lt;=Übersicht!$P$15,IF(INDEX(Audit_Werkzeuge!$E$12:$E$21,MATCH($A34,Audit_Werkzeuge!$K$12:$K$21,0))="","",INDEX(Audit_Werkzeuge!$E$12:$E$21,MATCH($A34,Audit_Werkzeuge!$K$12:$K$21,0))),IF(INDEX(Audit_Kompakt!$E$12:$E$35,MATCH($A34,Audit_Kompakt!$K$12:$K$35,0))="","",INDEX(Audit_Kompakt!$E$12:$E$35,MATCH($A34,Audit_Kompakt!$K$12:$K$35,0))))))),"")</f>
        <v/>
      </c>
      <c r="G34" s="42" t="str">
        <f aca="false">IFERROR(IF($A34="","",IF($A34&lt;=Übersicht!$P$13,IF(INDEX(Audit_Allgemein!$F$12:$F$50,MATCH($A34,Audit_Allgemein!$K$12:$K$50,0))="","",INDEX(Audit_Allgemein!$F$12:$F$50,MATCH($A34,Audit_Allgemein!$K$12:$K$50,0))),IF($A34&lt;=Übersicht!$P$14,IF(INDEX(Audit_Maschine!$F$12:$F$24,MATCH($A34,Audit_Maschine!$K$12:$K$24,0))="","",INDEX(Audit_Maschine!$F$12:$F$24,MATCH($A34,Audit_Maschine!$K$12:$K$24,0))),IF($A34&lt;=Übersicht!$P$15,IF(INDEX(Audit_Werkzeuge!$F$12:$F$21,MATCH($A34,Audit_Werkzeuge!$K$12:$K$21,0))="","",INDEX(Audit_Werkzeuge!$F$12:$F$21,MATCH($A34,Audit_Werkzeuge!$K$12:$K$21,0))),IF(INDEX(Audit_Kompakt!$F$12:$F$35,MATCH($A34,Audit_Kompakt!$K$12:$K$35,0))="","",INDEX(Audit_Kompakt!$F$12:$F$35,MATCH($A34,Audit_Kompakt!$K$12:$K$35,0))))))),"")</f>
        <v/>
      </c>
      <c r="H34" s="41" t="str">
        <f aca="false">IFERROR(IF($A34="","",IF($A34&lt;=Übersicht!$P$13,IF(INDEX(Audit_Allgemein!$G$12:$G$50,MATCH($A34,Audit_Allgemein!$K$12:$K$50,0))="","",INDEX(Audit_Allgemein!$G$12:$G$50,MATCH($A34,Audit_Allgemein!$K$12:$K$50,0))),IF($A34&lt;=Übersicht!$P$14,IF(INDEX(Audit_Maschine!$G$12:$G$24,MATCH($A34,Audit_Maschine!$K$12:$K$24,0))="","",INDEX(Audit_Maschine!$G$12:$G$24,MATCH($A34,Audit_Maschine!$K$12:$K$24,0))),IF($A34&lt;=Übersicht!$P$15,IF(INDEX(Audit_Werkzeuge!$G$12:$G$21,MATCH($A34,Audit_Werkzeuge!$K$12:$K$21,0))="","",INDEX(Audit_Werkzeuge!$G$12:$G$21,MATCH($A34,Audit_Werkzeuge!$K$12:$K$21,0))),IF(INDEX(Audit_Kompakt!$G$12:$G$35,MATCH($A34,Audit_Kompakt!$K$12:$K$35,0))="","",INDEX(Audit_Kompakt!$G$12:$G$35,MATCH($A34,Audit_Kompakt!$K$12:$K$35,0))))))),"")</f>
        <v/>
      </c>
      <c r="I34" s="43" t="str">
        <f aca="false">IFERROR(IF($A34="","",IF($A34&lt;=Übersicht!$P$13,IF(INDEX(Audit_Allgemein!$H$12:$H$50,MATCH($A34,Audit_Allgemein!$K$12:$K$50,0))="","",INDEX(Audit_Allgemein!$H$12:$H$50,MATCH($A34,Audit_Allgemein!$K$12:$K$50,0))),IF($A34&lt;=Übersicht!$P$14,IF(INDEX(Audit_Maschine!$H$12:$H$24,MATCH($A34,Audit_Maschine!$K$12:$K$24,0))="","",INDEX(Audit_Maschine!$H$12:$H$24,MATCH($A34,Audit_Maschine!$K$12:$K$24,0))),IF($A34&lt;=Übersicht!$P$15,IF(INDEX(Audit_Werkzeuge!$H$12:$H$21,MATCH($A34,Audit_Werkzeuge!$K$12:$K$21,0))="","",INDEX(Audit_Werkzeuge!$H$12:$H$21,MATCH($A34,Audit_Werkzeuge!$K$12:$K$21,0))),IF(INDEX(Audit_Kompakt!$H$12:$H$35,MATCH($A34,Audit_Kompakt!$K$12:$K$35,0))="","",INDEX(Audit_Kompakt!$H$12:$H$35,MATCH($A34,Audit_Kompakt!$K$12:$K$35,0))))))),"")</f>
        <v/>
      </c>
      <c r="J34" s="41" t="str">
        <f aca="false">IFERROR(IF($A34="","",IF($A34&lt;=Übersicht!$P$13,IF(INDEX(Audit_Allgemein!$J$12:$J$50,MATCH($A34,Audit_Allgemein!$K$12:$K$50,0))="","",INDEX(Audit_Allgemein!$J$12:$J$50,MATCH($A34,Audit_Allgemein!$K$12:$K$50,0))),IF($A34&lt;=Übersicht!$P$14,IF(INDEX(Audit_Maschine!$J$12:$J$24,MATCH($A34,Audit_Maschine!$K$12:$K$24,0))="","",INDEX(Audit_Maschine!$J$12:$J$24,MATCH($A34,Audit_Maschine!$K$12:$K$24,0))),IF($A34&lt;=Übersicht!$P$15,IF(INDEX(Audit_Werkzeuge!$J$12:$J$21,MATCH($A34,Audit_Werkzeuge!$K$12:$K$21,0))="","",INDEX(Audit_Werkzeuge!$J$12:$J$21,MATCH($A34,Audit_Werkzeuge!$K$12:$K$21,0))),IF(INDEX(Audit_Kompakt!$J$12:$J$35,MATCH($A34,Audit_Kompakt!$K$12:$K$35,0))="","",INDEX(Audit_Kompakt!$J$12:$J$35,MATCH($A34,Audit_Kompakt!$K$12:$K$35,0))))))),"")</f>
        <v/>
      </c>
    </row>
    <row r="35" customFormat="false" ht="15" hidden="false" customHeight="false" outlineLevel="0" collapsed="false">
      <c r="A35" s="41" t="str">
        <f aca="false">IF(31&lt;=Übersicht!$M$17,31,"")</f>
        <v/>
      </c>
      <c r="B35" s="41" t="str">
        <f aca="false">IFERROR(IF($A35="","",IF($A35&lt;=Übersicht!$P$13,"Allgemein",IF($A35&lt;=Übersicht!$P$14,"Maschine",IF($A35&lt;=Übersicht!$P$15,"Werkzeug","Kompakt")))),"")</f>
        <v/>
      </c>
      <c r="C35" s="41" t="str">
        <f aca="false">IFERROR(IF($A35="","",IF($A35&lt;=Übersicht!$P$13,IF(Audit_Allgemein!$C$4="","–",Audit_Allgemein!$C$4),IF($A35&lt;=Übersicht!$P$14,IF(Audit_Maschine!$C$4="","–",Audit_Maschine!$C$4),IF($A35&lt;=Übersicht!$P$15,IF(Audit_Werkzeuge!$C$4="","–",Audit_Werkzeuge!$C$4),IF(Audit_Kompakt!$C$4="","–",Audit_Kompakt!$C$4))))),"")</f>
        <v/>
      </c>
      <c r="D35" s="41" t="str">
        <f aca="false">IFERROR(IF($A35="","",IF($A35&lt;=Übersicht!$P$13,IF(INDEX(Audit_Allgemein!$A$12:$A$50,MATCH($A35,Audit_Allgemein!$K$12:$K$50,0))="","",INDEX(Audit_Allgemein!$A$12:$A$50,MATCH($A35,Audit_Allgemein!$K$12:$K$50,0))),IF($A35&lt;=Übersicht!$P$14,IF(INDEX(Audit_Maschine!$A$12:$A$24,MATCH($A35,Audit_Maschine!$K$12:$K$24,0))="","",INDEX(Audit_Maschine!$A$12:$A$24,MATCH($A35,Audit_Maschine!$K$12:$K$24,0))),IF($A35&lt;=Übersicht!$P$15,IF(INDEX(Audit_Werkzeuge!$A$12:$A$21,MATCH($A35,Audit_Werkzeuge!$K$12:$K$21,0))="","",INDEX(Audit_Werkzeuge!$A$12:$A$21,MATCH($A35,Audit_Werkzeuge!$K$12:$K$21,0))),IF(INDEX(Audit_Kompakt!$A$12:$A$35,MATCH($A35,Audit_Kompakt!$K$12:$K$35,0))="","",INDEX(Audit_Kompakt!$A$12:$A$35,MATCH($A35,Audit_Kompakt!$K$12:$K$35,0))))))),"")</f>
        <v/>
      </c>
      <c r="E35" s="42" t="str">
        <f aca="false">IFERROR(IF($A35="","",IF($A35&lt;=Übersicht!$P$13,IF(INDEX(Audit_Allgemein!$C$12:$C$50,MATCH($A35,Audit_Allgemein!$K$12:$K$50,0))="","",INDEX(Audit_Allgemein!$C$12:$C$50,MATCH($A35,Audit_Allgemein!$K$12:$K$50,0))),IF($A35&lt;=Übersicht!$P$14,IF(INDEX(Audit_Maschine!$C$12:$C$24,MATCH($A35,Audit_Maschine!$K$12:$K$24,0))="","",INDEX(Audit_Maschine!$C$12:$C$24,MATCH($A35,Audit_Maschine!$K$12:$K$24,0))),IF($A35&lt;=Übersicht!$P$15,IF(INDEX(Audit_Werkzeuge!$C$12:$C$21,MATCH($A35,Audit_Werkzeuge!$K$12:$K$21,0))="","",INDEX(Audit_Werkzeuge!$C$12:$C$21,MATCH($A35,Audit_Werkzeuge!$K$12:$K$21,0))),IF(INDEX(Audit_Kompakt!$C$12:$C$35,MATCH($A35,Audit_Kompakt!$K$12:$K$35,0))="","",INDEX(Audit_Kompakt!$C$12:$C$35,MATCH($A35,Audit_Kompakt!$K$12:$K$35,0))))))),"")</f>
        <v/>
      </c>
      <c r="F35" s="41" t="str">
        <f aca="false">IFERROR(IF($A35="","",IF($A35&lt;=Übersicht!$P$13,IF(INDEX(Audit_Allgemein!$E$12:$E$50,MATCH($A35,Audit_Allgemein!$K$12:$K$50,0))="","",INDEX(Audit_Allgemein!$E$12:$E$50,MATCH($A35,Audit_Allgemein!$K$12:$K$50,0))),IF($A35&lt;=Übersicht!$P$14,IF(INDEX(Audit_Maschine!$E$12:$E$24,MATCH($A35,Audit_Maschine!$K$12:$K$24,0))="","",INDEX(Audit_Maschine!$E$12:$E$24,MATCH($A35,Audit_Maschine!$K$12:$K$24,0))),IF($A35&lt;=Übersicht!$P$15,IF(INDEX(Audit_Werkzeuge!$E$12:$E$21,MATCH($A35,Audit_Werkzeuge!$K$12:$K$21,0))="","",INDEX(Audit_Werkzeuge!$E$12:$E$21,MATCH($A35,Audit_Werkzeuge!$K$12:$K$21,0))),IF(INDEX(Audit_Kompakt!$E$12:$E$35,MATCH($A35,Audit_Kompakt!$K$12:$K$35,0))="","",INDEX(Audit_Kompakt!$E$12:$E$35,MATCH($A35,Audit_Kompakt!$K$12:$K$35,0))))))),"")</f>
        <v/>
      </c>
      <c r="G35" s="42" t="str">
        <f aca="false">IFERROR(IF($A35="","",IF($A35&lt;=Übersicht!$P$13,IF(INDEX(Audit_Allgemein!$F$12:$F$50,MATCH($A35,Audit_Allgemein!$K$12:$K$50,0))="","",INDEX(Audit_Allgemein!$F$12:$F$50,MATCH($A35,Audit_Allgemein!$K$12:$K$50,0))),IF($A35&lt;=Übersicht!$P$14,IF(INDEX(Audit_Maschine!$F$12:$F$24,MATCH($A35,Audit_Maschine!$K$12:$K$24,0))="","",INDEX(Audit_Maschine!$F$12:$F$24,MATCH($A35,Audit_Maschine!$K$12:$K$24,0))),IF($A35&lt;=Übersicht!$P$15,IF(INDEX(Audit_Werkzeuge!$F$12:$F$21,MATCH($A35,Audit_Werkzeuge!$K$12:$K$21,0))="","",INDEX(Audit_Werkzeuge!$F$12:$F$21,MATCH($A35,Audit_Werkzeuge!$K$12:$K$21,0))),IF(INDEX(Audit_Kompakt!$F$12:$F$35,MATCH($A35,Audit_Kompakt!$K$12:$K$35,0))="","",INDEX(Audit_Kompakt!$F$12:$F$35,MATCH($A35,Audit_Kompakt!$K$12:$K$35,0))))))),"")</f>
        <v/>
      </c>
      <c r="H35" s="41" t="str">
        <f aca="false">IFERROR(IF($A35="","",IF($A35&lt;=Übersicht!$P$13,IF(INDEX(Audit_Allgemein!$G$12:$G$50,MATCH($A35,Audit_Allgemein!$K$12:$K$50,0))="","",INDEX(Audit_Allgemein!$G$12:$G$50,MATCH($A35,Audit_Allgemein!$K$12:$K$50,0))),IF($A35&lt;=Übersicht!$P$14,IF(INDEX(Audit_Maschine!$G$12:$G$24,MATCH($A35,Audit_Maschine!$K$12:$K$24,0))="","",INDEX(Audit_Maschine!$G$12:$G$24,MATCH($A35,Audit_Maschine!$K$12:$K$24,0))),IF($A35&lt;=Übersicht!$P$15,IF(INDEX(Audit_Werkzeuge!$G$12:$G$21,MATCH($A35,Audit_Werkzeuge!$K$12:$K$21,0))="","",INDEX(Audit_Werkzeuge!$G$12:$G$21,MATCH($A35,Audit_Werkzeuge!$K$12:$K$21,0))),IF(INDEX(Audit_Kompakt!$G$12:$G$35,MATCH($A35,Audit_Kompakt!$K$12:$K$35,0))="","",INDEX(Audit_Kompakt!$G$12:$G$35,MATCH($A35,Audit_Kompakt!$K$12:$K$35,0))))))),"")</f>
        <v/>
      </c>
      <c r="I35" s="43" t="str">
        <f aca="false">IFERROR(IF($A35="","",IF($A35&lt;=Übersicht!$P$13,IF(INDEX(Audit_Allgemein!$H$12:$H$50,MATCH($A35,Audit_Allgemein!$K$12:$K$50,0))="","",INDEX(Audit_Allgemein!$H$12:$H$50,MATCH($A35,Audit_Allgemein!$K$12:$K$50,0))),IF($A35&lt;=Übersicht!$P$14,IF(INDEX(Audit_Maschine!$H$12:$H$24,MATCH($A35,Audit_Maschine!$K$12:$K$24,0))="","",INDEX(Audit_Maschine!$H$12:$H$24,MATCH($A35,Audit_Maschine!$K$12:$K$24,0))),IF($A35&lt;=Übersicht!$P$15,IF(INDEX(Audit_Werkzeuge!$H$12:$H$21,MATCH($A35,Audit_Werkzeuge!$K$12:$K$21,0))="","",INDEX(Audit_Werkzeuge!$H$12:$H$21,MATCH($A35,Audit_Werkzeuge!$K$12:$K$21,0))),IF(INDEX(Audit_Kompakt!$H$12:$H$35,MATCH($A35,Audit_Kompakt!$K$12:$K$35,0))="","",INDEX(Audit_Kompakt!$H$12:$H$35,MATCH($A35,Audit_Kompakt!$K$12:$K$35,0))))))),"")</f>
        <v/>
      </c>
      <c r="J35" s="41" t="str">
        <f aca="false">IFERROR(IF($A35="","",IF($A35&lt;=Übersicht!$P$13,IF(INDEX(Audit_Allgemein!$J$12:$J$50,MATCH($A35,Audit_Allgemein!$K$12:$K$50,0))="","",INDEX(Audit_Allgemein!$J$12:$J$50,MATCH($A35,Audit_Allgemein!$K$12:$K$50,0))),IF($A35&lt;=Übersicht!$P$14,IF(INDEX(Audit_Maschine!$J$12:$J$24,MATCH($A35,Audit_Maschine!$K$12:$K$24,0))="","",INDEX(Audit_Maschine!$J$12:$J$24,MATCH($A35,Audit_Maschine!$K$12:$K$24,0))),IF($A35&lt;=Übersicht!$P$15,IF(INDEX(Audit_Werkzeuge!$J$12:$J$21,MATCH($A35,Audit_Werkzeuge!$K$12:$K$21,0))="","",INDEX(Audit_Werkzeuge!$J$12:$J$21,MATCH($A35,Audit_Werkzeuge!$K$12:$K$21,0))),IF(INDEX(Audit_Kompakt!$J$12:$J$35,MATCH($A35,Audit_Kompakt!$K$12:$K$35,0))="","",INDEX(Audit_Kompakt!$J$12:$J$35,MATCH($A35,Audit_Kompakt!$K$12:$K$35,0))))))),"")</f>
        <v/>
      </c>
    </row>
    <row r="36" customFormat="false" ht="15" hidden="false" customHeight="false" outlineLevel="0" collapsed="false">
      <c r="A36" s="41" t="str">
        <f aca="false">IF(32&lt;=Übersicht!$M$17,32,"")</f>
        <v/>
      </c>
      <c r="B36" s="41" t="str">
        <f aca="false">IFERROR(IF($A36="","",IF($A36&lt;=Übersicht!$P$13,"Allgemein",IF($A36&lt;=Übersicht!$P$14,"Maschine",IF($A36&lt;=Übersicht!$P$15,"Werkzeug","Kompakt")))),"")</f>
        <v/>
      </c>
      <c r="C36" s="41" t="str">
        <f aca="false">IFERROR(IF($A36="","",IF($A36&lt;=Übersicht!$P$13,IF(Audit_Allgemein!$C$4="","–",Audit_Allgemein!$C$4),IF($A36&lt;=Übersicht!$P$14,IF(Audit_Maschine!$C$4="","–",Audit_Maschine!$C$4),IF($A36&lt;=Übersicht!$P$15,IF(Audit_Werkzeuge!$C$4="","–",Audit_Werkzeuge!$C$4),IF(Audit_Kompakt!$C$4="","–",Audit_Kompakt!$C$4))))),"")</f>
        <v/>
      </c>
      <c r="D36" s="41" t="str">
        <f aca="false">IFERROR(IF($A36="","",IF($A36&lt;=Übersicht!$P$13,IF(INDEX(Audit_Allgemein!$A$12:$A$50,MATCH($A36,Audit_Allgemein!$K$12:$K$50,0))="","",INDEX(Audit_Allgemein!$A$12:$A$50,MATCH($A36,Audit_Allgemein!$K$12:$K$50,0))),IF($A36&lt;=Übersicht!$P$14,IF(INDEX(Audit_Maschine!$A$12:$A$24,MATCH($A36,Audit_Maschine!$K$12:$K$24,0))="","",INDEX(Audit_Maschine!$A$12:$A$24,MATCH($A36,Audit_Maschine!$K$12:$K$24,0))),IF($A36&lt;=Übersicht!$P$15,IF(INDEX(Audit_Werkzeuge!$A$12:$A$21,MATCH($A36,Audit_Werkzeuge!$K$12:$K$21,0))="","",INDEX(Audit_Werkzeuge!$A$12:$A$21,MATCH($A36,Audit_Werkzeuge!$K$12:$K$21,0))),IF(INDEX(Audit_Kompakt!$A$12:$A$35,MATCH($A36,Audit_Kompakt!$K$12:$K$35,0))="","",INDEX(Audit_Kompakt!$A$12:$A$35,MATCH($A36,Audit_Kompakt!$K$12:$K$35,0))))))),"")</f>
        <v/>
      </c>
      <c r="E36" s="42" t="str">
        <f aca="false">IFERROR(IF($A36="","",IF($A36&lt;=Übersicht!$P$13,IF(INDEX(Audit_Allgemein!$C$12:$C$50,MATCH($A36,Audit_Allgemein!$K$12:$K$50,0))="","",INDEX(Audit_Allgemein!$C$12:$C$50,MATCH($A36,Audit_Allgemein!$K$12:$K$50,0))),IF($A36&lt;=Übersicht!$P$14,IF(INDEX(Audit_Maschine!$C$12:$C$24,MATCH($A36,Audit_Maschine!$K$12:$K$24,0))="","",INDEX(Audit_Maschine!$C$12:$C$24,MATCH($A36,Audit_Maschine!$K$12:$K$24,0))),IF($A36&lt;=Übersicht!$P$15,IF(INDEX(Audit_Werkzeuge!$C$12:$C$21,MATCH($A36,Audit_Werkzeuge!$K$12:$K$21,0))="","",INDEX(Audit_Werkzeuge!$C$12:$C$21,MATCH($A36,Audit_Werkzeuge!$K$12:$K$21,0))),IF(INDEX(Audit_Kompakt!$C$12:$C$35,MATCH($A36,Audit_Kompakt!$K$12:$K$35,0))="","",INDEX(Audit_Kompakt!$C$12:$C$35,MATCH($A36,Audit_Kompakt!$K$12:$K$35,0))))))),"")</f>
        <v/>
      </c>
      <c r="F36" s="41" t="str">
        <f aca="false">IFERROR(IF($A36="","",IF($A36&lt;=Übersicht!$P$13,IF(INDEX(Audit_Allgemein!$E$12:$E$50,MATCH($A36,Audit_Allgemein!$K$12:$K$50,0))="","",INDEX(Audit_Allgemein!$E$12:$E$50,MATCH($A36,Audit_Allgemein!$K$12:$K$50,0))),IF($A36&lt;=Übersicht!$P$14,IF(INDEX(Audit_Maschine!$E$12:$E$24,MATCH($A36,Audit_Maschine!$K$12:$K$24,0))="","",INDEX(Audit_Maschine!$E$12:$E$24,MATCH($A36,Audit_Maschine!$K$12:$K$24,0))),IF($A36&lt;=Übersicht!$P$15,IF(INDEX(Audit_Werkzeuge!$E$12:$E$21,MATCH($A36,Audit_Werkzeuge!$K$12:$K$21,0))="","",INDEX(Audit_Werkzeuge!$E$12:$E$21,MATCH($A36,Audit_Werkzeuge!$K$12:$K$21,0))),IF(INDEX(Audit_Kompakt!$E$12:$E$35,MATCH($A36,Audit_Kompakt!$K$12:$K$35,0))="","",INDEX(Audit_Kompakt!$E$12:$E$35,MATCH($A36,Audit_Kompakt!$K$12:$K$35,0))))))),"")</f>
        <v/>
      </c>
      <c r="G36" s="42" t="str">
        <f aca="false">IFERROR(IF($A36="","",IF($A36&lt;=Übersicht!$P$13,IF(INDEX(Audit_Allgemein!$F$12:$F$50,MATCH($A36,Audit_Allgemein!$K$12:$K$50,0))="","",INDEX(Audit_Allgemein!$F$12:$F$50,MATCH($A36,Audit_Allgemein!$K$12:$K$50,0))),IF($A36&lt;=Übersicht!$P$14,IF(INDEX(Audit_Maschine!$F$12:$F$24,MATCH($A36,Audit_Maschine!$K$12:$K$24,0))="","",INDEX(Audit_Maschine!$F$12:$F$24,MATCH($A36,Audit_Maschine!$K$12:$K$24,0))),IF($A36&lt;=Übersicht!$P$15,IF(INDEX(Audit_Werkzeuge!$F$12:$F$21,MATCH($A36,Audit_Werkzeuge!$K$12:$K$21,0))="","",INDEX(Audit_Werkzeuge!$F$12:$F$21,MATCH($A36,Audit_Werkzeuge!$K$12:$K$21,0))),IF(INDEX(Audit_Kompakt!$F$12:$F$35,MATCH($A36,Audit_Kompakt!$K$12:$K$35,0))="","",INDEX(Audit_Kompakt!$F$12:$F$35,MATCH($A36,Audit_Kompakt!$K$12:$K$35,0))))))),"")</f>
        <v/>
      </c>
      <c r="H36" s="41" t="str">
        <f aca="false">IFERROR(IF($A36="","",IF($A36&lt;=Übersicht!$P$13,IF(INDEX(Audit_Allgemein!$G$12:$G$50,MATCH($A36,Audit_Allgemein!$K$12:$K$50,0))="","",INDEX(Audit_Allgemein!$G$12:$G$50,MATCH($A36,Audit_Allgemein!$K$12:$K$50,0))),IF($A36&lt;=Übersicht!$P$14,IF(INDEX(Audit_Maschine!$G$12:$G$24,MATCH($A36,Audit_Maschine!$K$12:$K$24,0))="","",INDEX(Audit_Maschine!$G$12:$G$24,MATCH($A36,Audit_Maschine!$K$12:$K$24,0))),IF($A36&lt;=Übersicht!$P$15,IF(INDEX(Audit_Werkzeuge!$G$12:$G$21,MATCH($A36,Audit_Werkzeuge!$K$12:$K$21,0))="","",INDEX(Audit_Werkzeuge!$G$12:$G$21,MATCH($A36,Audit_Werkzeuge!$K$12:$K$21,0))),IF(INDEX(Audit_Kompakt!$G$12:$G$35,MATCH($A36,Audit_Kompakt!$K$12:$K$35,0))="","",INDEX(Audit_Kompakt!$G$12:$G$35,MATCH($A36,Audit_Kompakt!$K$12:$K$35,0))))))),"")</f>
        <v/>
      </c>
      <c r="I36" s="43" t="str">
        <f aca="false">IFERROR(IF($A36="","",IF($A36&lt;=Übersicht!$P$13,IF(INDEX(Audit_Allgemein!$H$12:$H$50,MATCH($A36,Audit_Allgemein!$K$12:$K$50,0))="","",INDEX(Audit_Allgemein!$H$12:$H$50,MATCH($A36,Audit_Allgemein!$K$12:$K$50,0))),IF($A36&lt;=Übersicht!$P$14,IF(INDEX(Audit_Maschine!$H$12:$H$24,MATCH($A36,Audit_Maschine!$K$12:$K$24,0))="","",INDEX(Audit_Maschine!$H$12:$H$24,MATCH($A36,Audit_Maschine!$K$12:$K$24,0))),IF($A36&lt;=Übersicht!$P$15,IF(INDEX(Audit_Werkzeuge!$H$12:$H$21,MATCH($A36,Audit_Werkzeuge!$K$12:$K$21,0))="","",INDEX(Audit_Werkzeuge!$H$12:$H$21,MATCH($A36,Audit_Werkzeuge!$K$12:$K$21,0))),IF(INDEX(Audit_Kompakt!$H$12:$H$35,MATCH($A36,Audit_Kompakt!$K$12:$K$35,0))="","",INDEX(Audit_Kompakt!$H$12:$H$35,MATCH($A36,Audit_Kompakt!$K$12:$K$35,0))))))),"")</f>
        <v/>
      </c>
      <c r="J36" s="41" t="str">
        <f aca="false">IFERROR(IF($A36="","",IF($A36&lt;=Übersicht!$P$13,IF(INDEX(Audit_Allgemein!$J$12:$J$50,MATCH($A36,Audit_Allgemein!$K$12:$K$50,0))="","",INDEX(Audit_Allgemein!$J$12:$J$50,MATCH($A36,Audit_Allgemein!$K$12:$K$50,0))),IF($A36&lt;=Übersicht!$P$14,IF(INDEX(Audit_Maschine!$J$12:$J$24,MATCH($A36,Audit_Maschine!$K$12:$K$24,0))="","",INDEX(Audit_Maschine!$J$12:$J$24,MATCH($A36,Audit_Maschine!$K$12:$K$24,0))),IF($A36&lt;=Übersicht!$P$15,IF(INDEX(Audit_Werkzeuge!$J$12:$J$21,MATCH($A36,Audit_Werkzeuge!$K$12:$K$21,0))="","",INDEX(Audit_Werkzeuge!$J$12:$J$21,MATCH($A36,Audit_Werkzeuge!$K$12:$K$21,0))),IF(INDEX(Audit_Kompakt!$J$12:$J$35,MATCH($A36,Audit_Kompakt!$K$12:$K$35,0))="","",INDEX(Audit_Kompakt!$J$12:$J$35,MATCH($A36,Audit_Kompakt!$K$12:$K$35,0))))))),"")</f>
        <v/>
      </c>
    </row>
    <row r="37" customFormat="false" ht="15" hidden="false" customHeight="false" outlineLevel="0" collapsed="false">
      <c r="A37" s="41" t="str">
        <f aca="false">IF(33&lt;=Übersicht!$M$17,33,"")</f>
        <v/>
      </c>
      <c r="B37" s="41" t="str">
        <f aca="false">IFERROR(IF($A37="","",IF($A37&lt;=Übersicht!$P$13,"Allgemein",IF($A37&lt;=Übersicht!$P$14,"Maschine",IF($A37&lt;=Übersicht!$P$15,"Werkzeug","Kompakt")))),"")</f>
        <v/>
      </c>
      <c r="C37" s="41" t="str">
        <f aca="false">IFERROR(IF($A37="","",IF($A37&lt;=Übersicht!$P$13,IF(Audit_Allgemein!$C$4="","–",Audit_Allgemein!$C$4),IF($A37&lt;=Übersicht!$P$14,IF(Audit_Maschine!$C$4="","–",Audit_Maschine!$C$4),IF($A37&lt;=Übersicht!$P$15,IF(Audit_Werkzeuge!$C$4="","–",Audit_Werkzeuge!$C$4),IF(Audit_Kompakt!$C$4="","–",Audit_Kompakt!$C$4))))),"")</f>
        <v/>
      </c>
      <c r="D37" s="41" t="str">
        <f aca="false">IFERROR(IF($A37="","",IF($A37&lt;=Übersicht!$P$13,IF(INDEX(Audit_Allgemein!$A$12:$A$50,MATCH($A37,Audit_Allgemein!$K$12:$K$50,0))="","",INDEX(Audit_Allgemein!$A$12:$A$50,MATCH($A37,Audit_Allgemein!$K$12:$K$50,0))),IF($A37&lt;=Übersicht!$P$14,IF(INDEX(Audit_Maschine!$A$12:$A$24,MATCH($A37,Audit_Maschine!$K$12:$K$24,0))="","",INDEX(Audit_Maschine!$A$12:$A$24,MATCH($A37,Audit_Maschine!$K$12:$K$24,0))),IF($A37&lt;=Übersicht!$P$15,IF(INDEX(Audit_Werkzeuge!$A$12:$A$21,MATCH($A37,Audit_Werkzeuge!$K$12:$K$21,0))="","",INDEX(Audit_Werkzeuge!$A$12:$A$21,MATCH($A37,Audit_Werkzeuge!$K$12:$K$21,0))),IF(INDEX(Audit_Kompakt!$A$12:$A$35,MATCH($A37,Audit_Kompakt!$K$12:$K$35,0))="","",INDEX(Audit_Kompakt!$A$12:$A$35,MATCH($A37,Audit_Kompakt!$K$12:$K$35,0))))))),"")</f>
        <v/>
      </c>
      <c r="E37" s="42" t="str">
        <f aca="false">IFERROR(IF($A37="","",IF($A37&lt;=Übersicht!$P$13,IF(INDEX(Audit_Allgemein!$C$12:$C$50,MATCH($A37,Audit_Allgemein!$K$12:$K$50,0))="","",INDEX(Audit_Allgemein!$C$12:$C$50,MATCH($A37,Audit_Allgemein!$K$12:$K$50,0))),IF($A37&lt;=Übersicht!$P$14,IF(INDEX(Audit_Maschine!$C$12:$C$24,MATCH($A37,Audit_Maschine!$K$12:$K$24,0))="","",INDEX(Audit_Maschine!$C$12:$C$24,MATCH($A37,Audit_Maschine!$K$12:$K$24,0))),IF($A37&lt;=Übersicht!$P$15,IF(INDEX(Audit_Werkzeuge!$C$12:$C$21,MATCH($A37,Audit_Werkzeuge!$K$12:$K$21,0))="","",INDEX(Audit_Werkzeuge!$C$12:$C$21,MATCH($A37,Audit_Werkzeuge!$K$12:$K$21,0))),IF(INDEX(Audit_Kompakt!$C$12:$C$35,MATCH($A37,Audit_Kompakt!$K$12:$K$35,0))="","",INDEX(Audit_Kompakt!$C$12:$C$35,MATCH($A37,Audit_Kompakt!$K$12:$K$35,0))))))),"")</f>
        <v/>
      </c>
      <c r="F37" s="41" t="str">
        <f aca="false">IFERROR(IF($A37="","",IF($A37&lt;=Übersicht!$P$13,IF(INDEX(Audit_Allgemein!$E$12:$E$50,MATCH($A37,Audit_Allgemein!$K$12:$K$50,0))="","",INDEX(Audit_Allgemein!$E$12:$E$50,MATCH($A37,Audit_Allgemein!$K$12:$K$50,0))),IF($A37&lt;=Übersicht!$P$14,IF(INDEX(Audit_Maschine!$E$12:$E$24,MATCH($A37,Audit_Maschine!$K$12:$K$24,0))="","",INDEX(Audit_Maschine!$E$12:$E$24,MATCH($A37,Audit_Maschine!$K$12:$K$24,0))),IF($A37&lt;=Übersicht!$P$15,IF(INDEX(Audit_Werkzeuge!$E$12:$E$21,MATCH($A37,Audit_Werkzeuge!$K$12:$K$21,0))="","",INDEX(Audit_Werkzeuge!$E$12:$E$21,MATCH($A37,Audit_Werkzeuge!$K$12:$K$21,0))),IF(INDEX(Audit_Kompakt!$E$12:$E$35,MATCH($A37,Audit_Kompakt!$K$12:$K$35,0))="","",INDEX(Audit_Kompakt!$E$12:$E$35,MATCH($A37,Audit_Kompakt!$K$12:$K$35,0))))))),"")</f>
        <v/>
      </c>
      <c r="G37" s="42" t="str">
        <f aca="false">IFERROR(IF($A37="","",IF($A37&lt;=Übersicht!$P$13,IF(INDEX(Audit_Allgemein!$F$12:$F$50,MATCH($A37,Audit_Allgemein!$K$12:$K$50,0))="","",INDEX(Audit_Allgemein!$F$12:$F$50,MATCH($A37,Audit_Allgemein!$K$12:$K$50,0))),IF($A37&lt;=Übersicht!$P$14,IF(INDEX(Audit_Maschine!$F$12:$F$24,MATCH($A37,Audit_Maschine!$K$12:$K$24,0))="","",INDEX(Audit_Maschine!$F$12:$F$24,MATCH($A37,Audit_Maschine!$K$12:$K$24,0))),IF($A37&lt;=Übersicht!$P$15,IF(INDEX(Audit_Werkzeuge!$F$12:$F$21,MATCH($A37,Audit_Werkzeuge!$K$12:$K$21,0))="","",INDEX(Audit_Werkzeuge!$F$12:$F$21,MATCH($A37,Audit_Werkzeuge!$K$12:$K$21,0))),IF(INDEX(Audit_Kompakt!$F$12:$F$35,MATCH($A37,Audit_Kompakt!$K$12:$K$35,0))="","",INDEX(Audit_Kompakt!$F$12:$F$35,MATCH($A37,Audit_Kompakt!$K$12:$K$35,0))))))),"")</f>
        <v/>
      </c>
      <c r="H37" s="41" t="str">
        <f aca="false">IFERROR(IF($A37="","",IF($A37&lt;=Übersicht!$P$13,IF(INDEX(Audit_Allgemein!$G$12:$G$50,MATCH($A37,Audit_Allgemein!$K$12:$K$50,0))="","",INDEX(Audit_Allgemein!$G$12:$G$50,MATCH($A37,Audit_Allgemein!$K$12:$K$50,0))),IF($A37&lt;=Übersicht!$P$14,IF(INDEX(Audit_Maschine!$G$12:$G$24,MATCH($A37,Audit_Maschine!$K$12:$K$24,0))="","",INDEX(Audit_Maschine!$G$12:$G$24,MATCH($A37,Audit_Maschine!$K$12:$K$24,0))),IF($A37&lt;=Übersicht!$P$15,IF(INDEX(Audit_Werkzeuge!$G$12:$G$21,MATCH($A37,Audit_Werkzeuge!$K$12:$K$21,0))="","",INDEX(Audit_Werkzeuge!$G$12:$G$21,MATCH($A37,Audit_Werkzeuge!$K$12:$K$21,0))),IF(INDEX(Audit_Kompakt!$G$12:$G$35,MATCH($A37,Audit_Kompakt!$K$12:$K$35,0))="","",INDEX(Audit_Kompakt!$G$12:$G$35,MATCH($A37,Audit_Kompakt!$K$12:$K$35,0))))))),"")</f>
        <v/>
      </c>
      <c r="I37" s="43" t="str">
        <f aca="false">IFERROR(IF($A37="","",IF($A37&lt;=Übersicht!$P$13,IF(INDEX(Audit_Allgemein!$H$12:$H$50,MATCH($A37,Audit_Allgemein!$K$12:$K$50,0))="","",INDEX(Audit_Allgemein!$H$12:$H$50,MATCH($A37,Audit_Allgemein!$K$12:$K$50,0))),IF($A37&lt;=Übersicht!$P$14,IF(INDEX(Audit_Maschine!$H$12:$H$24,MATCH($A37,Audit_Maschine!$K$12:$K$24,0))="","",INDEX(Audit_Maschine!$H$12:$H$24,MATCH($A37,Audit_Maschine!$K$12:$K$24,0))),IF($A37&lt;=Übersicht!$P$15,IF(INDEX(Audit_Werkzeuge!$H$12:$H$21,MATCH($A37,Audit_Werkzeuge!$K$12:$K$21,0))="","",INDEX(Audit_Werkzeuge!$H$12:$H$21,MATCH($A37,Audit_Werkzeuge!$K$12:$K$21,0))),IF(INDEX(Audit_Kompakt!$H$12:$H$35,MATCH($A37,Audit_Kompakt!$K$12:$K$35,0))="","",INDEX(Audit_Kompakt!$H$12:$H$35,MATCH($A37,Audit_Kompakt!$K$12:$K$35,0))))))),"")</f>
        <v/>
      </c>
      <c r="J37" s="41" t="str">
        <f aca="false">IFERROR(IF($A37="","",IF($A37&lt;=Übersicht!$P$13,IF(INDEX(Audit_Allgemein!$J$12:$J$50,MATCH($A37,Audit_Allgemein!$K$12:$K$50,0))="","",INDEX(Audit_Allgemein!$J$12:$J$50,MATCH($A37,Audit_Allgemein!$K$12:$K$50,0))),IF($A37&lt;=Übersicht!$P$14,IF(INDEX(Audit_Maschine!$J$12:$J$24,MATCH($A37,Audit_Maschine!$K$12:$K$24,0))="","",INDEX(Audit_Maschine!$J$12:$J$24,MATCH($A37,Audit_Maschine!$K$12:$K$24,0))),IF($A37&lt;=Übersicht!$P$15,IF(INDEX(Audit_Werkzeuge!$J$12:$J$21,MATCH($A37,Audit_Werkzeuge!$K$12:$K$21,0))="","",INDEX(Audit_Werkzeuge!$J$12:$J$21,MATCH($A37,Audit_Werkzeuge!$K$12:$K$21,0))),IF(INDEX(Audit_Kompakt!$J$12:$J$35,MATCH($A37,Audit_Kompakt!$K$12:$K$35,0))="","",INDEX(Audit_Kompakt!$J$12:$J$35,MATCH($A37,Audit_Kompakt!$K$12:$K$35,0))))))),"")</f>
        <v/>
      </c>
    </row>
    <row r="38" customFormat="false" ht="15" hidden="false" customHeight="false" outlineLevel="0" collapsed="false">
      <c r="A38" s="41" t="str">
        <f aca="false">IF(34&lt;=Übersicht!$M$17,34,"")</f>
        <v/>
      </c>
      <c r="B38" s="41" t="str">
        <f aca="false">IFERROR(IF($A38="","",IF($A38&lt;=Übersicht!$P$13,"Allgemein",IF($A38&lt;=Übersicht!$P$14,"Maschine",IF($A38&lt;=Übersicht!$P$15,"Werkzeug","Kompakt")))),"")</f>
        <v/>
      </c>
      <c r="C38" s="41" t="str">
        <f aca="false">IFERROR(IF($A38="","",IF($A38&lt;=Übersicht!$P$13,IF(Audit_Allgemein!$C$4="","–",Audit_Allgemein!$C$4),IF($A38&lt;=Übersicht!$P$14,IF(Audit_Maschine!$C$4="","–",Audit_Maschine!$C$4),IF($A38&lt;=Übersicht!$P$15,IF(Audit_Werkzeuge!$C$4="","–",Audit_Werkzeuge!$C$4),IF(Audit_Kompakt!$C$4="","–",Audit_Kompakt!$C$4))))),"")</f>
        <v/>
      </c>
      <c r="D38" s="41" t="str">
        <f aca="false">IFERROR(IF($A38="","",IF($A38&lt;=Übersicht!$P$13,IF(INDEX(Audit_Allgemein!$A$12:$A$50,MATCH($A38,Audit_Allgemein!$K$12:$K$50,0))="","",INDEX(Audit_Allgemein!$A$12:$A$50,MATCH($A38,Audit_Allgemein!$K$12:$K$50,0))),IF($A38&lt;=Übersicht!$P$14,IF(INDEX(Audit_Maschine!$A$12:$A$24,MATCH($A38,Audit_Maschine!$K$12:$K$24,0))="","",INDEX(Audit_Maschine!$A$12:$A$24,MATCH($A38,Audit_Maschine!$K$12:$K$24,0))),IF($A38&lt;=Übersicht!$P$15,IF(INDEX(Audit_Werkzeuge!$A$12:$A$21,MATCH($A38,Audit_Werkzeuge!$K$12:$K$21,0))="","",INDEX(Audit_Werkzeuge!$A$12:$A$21,MATCH($A38,Audit_Werkzeuge!$K$12:$K$21,0))),IF(INDEX(Audit_Kompakt!$A$12:$A$35,MATCH($A38,Audit_Kompakt!$K$12:$K$35,0))="","",INDEX(Audit_Kompakt!$A$12:$A$35,MATCH($A38,Audit_Kompakt!$K$12:$K$35,0))))))),"")</f>
        <v/>
      </c>
      <c r="E38" s="42" t="str">
        <f aca="false">IFERROR(IF($A38="","",IF($A38&lt;=Übersicht!$P$13,IF(INDEX(Audit_Allgemein!$C$12:$C$50,MATCH($A38,Audit_Allgemein!$K$12:$K$50,0))="","",INDEX(Audit_Allgemein!$C$12:$C$50,MATCH($A38,Audit_Allgemein!$K$12:$K$50,0))),IF($A38&lt;=Übersicht!$P$14,IF(INDEX(Audit_Maschine!$C$12:$C$24,MATCH($A38,Audit_Maschine!$K$12:$K$24,0))="","",INDEX(Audit_Maschine!$C$12:$C$24,MATCH($A38,Audit_Maschine!$K$12:$K$24,0))),IF($A38&lt;=Übersicht!$P$15,IF(INDEX(Audit_Werkzeuge!$C$12:$C$21,MATCH($A38,Audit_Werkzeuge!$K$12:$K$21,0))="","",INDEX(Audit_Werkzeuge!$C$12:$C$21,MATCH($A38,Audit_Werkzeuge!$K$12:$K$21,0))),IF(INDEX(Audit_Kompakt!$C$12:$C$35,MATCH($A38,Audit_Kompakt!$K$12:$K$35,0))="","",INDEX(Audit_Kompakt!$C$12:$C$35,MATCH($A38,Audit_Kompakt!$K$12:$K$35,0))))))),"")</f>
        <v/>
      </c>
      <c r="F38" s="41" t="str">
        <f aca="false">IFERROR(IF($A38="","",IF($A38&lt;=Übersicht!$P$13,IF(INDEX(Audit_Allgemein!$E$12:$E$50,MATCH($A38,Audit_Allgemein!$K$12:$K$50,0))="","",INDEX(Audit_Allgemein!$E$12:$E$50,MATCH($A38,Audit_Allgemein!$K$12:$K$50,0))),IF($A38&lt;=Übersicht!$P$14,IF(INDEX(Audit_Maschine!$E$12:$E$24,MATCH($A38,Audit_Maschine!$K$12:$K$24,0))="","",INDEX(Audit_Maschine!$E$12:$E$24,MATCH($A38,Audit_Maschine!$K$12:$K$24,0))),IF($A38&lt;=Übersicht!$P$15,IF(INDEX(Audit_Werkzeuge!$E$12:$E$21,MATCH($A38,Audit_Werkzeuge!$K$12:$K$21,0))="","",INDEX(Audit_Werkzeuge!$E$12:$E$21,MATCH($A38,Audit_Werkzeuge!$K$12:$K$21,0))),IF(INDEX(Audit_Kompakt!$E$12:$E$35,MATCH($A38,Audit_Kompakt!$K$12:$K$35,0))="","",INDEX(Audit_Kompakt!$E$12:$E$35,MATCH($A38,Audit_Kompakt!$K$12:$K$35,0))))))),"")</f>
        <v/>
      </c>
      <c r="G38" s="42" t="str">
        <f aca="false">IFERROR(IF($A38="","",IF($A38&lt;=Übersicht!$P$13,IF(INDEX(Audit_Allgemein!$F$12:$F$50,MATCH($A38,Audit_Allgemein!$K$12:$K$50,0))="","",INDEX(Audit_Allgemein!$F$12:$F$50,MATCH($A38,Audit_Allgemein!$K$12:$K$50,0))),IF($A38&lt;=Übersicht!$P$14,IF(INDEX(Audit_Maschine!$F$12:$F$24,MATCH($A38,Audit_Maschine!$K$12:$K$24,0))="","",INDEX(Audit_Maschine!$F$12:$F$24,MATCH($A38,Audit_Maschine!$K$12:$K$24,0))),IF($A38&lt;=Übersicht!$P$15,IF(INDEX(Audit_Werkzeuge!$F$12:$F$21,MATCH($A38,Audit_Werkzeuge!$K$12:$K$21,0))="","",INDEX(Audit_Werkzeuge!$F$12:$F$21,MATCH($A38,Audit_Werkzeuge!$K$12:$K$21,0))),IF(INDEX(Audit_Kompakt!$F$12:$F$35,MATCH($A38,Audit_Kompakt!$K$12:$K$35,0))="","",INDEX(Audit_Kompakt!$F$12:$F$35,MATCH($A38,Audit_Kompakt!$K$12:$K$35,0))))))),"")</f>
        <v/>
      </c>
      <c r="H38" s="41" t="str">
        <f aca="false">IFERROR(IF($A38="","",IF($A38&lt;=Übersicht!$P$13,IF(INDEX(Audit_Allgemein!$G$12:$G$50,MATCH($A38,Audit_Allgemein!$K$12:$K$50,0))="","",INDEX(Audit_Allgemein!$G$12:$G$50,MATCH($A38,Audit_Allgemein!$K$12:$K$50,0))),IF($A38&lt;=Übersicht!$P$14,IF(INDEX(Audit_Maschine!$G$12:$G$24,MATCH($A38,Audit_Maschine!$K$12:$K$24,0))="","",INDEX(Audit_Maschine!$G$12:$G$24,MATCH($A38,Audit_Maschine!$K$12:$K$24,0))),IF($A38&lt;=Übersicht!$P$15,IF(INDEX(Audit_Werkzeuge!$G$12:$G$21,MATCH($A38,Audit_Werkzeuge!$K$12:$K$21,0))="","",INDEX(Audit_Werkzeuge!$G$12:$G$21,MATCH($A38,Audit_Werkzeuge!$K$12:$K$21,0))),IF(INDEX(Audit_Kompakt!$G$12:$G$35,MATCH($A38,Audit_Kompakt!$K$12:$K$35,0))="","",INDEX(Audit_Kompakt!$G$12:$G$35,MATCH($A38,Audit_Kompakt!$K$12:$K$35,0))))))),"")</f>
        <v/>
      </c>
      <c r="I38" s="43" t="str">
        <f aca="false">IFERROR(IF($A38="","",IF($A38&lt;=Übersicht!$P$13,IF(INDEX(Audit_Allgemein!$H$12:$H$50,MATCH($A38,Audit_Allgemein!$K$12:$K$50,0))="","",INDEX(Audit_Allgemein!$H$12:$H$50,MATCH($A38,Audit_Allgemein!$K$12:$K$50,0))),IF($A38&lt;=Übersicht!$P$14,IF(INDEX(Audit_Maschine!$H$12:$H$24,MATCH($A38,Audit_Maschine!$K$12:$K$24,0))="","",INDEX(Audit_Maschine!$H$12:$H$24,MATCH($A38,Audit_Maschine!$K$12:$K$24,0))),IF($A38&lt;=Übersicht!$P$15,IF(INDEX(Audit_Werkzeuge!$H$12:$H$21,MATCH($A38,Audit_Werkzeuge!$K$12:$K$21,0))="","",INDEX(Audit_Werkzeuge!$H$12:$H$21,MATCH($A38,Audit_Werkzeuge!$K$12:$K$21,0))),IF(INDEX(Audit_Kompakt!$H$12:$H$35,MATCH($A38,Audit_Kompakt!$K$12:$K$35,0))="","",INDEX(Audit_Kompakt!$H$12:$H$35,MATCH($A38,Audit_Kompakt!$K$12:$K$35,0))))))),"")</f>
        <v/>
      </c>
      <c r="J38" s="41" t="str">
        <f aca="false">IFERROR(IF($A38="","",IF($A38&lt;=Übersicht!$P$13,IF(INDEX(Audit_Allgemein!$J$12:$J$50,MATCH($A38,Audit_Allgemein!$K$12:$K$50,0))="","",INDEX(Audit_Allgemein!$J$12:$J$50,MATCH($A38,Audit_Allgemein!$K$12:$K$50,0))),IF($A38&lt;=Übersicht!$P$14,IF(INDEX(Audit_Maschine!$J$12:$J$24,MATCH($A38,Audit_Maschine!$K$12:$K$24,0))="","",INDEX(Audit_Maschine!$J$12:$J$24,MATCH($A38,Audit_Maschine!$K$12:$K$24,0))),IF($A38&lt;=Übersicht!$P$15,IF(INDEX(Audit_Werkzeuge!$J$12:$J$21,MATCH($A38,Audit_Werkzeuge!$K$12:$K$21,0))="","",INDEX(Audit_Werkzeuge!$J$12:$J$21,MATCH($A38,Audit_Werkzeuge!$K$12:$K$21,0))),IF(INDEX(Audit_Kompakt!$J$12:$J$35,MATCH($A38,Audit_Kompakt!$K$12:$K$35,0))="","",INDEX(Audit_Kompakt!$J$12:$J$35,MATCH($A38,Audit_Kompakt!$K$12:$K$35,0))))))),"")</f>
        <v/>
      </c>
    </row>
    <row r="39" customFormat="false" ht="15" hidden="false" customHeight="false" outlineLevel="0" collapsed="false">
      <c r="A39" s="41" t="str">
        <f aca="false">IF(35&lt;=Übersicht!$M$17,35,"")</f>
        <v/>
      </c>
      <c r="B39" s="41" t="str">
        <f aca="false">IFERROR(IF($A39="","",IF($A39&lt;=Übersicht!$P$13,"Allgemein",IF($A39&lt;=Übersicht!$P$14,"Maschine",IF($A39&lt;=Übersicht!$P$15,"Werkzeug","Kompakt")))),"")</f>
        <v/>
      </c>
      <c r="C39" s="41" t="str">
        <f aca="false">IFERROR(IF($A39="","",IF($A39&lt;=Übersicht!$P$13,IF(Audit_Allgemein!$C$4="","–",Audit_Allgemein!$C$4),IF($A39&lt;=Übersicht!$P$14,IF(Audit_Maschine!$C$4="","–",Audit_Maschine!$C$4),IF($A39&lt;=Übersicht!$P$15,IF(Audit_Werkzeuge!$C$4="","–",Audit_Werkzeuge!$C$4),IF(Audit_Kompakt!$C$4="","–",Audit_Kompakt!$C$4))))),"")</f>
        <v/>
      </c>
      <c r="D39" s="41" t="str">
        <f aca="false">IFERROR(IF($A39="","",IF($A39&lt;=Übersicht!$P$13,IF(INDEX(Audit_Allgemein!$A$12:$A$50,MATCH($A39,Audit_Allgemein!$K$12:$K$50,0))="","",INDEX(Audit_Allgemein!$A$12:$A$50,MATCH($A39,Audit_Allgemein!$K$12:$K$50,0))),IF($A39&lt;=Übersicht!$P$14,IF(INDEX(Audit_Maschine!$A$12:$A$24,MATCH($A39,Audit_Maschine!$K$12:$K$24,0))="","",INDEX(Audit_Maschine!$A$12:$A$24,MATCH($A39,Audit_Maschine!$K$12:$K$24,0))),IF($A39&lt;=Übersicht!$P$15,IF(INDEX(Audit_Werkzeuge!$A$12:$A$21,MATCH($A39,Audit_Werkzeuge!$K$12:$K$21,0))="","",INDEX(Audit_Werkzeuge!$A$12:$A$21,MATCH($A39,Audit_Werkzeuge!$K$12:$K$21,0))),IF(INDEX(Audit_Kompakt!$A$12:$A$35,MATCH($A39,Audit_Kompakt!$K$12:$K$35,0))="","",INDEX(Audit_Kompakt!$A$12:$A$35,MATCH($A39,Audit_Kompakt!$K$12:$K$35,0))))))),"")</f>
        <v/>
      </c>
      <c r="E39" s="42" t="str">
        <f aca="false">IFERROR(IF($A39="","",IF($A39&lt;=Übersicht!$P$13,IF(INDEX(Audit_Allgemein!$C$12:$C$50,MATCH($A39,Audit_Allgemein!$K$12:$K$50,0))="","",INDEX(Audit_Allgemein!$C$12:$C$50,MATCH($A39,Audit_Allgemein!$K$12:$K$50,0))),IF($A39&lt;=Übersicht!$P$14,IF(INDEX(Audit_Maschine!$C$12:$C$24,MATCH($A39,Audit_Maschine!$K$12:$K$24,0))="","",INDEX(Audit_Maschine!$C$12:$C$24,MATCH($A39,Audit_Maschine!$K$12:$K$24,0))),IF($A39&lt;=Übersicht!$P$15,IF(INDEX(Audit_Werkzeuge!$C$12:$C$21,MATCH($A39,Audit_Werkzeuge!$K$12:$K$21,0))="","",INDEX(Audit_Werkzeuge!$C$12:$C$21,MATCH($A39,Audit_Werkzeuge!$K$12:$K$21,0))),IF(INDEX(Audit_Kompakt!$C$12:$C$35,MATCH($A39,Audit_Kompakt!$K$12:$K$35,0))="","",INDEX(Audit_Kompakt!$C$12:$C$35,MATCH($A39,Audit_Kompakt!$K$12:$K$35,0))))))),"")</f>
        <v/>
      </c>
      <c r="F39" s="41" t="str">
        <f aca="false">IFERROR(IF($A39="","",IF($A39&lt;=Übersicht!$P$13,IF(INDEX(Audit_Allgemein!$E$12:$E$50,MATCH($A39,Audit_Allgemein!$K$12:$K$50,0))="","",INDEX(Audit_Allgemein!$E$12:$E$50,MATCH($A39,Audit_Allgemein!$K$12:$K$50,0))),IF($A39&lt;=Übersicht!$P$14,IF(INDEX(Audit_Maschine!$E$12:$E$24,MATCH($A39,Audit_Maschine!$K$12:$K$24,0))="","",INDEX(Audit_Maschine!$E$12:$E$24,MATCH($A39,Audit_Maschine!$K$12:$K$24,0))),IF($A39&lt;=Übersicht!$P$15,IF(INDEX(Audit_Werkzeuge!$E$12:$E$21,MATCH($A39,Audit_Werkzeuge!$K$12:$K$21,0))="","",INDEX(Audit_Werkzeuge!$E$12:$E$21,MATCH($A39,Audit_Werkzeuge!$K$12:$K$21,0))),IF(INDEX(Audit_Kompakt!$E$12:$E$35,MATCH($A39,Audit_Kompakt!$K$12:$K$35,0))="","",INDEX(Audit_Kompakt!$E$12:$E$35,MATCH($A39,Audit_Kompakt!$K$12:$K$35,0))))))),"")</f>
        <v/>
      </c>
      <c r="G39" s="42" t="str">
        <f aca="false">IFERROR(IF($A39="","",IF($A39&lt;=Übersicht!$P$13,IF(INDEX(Audit_Allgemein!$F$12:$F$50,MATCH($A39,Audit_Allgemein!$K$12:$K$50,0))="","",INDEX(Audit_Allgemein!$F$12:$F$50,MATCH($A39,Audit_Allgemein!$K$12:$K$50,0))),IF($A39&lt;=Übersicht!$P$14,IF(INDEX(Audit_Maschine!$F$12:$F$24,MATCH($A39,Audit_Maschine!$K$12:$K$24,0))="","",INDEX(Audit_Maschine!$F$12:$F$24,MATCH($A39,Audit_Maschine!$K$12:$K$24,0))),IF($A39&lt;=Übersicht!$P$15,IF(INDEX(Audit_Werkzeuge!$F$12:$F$21,MATCH($A39,Audit_Werkzeuge!$K$12:$K$21,0))="","",INDEX(Audit_Werkzeuge!$F$12:$F$21,MATCH($A39,Audit_Werkzeuge!$K$12:$K$21,0))),IF(INDEX(Audit_Kompakt!$F$12:$F$35,MATCH($A39,Audit_Kompakt!$K$12:$K$35,0))="","",INDEX(Audit_Kompakt!$F$12:$F$35,MATCH($A39,Audit_Kompakt!$K$12:$K$35,0))))))),"")</f>
        <v/>
      </c>
      <c r="H39" s="41" t="str">
        <f aca="false">IFERROR(IF($A39="","",IF($A39&lt;=Übersicht!$P$13,IF(INDEX(Audit_Allgemein!$G$12:$G$50,MATCH($A39,Audit_Allgemein!$K$12:$K$50,0))="","",INDEX(Audit_Allgemein!$G$12:$G$50,MATCH($A39,Audit_Allgemein!$K$12:$K$50,0))),IF($A39&lt;=Übersicht!$P$14,IF(INDEX(Audit_Maschine!$G$12:$G$24,MATCH($A39,Audit_Maschine!$K$12:$K$24,0))="","",INDEX(Audit_Maschine!$G$12:$G$24,MATCH($A39,Audit_Maschine!$K$12:$K$24,0))),IF($A39&lt;=Übersicht!$P$15,IF(INDEX(Audit_Werkzeuge!$G$12:$G$21,MATCH($A39,Audit_Werkzeuge!$K$12:$K$21,0))="","",INDEX(Audit_Werkzeuge!$G$12:$G$21,MATCH($A39,Audit_Werkzeuge!$K$12:$K$21,0))),IF(INDEX(Audit_Kompakt!$G$12:$G$35,MATCH($A39,Audit_Kompakt!$K$12:$K$35,0))="","",INDEX(Audit_Kompakt!$G$12:$G$35,MATCH($A39,Audit_Kompakt!$K$12:$K$35,0))))))),"")</f>
        <v/>
      </c>
      <c r="I39" s="43" t="str">
        <f aca="false">IFERROR(IF($A39="","",IF($A39&lt;=Übersicht!$P$13,IF(INDEX(Audit_Allgemein!$H$12:$H$50,MATCH($A39,Audit_Allgemein!$K$12:$K$50,0))="","",INDEX(Audit_Allgemein!$H$12:$H$50,MATCH($A39,Audit_Allgemein!$K$12:$K$50,0))),IF($A39&lt;=Übersicht!$P$14,IF(INDEX(Audit_Maschine!$H$12:$H$24,MATCH($A39,Audit_Maschine!$K$12:$K$24,0))="","",INDEX(Audit_Maschine!$H$12:$H$24,MATCH($A39,Audit_Maschine!$K$12:$K$24,0))),IF($A39&lt;=Übersicht!$P$15,IF(INDEX(Audit_Werkzeuge!$H$12:$H$21,MATCH($A39,Audit_Werkzeuge!$K$12:$K$21,0))="","",INDEX(Audit_Werkzeuge!$H$12:$H$21,MATCH($A39,Audit_Werkzeuge!$K$12:$K$21,0))),IF(INDEX(Audit_Kompakt!$H$12:$H$35,MATCH($A39,Audit_Kompakt!$K$12:$K$35,0))="","",INDEX(Audit_Kompakt!$H$12:$H$35,MATCH($A39,Audit_Kompakt!$K$12:$K$35,0))))))),"")</f>
        <v/>
      </c>
      <c r="J39" s="41" t="str">
        <f aca="false">IFERROR(IF($A39="","",IF($A39&lt;=Übersicht!$P$13,IF(INDEX(Audit_Allgemein!$J$12:$J$50,MATCH($A39,Audit_Allgemein!$K$12:$K$50,0))="","",INDEX(Audit_Allgemein!$J$12:$J$50,MATCH($A39,Audit_Allgemein!$K$12:$K$50,0))),IF($A39&lt;=Übersicht!$P$14,IF(INDEX(Audit_Maschine!$J$12:$J$24,MATCH($A39,Audit_Maschine!$K$12:$K$24,0))="","",INDEX(Audit_Maschine!$J$12:$J$24,MATCH($A39,Audit_Maschine!$K$12:$K$24,0))),IF($A39&lt;=Übersicht!$P$15,IF(INDEX(Audit_Werkzeuge!$J$12:$J$21,MATCH($A39,Audit_Werkzeuge!$K$12:$K$21,0))="","",INDEX(Audit_Werkzeuge!$J$12:$J$21,MATCH($A39,Audit_Werkzeuge!$K$12:$K$21,0))),IF(INDEX(Audit_Kompakt!$J$12:$J$35,MATCH($A39,Audit_Kompakt!$K$12:$K$35,0))="","",INDEX(Audit_Kompakt!$J$12:$J$35,MATCH($A39,Audit_Kompakt!$K$12:$K$35,0))))))),"")</f>
        <v/>
      </c>
    </row>
    <row r="40" customFormat="false" ht="15" hidden="false" customHeight="false" outlineLevel="0" collapsed="false">
      <c r="A40" s="41" t="str">
        <f aca="false">IF(36&lt;=Übersicht!$M$17,36,"")</f>
        <v/>
      </c>
      <c r="B40" s="41" t="str">
        <f aca="false">IFERROR(IF($A40="","",IF($A40&lt;=Übersicht!$P$13,"Allgemein",IF($A40&lt;=Übersicht!$P$14,"Maschine",IF($A40&lt;=Übersicht!$P$15,"Werkzeug","Kompakt")))),"")</f>
        <v/>
      </c>
      <c r="C40" s="41" t="str">
        <f aca="false">IFERROR(IF($A40="","",IF($A40&lt;=Übersicht!$P$13,IF(Audit_Allgemein!$C$4="","–",Audit_Allgemein!$C$4),IF($A40&lt;=Übersicht!$P$14,IF(Audit_Maschine!$C$4="","–",Audit_Maschine!$C$4),IF($A40&lt;=Übersicht!$P$15,IF(Audit_Werkzeuge!$C$4="","–",Audit_Werkzeuge!$C$4),IF(Audit_Kompakt!$C$4="","–",Audit_Kompakt!$C$4))))),"")</f>
        <v/>
      </c>
      <c r="D40" s="41" t="str">
        <f aca="false">IFERROR(IF($A40="","",IF($A40&lt;=Übersicht!$P$13,IF(INDEX(Audit_Allgemein!$A$12:$A$50,MATCH($A40,Audit_Allgemein!$K$12:$K$50,0))="","",INDEX(Audit_Allgemein!$A$12:$A$50,MATCH($A40,Audit_Allgemein!$K$12:$K$50,0))),IF($A40&lt;=Übersicht!$P$14,IF(INDEX(Audit_Maschine!$A$12:$A$24,MATCH($A40,Audit_Maschine!$K$12:$K$24,0))="","",INDEX(Audit_Maschine!$A$12:$A$24,MATCH($A40,Audit_Maschine!$K$12:$K$24,0))),IF($A40&lt;=Übersicht!$P$15,IF(INDEX(Audit_Werkzeuge!$A$12:$A$21,MATCH($A40,Audit_Werkzeuge!$K$12:$K$21,0))="","",INDEX(Audit_Werkzeuge!$A$12:$A$21,MATCH($A40,Audit_Werkzeuge!$K$12:$K$21,0))),IF(INDEX(Audit_Kompakt!$A$12:$A$35,MATCH($A40,Audit_Kompakt!$K$12:$K$35,0))="","",INDEX(Audit_Kompakt!$A$12:$A$35,MATCH($A40,Audit_Kompakt!$K$12:$K$35,0))))))),"")</f>
        <v/>
      </c>
      <c r="E40" s="42" t="str">
        <f aca="false">IFERROR(IF($A40="","",IF($A40&lt;=Übersicht!$P$13,IF(INDEX(Audit_Allgemein!$C$12:$C$50,MATCH($A40,Audit_Allgemein!$K$12:$K$50,0))="","",INDEX(Audit_Allgemein!$C$12:$C$50,MATCH($A40,Audit_Allgemein!$K$12:$K$50,0))),IF($A40&lt;=Übersicht!$P$14,IF(INDEX(Audit_Maschine!$C$12:$C$24,MATCH($A40,Audit_Maschine!$K$12:$K$24,0))="","",INDEX(Audit_Maschine!$C$12:$C$24,MATCH($A40,Audit_Maschine!$K$12:$K$24,0))),IF($A40&lt;=Übersicht!$P$15,IF(INDEX(Audit_Werkzeuge!$C$12:$C$21,MATCH($A40,Audit_Werkzeuge!$K$12:$K$21,0))="","",INDEX(Audit_Werkzeuge!$C$12:$C$21,MATCH($A40,Audit_Werkzeuge!$K$12:$K$21,0))),IF(INDEX(Audit_Kompakt!$C$12:$C$35,MATCH($A40,Audit_Kompakt!$K$12:$K$35,0))="","",INDEX(Audit_Kompakt!$C$12:$C$35,MATCH($A40,Audit_Kompakt!$K$12:$K$35,0))))))),"")</f>
        <v/>
      </c>
      <c r="F40" s="41" t="str">
        <f aca="false">IFERROR(IF($A40="","",IF($A40&lt;=Übersicht!$P$13,IF(INDEX(Audit_Allgemein!$E$12:$E$50,MATCH($A40,Audit_Allgemein!$K$12:$K$50,0))="","",INDEX(Audit_Allgemein!$E$12:$E$50,MATCH($A40,Audit_Allgemein!$K$12:$K$50,0))),IF($A40&lt;=Übersicht!$P$14,IF(INDEX(Audit_Maschine!$E$12:$E$24,MATCH($A40,Audit_Maschine!$K$12:$K$24,0))="","",INDEX(Audit_Maschine!$E$12:$E$24,MATCH($A40,Audit_Maschine!$K$12:$K$24,0))),IF($A40&lt;=Übersicht!$P$15,IF(INDEX(Audit_Werkzeuge!$E$12:$E$21,MATCH($A40,Audit_Werkzeuge!$K$12:$K$21,0))="","",INDEX(Audit_Werkzeuge!$E$12:$E$21,MATCH($A40,Audit_Werkzeuge!$K$12:$K$21,0))),IF(INDEX(Audit_Kompakt!$E$12:$E$35,MATCH($A40,Audit_Kompakt!$K$12:$K$35,0))="","",INDEX(Audit_Kompakt!$E$12:$E$35,MATCH($A40,Audit_Kompakt!$K$12:$K$35,0))))))),"")</f>
        <v/>
      </c>
      <c r="G40" s="42" t="str">
        <f aca="false">IFERROR(IF($A40="","",IF($A40&lt;=Übersicht!$P$13,IF(INDEX(Audit_Allgemein!$F$12:$F$50,MATCH($A40,Audit_Allgemein!$K$12:$K$50,0))="","",INDEX(Audit_Allgemein!$F$12:$F$50,MATCH($A40,Audit_Allgemein!$K$12:$K$50,0))),IF($A40&lt;=Übersicht!$P$14,IF(INDEX(Audit_Maschine!$F$12:$F$24,MATCH($A40,Audit_Maschine!$K$12:$K$24,0))="","",INDEX(Audit_Maschine!$F$12:$F$24,MATCH($A40,Audit_Maschine!$K$12:$K$24,0))),IF($A40&lt;=Übersicht!$P$15,IF(INDEX(Audit_Werkzeuge!$F$12:$F$21,MATCH($A40,Audit_Werkzeuge!$K$12:$K$21,0))="","",INDEX(Audit_Werkzeuge!$F$12:$F$21,MATCH($A40,Audit_Werkzeuge!$K$12:$K$21,0))),IF(INDEX(Audit_Kompakt!$F$12:$F$35,MATCH($A40,Audit_Kompakt!$K$12:$K$35,0))="","",INDEX(Audit_Kompakt!$F$12:$F$35,MATCH($A40,Audit_Kompakt!$K$12:$K$35,0))))))),"")</f>
        <v/>
      </c>
      <c r="H40" s="41" t="str">
        <f aca="false">IFERROR(IF($A40="","",IF($A40&lt;=Übersicht!$P$13,IF(INDEX(Audit_Allgemein!$G$12:$G$50,MATCH($A40,Audit_Allgemein!$K$12:$K$50,0))="","",INDEX(Audit_Allgemein!$G$12:$G$50,MATCH($A40,Audit_Allgemein!$K$12:$K$50,0))),IF($A40&lt;=Übersicht!$P$14,IF(INDEX(Audit_Maschine!$G$12:$G$24,MATCH($A40,Audit_Maschine!$K$12:$K$24,0))="","",INDEX(Audit_Maschine!$G$12:$G$24,MATCH($A40,Audit_Maschine!$K$12:$K$24,0))),IF($A40&lt;=Übersicht!$P$15,IF(INDEX(Audit_Werkzeuge!$G$12:$G$21,MATCH($A40,Audit_Werkzeuge!$K$12:$K$21,0))="","",INDEX(Audit_Werkzeuge!$G$12:$G$21,MATCH($A40,Audit_Werkzeuge!$K$12:$K$21,0))),IF(INDEX(Audit_Kompakt!$G$12:$G$35,MATCH($A40,Audit_Kompakt!$K$12:$K$35,0))="","",INDEX(Audit_Kompakt!$G$12:$G$35,MATCH($A40,Audit_Kompakt!$K$12:$K$35,0))))))),"")</f>
        <v/>
      </c>
      <c r="I40" s="43" t="str">
        <f aca="false">IFERROR(IF($A40="","",IF($A40&lt;=Übersicht!$P$13,IF(INDEX(Audit_Allgemein!$H$12:$H$50,MATCH($A40,Audit_Allgemein!$K$12:$K$50,0))="","",INDEX(Audit_Allgemein!$H$12:$H$50,MATCH($A40,Audit_Allgemein!$K$12:$K$50,0))),IF($A40&lt;=Übersicht!$P$14,IF(INDEX(Audit_Maschine!$H$12:$H$24,MATCH($A40,Audit_Maschine!$K$12:$K$24,0))="","",INDEX(Audit_Maschine!$H$12:$H$24,MATCH($A40,Audit_Maschine!$K$12:$K$24,0))),IF($A40&lt;=Übersicht!$P$15,IF(INDEX(Audit_Werkzeuge!$H$12:$H$21,MATCH($A40,Audit_Werkzeuge!$K$12:$K$21,0))="","",INDEX(Audit_Werkzeuge!$H$12:$H$21,MATCH($A40,Audit_Werkzeuge!$K$12:$K$21,0))),IF(INDEX(Audit_Kompakt!$H$12:$H$35,MATCH($A40,Audit_Kompakt!$K$12:$K$35,0))="","",INDEX(Audit_Kompakt!$H$12:$H$35,MATCH($A40,Audit_Kompakt!$K$12:$K$35,0))))))),"")</f>
        <v/>
      </c>
      <c r="J40" s="41" t="str">
        <f aca="false">IFERROR(IF($A40="","",IF($A40&lt;=Übersicht!$P$13,IF(INDEX(Audit_Allgemein!$J$12:$J$50,MATCH($A40,Audit_Allgemein!$K$12:$K$50,0))="","",INDEX(Audit_Allgemein!$J$12:$J$50,MATCH($A40,Audit_Allgemein!$K$12:$K$50,0))),IF($A40&lt;=Übersicht!$P$14,IF(INDEX(Audit_Maschine!$J$12:$J$24,MATCH($A40,Audit_Maschine!$K$12:$K$24,0))="","",INDEX(Audit_Maschine!$J$12:$J$24,MATCH($A40,Audit_Maschine!$K$12:$K$24,0))),IF($A40&lt;=Übersicht!$P$15,IF(INDEX(Audit_Werkzeuge!$J$12:$J$21,MATCH($A40,Audit_Werkzeuge!$K$12:$K$21,0))="","",INDEX(Audit_Werkzeuge!$J$12:$J$21,MATCH($A40,Audit_Werkzeuge!$K$12:$K$21,0))),IF(INDEX(Audit_Kompakt!$J$12:$J$35,MATCH($A40,Audit_Kompakt!$K$12:$K$35,0))="","",INDEX(Audit_Kompakt!$J$12:$J$35,MATCH($A40,Audit_Kompakt!$K$12:$K$35,0))))))),"")</f>
        <v/>
      </c>
    </row>
    <row r="41" customFormat="false" ht="15" hidden="false" customHeight="false" outlineLevel="0" collapsed="false">
      <c r="A41" s="41" t="str">
        <f aca="false">IF(37&lt;=Übersicht!$M$17,37,"")</f>
        <v/>
      </c>
      <c r="B41" s="41" t="str">
        <f aca="false">IFERROR(IF($A41="","",IF($A41&lt;=Übersicht!$P$13,"Allgemein",IF($A41&lt;=Übersicht!$P$14,"Maschine",IF($A41&lt;=Übersicht!$P$15,"Werkzeug","Kompakt")))),"")</f>
        <v/>
      </c>
      <c r="C41" s="41" t="str">
        <f aca="false">IFERROR(IF($A41="","",IF($A41&lt;=Übersicht!$P$13,IF(Audit_Allgemein!$C$4="","–",Audit_Allgemein!$C$4),IF($A41&lt;=Übersicht!$P$14,IF(Audit_Maschine!$C$4="","–",Audit_Maschine!$C$4),IF($A41&lt;=Übersicht!$P$15,IF(Audit_Werkzeuge!$C$4="","–",Audit_Werkzeuge!$C$4),IF(Audit_Kompakt!$C$4="","–",Audit_Kompakt!$C$4))))),"")</f>
        <v/>
      </c>
      <c r="D41" s="41" t="str">
        <f aca="false">IFERROR(IF($A41="","",IF($A41&lt;=Übersicht!$P$13,IF(INDEX(Audit_Allgemein!$A$12:$A$50,MATCH($A41,Audit_Allgemein!$K$12:$K$50,0))="","",INDEX(Audit_Allgemein!$A$12:$A$50,MATCH($A41,Audit_Allgemein!$K$12:$K$50,0))),IF($A41&lt;=Übersicht!$P$14,IF(INDEX(Audit_Maschine!$A$12:$A$24,MATCH($A41,Audit_Maschine!$K$12:$K$24,0))="","",INDEX(Audit_Maschine!$A$12:$A$24,MATCH($A41,Audit_Maschine!$K$12:$K$24,0))),IF($A41&lt;=Übersicht!$P$15,IF(INDEX(Audit_Werkzeuge!$A$12:$A$21,MATCH($A41,Audit_Werkzeuge!$K$12:$K$21,0))="","",INDEX(Audit_Werkzeuge!$A$12:$A$21,MATCH($A41,Audit_Werkzeuge!$K$12:$K$21,0))),IF(INDEX(Audit_Kompakt!$A$12:$A$35,MATCH($A41,Audit_Kompakt!$K$12:$K$35,0))="","",INDEX(Audit_Kompakt!$A$12:$A$35,MATCH($A41,Audit_Kompakt!$K$12:$K$35,0))))))),"")</f>
        <v/>
      </c>
      <c r="E41" s="42" t="str">
        <f aca="false">IFERROR(IF($A41="","",IF($A41&lt;=Übersicht!$P$13,IF(INDEX(Audit_Allgemein!$C$12:$C$50,MATCH($A41,Audit_Allgemein!$K$12:$K$50,0))="","",INDEX(Audit_Allgemein!$C$12:$C$50,MATCH($A41,Audit_Allgemein!$K$12:$K$50,0))),IF($A41&lt;=Übersicht!$P$14,IF(INDEX(Audit_Maschine!$C$12:$C$24,MATCH($A41,Audit_Maschine!$K$12:$K$24,0))="","",INDEX(Audit_Maschine!$C$12:$C$24,MATCH($A41,Audit_Maschine!$K$12:$K$24,0))),IF($A41&lt;=Übersicht!$P$15,IF(INDEX(Audit_Werkzeuge!$C$12:$C$21,MATCH($A41,Audit_Werkzeuge!$K$12:$K$21,0))="","",INDEX(Audit_Werkzeuge!$C$12:$C$21,MATCH($A41,Audit_Werkzeuge!$K$12:$K$21,0))),IF(INDEX(Audit_Kompakt!$C$12:$C$35,MATCH($A41,Audit_Kompakt!$K$12:$K$35,0))="","",INDEX(Audit_Kompakt!$C$12:$C$35,MATCH($A41,Audit_Kompakt!$K$12:$K$35,0))))))),"")</f>
        <v/>
      </c>
      <c r="F41" s="41" t="str">
        <f aca="false">IFERROR(IF($A41="","",IF($A41&lt;=Übersicht!$P$13,IF(INDEX(Audit_Allgemein!$E$12:$E$50,MATCH($A41,Audit_Allgemein!$K$12:$K$50,0))="","",INDEX(Audit_Allgemein!$E$12:$E$50,MATCH($A41,Audit_Allgemein!$K$12:$K$50,0))),IF($A41&lt;=Übersicht!$P$14,IF(INDEX(Audit_Maschine!$E$12:$E$24,MATCH($A41,Audit_Maschine!$K$12:$K$24,0))="","",INDEX(Audit_Maschine!$E$12:$E$24,MATCH($A41,Audit_Maschine!$K$12:$K$24,0))),IF($A41&lt;=Übersicht!$P$15,IF(INDEX(Audit_Werkzeuge!$E$12:$E$21,MATCH($A41,Audit_Werkzeuge!$K$12:$K$21,0))="","",INDEX(Audit_Werkzeuge!$E$12:$E$21,MATCH($A41,Audit_Werkzeuge!$K$12:$K$21,0))),IF(INDEX(Audit_Kompakt!$E$12:$E$35,MATCH($A41,Audit_Kompakt!$K$12:$K$35,0))="","",INDEX(Audit_Kompakt!$E$12:$E$35,MATCH($A41,Audit_Kompakt!$K$12:$K$35,0))))))),"")</f>
        <v/>
      </c>
      <c r="G41" s="42" t="str">
        <f aca="false">IFERROR(IF($A41="","",IF($A41&lt;=Übersicht!$P$13,IF(INDEX(Audit_Allgemein!$F$12:$F$50,MATCH($A41,Audit_Allgemein!$K$12:$K$50,0))="","",INDEX(Audit_Allgemein!$F$12:$F$50,MATCH($A41,Audit_Allgemein!$K$12:$K$50,0))),IF($A41&lt;=Übersicht!$P$14,IF(INDEX(Audit_Maschine!$F$12:$F$24,MATCH($A41,Audit_Maschine!$K$12:$K$24,0))="","",INDEX(Audit_Maschine!$F$12:$F$24,MATCH($A41,Audit_Maschine!$K$12:$K$24,0))),IF($A41&lt;=Übersicht!$P$15,IF(INDEX(Audit_Werkzeuge!$F$12:$F$21,MATCH($A41,Audit_Werkzeuge!$K$12:$K$21,0))="","",INDEX(Audit_Werkzeuge!$F$12:$F$21,MATCH($A41,Audit_Werkzeuge!$K$12:$K$21,0))),IF(INDEX(Audit_Kompakt!$F$12:$F$35,MATCH($A41,Audit_Kompakt!$K$12:$K$35,0))="","",INDEX(Audit_Kompakt!$F$12:$F$35,MATCH($A41,Audit_Kompakt!$K$12:$K$35,0))))))),"")</f>
        <v/>
      </c>
      <c r="H41" s="41" t="str">
        <f aca="false">IFERROR(IF($A41="","",IF($A41&lt;=Übersicht!$P$13,IF(INDEX(Audit_Allgemein!$G$12:$G$50,MATCH($A41,Audit_Allgemein!$K$12:$K$50,0))="","",INDEX(Audit_Allgemein!$G$12:$G$50,MATCH($A41,Audit_Allgemein!$K$12:$K$50,0))),IF($A41&lt;=Übersicht!$P$14,IF(INDEX(Audit_Maschine!$G$12:$G$24,MATCH($A41,Audit_Maschine!$K$12:$K$24,0))="","",INDEX(Audit_Maschine!$G$12:$G$24,MATCH($A41,Audit_Maschine!$K$12:$K$24,0))),IF($A41&lt;=Übersicht!$P$15,IF(INDEX(Audit_Werkzeuge!$G$12:$G$21,MATCH($A41,Audit_Werkzeuge!$K$12:$K$21,0))="","",INDEX(Audit_Werkzeuge!$G$12:$G$21,MATCH($A41,Audit_Werkzeuge!$K$12:$K$21,0))),IF(INDEX(Audit_Kompakt!$G$12:$G$35,MATCH($A41,Audit_Kompakt!$K$12:$K$35,0))="","",INDEX(Audit_Kompakt!$G$12:$G$35,MATCH($A41,Audit_Kompakt!$K$12:$K$35,0))))))),"")</f>
        <v/>
      </c>
      <c r="I41" s="43" t="str">
        <f aca="false">IFERROR(IF($A41="","",IF($A41&lt;=Übersicht!$P$13,IF(INDEX(Audit_Allgemein!$H$12:$H$50,MATCH($A41,Audit_Allgemein!$K$12:$K$50,0))="","",INDEX(Audit_Allgemein!$H$12:$H$50,MATCH($A41,Audit_Allgemein!$K$12:$K$50,0))),IF($A41&lt;=Übersicht!$P$14,IF(INDEX(Audit_Maschine!$H$12:$H$24,MATCH($A41,Audit_Maschine!$K$12:$K$24,0))="","",INDEX(Audit_Maschine!$H$12:$H$24,MATCH($A41,Audit_Maschine!$K$12:$K$24,0))),IF($A41&lt;=Übersicht!$P$15,IF(INDEX(Audit_Werkzeuge!$H$12:$H$21,MATCH($A41,Audit_Werkzeuge!$K$12:$K$21,0))="","",INDEX(Audit_Werkzeuge!$H$12:$H$21,MATCH($A41,Audit_Werkzeuge!$K$12:$K$21,0))),IF(INDEX(Audit_Kompakt!$H$12:$H$35,MATCH($A41,Audit_Kompakt!$K$12:$K$35,0))="","",INDEX(Audit_Kompakt!$H$12:$H$35,MATCH($A41,Audit_Kompakt!$K$12:$K$35,0))))))),"")</f>
        <v/>
      </c>
      <c r="J41" s="41" t="str">
        <f aca="false">IFERROR(IF($A41="","",IF($A41&lt;=Übersicht!$P$13,IF(INDEX(Audit_Allgemein!$J$12:$J$50,MATCH($A41,Audit_Allgemein!$K$12:$K$50,0))="","",INDEX(Audit_Allgemein!$J$12:$J$50,MATCH($A41,Audit_Allgemein!$K$12:$K$50,0))),IF($A41&lt;=Übersicht!$P$14,IF(INDEX(Audit_Maschine!$J$12:$J$24,MATCH($A41,Audit_Maschine!$K$12:$K$24,0))="","",INDEX(Audit_Maschine!$J$12:$J$24,MATCH($A41,Audit_Maschine!$K$12:$K$24,0))),IF($A41&lt;=Übersicht!$P$15,IF(INDEX(Audit_Werkzeuge!$J$12:$J$21,MATCH($A41,Audit_Werkzeuge!$K$12:$K$21,0))="","",INDEX(Audit_Werkzeuge!$J$12:$J$21,MATCH($A41,Audit_Werkzeuge!$K$12:$K$21,0))),IF(INDEX(Audit_Kompakt!$J$12:$J$35,MATCH($A41,Audit_Kompakt!$K$12:$K$35,0))="","",INDEX(Audit_Kompakt!$J$12:$J$35,MATCH($A41,Audit_Kompakt!$K$12:$K$35,0))))))),"")</f>
        <v/>
      </c>
    </row>
    <row r="42" customFormat="false" ht="15" hidden="false" customHeight="false" outlineLevel="0" collapsed="false">
      <c r="A42" s="41" t="str">
        <f aca="false">IF(38&lt;=Übersicht!$M$17,38,"")</f>
        <v/>
      </c>
      <c r="B42" s="41" t="str">
        <f aca="false">IFERROR(IF($A42="","",IF($A42&lt;=Übersicht!$P$13,"Allgemein",IF($A42&lt;=Übersicht!$P$14,"Maschine",IF($A42&lt;=Übersicht!$P$15,"Werkzeug","Kompakt")))),"")</f>
        <v/>
      </c>
      <c r="C42" s="41" t="str">
        <f aca="false">IFERROR(IF($A42="","",IF($A42&lt;=Übersicht!$P$13,IF(Audit_Allgemein!$C$4="","–",Audit_Allgemein!$C$4),IF($A42&lt;=Übersicht!$P$14,IF(Audit_Maschine!$C$4="","–",Audit_Maschine!$C$4),IF($A42&lt;=Übersicht!$P$15,IF(Audit_Werkzeuge!$C$4="","–",Audit_Werkzeuge!$C$4),IF(Audit_Kompakt!$C$4="","–",Audit_Kompakt!$C$4))))),"")</f>
        <v/>
      </c>
      <c r="D42" s="41" t="str">
        <f aca="false">IFERROR(IF($A42="","",IF($A42&lt;=Übersicht!$P$13,IF(INDEX(Audit_Allgemein!$A$12:$A$50,MATCH($A42,Audit_Allgemein!$K$12:$K$50,0))="","",INDEX(Audit_Allgemein!$A$12:$A$50,MATCH($A42,Audit_Allgemein!$K$12:$K$50,0))),IF($A42&lt;=Übersicht!$P$14,IF(INDEX(Audit_Maschine!$A$12:$A$24,MATCH($A42,Audit_Maschine!$K$12:$K$24,0))="","",INDEX(Audit_Maschine!$A$12:$A$24,MATCH($A42,Audit_Maschine!$K$12:$K$24,0))),IF($A42&lt;=Übersicht!$P$15,IF(INDEX(Audit_Werkzeuge!$A$12:$A$21,MATCH($A42,Audit_Werkzeuge!$K$12:$K$21,0))="","",INDEX(Audit_Werkzeuge!$A$12:$A$21,MATCH($A42,Audit_Werkzeuge!$K$12:$K$21,0))),IF(INDEX(Audit_Kompakt!$A$12:$A$35,MATCH($A42,Audit_Kompakt!$K$12:$K$35,0))="","",INDEX(Audit_Kompakt!$A$12:$A$35,MATCH($A42,Audit_Kompakt!$K$12:$K$35,0))))))),"")</f>
        <v/>
      </c>
      <c r="E42" s="42" t="str">
        <f aca="false">IFERROR(IF($A42="","",IF($A42&lt;=Übersicht!$P$13,IF(INDEX(Audit_Allgemein!$C$12:$C$50,MATCH($A42,Audit_Allgemein!$K$12:$K$50,0))="","",INDEX(Audit_Allgemein!$C$12:$C$50,MATCH($A42,Audit_Allgemein!$K$12:$K$50,0))),IF($A42&lt;=Übersicht!$P$14,IF(INDEX(Audit_Maschine!$C$12:$C$24,MATCH($A42,Audit_Maschine!$K$12:$K$24,0))="","",INDEX(Audit_Maschine!$C$12:$C$24,MATCH($A42,Audit_Maschine!$K$12:$K$24,0))),IF($A42&lt;=Übersicht!$P$15,IF(INDEX(Audit_Werkzeuge!$C$12:$C$21,MATCH($A42,Audit_Werkzeuge!$K$12:$K$21,0))="","",INDEX(Audit_Werkzeuge!$C$12:$C$21,MATCH($A42,Audit_Werkzeuge!$K$12:$K$21,0))),IF(INDEX(Audit_Kompakt!$C$12:$C$35,MATCH($A42,Audit_Kompakt!$K$12:$K$35,0))="","",INDEX(Audit_Kompakt!$C$12:$C$35,MATCH($A42,Audit_Kompakt!$K$12:$K$35,0))))))),"")</f>
        <v/>
      </c>
      <c r="F42" s="41" t="str">
        <f aca="false">IFERROR(IF($A42="","",IF($A42&lt;=Übersicht!$P$13,IF(INDEX(Audit_Allgemein!$E$12:$E$50,MATCH($A42,Audit_Allgemein!$K$12:$K$50,0))="","",INDEX(Audit_Allgemein!$E$12:$E$50,MATCH($A42,Audit_Allgemein!$K$12:$K$50,0))),IF($A42&lt;=Übersicht!$P$14,IF(INDEX(Audit_Maschine!$E$12:$E$24,MATCH($A42,Audit_Maschine!$K$12:$K$24,0))="","",INDEX(Audit_Maschine!$E$12:$E$24,MATCH($A42,Audit_Maschine!$K$12:$K$24,0))),IF($A42&lt;=Übersicht!$P$15,IF(INDEX(Audit_Werkzeuge!$E$12:$E$21,MATCH($A42,Audit_Werkzeuge!$K$12:$K$21,0))="","",INDEX(Audit_Werkzeuge!$E$12:$E$21,MATCH($A42,Audit_Werkzeuge!$K$12:$K$21,0))),IF(INDEX(Audit_Kompakt!$E$12:$E$35,MATCH($A42,Audit_Kompakt!$K$12:$K$35,0))="","",INDEX(Audit_Kompakt!$E$12:$E$35,MATCH($A42,Audit_Kompakt!$K$12:$K$35,0))))))),"")</f>
        <v/>
      </c>
      <c r="G42" s="42" t="str">
        <f aca="false">IFERROR(IF($A42="","",IF($A42&lt;=Übersicht!$P$13,IF(INDEX(Audit_Allgemein!$F$12:$F$50,MATCH($A42,Audit_Allgemein!$K$12:$K$50,0))="","",INDEX(Audit_Allgemein!$F$12:$F$50,MATCH($A42,Audit_Allgemein!$K$12:$K$50,0))),IF($A42&lt;=Übersicht!$P$14,IF(INDEX(Audit_Maschine!$F$12:$F$24,MATCH($A42,Audit_Maschine!$K$12:$K$24,0))="","",INDEX(Audit_Maschine!$F$12:$F$24,MATCH($A42,Audit_Maschine!$K$12:$K$24,0))),IF($A42&lt;=Übersicht!$P$15,IF(INDEX(Audit_Werkzeuge!$F$12:$F$21,MATCH($A42,Audit_Werkzeuge!$K$12:$K$21,0))="","",INDEX(Audit_Werkzeuge!$F$12:$F$21,MATCH($A42,Audit_Werkzeuge!$K$12:$K$21,0))),IF(INDEX(Audit_Kompakt!$F$12:$F$35,MATCH($A42,Audit_Kompakt!$K$12:$K$35,0))="","",INDEX(Audit_Kompakt!$F$12:$F$35,MATCH($A42,Audit_Kompakt!$K$12:$K$35,0))))))),"")</f>
        <v/>
      </c>
      <c r="H42" s="41" t="str">
        <f aca="false">IFERROR(IF($A42="","",IF($A42&lt;=Übersicht!$P$13,IF(INDEX(Audit_Allgemein!$G$12:$G$50,MATCH($A42,Audit_Allgemein!$K$12:$K$50,0))="","",INDEX(Audit_Allgemein!$G$12:$G$50,MATCH($A42,Audit_Allgemein!$K$12:$K$50,0))),IF($A42&lt;=Übersicht!$P$14,IF(INDEX(Audit_Maschine!$G$12:$G$24,MATCH($A42,Audit_Maschine!$K$12:$K$24,0))="","",INDEX(Audit_Maschine!$G$12:$G$24,MATCH($A42,Audit_Maschine!$K$12:$K$24,0))),IF($A42&lt;=Übersicht!$P$15,IF(INDEX(Audit_Werkzeuge!$G$12:$G$21,MATCH($A42,Audit_Werkzeuge!$K$12:$K$21,0))="","",INDEX(Audit_Werkzeuge!$G$12:$G$21,MATCH($A42,Audit_Werkzeuge!$K$12:$K$21,0))),IF(INDEX(Audit_Kompakt!$G$12:$G$35,MATCH($A42,Audit_Kompakt!$K$12:$K$35,0))="","",INDEX(Audit_Kompakt!$G$12:$G$35,MATCH($A42,Audit_Kompakt!$K$12:$K$35,0))))))),"")</f>
        <v/>
      </c>
      <c r="I42" s="43" t="str">
        <f aca="false">IFERROR(IF($A42="","",IF($A42&lt;=Übersicht!$P$13,IF(INDEX(Audit_Allgemein!$H$12:$H$50,MATCH($A42,Audit_Allgemein!$K$12:$K$50,0))="","",INDEX(Audit_Allgemein!$H$12:$H$50,MATCH($A42,Audit_Allgemein!$K$12:$K$50,0))),IF($A42&lt;=Übersicht!$P$14,IF(INDEX(Audit_Maschine!$H$12:$H$24,MATCH($A42,Audit_Maschine!$K$12:$K$24,0))="","",INDEX(Audit_Maschine!$H$12:$H$24,MATCH($A42,Audit_Maschine!$K$12:$K$24,0))),IF($A42&lt;=Übersicht!$P$15,IF(INDEX(Audit_Werkzeuge!$H$12:$H$21,MATCH($A42,Audit_Werkzeuge!$K$12:$K$21,0))="","",INDEX(Audit_Werkzeuge!$H$12:$H$21,MATCH($A42,Audit_Werkzeuge!$K$12:$K$21,0))),IF(INDEX(Audit_Kompakt!$H$12:$H$35,MATCH($A42,Audit_Kompakt!$K$12:$K$35,0))="","",INDEX(Audit_Kompakt!$H$12:$H$35,MATCH($A42,Audit_Kompakt!$K$12:$K$35,0))))))),"")</f>
        <v/>
      </c>
      <c r="J42" s="41" t="str">
        <f aca="false">IFERROR(IF($A42="","",IF($A42&lt;=Übersicht!$P$13,IF(INDEX(Audit_Allgemein!$J$12:$J$50,MATCH($A42,Audit_Allgemein!$K$12:$K$50,0))="","",INDEX(Audit_Allgemein!$J$12:$J$50,MATCH($A42,Audit_Allgemein!$K$12:$K$50,0))),IF($A42&lt;=Übersicht!$P$14,IF(INDEX(Audit_Maschine!$J$12:$J$24,MATCH($A42,Audit_Maschine!$K$12:$K$24,0))="","",INDEX(Audit_Maschine!$J$12:$J$24,MATCH($A42,Audit_Maschine!$K$12:$K$24,0))),IF($A42&lt;=Übersicht!$P$15,IF(INDEX(Audit_Werkzeuge!$J$12:$J$21,MATCH($A42,Audit_Werkzeuge!$K$12:$K$21,0))="","",INDEX(Audit_Werkzeuge!$J$12:$J$21,MATCH($A42,Audit_Werkzeuge!$K$12:$K$21,0))),IF(INDEX(Audit_Kompakt!$J$12:$J$35,MATCH($A42,Audit_Kompakt!$K$12:$K$35,0))="","",INDEX(Audit_Kompakt!$J$12:$J$35,MATCH($A42,Audit_Kompakt!$K$12:$K$35,0))))))),"")</f>
        <v/>
      </c>
    </row>
    <row r="43" customFormat="false" ht="15" hidden="false" customHeight="false" outlineLevel="0" collapsed="false">
      <c r="A43" s="41" t="str">
        <f aca="false">IF(39&lt;=Übersicht!$M$17,39,"")</f>
        <v/>
      </c>
      <c r="B43" s="41" t="str">
        <f aca="false">IFERROR(IF($A43="","",IF($A43&lt;=Übersicht!$P$13,"Allgemein",IF($A43&lt;=Übersicht!$P$14,"Maschine",IF($A43&lt;=Übersicht!$P$15,"Werkzeug","Kompakt")))),"")</f>
        <v/>
      </c>
      <c r="C43" s="41" t="str">
        <f aca="false">IFERROR(IF($A43="","",IF($A43&lt;=Übersicht!$P$13,IF(Audit_Allgemein!$C$4="","–",Audit_Allgemein!$C$4),IF($A43&lt;=Übersicht!$P$14,IF(Audit_Maschine!$C$4="","–",Audit_Maschine!$C$4),IF($A43&lt;=Übersicht!$P$15,IF(Audit_Werkzeuge!$C$4="","–",Audit_Werkzeuge!$C$4),IF(Audit_Kompakt!$C$4="","–",Audit_Kompakt!$C$4))))),"")</f>
        <v/>
      </c>
      <c r="D43" s="41" t="str">
        <f aca="false">IFERROR(IF($A43="","",IF($A43&lt;=Übersicht!$P$13,IF(INDEX(Audit_Allgemein!$A$12:$A$50,MATCH($A43,Audit_Allgemein!$K$12:$K$50,0))="","",INDEX(Audit_Allgemein!$A$12:$A$50,MATCH($A43,Audit_Allgemein!$K$12:$K$50,0))),IF($A43&lt;=Übersicht!$P$14,IF(INDEX(Audit_Maschine!$A$12:$A$24,MATCH($A43,Audit_Maschine!$K$12:$K$24,0))="","",INDEX(Audit_Maschine!$A$12:$A$24,MATCH($A43,Audit_Maschine!$K$12:$K$24,0))),IF($A43&lt;=Übersicht!$P$15,IF(INDEX(Audit_Werkzeuge!$A$12:$A$21,MATCH($A43,Audit_Werkzeuge!$K$12:$K$21,0))="","",INDEX(Audit_Werkzeuge!$A$12:$A$21,MATCH($A43,Audit_Werkzeuge!$K$12:$K$21,0))),IF(INDEX(Audit_Kompakt!$A$12:$A$35,MATCH($A43,Audit_Kompakt!$K$12:$K$35,0))="","",INDEX(Audit_Kompakt!$A$12:$A$35,MATCH($A43,Audit_Kompakt!$K$12:$K$35,0))))))),"")</f>
        <v/>
      </c>
      <c r="E43" s="42" t="str">
        <f aca="false">IFERROR(IF($A43="","",IF($A43&lt;=Übersicht!$P$13,IF(INDEX(Audit_Allgemein!$C$12:$C$50,MATCH($A43,Audit_Allgemein!$K$12:$K$50,0))="","",INDEX(Audit_Allgemein!$C$12:$C$50,MATCH($A43,Audit_Allgemein!$K$12:$K$50,0))),IF($A43&lt;=Übersicht!$P$14,IF(INDEX(Audit_Maschine!$C$12:$C$24,MATCH($A43,Audit_Maschine!$K$12:$K$24,0))="","",INDEX(Audit_Maschine!$C$12:$C$24,MATCH($A43,Audit_Maschine!$K$12:$K$24,0))),IF($A43&lt;=Übersicht!$P$15,IF(INDEX(Audit_Werkzeuge!$C$12:$C$21,MATCH($A43,Audit_Werkzeuge!$K$12:$K$21,0))="","",INDEX(Audit_Werkzeuge!$C$12:$C$21,MATCH($A43,Audit_Werkzeuge!$K$12:$K$21,0))),IF(INDEX(Audit_Kompakt!$C$12:$C$35,MATCH($A43,Audit_Kompakt!$K$12:$K$35,0))="","",INDEX(Audit_Kompakt!$C$12:$C$35,MATCH($A43,Audit_Kompakt!$K$12:$K$35,0))))))),"")</f>
        <v/>
      </c>
      <c r="F43" s="41" t="str">
        <f aca="false">IFERROR(IF($A43="","",IF($A43&lt;=Übersicht!$P$13,IF(INDEX(Audit_Allgemein!$E$12:$E$50,MATCH($A43,Audit_Allgemein!$K$12:$K$50,0))="","",INDEX(Audit_Allgemein!$E$12:$E$50,MATCH($A43,Audit_Allgemein!$K$12:$K$50,0))),IF($A43&lt;=Übersicht!$P$14,IF(INDEX(Audit_Maschine!$E$12:$E$24,MATCH($A43,Audit_Maschine!$K$12:$K$24,0))="","",INDEX(Audit_Maschine!$E$12:$E$24,MATCH($A43,Audit_Maschine!$K$12:$K$24,0))),IF($A43&lt;=Übersicht!$P$15,IF(INDEX(Audit_Werkzeuge!$E$12:$E$21,MATCH($A43,Audit_Werkzeuge!$K$12:$K$21,0))="","",INDEX(Audit_Werkzeuge!$E$12:$E$21,MATCH($A43,Audit_Werkzeuge!$K$12:$K$21,0))),IF(INDEX(Audit_Kompakt!$E$12:$E$35,MATCH($A43,Audit_Kompakt!$K$12:$K$35,0))="","",INDEX(Audit_Kompakt!$E$12:$E$35,MATCH($A43,Audit_Kompakt!$K$12:$K$35,0))))))),"")</f>
        <v/>
      </c>
      <c r="G43" s="42" t="str">
        <f aca="false">IFERROR(IF($A43="","",IF($A43&lt;=Übersicht!$P$13,IF(INDEX(Audit_Allgemein!$F$12:$F$50,MATCH($A43,Audit_Allgemein!$K$12:$K$50,0))="","",INDEX(Audit_Allgemein!$F$12:$F$50,MATCH($A43,Audit_Allgemein!$K$12:$K$50,0))),IF($A43&lt;=Übersicht!$P$14,IF(INDEX(Audit_Maschine!$F$12:$F$24,MATCH($A43,Audit_Maschine!$K$12:$K$24,0))="","",INDEX(Audit_Maschine!$F$12:$F$24,MATCH($A43,Audit_Maschine!$K$12:$K$24,0))),IF($A43&lt;=Übersicht!$P$15,IF(INDEX(Audit_Werkzeuge!$F$12:$F$21,MATCH($A43,Audit_Werkzeuge!$K$12:$K$21,0))="","",INDEX(Audit_Werkzeuge!$F$12:$F$21,MATCH($A43,Audit_Werkzeuge!$K$12:$K$21,0))),IF(INDEX(Audit_Kompakt!$F$12:$F$35,MATCH($A43,Audit_Kompakt!$K$12:$K$35,0))="","",INDEX(Audit_Kompakt!$F$12:$F$35,MATCH($A43,Audit_Kompakt!$K$12:$K$35,0))))))),"")</f>
        <v/>
      </c>
      <c r="H43" s="41" t="str">
        <f aca="false">IFERROR(IF($A43="","",IF($A43&lt;=Übersicht!$P$13,IF(INDEX(Audit_Allgemein!$G$12:$G$50,MATCH($A43,Audit_Allgemein!$K$12:$K$50,0))="","",INDEX(Audit_Allgemein!$G$12:$G$50,MATCH($A43,Audit_Allgemein!$K$12:$K$50,0))),IF($A43&lt;=Übersicht!$P$14,IF(INDEX(Audit_Maschine!$G$12:$G$24,MATCH($A43,Audit_Maschine!$K$12:$K$24,0))="","",INDEX(Audit_Maschine!$G$12:$G$24,MATCH($A43,Audit_Maschine!$K$12:$K$24,0))),IF($A43&lt;=Übersicht!$P$15,IF(INDEX(Audit_Werkzeuge!$G$12:$G$21,MATCH($A43,Audit_Werkzeuge!$K$12:$K$21,0))="","",INDEX(Audit_Werkzeuge!$G$12:$G$21,MATCH($A43,Audit_Werkzeuge!$K$12:$K$21,0))),IF(INDEX(Audit_Kompakt!$G$12:$G$35,MATCH($A43,Audit_Kompakt!$K$12:$K$35,0))="","",INDEX(Audit_Kompakt!$G$12:$G$35,MATCH($A43,Audit_Kompakt!$K$12:$K$35,0))))))),"")</f>
        <v/>
      </c>
      <c r="I43" s="43" t="str">
        <f aca="false">IFERROR(IF($A43="","",IF($A43&lt;=Übersicht!$P$13,IF(INDEX(Audit_Allgemein!$H$12:$H$50,MATCH($A43,Audit_Allgemein!$K$12:$K$50,0))="","",INDEX(Audit_Allgemein!$H$12:$H$50,MATCH($A43,Audit_Allgemein!$K$12:$K$50,0))),IF($A43&lt;=Übersicht!$P$14,IF(INDEX(Audit_Maschine!$H$12:$H$24,MATCH($A43,Audit_Maschine!$K$12:$K$24,0))="","",INDEX(Audit_Maschine!$H$12:$H$24,MATCH($A43,Audit_Maschine!$K$12:$K$24,0))),IF($A43&lt;=Übersicht!$P$15,IF(INDEX(Audit_Werkzeuge!$H$12:$H$21,MATCH($A43,Audit_Werkzeuge!$K$12:$K$21,0))="","",INDEX(Audit_Werkzeuge!$H$12:$H$21,MATCH($A43,Audit_Werkzeuge!$K$12:$K$21,0))),IF(INDEX(Audit_Kompakt!$H$12:$H$35,MATCH($A43,Audit_Kompakt!$K$12:$K$35,0))="","",INDEX(Audit_Kompakt!$H$12:$H$35,MATCH($A43,Audit_Kompakt!$K$12:$K$35,0))))))),"")</f>
        <v/>
      </c>
      <c r="J43" s="41" t="str">
        <f aca="false">IFERROR(IF($A43="","",IF($A43&lt;=Übersicht!$P$13,IF(INDEX(Audit_Allgemein!$J$12:$J$50,MATCH($A43,Audit_Allgemein!$K$12:$K$50,0))="","",INDEX(Audit_Allgemein!$J$12:$J$50,MATCH($A43,Audit_Allgemein!$K$12:$K$50,0))),IF($A43&lt;=Übersicht!$P$14,IF(INDEX(Audit_Maschine!$J$12:$J$24,MATCH($A43,Audit_Maschine!$K$12:$K$24,0))="","",INDEX(Audit_Maschine!$J$12:$J$24,MATCH($A43,Audit_Maschine!$K$12:$K$24,0))),IF($A43&lt;=Übersicht!$P$15,IF(INDEX(Audit_Werkzeuge!$J$12:$J$21,MATCH($A43,Audit_Werkzeuge!$K$12:$K$21,0))="","",INDEX(Audit_Werkzeuge!$J$12:$J$21,MATCH($A43,Audit_Werkzeuge!$K$12:$K$21,0))),IF(INDEX(Audit_Kompakt!$J$12:$J$35,MATCH($A43,Audit_Kompakt!$K$12:$K$35,0))="","",INDEX(Audit_Kompakt!$J$12:$J$35,MATCH($A43,Audit_Kompakt!$K$12:$K$35,0))))))),"")</f>
        <v/>
      </c>
    </row>
    <row r="44" customFormat="false" ht="15" hidden="false" customHeight="false" outlineLevel="0" collapsed="false">
      <c r="A44" s="41" t="str">
        <f aca="false">IF(40&lt;=Übersicht!$M$17,40,"")</f>
        <v/>
      </c>
      <c r="B44" s="41" t="str">
        <f aca="false">IFERROR(IF($A44="","",IF($A44&lt;=Übersicht!$P$13,"Allgemein",IF($A44&lt;=Übersicht!$P$14,"Maschine",IF($A44&lt;=Übersicht!$P$15,"Werkzeug","Kompakt")))),"")</f>
        <v/>
      </c>
      <c r="C44" s="41" t="str">
        <f aca="false">IFERROR(IF($A44="","",IF($A44&lt;=Übersicht!$P$13,IF(Audit_Allgemein!$C$4="","–",Audit_Allgemein!$C$4),IF($A44&lt;=Übersicht!$P$14,IF(Audit_Maschine!$C$4="","–",Audit_Maschine!$C$4),IF($A44&lt;=Übersicht!$P$15,IF(Audit_Werkzeuge!$C$4="","–",Audit_Werkzeuge!$C$4),IF(Audit_Kompakt!$C$4="","–",Audit_Kompakt!$C$4))))),"")</f>
        <v/>
      </c>
      <c r="D44" s="41" t="str">
        <f aca="false">IFERROR(IF($A44="","",IF($A44&lt;=Übersicht!$P$13,IF(INDEX(Audit_Allgemein!$A$12:$A$50,MATCH($A44,Audit_Allgemein!$K$12:$K$50,0))="","",INDEX(Audit_Allgemein!$A$12:$A$50,MATCH($A44,Audit_Allgemein!$K$12:$K$50,0))),IF($A44&lt;=Übersicht!$P$14,IF(INDEX(Audit_Maschine!$A$12:$A$24,MATCH($A44,Audit_Maschine!$K$12:$K$24,0))="","",INDEX(Audit_Maschine!$A$12:$A$24,MATCH($A44,Audit_Maschine!$K$12:$K$24,0))),IF($A44&lt;=Übersicht!$P$15,IF(INDEX(Audit_Werkzeuge!$A$12:$A$21,MATCH($A44,Audit_Werkzeuge!$K$12:$K$21,0))="","",INDEX(Audit_Werkzeuge!$A$12:$A$21,MATCH($A44,Audit_Werkzeuge!$K$12:$K$21,0))),IF(INDEX(Audit_Kompakt!$A$12:$A$35,MATCH($A44,Audit_Kompakt!$K$12:$K$35,0))="","",INDEX(Audit_Kompakt!$A$12:$A$35,MATCH($A44,Audit_Kompakt!$K$12:$K$35,0))))))),"")</f>
        <v/>
      </c>
      <c r="E44" s="42" t="str">
        <f aca="false">IFERROR(IF($A44="","",IF($A44&lt;=Übersicht!$P$13,IF(INDEX(Audit_Allgemein!$C$12:$C$50,MATCH($A44,Audit_Allgemein!$K$12:$K$50,0))="","",INDEX(Audit_Allgemein!$C$12:$C$50,MATCH($A44,Audit_Allgemein!$K$12:$K$50,0))),IF($A44&lt;=Übersicht!$P$14,IF(INDEX(Audit_Maschine!$C$12:$C$24,MATCH($A44,Audit_Maschine!$K$12:$K$24,0))="","",INDEX(Audit_Maschine!$C$12:$C$24,MATCH($A44,Audit_Maschine!$K$12:$K$24,0))),IF($A44&lt;=Übersicht!$P$15,IF(INDEX(Audit_Werkzeuge!$C$12:$C$21,MATCH($A44,Audit_Werkzeuge!$K$12:$K$21,0))="","",INDEX(Audit_Werkzeuge!$C$12:$C$21,MATCH($A44,Audit_Werkzeuge!$K$12:$K$21,0))),IF(INDEX(Audit_Kompakt!$C$12:$C$35,MATCH($A44,Audit_Kompakt!$K$12:$K$35,0))="","",INDEX(Audit_Kompakt!$C$12:$C$35,MATCH($A44,Audit_Kompakt!$K$12:$K$35,0))))))),"")</f>
        <v/>
      </c>
      <c r="F44" s="41" t="str">
        <f aca="false">IFERROR(IF($A44="","",IF($A44&lt;=Übersicht!$P$13,IF(INDEX(Audit_Allgemein!$E$12:$E$50,MATCH($A44,Audit_Allgemein!$K$12:$K$50,0))="","",INDEX(Audit_Allgemein!$E$12:$E$50,MATCH($A44,Audit_Allgemein!$K$12:$K$50,0))),IF($A44&lt;=Übersicht!$P$14,IF(INDEX(Audit_Maschine!$E$12:$E$24,MATCH($A44,Audit_Maschine!$K$12:$K$24,0))="","",INDEX(Audit_Maschine!$E$12:$E$24,MATCH($A44,Audit_Maschine!$K$12:$K$24,0))),IF($A44&lt;=Übersicht!$P$15,IF(INDEX(Audit_Werkzeuge!$E$12:$E$21,MATCH($A44,Audit_Werkzeuge!$K$12:$K$21,0))="","",INDEX(Audit_Werkzeuge!$E$12:$E$21,MATCH($A44,Audit_Werkzeuge!$K$12:$K$21,0))),IF(INDEX(Audit_Kompakt!$E$12:$E$35,MATCH($A44,Audit_Kompakt!$K$12:$K$35,0))="","",INDEX(Audit_Kompakt!$E$12:$E$35,MATCH($A44,Audit_Kompakt!$K$12:$K$35,0))))))),"")</f>
        <v/>
      </c>
      <c r="G44" s="42" t="str">
        <f aca="false">IFERROR(IF($A44="","",IF($A44&lt;=Übersicht!$P$13,IF(INDEX(Audit_Allgemein!$F$12:$F$50,MATCH($A44,Audit_Allgemein!$K$12:$K$50,0))="","",INDEX(Audit_Allgemein!$F$12:$F$50,MATCH($A44,Audit_Allgemein!$K$12:$K$50,0))),IF($A44&lt;=Übersicht!$P$14,IF(INDEX(Audit_Maschine!$F$12:$F$24,MATCH($A44,Audit_Maschine!$K$12:$K$24,0))="","",INDEX(Audit_Maschine!$F$12:$F$24,MATCH($A44,Audit_Maschine!$K$12:$K$24,0))),IF($A44&lt;=Übersicht!$P$15,IF(INDEX(Audit_Werkzeuge!$F$12:$F$21,MATCH($A44,Audit_Werkzeuge!$K$12:$K$21,0))="","",INDEX(Audit_Werkzeuge!$F$12:$F$21,MATCH($A44,Audit_Werkzeuge!$K$12:$K$21,0))),IF(INDEX(Audit_Kompakt!$F$12:$F$35,MATCH($A44,Audit_Kompakt!$K$12:$K$35,0))="","",INDEX(Audit_Kompakt!$F$12:$F$35,MATCH($A44,Audit_Kompakt!$K$12:$K$35,0))))))),"")</f>
        <v/>
      </c>
      <c r="H44" s="41" t="str">
        <f aca="false">IFERROR(IF($A44="","",IF($A44&lt;=Übersicht!$P$13,IF(INDEX(Audit_Allgemein!$G$12:$G$50,MATCH($A44,Audit_Allgemein!$K$12:$K$50,0))="","",INDEX(Audit_Allgemein!$G$12:$G$50,MATCH($A44,Audit_Allgemein!$K$12:$K$50,0))),IF($A44&lt;=Übersicht!$P$14,IF(INDEX(Audit_Maschine!$G$12:$G$24,MATCH($A44,Audit_Maschine!$K$12:$K$24,0))="","",INDEX(Audit_Maschine!$G$12:$G$24,MATCH($A44,Audit_Maschine!$K$12:$K$24,0))),IF($A44&lt;=Übersicht!$P$15,IF(INDEX(Audit_Werkzeuge!$G$12:$G$21,MATCH($A44,Audit_Werkzeuge!$K$12:$K$21,0))="","",INDEX(Audit_Werkzeuge!$G$12:$G$21,MATCH($A44,Audit_Werkzeuge!$K$12:$K$21,0))),IF(INDEX(Audit_Kompakt!$G$12:$G$35,MATCH($A44,Audit_Kompakt!$K$12:$K$35,0))="","",INDEX(Audit_Kompakt!$G$12:$G$35,MATCH($A44,Audit_Kompakt!$K$12:$K$35,0))))))),"")</f>
        <v/>
      </c>
      <c r="I44" s="43" t="str">
        <f aca="false">IFERROR(IF($A44="","",IF($A44&lt;=Übersicht!$P$13,IF(INDEX(Audit_Allgemein!$H$12:$H$50,MATCH($A44,Audit_Allgemein!$K$12:$K$50,0))="","",INDEX(Audit_Allgemein!$H$12:$H$50,MATCH($A44,Audit_Allgemein!$K$12:$K$50,0))),IF($A44&lt;=Übersicht!$P$14,IF(INDEX(Audit_Maschine!$H$12:$H$24,MATCH($A44,Audit_Maschine!$K$12:$K$24,0))="","",INDEX(Audit_Maschine!$H$12:$H$24,MATCH($A44,Audit_Maschine!$K$12:$K$24,0))),IF($A44&lt;=Übersicht!$P$15,IF(INDEX(Audit_Werkzeuge!$H$12:$H$21,MATCH($A44,Audit_Werkzeuge!$K$12:$K$21,0))="","",INDEX(Audit_Werkzeuge!$H$12:$H$21,MATCH($A44,Audit_Werkzeuge!$K$12:$K$21,0))),IF(INDEX(Audit_Kompakt!$H$12:$H$35,MATCH($A44,Audit_Kompakt!$K$12:$K$35,0))="","",INDEX(Audit_Kompakt!$H$12:$H$35,MATCH($A44,Audit_Kompakt!$K$12:$K$35,0))))))),"")</f>
        <v/>
      </c>
      <c r="J44" s="41" t="str">
        <f aca="false">IFERROR(IF($A44="","",IF($A44&lt;=Übersicht!$P$13,IF(INDEX(Audit_Allgemein!$J$12:$J$50,MATCH($A44,Audit_Allgemein!$K$12:$K$50,0))="","",INDEX(Audit_Allgemein!$J$12:$J$50,MATCH($A44,Audit_Allgemein!$K$12:$K$50,0))),IF($A44&lt;=Übersicht!$P$14,IF(INDEX(Audit_Maschine!$J$12:$J$24,MATCH($A44,Audit_Maschine!$K$12:$K$24,0))="","",INDEX(Audit_Maschine!$J$12:$J$24,MATCH($A44,Audit_Maschine!$K$12:$K$24,0))),IF($A44&lt;=Übersicht!$P$15,IF(INDEX(Audit_Werkzeuge!$J$12:$J$21,MATCH($A44,Audit_Werkzeuge!$K$12:$K$21,0))="","",INDEX(Audit_Werkzeuge!$J$12:$J$21,MATCH($A44,Audit_Werkzeuge!$K$12:$K$21,0))),IF(INDEX(Audit_Kompakt!$J$12:$J$35,MATCH($A44,Audit_Kompakt!$K$12:$K$35,0))="","",INDEX(Audit_Kompakt!$J$12:$J$35,MATCH($A44,Audit_Kompakt!$K$12:$K$35,0))))))),"")</f>
        <v/>
      </c>
    </row>
    <row r="45" customFormat="false" ht="15" hidden="false" customHeight="false" outlineLevel="0" collapsed="false">
      <c r="A45" s="41" t="str">
        <f aca="false">IF(41&lt;=Übersicht!$M$17,41,"")</f>
        <v/>
      </c>
      <c r="B45" s="41" t="str">
        <f aca="false">IFERROR(IF($A45="","",IF($A45&lt;=Übersicht!$P$13,"Allgemein",IF($A45&lt;=Übersicht!$P$14,"Maschine",IF($A45&lt;=Übersicht!$P$15,"Werkzeug","Kompakt")))),"")</f>
        <v/>
      </c>
      <c r="C45" s="41" t="str">
        <f aca="false">IFERROR(IF($A45="","",IF($A45&lt;=Übersicht!$P$13,IF(Audit_Allgemein!$C$4="","–",Audit_Allgemein!$C$4),IF($A45&lt;=Übersicht!$P$14,IF(Audit_Maschine!$C$4="","–",Audit_Maschine!$C$4),IF($A45&lt;=Übersicht!$P$15,IF(Audit_Werkzeuge!$C$4="","–",Audit_Werkzeuge!$C$4),IF(Audit_Kompakt!$C$4="","–",Audit_Kompakt!$C$4))))),"")</f>
        <v/>
      </c>
      <c r="D45" s="41" t="str">
        <f aca="false">IFERROR(IF($A45="","",IF($A45&lt;=Übersicht!$P$13,IF(INDEX(Audit_Allgemein!$A$12:$A$50,MATCH($A45,Audit_Allgemein!$K$12:$K$50,0))="","",INDEX(Audit_Allgemein!$A$12:$A$50,MATCH($A45,Audit_Allgemein!$K$12:$K$50,0))),IF($A45&lt;=Übersicht!$P$14,IF(INDEX(Audit_Maschine!$A$12:$A$24,MATCH($A45,Audit_Maschine!$K$12:$K$24,0))="","",INDEX(Audit_Maschine!$A$12:$A$24,MATCH($A45,Audit_Maschine!$K$12:$K$24,0))),IF($A45&lt;=Übersicht!$P$15,IF(INDEX(Audit_Werkzeuge!$A$12:$A$21,MATCH($A45,Audit_Werkzeuge!$K$12:$K$21,0))="","",INDEX(Audit_Werkzeuge!$A$12:$A$21,MATCH($A45,Audit_Werkzeuge!$K$12:$K$21,0))),IF(INDEX(Audit_Kompakt!$A$12:$A$35,MATCH($A45,Audit_Kompakt!$K$12:$K$35,0))="","",INDEX(Audit_Kompakt!$A$12:$A$35,MATCH($A45,Audit_Kompakt!$K$12:$K$35,0))))))),"")</f>
        <v/>
      </c>
      <c r="E45" s="42" t="str">
        <f aca="false">IFERROR(IF($A45="","",IF($A45&lt;=Übersicht!$P$13,IF(INDEX(Audit_Allgemein!$C$12:$C$50,MATCH($A45,Audit_Allgemein!$K$12:$K$50,0))="","",INDEX(Audit_Allgemein!$C$12:$C$50,MATCH($A45,Audit_Allgemein!$K$12:$K$50,0))),IF($A45&lt;=Übersicht!$P$14,IF(INDEX(Audit_Maschine!$C$12:$C$24,MATCH($A45,Audit_Maschine!$K$12:$K$24,0))="","",INDEX(Audit_Maschine!$C$12:$C$24,MATCH($A45,Audit_Maschine!$K$12:$K$24,0))),IF($A45&lt;=Übersicht!$P$15,IF(INDEX(Audit_Werkzeuge!$C$12:$C$21,MATCH($A45,Audit_Werkzeuge!$K$12:$K$21,0))="","",INDEX(Audit_Werkzeuge!$C$12:$C$21,MATCH($A45,Audit_Werkzeuge!$K$12:$K$21,0))),IF(INDEX(Audit_Kompakt!$C$12:$C$35,MATCH($A45,Audit_Kompakt!$K$12:$K$35,0))="","",INDEX(Audit_Kompakt!$C$12:$C$35,MATCH($A45,Audit_Kompakt!$K$12:$K$35,0))))))),"")</f>
        <v/>
      </c>
      <c r="F45" s="41" t="str">
        <f aca="false">IFERROR(IF($A45="","",IF($A45&lt;=Übersicht!$P$13,IF(INDEX(Audit_Allgemein!$E$12:$E$50,MATCH($A45,Audit_Allgemein!$K$12:$K$50,0))="","",INDEX(Audit_Allgemein!$E$12:$E$50,MATCH($A45,Audit_Allgemein!$K$12:$K$50,0))),IF($A45&lt;=Übersicht!$P$14,IF(INDEX(Audit_Maschine!$E$12:$E$24,MATCH($A45,Audit_Maschine!$K$12:$K$24,0))="","",INDEX(Audit_Maschine!$E$12:$E$24,MATCH($A45,Audit_Maschine!$K$12:$K$24,0))),IF($A45&lt;=Übersicht!$P$15,IF(INDEX(Audit_Werkzeuge!$E$12:$E$21,MATCH($A45,Audit_Werkzeuge!$K$12:$K$21,0))="","",INDEX(Audit_Werkzeuge!$E$12:$E$21,MATCH($A45,Audit_Werkzeuge!$K$12:$K$21,0))),IF(INDEX(Audit_Kompakt!$E$12:$E$35,MATCH($A45,Audit_Kompakt!$K$12:$K$35,0))="","",INDEX(Audit_Kompakt!$E$12:$E$35,MATCH($A45,Audit_Kompakt!$K$12:$K$35,0))))))),"")</f>
        <v/>
      </c>
      <c r="G45" s="42" t="str">
        <f aca="false">IFERROR(IF($A45="","",IF($A45&lt;=Übersicht!$P$13,IF(INDEX(Audit_Allgemein!$F$12:$F$50,MATCH($A45,Audit_Allgemein!$K$12:$K$50,0))="","",INDEX(Audit_Allgemein!$F$12:$F$50,MATCH($A45,Audit_Allgemein!$K$12:$K$50,0))),IF($A45&lt;=Übersicht!$P$14,IF(INDEX(Audit_Maschine!$F$12:$F$24,MATCH($A45,Audit_Maschine!$K$12:$K$24,0))="","",INDEX(Audit_Maschine!$F$12:$F$24,MATCH($A45,Audit_Maschine!$K$12:$K$24,0))),IF($A45&lt;=Übersicht!$P$15,IF(INDEX(Audit_Werkzeuge!$F$12:$F$21,MATCH($A45,Audit_Werkzeuge!$K$12:$K$21,0))="","",INDEX(Audit_Werkzeuge!$F$12:$F$21,MATCH($A45,Audit_Werkzeuge!$K$12:$K$21,0))),IF(INDEX(Audit_Kompakt!$F$12:$F$35,MATCH($A45,Audit_Kompakt!$K$12:$K$35,0))="","",INDEX(Audit_Kompakt!$F$12:$F$35,MATCH($A45,Audit_Kompakt!$K$12:$K$35,0))))))),"")</f>
        <v/>
      </c>
      <c r="H45" s="41" t="str">
        <f aca="false">IFERROR(IF($A45="","",IF($A45&lt;=Übersicht!$P$13,IF(INDEX(Audit_Allgemein!$G$12:$G$50,MATCH($A45,Audit_Allgemein!$K$12:$K$50,0))="","",INDEX(Audit_Allgemein!$G$12:$G$50,MATCH($A45,Audit_Allgemein!$K$12:$K$50,0))),IF($A45&lt;=Übersicht!$P$14,IF(INDEX(Audit_Maschine!$G$12:$G$24,MATCH($A45,Audit_Maschine!$K$12:$K$24,0))="","",INDEX(Audit_Maschine!$G$12:$G$24,MATCH($A45,Audit_Maschine!$K$12:$K$24,0))),IF($A45&lt;=Übersicht!$P$15,IF(INDEX(Audit_Werkzeuge!$G$12:$G$21,MATCH($A45,Audit_Werkzeuge!$K$12:$K$21,0))="","",INDEX(Audit_Werkzeuge!$G$12:$G$21,MATCH($A45,Audit_Werkzeuge!$K$12:$K$21,0))),IF(INDEX(Audit_Kompakt!$G$12:$G$35,MATCH($A45,Audit_Kompakt!$K$12:$K$35,0))="","",INDEX(Audit_Kompakt!$G$12:$G$35,MATCH($A45,Audit_Kompakt!$K$12:$K$35,0))))))),"")</f>
        <v/>
      </c>
      <c r="I45" s="43" t="str">
        <f aca="false">IFERROR(IF($A45="","",IF($A45&lt;=Übersicht!$P$13,IF(INDEX(Audit_Allgemein!$H$12:$H$50,MATCH($A45,Audit_Allgemein!$K$12:$K$50,0))="","",INDEX(Audit_Allgemein!$H$12:$H$50,MATCH($A45,Audit_Allgemein!$K$12:$K$50,0))),IF($A45&lt;=Übersicht!$P$14,IF(INDEX(Audit_Maschine!$H$12:$H$24,MATCH($A45,Audit_Maschine!$K$12:$K$24,0))="","",INDEX(Audit_Maschine!$H$12:$H$24,MATCH($A45,Audit_Maschine!$K$12:$K$24,0))),IF($A45&lt;=Übersicht!$P$15,IF(INDEX(Audit_Werkzeuge!$H$12:$H$21,MATCH($A45,Audit_Werkzeuge!$K$12:$K$21,0))="","",INDEX(Audit_Werkzeuge!$H$12:$H$21,MATCH($A45,Audit_Werkzeuge!$K$12:$K$21,0))),IF(INDEX(Audit_Kompakt!$H$12:$H$35,MATCH($A45,Audit_Kompakt!$K$12:$K$35,0))="","",INDEX(Audit_Kompakt!$H$12:$H$35,MATCH($A45,Audit_Kompakt!$K$12:$K$35,0))))))),"")</f>
        <v/>
      </c>
      <c r="J45" s="41" t="str">
        <f aca="false">IFERROR(IF($A45="","",IF($A45&lt;=Übersicht!$P$13,IF(INDEX(Audit_Allgemein!$J$12:$J$50,MATCH($A45,Audit_Allgemein!$K$12:$K$50,0))="","",INDEX(Audit_Allgemein!$J$12:$J$50,MATCH($A45,Audit_Allgemein!$K$12:$K$50,0))),IF($A45&lt;=Übersicht!$P$14,IF(INDEX(Audit_Maschine!$J$12:$J$24,MATCH($A45,Audit_Maschine!$K$12:$K$24,0))="","",INDEX(Audit_Maschine!$J$12:$J$24,MATCH($A45,Audit_Maschine!$K$12:$K$24,0))),IF($A45&lt;=Übersicht!$P$15,IF(INDEX(Audit_Werkzeuge!$J$12:$J$21,MATCH($A45,Audit_Werkzeuge!$K$12:$K$21,0))="","",INDEX(Audit_Werkzeuge!$J$12:$J$21,MATCH($A45,Audit_Werkzeuge!$K$12:$K$21,0))),IF(INDEX(Audit_Kompakt!$J$12:$J$35,MATCH($A45,Audit_Kompakt!$K$12:$K$35,0))="","",INDEX(Audit_Kompakt!$J$12:$J$35,MATCH($A45,Audit_Kompakt!$K$12:$K$35,0))))))),"")</f>
        <v/>
      </c>
    </row>
    <row r="46" customFormat="false" ht="15" hidden="false" customHeight="false" outlineLevel="0" collapsed="false">
      <c r="A46" s="41" t="str">
        <f aca="false">IF(42&lt;=Übersicht!$M$17,42,"")</f>
        <v/>
      </c>
      <c r="B46" s="41" t="str">
        <f aca="false">IFERROR(IF($A46="","",IF($A46&lt;=Übersicht!$P$13,"Allgemein",IF($A46&lt;=Übersicht!$P$14,"Maschine",IF($A46&lt;=Übersicht!$P$15,"Werkzeug","Kompakt")))),"")</f>
        <v/>
      </c>
      <c r="C46" s="41" t="str">
        <f aca="false">IFERROR(IF($A46="","",IF($A46&lt;=Übersicht!$P$13,IF(Audit_Allgemein!$C$4="","–",Audit_Allgemein!$C$4),IF($A46&lt;=Übersicht!$P$14,IF(Audit_Maschine!$C$4="","–",Audit_Maschine!$C$4),IF($A46&lt;=Übersicht!$P$15,IF(Audit_Werkzeuge!$C$4="","–",Audit_Werkzeuge!$C$4),IF(Audit_Kompakt!$C$4="","–",Audit_Kompakt!$C$4))))),"")</f>
        <v/>
      </c>
      <c r="D46" s="41" t="str">
        <f aca="false">IFERROR(IF($A46="","",IF($A46&lt;=Übersicht!$P$13,IF(INDEX(Audit_Allgemein!$A$12:$A$50,MATCH($A46,Audit_Allgemein!$K$12:$K$50,0))="","",INDEX(Audit_Allgemein!$A$12:$A$50,MATCH($A46,Audit_Allgemein!$K$12:$K$50,0))),IF($A46&lt;=Übersicht!$P$14,IF(INDEX(Audit_Maschine!$A$12:$A$24,MATCH($A46,Audit_Maschine!$K$12:$K$24,0))="","",INDEX(Audit_Maschine!$A$12:$A$24,MATCH($A46,Audit_Maschine!$K$12:$K$24,0))),IF($A46&lt;=Übersicht!$P$15,IF(INDEX(Audit_Werkzeuge!$A$12:$A$21,MATCH($A46,Audit_Werkzeuge!$K$12:$K$21,0))="","",INDEX(Audit_Werkzeuge!$A$12:$A$21,MATCH($A46,Audit_Werkzeuge!$K$12:$K$21,0))),IF(INDEX(Audit_Kompakt!$A$12:$A$35,MATCH($A46,Audit_Kompakt!$K$12:$K$35,0))="","",INDEX(Audit_Kompakt!$A$12:$A$35,MATCH($A46,Audit_Kompakt!$K$12:$K$35,0))))))),"")</f>
        <v/>
      </c>
      <c r="E46" s="42" t="str">
        <f aca="false">IFERROR(IF($A46="","",IF($A46&lt;=Übersicht!$P$13,IF(INDEX(Audit_Allgemein!$C$12:$C$50,MATCH($A46,Audit_Allgemein!$K$12:$K$50,0))="","",INDEX(Audit_Allgemein!$C$12:$C$50,MATCH($A46,Audit_Allgemein!$K$12:$K$50,0))),IF($A46&lt;=Übersicht!$P$14,IF(INDEX(Audit_Maschine!$C$12:$C$24,MATCH($A46,Audit_Maschine!$K$12:$K$24,0))="","",INDEX(Audit_Maschine!$C$12:$C$24,MATCH($A46,Audit_Maschine!$K$12:$K$24,0))),IF($A46&lt;=Übersicht!$P$15,IF(INDEX(Audit_Werkzeuge!$C$12:$C$21,MATCH($A46,Audit_Werkzeuge!$K$12:$K$21,0))="","",INDEX(Audit_Werkzeuge!$C$12:$C$21,MATCH($A46,Audit_Werkzeuge!$K$12:$K$21,0))),IF(INDEX(Audit_Kompakt!$C$12:$C$35,MATCH($A46,Audit_Kompakt!$K$12:$K$35,0))="","",INDEX(Audit_Kompakt!$C$12:$C$35,MATCH($A46,Audit_Kompakt!$K$12:$K$35,0))))))),"")</f>
        <v/>
      </c>
      <c r="F46" s="41" t="str">
        <f aca="false">IFERROR(IF($A46="","",IF($A46&lt;=Übersicht!$P$13,IF(INDEX(Audit_Allgemein!$E$12:$E$50,MATCH($A46,Audit_Allgemein!$K$12:$K$50,0))="","",INDEX(Audit_Allgemein!$E$12:$E$50,MATCH($A46,Audit_Allgemein!$K$12:$K$50,0))),IF($A46&lt;=Übersicht!$P$14,IF(INDEX(Audit_Maschine!$E$12:$E$24,MATCH($A46,Audit_Maschine!$K$12:$K$24,0))="","",INDEX(Audit_Maschine!$E$12:$E$24,MATCH($A46,Audit_Maschine!$K$12:$K$24,0))),IF($A46&lt;=Übersicht!$P$15,IF(INDEX(Audit_Werkzeuge!$E$12:$E$21,MATCH($A46,Audit_Werkzeuge!$K$12:$K$21,0))="","",INDEX(Audit_Werkzeuge!$E$12:$E$21,MATCH($A46,Audit_Werkzeuge!$K$12:$K$21,0))),IF(INDEX(Audit_Kompakt!$E$12:$E$35,MATCH($A46,Audit_Kompakt!$K$12:$K$35,0))="","",INDEX(Audit_Kompakt!$E$12:$E$35,MATCH($A46,Audit_Kompakt!$K$12:$K$35,0))))))),"")</f>
        <v/>
      </c>
      <c r="G46" s="42" t="str">
        <f aca="false">IFERROR(IF($A46="","",IF($A46&lt;=Übersicht!$P$13,IF(INDEX(Audit_Allgemein!$F$12:$F$50,MATCH($A46,Audit_Allgemein!$K$12:$K$50,0))="","",INDEX(Audit_Allgemein!$F$12:$F$50,MATCH($A46,Audit_Allgemein!$K$12:$K$50,0))),IF($A46&lt;=Übersicht!$P$14,IF(INDEX(Audit_Maschine!$F$12:$F$24,MATCH($A46,Audit_Maschine!$K$12:$K$24,0))="","",INDEX(Audit_Maschine!$F$12:$F$24,MATCH($A46,Audit_Maschine!$K$12:$K$24,0))),IF($A46&lt;=Übersicht!$P$15,IF(INDEX(Audit_Werkzeuge!$F$12:$F$21,MATCH($A46,Audit_Werkzeuge!$K$12:$K$21,0))="","",INDEX(Audit_Werkzeuge!$F$12:$F$21,MATCH($A46,Audit_Werkzeuge!$K$12:$K$21,0))),IF(INDEX(Audit_Kompakt!$F$12:$F$35,MATCH($A46,Audit_Kompakt!$K$12:$K$35,0))="","",INDEX(Audit_Kompakt!$F$12:$F$35,MATCH($A46,Audit_Kompakt!$K$12:$K$35,0))))))),"")</f>
        <v/>
      </c>
      <c r="H46" s="41" t="str">
        <f aca="false">IFERROR(IF($A46="","",IF($A46&lt;=Übersicht!$P$13,IF(INDEX(Audit_Allgemein!$G$12:$G$50,MATCH($A46,Audit_Allgemein!$K$12:$K$50,0))="","",INDEX(Audit_Allgemein!$G$12:$G$50,MATCH($A46,Audit_Allgemein!$K$12:$K$50,0))),IF($A46&lt;=Übersicht!$P$14,IF(INDEX(Audit_Maschine!$G$12:$G$24,MATCH($A46,Audit_Maschine!$K$12:$K$24,0))="","",INDEX(Audit_Maschine!$G$12:$G$24,MATCH($A46,Audit_Maschine!$K$12:$K$24,0))),IF($A46&lt;=Übersicht!$P$15,IF(INDEX(Audit_Werkzeuge!$G$12:$G$21,MATCH($A46,Audit_Werkzeuge!$K$12:$K$21,0))="","",INDEX(Audit_Werkzeuge!$G$12:$G$21,MATCH($A46,Audit_Werkzeuge!$K$12:$K$21,0))),IF(INDEX(Audit_Kompakt!$G$12:$G$35,MATCH($A46,Audit_Kompakt!$K$12:$K$35,0))="","",INDEX(Audit_Kompakt!$G$12:$G$35,MATCH($A46,Audit_Kompakt!$K$12:$K$35,0))))))),"")</f>
        <v/>
      </c>
      <c r="I46" s="43" t="str">
        <f aca="false">IFERROR(IF($A46="","",IF($A46&lt;=Übersicht!$P$13,IF(INDEX(Audit_Allgemein!$H$12:$H$50,MATCH($A46,Audit_Allgemein!$K$12:$K$50,0))="","",INDEX(Audit_Allgemein!$H$12:$H$50,MATCH($A46,Audit_Allgemein!$K$12:$K$50,0))),IF($A46&lt;=Übersicht!$P$14,IF(INDEX(Audit_Maschine!$H$12:$H$24,MATCH($A46,Audit_Maschine!$K$12:$K$24,0))="","",INDEX(Audit_Maschine!$H$12:$H$24,MATCH($A46,Audit_Maschine!$K$12:$K$24,0))),IF($A46&lt;=Übersicht!$P$15,IF(INDEX(Audit_Werkzeuge!$H$12:$H$21,MATCH($A46,Audit_Werkzeuge!$K$12:$K$21,0))="","",INDEX(Audit_Werkzeuge!$H$12:$H$21,MATCH($A46,Audit_Werkzeuge!$K$12:$K$21,0))),IF(INDEX(Audit_Kompakt!$H$12:$H$35,MATCH($A46,Audit_Kompakt!$K$12:$K$35,0))="","",INDEX(Audit_Kompakt!$H$12:$H$35,MATCH($A46,Audit_Kompakt!$K$12:$K$35,0))))))),"")</f>
        <v/>
      </c>
      <c r="J46" s="41" t="str">
        <f aca="false">IFERROR(IF($A46="","",IF($A46&lt;=Übersicht!$P$13,IF(INDEX(Audit_Allgemein!$J$12:$J$50,MATCH($A46,Audit_Allgemein!$K$12:$K$50,0))="","",INDEX(Audit_Allgemein!$J$12:$J$50,MATCH($A46,Audit_Allgemein!$K$12:$K$50,0))),IF($A46&lt;=Übersicht!$P$14,IF(INDEX(Audit_Maschine!$J$12:$J$24,MATCH($A46,Audit_Maschine!$K$12:$K$24,0))="","",INDEX(Audit_Maschine!$J$12:$J$24,MATCH($A46,Audit_Maschine!$K$12:$K$24,0))),IF($A46&lt;=Übersicht!$P$15,IF(INDEX(Audit_Werkzeuge!$J$12:$J$21,MATCH($A46,Audit_Werkzeuge!$K$12:$K$21,0))="","",INDEX(Audit_Werkzeuge!$J$12:$J$21,MATCH($A46,Audit_Werkzeuge!$K$12:$K$21,0))),IF(INDEX(Audit_Kompakt!$J$12:$J$35,MATCH($A46,Audit_Kompakt!$K$12:$K$35,0))="","",INDEX(Audit_Kompakt!$J$12:$J$35,MATCH($A46,Audit_Kompakt!$K$12:$K$35,0))))))),"")</f>
        <v/>
      </c>
    </row>
    <row r="47" customFormat="false" ht="15" hidden="false" customHeight="false" outlineLevel="0" collapsed="false">
      <c r="A47" s="41" t="str">
        <f aca="false">IF(43&lt;=Übersicht!$M$17,43,"")</f>
        <v/>
      </c>
      <c r="B47" s="41" t="str">
        <f aca="false">IFERROR(IF($A47="","",IF($A47&lt;=Übersicht!$P$13,"Allgemein",IF($A47&lt;=Übersicht!$P$14,"Maschine",IF($A47&lt;=Übersicht!$P$15,"Werkzeug","Kompakt")))),"")</f>
        <v/>
      </c>
      <c r="C47" s="41" t="str">
        <f aca="false">IFERROR(IF($A47="","",IF($A47&lt;=Übersicht!$P$13,IF(Audit_Allgemein!$C$4="","–",Audit_Allgemein!$C$4),IF($A47&lt;=Übersicht!$P$14,IF(Audit_Maschine!$C$4="","–",Audit_Maschine!$C$4),IF($A47&lt;=Übersicht!$P$15,IF(Audit_Werkzeuge!$C$4="","–",Audit_Werkzeuge!$C$4),IF(Audit_Kompakt!$C$4="","–",Audit_Kompakt!$C$4))))),"")</f>
        <v/>
      </c>
      <c r="D47" s="41" t="str">
        <f aca="false">IFERROR(IF($A47="","",IF($A47&lt;=Übersicht!$P$13,IF(INDEX(Audit_Allgemein!$A$12:$A$50,MATCH($A47,Audit_Allgemein!$K$12:$K$50,0))="","",INDEX(Audit_Allgemein!$A$12:$A$50,MATCH($A47,Audit_Allgemein!$K$12:$K$50,0))),IF($A47&lt;=Übersicht!$P$14,IF(INDEX(Audit_Maschine!$A$12:$A$24,MATCH($A47,Audit_Maschine!$K$12:$K$24,0))="","",INDEX(Audit_Maschine!$A$12:$A$24,MATCH($A47,Audit_Maschine!$K$12:$K$24,0))),IF($A47&lt;=Übersicht!$P$15,IF(INDEX(Audit_Werkzeuge!$A$12:$A$21,MATCH($A47,Audit_Werkzeuge!$K$12:$K$21,0))="","",INDEX(Audit_Werkzeuge!$A$12:$A$21,MATCH($A47,Audit_Werkzeuge!$K$12:$K$21,0))),IF(INDEX(Audit_Kompakt!$A$12:$A$35,MATCH($A47,Audit_Kompakt!$K$12:$K$35,0))="","",INDEX(Audit_Kompakt!$A$12:$A$35,MATCH($A47,Audit_Kompakt!$K$12:$K$35,0))))))),"")</f>
        <v/>
      </c>
      <c r="E47" s="42" t="str">
        <f aca="false">IFERROR(IF($A47="","",IF($A47&lt;=Übersicht!$P$13,IF(INDEX(Audit_Allgemein!$C$12:$C$50,MATCH($A47,Audit_Allgemein!$K$12:$K$50,0))="","",INDEX(Audit_Allgemein!$C$12:$C$50,MATCH($A47,Audit_Allgemein!$K$12:$K$50,0))),IF($A47&lt;=Übersicht!$P$14,IF(INDEX(Audit_Maschine!$C$12:$C$24,MATCH($A47,Audit_Maschine!$K$12:$K$24,0))="","",INDEX(Audit_Maschine!$C$12:$C$24,MATCH($A47,Audit_Maschine!$K$12:$K$24,0))),IF($A47&lt;=Übersicht!$P$15,IF(INDEX(Audit_Werkzeuge!$C$12:$C$21,MATCH($A47,Audit_Werkzeuge!$K$12:$K$21,0))="","",INDEX(Audit_Werkzeuge!$C$12:$C$21,MATCH($A47,Audit_Werkzeuge!$K$12:$K$21,0))),IF(INDEX(Audit_Kompakt!$C$12:$C$35,MATCH($A47,Audit_Kompakt!$K$12:$K$35,0))="","",INDEX(Audit_Kompakt!$C$12:$C$35,MATCH($A47,Audit_Kompakt!$K$12:$K$35,0))))))),"")</f>
        <v/>
      </c>
      <c r="F47" s="41" t="str">
        <f aca="false">IFERROR(IF($A47="","",IF($A47&lt;=Übersicht!$P$13,IF(INDEX(Audit_Allgemein!$E$12:$E$50,MATCH($A47,Audit_Allgemein!$K$12:$K$50,0))="","",INDEX(Audit_Allgemein!$E$12:$E$50,MATCH($A47,Audit_Allgemein!$K$12:$K$50,0))),IF($A47&lt;=Übersicht!$P$14,IF(INDEX(Audit_Maschine!$E$12:$E$24,MATCH($A47,Audit_Maschine!$K$12:$K$24,0))="","",INDEX(Audit_Maschine!$E$12:$E$24,MATCH($A47,Audit_Maschine!$K$12:$K$24,0))),IF($A47&lt;=Übersicht!$P$15,IF(INDEX(Audit_Werkzeuge!$E$12:$E$21,MATCH($A47,Audit_Werkzeuge!$K$12:$K$21,0))="","",INDEX(Audit_Werkzeuge!$E$12:$E$21,MATCH($A47,Audit_Werkzeuge!$K$12:$K$21,0))),IF(INDEX(Audit_Kompakt!$E$12:$E$35,MATCH($A47,Audit_Kompakt!$K$12:$K$35,0))="","",INDEX(Audit_Kompakt!$E$12:$E$35,MATCH($A47,Audit_Kompakt!$K$12:$K$35,0))))))),"")</f>
        <v/>
      </c>
      <c r="G47" s="42" t="str">
        <f aca="false">IFERROR(IF($A47="","",IF($A47&lt;=Übersicht!$P$13,IF(INDEX(Audit_Allgemein!$F$12:$F$50,MATCH($A47,Audit_Allgemein!$K$12:$K$50,0))="","",INDEX(Audit_Allgemein!$F$12:$F$50,MATCH($A47,Audit_Allgemein!$K$12:$K$50,0))),IF($A47&lt;=Übersicht!$P$14,IF(INDEX(Audit_Maschine!$F$12:$F$24,MATCH($A47,Audit_Maschine!$K$12:$K$24,0))="","",INDEX(Audit_Maschine!$F$12:$F$24,MATCH($A47,Audit_Maschine!$K$12:$K$24,0))),IF($A47&lt;=Übersicht!$P$15,IF(INDEX(Audit_Werkzeuge!$F$12:$F$21,MATCH($A47,Audit_Werkzeuge!$K$12:$K$21,0))="","",INDEX(Audit_Werkzeuge!$F$12:$F$21,MATCH($A47,Audit_Werkzeuge!$K$12:$K$21,0))),IF(INDEX(Audit_Kompakt!$F$12:$F$35,MATCH($A47,Audit_Kompakt!$K$12:$K$35,0))="","",INDEX(Audit_Kompakt!$F$12:$F$35,MATCH($A47,Audit_Kompakt!$K$12:$K$35,0))))))),"")</f>
        <v/>
      </c>
      <c r="H47" s="41" t="str">
        <f aca="false">IFERROR(IF($A47="","",IF($A47&lt;=Übersicht!$P$13,IF(INDEX(Audit_Allgemein!$G$12:$G$50,MATCH($A47,Audit_Allgemein!$K$12:$K$50,0))="","",INDEX(Audit_Allgemein!$G$12:$G$50,MATCH($A47,Audit_Allgemein!$K$12:$K$50,0))),IF($A47&lt;=Übersicht!$P$14,IF(INDEX(Audit_Maschine!$G$12:$G$24,MATCH($A47,Audit_Maschine!$K$12:$K$24,0))="","",INDEX(Audit_Maschine!$G$12:$G$24,MATCH($A47,Audit_Maschine!$K$12:$K$24,0))),IF($A47&lt;=Übersicht!$P$15,IF(INDEX(Audit_Werkzeuge!$G$12:$G$21,MATCH($A47,Audit_Werkzeuge!$K$12:$K$21,0))="","",INDEX(Audit_Werkzeuge!$G$12:$G$21,MATCH($A47,Audit_Werkzeuge!$K$12:$K$21,0))),IF(INDEX(Audit_Kompakt!$G$12:$G$35,MATCH($A47,Audit_Kompakt!$K$12:$K$35,0))="","",INDEX(Audit_Kompakt!$G$12:$G$35,MATCH($A47,Audit_Kompakt!$K$12:$K$35,0))))))),"")</f>
        <v/>
      </c>
      <c r="I47" s="43" t="str">
        <f aca="false">IFERROR(IF($A47="","",IF($A47&lt;=Übersicht!$P$13,IF(INDEX(Audit_Allgemein!$H$12:$H$50,MATCH($A47,Audit_Allgemein!$K$12:$K$50,0))="","",INDEX(Audit_Allgemein!$H$12:$H$50,MATCH($A47,Audit_Allgemein!$K$12:$K$50,0))),IF($A47&lt;=Übersicht!$P$14,IF(INDEX(Audit_Maschine!$H$12:$H$24,MATCH($A47,Audit_Maschine!$K$12:$K$24,0))="","",INDEX(Audit_Maschine!$H$12:$H$24,MATCH($A47,Audit_Maschine!$K$12:$K$24,0))),IF($A47&lt;=Übersicht!$P$15,IF(INDEX(Audit_Werkzeuge!$H$12:$H$21,MATCH($A47,Audit_Werkzeuge!$K$12:$K$21,0))="","",INDEX(Audit_Werkzeuge!$H$12:$H$21,MATCH($A47,Audit_Werkzeuge!$K$12:$K$21,0))),IF(INDEX(Audit_Kompakt!$H$12:$H$35,MATCH($A47,Audit_Kompakt!$K$12:$K$35,0))="","",INDEX(Audit_Kompakt!$H$12:$H$35,MATCH($A47,Audit_Kompakt!$K$12:$K$35,0))))))),"")</f>
        <v/>
      </c>
      <c r="J47" s="41" t="str">
        <f aca="false">IFERROR(IF($A47="","",IF($A47&lt;=Übersicht!$P$13,IF(INDEX(Audit_Allgemein!$J$12:$J$50,MATCH($A47,Audit_Allgemein!$K$12:$K$50,0))="","",INDEX(Audit_Allgemein!$J$12:$J$50,MATCH($A47,Audit_Allgemein!$K$12:$K$50,0))),IF($A47&lt;=Übersicht!$P$14,IF(INDEX(Audit_Maschine!$J$12:$J$24,MATCH($A47,Audit_Maschine!$K$12:$K$24,0))="","",INDEX(Audit_Maschine!$J$12:$J$24,MATCH($A47,Audit_Maschine!$K$12:$K$24,0))),IF($A47&lt;=Übersicht!$P$15,IF(INDEX(Audit_Werkzeuge!$J$12:$J$21,MATCH($A47,Audit_Werkzeuge!$K$12:$K$21,0))="","",INDEX(Audit_Werkzeuge!$J$12:$J$21,MATCH($A47,Audit_Werkzeuge!$K$12:$K$21,0))),IF(INDEX(Audit_Kompakt!$J$12:$J$35,MATCH($A47,Audit_Kompakt!$K$12:$K$35,0))="","",INDEX(Audit_Kompakt!$J$12:$J$35,MATCH($A47,Audit_Kompakt!$K$12:$K$35,0))))))),"")</f>
        <v/>
      </c>
    </row>
    <row r="48" customFormat="false" ht="15" hidden="false" customHeight="false" outlineLevel="0" collapsed="false">
      <c r="A48" s="41" t="str">
        <f aca="false">IF(44&lt;=Übersicht!$M$17,44,"")</f>
        <v/>
      </c>
      <c r="B48" s="41" t="str">
        <f aca="false">IFERROR(IF($A48="","",IF($A48&lt;=Übersicht!$P$13,"Allgemein",IF($A48&lt;=Übersicht!$P$14,"Maschine",IF($A48&lt;=Übersicht!$P$15,"Werkzeug","Kompakt")))),"")</f>
        <v/>
      </c>
      <c r="C48" s="41" t="str">
        <f aca="false">IFERROR(IF($A48="","",IF($A48&lt;=Übersicht!$P$13,IF(Audit_Allgemein!$C$4="","–",Audit_Allgemein!$C$4),IF($A48&lt;=Übersicht!$P$14,IF(Audit_Maschine!$C$4="","–",Audit_Maschine!$C$4),IF($A48&lt;=Übersicht!$P$15,IF(Audit_Werkzeuge!$C$4="","–",Audit_Werkzeuge!$C$4),IF(Audit_Kompakt!$C$4="","–",Audit_Kompakt!$C$4))))),"")</f>
        <v/>
      </c>
      <c r="D48" s="41" t="str">
        <f aca="false">IFERROR(IF($A48="","",IF($A48&lt;=Übersicht!$P$13,IF(INDEX(Audit_Allgemein!$A$12:$A$50,MATCH($A48,Audit_Allgemein!$K$12:$K$50,0))="","",INDEX(Audit_Allgemein!$A$12:$A$50,MATCH($A48,Audit_Allgemein!$K$12:$K$50,0))),IF($A48&lt;=Übersicht!$P$14,IF(INDEX(Audit_Maschine!$A$12:$A$24,MATCH($A48,Audit_Maschine!$K$12:$K$24,0))="","",INDEX(Audit_Maschine!$A$12:$A$24,MATCH($A48,Audit_Maschine!$K$12:$K$24,0))),IF($A48&lt;=Übersicht!$P$15,IF(INDEX(Audit_Werkzeuge!$A$12:$A$21,MATCH($A48,Audit_Werkzeuge!$K$12:$K$21,0))="","",INDEX(Audit_Werkzeuge!$A$12:$A$21,MATCH($A48,Audit_Werkzeuge!$K$12:$K$21,0))),IF(INDEX(Audit_Kompakt!$A$12:$A$35,MATCH($A48,Audit_Kompakt!$K$12:$K$35,0))="","",INDEX(Audit_Kompakt!$A$12:$A$35,MATCH($A48,Audit_Kompakt!$K$12:$K$35,0))))))),"")</f>
        <v/>
      </c>
      <c r="E48" s="42" t="str">
        <f aca="false">IFERROR(IF($A48="","",IF($A48&lt;=Übersicht!$P$13,IF(INDEX(Audit_Allgemein!$C$12:$C$50,MATCH($A48,Audit_Allgemein!$K$12:$K$50,0))="","",INDEX(Audit_Allgemein!$C$12:$C$50,MATCH($A48,Audit_Allgemein!$K$12:$K$50,0))),IF($A48&lt;=Übersicht!$P$14,IF(INDEX(Audit_Maschine!$C$12:$C$24,MATCH($A48,Audit_Maschine!$K$12:$K$24,0))="","",INDEX(Audit_Maschine!$C$12:$C$24,MATCH($A48,Audit_Maschine!$K$12:$K$24,0))),IF($A48&lt;=Übersicht!$P$15,IF(INDEX(Audit_Werkzeuge!$C$12:$C$21,MATCH($A48,Audit_Werkzeuge!$K$12:$K$21,0))="","",INDEX(Audit_Werkzeuge!$C$12:$C$21,MATCH($A48,Audit_Werkzeuge!$K$12:$K$21,0))),IF(INDEX(Audit_Kompakt!$C$12:$C$35,MATCH($A48,Audit_Kompakt!$K$12:$K$35,0))="","",INDEX(Audit_Kompakt!$C$12:$C$35,MATCH($A48,Audit_Kompakt!$K$12:$K$35,0))))))),"")</f>
        <v/>
      </c>
      <c r="F48" s="41" t="str">
        <f aca="false">IFERROR(IF($A48="","",IF($A48&lt;=Übersicht!$P$13,IF(INDEX(Audit_Allgemein!$E$12:$E$50,MATCH($A48,Audit_Allgemein!$K$12:$K$50,0))="","",INDEX(Audit_Allgemein!$E$12:$E$50,MATCH($A48,Audit_Allgemein!$K$12:$K$50,0))),IF($A48&lt;=Übersicht!$P$14,IF(INDEX(Audit_Maschine!$E$12:$E$24,MATCH($A48,Audit_Maschine!$K$12:$K$24,0))="","",INDEX(Audit_Maschine!$E$12:$E$24,MATCH($A48,Audit_Maschine!$K$12:$K$24,0))),IF($A48&lt;=Übersicht!$P$15,IF(INDEX(Audit_Werkzeuge!$E$12:$E$21,MATCH($A48,Audit_Werkzeuge!$K$12:$K$21,0))="","",INDEX(Audit_Werkzeuge!$E$12:$E$21,MATCH($A48,Audit_Werkzeuge!$K$12:$K$21,0))),IF(INDEX(Audit_Kompakt!$E$12:$E$35,MATCH($A48,Audit_Kompakt!$K$12:$K$35,0))="","",INDEX(Audit_Kompakt!$E$12:$E$35,MATCH($A48,Audit_Kompakt!$K$12:$K$35,0))))))),"")</f>
        <v/>
      </c>
      <c r="G48" s="42" t="str">
        <f aca="false">IFERROR(IF($A48="","",IF($A48&lt;=Übersicht!$P$13,IF(INDEX(Audit_Allgemein!$F$12:$F$50,MATCH($A48,Audit_Allgemein!$K$12:$K$50,0))="","",INDEX(Audit_Allgemein!$F$12:$F$50,MATCH($A48,Audit_Allgemein!$K$12:$K$50,0))),IF($A48&lt;=Übersicht!$P$14,IF(INDEX(Audit_Maschine!$F$12:$F$24,MATCH($A48,Audit_Maschine!$K$12:$K$24,0))="","",INDEX(Audit_Maschine!$F$12:$F$24,MATCH($A48,Audit_Maschine!$K$12:$K$24,0))),IF($A48&lt;=Übersicht!$P$15,IF(INDEX(Audit_Werkzeuge!$F$12:$F$21,MATCH($A48,Audit_Werkzeuge!$K$12:$K$21,0))="","",INDEX(Audit_Werkzeuge!$F$12:$F$21,MATCH($A48,Audit_Werkzeuge!$K$12:$K$21,0))),IF(INDEX(Audit_Kompakt!$F$12:$F$35,MATCH($A48,Audit_Kompakt!$K$12:$K$35,0))="","",INDEX(Audit_Kompakt!$F$12:$F$35,MATCH($A48,Audit_Kompakt!$K$12:$K$35,0))))))),"")</f>
        <v/>
      </c>
      <c r="H48" s="41" t="str">
        <f aca="false">IFERROR(IF($A48="","",IF($A48&lt;=Übersicht!$P$13,IF(INDEX(Audit_Allgemein!$G$12:$G$50,MATCH($A48,Audit_Allgemein!$K$12:$K$50,0))="","",INDEX(Audit_Allgemein!$G$12:$G$50,MATCH($A48,Audit_Allgemein!$K$12:$K$50,0))),IF($A48&lt;=Übersicht!$P$14,IF(INDEX(Audit_Maschine!$G$12:$G$24,MATCH($A48,Audit_Maschine!$K$12:$K$24,0))="","",INDEX(Audit_Maschine!$G$12:$G$24,MATCH($A48,Audit_Maschine!$K$12:$K$24,0))),IF($A48&lt;=Übersicht!$P$15,IF(INDEX(Audit_Werkzeuge!$G$12:$G$21,MATCH($A48,Audit_Werkzeuge!$K$12:$K$21,0))="","",INDEX(Audit_Werkzeuge!$G$12:$G$21,MATCH($A48,Audit_Werkzeuge!$K$12:$K$21,0))),IF(INDEX(Audit_Kompakt!$G$12:$G$35,MATCH($A48,Audit_Kompakt!$K$12:$K$35,0))="","",INDEX(Audit_Kompakt!$G$12:$G$35,MATCH($A48,Audit_Kompakt!$K$12:$K$35,0))))))),"")</f>
        <v/>
      </c>
      <c r="I48" s="43" t="str">
        <f aca="false">IFERROR(IF($A48="","",IF($A48&lt;=Übersicht!$P$13,IF(INDEX(Audit_Allgemein!$H$12:$H$50,MATCH($A48,Audit_Allgemein!$K$12:$K$50,0))="","",INDEX(Audit_Allgemein!$H$12:$H$50,MATCH($A48,Audit_Allgemein!$K$12:$K$50,0))),IF($A48&lt;=Übersicht!$P$14,IF(INDEX(Audit_Maschine!$H$12:$H$24,MATCH($A48,Audit_Maschine!$K$12:$K$24,0))="","",INDEX(Audit_Maschine!$H$12:$H$24,MATCH($A48,Audit_Maschine!$K$12:$K$24,0))),IF($A48&lt;=Übersicht!$P$15,IF(INDEX(Audit_Werkzeuge!$H$12:$H$21,MATCH($A48,Audit_Werkzeuge!$K$12:$K$21,0))="","",INDEX(Audit_Werkzeuge!$H$12:$H$21,MATCH($A48,Audit_Werkzeuge!$K$12:$K$21,0))),IF(INDEX(Audit_Kompakt!$H$12:$H$35,MATCH($A48,Audit_Kompakt!$K$12:$K$35,0))="","",INDEX(Audit_Kompakt!$H$12:$H$35,MATCH($A48,Audit_Kompakt!$K$12:$K$35,0))))))),"")</f>
        <v/>
      </c>
      <c r="J48" s="41" t="str">
        <f aca="false">IFERROR(IF($A48="","",IF($A48&lt;=Übersicht!$P$13,IF(INDEX(Audit_Allgemein!$J$12:$J$50,MATCH($A48,Audit_Allgemein!$K$12:$K$50,0))="","",INDEX(Audit_Allgemein!$J$12:$J$50,MATCH($A48,Audit_Allgemein!$K$12:$K$50,0))),IF($A48&lt;=Übersicht!$P$14,IF(INDEX(Audit_Maschine!$J$12:$J$24,MATCH($A48,Audit_Maschine!$K$12:$K$24,0))="","",INDEX(Audit_Maschine!$J$12:$J$24,MATCH($A48,Audit_Maschine!$K$12:$K$24,0))),IF($A48&lt;=Übersicht!$P$15,IF(INDEX(Audit_Werkzeuge!$J$12:$J$21,MATCH($A48,Audit_Werkzeuge!$K$12:$K$21,0))="","",INDEX(Audit_Werkzeuge!$J$12:$J$21,MATCH($A48,Audit_Werkzeuge!$K$12:$K$21,0))),IF(INDEX(Audit_Kompakt!$J$12:$J$35,MATCH($A48,Audit_Kompakt!$K$12:$K$35,0))="","",INDEX(Audit_Kompakt!$J$12:$J$35,MATCH($A48,Audit_Kompakt!$K$12:$K$35,0))))))),"")</f>
        <v/>
      </c>
    </row>
    <row r="49" customFormat="false" ht="15" hidden="false" customHeight="false" outlineLevel="0" collapsed="false">
      <c r="A49" s="41" t="str">
        <f aca="false">IF(45&lt;=Übersicht!$M$17,45,"")</f>
        <v/>
      </c>
      <c r="B49" s="41" t="str">
        <f aca="false">IFERROR(IF($A49="","",IF($A49&lt;=Übersicht!$P$13,"Allgemein",IF($A49&lt;=Übersicht!$P$14,"Maschine",IF($A49&lt;=Übersicht!$P$15,"Werkzeug","Kompakt")))),"")</f>
        <v/>
      </c>
      <c r="C49" s="41" t="str">
        <f aca="false">IFERROR(IF($A49="","",IF($A49&lt;=Übersicht!$P$13,IF(Audit_Allgemein!$C$4="","–",Audit_Allgemein!$C$4),IF($A49&lt;=Übersicht!$P$14,IF(Audit_Maschine!$C$4="","–",Audit_Maschine!$C$4),IF($A49&lt;=Übersicht!$P$15,IF(Audit_Werkzeuge!$C$4="","–",Audit_Werkzeuge!$C$4),IF(Audit_Kompakt!$C$4="","–",Audit_Kompakt!$C$4))))),"")</f>
        <v/>
      </c>
      <c r="D49" s="41" t="str">
        <f aca="false">IFERROR(IF($A49="","",IF($A49&lt;=Übersicht!$P$13,IF(INDEX(Audit_Allgemein!$A$12:$A$50,MATCH($A49,Audit_Allgemein!$K$12:$K$50,0))="","",INDEX(Audit_Allgemein!$A$12:$A$50,MATCH($A49,Audit_Allgemein!$K$12:$K$50,0))),IF($A49&lt;=Übersicht!$P$14,IF(INDEX(Audit_Maschine!$A$12:$A$24,MATCH($A49,Audit_Maschine!$K$12:$K$24,0))="","",INDEX(Audit_Maschine!$A$12:$A$24,MATCH($A49,Audit_Maschine!$K$12:$K$24,0))),IF($A49&lt;=Übersicht!$P$15,IF(INDEX(Audit_Werkzeuge!$A$12:$A$21,MATCH($A49,Audit_Werkzeuge!$K$12:$K$21,0))="","",INDEX(Audit_Werkzeuge!$A$12:$A$21,MATCH($A49,Audit_Werkzeuge!$K$12:$K$21,0))),IF(INDEX(Audit_Kompakt!$A$12:$A$35,MATCH($A49,Audit_Kompakt!$K$12:$K$35,0))="","",INDEX(Audit_Kompakt!$A$12:$A$35,MATCH($A49,Audit_Kompakt!$K$12:$K$35,0))))))),"")</f>
        <v/>
      </c>
      <c r="E49" s="42" t="str">
        <f aca="false">IFERROR(IF($A49="","",IF($A49&lt;=Übersicht!$P$13,IF(INDEX(Audit_Allgemein!$C$12:$C$50,MATCH($A49,Audit_Allgemein!$K$12:$K$50,0))="","",INDEX(Audit_Allgemein!$C$12:$C$50,MATCH($A49,Audit_Allgemein!$K$12:$K$50,0))),IF($A49&lt;=Übersicht!$P$14,IF(INDEX(Audit_Maschine!$C$12:$C$24,MATCH($A49,Audit_Maschine!$K$12:$K$24,0))="","",INDEX(Audit_Maschine!$C$12:$C$24,MATCH($A49,Audit_Maschine!$K$12:$K$24,0))),IF($A49&lt;=Übersicht!$P$15,IF(INDEX(Audit_Werkzeuge!$C$12:$C$21,MATCH($A49,Audit_Werkzeuge!$K$12:$K$21,0))="","",INDEX(Audit_Werkzeuge!$C$12:$C$21,MATCH($A49,Audit_Werkzeuge!$K$12:$K$21,0))),IF(INDEX(Audit_Kompakt!$C$12:$C$35,MATCH($A49,Audit_Kompakt!$K$12:$K$35,0))="","",INDEX(Audit_Kompakt!$C$12:$C$35,MATCH($A49,Audit_Kompakt!$K$12:$K$35,0))))))),"")</f>
        <v/>
      </c>
      <c r="F49" s="41" t="str">
        <f aca="false">IFERROR(IF($A49="","",IF($A49&lt;=Übersicht!$P$13,IF(INDEX(Audit_Allgemein!$E$12:$E$50,MATCH($A49,Audit_Allgemein!$K$12:$K$50,0))="","",INDEX(Audit_Allgemein!$E$12:$E$50,MATCH($A49,Audit_Allgemein!$K$12:$K$50,0))),IF($A49&lt;=Übersicht!$P$14,IF(INDEX(Audit_Maschine!$E$12:$E$24,MATCH($A49,Audit_Maschine!$K$12:$K$24,0))="","",INDEX(Audit_Maschine!$E$12:$E$24,MATCH($A49,Audit_Maschine!$K$12:$K$24,0))),IF($A49&lt;=Übersicht!$P$15,IF(INDEX(Audit_Werkzeuge!$E$12:$E$21,MATCH($A49,Audit_Werkzeuge!$K$12:$K$21,0))="","",INDEX(Audit_Werkzeuge!$E$12:$E$21,MATCH($A49,Audit_Werkzeuge!$K$12:$K$21,0))),IF(INDEX(Audit_Kompakt!$E$12:$E$35,MATCH($A49,Audit_Kompakt!$K$12:$K$35,0))="","",INDEX(Audit_Kompakt!$E$12:$E$35,MATCH($A49,Audit_Kompakt!$K$12:$K$35,0))))))),"")</f>
        <v/>
      </c>
      <c r="G49" s="42" t="str">
        <f aca="false">IFERROR(IF($A49="","",IF($A49&lt;=Übersicht!$P$13,IF(INDEX(Audit_Allgemein!$F$12:$F$50,MATCH($A49,Audit_Allgemein!$K$12:$K$50,0))="","",INDEX(Audit_Allgemein!$F$12:$F$50,MATCH($A49,Audit_Allgemein!$K$12:$K$50,0))),IF($A49&lt;=Übersicht!$P$14,IF(INDEX(Audit_Maschine!$F$12:$F$24,MATCH($A49,Audit_Maschine!$K$12:$K$24,0))="","",INDEX(Audit_Maschine!$F$12:$F$24,MATCH($A49,Audit_Maschine!$K$12:$K$24,0))),IF($A49&lt;=Übersicht!$P$15,IF(INDEX(Audit_Werkzeuge!$F$12:$F$21,MATCH($A49,Audit_Werkzeuge!$K$12:$K$21,0))="","",INDEX(Audit_Werkzeuge!$F$12:$F$21,MATCH($A49,Audit_Werkzeuge!$K$12:$K$21,0))),IF(INDEX(Audit_Kompakt!$F$12:$F$35,MATCH($A49,Audit_Kompakt!$K$12:$K$35,0))="","",INDEX(Audit_Kompakt!$F$12:$F$35,MATCH($A49,Audit_Kompakt!$K$12:$K$35,0))))))),"")</f>
        <v/>
      </c>
      <c r="H49" s="41" t="str">
        <f aca="false">IFERROR(IF($A49="","",IF($A49&lt;=Übersicht!$P$13,IF(INDEX(Audit_Allgemein!$G$12:$G$50,MATCH($A49,Audit_Allgemein!$K$12:$K$50,0))="","",INDEX(Audit_Allgemein!$G$12:$G$50,MATCH($A49,Audit_Allgemein!$K$12:$K$50,0))),IF($A49&lt;=Übersicht!$P$14,IF(INDEX(Audit_Maschine!$G$12:$G$24,MATCH($A49,Audit_Maschine!$K$12:$K$24,0))="","",INDEX(Audit_Maschine!$G$12:$G$24,MATCH($A49,Audit_Maschine!$K$12:$K$24,0))),IF($A49&lt;=Übersicht!$P$15,IF(INDEX(Audit_Werkzeuge!$G$12:$G$21,MATCH($A49,Audit_Werkzeuge!$K$12:$K$21,0))="","",INDEX(Audit_Werkzeuge!$G$12:$G$21,MATCH($A49,Audit_Werkzeuge!$K$12:$K$21,0))),IF(INDEX(Audit_Kompakt!$G$12:$G$35,MATCH($A49,Audit_Kompakt!$K$12:$K$35,0))="","",INDEX(Audit_Kompakt!$G$12:$G$35,MATCH($A49,Audit_Kompakt!$K$12:$K$35,0))))))),"")</f>
        <v/>
      </c>
      <c r="I49" s="43" t="str">
        <f aca="false">IFERROR(IF($A49="","",IF($A49&lt;=Übersicht!$P$13,IF(INDEX(Audit_Allgemein!$H$12:$H$50,MATCH($A49,Audit_Allgemein!$K$12:$K$50,0))="","",INDEX(Audit_Allgemein!$H$12:$H$50,MATCH($A49,Audit_Allgemein!$K$12:$K$50,0))),IF($A49&lt;=Übersicht!$P$14,IF(INDEX(Audit_Maschine!$H$12:$H$24,MATCH($A49,Audit_Maschine!$K$12:$K$24,0))="","",INDEX(Audit_Maschine!$H$12:$H$24,MATCH($A49,Audit_Maschine!$K$12:$K$24,0))),IF($A49&lt;=Übersicht!$P$15,IF(INDEX(Audit_Werkzeuge!$H$12:$H$21,MATCH($A49,Audit_Werkzeuge!$K$12:$K$21,0))="","",INDEX(Audit_Werkzeuge!$H$12:$H$21,MATCH($A49,Audit_Werkzeuge!$K$12:$K$21,0))),IF(INDEX(Audit_Kompakt!$H$12:$H$35,MATCH($A49,Audit_Kompakt!$K$12:$K$35,0))="","",INDEX(Audit_Kompakt!$H$12:$H$35,MATCH($A49,Audit_Kompakt!$K$12:$K$35,0))))))),"")</f>
        <v/>
      </c>
      <c r="J49" s="41" t="str">
        <f aca="false">IFERROR(IF($A49="","",IF($A49&lt;=Übersicht!$P$13,IF(INDEX(Audit_Allgemein!$J$12:$J$50,MATCH($A49,Audit_Allgemein!$K$12:$K$50,0))="","",INDEX(Audit_Allgemein!$J$12:$J$50,MATCH($A49,Audit_Allgemein!$K$12:$K$50,0))),IF($A49&lt;=Übersicht!$P$14,IF(INDEX(Audit_Maschine!$J$12:$J$24,MATCH($A49,Audit_Maschine!$K$12:$K$24,0))="","",INDEX(Audit_Maschine!$J$12:$J$24,MATCH($A49,Audit_Maschine!$K$12:$K$24,0))),IF($A49&lt;=Übersicht!$P$15,IF(INDEX(Audit_Werkzeuge!$J$12:$J$21,MATCH($A49,Audit_Werkzeuge!$K$12:$K$21,0))="","",INDEX(Audit_Werkzeuge!$J$12:$J$21,MATCH($A49,Audit_Werkzeuge!$K$12:$K$21,0))),IF(INDEX(Audit_Kompakt!$J$12:$J$35,MATCH($A49,Audit_Kompakt!$K$12:$K$35,0))="","",INDEX(Audit_Kompakt!$J$12:$J$35,MATCH($A49,Audit_Kompakt!$K$12:$K$35,0))))))),"")</f>
        <v/>
      </c>
    </row>
    <row r="50" customFormat="false" ht="15" hidden="false" customHeight="false" outlineLevel="0" collapsed="false">
      <c r="A50" s="41" t="str">
        <f aca="false">IF(46&lt;=Übersicht!$M$17,46,"")</f>
        <v/>
      </c>
      <c r="B50" s="41" t="str">
        <f aca="false">IFERROR(IF($A50="","",IF($A50&lt;=Übersicht!$P$13,"Allgemein",IF($A50&lt;=Übersicht!$P$14,"Maschine",IF($A50&lt;=Übersicht!$P$15,"Werkzeug","Kompakt")))),"")</f>
        <v/>
      </c>
      <c r="C50" s="41" t="str">
        <f aca="false">IFERROR(IF($A50="","",IF($A50&lt;=Übersicht!$P$13,IF(Audit_Allgemein!$C$4="","–",Audit_Allgemein!$C$4),IF($A50&lt;=Übersicht!$P$14,IF(Audit_Maschine!$C$4="","–",Audit_Maschine!$C$4),IF($A50&lt;=Übersicht!$P$15,IF(Audit_Werkzeuge!$C$4="","–",Audit_Werkzeuge!$C$4),IF(Audit_Kompakt!$C$4="","–",Audit_Kompakt!$C$4))))),"")</f>
        <v/>
      </c>
      <c r="D50" s="41" t="str">
        <f aca="false">IFERROR(IF($A50="","",IF($A50&lt;=Übersicht!$P$13,IF(INDEX(Audit_Allgemein!$A$12:$A$50,MATCH($A50,Audit_Allgemein!$K$12:$K$50,0))="","",INDEX(Audit_Allgemein!$A$12:$A$50,MATCH($A50,Audit_Allgemein!$K$12:$K$50,0))),IF($A50&lt;=Übersicht!$P$14,IF(INDEX(Audit_Maschine!$A$12:$A$24,MATCH($A50,Audit_Maschine!$K$12:$K$24,0))="","",INDEX(Audit_Maschine!$A$12:$A$24,MATCH($A50,Audit_Maschine!$K$12:$K$24,0))),IF($A50&lt;=Übersicht!$P$15,IF(INDEX(Audit_Werkzeuge!$A$12:$A$21,MATCH($A50,Audit_Werkzeuge!$K$12:$K$21,0))="","",INDEX(Audit_Werkzeuge!$A$12:$A$21,MATCH($A50,Audit_Werkzeuge!$K$12:$K$21,0))),IF(INDEX(Audit_Kompakt!$A$12:$A$35,MATCH($A50,Audit_Kompakt!$K$12:$K$35,0))="","",INDEX(Audit_Kompakt!$A$12:$A$35,MATCH($A50,Audit_Kompakt!$K$12:$K$35,0))))))),"")</f>
        <v/>
      </c>
      <c r="E50" s="42" t="str">
        <f aca="false">IFERROR(IF($A50="","",IF($A50&lt;=Übersicht!$P$13,IF(INDEX(Audit_Allgemein!$C$12:$C$50,MATCH($A50,Audit_Allgemein!$K$12:$K$50,0))="","",INDEX(Audit_Allgemein!$C$12:$C$50,MATCH($A50,Audit_Allgemein!$K$12:$K$50,0))),IF($A50&lt;=Übersicht!$P$14,IF(INDEX(Audit_Maschine!$C$12:$C$24,MATCH($A50,Audit_Maschine!$K$12:$K$24,0))="","",INDEX(Audit_Maschine!$C$12:$C$24,MATCH($A50,Audit_Maschine!$K$12:$K$24,0))),IF($A50&lt;=Übersicht!$P$15,IF(INDEX(Audit_Werkzeuge!$C$12:$C$21,MATCH($A50,Audit_Werkzeuge!$K$12:$K$21,0))="","",INDEX(Audit_Werkzeuge!$C$12:$C$21,MATCH($A50,Audit_Werkzeuge!$K$12:$K$21,0))),IF(INDEX(Audit_Kompakt!$C$12:$C$35,MATCH($A50,Audit_Kompakt!$K$12:$K$35,0))="","",INDEX(Audit_Kompakt!$C$12:$C$35,MATCH($A50,Audit_Kompakt!$K$12:$K$35,0))))))),"")</f>
        <v/>
      </c>
      <c r="F50" s="41" t="str">
        <f aca="false">IFERROR(IF($A50="","",IF($A50&lt;=Übersicht!$P$13,IF(INDEX(Audit_Allgemein!$E$12:$E$50,MATCH($A50,Audit_Allgemein!$K$12:$K$50,0))="","",INDEX(Audit_Allgemein!$E$12:$E$50,MATCH($A50,Audit_Allgemein!$K$12:$K$50,0))),IF($A50&lt;=Übersicht!$P$14,IF(INDEX(Audit_Maschine!$E$12:$E$24,MATCH($A50,Audit_Maschine!$K$12:$K$24,0))="","",INDEX(Audit_Maschine!$E$12:$E$24,MATCH($A50,Audit_Maschine!$K$12:$K$24,0))),IF($A50&lt;=Übersicht!$P$15,IF(INDEX(Audit_Werkzeuge!$E$12:$E$21,MATCH($A50,Audit_Werkzeuge!$K$12:$K$21,0))="","",INDEX(Audit_Werkzeuge!$E$12:$E$21,MATCH($A50,Audit_Werkzeuge!$K$12:$K$21,0))),IF(INDEX(Audit_Kompakt!$E$12:$E$35,MATCH($A50,Audit_Kompakt!$K$12:$K$35,0))="","",INDEX(Audit_Kompakt!$E$12:$E$35,MATCH($A50,Audit_Kompakt!$K$12:$K$35,0))))))),"")</f>
        <v/>
      </c>
      <c r="G50" s="42" t="str">
        <f aca="false">IFERROR(IF($A50="","",IF($A50&lt;=Übersicht!$P$13,IF(INDEX(Audit_Allgemein!$F$12:$F$50,MATCH($A50,Audit_Allgemein!$K$12:$K$50,0))="","",INDEX(Audit_Allgemein!$F$12:$F$50,MATCH($A50,Audit_Allgemein!$K$12:$K$50,0))),IF($A50&lt;=Übersicht!$P$14,IF(INDEX(Audit_Maschine!$F$12:$F$24,MATCH($A50,Audit_Maschine!$K$12:$K$24,0))="","",INDEX(Audit_Maschine!$F$12:$F$24,MATCH($A50,Audit_Maschine!$K$12:$K$24,0))),IF($A50&lt;=Übersicht!$P$15,IF(INDEX(Audit_Werkzeuge!$F$12:$F$21,MATCH($A50,Audit_Werkzeuge!$K$12:$K$21,0))="","",INDEX(Audit_Werkzeuge!$F$12:$F$21,MATCH($A50,Audit_Werkzeuge!$K$12:$K$21,0))),IF(INDEX(Audit_Kompakt!$F$12:$F$35,MATCH($A50,Audit_Kompakt!$K$12:$K$35,0))="","",INDEX(Audit_Kompakt!$F$12:$F$35,MATCH($A50,Audit_Kompakt!$K$12:$K$35,0))))))),"")</f>
        <v/>
      </c>
      <c r="H50" s="41" t="str">
        <f aca="false">IFERROR(IF($A50="","",IF($A50&lt;=Übersicht!$P$13,IF(INDEX(Audit_Allgemein!$G$12:$G$50,MATCH($A50,Audit_Allgemein!$K$12:$K$50,0))="","",INDEX(Audit_Allgemein!$G$12:$G$50,MATCH($A50,Audit_Allgemein!$K$12:$K$50,0))),IF($A50&lt;=Übersicht!$P$14,IF(INDEX(Audit_Maschine!$G$12:$G$24,MATCH($A50,Audit_Maschine!$K$12:$K$24,0))="","",INDEX(Audit_Maschine!$G$12:$G$24,MATCH($A50,Audit_Maschine!$K$12:$K$24,0))),IF($A50&lt;=Übersicht!$P$15,IF(INDEX(Audit_Werkzeuge!$G$12:$G$21,MATCH($A50,Audit_Werkzeuge!$K$12:$K$21,0))="","",INDEX(Audit_Werkzeuge!$G$12:$G$21,MATCH($A50,Audit_Werkzeuge!$K$12:$K$21,0))),IF(INDEX(Audit_Kompakt!$G$12:$G$35,MATCH($A50,Audit_Kompakt!$K$12:$K$35,0))="","",INDEX(Audit_Kompakt!$G$12:$G$35,MATCH($A50,Audit_Kompakt!$K$12:$K$35,0))))))),"")</f>
        <v/>
      </c>
      <c r="I50" s="43" t="str">
        <f aca="false">IFERROR(IF($A50="","",IF($A50&lt;=Übersicht!$P$13,IF(INDEX(Audit_Allgemein!$H$12:$H$50,MATCH($A50,Audit_Allgemein!$K$12:$K$50,0))="","",INDEX(Audit_Allgemein!$H$12:$H$50,MATCH($A50,Audit_Allgemein!$K$12:$K$50,0))),IF($A50&lt;=Übersicht!$P$14,IF(INDEX(Audit_Maschine!$H$12:$H$24,MATCH($A50,Audit_Maschine!$K$12:$K$24,0))="","",INDEX(Audit_Maschine!$H$12:$H$24,MATCH($A50,Audit_Maschine!$K$12:$K$24,0))),IF($A50&lt;=Übersicht!$P$15,IF(INDEX(Audit_Werkzeuge!$H$12:$H$21,MATCH($A50,Audit_Werkzeuge!$K$12:$K$21,0))="","",INDEX(Audit_Werkzeuge!$H$12:$H$21,MATCH($A50,Audit_Werkzeuge!$K$12:$K$21,0))),IF(INDEX(Audit_Kompakt!$H$12:$H$35,MATCH($A50,Audit_Kompakt!$K$12:$K$35,0))="","",INDEX(Audit_Kompakt!$H$12:$H$35,MATCH($A50,Audit_Kompakt!$K$12:$K$35,0))))))),"")</f>
        <v/>
      </c>
      <c r="J50" s="41" t="str">
        <f aca="false">IFERROR(IF($A50="","",IF($A50&lt;=Übersicht!$P$13,IF(INDEX(Audit_Allgemein!$J$12:$J$50,MATCH($A50,Audit_Allgemein!$K$12:$K$50,0))="","",INDEX(Audit_Allgemein!$J$12:$J$50,MATCH($A50,Audit_Allgemein!$K$12:$K$50,0))),IF($A50&lt;=Übersicht!$P$14,IF(INDEX(Audit_Maschine!$J$12:$J$24,MATCH($A50,Audit_Maschine!$K$12:$K$24,0))="","",INDEX(Audit_Maschine!$J$12:$J$24,MATCH($A50,Audit_Maschine!$K$12:$K$24,0))),IF($A50&lt;=Übersicht!$P$15,IF(INDEX(Audit_Werkzeuge!$J$12:$J$21,MATCH($A50,Audit_Werkzeuge!$K$12:$K$21,0))="","",INDEX(Audit_Werkzeuge!$J$12:$J$21,MATCH($A50,Audit_Werkzeuge!$K$12:$K$21,0))),IF(INDEX(Audit_Kompakt!$J$12:$J$35,MATCH($A50,Audit_Kompakt!$K$12:$K$35,0))="","",INDEX(Audit_Kompakt!$J$12:$J$35,MATCH($A50,Audit_Kompakt!$K$12:$K$35,0))))))),"")</f>
        <v/>
      </c>
    </row>
    <row r="51" customFormat="false" ht="15" hidden="false" customHeight="false" outlineLevel="0" collapsed="false">
      <c r="A51" s="41" t="str">
        <f aca="false">IF(47&lt;=Übersicht!$M$17,47,"")</f>
        <v/>
      </c>
      <c r="B51" s="41" t="str">
        <f aca="false">IFERROR(IF($A51="","",IF($A51&lt;=Übersicht!$P$13,"Allgemein",IF($A51&lt;=Übersicht!$P$14,"Maschine",IF($A51&lt;=Übersicht!$P$15,"Werkzeug","Kompakt")))),"")</f>
        <v/>
      </c>
      <c r="C51" s="41" t="str">
        <f aca="false">IFERROR(IF($A51="","",IF($A51&lt;=Übersicht!$P$13,IF(Audit_Allgemein!$C$4="","–",Audit_Allgemein!$C$4),IF($A51&lt;=Übersicht!$P$14,IF(Audit_Maschine!$C$4="","–",Audit_Maschine!$C$4),IF($A51&lt;=Übersicht!$P$15,IF(Audit_Werkzeuge!$C$4="","–",Audit_Werkzeuge!$C$4),IF(Audit_Kompakt!$C$4="","–",Audit_Kompakt!$C$4))))),"")</f>
        <v/>
      </c>
      <c r="D51" s="41" t="str">
        <f aca="false">IFERROR(IF($A51="","",IF($A51&lt;=Übersicht!$P$13,IF(INDEX(Audit_Allgemein!$A$12:$A$50,MATCH($A51,Audit_Allgemein!$K$12:$K$50,0))="","",INDEX(Audit_Allgemein!$A$12:$A$50,MATCH($A51,Audit_Allgemein!$K$12:$K$50,0))),IF($A51&lt;=Übersicht!$P$14,IF(INDEX(Audit_Maschine!$A$12:$A$24,MATCH($A51,Audit_Maschine!$K$12:$K$24,0))="","",INDEX(Audit_Maschine!$A$12:$A$24,MATCH($A51,Audit_Maschine!$K$12:$K$24,0))),IF($A51&lt;=Übersicht!$P$15,IF(INDEX(Audit_Werkzeuge!$A$12:$A$21,MATCH($A51,Audit_Werkzeuge!$K$12:$K$21,0))="","",INDEX(Audit_Werkzeuge!$A$12:$A$21,MATCH($A51,Audit_Werkzeuge!$K$12:$K$21,0))),IF(INDEX(Audit_Kompakt!$A$12:$A$35,MATCH($A51,Audit_Kompakt!$K$12:$K$35,0))="","",INDEX(Audit_Kompakt!$A$12:$A$35,MATCH($A51,Audit_Kompakt!$K$12:$K$35,0))))))),"")</f>
        <v/>
      </c>
      <c r="E51" s="42" t="str">
        <f aca="false">IFERROR(IF($A51="","",IF($A51&lt;=Übersicht!$P$13,IF(INDEX(Audit_Allgemein!$C$12:$C$50,MATCH($A51,Audit_Allgemein!$K$12:$K$50,0))="","",INDEX(Audit_Allgemein!$C$12:$C$50,MATCH($A51,Audit_Allgemein!$K$12:$K$50,0))),IF($A51&lt;=Übersicht!$P$14,IF(INDEX(Audit_Maschine!$C$12:$C$24,MATCH($A51,Audit_Maschine!$K$12:$K$24,0))="","",INDEX(Audit_Maschine!$C$12:$C$24,MATCH($A51,Audit_Maschine!$K$12:$K$24,0))),IF($A51&lt;=Übersicht!$P$15,IF(INDEX(Audit_Werkzeuge!$C$12:$C$21,MATCH($A51,Audit_Werkzeuge!$K$12:$K$21,0))="","",INDEX(Audit_Werkzeuge!$C$12:$C$21,MATCH($A51,Audit_Werkzeuge!$K$12:$K$21,0))),IF(INDEX(Audit_Kompakt!$C$12:$C$35,MATCH($A51,Audit_Kompakt!$K$12:$K$35,0))="","",INDEX(Audit_Kompakt!$C$12:$C$35,MATCH($A51,Audit_Kompakt!$K$12:$K$35,0))))))),"")</f>
        <v/>
      </c>
      <c r="F51" s="41" t="str">
        <f aca="false">IFERROR(IF($A51="","",IF($A51&lt;=Übersicht!$P$13,IF(INDEX(Audit_Allgemein!$E$12:$E$50,MATCH($A51,Audit_Allgemein!$K$12:$K$50,0))="","",INDEX(Audit_Allgemein!$E$12:$E$50,MATCH($A51,Audit_Allgemein!$K$12:$K$50,0))),IF($A51&lt;=Übersicht!$P$14,IF(INDEX(Audit_Maschine!$E$12:$E$24,MATCH($A51,Audit_Maschine!$K$12:$K$24,0))="","",INDEX(Audit_Maschine!$E$12:$E$24,MATCH($A51,Audit_Maschine!$K$12:$K$24,0))),IF($A51&lt;=Übersicht!$P$15,IF(INDEX(Audit_Werkzeuge!$E$12:$E$21,MATCH($A51,Audit_Werkzeuge!$K$12:$K$21,0))="","",INDEX(Audit_Werkzeuge!$E$12:$E$21,MATCH($A51,Audit_Werkzeuge!$K$12:$K$21,0))),IF(INDEX(Audit_Kompakt!$E$12:$E$35,MATCH($A51,Audit_Kompakt!$K$12:$K$35,0))="","",INDEX(Audit_Kompakt!$E$12:$E$35,MATCH($A51,Audit_Kompakt!$K$12:$K$35,0))))))),"")</f>
        <v/>
      </c>
      <c r="G51" s="42" t="str">
        <f aca="false">IFERROR(IF($A51="","",IF($A51&lt;=Übersicht!$P$13,IF(INDEX(Audit_Allgemein!$F$12:$F$50,MATCH($A51,Audit_Allgemein!$K$12:$K$50,0))="","",INDEX(Audit_Allgemein!$F$12:$F$50,MATCH($A51,Audit_Allgemein!$K$12:$K$50,0))),IF($A51&lt;=Übersicht!$P$14,IF(INDEX(Audit_Maschine!$F$12:$F$24,MATCH($A51,Audit_Maschine!$K$12:$K$24,0))="","",INDEX(Audit_Maschine!$F$12:$F$24,MATCH($A51,Audit_Maschine!$K$12:$K$24,0))),IF($A51&lt;=Übersicht!$P$15,IF(INDEX(Audit_Werkzeuge!$F$12:$F$21,MATCH($A51,Audit_Werkzeuge!$K$12:$K$21,0))="","",INDEX(Audit_Werkzeuge!$F$12:$F$21,MATCH($A51,Audit_Werkzeuge!$K$12:$K$21,0))),IF(INDEX(Audit_Kompakt!$F$12:$F$35,MATCH($A51,Audit_Kompakt!$K$12:$K$35,0))="","",INDEX(Audit_Kompakt!$F$12:$F$35,MATCH($A51,Audit_Kompakt!$K$12:$K$35,0))))))),"")</f>
        <v/>
      </c>
      <c r="H51" s="41" t="str">
        <f aca="false">IFERROR(IF($A51="","",IF($A51&lt;=Übersicht!$P$13,IF(INDEX(Audit_Allgemein!$G$12:$G$50,MATCH($A51,Audit_Allgemein!$K$12:$K$50,0))="","",INDEX(Audit_Allgemein!$G$12:$G$50,MATCH($A51,Audit_Allgemein!$K$12:$K$50,0))),IF($A51&lt;=Übersicht!$P$14,IF(INDEX(Audit_Maschine!$G$12:$G$24,MATCH($A51,Audit_Maschine!$K$12:$K$24,0))="","",INDEX(Audit_Maschine!$G$12:$G$24,MATCH($A51,Audit_Maschine!$K$12:$K$24,0))),IF($A51&lt;=Übersicht!$P$15,IF(INDEX(Audit_Werkzeuge!$G$12:$G$21,MATCH($A51,Audit_Werkzeuge!$K$12:$K$21,0))="","",INDEX(Audit_Werkzeuge!$G$12:$G$21,MATCH($A51,Audit_Werkzeuge!$K$12:$K$21,0))),IF(INDEX(Audit_Kompakt!$G$12:$G$35,MATCH($A51,Audit_Kompakt!$K$12:$K$35,0))="","",INDEX(Audit_Kompakt!$G$12:$G$35,MATCH($A51,Audit_Kompakt!$K$12:$K$35,0))))))),"")</f>
        <v/>
      </c>
      <c r="I51" s="43" t="str">
        <f aca="false">IFERROR(IF($A51="","",IF($A51&lt;=Übersicht!$P$13,IF(INDEX(Audit_Allgemein!$H$12:$H$50,MATCH($A51,Audit_Allgemein!$K$12:$K$50,0))="","",INDEX(Audit_Allgemein!$H$12:$H$50,MATCH($A51,Audit_Allgemein!$K$12:$K$50,0))),IF($A51&lt;=Übersicht!$P$14,IF(INDEX(Audit_Maschine!$H$12:$H$24,MATCH($A51,Audit_Maschine!$K$12:$K$24,0))="","",INDEX(Audit_Maschine!$H$12:$H$24,MATCH($A51,Audit_Maschine!$K$12:$K$24,0))),IF($A51&lt;=Übersicht!$P$15,IF(INDEX(Audit_Werkzeuge!$H$12:$H$21,MATCH($A51,Audit_Werkzeuge!$K$12:$K$21,0))="","",INDEX(Audit_Werkzeuge!$H$12:$H$21,MATCH($A51,Audit_Werkzeuge!$K$12:$K$21,0))),IF(INDEX(Audit_Kompakt!$H$12:$H$35,MATCH($A51,Audit_Kompakt!$K$12:$K$35,0))="","",INDEX(Audit_Kompakt!$H$12:$H$35,MATCH($A51,Audit_Kompakt!$K$12:$K$35,0))))))),"")</f>
        <v/>
      </c>
      <c r="J51" s="41" t="str">
        <f aca="false">IFERROR(IF($A51="","",IF($A51&lt;=Übersicht!$P$13,IF(INDEX(Audit_Allgemein!$J$12:$J$50,MATCH($A51,Audit_Allgemein!$K$12:$K$50,0))="","",INDEX(Audit_Allgemein!$J$12:$J$50,MATCH($A51,Audit_Allgemein!$K$12:$K$50,0))),IF($A51&lt;=Übersicht!$P$14,IF(INDEX(Audit_Maschine!$J$12:$J$24,MATCH($A51,Audit_Maschine!$K$12:$K$24,0))="","",INDEX(Audit_Maschine!$J$12:$J$24,MATCH($A51,Audit_Maschine!$K$12:$K$24,0))),IF($A51&lt;=Übersicht!$P$15,IF(INDEX(Audit_Werkzeuge!$J$12:$J$21,MATCH($A51,Audit_Werkzeuge!$K$12:$K$21,0))="","",INDEX(Audit_Werkzeuge!$J$12:$J$21,MATCH($A51,Audit_Werkzeuge!$K$12:$K$21,0))),IF(INDEX(Audit_Kompakt!$J$12:$J$35,MATCH($A51,Audit_Kompakt!$K$12:$K$35,0))="","",INDEX(Audit_Kompakt!$J$12:$J$35,MATCH($A51,Audit_Kompakt!$K$12:$K$35,0))))))),"")</f>
        <v/>
      </c>
    </row>
    <row r="52" customFormat="false" ht="15" hidden="false" customHeight="false" outlineLevel="0" collapsed="false">
      <c r="A52" s="41" t="str">
        <f aca="false">IF(48&lt;=Übersicht!$M$17,48,"")</f>
        <v/>
      </c>
      <c r="B52" s="41" t="str">
        <f aca="false">IFERROR(IF($A52="","",IF($A52&lt;=Übersicht!$P$13,"Allgemein",IF($A52&lt;=Übersicht!$P$14,"Maschine",IF($A52&lt;=Übersicht!$P$15,"Werkzeug","Kompakt")))),"")</f>
        <v/>
      </c>
      <c r="C52" s="41" t="str">
        <f aca="false">IFERROR(IF($A52="","",IF($A52&lt;=Übersicht!$P$13,IF(Audit_Allgemein!$C$4="","–",Audit_Allgemein!$C$4),IF($A52&lt;=Übersicht!$P$14,IF(Audit_Maschine!$C$4="","–",Audit_Maschine!$C$4),IF($A52&lt;=Übersicht!$P$15,IF(Audit_Werkzeuge!$C$4="","–",Audit_Werkzeuge!$C$4),IF(Audit_Kompakt!$C$4="","–",Audit_Kompakt!$C$4))))),"")</f>
        <v/>
      </c>
      <c r="D52" s="41" t="str">
        <f aca="false">IFERROR(IF($A52="","",IF($A52&lt;=Übersicht!$P$13,IF(INDEX(Audit_Allgemein!$A$12:$A$50,MATCH($A52,Audit_Allgemein!$K$12:$K$50,0))="","",INDEX(Audit_Allgemein!$A$12:$A$50,MATCH($A52,Audit_Allgemein!$K$12:$K$50,0))),IF($A52&lt;=Übersicht!$P$14,IF(INDEX(Audit_Maschine!$A$12:$A$24,MATCH($A52,Audit_Maschine!$K$12:$K$24,0))="","",INDEX(Audit_Maschine!$A$12:$A$24,MATCH($A52,Audit_Maschine!$K$12:$K$24,0))),IF($A52&lt;=Übersicht!$P$15,IF(INDEX(Audit_Werkzeuge!$A$12:$A$21,MATCH($A52,Audit_Werkzeuge!$K$12:$K$21,0))="","",INDEX(Audit_Werkzeuge!$A$12:$A$21,MATCH($A52,Audit_Werkzeuge!$K$12:$K$21,0))),IF(INDEX(Audit_Kompakt!$A$12:$A$35,MATCH($A52,Audit_Kompakt!$K$12:$K$35,0))="","",INDEX(Audit_Kompakt!$A$12:$A$35,MATCH($A52,Audit_Kompakt!$K$12:$K$35,0))))))),"")</f>
        <v/>
      </c>
      <c r="E52" s="42" t="str">
        <f aca="false">IFERROR(IF($A52="","",IF($A52&lt;=Übersicht!$P$13,IF(INDEX(Audit_Allgemein!$C$12:$C$50,MATCH($A52,Audit_Allgemein!$K$12:$K$50,0))="","",INDEX(Audit_Allgemein!$C$12:$C$50,MATCH($A52,Audit_Allgemein!$K$12:$K$50,0))),IF($A52&lt;=Übersicht!$P$14,IF(INDEX(Audit_Maschine!$C$12:$C$24,MATCH($A52,Audit_Maschine!$K$12:$K$24,0))="","",INDEX(Audit_Maschine!$C$12:$C$24,MATCH($A52,Audit_Maschine!$K$12:$K$24,0))),IF($A52&lt;=Übersicht!$P$15,IF(INDEX(Audit_Werkzeuge!$C$12:$C$21,MATCH($A52,Audit_Werkzeuge!$K$12:$K$21,0))="","",INDEX(Audit_Werkzeuge!$C$12:$C$21,MATCH($A52,Audit_Werkzeuge!$K$12:$K$21,0))),IF(INDEX(Audit_Kompakt!$C$12:$C$35,MATCH($A52,Audit_Kompakt!$K$12:$K$35,0))="","",INDEX(Audit_Kompakt!$C$12:$C$35,MATCH($A52,Audit_Kompakt!$K$12:$K$35,0))))))),"")</f>
        <v/>
      </c>
      <c r="F52" s="41" t="str">
        <f aca="false">IFERROR(IF($A52="","",IF($A52&lt;=Übersicht!$P$13,IF(INDEX(Audit_Allgemein!$E$12:$E$50,MATCH($A52,Audit_Allgemein!$K$12:$K$50,0))="","",INDEX(Audit_Allgemein!$E$12:$E$50,MATCH($A52,Audit_Allgemein!$K$12:$K$50,0))),IF($A52&lt;=Übersicht!$P$14,IF(INDEX(Audit_Maschine!$E$12:$E$24,MATCH($A52,Audit_Maschine!$K$12:$K$24,0))="","",INDEX(Audit_Maschine!$E$12:$E$24,MATCH($A52,Audit_Maschine!$K$12:$K$24,0))),IF($A52&lt;=Übersicht!$P$15,IF(INDEX(Audit_Werkzeuge!$E$12:$E$21,MATCH($A52,Audit_Werkzeuge!$K$12:$K$21,0))="","",INDEX(Audit_Werkzeuge!$E$12:$E$21,MATCH($A52,Audit_Werkzeuge!$K$12:$K$21,0))),IF(INDEX(Audit_Kompakt!$E$12:$E$35,MATCH($A52,Audit_Kompakt!$K$12:$K$35,0))="","",INDEX(Audit_Kompakt!$E$12:$E$35,MATCH($A52,Audit_Kompakt!$K$12:$K$35,0))))))),"")</f>
        <v/>
      </c>
      <c r="G52" s="42" t="str">
        <f aca="false">IFERROR(IF($A52="","",IF($A52&lt;=Übersicht!$P$13,IF(INDEX(Audit_Allgemein!$F$12:$F$50,MATCH($A52,Audit_Allgemein!$K$12:$K$50,0))="","",INDEX(Audit_Allgemein!$F$12:$F$50,MATCH($A52,Audit_Allgemein!$K$12:$K$50,0))),IF($A52&lt;=Übersicht!$P$14,IF(INDEX(Audit_Maschine!$F$12:$F$24,MATCH($A52,Audit_Maschine!$K$12:$K$24,0))="","",INDEX(Audit_Maschine!$F$12:$F$24,MATCH($A52,Audit_Maschine!$K$12:$K$24,0))),IF($A52&lt;=Übersicht!$P$15,IF(INDEX(Audit_Werkzeuge!$F$12:$F$21,MATCH($A52,Audit_Werkzeuge!$K$12:$K$21,0))="","",INDEX(Audit_Werkzeuge!$F$12:$F$21,MATCH($A52,Audit_Werkzeuge!$K$12:$K$21,0))),IF(INDEX(Audit_Kompakt!$F$12:$F$35,MATCH($A52,Audit_Kompakt!$K$12:$K$35,0))="","",INDEX(Audit_Kompakt!$F$12:$F$35,MATCH($A52,Audit_Kompakt!$K$12:$K$35,0))))))),"")</f>
        <v/>
      </c>
      <c r="H52" s="41" t="str">
        <f aca="false">IFERROR(IF($A52="","",IF($A52&lt;=Übersicht!$P$13,IF(INDEX(Audit_Allgemein!$G$12:$G$50,MATCH($A52,Audit_Allgemein!$K$12:$K$50,0))="","",INDEX(Audit_Allgemein!$G$12:$G$50,MATCH($A52,Audit_Allgemein!$K$12:$K$50,0))),IF($A52&lt;=Übersicht!$P$14,IF(INDEX(Audit_Maschine!$G$12:$G$24,MATCH($A52,Audit_Maschine!$K$12:$K$24,0))="","",INDEX(Audit_Maschine!$G$12:$G$24,MATCH($A52,Audit_Maschine!$K$12:$K$24,0))),IF($A52&lt;=Übersicht!$P$15,IF(INDEX(Audit_Werkzeuge!$G$12:$G$21,MATCH($A52,Audit_Werkzeuge!$K$12:$K$21,0))="","",INDEX(Audit_Werkzeuge!$G$12:$G$21,MATCH($A52,Audit_Werkzeuge!$K$12:$K$21,0))),IF(INDEX(Audit_Kompakt!$G$12:$G$35,MATCH($A52,Audit_Kompakt!$K$12:$K$35,0))="","",INDEX(Audit_Kompakt!$G$12:$G$35,MATCH($A52,Audit_Kompakt!$K$12:$K$35,0))))))),"")</f>
        <v/>
      </c>
      <c r="I52" s="43" t="str">
        <f aca="false">IFERROR(IF($A52="","",IF($A52&lt;=Übersicht!$P$13,IF(INDEX(Audit_Allgemein!$H$12:$H$50,MATCH($A52,Audit_Allgemein!$K$12:$K$50,0))="","",INDEX(Audit_Allgemein!$H$12:$H$50,MATCH($A52,Audit_Allgemein!$K$12:$K$50,0))),IF($A52&lt;=Übersicht!$P$14,IF(INDEX(Audit_Maschine!$H$12:$H$24,MATCH($A52,Audit_Maschine!$K$12:$K$24,0))="","",INDEX(Audit_Maschine!$H$12:$H$24,MATCH($A52,Audit_Maschine!$K$12:$K$24,0))),IF($A52&lt;=Übersicht!$P$15,IF(INDEX(Audit_Werkzeuge!$H$12:$H$21,MATCH($A52,Audit_Werkzeuge!$K$12:$K$21,0))="","",INDEX(Audit_Werkzeuge!$H$12:$H$21,MATCH($A52,Audit_Werkzeuge!$K$12:$K$21,0))),IF(INDEX(Audit_Kompakt!$H$12:$H$35,MATCH($A52,Audit_Kompakt!$K$12:$K$35,0))="","",INDEX(Audit_Kompakt!$H$12:$H$35,MATCH($A52,Audit_Kompakt!$K$12:$K$35,0))))))),"")</f>
        <v/>
      </c>
      <c r="J52" s="41" t="str">
        <f aca="false">IFERROR(IF($A52="","",IF($A52&lt;=Übersicht!$P$13,IF(INDEX(Audit_Allgemein!$J$12:$J$50,MATCH($A52,Audit_Allgemein!$K$12:$K$50,0))="","",INDEX(Audit_Allgemein!$J$12:$J$50,MATCH($A52,Audit_Allgemein!$K$12:$K$50,0))),IF($A52&lt;=Übersicht!$P$14,IF(INDEX(Audit_Maschine!$J$12:$J$24,MATCH($A52,Audit_Maschine!$K$12:$K$24,0))="","",INDEX(Audit_Maschine!$J$12:$J$24,MATCH($A52,Audit_Maschine!$K$12:$K$24,0))),IF($A52&lt;=Übersicht!$P$15,IF(INDEX(Audit_Werkzeuge!$J$12:$J$21,MATCH($A52,Audit_Werkzeuge!$K$12:$K$21,0))="","",INDEX(Audit_Werkzeuge!$J$12:$J$21,MATCH($A52,Audit_Werkzeuge!$K$12:$K$21,0))),IF(INDEX(Audit_Kompakt!$J$12:$J$35,MATCH($A52,Audit_Kompakt!$K$12:$K$35,0))="","",INDEX(Audit_Kompakt!$J$12:$J$35,MATCH($A52,Audit_Kompakt!$K$12:$K$35,0))))))),"")</f>
        <v/>
      </c>
    </row>
    <row r="53" customFormat="false" ht="15" hidden="false" customHeight="false" outlineLevel="0" collapsed="false">
      <c r="A53" s="41" t="str">
        <f aca="false">IF(49&lt;=Übersicht!$M$17,49,"")</f>
        <v/>
      </c>
      <c r="B53" s="41" t="str">
        <f aca="false">IFERROR(IF($A53="","",IF($A53&lt;=Übersicht!$P$13,"Allgemein",IF($A53&lt;=Übersicht!$P$14,"Maschine",IF($A53&lt;=Übersicht!$P$15,"Werkzeug","Kompakt")))),"")</f>
        <v/>
      </c>
      <c r="C53" s="41" t="str">
        <f aca="false">IFERROR(IF($A53="","",IF($A53&lt;=Übersicht!$P$13,IF(Audit_Allgemein!$C$4="","–",Audit_Allgemein!$C$4),IF($A53&lt;=Übersicht!$P$14,IF(Audit_Maschine!$C$4="","–",Audit_Maschine!$C$4),IF($A53&lt;=Übersicht!$P$15,IF(Audit_Werkzeuge!$C$4="","–",Audit_Werkzeuge!$C$4),IF(Audit_Kompakt!$C$4="","–",Audit_Kompakt!$C$4))))),"")</f>
        <v/>
      </c>
      <c r="D53" s="41" t="str">
        <f aca="false">IFERROR(IF($A53="","",IF($A53&lt;=Übersicht!$P$13,IF(INDEX(Audit_Allgemein!$A$12:$A$50,MATCH($A53,Audit_Allgemein!$K$12:$K$50,0))="","",INDEX(Audit_Allgemein!$A$12:$A$50,MATCH($A53,Audit_Allgemein!$K$12:$K$50,0))),IF($A53&lt;=Übersicht!$P$14,IF(INDEX(Audit_Maschine!$A$12:$A$24,MATCH($A53,Audit_Maschine!$K$12:$K$24,0))="","",INDEX(Audit_Maschine!$A$12:$A$24,MATCH($A53,Audit_Maschine!$K$12:$K$24,0))),IF($A53&lt;=Übersicht!$P$15,IF(INDEX(Audit_Werkzeuge!$A$12:$A$21,MATCH($A53,Audit_Werkzeuge!$K$12:$K$21,0))="","",INDEX(Audit_Werkzeuge!$A$12:$A$21,MATCH($A53,Audit_Werkzeuge!$K$12:$K$21,0))),IF(INDEX(Audit_Kompakt!$A$12:$A$35,MATCH($A53,Audit_Kompakt!$K$12:$K$35,0))="","",INDEX(Audit_Kompakt!$A$12:$A$35,MATCH($A53,Audit_Kompakt!$K$12:$K$35,0))))))),"")</f>
        <v/>
      </c>
      <c r="E53" s="42" t="str">
        <f aca="false">IFERROR(IF($A53="","",IF($A53&lt;=Übersicht!$P$13,IF(INDEX(Audit_Allgemein!$C$12:$C$50,MATCH($A53,Audit_Allgemein!$K$12:$K$50,0))="","",INDEX(Audit_Allgemein!$C$12:$C$50,MATCH($A53,Audit_Allgemein!$K$12:$K$50,0))),IF($A53&lt;=Übersicht!$P$14,IF(INDEX(Audit_Maschine!$C$12:$C$24,MATCH($A53,Audit_Maschine!$K$12:$K$24,0))="","",INDEX(Audit_Maschine!$C$12:$C$24,MATCH($A53,Audit_Maschine!$K$12:$K$24,0))),IF($A53&lt;=Übersicht!$P$15,IF(INDEX(Audit_Werkzeuge!$C$12:$C$21,MATCH($A53,Audit_Werkzeuge!$K$12:$K$21,0))="","",INDEX(Audit_Werkzeuge!$C$12:$C$21,MATCH($A53,Audit_Werkzeuge!$K$12:$K$21,0))),IF(INDEX(Audit_Kompakt!$C$12:$C$35,MATCH($A53,Audit_Kompakt!$K$12:$K$35,0))="","",INDEX(Audit_Kompakt!$C$12:$C$35,MATCH($A53,Audit_Kompakt!$K$12:$K$35,0))))))),"")</f>
        <v/>
      </c>
      <c r="F53" s="41" t="str">
        <f aca="false">IFERROR(IF($A53="","",IF($A53&lt;=Übersicht!$P$13,IF(INDEX(Audit_Allgemein!$E$12:$E$50,MATCH($A53,Audit_Allgemein!$K$12:$K$50,0))="","",INDEX(Audit_Allgemein!$E$12:$E$50,MATCH($A53,Audit_Allgemein!$K$12:$K$50,0))),IF($A53&lt;=Übersicht!$P$14,IF(INDEX(Audit_Maschine!$E$12:$E$24,MATCH($A53,Audit_Maschine!$K$12:$K$24,0))="","",INDEX(Audit_Maschine!$E$12:$E$24,MATCH($A53,Audit_Maschine!$K$12:$K$24,0))),IF($A53&lt;=Übersicht!$P$15,IF(INDEX(Audit_Werkzeuge!$E$12:$E$21,MATCH($A53,Audit_Werkzeuge!$K$12:$K$21,0))="","",INDEX(Audit_Werkzeuge!$E$12:$E$21,MATCH($A53,Audit_Werkzeuge!$K$12:$K$21,0))),IF(INDEX(Audit_Kompakt!$E$12:$E$35,MATCH($A53,Audit_Kompakt!$K$12:$K$35,0))="","",INDEX(Audit_Kompakt!$E$12:$E$35,MATCH($A53,Audit_Kompakt!$K$12:$K$35,0))))))),"")</f>
        <v/>
      </c>
      <c r="G53" s="42" t="str">
        <f aca="false">IFERROR(IF($A53="","",IF($A53&lt;=Übersicht!$P$13,IF(INDEX(Audit_Allgemein!$F$12:$F$50,MATCH($A53,Audit_Allgemein!$K$12:$K$50,0))="","",INDEX(Audit_Allgemein!$F$12:$F$50,MATCH($A53,Audit_Allgemein!$K$12:$K$50,0))),IF($A53&lt;=Übersicht!$P$14,IF(INDEX(Audit_Maschine!$F$12:$F$24,MATCH($A53,Audit_Maschine!$K$12:$K$24,0))="","",INDEX(Audit_Maschine!$F$12:$F$24,MATCH($A53,Audit_Maschine!$K$12:$K$24,0))),IF($A53&lt;=Übersicht!$P$15,IF(INDEX(Audit_Werkzeuge!$F$12:$F$21,MATCH($A53,Audit_Werkzeuge!$K$12:$K$21,0))="","",INDEX(Audit_Werkzeuge!$F$12:$F$21,MATCH($A53,Audit_Werkzeuge!$K$12:$K$21,0))),IF(INDEX(Audit_Kompakt!$F$12:$F$35,MATCH($A53,Audit_Kompakt!$K$12:$K$35,0))="","",INDEX(Audit_Kompakt!$F$12:$F$35,MATCH($A53,Audit_Kompakt!$K$12:$K$35,0))))))),"")</f>
        <v/>
      </c>
      <c r="H53" s="41" t="str">
        <f aca="false">IFERROR(IF($A53="","",IF($A53&lt;=Übersicht!$P$13,IF(INDEX(Audit_Allgemein!$G$12:$G$50,MATCH($A53,Audit_Allgemein!$K$12:$K$50,0))="","",INDEX(Audit_Allgemein!$G$12:$G$50,MATCH($A53,Audit_Allgemein!$K$12:$K$50,0))),IF($A53&lt;=Übersicht!$P$14,IF(INDEX(Audit_Maschine!$G$12:$G$24,MATCH($A53,Audit_Maschine!$K$12:$K$24,0))="","",INDEX(Audit_Maschine!$G$12:$G$24,MATCH($A53,Audit_Maschine!$K$12:$K$24,0))),IF($A53&lt;=Übersicht!$P$15,IF(INDEX(Audit_Werkzeuge!$G$12:$G$21,MATCH($A53,Audit_Werkzeuge!$K$12:$K$21,0))="","",INDEX(Audit_Werkzeuge!$G$12:$G$21,MATCH($A53,Audit_Werkzeuge!$K$12:$K$21,0))),IF(INDEX(Audit_Kompakt!$G$12:$G$35,MATCH($A53,Audit_Kompakt!$K$12:$K$35,0))="","",INDEX(Audit_Kompakt!$G$12:$G$35,MATCH($A53,Audit_Kompakt!$K$12:$K$35,0))))))),"")</f>
        <v/>
      </c>
      <c r="I53" s="43" t="str">
        <f aca="false">IFERROR(IF($A53="","",IF($A53&lt;=Übersicht!$P$13,IF(INDEX(Audit_Allgemein!$H$12:$H$50,MATCH($A53,Audit_Allgemein!$K$12:$K$50,0))="","",INDEX(Audit_Allgemein!$H$12:$H$50,MATCH($A53,Audit_Allgemein!$K$12:$K$50,0))),IF($A53&lt;=Übersicht!$P$14,IF(INDEX(Audit_Maschine!$H$12:$H$24,MATCH($A53,Audit_Maschine!$K$12:$K$24,0))="","",INDEX(Audit_Maschine!$H$12:$H$24,MATCH($A53,Audit_Maschine!$K$12:$K$24,0))),IF($A53&lt;=Übersicht!$P$15,IF(INDEX(Audit_Werkzeuge!$H$12:$H$21,MATCH($A53,Audit_Werkzeuge!$K$12:$K$21,0))="","",INDEX(Audit_Werkzeuge!$H$12:$H$21,MATCH($A53,Audit_Werkzeuge!$K$12:$K$21,0))),IF(INDEX(Audit_Kompakt!$H$12:$H$35,MATCH($A53,Audit_Kompakt!$K$12:$K$35,0))="","",INDEX(Audit_Kompakt!$H$12:$H$35,MATCH($A53,Audit_Kompakt!$K$12:$K$35,0))))))),"")</f>
        <v/>
      </c>
      <c r="J53" s="41" t="str">
        <f aca="false">IFERROR(IF($A53="","",IF($A53&lt;=Übersicht!$P$13,IF(INDEX(Audit_Allgemein!$J$12:$J$50,MATCH($A53,Audit_Allgemein!$K$12:$K$50,0))="","",INDEX(Audit_Allgemein!$J$12:$J$50,MATCH($A53,Audit_Allgemein!$K$12:$K$50,0))),IF($A53&lt;=Übersicht!$P$14,IF(INDEX(Audit_Maschine!$J$12:$J$24,MATCH($A53,Audit_Maschine!$K$12:$K$24,0))="","",INDEX(Audit_Maschine!$J$12:$J$24,MATCH($A53,Audit_Maschine!$K$12:$K$24,0))),IF($A53&lt;=Übersicht!$P$15,IF(INDEX(Audit_Werkzeuge!$J$12:$J$21,MATCH($A53,Audit_Werkzeuge!$K$12:$K$21,0))="","",INDEX(Audit_Werkzeuge!$J$12:$J$21,MATCH($A53,Audit_Werkzeuge!$K$12:$K$21,0))),IF(INDEX(Audit_Kompakt!$J$12:$J$35,MATCH($A53,Audit_Kompakt!$K$12:$K$35,0))="","",INDEX(Audit_Kompakt!$J$12:$J$35,MATCH($A53,Audit_Kompakt!$K$12:$K$35,0))))))),"")</f>
        <v/>
      </c>
    </row>
    <row r="54" customFormat="false" ht="15" hidden="false" customHeight="false" outlineLevel="0" collapsed="false">
      <c r="A54" s="41" t="str">
        <f aca="false">IF(50&lt;=Übersicht!$M$17,50,"")</f>
        <v/>
      </c>
      <c r="B54" s="41" t="str">
        <f aca="false">IFERROR(IF($A54="","",IF($A54&lt;=Übersicht!$P$13,"Allgemein",IF($A54&lt;=Übersicht!$P$14,"Maschine",IF($A54&lt;=Übersicht!$P$15,"Werkzeug","Kompakt")))),"")</f>
        <v/>
      </c>
      <c r="C54" s="41" t="str">
        <f aca="false">IFERROR(IF($A54="","",IF($A54&lt;=Übersicht!$P$13,IF(Audit_Allgemein!$C$4="","–",Audit_Allgemein!$C$4),IF($A54&lt;=Übersicht!$P$14,IF(Audit_Maschine!$C$4="","–",Audit_Maschine!$C$4),IF($A54&lt;=Übersicht!$P$15,IF(Audit_Werkzeuge!$C$4="","–",Audit_Werkzeuge!$C$4),IF(Audit_Kompakt!$C$4="","–",Audit_Kompakt!$C$4))))),"")</f>
        <v/>
      </c>
      <c r="D54" s="41" t="str">
        <f aca="false">IFERROR(IF($A54="","",IF($A54&lt;=Übersicht!$P$13,IF(INDEX(Audit_Allgemein!$A$12:$A$50,MATCH($A54,Audit_Allgemein!$K$12:$K$50,0))="","",INDEX(Audit_Allgemein!$A$12:$A$50,MATCH($A54,Audit_Allgemein!$K$12:$K$50,0))),IF($A54&lt;=Übersicht!$P$14,IF(INDEX(Audit_Maschine!$A$12:$A$24,MATCH($A54,Audit_Maschine!$K$12:$K$24,0))="","",INDEX(Audit_Maschine!$A$12:$A$24,MATCH($A54,Audit_Maschine!$K$12:$K$24,0))),IF($A54&lt;=Übersicht!$P$15,IF(INDEX(Audit_Werkzeuge!$A$12:$A$21,MATCH($A54,Audit_Werkzeuge!$K$12:$K$21,0))="","",INDEX(Audit_Werkzeuge!$A$12:$A$21,MATCH($A54,Audit_Werkzeuge!$K$12:$K$21,0))),IF(INDEX(Audit_Kompakt!$A$12:$A$35,MATCH($A54,Audit_Kompakt!$K$12:$K$35,0))="","",INDEX(Audit_Kompakt!$A$12:$A$35,MATCH($A54,Audit_Kompakt!$K$12:$K$35,0))))))),"")</f>
        <v/>
      </c>
      <c r="E54" s="42" t="str">
        <f aca="false">IFERROR(IF($A54="","",IF($A54&lt;=Übersicht!$P$13,IF(INDEX(Audit_Allgemein!$C$12:$C$50,MATCH($A54,Audit_Allgemein!$K$12:$K$50,0))="","",INDEX(Audit_Allgemein!$C$12:$C$50,MATCH($A54,Audit_Allgemein!$K$12:$K$50,0))),IF($A54&lt;=Übersicht!$P$14,IF(INDEX(Audit_Maschine!$C$12:$C$24,MATCH($A54,Audit_Maschine!$K$12:$K$24,0))="","",INDEX(Audit_Maschine!$C$12:$C$24,MATCH($A54,Audit_Maschine!$K$12:$K$24,0))),IF($A54&lt;=Übersicht!$P$15,IF(INDEX(Audit_Werkzeuge!$C$12:$C$21,MATCH($A54,Audit_Werkzeuge!$K$12:$K$21,0))="","",INDEX(Audit_Werkzeuge!$C$12:$C$21,MATCH($A54,Audit_Werkzeuge!$K$12:$K$21,0))),IF(INDEX(Audit_Kompakt!$C$12:$C$35,MATCH($A54,Audit_Kompakt!$K$12:$K$35,0))="","",INDEX(Audit_Kompakt!$C$12:$C$35,MATCH($A54,Audit_Kompakt!$K$12:$K$35,0))))))),"")</f>
        <v/>
      </c>
      <c r="F54" s="41" t="str">
        <f aca="false">IFERROR(IF($A54="","",IF($A54&lt;=Übersicht!$P$13,IF(INDEX(Audit_Allgemein!$E$12:$E$50,MATCH($A54,Audit_Allgemein!$K$12:$K$50,0))="","",INDEX(Audit_Allgemein!$E$12:$E$50,MATCH($A54,Audit_Allgemein!$K$12:$K$50,0))),IF($A54&lt;=Übersicht!$P$14,IF(INDEX(Audit_Maschine!$E$12:$E$24,MATCH($A54,Audit_Maschine!$K$12:$K$24,0))="","",INDEX(Audit_Maschine!$E$12:$E$24,MATCH($A54,Audit_Maschine!$K$12:$K$24,0))),IF($A54&lt;=Übersicht!$P$15,IF(INDEX(Audit_Werkzeuge!$E$12:$E$21,MATCH($A54,Audit_Werkzeuge!$K$12:$K$21,0))="","",INDEX(Audit_Werkzeuge!$E$12:$E$21,MATCH($A54,Audit_Werkzeuge!$K$12:$K$21,0))),IF(INDEX(Audit_Kompakt!$E$12:$E$35,MATCH($A54,Audit_Kompakt!$K$12:$K$35,0))="","",INDEX(Audit_Kompakt!$E$12:$E$35,MATCH($A54,Audit_Kompakt!$K$12:$K$35,0))))))),"")</f>
        <v/>
      </c>
      <c r="G54" s="42" t="str">
        <f aca="false">IFERROR(IF($A54="","",IF($A54&lt;=Übersicht!$P$13,IF(INDEX(Audit_Allgemein!$F$12:$F$50,MATCH($A54,Audit_Allgemein!$K$12:$K$50,0))="","",INDEX(Audit_Allgemein!$F$12:$F$50,MATCH($A54,Audit_Allgemein!$K$12:$K$50,0))),IF($A54&lt;=Übersicht!$P$14,IF(INDEX(Audit_Maschine!$F$12:$F$24,MATCH($A54,Audit_Maschine!$K$12:$K$24,0))="","",INDEX(Audit_Maschine!$F$12:$F$24,MATCH($A54,Audit_Maschine!$K$12:$K$24,0))),IF($A54&lt;=Übersicht!$P$15,IF(INDEX(Audit_Werkzeuge!$F$12:$F$21,MATCH($A54,Audit_Werkzeuge!$K$12:$K$21,0))="","",INDEX(Audit_Werkzeuge!$F$12:$F$21,MATCH($A54,Audit_Werkzeuge!$K$12:$K$21,0))),IF(INDEX(Audit_Kompakt!$F$12:$F$35,MATCH($A54,Audit_Kompakt!$K$12:$K$35,0))="","",INDEX(Audit_Kompakt!$F$12:$F$35,MATCH($A54,Audit_Kompakt!$K$12:$K$35,0))))))),"")</f>
        <v/>
      </c>
      <c r="H54" s="41" t="str">
        <f aca="false">IFERROR(IF($A54="","",IF($A54&lt;=Übersicht!$P$13,IF(INDEX(Audit_Allgemein!$G$12:$G$50,MATCH($A54,Audit_Allgemein!$K$12:$K$50,0))="","",INDEX(Audit_Allgemein!$G$12:$G$50,MATCH($A54,Audit_Allgemein!$K$12:$K$50,0))),IF($A54&lt;=Übersicht!$P$14,IF(INDEX(Audit_Maschine!$G$12:$G$24,MATCH($A54,Audit_Maschine!$K$12:$K$24,0))="","",INDEX(Audit_Maschine!$G$12:$G$24,MATCH($A54,Audit_Maschine!$K$12:$K$24,0))),IF($A54&lt;=Übersicht!$P$15,IF(INDEX(Audit_Werkzeuge!$G$12:$G$21,MATCH($A54,Audit_Werkzeuge!$K$12:$K$21,0))="","",INDEX(Audit_Werkzeuge!$G$12:$G$21,MATCH($A54,Audit_Werkzeuge!$K$12:$K$21,0))),IF(INDEX(Audit_Kompakt!$G$12:$G$35,MATCH($A54,Audit_Kompakt!$K$12:$K$35,0))="","",INDEX(Audit_Kompakt!$G$12:$G$35,MATCH($A54,Audit_Kompakt!$K$12:$K$35,0))))))),"")</f>
        <v/>
      </c>
      <c r="I54" s="43" t="str">
        <f aca="false">IFERROR(IF($A54="","",IF($A54&lt;=Übersicht!$P$13,IF(INDEX(Audit_Allgemein!$H$12:$H$50,MATCH($A54,Audit_Allgemein!$K$12:$K$50,0))="","",INDEX(Audit_Allgemein!$H$12:$H$50,MATCH($A54,Audit_Allgemein!$K$12:$K$50,0))),IF($A54&lt;=Übersicht!$P$14,IF(INDEX(Audit_Maschine!$H$12:$H$24,MATCH($A54,Audit_Maschine!$K$12:$K$24,0))="","",INDEX(Audit_Maschine!$H$12:$H$24,MATCH($A54,Audit_Maschine!$K$12:$K$24,0))),IF($A54&lt;=Übersicht!$P$15,IF(INDEX(Audit_Werkzeuge!$H$12:$H$21,MATCH($A54,Audit_Werkzeuge!$K$12:$K$21,0))="","",INDEX(Audit_Werkzeuge!$H$12:$H$21,MATCH($A54,Audit_Werkzeuge!$K$12:$K$21,0))),IF(INDEX(Audit_Kompakt!$H$12:$H$35,MATCH($A54,Audit_Kompakt!$K$12:$K$35,0))="","",INDEX(Audit_Kompakt!$H$12:$H$35,MATCH($A54,Audit_Kompakt!$K$12:$K$35,0))))))),"")</f>
        <v/>
      </c>
      <c r="J54" s="41" t="str">
        <f aca="false">IFERROR(IF($A54="","",IF($A54&lt;=Übersicht!$P$13,IF(INDEX(Audit_Allgemein!$J$12:$J$50,MATCH($A54,Audit_Allgemein!$K$12:$K$50,0))="","",INDEX(Audit_Allgemein!$J$12:$J$50,MATCH($A54,Audit_Allgemein!$K$12:$K$50,0))),IF($A54&lt;=Übersicht!$P$14,IF(INDEX(Audit_Maschine!$J$12:$J$24,MATCH($A54,Audit_Maschine!$K$12:$K$24,0))="","",INDEX(Audit_Maschine!$J$12:$J$24,MATCH($A54,Audit_Maschine!$K$12:$K$24,0))),IF($A54&lt;=Übersicht!$P$15,IF(INDEX(Audit_Werkzeuge!$J$12:$J$21,MATCH($A54,Audit_Werkzeuge!$K$12:$K$21,0))="","",INDEX(Audit_Werkzeuge!$J$12:$J$21,MATCH($A54,Audit_Werkzeuge!$K$12:$K$21,0))),IF(INDEX(Audit_Kompakt!$J$12:$J$35,MATCH($A54,Audit_Kompakt!$K$12:$K$35,0))="","",INDEX(Audit_Kompakt!$J$12:$J$35,MATCH($A54,Audit_Kompakt!$K$12:$K$35,0))))))),"")</f>
        <v/>
      </c>
    </row>
    <row r="55" customFormat="false" ht="15" hidden="false" customHeight="false" outlineLevel="0" collapsed="false">
      <c r="A55" s="41" t="str">
        <f aca="false">IF(51&lt;=Übersicht!$M$17,51,"")</f>
        <v/>
      </c>
      <c r="B55" s="41" t="str">
        <f aca="false">IFERROR(IF($A55="","",IF($A55&lt;=Übersicht!$P$13,"Allgemein",IF($A55&lt;=Übersicht!$P$14,"Maschine",IF($A55&lt;=Übersicht!$P$15,"Werkzeug","Kompakt")))),"")</f>
        <v/>
      </c>
      <c r="C55" s="41" t="str">
        <f aca="false">IFERROR(IF($A55="","",IF($A55&lt;=Übersicht!$P$13,IF(Audit_Allgemein!$C$4="","–",Audit_Allgemein!$C$4),IF($A55&lt;=Übersicht!$P$14,IF(Audit_Maschine!$C$4="","–",Audit_Maschine!$C$4),IF($A55&lt;=Übersicht!$P$15,IF(Audit_Werkzeuge!$C$4="","–",Audit_Werkzeuge!$C$4),IF(Audit_Kompakt!$C$4="","–",Audit_Kompakt!$C$4))))),"")</f>
        <v/>
      </c>
      <c r="D55" s="41" t="str">
        <f aca="false">IFERROR(IF($A55="","",IF($A55&lt;=Übersicht!$P$13,IF(INDEX(Audit_Allgemein!$A$12:$A$50,MATCH($A55,Audit_Allgemein!$K$12:$K$50,0))="","",INDEX(Audit_Allgemein!$A$12:$A$50,MATCH($A55,Audit_Allgemein!$K$12:$K$50,0))),IF($A55&lt;=Übersicht!$P$14,IF(INDEX(Audit_Maschine!$A$12:$A$24,MATCH($A55,Audit_Maschine!$K$12:$K$24,0))="","",INDEX(Audit_Maschine!$A$12:$A$24,MATCH($A55,Audit_Maschine!$K$12:$K$24,0))),IF($A55&lt;=Übersicht!$P$15,IF(INDEX(Audit_Werkzeuge!$A$12:$A$21,MATCH($A55,Audit_Werkzeuge!$K$12:$K$21,0))="","",INDEX(Audit_Werkzeuge!$A$12:$A$21,MATCH($A55,Audit_Werkzeuge!$K$12:$K$21,0))),IF(INDEX(Audit_Kompakt!$A$12:$A$35,MATCH($A55,Audit_Kompakt!$K$12:$K$35,0))="","",INDEX(Audit_Kompakt!$A$12:$A$35,MATCH($A55,Audit_Kompakt!$K$12:$K$35,0))))))),"")</f>
        <v/>
      </c>
      <c r="E55" s="42" t="str">
        <f aca="false">IFERROR(IF($A55="","",IF($A55&lt;=Übersicht!$P$13,IF(INDEX(Audit_Allgemein!$C$12:$C$50,MATCH($A55,Audit_Allgemein!$K$12:$K$50,0))="","",INDEX(Audit_Allgemein!$C$12:$C$50,MATCH($A55,Audit_Allgemein!$K$12:$K$50,0))),IF($A55&lt;=Übersicht!$P$14,IF(INDEX(Audit_Maschine!$C$12:$C$24,MATCH($A55,Audit_Maschine!$K$12:$K$24,0))="","",INDEX(Audit_Maschine!$C$12:$C$24,MATCH($A55,Audit_Maschine!$K$12:$K$24,0))),IF($A55&lt;=Übersicht!$P$15,IF(INDEX(Audit_Werkzeuge!$C$12:$C$21,MATCH($A55,Audit_Werkzeuge!$K$12:$K$21,0))="","",INDEX(Audit_Werkzeuge!$C$12:$C$21,MATCH($A55,Audit_Werkzeuge!$K$12:$K$21,0))),IF(INDEX(Audit_Kompakt!$C$12:$C$35,MATCH($A55,Audit_Kompakt!$K$12:$K$35,0))="","",INDEX(Audit_Kompakt!$C$12:$C$35,MATCH($A55,Audit_Kompakt!$K$12:$K$35,0))))))),"")</f>
        <v/>
      </c>
      <c r="F55" s="41" t="str">
        <f aca="false">IFERROR(IF($A55="","",IF($A55&lt;=Übersicht!$P$13,IF(INDEX(Audit_Allgemein!$E$12:$E$50,MATCH($A55,Audit_Allgemein!$K$12:$K$50,0))="","",INDEX(Audit_Allgemein!$E$12:$E$50,MATCH($A55,Audit_Allgemein!$K$12:$K$50,0))),IF($A55&lt;=Übersicht!$P$14,IF(INDEX(Audit_Maschine!$E$12:$E$24,MATCH($A55,Audit_Maschine!$K$12:$K$24,0))="","",INDEX(Audit_Maschine!$E$12:$E$24,MATCH($A55,Audit_Maschine!$K$12:$K$24,0))),IF($A55&lt;=Übersicht!$P$15,IF(INDEX(Audit_Werkzeuge!$E$12:$E$21,MATCH($A55,Audit_Werkzeuge!$K$12:$K$21,0))="","",INDEX(Audit_Werkzeuge!$E$12:$E$21,MATCH($A55,Audit_Werkzeuge!$K$12:$K$21,0))),IF(INDEX(Audit_Kompakt!$E$12:$E$35,MATCH($A55,Audit_Kompakt!$K$12:$K$35,0))="","",INDEX(Audit_Kompakt!$E$12:$E$35,MATCH($A55,Audit_Kompakt!$K$12:$K$35,0))))))),"")</f>
        <v/>
      </c>
      <c r="G55" s="42" t="str">
        <f aca="false">IFERROR(IF($A55="","",IF($A55&lt;=Übersicht!$P$13,IF(INDEX(Audit_Allgemein!$F$12:$F$50,MATCH($A55,Audit_Allgemein!$K$12:$K$50,0))="","",INDEX(Audit_Allgemein!$F$12:$F$50,MATCH($A55,Audit_Allgemein!$K$12:$K$50,0))),IF($A55&lt;=Übersicht!$P$14,IF(INDEX(Audit_Maschine!$F$12:$F$24,MATCH($A55,Audit_Maschine!$K$12:$K$24,0))="","",INDEX(Audit_Maschine!$F$12:$F$24,MATCH($A55,Audit_Maschine!$K$12:$K$24,0))),IF($A55&lt;=Übersicht!$P$15,IF(INDEX(Audit_Werkzeuge!$F$12:$F$21,MATCH($A55,Audit_Werkzeuge!$K$12:$K$21,0))="","",INDEX(Audit_Werkzeuge!$F$12:$F$21,MATCH($A55,Audit_Werkzeuge!$K$12:$K$21,0))),IF(INDEX(Audit_Kompakt!$F$12:$F$35,MATCH($A55,Audit_Kompakt!$K$12:$K$35,0))="","",INDEX(Audit_Kompakt!$F$12:$F$35,MATCH($A55,Audit_Kompakt!$K$12:$K$35,0))))))),"")</f>
        <v/>
      </c>
      <c r="H55" s="41" t="str">
        <f aca="false">IFERROR(IF($A55="","",IF($A55&lt;=Übersicht!$P$13,IF(INDEX(Audit_Allgemein!$G$12:$G$50,MATCH($A55,Audit_Allgemein!$K$12:$K$50,0))="","",INDEX(Audit_Allgemein!$G$12:$G$50,MATCH($A55,Audit_Allgemein!$K$12:$K$50,0))),IF($A55&lt;=Übersicht!$P$14,IF(INDEX(Audit_Maschine!$G$12:$G$24,MATCH($A55,Audit_Maschine!$K$12:$K$24,0))="","",INDEX(Audit_Maschine!$G$12:$G$24,MATCH($A55,Audit_Maschine!$K$12:$K$24,0))),IF($A55&lt;=Übersicht!$P$15,IF(INDEX(Audit_Werkzeuge!$G$12:$G$21,MATCH($A55,Audit_Werkzeuge!$K$12:$K$21,0))="","",INDEX(Audit_Werkzeuge!$G$12:$G$21,MATCH($A55,Audit_Werkzeuge!$K$12:$K$21,0))),IF(INDEX(Audit_Kompakt!$G$12:$G$35,MATCH($A55,Audit_Kompakt!$K$12:$K$35,0))="","",INDEX(Audit_Kompakt!$G$12:$G$35,MATCH($A55,Audit_Kompakt!$K$12:$K$35,0))))))),"")</f>
        <v/>
      </c>
      <c r="I55" s="43" t="str">
        <f aca="false">IFERROR(IF($A55="","",IF($A55&lt;=Übersicht!$P$13,IF(INDEX(Audit_Allgemein!$H$12:$H$50,MATCH($A55,Audit_Allgemein!$K$12:$K$50,0))="","",INDEX(Audit_Allgemein!$H$12:$H$50,MATCH($A55,Audit_Allgemein!$K$12:$K$50,0))),IF($A55&lt;=Übersicht!$P$14,IF(INDEX(Audit_Maschine!$H$12:$H$24,MATCH($A55,Audit_Maschine!$K$12:$K$24,0))="","",INDEX(Audit_Maschine!$H$12:$H$24,MATCH($A55,Audit_Maschine!$K$12:$K$24,0))),IF($A55&lt;=Übersicht!$P$15,IF(INDEX(Audit_Werkzeuge!$H$12:$H$21,MATCH($A55,Audit_Werkzeuge!$K$12:$K$21,0))="","",INDEX(Audit_Werkzeuge!$H$12:$H$21,MATCH($A55,Audit_Werkzeuge!$K$12:$K$21,0))),IF(INDEX(Audit_Kompakt!$H$12:$H$35,MATCH($A55,Audit_Kompakt!$K$12:$K$35,0))="","",INDEX(Audit_Kompakt!$H$12:$H$35,MATCH($A55,Audit_Kompakt!$K$12:$K$35,0))))))),"")</f>
        <v/>
      </c>
      <c r="J55" s="41" t="str">
        <f aca="false">IFERROR(IF($A55="","",IF($A55&lt;=Übersicht!$P$13,IF(INDEX(Audit_Allgemein!$J$12:$J$50,MATCH($A55,Audit_Allgemein!$K$12:$K$50,0))="","",INDEX(Audit_Allgemein!$J$12:$J$50,MATCH($A55,Audit_Allgemein!$K$12:$K$50,0))),IF($A55&lt;=Übersicht!$P$14,IF(INDEX(Audit_Maschine!$J$12:$J$24,MATCH($A55,Audit_Maschine!$K$12:$K$24,0))="","",INDEX(Audit_Maschine!$J$12:$J$24,MATCH($A55,Audit_Maschine!$K$12:$K$24,0))),IF($A55&lt;=Übersicht!$P$15,IF(INDEX(Audit_Werkzeuge!$J$12:$J$21,MATCH($A55,Audit_Werkzeuge!$K$12:$K$21,0))="","",INDEX(Audit_Werkzeuge!$J$12:$J$21,MATCH($A55,Audit_Werkzeuge!$K$12:$K$21,0))),IF(INDEX(Audit_Kompakt!$J$12:$J$35,MATCH($A55,Audit_Kompakt!$K$12:$K$35,0))="","",INDEX(Audit_Kompakt!$J$12:$J$35,MATCH($A55,Audit_Kompakt!$K$12:$K$35,0))))))),"")</f>
        <v/>
      </c>
    </row>
    <row r="56" customFormat="false" ht="15" hidden="false" customHeight="false" outlineLevel="0" collapsed="false">
      <c r="A56" s="41" t="str">
        <f aca="false">IF(52&lt;=Übersicht!$M$17,52,"")</f>
        <v/>
      </c>
      <c r="B56" s="41" t="str">
        <f aca="false">IFERROR(IF($A56="","",IF($A56&lt;=Übersicht!$P$13,"Allgemein",IF($A56&lt;=Übersicht!$P$14,"Maschine",IF($A56&lt;=Übersicht!$P$15,"Werkzeug","Kompakt")))),"")</f>
        <v/>
      </c>
      <c r="C56" s="41" t="str">
        <f aca="false">IFERROR(IF($A56="","",IF($A56&lt;=Übersicht!$P$13,IF(Audit_Allgemein!$C$4="","–",Audit_Allgemein!$C$4),IF($A56&lt;=Übersicht!$P$14,IF(Audit_Maschine!$C$4="","–",Audit_Maschine!$C$4),IF($A56&lt;=Übersicht!$P$15,IF(Audit_Werkzeuge!$C$4="","–",Audit_Werkzeuge!$C$4),IF(Audit_Kompakt!$C$4="","–",Audit_Kompakt!$C$4))))),"")</f>
        <v/>
      </c>
      <c r="D56" s="41" t="str">
        <f aca="false">IFERROR(IF($A56="","",IF($A56&lt;=Übersicht!$P$13,IF(INDEX(Audit_Allgemein!$A$12:$A$50,MATCH($A56,Audit_Allgemein!$K$12:$K$50,0))="","",INDEX(Audit_Allgemein!$A$12:$A$50,MATCH($A56,Audit_Allgemein!$K$12:$K$50,0))),IF($A56&lt;=Übersicht!$P$14,IF(INDEX(Audit_Maschine!$A$12:$A$24,MATCH($A56,Audit_Maschine!$K$12:$K$24,0))="","",INDEX(Audit_Maschine!$A$12:$A$24,MATCH($A56,Audit_Maschine!$K$12:$K$24,0))),IF($A56&lt;=Übersicht!$P$15,IF(INDEX(Audit_Werkzeuge!$A$12:$A$21,MATCH($A56,Audit_Werkzeuge!$K$12:$K$21,0))="","",INDEX(Audit_Werkzeuge!$A$12:$A$21,MATCH($A56,Audit_Werkzeuge!$K$12:$K$21,0))),IF(INDEX(Audit_Kompakt!$A$12:$A$35,MATCH($A56,Audit_Kompakt!$K$12:$K$35,0))="","",INDEX(Audit_Kompakt!$A$12:$A$35,MATCH($A56,Audit_Kompakt!$K$12:$K$35,0))))))),"")</f>
        <v/>
      </c>
      <c r="E56" s="42" t="str">
        <f aca="false">IFERROR(IF($A56="","",IF($A56&lt;=Übersicht!$P$13,IF(INDEX(Audit_Allgemein!$C$12:$C$50,MATCH($A56,Audit_Allgemein!$K$12:$K$50,0))="","",INDEX(Audit_Allgemein!$C$12:$C$50,MATCH($A56,Audit_Allgemein!$K$12:$K$50,0))),IF($A56&lt;=Übersicht!$P$14,IF(INDEX(Audit_Maschine!$C$12:$C$24,MATCH($A56,Audit_Maschine!$K$12:$K$24,0))="","",INDEX(Audit_Maschine!$C$12:$C$24,MATCH($A56,Audit_Maschine!$K$12:$K$24,0))),IF($A56&lt;=Übersicht!$P$15,IF(INDEX(Audit_Werkzeuge!$C$12:$C$21,MATCH($A56,Audit_Werkzeuge!$K$12:$K$21,0))="","",INDEX(Audit_Werkzeuge!$C$12:$C$21,MATCH($A56,Audit_Werkzeuge!$K$12:$K$21,0))),IF(INDEX(Audit_Kompakt!$C$12:$C$35,MATCH($A56,Audit_Kompakt!$K$12:$K$35,0))="","",INDEX(Audit_Kompakt!$C$12:$C$35,MATCH($A56,Audit_Kompakt!$K$12:$K$35,0))))))),"")</f>
        <v/>
      </c>
      <c r="F56" s="41" t="str">
        <f aca="false">IFERROR(IF($A56="","",IF($A56&lt;=Übersicht!$P$13,IF(INDEX(Audit_Allgemein!$E$12:$E$50,MATCH($A56,Audit_Allgemein!$K$12:$K$50,0))="","",INDEX(Audit_Allgemein!$E$12:$E$50,MATCH($A56,Audit_Allgemein!$K$12:$K$50,0))),IF($A56&lt;=Übersicht!$P$14,IF(INDEX(Audit_Maschine!$E$12:$E$24,MATCH($A56,Audit_Maschine!$K$12:$K$24,0))="","",INDEX(Audit_Maschine!$E$12:$E$24,MATCH($A56,Audit_Maschine!$K$12:$K$24,0))),IF($A56&lt;=Übersicht!$P$15,IF(INDEX(Audit_Werkzeuge!$E$12:$E$21,MATCH($A56,Audit_Werkzeuge!$K$12:$K$21,0))="","",INDEX(Audit_Werkzeuge!$E$12:$E$21,MATCH($A56,Audit_Werkzeuge!$K$12:$K$21,0))),IF(INDEX(Audit_Kompakt!$E$12:$E$35,MATCH($A56,Audit_Kompakt!$K$12:$K$35,0))="","",INDEX(Audit_Kompakt!$E$12:$E$35,MATCH($A56,Audit_Kompakt!$K$12:$K$35,0))))))),"")</f>
        <v/>
      </c>
      <c r="G56" s="42" t="str">
        <f aca="false">IFERROR(IF($A56="","",IF($A56&lt;=Übersicht!$P$13,IF(INDEX(Audit_Allgemein!$F$12:$F$50,MATCH($A56,Audit_Allgemein!$K$12:$K$50,0))="","",INDEX(Audit_Allgemein!$F$12:$F$50,MATCH($A56,Audit_Allgemein!$K$12:$K$50,0))),IF($A56&lt;=Übersicht!$P$14,IF(INDEX(Audit_Maschine!$F$12:$F$24,MATCH($A56,Audit_Maschine!$K$12:$K$24,0))="","",INDEX(Audit_Maschine!$F$12:$F$24,MATCH($A56,Audit_Maschine!$K$12:$K$24,0))),IF($A56&lt;=Übersicht!$P$15,IF(INDEX(Audit_Werkzeuge!$F$12:$F$21,MATCH($A56,Audit_Werkzeuge!$K$12:$K$21,0))="","",INDEX(Audit_Werkzeuge!$F$12:$F$21,MATCH($A56,Audit_Werkzeuge!$K$12:$K$21,0))),IF(INDEX(Audit_Kompakt!$F$12:$F$35,MATCH($A56,Audit_Kompakt!$K$12:$K$35,0))="","",INDEX(Audit_Kompakt!$F$12:$F$35,MATCH($A56,Audit_Kompakt!$K$12:$K$35,0))))))),"")</f>
        <v/>
      </c>
      <c r="H56" s="41" t="str">
        <f aca="false">IFERROR(IF($A56="","",IF($A56&lt;=Übersicht!$P$13,IF(INDEX(Audit_Allgemein!$G$12:$G$50,MATCH($A56,Audit_Allgemein!$K$12:$K$50,0))="","",INDEX(Audit_Allgemein!$G$12:$G$50,MATCH($A56,Audit_Allgemein!$K$12:$K$50,0))),IF($A56&lt;=Übersicht!$P$14,IF(INDEX(Audit_Maschine!$G$12:$G$24,MATCH($A56,Audit_Maschine!$K$12:$K$24,0))="","",INDEX(Audit_Maschine!$G$12:$G$24,MATCH($A56,Audit_Maschine!$K$12:$K$24,0))),IF($A56&lt;=Übersicht!$P$15,IF(INDEX(Audit_Werkzeuge!$G$12:$G$21,MATCH($A56,Audit_Werkzeuge!$K$12:$K$21,0))="","",INDEX(Audit_Werkzeuge!$G$12:$G$21,MATCH($A56,Audit_Werkzeuge!$K$12:$K$21,0))),IF(INDEX(Audit_Kompakt!$G$12:$G$35,MATCH($A56,Audit_Kompakt!$K$12:$K$35,0))="","",INDEX(Audit_Kompakt!$G$12:$G$35,MATCH($A56,Audit_Kompakt!$K$12:$K$35,0))))))),"")</f>
        <v/>
      </c>
      <c r="I56" s="43" t="str">
        <f aca="false">IFERROR(IF($A56="","",IF($A56&lt;=Übersicht!$P$13,IF(INDEX(Audit_Allgemein!$H$12:$H$50,MATCH($A56,Audit_Allgemein!$K$12:$K$50,0))="","",INDEX(Audit_Allgemein!$H$12:$H$50,MATCH($A56,Audit_Allgemein!$K$12:$K$50,0))),IF($A56&lt;=Übersicht!$P$14,IF(INDEX(Audit_Maschine!$H$12:$H$24,MATCH($A56,Audit_Maschine!$K$12:$K$24,0))="","",INDEX(Audit_Maschine!$H$12:$H$24,MATCH($A56,Audit_Maschine!$K$12:$K$24,0))),IF($A56&lt;=Übersicht!$P$15,IF(INDEX(Audit_Werkzeuge!$H$12:$H$21,MATCH($A56,Audit_Werkzeuge!$K$12:$K$21,0))="","",INDEX(Audit_Werkzeuge!$H$12:$H$21,MATCH($A56,Audit_Werkzeuge!$K$12:$K$21,0))),IF(INDEX(Audit_Kompakt!$H$12:$H$35,MATCH($A56,Audit_Kompakt!$K$12:$K$35,0))="","",INDEX(Audit_Kompakt!$H$12:$H$35,MATCH($A56,Audit_Kompakt!$K$12:$K$35,0))))))),"")</f>
        <v/>
      </c>
      <c r="J56" s="41" t="str">
        <f aca="false">IFERROR(IF($A56="","",IF($A56&lt;=Übersicht!$P$13,IF(INDEX(Audit_Allgemein!$J$12:$J$50,MATCH($A56,Audit_Allgemein!$K$12:$K$50,0))="","",INDEX(Audit_Allgemein!$J$12:$J$50,MATCH($A56,Audit_Allgemein!$K$12:$K$50,0))),IF($A56&lt;=Übersicht!$P$14,IF(INDEX(Audit_Maschine!$J$12:$J$24,MATCH($A56,Audit_Maschine!$K$12:$K$24,0))="","",INDEX(Audit_Maschine!$J$12:$J$24,MATCH($A56,Audit_Maschine!$K$12:$K$24,0))),IF($A56&lt;=Übersicht!$P$15,IF(INDEX(Audit_Werkzeuge!$J$12:$J$21,MATCH($A56,Audit_Werkzeuge!$K$12:$K$21,0))="","",INDEX(Audit_Werkzeuge!$J$12:$J$21,MATCH($A56,Audit_Werkzeuge!$K$12:$K$21,0))),IF(INDEX(Audit_Kompakt!$J$12:$J$35,MATCH($A56,Audit_Kompakt!$K$12:$K$35,0))="","",INDEX(Audit_Kompakt!$J$12:$J$35,MATCH($A56,Audit_Kompakt!$K$12:$K$35,0))))))),"")</f>
        <v/>
      </c>
    </row>
    <row r="57" customFormat="false" ht="15" hidden="false" customHeight="false" outlineLevel="0" collapsed="false">
      <c r="A57" s="41" t="str">
        <f aca="false">IF(53&lt;=Übersicht!$M$17,53,"")</f>
        <v/>
      </c>
      <c r="B57" s="41" t="str">
        <f aca="false">IFERROR(IF($A57="","",IF($A57&lt;=Übersicht!$P$13,"Allgemein",IF($A57&lt;=Übersicht!$P$14,"Maschine",IF($A57&lt;=Übersicht!$P$15,"Werkzeug","Kompakt")))),"")</f>
        <v/>
      </c>
      <c r="C57" s="41" t="str">
        <f aca="false">IFERROR(IF($A57="","",IF($A57&lt;=Übersicht!$P$13,IF(Audit_Allgemein!$C$4="","–",Audit_Allgemein!$C$4),IF($A57&lt;=Übersicht!$P$14,IF(Audit_Maschine!$C$4="","–",Audit_Maschine!$C$4),IF($A57&lt;=Übersicht!$P$15,IF(Audit_Werkzeuge!$C$4="","–",Audit_Werkzeuge!$C$4),IF(Audit_Kompakt!$C$4="","–",Audit_Kompakt!$C$4))))),"")</f>
        <v/>
      </c>
      <c r="D57" s="41" t="str">
        <f aca="false">IFERROR(IF($A57="","",IF($A57&lt;=Übersicht!$P$13,IF(INDEX(Audit_Allgemein!$A$12:$A$50,MATCH($A57,Audit_Allgemein!$K$12:$K$50,0))="","",INDEX(Audit_Allgemein!$A$12:$A$50,MATCH($A57,Audit_Allgemein!$K$12:$K$50,0))),IF($A57&lt;=Übersicht!$P$14,IF(INDEX(Audit_Maschine!$A$12:$A$24,MATCH($A57,Audit_Maschine!$K$12:$K$24,0))="","",INDEX(Audit_Maschine!$A$12:$A$24,MATCH($A57,Audit_Maschine!$K$12:$K$24,0))),IF($A57&lt;=Übersicht!$P$15,IF(INDEX(Audit_Werkzeuge!$A$12:$A$21,MATCH($A57,Audit_Werkzeuge!$K$12:$K$21,0))="","",INDEX(Audit_Werkzeuge!$A$12:$A$21,MATCH($A57,Audit_Werkzeuge!$K$12:$K$21,0))),IF(INDEX(Audit_Kompakt!$A$12:$A$35,MATCH($A57,Audit_Kompakt!$K$12:$K$35,0))="","",INDEX(Audit_Kompakt!$A$12:$A$35,MATCH($A57,Audit_Kompakt!$K$12:$K$35,0))))))),"")</f>
        <v/>
      </c>
      <c r="E57" s="42" t="str">
        <f aca="false">IFERROR(IF($A57="","",IF($A57&lt;=Übersicht!$P$13,IF(INDEX(Audit_Allgemein!$C$12:$C$50,MATCH($A57,Audit_Allgemein!$K$12:$K$50,0))="","",INDEX(Audit_Allgemein!$C$12:$C$50,MATCH($A57,Audit_Allgemein!$K$12:$K$50,0))),IF($A57&lt;=Übersicht!$P$14,IF(INDEX(Audit_Maschine!$C$12:$C$24,MATCH($A57,Audit_Maschine!$K$12:$K$24,0))="","",INDEX(Audit_Maschine!$C$12:$C$24,MATCH($A57,Audit_Maschine!$K$12:$K$24,0))),IF($A57&lt;=Übersicht!$P$15,IF(INDEX(Audit_Werkzeuge!$C$12:$C$21,MATCH($A57,Audit_Werkzeuge!$K$12:$K$21,0))="","",INDEX(Audit_Werkzeuge!$C$12:$C$21,MATCH($A57,Audit_Werkzeuge!$K$12:$K$21,0))),IF(INDEX(Audit_Kompakt!$C$12:$C$35,MATCH($A57,Audit_Kompakt!$K$12:$K$35,0))="","",INDEX(Audit_Kompakt!$C$12:$C$35,MATCH($A57,Audit_Kompakt!$K$12:$K$35,0))))))),"")</f>
        <v/>
      </c>
      <c r="F57" s="41" t="str">
        <f aca="false">IFERROR(IF($A57="","",IF($A57&lt;=Übersicht!$P$13,IF(INDEX(Audit_Allgemein!$E$12:$E$50,MATCH($A57,Audit_Allgemein!$K$12:$K$50,0))="","",INDEX(Audit_Allgemein!$E$12:$E$50,MATCH($A57,Audit_Allgemein!$K$12:$K$50,0))),IF($A57&lt;=Übersicht!$P$14,IF(INDEX(Audit_Maschine!$E$12:$E$24,MATCH($A57,Audit_Maschine!$K$12:$K$24,0))="","",INDEX(Audit_Maschine!$E$12:$E$24,MATCH($A57,Audit_Maschine!$K$12:$K$24,0))),IF($A57&lt;=Übersicht!$P$15,IF(INDEX(Audit_Werkzeuge!$E$12:$E$21,MATCH($A57,Audit_Werkzeuge!$K$12:$K$21,0))="","",INDEX(Audit_Werkzeuge!$E$12:$E$21,MATCH($A57,Audit_Werkzeuge!$K$12:$K$21,0))),IF(INDEX(Audit_Kompakt!$E$12:$E$35,MATCH($A57,Audit_Kompakt!$K$12:$K$35,0))="","",INDEX(Audit_Kompakt!$E$12:$E$35,MATCH($A57,Audit_Kompakt!$K$12:$K$35,0))))))),"")</f>
        <v/>
      </c>
      <c r="G57" s="42" t="str">
        <f aca="false">IFERROR(IF($A57="","",IF($A57&lt;=Übersicht!$P$13,IF(INDEX(Audit_Allgemein!$F$12:$F$50,MATCH($A57,Audit_Allgemein!$K$12:$K$50,0))="","",INDEX(Audit_Allgemein!$F$12:$F$50,MATCH($A57,Audit_Allgemein!$K$12:$K$50,0))),IF($A57&lt;=Übersicht!$P$14,IF(INDEX(Audit_Maschine!$F$12:$F$24,MATCH($A57,Audit_Maschine!$K$12:$K$24,0))="","",INDEX(Audit_Maschine!$F$12:$F$24,MATCH($A57,Audit_Maschine!$K$12:$K$24,0))),IF($A57&lt;=Übersicht!$P$15,IF(INDEX(Audit_Werkzeuge!$F$12:$F$21,MATCH($A57,Audit_Werkzeuge!$K$12:$K$21,0))="","",INDEX(Audit_Werkzeuge!$F$12:$F$21,MATCH($A57,Audit_Werkzeuge!$K$12:$K$21,0))),IF(INDEX(Audit_Kompakt!$F$12:$F$35,MATCH($A57,Audit_Kompakt!$K$12:$K$35,0))="","",INDEX(Audit_Kompakt!$F$12:$F$35,MATCH($A57,Audit_Kompakt!$K$12:$K$35,0))))))),"")</f>
        <v/>
      </c>
      <c r="H57" s="41" t="str">
        <f aca="false">IFERROR(IF($A57="","",IF($A57&lt;=Übersicht!$P$13,IF(INDEX(Audit_Allgemein!$G$12:$G$50,MATCH($A57,Audit_Allgemein!$K$12:$K$50,0))="","",INDEX(Audit_Allgemein!$G$12:$G$50,MATCH($A57,Audit_Allgemein!$K$12:$K$50,0))),IF($A57&lt;=Übersicht!$P$14,IF(INDEX(Audit_Maschine!$G$12:$G$24,MATCH($A57,Audit_Maschine!$K$12:$K$24,0))="","",INDEX(Audit_Maschine!$G$12:$G$24,MATCH($A57,Audit_Maschine!$K$12:$K$24,0))),IF($A57&lt;=Übersicht!$P$15,IF(INDEX(Audit_Werkzeuge!$G$12:$G$21,MATCH($A57,Audit_Werkzeuge!$K$12:$K$21,0))="","",INDEX(Audit_Werkzeuge!$G$12:$G$21,MATCH($A57,Audit_Werkzeuge!$K$12:$K$21,0))),IF(INDEX(Audit_Kompakt!$G$12:$G$35,MATCH($A57,Audit_Kompakt!$K$12:$K$35,0))="","",INDEX(Audit_Kompakt!$G$12:$G$35,MATCH($A57,Audit_Kompakt!$K$12:$K$35,0))))))),"")</f>
        <v/>
      </c>
      <c r="I57" s="43" t="str">
        <f aca="false">IFERROR(IF($A57="","",IF($A57&lt;=Übersicht!$P$13,IF(INDEX(Audit_Allgemein!$H$12:$H$50,MATCH($A57,Audit_Allgemein!$K$12:$K$50,0))="","",INDEX(Audit_Allgemein!$H$12:$H$50,MATCH($A57,Audit_Allgemein!$K$12:$K$50,0))),IF($A57&lt;=Übersicht!$P$14,IF(INDEX(Audit_Maschine!$H$12:$H$24,MATCH($A57,Audit_Maschine!$K$12:$K$24,0))="","",INDEX(Audit_Maschine!$H$12:$H$24,MATCH($A57,Audit_Maschine!$K$12:$K$24,0))),IF($A57&lt;=Übersicht!$P$15,IF(INDEX(Audit_Werkzeuge!$H$12:$H$21,MATCH($A57,Audit_Werkzeuge!$K$12:$K$21,0))="","",INDEX(Audit_Werkzeuge!$H$12:$H$21,MATCH($A57,Audit_Werkzeuge!$K$12:$K$21,0))),IF(INDEX(Audit_Kompakt!$H$12:$H$35,MATCH($A57,Audit_Kompakt!$K$12:$K$35,0))="","",INDEX(Audit_Kompakt!$H$12:$H$35,MATCH($A57,Audit_Kompakt!$K$12:$K$35,0))))))),"")</f>
        <v/>
      </c>
      <c r="J57" s="41" t="str">
        <f aca="false">IFERROR(IF($A57="","",IF($A57&lt;=Übersicht!$P$13,IF(INDEX(Audit_Allgemein!$J$12:$J$50,MATCH($A57,Audit_Allgemein!$K$12:$K$50,0))="","",INDEX(Audit_Allgemein!$J$12:$J$50,MATCH($A57,Audit_Allgemein!$K$12:$K$50,0))),IF($A57&lt;=Übersicht!$P$14,IF(INDEX(Audit_Maschine!$J$12:$J$24,MATCH($A57,Audit_Maschine!$K$12:$K$24,0))="","",INDEX(Audit_Maschine!$J$12:$J$24,MATCH($A57,Audit_Maschine!$K$12:$K$24,0))),IF($A57&lt;=Übersicht!$P$15,IF(INDEX(Audit_Werkzeuge!$J$12:$J$21,MATCH($A57,Audit_Werkzeuge!$K$12:$K$21,0))="","",INDEX(Audit_Werkzeuge!$J$12:$J$21,MATCH($A57,Audit_Werkzeuge!$K$12:$K$21,0))),IF(INDEX(Audit_Kompakt!$J$12:$J$35,MATCH($A57,Audit_Kompakt!$K$12:$K$35,0))="","",INDEX(Audit_Kompakt!$J$12:$J$35,MATCH($A57,Audit_Kompakt!$K$12:$K$35,0))))))),"")</f>
        <v/>
      </c>
    </row>
    <row r="58" customFormat="false" ht="15" hidden="false" customHeight="false" outlineLevel="0" collapsed="false">
      <c r="A58" s="41" t="str">
        <f aca="false">IF(54&lt;=Übersicht!$M$17,54,"")</f>
        <v/>
      </c>
      <c r="B58" s="41" t="str">
        <f aca="false">IFERROR(IF($A58="","",IF($A58&lt;=Übersicht!$P$13,"Allgemein",IF($A58&lt;=Übersicht!$P$14,"Maschine",IF($A58&lt;=Übersicht!$P$15,"Werkzeug","Kompakt")))),"")</f>
        <v/>
      </c>
      <c r="C58" s="41" t="str">
        <f aca="false">IFERROR(IF($A58="","",IF($A58&lt;=Übersicht!$P$13,IF(Audit_Allgemein!$C$4="","–",Audit_Allgemein!$C$4),IF($A58&lt;=Übersicht!$P$14,IF(Audit_Maschine!$C$4="","–",Audit_Maschine!$C$4),IF($A58&lt;=Übersicht!$P$15,IF(Audit_Werkzeuge!$C$4="","–",Audit_Werkzeuge!$C$4),IF(Audit_Kompakt!$C$4="","–",Audit_Kompakt!$C$4))))),"")</f>
        <v/>
      </c>
      <c r="D58" s="41" t="str">
        <f aca="false">IFERROR(IF($A58="","",IF($A58&lt;=Übersicht!$P$13,IF(INDEX(Audit_Allgemein!$A$12:$A$50,MATCH($A58,Audit_Allgemein!$K$12:$K$50,0))="","",INDEX(Audit_Allgemein!$A$12:$A$50,MATCH($A58,Audit_Allgemein!$K$12:$K$50,0))),IF($A58&lt;=Übersicht!$P$14,IF(INDEX(Audit_Maschine!$A$12:$A$24,MATCH($A58,Audit_Maschine!$K$12:$K$24,0))="","",INDEX(Audit_Maschine!$A$12:$A$24,MATCH($A58,Audit_Maschine!$K$12:$K$24,0))),IF($A58&lt;=Übersicht!$P$15,IF(INDEX(Audit_Werkzeuge!$A$12:$A$21,MATCH($A58,Audit_Werkzeuge!$K$12:$K$21,0))="","",INDEX(Audit_Werkzeuge!$A$12:$A$21,MATCH($A58,Audit_Werkzeuge!$K$12:$K$21,0))),IF(INDEX(Audit_Kompakt!$A$12:$A$35,MATCH($A58,Audit_Kompakt!$K$12:$K$35,0))="","",INDEX(Audit_Kompakt!$A$12:$A$35,MATCH($A58,Audit_Kompakt!$K$12:$K$35,0))))))),"")</f>
        <v/>
      </c>
      <c r="E58" s="42" t="str">
        <f aca="false">IFERROR(IF($A58="","",IF($A58&lt;=Übersicht!$P$13,IF(INDEX(Audit_Allgemein!$C$12:$C$50,MATCH($A58,Audit_Allgemein!$K$12:$K$50,0))="","",INDEX(Audit_Allgemein!$C$12:$C$50,MATCH($A58,Audit_Allgemein!$K$12:$K$50,0))),IF($A58&lt;=Übersicht!$P$14,IF(INDEX(Audit_Maschine!$C$12:$C$24,MATCH($A58,Audit_Maschine!$K$12:$K$24,0))="","",INDEX(Audit_Maschine!$C$12:$C$24,MATCH($A58,Audit_Maschine!$K$12:$K$24,0))),IF($A58&lt;=Übersicht!$P$15,IF(INDEX(Audit_Werkzeuge!$C$12:$C$21,MATCH($A58,Audit_Werkzeuge!$K$12:$K$21,0))="","",INDEX(Audit_Werkzeuge!$C$12:$C$21,MATCH($A58,Audit_Werkzeuge!$K$12:$K$21,0))),IF(INDEX(Audit_Kompakt!$C$12:$C$35,MATCH($A58,Audit_Kompakt!$K$12:$K$35,0))="","",INDEX(Audit_Kompakt!$C$12:$C$35,MATCH($A58,Audit_Kompakt!$K$12:$K$35,0))))))),"")</f>
        <v/>
      </c>
      <c r="F58" s="41" t="str">
        <f aca="false">IFERROR(IF($A58="","",IF($A58&lt;=Übersicht!$P$13,IF(INDEX(Audit_Allgemein!$E$12:$E$50,MATCH($A58,Audit_Allgemein!$K$12:$K$50,0))="","",INDEX(Audit_Allgemein!$E$12:$E$50,MATCH($A58,Audit_Allgemein!$K$12:$K$50,0))),IF($A58&lt;=Übersicht!$P$14,IF(INDEX(Audit_Maschine!$E$12:$E$24,MATCH($A58,Audit_Maschine!$K$12:$K$24,0))="","",INDEX(Audit_Maschine!$E$12:$E$24,MATCH($A58,Audit_Maschine!$K$12:$K$24,0))),IF($A58&lt;=Übersicht!$P$15,IF(INDEX(Audit_Werkzeuge!$E$12:$E$21,MATCH($A58,Audit_Werkzeuge!$K$12:$K$21,0))="","",INDEX(Audit_Werkzeuge!$E$12:$E$21,MATCH($A58,Audit_Werkzeuge!$K$12:$K$21,0))),IF(INDEX(Audit_Kompakt!$E$12:$E$35,MATCH($A58,Audit_Kompakt!$K$12:$K$35,0))="","",INDEX(Audit_Kompakt!$E$12:$E$35,MATCH($A58,Audit_Kompakt!$K$12:$K$35,0))))))),"")</f>
        <v/>
      </c>
      <c r="G58" s="42" t="str">
        <f aca="false">IFERROR(IF($A58="","",IF($A58&lt;=Übersicht!$P$13,IF(INDEX(Audit_Allgemein!$F$12:$F$50,MATCH($A58,Audit_Allgemein!$K$12:$K$50,0))="","",INDEX(Audit_Allgemein!$F$12:$F$50,MATCH($A58,Audit_Allgemein!$K$12:$K$50,0))),IF($A58&lt;=Übersicht!$P$14,IF(INDEX(Audit_Maschine!$F$12:$F$24,MATCH($A58,Audit_Maschine!$K$12:$K$24,0))="","",INDEX(Audit_Maschine!$F$12:$F$24,MATCH($A58,Audit_Maschine!$K$12:$K$24,0))),IF($A58&lt;=Übersicht!$P$15,IF(INDEX(Audit_Werkzeuge!$F$12:$F$21,MATCH($A58,Audit_Werkzeuge!$K$12:$K$21,0))="","",INDEX(Audit_Werkzeuge!$F$12:$F$21,MATCH($A58,Audit_Werkzeuge!$K$12:$K$21,0))),IF(INDEX(Audit_Kompakt!$F$12:$F$35,MATCH($A58,Audit_Kompakt!$K$12:$K$35,0))="","",INDEX(Audit_Kompakt!$F$12:$F$35,MATCH($A58,Audit_Kompakt!$K$12:$K$35,0))))))),"")</f>
        <v/>
      </c>
      <c r="H58" s="41" t="str">
        <f aca="false">IFERROR(IF($A58="","",IF($A58&lt;=Übersicht!$P$13,IF(INDEX(Audit_Allgemein!$G$12:$G$50,MATCH($A58,Audit_Allgemein!$K$12:$K$50,0))="","",INDEX(Audit_Allgemein!$G$12:$G$50,MATCH($A58,Audit_Allgemein!$K$12:$K$50,0))),IF($A58&lt;=Übersicht!$P$14,IF(INDEX(Audit_Maschine!$G$12:$G$24,MATCH($A58,Audit_Maschine!$K$12:$K$24,0))="","",INDEX(Audit_Maschine!$G$12:$G$24,MATCH($A58,Audit_Maschine!$K$12:$K$24,0))),IF($A58&lt;=Übersicht!$P$15,IF(INDEX(Audit_Werkzeuge!$G$12:$G$21,MATCH($A58,Audit_Werkzeuge!$K$12:$K$21,0))="","",INDEX(Audit_Werkzeuge!$G$12:$G$21,MATCH($A58,Audit_Werkzeuge!$K$12:$K$21,0))),IF(INDEX(Audit_Kompakt!$G$12:$G$35,MATCH($A58,Audit_Kompakt!$K$12:$K$35,0))="","",INDEX(Audit_Kompakt!$G$12:$G$35,MATCH($A58,Audit_Kompakt!$K$12:$K$35,0))))))),"")</f>
        <v/>
      </c>
      <c r="I58" s="43" t="str">
        <f aca="false">IFERROR(IF($A58="","",IF($A58&lt;=Übersicht!$P$13,IF(INDEX(Audit_Allgemein!$H$12:$H$50,MATCH($A58,Audit_Allgemein!$K$12:$K$50,0))="","",INDEX(Audit_Allgemein!$H$12:$H$50,MATCH($A58,Audit_Allgemein!$K$12:$K$50,0))),IF($A58&lt;=Übersicht!$P$14,IF(INDEX(Audit_Maschine!$H$12:$H$24,MATCH($A58,Audit_Maschine!$K$12:$K$24,0))="","",INDEX(Audit_Maschine!$H$12:$H$24,MATCH($A58,Audit_Maschine!$K$12:$K$24,0))),IF($A58&lt;=Übersicht!$P$15,IF(INDEX(Audit_Werkzeuge!$H$12:$H$21,MATCH($A58,Audit_Werkzeuge!$K$12:$K$21,0))="","",INDEX(Audit_Werkzeuge!$H$12:$H$21,MATCH($A58,Audit_Werkzeuge!$K$12:$K$21,0))),IF(INDEX(Audit_Kompakt!$H$12:$H$35,MATCH($A58,Audit_Kompakt!$K$12:$K$35,0))="","",INDEX(Audit_Kompakt!$H$12:$H$35,MATCH($A58,Audit_Kompakt!$K$12:$K$35,0))))))),"")</f>
        <v/>
      </c>
      <c r="J58" s="41" t="str">
        <f aca="false">IFERROR(IF($A58="","",IF($A58&lt;=Übersicht!$P$13,IF(INDEX(Audit_Allgemein!$J$12:$J$50,MATCH($A58,Audit_Allgemein!$K$12:$K$50,0))="","",INDEX(Audit_Allgemein!$J$12:$J$50,MATCH($A58,Audit_Allgemein!$K$12:$K$50,0))),IF($A58&lt;=Übersicht!$P$14,IF(INDEX(Audit_Maschine!$J$12:$J$24,MATCH($A58,Audit_Maschine!$K$12:$K$24,0))="","",INDEX(Audit_Maschine!$J$12:$J$24,MATCH($A58,Audit_Maschine!$K$12:$K$24,0))),IF($A58&lt;=Übersicht!$P$15,IF(INDEX(Audit_Werkzeuge!$J$12:$J$21,MATCH($A58,Audit_Werkzeuge!$K$12:$K$21,0))="","",INDEX(Audit_Werkzeuge!$J$12:$J$21,MATCH($A58,Audit_Werkzeuge!$K$12:$K$21,0))),IF(INDEX(Audit_Kompakt!$J$12:$J$35,MATCH($A58,Audit_Kompakt!$K$12:$K$35,0))="","",INDEX(Audit_Kompakt!$J$12:$J$35,MATCH($A58,Audit_Kompakt!$K$12:$K$35,0))))))),"")</f>
        <v/>
      </c>
    </row>
    <row r="59" customFormat="false" ht="15" hidden="false" customHeight="false" outlineLevel="0" collapsed="false">
      <c r="A59" s="41" t="str">
        <f aca="false">IF(55&lt;=Übersicht!$M$17,55,"")</f>
        <v/>
      </c>
      <c r="B59" s="41" t="str">
        <f aca="false">IFERROR(IF($A59="","",IF($A59&lt;=Übersicht!$P$13,"Allgemein",IF($A59&lt;=Übersicht!$P$14,"Maschine",IF($A59&lt;=Übersicht!$P$15,"Werkzeug","Kompakt")))),"")</f>
        <v/>
      </c>
      <c r="C59" s="41" t="str">
        <f aca="false">IFERROR(IF($A59="","",IF($A59&lt;=Übersicht!$P$13,IF(Audit_Allgemein!$C$4="","–",Audit_Allgemein!$C$4),IF($A59&lt;=Übersicht!$P$14,IF(Audit_Maschine!$C$4="","–",Audit_Maschine!$C$4),IF($A59&lt;=Übersicht!$P$15,IF(Audit_Werkzeuge!$C$4="","–",Audit_Werkzeuge!$C$4),IF(Audit_Kompakt!$C$4="","–",Audit_Kompakt!$C$4))))),"")</f>
        <v/>
      </c>
      <c r="D59" s="41" t="str">
        <f aca="false">IFERROR(IF($A59="","",IF($A59&lt;=Übersicht!$P$13,IF(INDEX(Audit_Allgemein!$A$12:$A$50,MATCH($A59,Audit_Allgemein!$K$12:$K$50,0))="","",INDEX(Audit_Allgemein!$A$12:$A$50,MATCH($A59,Audit_Allgemein!$K$12:$K$50,0))),IF($A59&lt;=Übersicht!$P$14,IF(INDEX(Audit_Maschine!$A$12:$A$24,MATCH($A59,Audit_Maschine!$K$12:$K$24,0))="","",INDEX(Audit_Maschine!$A$12:$A$24,MATCH($A59,Audit_Maschine!$K$12:$K$24,0))),IF($A59&lt;=Übersicht!$P$15,IF(INDEX(Audit_Werkzeuge!$A$12:$A$21,MATCH($A59,Audit_Werkzeuge!$K$12:$K$21,0))="","",INDEX(Audit_Werkzeuge!$A$12:$A$21,MATCH($A59,Audit_Werkzeuge!$K$12:$K$21,0))),IF(INDEX(Audit_Kompakt!$A$12:$A$35,MATCH($A59,Audit_Kompakt!$K$12:$K$35,0))="","",INDEX(Audit_Kompakt!$A$12:$A$35,MATCH($A59,Audit_Kompakt!$K$12:$K$35,0))))))),"")</f>
        <v/>
      </c>
      <c r="E59" s="42" t="str">
        <f aca="false">IFERROR(IF($A59="","",IF($A59&lt;=Übersicht!$P$13,IF(INDEX(Audit_Allgemein!$C$12:$C$50,MATCH($A59,Audit_Allgemein!$K$12:$K$50,0))="","",INDEX(Audit_Allgemein!$C$12:$C$50,MATCH($A59,Audit_Allgemein!$K$12:$K$50,0))),IF($A59&lt;=Übersicht!$P$14,IF(INDEX(Audit_Maschine!$C$12:$C$24,MATCH($A59,Audit_Maschine!$K$12:$K$24,0))="","",INDEX(Audit_Maschine!$C$12:$C$24,MATCH($A59,Audit_Maschine!$K$12:$K$24,0))),IF($A59&lt;=Übersicht!$P$15,IF(INDEX(Audit_Werkzeuge!$C$12:$C$21,MATCH($A59,Audit_Werkzeuge!$K$12:$K$21,0))="","",INDEX(Audit_Werkzeuge!$C$12:$C$21,MATCH($A59,Audit_Werkzeuge!$K$12:$K$21,0))),IF(INDEX(Audit_Kompakt!$C$12:$C$35,MATCH($A59,Audit_Kompakt!$K$12:$K$35,0))="","",INDEX(Audit_Kompakt!$C$12:$C$35,MATCH($A59,Audit_Kompakt!$K$12:$K$35,0))))))),"")</f>
        <v/>
      </c>
      <c r="F59" s="41" t="str">
        <f aca="false">IFERROR(IF($A59="","",IF($A59&lt;=Übersicht!$P$13,IF(INDEX(Audit_Allgemein!$E$12:$E$50,MATCH($A59,Audit_Allgemein!$K$12:$K$50,0))="","",INDEX(Audit_Allgemein!$E$12:$E$50,MATCH($A59,Audit_Allgemein!$K$12:$K$50,0))),IF($A59&lt;=Übersicht!$P$14,IF(INDEX(Audit_Maschine!$E$12:$E$24,MATCH($A59,Audit_Maschine!$K$12:$K$24,0))="","",INDEX(Audit_Maschine!$E$12:$E$24,MATCH($A59,Audit_Maschine!$K$12:$K$24,0))),IF($A59&lt;=Übersicht!$P$15,IF(INDEX(Audit_Werkzeuge!$E$12:$E$21,MATCH($A59,Audit_Werkzeuge!$K$12:$K$21,0))="","",INDEX(Audit_Werkzeuge!$E$12:$E$21,MATCH($A59,Audit_Werkzeuge!$K$12:$K$21,0))),IF(INDEX(Audit_Kompakt!$E$12:$E$35,MATCH($A59,Audit_Kompakt!$K$12:$K$35,0))="","",INDEX(Audit_Kompakt!$E$12:$E$35,MATCH($A59,Audit_Kompakt!$K$12:$K$35,0))))))),"")</f>
        <v/>
      </c>
      <c r="G59" s="42" t="str">
        <f aca="false">IFERROR(IF($A59="","",IF($A59&lt;=Übersicht!$P$13,IF(INDEX(Audit_Allgemein!$F$12:$F$50,MATCH($A59,Audit_Allgemein!$K$12:$K$50,0))="","",INDEX(Audit_Allgemein!$F$12:$F$50,MATCH($A59,Audit_Allgemein!$K$12:$K$50,0))),IF($A59&lt;=Übersicht!$P$14,IF(INDEX(Audit_Maschine!$F$12:$F$24,MATCH($A59,Audit_Maschine!$K$12:$K$24,0))="","",INDEX(Audit_Maschine!$F$12:$F$24,MATCH($A59,Audit_Maschine!$K$12:$K$24,0))),IF($A59&lt;=Übersicht!$P$15,IF(INDEX(Audit_Werkzeuge!$F$12:$F$21,MATCH($A59,Audit_Werkzeuge!$K$12:$K$21,0))="","",INDEX(Audit_Werkzeuge!$F$12:$F$21,MATCH($A59,Audit_Werkzeuge!$K$12:$K$21,0))),IF(INDEX(Audit_Kompakt!$F$12:$F$35,MATCH($A59,Audit_Kompakt!$K$12:$K$35,0))="","",INDEX(Audit_Kompakt!$F$12:$F$35,MATCH($A59,Audit_Kompakt!$K$12:$K$35,0))))))),"")</f>
        <v/>
      </c>
      <c r="H59" s="41" t="str">
        <f aca="false">IFERROR(IF($A59="","",IF($A59&lt;=Übersicht!$P$13,IF(INDEX(Audit_Allgemein!$G$12:$G$50,MATCH($A59,Audit_Allgemein!$K$12:$K$50,0))="","",INDEX(Audit_Allgemein!$G$12:$G$50,MATCH($A59,Audit_Allgemein!$K$12:$K$50,0))),IF($A59&lt;=Übersicht!$P$14,IF(INDEX(Audit_Maschine!$G$12:$G$24,MATCH($A59,Audit_Maschine!$K$12:$K$24,0))="","",INDEX(Audit_Maschine!$G$12:$G$24,MATCH($A59,Audit_Maschine!$K$12:$K$24,0))),IF($A59&lt;=Übersicht!$P$15,IF(INDEX(Audit_Werkzeuge!$G$12:$G$21,MATCH($A59,Audit_Werkzeuge!$K$12:$K$21,0))="","",INDEX(Audit_Werkzeuge!$G$12:$G$21,MATCH($A59,Audit_Werkzeuge!$K$12:$K$21,0))),IF(INDEX(Audit_Kompakt!$G$12:$G$35,MATCH($A59,Audit_Kompakt!$K$12:$K$35,0))="","",INDEX(Audit_Kompakt!$G$12:$G$35,MATCH($A59,Audit_Kompakt!$K$12:$K$35,0))))))),"")</f>
        <v/>
      </c>
      <c r="I59" s="43" t="str">
        <f aca="false">IFERROR(IF($A59="","",IF($A59&lt;=Übersicht!$P$13,IF(INDEX(Audit_Allgemein!$H$12:$H$50,MATCH($A59,Audit_Allgemein!$K$12:$K$50,0))="","",INDEX(Audit_Allgemein!$H$12:$H$50,MATCH($A59,Audit_Allgemein!$K$12:$K$50,0))),IF($A59&lt;=Übersicht!$P$14,IF(INDEX(Audit_Maschine!$H$12:$H$24,MATCH($A59,Audit_Maschine!$K$12:$K$24,0))="","",INDEX(Audit_Maschine!$H$12:$H$24,MATCH($A59,Audit_Maschine!$K$12:$K$24,0))),IF($A59&lt;=Übersicht!$P$15,IF(INDEX(Audit_Werkzeuge!$H$12:$H$21,MATCH($A59,Audit_Werkzeuge!$K$12:$K$21,0))="","",INDEX(Audit_Werkzeuge!$H$12:$H$21,MATCH($A59,Audit_Werkzeuge!$K$12:$K$21,0))),IF(INDEX(Audit_Kompakt!$H$12:$H$35,MATCH($A59,Audit_Kompakt!$K$12:$K$35,0))="","",INDEX(Audit_Kompakt!$H$12:$H$35,MATCH($A59,Audit_Kompakt!$K$12:$K$35,0))))))),"")</f>
        <v/>
      </c>
      <c r="J59" s="41" t="str">
        <f aca="false">IFERROR(IF($A59="","",IF($A59&lt;=Übersicht!$P$13,IF(INDEX(Audit_Allgemein!$J$12:$J$50,MATCH($A59,Audit_Allgemein!$K$12:$K$50,0))="","",INDEX(Audit_Allgemein!$J$12:$J$50,MATCH($A59,Audit_Allgemein!$K$12:$K$50,0))),IF($A59&lt;=Übersicht!$P$14,IF(INDEX(Audit_Maschine!$J$12:$J$24,MATCH($A59,Audit_Maschine!$K$12:$K$24,0))="","",INDEX(Audit_Maschine!$J$12:$J$24,MATCH($A59,Audit_Maschine!$K$12:$K$24,0))),IF($A59&lt;=Übersicht!$P$15,IF(INDEX(Audit_Werkzeuge!$J$12:$J$21,MATCH($A59,Audit_Werkzeuge!$K$12:$K$21,0))="","",INDEX(Audit_Werkzeuge!$J$12:$J$21,MATCH($A59,Audit_Werkzeuge!$K$12:$K$21,0))),IF(INDEX(Audit_Kompakt!$J$12:$J$35,MATCH($A59,Audit_Kompakt!$K$12:$K$35,0))="","",INDEX(Audit_Kompakt!$J$12:$J$35,MATCH($A59,Audit_Kompakt!$K$12:$K$35,0))))))),"")</f>
        <v/>
      </c>
    </row>
    <row r="60" customFormat="false" ht="15" hidden="false" customHeight="false" outlineLevel="0" collapsed="false">
      <c r="A60" s="41" t="str">
        <f aca="false">IF(56&lt;=Übersicht!$M$17,56,"")</f>
        <v/>
      </c>
      <c r="B60" s="41" t="str">
        <f aca="false">IFERROR(IF($A60="","",IF($A60&lt;=Übersicht!$P$13,"Allgemein",IF($A60&lt;=Übersicht!$P$14,"Maschine",IF($A60&lt;=Übersicht!$P$15,"Werkzeug","Kompakt")))),"")</f>
        <v/>
      </c>
      <c r="C60" s="41" t="str">
        <f aca="false">IFERROR(IF($A60="","",IF($A60&lt;=Übersicht!$P$13,IF(Audit_Allgemein!$C$4="","–",Audit_Allgemein!$C$4),IF($A60&lt;=Übersicht!$P$14,IF(Audit_Maschine!$C$4="","–",Audit_Maschine!$C$4),IF($A60&lt;=Übersicht!$P$15,IF(Audit_Werkzeuge!$C$4="","–",Audit_Werkzeuge!$C$4),IF(Audit_Kompakt!$C$4="","–",Audit_Kompakt!$C$4))))),"")</f>
        <v/>
      </c>
      <c r="D60" s="41" t="str">
        <f aca="false">IFERROR(IF($A60="","",IF($A60&lt;=Übersicht!$P$13,IF(INDEX(Audit_Allgemein!$A$12:$A$50,MATCH($A60,Audit_Allgemein!$K$12:$K$50,0))="","",INDEX(Audit_Allgemein!$A$12:$A$50,MATCH($A60,Audit_Allgemein!$K$12:$K$50,0))),IF($A60&lt;=Übersicht!$P$14,IF(INDEX(Audit_Maschine!$A$12:$A$24,MATCH($A60,Audit_Maschine!$K$12:$K$24,0))="","",INDEX(Audit_Maschine!$A$12:$A$24,MATCH($A60,Audit_Maschine!$K$12:$K$24,0))),IF($A60&lt;=Übersicht!$P$15,IF(INDEX(Audit_Werkzeuge!$A$12:$A$21,MATCH($A60,Audit_Werkzeuge!$K$12:$K$21,0))="","",INDEX(Audit_Werkzeuge!$A$12:$A$21,MATCH($A60,Audit_Werkzeuge!$K$12:$K$21,0))),IF(INDEX(Audit_Kompakt!$A$12:$A$35,MATCH($A60,Audit_Kompakt!$K$12:$K$35,0))="","",INDEX(Audit_Kompakt!$A$12:$A$35,MATCH($A60,Audit_Kompakt!$K$12:$K$35,0))))))),"")</f>
        <v/>
      </c>
      <c r="E60" s="42" t="str">
        <f aca="false">IFERROR(IF($A60="","",IF($A60&lt;=Übersicht!$P$13,IF(INDEX(Audit_Allgemein!$C$12:$C$50,MATCH($A60,Audit_Allgemein!$K$12:$K$50,0))="","",INDEX(Audit_Allgemein!$C$12:$C$50,MATCH($A60,Audit_Allgemein!$K$12:$K$50,0))),IF($A60&lt;=Übersicht!$P$14,IF(INDEX(Audit_Maschine!$C$12:$C$24,MATCH($A60,Audit_Maschine!$K$12:$K$24,0))="","",INDEX(Audit_Maschine!$C$12:$C$24,MATCH($A60,Audit_Maschine!$K$12:$K$24,0))),IF($A60&lt;=Übersicht!$P$15,IF(INDEX(Audit_Werkzeuge!$C$12:$C$21,MATCH($A60,Audit_Werkzeuge!$K$12:$K$21,0))="","",INDEX(Audit_Werkzeuge!$C$12:$C$21,MATCH($A60,Audit_Werkzeuge!$K$12:$K$21,0))),IF(INDEX(Audit_Kompakt!$C$12:$C$35,MATCH($A60,Audit_Kompakt!$K$12:$K$35,0))="","",INDEX(Audit_Kompakt!$C$12:$C$35,MATCH($A60,Audit_Kompakt!$K$12:$K$35,0))))))),"")</f>
        <v/>
      </c>
      <c r="F60" s="41" t="str">
        <f aca="false">IFERROR(IF($A60="","",IF($A60&lt;=Übersicht!$P$13,IF(INDEX(Audit_Allgemein!$E$12:$E$50,MATCH($A60,Audit_Allgemein!$K$12:$K$50,0))="","",INDEX(Audit_Allgemein!$E$12:$E$50,MATCH($A60,Audit_Allgemein!$K$12:$K$50,0))),IF($A60&lt;=Übersicht!$P$14,IF(INDEX(Audit_Maschine!$E$12:$E$24,MATCH($A60,Audit_Maschine!$K$12:$K$24,0))="","",INDEX(Audit_Maschine!$E$12:$E$24,MATCH($A60,Audit_Maschine!$K$12:$K$24,0))),IF($A60&lt;=Übersicht!$P$15,IF(INDEX(Audit_Werkzeuge!$E$12:$E$21,MATCH($A60,Audit_Werkzeuge!$K$12:$K$21,0))="","",INDEX(Audit_Werkzeuge!$E$12:$E$21,MATCH($A60,Audit_Werkzeuge!$K$12:$K$21,0))),IF(INDEX(Audit_Kompakt!$E$12:$E$35,MATCH($A60,Audit_Kompakt!$K$12:$K$35,0))="","",INDEX(Audit_Kompakt!$E$12:$E$35,MATCH($A60,Audit_Kompakt!$K$12:$K$35,0))))))),"")</f>
        <v/>
      </c>
      <c r="G60" s="42" t="str">
        <f aca="false">IFERROR(IF($A60="","",IF($A60&lt;=Übersicht!$P$13,IF(INDEX(Audit_Allgemein!$F$12:$F$50,MATCH($A60,Audit_Allgemein!$K$12:$K$50,0))="","",INDEX(Audit_Allgemein!$F$12:$F$50,MATCH($A60,Audit_Allgemein!$K$12:$K$50,0))),IF($A60&lt;=Übersicht!$P$14,IF(INDEX(Audit_Maschine!$F$12:$F$24,MATCH($A60,Audit_Maschine!$K$12:$K$24,0))="","",INDEX(Audit_Maschine!$F$12:$F$24,MATCH($A60,Audit_Maschine!$K$12:$K$24,0))),IF($A60&lt;=Übersicht!$P$15,IF(INDEX(Audit_Werkzeuge!$F$12:$F$21,MATCH($A60,Audit_Werkzeuge!$K$12:$K$21,0))="","",INDEX(Audit_Werkzeuge!$F$12:$F$21,MATCH($A60,Audit_Werkzeuge!$K$12:$K$21,0))),IF(INDEX(Audit_Kompakt!$F$12:$F$35,MATCH($A60,Audit_Kompakt!$K$12:$K$35,0))="","",INDEX(Audit_Kompakt!$F$12:$F$35,MATCH($A60,Audit_Kompakt!$K$12:$K$35,0))))))),"")</f>
        <v/>
      </c>
      <c r="H60" s="41" t="str">
        <f aca="false">IFERROR(IF($A60="","",IF($A60&lt;=Übersicht!$P$13,IF(INDEX(Audit_Allgemein!$G$12:$G$50,MATCH($A60,Audit_Allgemein!$K$12:$K$50,0))="","",INDEX(Audit_Allgemein!$G$12:$G$50,MATCH($A60,Audit_Allgemein!$K$12:$K$50,0))),IF($A60&lt;=Übersicht!$P$14,IF(INDEX(Audit_Maschine!$G$12:$G$24,MATCH($A60,Audit_Maschine!$K$12:$K$24,0))="","",INDEX(Audit_Maschine!$G$12:$G$24,MATCH($A60,Audit_Maschine!$K$12:$K$24,0))),IF($A60&lt;=Übersicht!$P$15,IF(INDEX(Audit_Werkzeuge!$G$12:$G$21,MATCH($A60,Audit_Werkzeuge!$K$12:$K$21,0))="","",INDEX(Audit_Werkzeuge!$G$12:$G$21,MATCH($A60,Audit_Werkzeuge!$K$12:$K$21,0))),IF(INDEX(Audit_Kompakt!$G$12:$G$35,MATCH($A60,Audit_Kompakt!$K$12:$K$35,0))="","",INDEX(Audit_Kompakt!$G$12:$G$35,MATCH($A60,Audit_Kompakt!$K$12:$K$35,0))))))),"")</f>
        <v/>
      </c>
      <c r="I60" s="43" t="str">
        <f aca="false">IFERROR(IF($A60="","",IF($A60&lt;=Übersicht!$P$13,IF(INDEX(Audit_Allgemein!$H$12:$H$50,MATCH($A60,Audit_Allgemein!$K$12:$K$50,0))="","",INDEX(Audit_Allgemein!$H$12:$H$50,MATCH($A60,Audit_Allgemein!$K$12:$K$50,0))),IF($A60&lt;=Übersicht!$P$14,IF(INDEX(Audit_Maschine!$H$12:$H$24,MATCH($A60,Audit_Maschine!$K$12:$K$24,0))="","",INDEX(Audit_Maschine!$H$12:$H$24,MATCH($A60,Audit_Maschine!$K$12:$K$24,0))),IF($A60&lt;=Übersicht!$P$15,IF(INDEX(Audit_Werkzeuge!$H$12:$H$21,MATCH($A60,Audit_Werkzeuge!$K$12:$K$21,0))="","",INDEX(Audit_Werkzeuge!$H$12:$H$21,MATCH($A60,Audit_Werkzeuge!$K$12:$K$21,0))),IF(INDEX(Audit_Kompakt!$H$12:$H$35,MATCH($A60,Audit_Kompakt!$K$12:$K$35,0))="","",INDEX(Audit_Kompakt!$H$12:$H$35,MATCH($A60,Audit_Kompakt!$K$12:$K$35,0))))))),"")</f>
        <v/>
      </c>
      <c r="J60" s="41" t="str">
        <f aca="false">IFERROR(IF($A60="","",IF($A60&lt;=Übersicht!$P$13,IF(INDEX(Audit_Allgemein!$J$12:$J$50,MATCH($A60,Audit_Allgemein!$K$12:$K$50,0))="","",INDEX(Audit_Allgemein!$J$12:$J$50,MATCH($A60,Audit_Allgemein!$K$12:$K$50,0))),IF($A60&lt;=Übersicht!$P$14,IF(INDEX(Audit_Maschine!$J$12:$J$24,MATCH($A60,Audit_Maschine!$K$12:$K$24,0))="","",INDEX(Audit_Maschine!$J$12:$J$24,MATCH($A60,Audit_Maschine!$K$12:$K$24,0))),IF($A60&lt;=Übersicht!$P$15,IF(INDEX(Audit_Werkzeuge!$J$12:$J$21,MATCH($A60,Audit_Werkzeuge!$K$12:$K$21,0))="","",INDEX(Audit_Werkzeuge!$J$12:$J$21,MATCH($A60,Audit_Werkzeuge!$K$12:$K$21,0))),IF(INDEX(Audit_Kompakt!$J$12:$J$35,MATCH($A60,Audit_Kompakt!$K$12:$K$35,0))="","",INDEX(Audit_Kompakt!$J$12:$J$35,MATCH($A60,Audit_Kompakt!$K$12:$K$35,0))))))),"")</f>
        <v/>
      </c>
    </row>
    <row r="61" customFormat="false" ht="15" hidden="false" customHeight="false" outlineLevel="0" collapsed="false">
      <c r="A61" s="41" t="str">
        <f aca="false">IF(57&lt;=Übersicht!$M$17,57,"")</f>
        <v/>
      </c>
      <c r="B61" s="41" t="str">
        <f aca="false">IFERROR(IF($A61="","",IF($A61&lt;=Übersicht!$P$13,"Allgemein",IF($A61&lt;=Übersicht!$P$14,"Maschine",IF($A61&lt;=Übersicht!$P$15,"Werkzeug","Kompakt")))),"")</f>
        <v/>
      </c>
      <c r="C61" s="41" t="str">
        <f aca="false">IFERROR(IF($A61="","",IF($A61&lt;=Übersicht!$P$13,IF(Audit_Allgemein!$C$4="","–",Audit_Allgemein!$C$4),IF($A61&lt;=Übersicht!$P$14,IF(Audit_Maschine!$C$4="","–",Audit_Maschine!$C$4),IF($A61&lt;=Übersicht!$P$15,IF(Audit_Werkzeuge!$C$4="","–",Audit_Werkzeuge!$C$4),IF(Audit_Kompakt!$C$4="","–",Audit_Kompakt!$C$4))))),"")</f>
        <v/>
      </c>
      <c r="D61" s="41" t="str">
        <f aca="false">IFERROR(IF($A61="","",IF($A61&lt;=Übersicht!$P$13,IF(INDEX(Audit_Allgemein!$A$12:$A$50,MATCH($A61,Audit_Allgemein!$K$12:$K$50,0))="","",INDEX(Audit_Allgemein!$A$12:$A$50,MATCH($A61,Audit_Allgemein!$K$12:$K$50,0))),IF($A61&lt;=Übersicht!$P$14,IF(INDEX(Audit_Maschine!$A$12:$A$24,MATCH($A61,Audit_Maschine!$K$12:$K$24,0))="","",INDEX(Audit_Maschine!$A$12:$A$24,MATCH($A61,Audit_Maschine!$K$12:$K$24,0))),IF($A61&lt;=Übersicht!$P$15,IF(INDEX(Audit_Werkzeuge!$A$12:$A$21,MATCH($A61,Audit_Werkzeuge!$K$12:$K$21,0))="","",INDEX(Audit_Werkzeuge!$A$12:$A$21,MATCH($A61,Audit_Werkzeuge!$K$12:$K$21,0))),IF(INDEX(Audit_Kompakt!$A$12:$A$35,MATCH($A61,Audit_Kompakt!$K$12:$K$35,0))="","",INDEX(Audit_Kompakt!$A$12:$A$35,MATCH($A61,Audit_Kompakt!$K$12:$K$35,0))))))),"")</f>
        <v/>
      </c>
      <c r="E61" s="42" t="str">
        <f aca="false">IFERROR(IF($A61="","",IF($A61&lt;=Übersicht!$P$13,IF(INDEX(Audit_Allgemein!$C$12:$C$50,MATCH($A61,Audit_Allgemein!$K$12:$K$50,0))="","",INDEX(Audit_Allgemein!$C$12:$C$50,MATCH($A61,Audit_Allgemein!$K$12:$K$50,0))),IF($A61&lt;=Übersicht!$P$14,IF(INDEX(Audit_Maschine!$C$12:$C$24,MATCH($A61,Audit_Maschine!$K$12:$K$24,0))="","",INDEX(Audit_Maschine!$C$12:$C$24,MATCH($A61,Audit_Maschine!$K$12:$K$24,0))),IF($A61&lt;=Übersicht!$P$15,IF(INDEX(Audit_Werkzeuge!$C$12:$C$21,MATCH($A61,Audit_Werkzeuge!$K$12:$K$21,0))="","",INDEX(Audit_Werkzeuge!$C$12:$C$21,MATCH($A61,Audit_Werkzeuge!$K$12:$K$21,0))),IF(INDEX(Audit_Kompakt!$C$12:$C$35,MATCH($A61,Audit_Kompakt!$K$12:$K$35,0))="","",INDEX(Audit_Kompakt!$C$12:$C$35,MATCH($A61,Audit_Kompakt!$K$12:$K$35,0))))))),"")</f>
        <v/>
      </c>
      <c r="F61" s="41" t="str">
        <f aca="false">IFERROR(IF($A61="","",IF($A61&lt;=Übersicht!$P$13,IF(INDEX(Audit_Allgemein!$E$12:$E$50,MATCH($A61,Audit_Allgemein!$K$12:$K$50,0))="","",INDEX(Audit_Allgemein!$E$12:$E$50,MATCH($A61,Audit_Allgemein!$K$12:$K$50,0))),IF($A61&lt;=Übersicht!$P$14,IF(INDEX(Audit_Maschine!$E$12:$E$24,MATCH($A61,Audit_Maschine!$K$12:$K$24,0))="","",INDEX(Audit_Maschine!$E$12:$E$24,MATCH($A61,Audit_Maschine!$K$12:$K$24,0))),IF($A61&lt;=Übersicht!$P$15,IF(INDEX(Audit_Werkzeuge!$E$12:$E$21,MATCH($A61,Audit_Werkzeuge!$K$12:$K$21,0))="","",INDEX(Audit_Werkzeuge!$E$12:$E$21,MATCH($A61,Audit_Werkzeuge!$K$12:$K$21,0))),IF(INDEX(Audit_Kompakt!$E$12:$E$35,MATCH($A61,Audit_Kompakt!$K$12:$K$35,0))="","",INDEX(Audit_Kompakt!$E$12:$E$35,MATCH($A61,Audit_Kompakt!$K$12:$K$35,0))))))),"")</f>
        <v/>
      </c>
      <c r="G61" s="42" t="str">
        <f aca="false">IFERROR(IF($A61="","",IF($A61&lt;=Übersicht!$P$13,IF(INDEX(Audit_Allgemein!$F$12:$F$50,MATCH($A61,Audit_Allgemein!$K$12:$K$50,0))="","",INDEX(Audit_Allgemein!$F$12:$F$50,MATCH($A61,Audit_Allgemein!$K$12:$K$50,0))),IF($A61&lt;=Übersicht!$P$14,IF(INDEX(Audit_Maschine!$F$12:$F$24,MATCH($A61,Audit_Maschine!$K$12:$K$24,0))="","",INDEX(Audit_Maschine!$F$12:$F$24,MATCH($A61,Audit_Maschine!$K$12:$K$24,0))),IF($A61&lt;=Übersicht!$P$15,IF(INDEX(Audit_Werkzeuge!$F$12:$F$21,MATCH($A61,Audit_Werkzeuge!$K$12:$K$21,0))="","",INDEX(Audit_Werkzeuge!$F$12:$F$21,MATCH($A61,Audit_Werkzeuge!$K$12:$K$21,0))),IF(INDEX(Audit_Kompakt!$F$12:$F$35,MATCH($A61,Audit_Kompakt!$K$12:$K$35,0))="","",INDEX(Audit_Kompakt!$F$12:$F$35,MATCH($A61,Audit_Kompakt!$K$12:$K$35,0))))))),"")</f>
        <v/>
      </c>
      <c r="H61" s="41" t="str">
        <f aca="false">IFERROR(IF($A61="","",IF($A61&lt;=Übersicht!$P$13,IF(INDEX(Audit_Allgemein!$G$12:$G$50,MATCH($A61,Audit_Allgemein!$K$12:$K$50,0))="","",INDEX(Audit_Allgemein!$G$12:$G$50,MATCH($A61,Audit_Allgemein!$K$12:$K$50,0))),IF($A61&lt;=Übersicht!$P$14,IF(INDEX(Audit_Maschine!$G$12:$G$24,MATCH($A61,Audit_Maschine!$K$12:$K$24,0))="","",INDEX(Audit_Maschine!$G$12:$G$24,MATCH($A61,Audit_Maschine!$K$12:$K$24,0))),IF($A61&lt;=Übersicht!$P$15,IF(INDEX(Audit_Werkzeuge!$G$12:$G$21,MATCH($A61,Audit_Werkzeuge!$K$12:$K$21,0))="","",INDEX(Audit_Werkzeuge!$G$12:$G$21,MATCH($A61,Audit_Werkzeuge!$K$12:$K$21,0))),IF(INDEX(Audit_Kompakt!$G$12:$G$35,MATCH($A61,Audit_Kompakt!$K$12:$K$35,0))="","",INDEX(Audit_Kompakt!$G$12:$G$35,MATCH($A61,Audit_Kompakt!$K$12:$K$35,0))))))),"")</f>
        <v/>
      </c>
      <c r="I61" s="43" t="str">
        <f aca="false">IFERROR(IF($A61="","",IF($A61&lt;=Übersicht!$P$13,IF(INDEX(Audit_Allgemein!$H$12:$H$50,MATCH($A61,Audit_Allgemein!$K$12:$K$50,0))="","",INDEX(Audit_Allgemein!$H$12:$H$50,MATCH($A61,Audit_Allgemein!$K$12:$K$50,0))),IF($A61&lt;=Übersicht!$P$14,IF(INDEX(Audit_Maschine!$H$12:$H$24,MATCH($A61,Audit_Maschine!$K$12:$K$24,0))="","",INDEX(Audit_Maschine!$H$12:$H$24,MATCH($A61,Audit_Maschine!$K$12:$K$24,0))),IF($A61&lt;=Übersicht!$P$15,IF(INDEX(Audit_Werkzeuge!$H$12:$H$21,MATCH($A61,Audit_Werkzeuge!$K$12:$K$21,0))="","",INDEX(Audit_Werkzeuge!$H$12:$H$21,MATCH($A61,Audit_Werkzeuge!$K$12:$K$21,0))),IF(INDEX(Audit_Kompakt!$H$12:$H$35,MATCH($A61,Audit_Kompakt!$K$12:$K$35,0))="","",INDEX(Audit_Kompakt!$H$12:$H$35,MATCH($A61,Audit_Kompakt!$K$12:$K$35,0))))))),"")</f>
        <v/>
      </c>
      <c r="J61" s="41" t="str">
        <f aca="false">IFERROR(IF($A61="","",IF($A61&lt;=Übersicht!$P$13,IF(INDEX(Audit_Allgemein!$J$12:$J$50,MATCH($A61,Audit_Allgemein!$K$12:$K$50,0))="","",INDEX(Audit_Allgemein!$J$12:$J$50,MATCH($A61,Audit_Allgemein!$K$12:$K$50,0))),IF($A61&lt;=Übersicht!$P$14,IF(INDEX(Audit_Maschine!$J$12:$J$24,MATCH($A61,Audit_Maschine!$K$12:$K$24,0))="","",INDEX(Audit_Maschine!$J$12:$J$24,MATCH($A61,Audit_Maschine!$K$12:$K$24,0))),IF($A61&lt;=Übersicht!$P$15,IF(INDEX(Audit_Werkzeuge!$J$12:$J$21,MATCH($A61,Audit_Werkzeuge!$K$12:$K$21,0))="","",INDEX(Audit_Werkzeuge!$J$12:$J$21,MATCH($A61,Audit_Werkzeuge!$K$12:$K$21,0))),IF(INDEX(Audit_Kompakt!$J$12:$J$35,MATCH($A61,Audit_Kompakt!$K$12:$K$35,0))="","",INDEX(Audit_Kompakt!$J$12:$J$35,MATCH($A61,Audit_Kompakt!$K$12:$K$35,0))))))),"")</f>
        <v/>
      </c>
    </row>
    <row r="62" customFormat="false" ht="15" hidden="false" customHeight="false" outlineLevel="0" collapsed="false">
      <c r="A62" s="41" t="str">
        <f aca="false">IF(58&lt;=Übersicht!$M$17,58,"")</f>
        <v/>
      </c>
      <c r="B62" s="41" t="str">
        <f aca="false">IFERROR(IF($A62="","",IF($A62&lt;=Übersicht!$P$13,"Allgemein",IF($A62&lt;=Übersicht!$P$14,"Maschine",IF($A62&lt;=Übersicht!$P$15,"Werkzeug","Kompakt")))),"")</f>
        <v/>
      </c>
      <c r="C62" s="41" t="str">
        <f aca="false">IFERROR(IF($A62="","",IF($A62&lt;=Übersicht!$P$13,IF(Audit_Allgemein!$C$4="","–",Audit_Allgemein!$C$4),IF($A62&lt;=Übersicht!$P$14,IF(Audit_Maschine!$C$4="","–",Audit_Maschine!$C$4),IF($A62&lt;=Übersicht!$P$15,IF(Audit_Werkzeuge!$C$4="","–",Audit_Werkzeuge!$C$4),IF(Audit_Kompakt!$C$4="","–",Audit_Kompakt!$C$4))))),"")</f>
        <v/>
      </c>
      <c r="D62" s="41" t="str">
        <f aca="false">IFERROR(IF($A62="","",IF($A62&lt;=Übersicht!$P$13,IF(INDEX(Audit_Allgemein!$A$12:$A$50,MATCH($A62,Audit_Allgemein!$K$12:$K$50,0))="","",INDEX(Audit_Allgemein!$A$12:$A$50,MATCH($A62,Audit_Allgemein!$K$12:$K$50,0))),IF($A62&lt;=Übersicht!$P$14,IF(INDEX(Audit_Maschine!$A$12:$A$24,MATCH($A62,Audit_Maschine!$K$12:$K$24,0))="","",INDEX(Audit_Maschine!$A$12:$A$24,MATCH($A62,Audit_Maschine!$K$12:$K$24,0))),IF($A62&lt;=Übersicht!$P$15,IF(INDEX(Audit_Werkzeuge!$A$12:$A$21,MATCH($A62,Audit_Werkzeuge!$K$12:$K$21,0))="","",INDEX(Audit_Werkzeuge!$A$12:$A$21,MATCH($A62,Audit_Werkzeuge!$K$12:$K$21,0))),IF(INDEX(Audit_Kompakt!$A$12:$A$35,MATCH($A62,Audit_Kompakt!$K$12:$K$35,0))="","",INDEX(Audit_Kompakt!$A$12:$A$35,MATCH($A62,Audit_Kompakt!$K$12:$K$35,0))))))),"")</f>
        <v/>
      </c>
      <c r="E62" s="42" t="str">
        <f aca="false">IFERROR(IF($A62="","",IF($A62&lt;=Übersicht!$P$13,IF(INDEX(Audit_Allgemein!$C$12:$C$50,MATCH($A62,Audit_Allgemein!$K$12:$K$50,0))="","",INDEX(Audit_Allgemein!$C$12:$C$50,MATCH($A62,Audit_Allgemein!$K$12:$K$50,0))),IF($A62&lt;=Übersicht!$P$14,IF(INDEX(Audit_Maschine!$C$12:$C$24,MATCH($A62,Audit_Maschine!$K$12:$K$24,0))="","",INDEX(Audit_Maschine!$C$12:$C$24,MATCH($A62,Audit_Maschine!$K$12:$K$24,0))),IF($A62&lt;=Übersicht!$P$15,IF(INDEX(Audit_Werkzeuge!$C$12:$C$21,MATCH($A62,Audit_Werkzeuge!$K$12:$K$21,0))="","",INDEX(Audit_Werkzeuge!$C$12:$C$21,MATCH($A62,Audit_Werkzeuge!$K$12:$K$21,0))),IF(INDEX(Audit_Kompakt!$C$12:$C$35,MATCH($A62,Audit_Kompakt!$K$12:$K$35,0))="","",INDEX(Audit_Kompakt!$C$12:$C$35,MATCH($A62,Audit_Kompakt!$K$12:$K$35,0))))))),"")</f>
        <v/>
      </c>
      <c r="F62" s="41" t="str">
        <f aca="false">IFERROR(IF($A62="","",IF($A62&lt;=Übersicht!$P$13,IF(INDEX(Audit_Allgemein!$E$12:$E$50,MATCH($A62,Audit_Allgemein!$K$12:$K$50,0))="","",INDEX(Audit_Allgemein!$E$12:$E$50,MATCH($A62,Audit_Allgemein!$K$12:$K$50,0))),IF($A62&lt;=Übersicht!$P$14,IF(INDEX(Audit_Maschine!$E$12:$E$24,MATCH($A62,Audit_Maschine!$K$12:$K$24,0))="","",INDEX(Audit_Maschine!$E$12:$E$24,MATCH($A62,Audit_Maschine!$K$12:$K$24,0))),IF($A62&lt;=Übersicht!$P$15,IF(INDEX(Audit_Werkzeuge!$E$12:$E$21,MATCH($A62,Audit_Werkzeuge!$K$12:$K$21,0))="","",INDEX(Audit_Werkzeuge!$E$12:$E$21,MATCH($A62,Audit_Werkzeuge!$K$12:$K$21,0))),IF(INDEX(Audit_Kompakt!$E$12:$E$35,MATCH($A62,Audit_Kompakt!$K$12:$K$35,0))="","",INDEX(Audit_Kompakt!$E$12:$E$35,MATCH($A62,Audit_Kompakt!$K$12:$K$35,0))))))),"")</f>
        <v/>
      </c>
      <c r="G62" s="42" t="str">
        <f aca="false">IFERROR(IF($A62="","",IF($A62&lt;=Übersicht!$P$13,IF(INDEX(Audit_Allgemein!$F$12:$F$50,MATCH($A62,Audit_Allgemein!$K$12:$K$50,0))="","",INDEX(Audit_Allgemein!$F$12:$F$50,MATCH($A62,Audit_Allgemein!$K$12:$K$50,0))),IF($A62&lt;=Übersicht!$P$14,IF(INDEX(Audit_Maschine!$F$12:$F$24,MATCH($A62,Audit_Maschine!$K$12:$K$24,0))="","",INDEX(Audit_Maschine!$F$12:$F$24,MATCH($A62,Audit_Maschine!$K$12:$K$24,0))),IF($A62&lt;=Übersicht!$P$15,IF(INDEX(Audit_Werkzeuge!$F$12:$F$21,MATCH($A62,Audit_Werkzeuge!$K$12:$K$21,0))="","",INDEX(Audit_Werkzeuge!$F$12:$F$21,MATCH($A62,Audit_Werkzeuge!$K$12:$K$21,0))),IF(INDEX(Audit_Kompakt!$F$12:$F$35,MATCH($A62,Audit_Kompakt!$K$12:$K$35,0))="","",INDEX(Audit_Kompakt!$F$12:$F$35,MATCH($A62,Audit_Kompakt!$K$12:$K$35,0))))))),"")</f>
        <v/>
      </c>
      <c r="H62" s="41" t="str">
        <f aca="false">IFERROR(IF($A62="","",IF($A62&lt;=Übersicht!$P$13,IF(INDEX(Audit_Allgemein!$G$12:$G$50,MATCH($A62,Audit_Allgemein!$K$12:$K$50,0))="","",INDEX(Audit_Allgemein!$G$12:$G$50,MATCH($A62,Audit_Allgemein!$K$12:$K$50,0))),IF($A62&lt;=Übersicht!$P$14,IF(INDEX(Audit_Maschine!$G$12:$G$24,MATCH($A62,Audit_Maschine!$K$12:$K$24,0))="","",INDEX(Audit_Maschine!$G$12:$G$24,MATCH($A62,Audit_Maschine!$K$12:$K$24,0))),IF($A62&lt;=Übersicht!$P$15,IF(INDEX(Audit_Werkzeuge!$G$12:$G$21,MATCH($A62,Audit_Werkzeuge!$K$12:$K$21,0))="","",INDEX(Audit_Werkzeuge!$G$12:$G$21,MATCH($A62,Audit_Werkzeuge!$K$12:$K$21,0))),IF(INDEX(Audit_Kompakt!$G$12:$G$35,MATCH($A62,Audit_Kompakt!$K$12:$K$35,0))="","",INDEX(Audit_Kompakt!$G$12:$G$35,MATCH($A62,Audit_Kompakt!$K$12:$K$35,0))))))),"")</f>
        <v/>
      </c>
      <c r="I62" s="43" t="str">
        <f aca="false">IFERROR(IF($A62="","",IF($A62&lt;=Übersicht!$P$13,IF(INDEX(Audit_Allgemein!$H$12:$H$50,MATCH($A62,Audit_Allgemein!$K$12:$K$50,0))="","",INDEX(Audit_Allgemein!$H$12:$H$50,MATCH($A62,Audit_Allgemein!$K$12:$K$50,0))),IF($A62&lt;=Übersicht!$P$14,IF(INDEX(Audit_Maschine!$H$12:$H$24,MATCH($A62,Audit_Maschine!$K$12:$K$24,0))="","",INDEX(Audit_Maschine!$H$12:$H$24,MATCH($A62,Audit_Maschine!$K$12:$K$24,0))),IF($A62&lt;=Übersicht!$P$15,IF(INDEX(Audit_Werkzeuge!$H$12:$H$21,MATCH($A62,Audit_Werkzeuge!$K$12:$K$21,0))="","",INDEX(Audit_Werkzeuge!$H$12:$H$21,MATCH($A62,Audit_Werkzeuge!$K$12:$K$21,0))),IF(INDEX(Audit_Kompakt!$H$12:$H$35,MATCH($A62,Audit_Kompakt!$K$12:$K$35,0))="","",INDEX(Audit_Kompakt!$H$12:$H$35,MATCH($A62,Audit_Kompakt!$K$12:$K$35,0))))))),"")</f>
        <v/>
      </c>
      <c r="J62" s="41" t="str">
        <f aca="false">IFERROR(IF($A62="","",IF($A62&lt;=Übersicht!$P$13,IF(INDEX(Audit_Allgemein!$J$12:$J$50,MATCH($A62,Audit_Allgemein!$K$12:$K$50,0))="","",INDEX(Audit_Allgemein!$J$12:$J$50,MATCH($A62,Audit_Allgemein!$K$12:$K$50,0))),IF($A62&lt;=Übersicht!$P$14,IF(INDEX(Audit_Maschine!$J$12:$J$24,MATCH($A62,Audit_Maschine!$K$12:$K$24,0))="","",INDEX(Audit_Maschine!$J$12:$J$24,MATCH($A62,Audit_Maschine!$K$12:$K$24,0))),IF($A62&lt;=Übersicht!$P$15,IF(INDEX(Audit_Werkzeuge!$J$12:$J$21,MATCH($A62,Audit_Werkzeuge!$K$12:$K$21,0))="","",INDEX(Audit_Werkzeuge!$J$12:$J$21,MATCH($A62,Audit_Werkzeuge!$K$12:$K$21,0))),IF(INDEX(Audit_Kompakt!$J$12:$J$35,MATCH($A62,Audit_Kompakt!$K$12:$K$35,0))="","",INDEX(Audit_Kompakt!$J$12:$J$35,MATCH($A62,Audit_Kompakt!$K$12:$K$35,0))))))),"")</f>
        <v/>
      </c>
    </row>
    <row r="63" customFormat="false" ht="15" hidden="false" customHeight="false" outlineLevel="0" collapsed="false">
      <c r="A63" s="41" t="str">
        <f aca="false">IF(59&lt;=Übersicht!$M$17,59,"")</f>
        <v/>
      </c>
      <c r="B63" s="41" t="str">
        <f aca="false">IFERROR(IF($A63="","",IF($A63&lt;=Übersicht!$P$13,"Allgemein",IF($A63&lt;=Übersicht!$P$14,"Maschine",IF($A63&lt;=Übersicht!$P$15,"Werkzeug","Kompakt")))),"")</f>
        <v/>
      </c>
      <c r="C63" s="41" t="str">
        <f aca="false">IFERROR(IF($A63="","",IF($A63&lt;=Übersicht!$P$13,IF(Audit_Allgemein!$C$4="","–",Audit_Allgemein!$C$4),IF($A63&lt;=Übersicht!$P$14,IF(Audit_Maschine!$C$4="","–",Audit_Maschine!$C$4),IF($A63&lt;=Übersicht!$P$15,IF(Audit_Werkzeuge!$C$4="","–",Audit_Werkzeuge!$C$4),IF(Audit_Kompakt!$C$4="","–",Audit_Kompakt!$C$4))))),"")</f>
        <v/>
      </c>
      <c r="D63" s="41" t="str">
        <f aca="false">IFERROR(IF($A63="","",IF($A63&lt;=Übersicht!$P$13,IF(INDEX(Audit_Allgemein!$A$12:$A$50,MATCH($A63,Audit_Allgemein!$K$12:$K$50,0))="","",INDEX(Audit_Allgemein!$A$12:$A$50,MATCH($A63,Audit_Allgemein!$K$12:$K$50,0))),IF($A63&lt;=Übersicht!$P$14,IF(INDEX(Audit_Maschine!$A$12:$A$24,MATCH($A63,Audit_Maschine!$K$12:$K$24,0))="","",INDEX(Audit_Maschine!$A$12:$A$24,MATCH($A63,Audit_Maschine!$K$12:$K$24,0))),IF($A63&lt;=Übersicht!$P$15,IF(INDEX(Audit_Werkzeuge!$A$12:$A$21,MATCH($A63,Audit_Werkzeuge!$K$12:$K$21,0))="","",INDEX(Audit_Werkzeuge!$A$12:$A$21,MATCH($A63,Audit_Werkzeuge!$K$12:$K$21,0))),IF(INDEX(Audit_Kompakt!$A$12:$A$35,MATCH($A63,Audit_Kompakt!$K$12:$K$35,0))="","",INDEX(Audit_Kompakt!$A$12:$A$35,MATCH($A63,Audit_Kompakt!$K$12:$K$35,0))))))),"")</f>
        <v/>
      </c>
      <c r="E63" s="42" t="str">
        <f aca="false">IFERROR(IF($A63="","",IF($A63&lt;=Übersicht!$P$13,IF(INDEX(Audit_Allgemein!$C$12:$C$50,MATCH($A63,Audit_Allgemein!$K$12:$K$50,0))="","",INDEX(Audit_Allgemein!$C$12:$C$50,MATCH($A63,Audit_Allgemein!$K$12:$K$50,0))),IF($A63&lt;=Übersicht!$P$14,IF(INDEX(Audit_Maschine!$C$12:$C$24,MATCH($A63,Audit_Maschine!$K$12:$K$24,0))="","",INDEX(Audit_Maschine!$C$12:$C$24,MATCH($A63,Audit_Maschine!$K$12:$K$24,0))),IF($A63&lt;=Übersicht!$P$15,IF(INDEX(Audit_Werkzeuge!$C$12:$C$21,MATCH($A63,Audit_Werkzeuge!$K$12:$K$21,0))="","",INDEX(Audit_Werkzeuge!$C$12:$C$21,MATCH($A63,Audit_Werkzeuge!$K$12:$K$21,0))),IF(INDEX(Audit_Kompakt!$C$12:$C$35,MATCH($A63,Audit_Kompakt!$K$12:$K$35,0))="","",INDEX(Audit_Kompakt!$C$12:$C$35,MATCH($A63,Audit_Kompakt!$K$12:$K$35,0))))))),"")</f>
        <v/>
      </c>
      <c r="F63" s="41" t="str">
        <f aca="false">IFERROR(IF($A63="","",IF($A63&lt;=Übersicht!$P$13,IF(INDEX(Audit_Allgemein!$E$12:$E$50,MATCH($A63,Audit_Allgemein!$K$12:$K$50,0))="","",INDEX(Audit_Allgemein!$E$12:$E$50,MATCH($A63,Audit_Allgemein!$K$12:$K$50,0))),IF($A63&lt;=Übersicht!$P$14,IF(INDEX(Audit_Maschine!$E$12:$E$24,MATCH($A63,Audit_Maschine!$K$12:$K$24,0))="","",INDEX(Audit_Maschine!$E$12:$E$24,MATCH($A63,Audit_Maschine!$K$12:$K$24,0))),IF($A63&lt;=Übersicht!$P$15,IF(INDEX(Audit_Werkzeuge!$E$12:$E$21,MATCH($A63,Audit_Werkzeuge!$K$12:$K$21,0))="","",INDEX(Audit_Werkzeuge!$E$12:$E$21,MATCH($A63,Audit_Werkzeuge!$K$12:$K$21,0))),IF(INDEX(Audit_Kompakt!$E$12:$E$35,MATCH($A63,Audit_Kompakt!$K$12:$K$35,0))="","",INDEX(Audit_Kompakt!$E$12:$E$35,MATCH($A63,Audit_Kompakt!$K$12:$K$35,0))))))),"")</f>
        <v/>
      </c>
      <c r="G63" s="42" t="str">
        <f aca="false">IFERROR(IF($A63="","",IF($A63&lt;=Übersicht!$P$13,IF(INDEX(Audit_Allgemein!$F$12:$F$50,MATCH($A63,Audit_Allgemein!$K$12:$K$50,0))="","",INDEX(Audit_Allgemein!$F$12:$F$50,MATCH($A63,Audit_Allgemein!$K$12:$K$50,0))),IF($A63&lt;=Übersicht!$P$14,IF(INDEX(Audit_Maschine!$F$12:$F$24,MATCH($A63,Audit_Maschine!$K$12:$K$24,0))="","",INDEX(Audit_Maschine!$F$12:$F$24,MATCH($A63,Audit_Maschine!$K$12:$K$24,0))),IF($A63&lt;=Übersicht!$P$15,IF(INDEX(Audit_Werkzeuge!$F$12:$F$21,MATCH($A63,Audit_Werkzeuge!$K$12:$K$21,0))="","",INDEX(Audit_Werkzeuge!$F$12:$F$21,MATCH($A63,Audit_Werkzeuge!$K$12:$K$21,0))),IF(INDEX(Audit_Kompakt!$F$12:$F$35,MATCH($A63,Audit_Kompakt!$K$12:$K$35,0))="","",INDEX(Audit_Kompakt!$F$12:$F$35,MATCH($A63,Audit_Kompakt!$K$12:$K$35,0))))))),"")</f>
        <v/>
      </c>
      <c r="H63" s="41" t="str">
        <f aca="false">IFERROR(IF($A63="","",IF($A63&lt;=Übersicht!$P$13,IF(INDEX(Audit_Allgemein!$G$12:$G$50,MATCH($A63,Audit_Allgemein!$K$12:$K$50,0))="","",INDEX(Audit_Allgemein!$G$12:$G$50,MATCH($A63,Audit_Allgemein!$K$12:$K$50,0))),IF($A63&lt;=Übersicht!$P$14,IF(INDEX(Audit_Maschine!$G$12:$G$24,MATCH($A63,Audit_Maschine!$K$12:$K$24,0))="","",INDEX(Audit_Maschine!$G$12:$G$24,MATCH($A63,Audit_Maschine!$K$12:$K$24,0))),IF($A63&lt;=Übersicht!$P$15,IF(INDEX(Audit_Werkzeuge!$G$12:$G$21,MATCH($A63,Audit_Werkzeuge!$K$12:$K$21,0))="","",INDEX(Audit_Werkzeuge!$G$12:$G$21,MATCH($A63,Audit_Werkzeuge!$K$12:$K$21,0))),IF(INDEX(Audit_Kompakt!$G$12:$G$35,MATCH($A63,Audit_Kompakt!$K$12:$K$35,0))="","",INDEX(Audit_Kompakt!$G$12:$G$35,MATCH($A63,Audit_Kompakt!$K$12:$K$35,0))))))),"")</f>
        <v/>
      </c>
      <c r="I63" s="43" t="str">
        <f aca="false">IFERROR(IF($A63="","",IF($A63&lt;=Übersicht!$P$13,IF(INDEX(Audit_Allgemein!$H$12:$H$50,MATCH($A63,Audit_Allgemein!$K$12:$K$50,0))="","",INDEX(Audit_Allgemein!$H$12:$H$50,MATCH($A63,Audit_Allgemein!$K$12:$K$50,0))),IF($A63&lt;=Übersicht!$P$14,IF(INDEX(Audit_Maschine!$H$12:$H$24,MATCH($A63,Audit_Maschine!$K$12:$K$24,0))="","",INDEX(Audit_Maschine!$H$12:$H$24,MATCH($A63,Audit_Maschine!$K$12:$K$24,0))),IF($A63&lt;=Übersicht!$P$15,IF(INDEX(Audit_Werkzeuge!$H$12:$H$21,MATCH($A63,Audit_Werkzeuge!$K$12:$K$21,0))="","",INDEX(Audit_Werkzeuge!$H$12:$H$21,MATCH($A63,Audit_Werkzeuge!$K$12:$K$21,0))),IF(INDEX(Audit_Kompakt!$H$12:$H$35,MATCH($A63,Audit_Kompakt!$K$12:$K$35,0))="","",INDEX(Audit_Kompakt!$H$12:$H$35,MATCH($A63,Audit_Kompakt!$K$12:$K$35,0))))))),"")</f>
        <v/>
      </c>
      <c r="J63" s="41" t="str">
        <f aca="false">IFERROR(IF($A63="","",IF($A63&lt;=Übersicht!$P$13,IF(INDEX(Audit_Allgemein!$J$12:$J$50,MATCH($A63,Audit_Allgemein!$K$12:$K$50,0))="","",INDEX(Audit_Allgemein!$J$12:$J$50,MATCH($A63,Audit_Allgemein!$K$12:$K$50,0))),IF($A63&lt;=Übersicht!$P$14,IF(INDEX(Audit_Maschine!$J$12:$J$24,MATCH($A63,Audit_Maschine!$K$12:$K$24,0))="","",INDEX(Audit_Maschine!$J$12:$J$24,MATCH($A63,Audit_Maschine!$K$12:$K$24,0))),IF($A63&lt;=Übersicht!$P$15,IF(INDEX(Audit_Werkzeuge!$J$12:$J$21,MATCH($A63,Audit_Werkzeuge!$K$12:$K$21,0))="","",INDEX(Audit_Werkzeuge!$J$12:$J$21,MATCH($A63,Audit_Werkzeuge!$K$12:$K$21,0))),IF(INDEX(Audit_Kompakt!$J$12:$J$35,MATCH($A63,Audit_Kompakt!$K$12:$K$35,0))="","",INDEX(Audit_Kompakt!$J$12:$J$35,MATCH($A63,Audit_Kompakt!$K$12:$K$35,0))))))),"")</f>
        <v/>
      </c>
    </row>
    <row r="64" customFormat="false" ht="15" hidden="false" customHeight="false" outlineLevel="0" collapsed="false">
      <c r="A64" s="41" t="str">
        <f aca="false">IF(60&lt;=Übersicht!$M$17,60,"")</f>
        <v/>
      </c>
      <c r="B64" s="41" t="str">
        <f aca="false">IFERROR(IF($A64="","",IF($A64&lt;=Übersicht!$P$13,"Allgemein",IF($A64&lt;=Übersicht!$P$14,"Maschine",IF($A64&lt;=Übersicht!$P$15,"Werkzeug","Kompakt")))),"")</f>
        <v/>
      </c>
      <c r="C64" s="41" t="str">
        <f aca="false">IFERROR(IF($A64="","",IF($A64&lt;=Übersicht!$P$13,IF(Audit_Allgemein!$C$4="","–",Audit_Allgemein!$C$4),IF($A64&lt;=Übersicht!$P$14,IF(Audit_Maschine!$C$4="","–",Audit_Maschine!$C$4),IF($A64&lt;=Übersicht!$P$15,IF(Audit_Werkzeuge!$C$4="","–",Audit_Werkzeuge!$C$4),IF(Audit_Kompakt!$C$4="","–",Audit_Kompakt!$C$4))))),"")</f>
        <v/>
      </c>
      <c r="D64" s="41" t="str">
        <f aca="false">IFERROR(IF($A64="","",IF($A64&lt;=Übersicht!$P$13,IF(INDEX(Audit_Allgemein!$A$12:$A$50,MATCH($A64,Audit_Allgemein!$K$12:$K$50,0))="","",INDEX(Audit_Allgemein!$A$12:$A$50,MATCH($A64,Audit_Allgemein!$K$12:$K$50,0))),IF($A64&lt;=Übersicht!$P$14,IF(INDEX(Audit_Maschine!$A$12:$A$24,MATCH($A64,Audit_Maschine!$K$12:$K$24,0))="","",INDEX(Audit_Maschine!$A$12:$A$24,MATCH($A64,Audit_Maschine!$K$12:$K$24,0))),IF($A64&lt;=Übersicht!$P$15,IF(INDEX(Audit_Werkzeuge!$A$12:$A$21,MATCH($A64,Audit_Werkzeuge!$K$12:$K$21,0))="","",INDEX(Audit_Werkzeuge!$A$12:$A$21,MATCH($A64,Audit_Werkzeuge!$K$12:$K$21,0))),IF(INDEX(Audit_Kompakt!$A$12:$A$35,MATCH($A64,Audit_Kompakt!$K$12:$K$35,0))="","",INDEX(Audit_Kompakt!$A$12:$A$35,MATCH($A64,Audit_Kompakt!$K$12:$K$35,0))))))),"")</f>
        <v/>
      </c>
      <c r="E64" s="42" t="str">
        <f aca="false">IFERROR(IF($A64="","",IF($A64&lt;=Übersicht!$P$13,IF(INDEX(Audit_Allgemein!$C$12:$C$50,MATCH($A64,Audit_Allgemein!$K$12:$K$50,0))="","",INDEX(Audit_Allgemein!$C$12:$C$50,MATCH($A64,Audit_Allgemein!$K$12:$K$50,0))),IF($A64&lt;=Übersicht!$P$14,IF(INDEX(Audit_Maschine!$C$12:$C$24,MATCH($A64,Audit_Maschine!$K$12:$K$24,0))="","",INDEX(Audit_Maschine!$C$12:$C$24,MATCH($A64,Audit_Maschine!$K$12:$K$24,0))),IF($A64&lt;=Übersicht!$P$15,IF(INDEX(Audit_Werkzeuge!$C$12:$C$21,MATCH($A64,Audit_Werkzeuge!$K$12:$K$21,0))="","",INDEX(Audit_Werkzeuge!$C$12:$C$21,MATCH($A64,Audit_Werkzeuge!$K$12:$K$21,0))),IF(INDEX(Audit_Kompakt!$C$12:$C$35,MATCH($A64,Audit_Kompakt!$K$12:$K$35,0))="","",INDEX(Audit_Kompakt!$C$12:$C$35,MATCH($A64,Audit_Kompakt!$K$12:$K$35,0))))))),"")</f>
        <v/>
      </c>
      <c r="F64" s="41" t="str">
        <f aca="false">IFERROR(IF($A64="","",IF($A64&lt;=Übersicht!$P$13,IF(INDEX(Audit_Allgemein!$E$12:$E$50,MATCH($A64,Audit_Allgemein!$K$12:$K$50,0))="","",INDEX(Audit_Allgemein!$E$12:$E$50,MATCH($A64,Audit_Allgemein!$K$12:$K$50,0))),IF($A64&lt;=Übersicht!$P$14,IF(INDEX(Audit_Maschine!$E$12:$E$24,MATCH($A64,Audit_Maschine!$K$12:$K$24,0))="","",INDEX(Audit_Maschine!$E$12:$E$24,MATCH($A64,Audit_Maschine!$K$12:$K$24,0))),IF($A64&lt;=Übersicht!$P$15,IF(INDEX(Audit_Werkzeuge!$E$12:$E$21,MATCH($A64,Audit_Werkzeuge!$K$12:$K$21,0))="","",INDEX(Audit_Werkzeuge!$E$12:$E$21,MATCH($A64,Audit_Werkzeuge!$K$12:$K$21,0))),IF(INDEX(Audit_Kompakt!$E$12:$E$35,MATCH($A64,Audit_Kompakt!$K$12:$K$35,0))="","",INDEX(Audit_Kompakt!$E$12:$E$35,MATCH($A64,Audit_Kompakt!$K$12:$K$35,0))))))),"")</f>
        <v/>
      </c>
      <c r="G64" s="42" t="str">
        <f aca="false">IFERROR(IF($A64="","",IF($A64&lt;=Übersicht!$P$13,IF(INDEX(Audit_Allgemein!$F$12:$F$50,MATCH($A64,Audit_Allgemein!$K$12:$K$50,0))="","",INDEX(Audit_Allgemein!$F$12:$F$50,MATCH($A64,Audit_Allgemein!$K$12:$K$50,0))),IF($A64&lt;=Übersicht!$P$14,IF(INDEX(Audit_Maschine!$F$12:$F$24,MATCH($A64,Audit_Maschine!$K$12:$K$24,0))="","",INDEX(Audit_Maschine!$F$12:$F$24,MATCH($A64,Audit_Maschine!$K$12:$K$24,0))),IF($A64&lt;=Übersicht!$P$15,IF(INDEX(Audit_Werkzeuge!$F$12:$F$21,MATCH($A64,Audit_Werkzeuge!$K$12:$K$21,0))="","",INDEX(Audit_Werkzeuge!$F$12:$F$21,MATCH($A64,Audit_Werkzeuge!$K$12:$K$21,0))),IF(INDEX(Audit_Kompakt!$F$12:$F$35,MATCH($A64,Audit_Kompakt!$K$12:$K$35,0))="","",INDEX(Audit_Kompakt!$F$12:$F$35,MATCH($A64,Audit_Kompakt!$K$12:$K$35,0))))))),"")</f>
        <v/>
      </c>
      <c r="H64" s="41" t="str">
        <f aca="false">IFERROR(IF($A64="","",IF($A64&lt;=Übersicht!$P$13,IF(INDEX(Audit_Allgemein!$G$12:$G$50,MATCH($A64,Audit_Allgemein!$K$12:$K$50,0))="","",INDEX(Audit_Allgemein!$G$12:$G$50,MATCH($A64,Audit_Allgemein!$K$12:$K$50,0))),IF($A64&lt;=Übersicht!$P$14,IF(INDEX(Audit_Maschine!$G$12:$G$24,MATCH($A64,Audit_Maschine!$K$12:$K$24,0))="","",INDEX(Audit_Maschine!$G$12:$G$24,MATCH($A64,Audit_Maschine!$K$12:$K$24,0))),IF($A64&lt;=Übersicht!$P$15,IF(INDEX(Audit_Werkzeuge!$G$12:$G$21,MATCH($A64,Audit_Werkzeuge!$K$12:$K$21,0))="","",INDEX(Audit_Werkzeuge!$G$12:$G$21,MATCH($A64,Audit_Werkzeuge!$K$12:$K$21,0))),IF(INDEX(Audit_Kompakt!$G$12:$G$35,MATCH($A64,Audit_Kompakt!$K$12:$K$35,0))="","",INDEX(Audit_Kompakt!$G$12:$G$35,MATCH($A64,Audit_Kompakt!$K$12:$K$35,0))))))),"")</f>
        <v/>
      </c>
      <c r="I64" s="43" t="str">
        <f aca="false">IFERROR(IF($A64="","",IF($A64&lt;=Übersicht!$P$13,IF(INDEX(Audit_Allgemein!$H$12:$H$50,MATCH($A64,Audit_Allgemein!$K$12:$K$50,0))="","",INDEX(Audit_Allgemein!$H$12:$H$50,MATCH($A64,Audit_Allgemein!$K$12:$K$50,0))),IF($A64&lt;=Übersicht!$P$14,IF(INDEX(Audit_Maschine!$H$12:$H$24,MATCH($A64,Audit_Maschine!$K$12:$K$24,0))="","",INDEX(Audit_Maschine!$H$12:$H$24,MATCH($A64,Audit_Maschine!$K$12:$K$24,0))),IF($A64&lt;=Übersicht!$P$15,IF(INDEX(Audit_Werkzeuge!$H$12:$H$21,MATCH($A64,Audit_Werkzeuge!$K$12:$K$21,0))="","",INDEX(Audit_Werkzeuge!$H$12:$H$21,MATCH($A64,Audit_Werkzeuge!$K$12:$K$21,0))),IF(INDEX(Audit_Kompakt!$H$12:$H$35,MATCH($A64,Audit_Kompakt!$K$12:$K$35,0))="","",INDEX(Audit_Kompakt!$H$12:$H$35,MATCH($A64,Audit_Kompakt!$K$12:$K$35,0))))))),"")</f>
        <v/>
      </c>
      <c r="J64" s="41" t="str">
        <f aca="false">IFERROR(IF($A64="","",IF($A64&lt;=Übersicht!$P$13,IF(INDEX(Audit_Allgemein!$J$12:$J$50,MATCH($A64,Audit_Allgemein!$K$12:$K$50,0))="","",INDEX(Audit_Allgemein!$J$12:$J$50,MATCH($A64,Audit_Allgemein!$K$12:$K$50,0))),IF($A64&lt;=Übersicht!$P$14,IF(INDEX(Audit_Maschine!$J$12:$J$24,MATCH($A64,Audit_Maschine!$K$12:$K$24,0))="","",INDEX(Audit_Maschine!$J$12:$J$24,MATCH($A64,Audit_Maschine!$K$12:$K$24,0))),IF($A64&lt;=Übersicht!$P$15,IF(INDEX(Audit_Werkzeuge!$J$12:$J$21,MATCH($A64,Audit_Werkzeuge!$K$12:$K$21,0))="","",INDEX(Audit_Werkzeuge!$J$12:$J$21,MATCH($A64,Audit_Werkzeuge!$K$12:$K$21,0))),IF(INDEX(Audit_Kompakt!$J$12:$J$35,MATCH($A64,Audit_Kompakt!$K$12:$K$35,0))="","",INDEX(Audit_Kompakt!$J$12:$J$35,MATCH($A64,Audit_Kompakt!$K$12:$K$35,0))))))),"")</f>
        <v/>
      </c>
    </row>
    <row r="65" customFormat="false" ht="15" hidden="false" customHeight="false" outlineLevel="0" collapsed="false">
      <c r="A65" s="41" t="str">
        <f aca="false">IF(61&lt;=Übersicht!$M$17,61,"")</f>
        <v/>
      </c>
      <c r="B65" s="41" t="str">
        <f aca="false">IFERROR(IF($A65="","",IF($A65&lt;=Übersicht!$P$13,"Allgemein",IF($A65&lt;=Übersicht!$P$14,"Maschine",IF($A65&lt;=Übersicht!$P$15,"Werkzeug","Kompakt")))),"")</f>
        <v/>
      </c>
      <c r="C65" s="41" t="str">
        <f aca="false">IFERROR(IF($A65="","",IF($A65&lt;=Übersicht!$P$13,IF(Audit_Allgemein!$C$4="","–",Audit_Allgemein!$C$4),IF($A65&lt;=Übersicht!$P$14,IF(Audit_Maschine!$C$4="","–",Audit_Maschine!$C$4),IF($A65&lt;=Übersicht!$P$15,IF(Audit_Werkzeuge!$C$4="","–",Audit_Werkzeuge!$C$4),IF(Audit_Kompakt!$C$4="","–",Audit_Kompakt!$C$4))))),"")</f>
        <v/>
      </c>
      <c r="D65" s="41" t="str">
        <f aca="false">IFERROR(IF($A65="","",IF($A65&lt;=Übersicht!$P$13,IF(INDEX(Audit_Allgemein!$A$12:$A$50,MATCH($A65,Audit_Allgemein!$K$12:$K$50,0))="","",INDEX(Audit_Allgemein!$A$12:$A$50,MATCH($A65,Audit_Allgemein!$K$12:$K$50,0))),IF($A65&lt;=Übersicht!$P$14,IF(INDEX(Audit_Maschine!$A$12:$A$24,MATCH($A65,Audit_Maschine!$K$12:$K$24,0))="","",INDEX(Audit_Maschine!$A$12:$A$24,MATCH($A65,Audit_Maschine!$K$12:$K$24,0))),IF($A65&lt;=Übersicht!$P$15,IF(INDEX(Audit_Werkzeuge!$A$12:$A$21,MATCH($A65,Audit_Werkzeuge!$K$12:$K$21,0))="","",INDEX(Audit_Werkzeuge!$A$12:$A$21,MATCH($A65,Audit_Werkzeuge!$K$12:$K$21,0))),IF(INDEX(Audit_Kompakt!$A$12:$A$35,MATCH($A65,Audit_Kompakt!$K$12:$K$35,0))="","",INDEX(Audit_Kompakt!$A$12:$A$35,MATCH($A65,Audit_Kompakt!$K$12:$K$35,0))))))),"")</f>
        <v/>
      </c>
      <c r="E65" s="42" t="str">
        <f aca="false">IFERROR(IF($A65="","",IF($A65&lt;=Übersicht!$P$13,IF(INDEX(Audit_Allgemein!$C$12:$C$50,MATCH($A65,Audit_Allgemein!$K$12:$K$50,0))="","",INDEX(Audit_Allgemein!$C$12:$C$50,MATCH($A65,Audit_Allgemein!$K$12:$K$50,0))),IF($A65&lt;=Übersicht!$P$14,IF(INDEX(Audit_Maschine!$C$12:$C$24,MATCH($A65,Audit_Maschine!$K$12:$K$24,0))="","",INDEX(Audit_Maschine!$C$12:$C$24,MATCH($A65,Audit_Maschine!$K$12:$K$24,0))),IF($A65&lt;=Übersicht!$P$15,IF(INDEX(Audit_Werkzeuge!$C$12:$C$21,MATCH($A65,Audit_Werkzeuge!$K$12:$K$21,0))="","",INDEX(Audit_Werkzeuge!$C$12:$C$21,MATCH($A65,Audit_Werkzeuge!$K$12:$K$21,0))),IF(INDEX(Audit_Kompakt!$C$12:$C$35,MATCH($A65,Audit_Kompakt!$K$12:$K$35,0))="","",INDEX(Audit_Kompakt!$C$12:$C$35,MATCH($A65,Audit_Kompakt!$K$12:$K$35,0))))))),"")</f>
        <v/>
      </c>
      <c r="F65" s="41" t="str">
        <f aca="false">IFERROR(IF($A65="","",IF($A65&lt;=Übersicht!$P$13,IF(INDEX(Audit_Allgemein!$E$12:$E$50,MATCH($A65,Audit_Allgemein!$K$12:$K$50,0))="","",INDEX(Audit_Allgemein!$E$12:$E$50,MATCH($A65,Audit_Allgemein!$K$12:$K$50,0))),IF($A65&lt;=Übersicht!$P$14,IF(INDEX(Audit_Maschine!$E$12:$E$24,MATCH($A65,Audit_Maschine!$K$12:$K$24,0))="","",INDEX(Audit_Maschine!$E$12:$E$24,MATCH($A65,Audit_Maschine!$K$12:$K$24,0))),IF($A65&lt;=Übersicht!$P$15,IF(INDEX(Audit_Werkzeuge!$E$12:$E$21,MATCH($A65,Audit_Werkzeuge!$K$12:$K$21,0))="","",INDEX(Audit_Werkzeuge!$E$12:$E$21,MATCH($A65,Audit_Werkzeuge!$K$12:$K$21,0))),IF(INDEX(Audit_Kompakt!$E$12:$E$35,MATCH($A65,Audit_Kompakt!$K$12:$K$35,0))="","",INDEX(Audit_Kompakt!$E$12:$E$35,MATCH($A65,Audit_Kompakt!$K$12:$K$35,0))))))),"")</f>
        <v/>
      </c>
      <c r="G65" s="42" t="str">
        <f aca="false">IFERROR(IF($A65="","",IF($A65&lt;=Übersicht!$P$13,IF(INDEX(Audit_Allgemein!$F$12:$F$50,MATCH($A65,Audit_Allgemein!$K$12:$K$50,0))="","",INDEX(Audit_Allgemein!$F$12:$F$50,MATCH($A65,Audit_Allgemein!$K$12:$K$50,0))),IF($A65&lt;=Übersicht!$P$14,IF(INDEX(Audit_Maschine!$F$12:$F$24,MATCH($A65,Audit_Maschine!$K$12:$K$24,0))="","",INDEX(Audit_Maschine!$F$12:$F$24,MATCH($A65,Audit_Maschine!$K$12:$K$24,0))),IF($A65&lt;=Übersicht!$P$15,IF(INDEX(Audit_Werkzeuge!$F$12:$F$21,MATCH($A65,Audit_Werkzeuge!$K$12:$K$21,0))="","",INDEX(Audit_Werkzeuge!$F$12:$F$21,MATCH($A65,Audit_Werkzeuge!$K$12:$K$21,0))),IF(INDEX(Audit_Kompakt!$F$12:$F$35,MATCH($A65,Audit_Kompakt!$K$12:$K$35,0))="","",INDEX(Audit_Kompakt!$F$12:$F$35,MATCH($A65,Audit_Kompakt!$K$12:$K$35,0))))))),"")</f>
        <v/>
      </c>
      <c r="H65" s="41" t="str">
        <f aca="false">IFERROR(IF($A65="","",IF($A65&lt;=Übersicht!$P$13,IF(INDEX(Audit_Allgemein!$G$12:$G$50,MATCH($A65,Audit_Allgemein!$K$12:$K$50,0))="","",INDEX(Audit_Allgemein!$G$12:$G$50,MATCH($A65,Audit_Allgemein!$K$12:$K$50,0))),IF($A65&lt;=Übersicht!$P$14,IF(INDEX(Audit_Maschine!$G$12:$G$24,MATCH($A65,Audit_Maschine!$K$12:$K$24,0))="","",INDEX(Audit_Maschine!$G$12:$G$24,MATCH($A65,Audit_Maschine!$K$12:$K$24,0))),IF($A65&lt;=Übersicht!$P$15,IF(INDEX(Audit_Werkzeuge!$G$12:$G$21,MATCH($A65,Audit_Werkzeuge!$K$12:$K$21,0))="","",INDEX(Audit_Werkzeuge!$G$12:$G$21,MATCH($A65,Audit_Werkzeuge!$K$12:$K$21,0))),IF(INDEX(Audit_Kompakt!$G$12:$G$35,MATCH($A65,Audit_Kompakt!$K$12:$K$35,0))="","",INDEX(Audit_Kompakt!$G$12:$G$35,MATCH($A65,Audit_Kompakt!$K$12:$K$35,0))))))),"")</f>
        <v/>
      </c>
      <c r="I65" s="43" t="str">
        <f aca="false">IFERROR(IF($A65="","",IF($A65&lt;=Übersicht!$P$13,IF(INDEX(Audit_Allgemein!$H$12:$H$50,MATCH($A65,Audit_Allgemein!$K$12:$K$50,0))="","",INDEX(Audit_Allgemein!$H$12:$H$50,MATCH($A65,Audit_Allgemein!$K$12:$K$50,0))),IF($A65&lt;=Übersicht!$P$14,IF(INDEX(Audit_Maschine!$H$12:$H$24,MATCH($A65,Audit_Maschine!$K$12:$K$24,0))="","",INDEX(Audit_Maschine!$H$12:$H$24,MATCH($A65,Audit_Maschine!$K$12:$K$24,0))),IF($A65&lt;=Übersicht!$P$15,IF(INDEX(Audit_Werkzeuge!$H$12:$H$21,MATCH($A65,Audit_Werkzeuge!$K$12:$K$21,0))="","",INDEX(Audit_Werkzeuge!$H$12:$H$21,MATCH($A65,Audit_Werkzeuge!$K$12:$K$21,0))),IF(INDEX(Audit_Kompakt!$H$12:$H$35,MATCH($A65,Audit_Kompakt!$K$12:$K$35,0))="","",INDEX(Audit_Kompakt!$H$12:$H$35,MATCH($A65,Audit_Kompakt!$K$12:$K$35,0))))))),"")</f>
        <v/>
      </c>
      <c r="J65" s="41" t="str">
        <f aca="false">IFERROR(IF($A65="","",IF($A65&lt;=Übersicht!$P$13,IF(INDEX(Audit_Allgemein!$J$12:$J$50,MATCH($A65,Audit_Allgemein!$K$12:$K$50,0))="","",INDEX(Audit_Allgemein!$J$12:$J$50,MATCH($A65,Audit_Allgemein!$K$12:$K$50,0))),IF($A65&lt;=Übersicht!$P$14,IF(INDEX(Audit_Maschine!$J$12:$J$24,MATCH($A65,Audit_Maschine!$K$12:$K$24,0))="","",INDEX(Audit_Maschine!$J$12:$J$24,MATCH($A65,Audit_Maschine!$K$12:$K$24,0))),IF($A65&lt;=Übersicht!$P$15,IF(INDEX(Audit_Werkzeuge!$J$12:$J$21,MATCH($A65,Audit_Werkzeuge!$K$12:$K$21,0))="","",INDEX(Audit_Werkzeuge!$J$12:$J$21,MATCH($A65,Audit_Werkzeuge!$K$12:$K$21,0))),IF(INDEX(Audit_Kompakt!$J$12:$J$35,MATCH($A65,Audit_Kompakt!$K$12:$K$35,0))="","",INDEX(Audit_Kompakt!$J$12:$J$35,MATCH($A65,Audit_Kompakt!$K$12:$K$35,0))))))),"")</f>
        <v/>
      </c>
    </row>
    <row r="66" customFormat="false" ht="15" hidden="false" customHeight="false" outlineLevel="0" collapsed="false">
      <c r="A66" s="41" t="str">
        <f aca="false">IF(62&lt;=Übersicht!$M$17,62,"")</f>
        <v/>
      </c>
      <c r="B66" s="41" t="str">
        <f aca="false">IFERROR(IF($A66="","",IF($A66&lt;=Übersicht!$P$13,"Allgemein",IF($A66&lt;=Übersicht!$P$14,"Maschine",IF($A66&lt;=Übersicht!$P$15,"Werkzeug","Kompakt")))),"")</f>
        <v/>
      </c>
      <c r="C66" s="41" t="str">
        <f aca="false">IFERROR(IF($A66="","",IF($A66&lt;=Übersicht!$P$13,IF(Audit_Allgemein!$C$4="","–",Audit_Allgemein!$C$4),IF($A66&lt;=Übersicht!$P$14,IF(Audit_Maschine!$C$4="","–",Audit_Maschine!$C$4),IF($A66&lt;=Übersicht!$P$15,IF(Audit_Werkzeuge!$C$4="","–",Audit_Werkzeuge!$C$4),IF(Audit_Kompakt!$C$4="","–",Audit_Kompakt!$C$4))))),"")</f>
        <v/>
      </c>
      <c r="D66" s="41" t="str">
        <f aca="false">IFERROR(IF($A66="","",IF($A66&lt;=Übersicht!$P$13,IF(INDEX(Audit_Allgemein!$A$12:$A$50,MATCH($A66,Audit_Allgemein!$K$12:$K$50,0))="","",INDEX(Audit_Allgemein!$A$12:$A$50,MATCH($A66,Audit_Allgemein!$K$12:$K$50,0))),IF($A66&lt;=Übersicht!$P$14,IF(INDEX(Audit_Maschine!$A$12:$A$24,MATCH($A66,Audit_Maschine!$K$12:$K$24,0))="","",INDEX(Audit_Maschine!$A$12:$A$24,MATCH($A66,Audit_Maschine!$K$12:$K$24,0))),IF($A66&lt;=Übersicht!$P$15,IF(INDEX(Audit_Werkzeuge!$A$12:$A$21,MATCH($A66,Audit_Werkzeuge!$K$12:$K$21,0))="","",INDEX(Audit_Werkzeuge!$A$12:$A$21,MATCH($A66,Audit_Werkzeuge!$K$12:$K$21,0))),IF(INDEX(Audit_Kompakt!$A$12:$A$35,MATCH($A66,Audit_Kompakt!$K$12:$K$35,0))="","",INDEX(Audit_Kompakt!$A$12:$A$35,MATCH($A66,Audit_Kompakt!$K$12:$K$35,0))))))),"")</f>
        <v/>
      </c>
      <c r="E66" s="42" t="str">
        <f aca="false">IFERROR(IF($A66="","",IF($A66&lt;=Übersicht!$P$13,IF(INDEX(Audit_Allgemein!$C$12:$C$50,MATCH($A66,Audit_Allgemein!$K$12:$K$50,0))="","",INDEX(Audit_Allgemein!$C$12:$C$50,MATCH($A66,Audit_Allgemein!$K$12:$K$50,0))),IF($A66&lt;=Übersicht!$P$14,IF(INDEX(Audit_Maschine!$C$12:$C$24,MATCH($A66,Audit_Maschine!$K$12:$K$24,0))="","",INDEX(Audit_Maschine!$C$12:$C$24,MATCH($A66,Audit_Maschine!$K$12:$K$24,0))),IF($A66&lt;=Übersicht!$P$15,IF(INDEX(Audit_Werkzeuge!$C$12:$C$21,MATCH($A66,Audit_Werkzeuge!$K$12:$K$21,0))="","",INDEX(Audit_Werkzeuge!$C$12:$C$21,MATCH($A66,Audit_Werkzeuge!$K$12:$K$21,0))),IF(INDEX(Audit_Kompakt!$C$12:$C$35,MATCH($A66,Audit_Kompakt!$K$12:$K$35,0))="","",INDEX(Audit_Kompakt!$C$12:$C$35,MATCH($A66,Audit_Kompakt!$K$12:$K$35,0))))))),"")</f>
        <v/>
      </c>
      <c r="F66" s="41" t="str">
        <f aca="false">IFERROR(IF($A66="","",IF($A66&lt;=Übersicht!$P$13,IF(INDEX(Audit_Allgemein!$E$12:$E$50,MATCH($A66,Audit_Allgemein!$K$12:$K$50,0))="","",INDEX(Audit_Allgemein!$E$12:$E$50,MATCH($A66,Audit_Allgemein!$K$12:$K$50,0))),IF($A66&lt;=Übersicht!$P$14,IF(INDEX(Audit_Maschine!$E$12:$E$24,MATCH($A66,Audit_Maschine!$K$12:$K$24,0))="","",INDEX(Audit_Maschine!$E$12:$E$24,MATCH($A66,Audit_Maschine!$K$12:$K$24,0))),IF($A66&lt;=Übersicht!$P$15,IF(INDEX(Audit_Werkzeuge!$E$12:$E$21,MATCH($A66,Audit_Werkzeuge!$K$12:$K$21,0))="","",INDEX(Audit_Werkzeuge!$E$12:$E$21,MATCH($A66,Audit_Werkzeuge!$K$12:$K$21,0))),IF(INDEX(Audit_Kompakt!$E$12:$E$35,MATCH($A66,Audit_Kompakt!$K$12:$K$35,0))="","",INDEX(Audit_Kompakt!$E$12:$E$35,MATCH($A66,Audit_Kompakt!$K$12:$K$35,0))))))),"")</f>
        <v/>
      </c>
      <c r="G66" s="42" t="str">
        <f aca="false">IFERROR(IF($A66="","",IF($A66&lt;=Übersicht!$P$13,IF(INDEX(Audit_Allgemein!$F$12:$F$50,MATCH($A66,Audit_Allgemein!$K$12:$K$50,0))="","",INDEX(Audit_Allgemein!$F$12:$F$50,MATCH($A66,Audit_Allgemein!$K$12:$K$50,0))),IF($A66&lt;=Übersicht!$P$14,IF(INDEX(Audit_Maschine!$F$12:$F$24,MATCH($A66,Audit_Maschine!$K$12:$K$24,0))="","",INDEX(Audit_Maschine!$F$12:$F$24,MATCH($A66,Audit_Maschine!$K$12:$K$24,0))),IF($A66&lt;=Übersicht!$P$15,IF(INDEX(Audit_Werkzeuge!$F$12:$F$21,MATCH($A66,Audit_Werkzeuge!$K$12:$K$21,0))="","",INDEX(Audit_Werkzeuge!$F$12:$F$21,MATCH($A66,Audit_Werkzeuge!$K$12:$K$21,0))),IF(INDEX(Audit_Kompakt!$F$12:$F$35,MATCH($A66,Audit_Kompakt!$K$12:$K$35,0))="","",INDEX(Audit_Kompakt!$F$12:$F$35,MATCH($A66,Audit_Kompakt!$K$12:$K$35,0))))))),"")</f>
        <v/>
      </c>
      <c r="H66" s="41" t="str">
        <f aca="false">IFERROR(IF($A66="","",IF($A66&lt;=Übersicht!$P$13,IF(INDEX(Audit_Allgemein!$G$12:$G$50,MATCH($A66,Audit_Allgemein!$K$12:$K$50,0))="","",INDEX(Audit_Allgemein!$G$12:$G$50,MATCH($A66,Audit_Allgemein!$K$12:$K$50,0))),IF($A66&lt;=Übersicht!$P$14,IF(INDEX(Audit_Maschine!$G$12:$G$24,MATCH($A66,Audit_Maschine!$K$12:$K$24,0))="","",INDEX(Audit_Maschine!$G$12:$G$24,MATCH($A66,Audit_Maschine!$K$12:$K$24,0))),IF($A66&lt;=Übersicht!$P$15,IF(INDEX(Audit_Werkzeuge!$G$12:$G$21,MATCH($A66,Audit_Werkzeuge!$K$12:$K$21,0))="","",INDEX(Audit_Werkzeuge!$G$12:$G$21,MATCH($A66,Audit_Werkzeuge!$K$12:$K$21,0))),IF(INDEX(Audit_Kompakt!$G$12:$G$35,MATCH($A66,Audit_Kompakt!$K$12:$K$35,0))="","",INDEX(Audit_Kompakt!$G$12:$G$35,MATCH($A66,Audit_Kompakt!$K$12:$K$35,0))))))),"")</f>
        <v/>
      </c>
      <c r="I66" s="43" t="str">
        <f aca="false">IFERROR(IF($A66="","",IF($A66&lt;=Übersicht!$P$13,IF(INDEX(Audit_Allgemein!$H$12:$H$50,MATCH($A66,Audit_Allgemein!$K$12:$K$50,0))="","",INDEX(Audit_Allgemein!$H$12:$H$50,MATCH($A66,Audit_Allgemein!$K$12:$K$50,0))),IF($A66&lt;=Übersicht!$P$14,IF(INDEX(Audit_Maschine!$H$12:$H$24,MATCH($A66,Audit_Maschine!$K$12:$K$24,0))="","",INDEX(Audit_Maschine!$H$12:$H$24,MATCH($A66,Audit_Maschine!$K$12:$K$24,0))),IF($A66&lt;=Übersicht!$P$15,IF(INDEX(Audit_Werkzeuge!$H$12:$H$21,MATCH($A66,Audit_Werkzeuge!$K$12:$K$21,0))="","",INDEX(Audit_Werkzeuge!$H$12:$H$21,MATCH($A66,Audit_Werkzeuge!$K$12:$K$21,0))),IF(INDEX(Audit_Kompakt!$H$12:$H$35,MATCH($A66,Audit_Kompakt!$K$12:$K$35,0))="","",INDEX(Audit_Kompakt!$H$12:$H$35,MATCH($A66,Audit_Kompakt!$K$12:$K$35,0))))))),"")</f>
        <v/>
      </c>
      <c r="J66" s="41" t="str">
        <f aca="false">IFERROR(IF($A66="","",IF($A66&lt;=Übersicht!$P$13,IF(INDEX(Audit_Allgemein!$J$12:$J$50,MATCH($A66,Audit_Allgemein!$K$12:$K$50,0))="","",INDEX(Audit_Allgemein!$J$12:$J$50,MATCH($A66,Audit_Allgemein!$K$12:$K$50,0))),IF($A66&lt;=Übersicht!$P$14,IF(INDEX(Audit_Maschine!$J$12:$J$24,MATCH($A66,Audit_Maschine!$K$12:$K$24,0))="","",INDEX(Audit_Maschine!$J$12:$J$24,MATCH($A66,Audit_Maschine!$K$12:$K$24,0))),IF($A66&lt;=Übersicht!$P$15,IF(INDEX(Audit_Werkzeuge!$J$12:$J$21,MATCH($A66,Audit_Werkzeuge!$K$12:$K$21,0))="","",INDEX(Audit_Werkzeuge!$J$12:$J$21,MATCH($A66,Audit_Werkzeuge!$K$12:$K$21,0))),IF(INDEX(Audit_Kompakt!$J$12:$J$35,MATCH($A66,Audit_Kompakt!$K$12:$K$35,0))="","",INDEX(Audit_Kompakt!$J$12:$J$35,MATCH($A66,Audit_Kompakt!$K$12:$K$35,0))))))),"")</f>
        <v/>
      </c>
    </row>
    <row r="67" customFormat="false" ht="15" hidden="false" customHeight="false" outlineLevel="0" collapsed="false">
      <c r="A67" s="41" t="str">
        <f aca="false">IF(63&lt;=Übersicht!$M$17,63,"")</f>
        <v/>
      </c>
      <c r="B67" s="41" t="str">
        <f aca="false">IFERROR(IF($A67="","",IF($A67&lt;=Übersicht!$P$13,"Allgemein",IF($A67&lt;=Übersicht!$P$14,"Maschine",IF($A67&lt;=Übersicht!$P$15,"Werkzeug","Kompakt")))),"")</f>
        <v/>
      </c>
      <c r="C67" s="41" t="str">
        <f aca="false">IFERROR(IF($A67="","",IF($A67&lt;=Übersicht!$P$13,IF(Audit_Allgemein!$C$4="","–",Audit_Allgemein!$C$4),IF($A67&lt;=Übersicht!$P$14,IF(Audit_Maschine!$C$4="","–",Audit_Maschine!$C$4),IF($A67&lt;=Übersicht!$P$15,IF(Audit_Werkzeuge!$C$4="","–",Audit_Werkzeuge!$C$4),IF(Audit_Kompakt!$C$4="","–",Audit_Kompakt!$C$4))))),"")</f>
        <v/>
      </c>
      <c r="D67" s="41" t="str">
        <f aca="false">IFERROR(IF($A67="","",IF($A67&lt;=Übersicht!$P$13,IF(INDEX(Audit_Allgemein!$A$12:$A$50,MATCH($A67,Audit_Allgemein!$K$12:$K$50,0))="","",INDEX(Audit_Allgemein!$A$12:$A$50,MATCH($A67,Audit_Allgemein!$K$12:$K$50,0))),IF($A67&lt;=Übersicht!$P$14,IF(INDEX(Audit_Maschine!$A$12:$A$24,MATCH($A67,Audit_Maschine!$K$12:$K$24,0))="","",INDEX(Audit_Maschine!$A$12:$A$24,MATCH($A67,Audit_Maschine!$K$12:$K$24,0))),IF($A67&lt;=Übersicht!$P$15,IF(INDEX(Audit_Werkzeuge!$A$12:$A$21,MATCH($A67,Audit_Werkzeuge!$K$12:$K$21,0))="","",INDEX(Audit_Werkzeuge!$A$12:$A$21,MATCH($A67,Audit_Werkzeuge!$K$12:$K$21,0))),IF(INDEX(Audit_Kompakt!$A$12:$A$35,MATCH($A67,Audit_Kompakt!$K$12:$K$35,0))="","",INDEX(Audit_Kompakt!$A$12:$A$35,MATCH($A67,Audit_Kompakt!$K$12:$K$35,0))))))),"")</f>
        <v/>
      </c>
      <c r="E67" s="42" t="str">
        <f aca="false">IFERROR(IF($A67="","",IF($A67&lt;=Übersicht!$P$13,IF(INDEX(Audit_Allgemein!$C$12:$C$50,MATCH($A67,Audit_Allgemein!$K$12:$K$50,0))="","",INDEX(Audit_Allgemein!$C$12:$C$50,MATCH($A67,Audit_Allgemein!$K$12:$K$50,0))),IF($A67&lt;=Übersicht!$P$14,IF(INDEX(Audit_Maschine!$C$12:$C$24,MATCH($A67,Audit_Maschine!$K$12:$K$24,0))="","",INDEX(Audit_Maschine!$C$12:$C$24,MATCH($A67,Audit_Maschine!$K$12:$K$24,0))),IF($A67&lt;=Übersicht!$P$15,IF(INDEX(Audit_Werkzeuge!$C$12:$C$21,MATCH($A67,Audit_Werkzeuge!$K$12:$K$21,0))="","",INDEX(Audit_Werkzeuge!$C$12:$C$21,MATCH($A67,Audit_Werkzeuge!$K$12:$K$21,0))),IF(INDEX(Audit_Kompakt!$C$12:$C$35,MATCH($A67,Audit_Kompakt!$K$12:$K$35,0))="","",INDEX(Audit_Kompakt!$C$12:$C$35,MATCH($A67,Audit_Kompakt!$K$12:$K$35,0))))))),"")</f>
        <v/>
      </c>
      <c r="F67" s="41" t="str">
        <f aca="false">IFERROR(IF($A67="","",IF($A67&lt;=Übersicht!$P$13,IF(INDEX(Audit_Allgemein!$E$12:$E$50,MATCH($A67,Audit_Allgemein!$K$12:$K$50,0))="","",INDEX(Audit_Allgemein!$E$12:$E$50,MATCH($A67,Audit_Allgemein!$K$12:$K$50,0))),IF($A67&lt;=Übersicht!$P$14,IF(INDEX(Audit_Maschine!$E$12:$E$24,MATCH($A67,Audit_Maschine!$K$12:$K$24,0))="","",INDEX(Audit_Maschine!$E$12:$E$24,MATCH($A67,Audit_Maschine!$K$12:$K$24,0))),IF($A67&lt;=Übersicht!$P$15,IF(INDEX(Audit_Werkzeuge!$E$12:$E$21,MATCH($A67,Audit_Werkzeuge!$K$12:$K$21,0))="","",INDEX(Audit_Werkzeuge!$E$12:$E$21,MATCH($A67,Audit_Werkzeuge!$K$12:$K$21,0))),IF(INDEX(Audit_Kompakt!$E$12:$E$35,MATCH($A67,Audit_Kompakt!$K$12:$K$35,0))="","",INDEX(Audit_Kompakt!$E$12:$E$35,MATCH($A67,Audit_Kompakt!$K$12:$K$35,0))))))),"")</f>
        <v/>
      </c>
      <c r="G67" s="42" t="str">
        <f aca="false">IFERROR(IF($A67="","",IF($A67&lt;=Übersicht!$P$13,IF(INDEX(Audit_Allgemein!$F$12:$F$50,MATCH($A67,Audit_Allgemein!$K$12:$K$50,0))="","",INDEX(Audit_Allgemein!$F$12:$F$50,MATCH($A67,Audit_Allgemein!$K$12:$K$50,0))),IF($A67&lt;=Übersicht!$P$14,IF(INDEX(Audit_Maschine!$F$12:$F$24,MATCH($A67,Audit_Maschine!$K$12:$K$24,0))="","",INDEX(Audit_Maschine!$F$12:$F$24,MATCH($A67,Audit_Maschine!$K$12:$K$24,0))),IF($A67&lt;=Übersicht!$P$15,IF(INDEX(Audit_Werkzeuge!$F$12:$F$21,MATCH($A67,Audit_Werkzeuge!$K$12:$K$21,0))="","",INDEX(Audit_Werkzeuge!$F$12:$F$21,MATCH($A67,Audit_Werkzeuge!$K$12:$K$21,0))),IF(INDEX(Audit_Kompakt!$F$12:$F$35,MATCH($A67,Audit_Kompakt!$K$12:$K$35,0))="","",INDEX(Audit_Kompakt!$F$12:$F$35,MATCH($A67,Audit_Kompakt!$K$12:$K$35,0))))))),"")</f>
        <v/>
      </c>
      <c r="H67" s="41" t="str">
        <f aca="false">IFERROR(IF($A67="","",IF($A67&lt;=Übersicht!$P$13,IF(INDEX(Audit_Allgemein!$G$12:$G$50,MATCH($A67,Audit_Allgemein!$K$12:$K$50,0))="","",INDEX(Audit_Allgemein!$G$12:$G$50,MATCH($A67,Audit_Allgemein!$K$12:$K$50,0))),IF($A67&lt;=Übersicht!$P$14,IF(INDEX(Audit_Maschine!$G$12:$G$24,MATCH($A67,Audit_Maschine!$K$12:$K$24,0))="","",INDEX(Audit_Maschine!$G$12:$G$24,MATCH($A67,Audit_Maschine!$K$12:$K$24,0))),IF($A67&lt;=Übersicht!$P$15,IF(INDEX(Audit_Werkzeuge!$G$12:$G$21,MATCH($A67,Audit_Werkzeuge!$K$12:$K$21,0))="","",INDEX(Audit_Werkzeuge!$G$12:$G$21,MATCH($A67,Audit_Werkzeuge!$K$12:$K$21,0))),IF(INDEX(Audit_Kompakt!$G$12:$G$35,MATCH($A67,Audit_Kompakt!$K$12:$K$35,0))="","",INDEX(Audit_Kompakt!$G$12:$G$35,MATCH($A67,Audit_Kompakt!$K$12:$K$35,0))))))),"")</f>
        <v/>
      </c>
      <c r="I67" s="43" t="str">
        <f aca="false">IFERROR(IF($A67="","",IF($A67&lt;=Übersicht!$P$13,IF(INDEX(Audit_Allgemein!$H$12:$H$50,MATCH($A67,Audit_Allgemein!$K$12:$K$50,0))="","",INDEX(Audit_Allgemein!$H$12:$H$50,MATCH($A67,Audit_Allgemein!$K$12:$K$50,0))),IF($A67&lt;=Übersicht!$P$14,IF(INDEX(Audit_Maschine!$H$12:$H$24,MATCH($A67,Audit_Maschine!$K$12:$K$24,0))="","",INDEX(Audit_Maschine!$H$12:$H$24,MATCH($A67,Audit_Maschine!$K$12:$K$24,0))),IF($A67&lt;=Übersicht!$P$15,IF(INDEX(Audit_Werkzeuge!$H$12:$H$21,MATCH($A67,Audit_Werkzeuge!$K$12:$K$21,0))="","",INDEX(Audit_Werkzeuge!$H$12:$H$21,MATCH($A67,Audit_Werkzeuge!$K$12:$K$21,0))),IF(INDEX(Audit_Kompakt!$H$12:$H$35,MATCH($A67,Audit_Kompakt!$K$12:$K$35,0))="","",INDEX(Audit_Kompakt!$H$12:$H$35,MATCH($A67,Audit_Kompakt!$K$12:$K$35,0))))))),"")</f>
        <v/>
      </c>
      <c r="J67" s="41" t="str">
        <f aca="false">IFERROR(IF($A67="","",IF($A67&lt;=Übersicht!$P$13,IF(INDEX(Audit_Allgemein!$J$12:$J$50,MATCH($A67,Audit_Allgemein!$K$12:$K$50,0))="","",INDEX(Audit_Allgemein!$J$12:$J$50,MATCH($A67,Audit_Allgemein!$K$12:$K$50,0))),IF($A67&lt;=Übersicht!$P$14,IF(INDEX(Audit_Maschine!$J$12:$J$24,MATCH($A67,Audit_Maschine!$K$12:$K$24,0))="","",INDEX(Audit_Maschine!$J$12:$J$24,MATCH($A67,Audit_Maschine!$K$12:$K$24,0))),IF($A67&lt;=Übersicht!$P$15,IF(INDEX(Audit_Werkzeuge!$J$12:$J$21,MATCH($A67,Audit_Werkzeuge!$K$12:$K$21,0))="","",INDEX(Audit_Werkzeuge!$J$12:$J$21,MATCH($A67,Audit_Werkzeuge!$K$12:$K$21,0))),IF(INDEX(Audit_Kompakt!$J$12:$J$35,MATCH($A67,Audit_Kompakt!$K$12:$K$35,0))="","",INDEX(Audit_Kompakt!$J$12:$J$35,MATCH($A67,Audit_Kompakt!$K$12:$K$35,0))))))),"")</f>
        <v/>
      </c>
    </row>
    <row r="68" customFormat="false" ht="15" hidden="false" customHeight="false" outlineLevel="0" collapsed="false">
      <c r="A68" s="41" t="str">
        <f aca="false">IF(64&lt;=Übersicht!$M$17,64,"")</f>
        <v/>
      </c>
      <c r="B68" s="41" t="str">
        <f aca="false">IFERROR(IF($A68="","",IF($A68&lt;=Übersicht!$P$13,"Allgemein",IF($A68&lt;=Übersicht!$P$14,"Maschine",IF($A68&lt;=Übersicht!$P$15,"Werkzeug","Kompakt")))),"")</f>
        <v/>
      </c>
      <c r="C68" s="41" t="str">
        <f aca="false">IFERROR(IF($A68="","",IF($A68&lt;=Übersicht!$P$13,IF(Audit_Allgemein!$C$4="","–",Audit_Allgemein!$C$4),IF($A68&lt;=Übersicht!$P$14,IF(Audit_Maschine!$C$4="","–",Audit_Maschine!$C$4),IF($A68&lt;=Übersicht!$P$15,IF(Audit_Werkzeuge!$C$4="","–",Audit_Werkzeuge!$C$4),IF(Audit_Kompakt!$C$4="","–",Audit_Kompakt!$C$4))))),"")</f>
        <v/>
      </c>
      <c r="D68" s="41" t="str">
        <f aca="false">IFERROR(IF($A68="","",IF($A68&lt;=Übersicht!$P$13,IF(INDEX(Audit_Allgemein!$A$12:$A$50,MATCH($A68,Audit_Allgemein!$K$12:$K$50,0))="","",INDEX(Audit_Allgemein!$A$12:$A$50,MATCH($A68,Audit_Allgemein!$K$12:$K$50,0))),IF($A68&lt;=Übersicht!$P$14,IF(INDEX(Audit_Maschine!$A$12:$A$24,MATCH($A68,Audit_Maschine!$K$12:$K$24,0))="","",INDEX(Audit_Maschine!$A$12:$A$24,MATCH($A68,Audit_Maschine!$K$12:$K$24,0))),IF($A68&lt;=Übersicht!$P$15,IF(INDEX(Audit_Werkzeuge!$A$12:$A$21,MATCH($A68,Audit_Werkzeuge!$K$12:$K$21,0))="","",INDEX(Audit_Werkzeuge!$A$12:$A$21,MATCH($A68,Audit_Werkzeuge!$K$12:$K$21,0))),IF(INDEX(Audit_Kompakt!$A$12:$A$35,MATCH($A68,Audit_Kompakt!$K$12:$K$35,0))="","",INDEX(Audit_Kompakt!$A$12:$A$35,MATCH($A68,Audit_Kompakt!$K$12:$K$35,0))))))),"")</f>
        <v/>
      </c>
      <c r="E68" s="42" t="str">
        <f aca="false">IFERROR(IF($A68="","",IF($A68&lt;=Übersicht!$P$13,IF(INDEX(Audit_Allgemein!$C$12:$C$50,MATCH($A68,Audit_Allgemein!$K$12:$K$50,0))="","",INDEX(Audit_Allgemein!$C$12:$C$50,MATCH($A68,Audit_Allgemein!$K$12:$K$50,0))),IF($A68&lt;=Übersicht!$P$14,IF(INDEX(Audit_Maschine!$C$12:$C$24,MATCH($A68,Audit_Maschine!$K$12:$K$24,0))="","",INDEX(Audit_Maschine!$C$12:$C$24,MATCH($A68,Audit_Maschine!$K$12:$K$24,0))),IF($A68&lt;=Übersicht!$P$15,IF(INDEX(Audit_Werkzeuge!$C$12:$C$21,MATCH($A68,Audit_Werkzeuge!$K$12:$K$21,0))="","",INDEX(Audit_Werkzeuge!$C$12:$C$21,MATCH($A68,Audit_Werkzeuge!$K$12:$K$21,0))),IF(INDEX(Audit_Kompakt!$C$12:$C$35,MATCH($A68,Audit_Kompakt!$K$12:$K$35,0))="","",INDEX(Audit_Kompakt!$C$12:$C$35,MATCH($A68,Audit_Kompakt!$K$12:$K$35,0))))))),"")</f>
        <v/>
      </c>
      <c r="F68" s="41" t="str">
        <f aca="false">IFERROR(IF($A68="","",IF($A68&lt;=Übersicht!$P$13,IF(INDEX(Audit_Allgemein!$E$12:$E$50,MATCH($A68,Audit_Allgemein!$K$12:$K$50,0))="","",INDEX(Audit_Allgemein!$E$12:$E$50,MATCH($A68,Audit_Allgemein!$K$12:$K$50,0))),IF($A68&lt;=Übersicht!$P$14,IF(INDEX(Audit_Maschine!$E$12:$E$24,MATCH($A68,Audit_Maschine!$K$12:$K$24,0))="","",INDEX(Audit_Maschine!$E$12:$E$24,MATCH($A68,Audit_Maschine!$K$12:$K$24,0))),IF($A68&lt;=Übersicht!$P$15,IF(INDEX(Audit_Werkzeuge!$E$12:$E$21,MATCH($A68,Audit_Werkzeuge!$K$12:$K$21,0))="","",INDEX(Audit_Werkzeuge!$E$12:$E$21,MATCH($A68,Audit_Werkzeuge!$K$12:$K$21,0))),IF(INDEX(Audit_Kompakt!$E$12:$E$35,MATCH($A68,Audit_Kompakt!$K$12:$K$35,0))="","",INDEX(Audit_Kompakt!$E$12:$E$35,MATCH($A68,Audit_Kompakt!$K$12:$K$35,0))))))),"")</f>
        <v/>
      </c>
      <c r="G68" s="42" t="str">
        <f aca="false">IFERROR(IF($A68="","",IF($A68&lt;=Übersicht!$P$13,IF(INDEX(Audit_Allgemein!$F$12:$F$50,MATCH($A68,Audit_Allgemein!$K$12:$K$50,0))="","",INDEX(Audit_Allgemein!$F$12:$F$50,MATCH($A68,Audit_Allgemein!$K$12:$K$50,0))),IF($A68&lt;=Übersicht!$P$14,IF(INDEX(Audit_Maschine!$F$12:$F$24,MATCH($A68,Audit_Maschine!$K$12:$K$24,0))="","",INDEX(Audit_Maschine!$F$12:$F$24,MATCH($A68,Audit_Maschine!$K$12:$K$24,0))),IF($A68&lt;=Übersicht!$P$15,IF(INDEX(Audit_Werkzeuge!$F$12:$F$21,MATCH($A68,Audit_Werkzeuge!$K$12:$K$21,0))="","",INDEX(Audit_Werkzeuge!$F$12:$F$21,MATCH($A68,Audit_Werkzeuge!$K$12:$K$21,0))),IF(INDEX(Audit_Kompakt!$F$12:$F$35,MATCH($A68,Audit_Kompakt!$K$12:$K$35,0))="","",INDEX(Audit_Kompakt!$F$12:$F$35,MATCH($A68,Audit_Kompakt!$K$12:$K$35,0))))))),"")</f>
        <v/>
      </c>
      <c r="H68" s="41" t="str">
        <f aca="false">IFERROR(IF($A68="","",IF($A68&lt;=Übersicht!$P$13,IF(INDEX(Audit_Allgemein!$G$12:$G$50,MATCH($A68,Audit_Allgemein!$K$12:$K$50,0))="","",INDEX(Audit_Allgemein!$G$12:$G$50,MATCH($A68,Audit_Allgemein!$K$12:$K$50,0))),IF($A68&lt;=Übersicht!$P$14,IF(INDEX(Audit_Maschine!$G$12:$G$24,MATCH($A68,Audit_Maschine!$K$12:$K$24,0))="","",INDEX(Audit_Maschine!$G$12:$G$24,MATCH($A68,Audit_Maschine!$K$12:$K$24,0))),IF($A68&lt;=Übersicht!$P$15,IF(INDEX(Audit_Werkzeuge!$G$12:$G$21,MATCH($A68,Audit_Werkzeuge!$K$12:$K$21,0))="","",INDEX(Audit_Werkzeuge!$G$12:$G$21,MATCH($A68,Audit_Werkzeuge!$K$12:$K$21,0))),IF(INDEX(Audit_Kompakt!$G$12:$G$35,MATCH($A68,Audit_Kompakt!$K$12:$K$35,0))="","",INDEX(Audit_Kompakt!$G$12:$G$35,MATCH($A68,Audit_Kompakt!$K$12:$K$35,0))))))),"")</f>
        <v/>
      </c>
      <c r="I68" s="43" t="str">
        <f aca="false">IFERROR(IF($A68="","",IF($A68&lt;=Übersicht!$P$13,IF(INDEX(Audit_Allgemein!$H$12:$H$50,MATCH($A68,Audit_Allgemein!$K$12:$K$50,0))="","",INDEX(Audit_Allgemein!$H$12:$H$50,MATCH($A68,Audit_Allgemein!$K$12:$K$50,0))),IF($A68&lt;=Übersicht!$P$14,IF(INDEX(Audit_Maschine!$H$12:$H$24,MATCH($A68,Audit_Maschine!$K$12:$K$24,0))="","",INDEX(Audit_Maschine!$H$12:$H$24,MATCH($A68,Audit_Maschine!$K$12:$K$24,0))),IF($A68&lt;=Übersicht!$P$15,IF(INDEX(Audit_Werkzeuge!$H$12:$H$21,MATCH($A68,Audit_Werkzeuge!$K$12:$K$21,0))="","",INDEX(Audit_Werkzeuge!$H$12:$H$21,MATCH($A68,Audit_Werkzeuge!$K$12:$K$21,0))),IF(INDEX(Audit_Kompakt!$H$12:$H$35,MATCH($A68,Audit_Kompakt!$K$12:$K$35,0))="","",INDEX(Audit_Kompakt!$H$12:$H$35,MATCH($A68,Audit_Kompakt!$K$12:$K$35,0))))))),"")</f>
        <v/>
      </c>
      <c r="J68" s="41" t="str">
        <f aca="false">IFERROR(IF($A68="","",IF($A68&lt;=Übersicht!$P$13,IF(INDEX(Audit_Allgemein!$J$12:$J$50,MATCH($A68,Audit_Allgemein!$K$12:$K$50,0))="","",INDEX(Audit_Allgemein!$J$12:$J$50,MATCH($A68,Audit_Allgemein!$K$12:$K$50,0))),IF($A68&lt;=Übersicht!$P$14,IF(INDEX(Audit_Maschine!$J$12:$J$24,MATCH($A68,Audit_Maschine!$K$12:$K$24,0))="","",INDEX(Audit_Maschine!$J$12:$J$24,MATCH($A68,Audit_Maschine!$K$12:$K$24,0))),IF($A68&lt;=Übersicht!$P$15,IF(INDEX(Audit_Werkzeuge!$J$12:$J$21,MATCH($A68,Audit_Werkzeuge!$K$12:$K$21,0))="","",INDEX(Audit_Werkzeuge!$J$12:$J$21,MATCH($A68,Audit_Werkzeuge!$K$12:$K$21,0))),IF(INDEX(Audit_Kompakt!$J$12:$J$35,MATCH($A68,Audit_Kompakt!$K$12:$K$35,0))="","",INDEX(Audit_Kompakt!$J$12:$J$35,MATCH($A68,Audit_Kompakt!$K$12:$K$35,0))))))),"")</f>
        <v/>
      </c>
    </row>
    <row r="69" customFormat="false" ht="15" hidden="false" customHeight="false" outlineLevel="0" collapsed="false">
      <c r="A69" s="41" t="str">
        <f aca="false">IF(65&lt;=Übersicht!$M$17,65,"")</f>
        <v/>
      </c>
      <c r="B69" s="41" t="str">
        <f aca="false">IFERROR(IF($A69="","",IF($A69&lt;=Übersicht!$P$13,"Allgemein",IF($A69&lt;=Übersicht!$P$14,"Maschine",IF($A69&lt;=Übersicht!$P$15,"Werkzeug","Kompakt")))),"")</f>
        <v/>
      </c>
      <c r="C69" s="41" t="str">
        <f aca="false">IFERROR(IF($A69="","",IF($A69&lt;=Übersicht!$P$13,IF(Audit_Allgemein!$C$4="","–",Audit_Allgemein!$C$4),IF($A69&lt;=Übersicht!$P$14,IF(Audit_Maschine!$C$4="","–",Audit_Maschine!$C$4),IF($A69&lt;=Übersicht!$P$15,IF(Audit_Werkzeuge!$C$4="","–",Audit_Werkzeuge!$C$4),IF(Audit_Kompakt!$C$4="","–",Audit_Kompakt!$C$4))))),"")</f>
        <v/>
      </c>
      <c r="D69" s="41" t="str">
        <f aca="false">IFERROR(IF($A69="","",IF($A69&lt;=Übersicht!$P$13,IF(INDEX(Audit_Allgemein!$A$12:$A$50,MATCH($A69,Audit_Allgemein!$K$12:$K$50,0))="","",INDEX(Audit_Allgemein!$A$12:$A$50,MATCH($A69,Audit_Allgemein!$K$12:$K$50,0))),IF($A69&lt;=Übersicht!$P$14,IF(INDEX(Audit_Maschine!$A$12:$A$24,MATCH($A69,Audit_Maschine!$K$12:$K$24,0))="","",INDEX(Audit_Maschine!$A$12:$A$24,MATCH($A69,Audit_Maschine!$K$12:$K$24,0))),IF($A69&lt;=Übersicht!$P$15,IF(INDEX(Audit_Werkzeuge!$A$12:$A$21,MATCH($A69,Audit_Werkzeuge!$K$12:$K$21,0))="","",INDEX(Audit_Werkzeuge!$A$12:$A$21,MATCH($A69,Audit_Werkzeuge!$K$12:$K$21,0))),IF(INDEX(Audit_Kompakt!$A$12:$A$35,MATCH($A69,Audit_Kompakt!$K$12:$K$35,0))="","",INDEX(Audit_Kompakt!$A$12:$A$35,MATCH($A69,Audit_Kompakt!$K$12:$K$35,0))))))),"")</f>
        <v/>
      </c>
      <c r="E69" s="42" t="str">
        <f aca="false">IFERROR(IF($A69="","",IF($A69&lt;=Übersicht!$P$13,IF(INDEX(Audit_Allgemein!$C$12:$C$50,MATCH($A69,Audit_Allgemein!$K$12:$K$50,0))="","",INDEX(Audit_Allgemein!$C$12:$C$50,MATCH($A69,Audit_Allgemein!$K$12:$K$50,0))),IF($A69&lt;=Übersicht!$P$14,IF(INDEX(Audit_Maschine!$C$12:$C$24,MATCH($A69,Audit_Maschine!$K$12:$K$24,0))="","",INDEX(Audit_Maschine!$C$12:$C$24,MATCH($A69,Audit_Maschine!$K$12:$K$24,0))),IF($A69&lt;=Übersicht!$P$15,IF(INDEX(Audit_Werkzeuge!$C$12:$C$21,MATCH($A69,Audit_Werkzeuge!$K$12:$K$21,0))="","",INDEX(Audit_Werkzeuge!$C$12:$C$21,MATCH($A69,Audit_Werkzeuge!$K$12:$K$21,0))),IF(INDEX(Audit_Kompakt!$C$12:$C$35,MATCH($A69,Audit_Kompakt!$K$12:$K$35,0))="","",INDEX(Audit_Kompakt!$C$12:$C$35,MATCH($A69,Audit_Kompakt!$K$12:$K$35,0))))))),"")</f>
        <v/>
      </c>
      <c r="F69" s="41" t="str">
        <f aca="false">IFERROR(IF($A69="","",IF($A69&lt;=Übersicht!$P$13,IF(INDEX(Audit_Allgemein!$E$12:$E$50,MATCH($A69,Audit_Allgemein!$K$12:$K$50,0))="","",INDEX(Audit_Allgemein!$E$12:$E$50,MATCH($A69,Audit_Allgemein!$K$12:$K$50,0))),IF($A69&lt;=Übersicht!$P$14,IF(INDEX(Audit_Maschine!$E$12:$E$24,MATCH($A69,Audit_Maschine!$K$12:$K$24,0))="","",INDEX(Audit_Maschine!$E$12:$E$24,MATCH($A69,Audit_Maschine!$K$12:$K$24,0))),IF($A69&lt;=Übersicht!$P$15,IF(INDEX(Audit_Werkzeuge!$E$12:$E$21,MATCH($A69,Audit_Werkzeuge!$K$12:$K$21,0))="","",INDEX(Audit_Werkzeuge!$E$12:$E$21,MATCH($A69,Audit_Werkzeuge!$K$12:$K$21,0))),IF(INDEX(Audit_Kompakt!$E$12:$E$35,MATCH($A69,Audit_Kompakt!$K$12:$K$35,0))="","",INDEX(Audit_Kompakt!$E$12:$E$35,MATCH($A69,Audit_Kompakt!$K$12:$K$35,0))))))),"")</f>
        <v/>
      </c>
      <c r="G69" s="42" t="str">
        <f aca="false">IFERROR(IF($A69="","",IF($A69&lt;=Übersicht!$P$13,IF(INDEX(Audit_Allgemein!$F$12:$F$50,MATCH($A69,Audit_Allgemein!$K$12:$K$50,0))="","",INDEX(Audit_Allgemein!$F$12:$F$50,MATCH($A69,Audit_Allgemein!$K$12:$K$50,0))),IF($A69&lt;=Übersicht!$P$14,IF(INDEX(Audit_Maschine!$F$12:$F$24,MATCH($A69,Audit_Maschine!$K$12:$K$24,0))="","",INDEX(Audit_Maschine!$F$12:$F$24,MATCH($A69,Audit_Maschine!$K$12:$K$24,0))),IF($A69&lt;=Übersicht!$P$15,IF(INDEX(Audit_Werkzeuge!$F$12:$F$21,MATCH($A69,Audit_Werkzeuge!$K$12:$K$21,0))="","",INDEX(Audit_Werkzeuge!$F$12:$F$21,MATCH($A69,Audit_Werkzeuge!$K$12:$K$21,0))),IF(INDEX(Audit_Kompakt!$F$12:$F$35,MATCH($A69,Audit_Kompakt!$K$12:$K$35,0))="","",INDEX(Audit_Kompakt!$F$12:$F$35,MATCH($A69,Audit_Kompakt!$K$12:$K$35,0))))))),"")</f>
        <v/>
      </c>
      <c r="H69" s="41" t="str">
        <f aca="false">IFERROR(IF($A69="","",IF($A69&lt;=Übersicht!$P$13,IF(INDEX(Audit_Allgemein!$G$12:$G$50,MATCH($A69,Audit_Allgemein!$K$12:$K$50,0))="","",INDEX(Audit_Allgemein!$G$12:$G$50,MATCH($A69,Audit_Allgemein!$K$12:$K$50,0))),IF($A69&lt;=Übersicht!$P$14,IF(INDEX(Audit_Maschine!$G$12:$G$24,MATCH($A69,Audit_Maschine!$K$12:$K$24,0))="","",INDEX(Audit_Maschine!$G$12:$G$24,MATCH($A69,Audit_Maschine!$K$12:$K$24,0))),IF($A69&lt;=Übersicht!$P$15,IF(INDEX(Audit_Werkzeuge!$G$12:$G$21,MATCH($A69,Audit_Werkzeuge!$K$12:$K$21,0))="","",INDEX(Audit_Werkzeuge!$G$12:$G$21,MATCH($A69,Audit_Werkzeuge!$K$12:$K$21,0))),IF(INDEX(Audit_Kompakt!$G$12:$G$35,MATCH($A69,Audit_Kompakt!$K$12:$K$35,0))="","",INDEX(Audit_Kompakt!$G$12:$G$35,MATCH($A69,Audit_Kompakt!$K$12:$K$35,0))))))),"")</f>
        <v/>
      </c>
      <c r="I69" s="43" t="str">
        <f aca="false">IFERROR(IF($A69="","",IF($A69&lt;=Übersicht!$P$13,IF(INDEX(Audit_Allgemein!$H$12:$H$50,MATCH($A69,Audit_Allgemein!$K$12:$K$50,0))="","",INDEX(Audit_Allgemein!$H$12:$H$50,MATCH($A69,Audit_Allgemein!$K$12:$K$50,0))),IF($A69&lt;=Übersicht!$P$14,IF(INDEX(Audit_Maschine!$H$12:$H$24,MATCH($A69,Audit_Maschine!$K$12:$K$24,0))="","",INDEX(Audit_Maschine!$H$12:$H$24,MATCH($A69,Audit_Maschine!$K$12:$K$24,0))),IF($A69&lt;=Übersicht!$P$15,IF(INDEX(Audit_Werkzeuge!$H$12:$H$21,MATCH($A69,Audit_Werkzeuge!$K$12:$K$21,0))="","",INDEX(Audit_Werkzeuge!$H$12:$H$21,MATCH($A69,Audit_Werkzeuge!$K$12:$K$21,0))),IF(INDEX(Audit_Kompakt!$H$12:$H$35,MATCH($A69,Audit_Kompakt!$K$12:$K$35,0))="","",INDEX(Audit_Kompakt!$H$12:$H$35,MATCH($A69,Audit_Kompakt!$K$12:$K$35,0))))))),"")</f>
        <v/>
      </c>
      <c r="J69" s="41" t="str">
        <f aca="false">IFERROR(IF($A69="","",IF($A69&lt;=Übersicht!$P$13,IF(INDEX(Audit_Allgemein!$J$12:$J$50,MATCH($A69,Audit_Allgemein!$K$12:$K$50,0))="","",INDEX(Audit_Allgemein!$J$12:$J$50,MATCH($A69,Audit_Allgemein!$K$12:$K$50,0))),IF($A69&lt;=Übersicht!$P$14,IF(INDEX(Audit_Maschine!$J$12:$J$24,MATCH($A69,Audit_Maschine!$K$12:$K$24,0))="","",INDEX(Audit_Maschine!$J$12:$J$24,MATCH($A69,Audit_Maschine!$K$12:$K$24,0))),IF($A69&lt;=Übersicht!$P$15,IF(INDEX(Audit_Werkzeuge!$J$12:$J$21,MATCH($A69,Audit_Werkzeuge!$K$12:$K$21,0))="","",INDEX(Audit_Werkzeuge!$J$12:$J$21,MATCH($A69,Audit_Werkzeuge!$K$12:$K$21,0))),IF(INDEX(Audit_Kompakt!$J$12:$J$35,MATCH($A69,Audit_Kompakt!$K$12:$K$35,0))="","",INDEX(Audit_Kompakt!$J$12:$J$35,MATCH($A69,Audit_Kompakt!$K$12:$K$35,0))))))),"")</f>
        <v/>
      </c>
    </row>
    <row r="70" customFormat="false" ht="15" hidden="false" customHeight="false" outlineLevel="0" collapsed="false">
      <c r="A70" s="41" t="str">
        <f aca="false">IF(66&lt;=Übersicht!$M$17,66,"")</f>
        <v/>
      </c>
      <c r="B70" s="41" t="str">
        <f aca="false">IFERROR(IF($A70="","",IF($A70&lt;=Übersicht!$P$13,"Allgemein",IF($A70&lt;=Übersicht!$P$14,"Maschine",IF($A70&lt;=Übersicht!$P$15,"Werkzeug","Kompakt")))),"")</f>
        <v/>
      </c>
      <c r="C70" s="41" t="str">
        <f aca="false">IFERROR(IF($A70="","",IF($A70&lt;=Übersicht!$P$13,IF(Audit_Allgemein!$C$4="","–",Audit_Allgemein!$C$4),IF($A70&lt;=Übersicht!$P$14,IF(Audit_Maschine!$C$4="","–",Audit_Maschine!$C$4),IF($A70&lt;=Übersicht!$P$15,IF(Audit_Werkzeuge!$C$4="","–",Audit_Werkzeuge!$C$4),IF(Audit_Kompakt!$C$4="","–",Audit_Kompakt!$C$4))))),"")</f>
        <v/>
      </c>
      <c r="D70" s="41" t="str">
        <f aca="false">IFERROR(IF($A70="","",IF($A70&lt;=Übersicht!$P$13,IF(INDEX(Audit_Allgemein!$A$12:$A$50,MATCH($A70,Audit_Allgemein!$K$12:$K$50,0))="","",INDEX(Audit_Allgemein!$A$12:$A$50,MATCH($A70,Audit_Allgemein!$K$12:$K$50,0))),IF($A70&lt;=Übersicht!$P$14,IF(INDEX(Audit_Maschine!$A$12:$A$24,MATCH($A70,Audit_Maschine!$K$12:$K$24,0))="","",INDEX(Audit_Maschine!$A$12:$A$24,MATCH($A70,Audit_Maschine!$K$12:$K$24,0))),IF($A70&lt;=Übersicht!$P$15,IF(INDEX(Audit_Werkzeuge!$A$12:$A$21,MATCH($A70,Audit_Werkzeuge!$K$12:$K$21,0))="","",INDEX(Audit_Werkzeuge!$A$12:$A$21,MATCH($A70,Audit_Werkzeuge!$K$12:$K$21,0))),IF(INDEX(Audit_Kompakt!$A$12:$A$35,MATCH($A70,Audit_Kompakt!$K$12:$K$35,0))="","",INDEX(Audit_Kompakt!$A$12:$A$35,MATCH($A70,Audit_Kompakt!$K$12:$K$35,0))))))),"")</f>
        <v/>
      </c>
      <c r="E70" s="42" t="str">
        <f aca="false">IFERROR(IF($A70="","",IF($A70&lt;=Übersicht!$P$13,IF(INDEX(Audit_Allgemein!$C$12:$C$50,MATCH($A70,Audit_Allgemein!$K$12:$K$50,0))="","",INDEX(Audit_Allgemein!$C$12:$C$50,MATCH($A70,Audit_Allgemein!$K$12:$K$50,0))),IF($A70&lt;=Übersicht!$P$14,IF(INDEX(Audit_Maschine!$C$12:$C$24,MATCH($A70,Audit_Maschine!$K$12:$K$24,0))="","",INDEX(Audit_Maschine!$C$12:$C$24,MATCH($A70,Audit_Maschine!$K$12:$K$24,0))),IF($A70&lt;=Übersicht!$P$15,IF(INDEX(Audit_Werkzeuge!$C$12:$C$21,MATCH($A70,Audit_Werkzeuge!$K$12:$K$21,0))="","",INDEX(Audit_Werkzeuge!$C$12:$C$21,MATCH($A70,Audit_Werkzeuge!$K$12:$K$21,0))),IF(INDEX(Audit_Kompakt!$C$12:$C$35,MATCH($A70,Audit_Kompakt!$K$12:$K$35,0))="","",INDEX(Audit_Kompakt!$C$12:$C$35,MATCH($A70,Audit_Kompakt!$K$12:$K$35,0))))))),"")</f>
        <v/>
      </c>
      <c r="F70" s="41" t="str">
        <f aca="false">IFERROR(IF($A70="","",IF($A70&lt;=Übersicht!$P$13,IF(INDEX(Audit_Allgemein!$E$12:$E$50,MATCH($A70,Audit_Allgemein!$K$12:$K$50,0))="","",INDEX(Audit_Allgemein!$E$12:$E$50,MATCH($A70,Audit_Allgemein!$K$12:$K$50,0))),IF($A70&lt;=Übersicht!$P$14,IF(INDEX(Audit_Maschine!$E$12:$E$24,MATCH($A70,Audit_Maschine!$K$12:$K$24,0))="","",INDEX(Audit_Maschine!$E$12:$E$24,MATCH($A70,Audit_Maschine!$K$12:$K$24,0))),IF($A70&lt;=Übersicht!$P$15,IF(INDEX(Audit_Werkzeuge!$E$12:$E$21,MATCH($A70,Audit_Werkzeuge!$K$12:$K$21,0))="","",INDEX(Audit_Werkzeuge!$E$12:$E$21,MATCH($A70,Audit_Werkzeuge!$K$12:$K$21,0))),IF(INDEX(Audit_Kompakt!$E$12:$E$35,MATCH($A70,Audit_Kompakt!$K$12:$K$35,0))="","",INDEX(Audit_Kompakt!$E$12:$E$35,MATCH($A70,Audit_Kompakt!$K$12:$K$35,0))))))),"")</f>
        <v/>
      </c>
      <c r="G70" s="42" t="str">
        <f aca="false">IFERROR(IF($A70="","",IF($A70&lt;=Übersicht!$P$13,IF(INDEX(Audit_Allgemein!$F$12:$F$50,MATCH($A70,Audit_Allgemein!$K$12:$K$50,0))="","",INDEX(Audit_Allgemein!$F$12:$F$50,MATCH($A70,Audit_Allgemein!$K$12:$K$50,0))),IF($A70&lt;=Übersicht!$P$14,IF(INDEX(Audit_Maschine!$F$12:$F$24,MATCH($A70,Audit_Maschine!$K$12:$K$24,0))="","",INDEX(Audit_Maschine!$F$12:$F$24,MATCH($A70,Audit_Maschine!$K$12:$K$24,0))),IF($A70&lt;=Übersicht!$P$15,IF(INDEX(Audit_Werkzeuge!$F$12:$F$21,MATCH($A70,Audit_Werkzeuge!$K$12:$K$21,0))="","",INDEX(Audit_Werkzeuge!$F$12:$F$21,MATCH($A70,Audit_Werkzeuge!$K$12:$K$21,0))),IF(INDEX(Audit_Kompakt!$F$12:$F$35,MATCH($A70,Audit_Kompakt!$K$12:$K$35,0))="","",INDEX(Audit_Kompakt!$F$12:$F$35,MATCH($A70,Audit_Kompakt!$K$12:$K$35,0))))))),"")</f>
        <v/>
      </c>
      <c r="H70" s="41" t="str">
        <f aca="false">IFERROR(IF($A70="","",IF($A70&lt;=Übersicht!$P$13,IF(INDEX(Audit_Allgemein!$G$12:$G$50,MATCH($A70,Audit_Allgemein!$K$12:$K$50,0))="","",INDEX(Audit_Allgemein!$G$12:$G$50,MATCH($A70,Audit_Allgemein!$K$12:$K$50,0))),IF($A70&lt;=Übersicht!$P$14,IF(INDEX(Audit_Maschine!$G$12:$G$24,MATCH($A70,Audit_Maschine!$K$12:$K$24,0))="","",INDEX(Audit_Maschine!$G$12:$G$24,MATCH($A70,Audit_Maschine!$K$12:$K$24,0))),IF($A70&lt;=Übersicht!$P$15,IF(INDEX(Audit_Werkzeuge!$G$12:$G$21,MATCH($A70,Audit_Werkzeuge!$K$12:$K$21,0))="","",INDEX(Audit_Werkzeuge!$G$12:$G$21,MATCH($A70,Audit_Werkzeuge!$K$12:$K$21,0))),IF(INDEX(Audit_Kompakt!$G$12:$G$35,MATCH($A70,Audit_Kompakt!$K$12:$K$35,0))="","",INDEX(Audit_Kompakt!$G$12:$G$35,MATCH($A70,Audit_Kompakt!$K$12:$K$35,0))))))),"")</f>
        <v/>
      </c>
      <c r="I70" s="43" t="str">
        <f aca="false">IFERROR(IF($A70="","",IF($A70&lt;=Übersicht!$P$13,IF(INDEX(Audit_Allgemein!$H$12:$H$50,MATCH($A70,Audit_Allgemein!$K$12:$K$50,0))="","",INDEX(Audit_Allgemein!$H$12:$H$50,MATCH($A70,Audit_Allgemein!$K$12:$K$50,0))),IF($A70&lt;=Übersicht!$P$14,IF(INDEX(Audit_Maschine!$H$12:$H$24,MATCH($A70,Audit_Maschine!$K$12:$K$24,0))="","",INDEX(Audit_Maschine!$H$12:$H$24,MATCH($A70,Audit_Maschine!$K$12:$K$24,0))),IF($A70&lt;=Übersicht!$P$15,IF(INDEX(Audit_Werkzeuge!$H$12:$H$21,MATCH($A70,Audit_Werkzeuge!$K$12:$K$21,0))="","",INDEX(Audit_Werkzeuge!$H$12:$H$21,MATCH($A70,Audit_Werkzeuge!$K$12:$K$21,0))),IF(INDEX(Audit_Kompakt!$H$12:$H$35,MATCH($A70,Audit_Kompakt!$K$12:$K$35,0))="","",INDEX(Audit_Kompakt!$H$12:$H$35,MATCH($A70,Audit_Kompakt!$K$12:$K$35,0))))))),"")</f>
        <v/>
      </c>
      <c r="J70" s="41" t="str">
        <f aca="false">IFERROR(IF($A70="","",IF($A70&lt;=Übersicht!$P$13,IF(INDEX(Audit_Allgemein!$J$12:$J$50,MATCH($A70,Audit_Allgemein!$K$12:$K$50,0))="","",INDEX(Audit_Allgemein!$J$12:$J$50,MATCH($A70,Audit_Allgemein!$K$12:$K$50,0))),IF($A70&lt;=Übersicht!$P$14,IF(INDEX(Audit_Maschine!$J$12:$J$24,MATCH($A70,Audit_Maschine!$K$12:$K$24,0))="","",INDEX(Audit_Maschine!$J$12:$J$24,MATCH($A70,Audit_Maschine!$K$12:$K$24,0))),IF($A70&lt;=Übersicht!$P$15,IF(INDEX(Audit_Werkzeuge!$J$12:$J$21,MATCH($A70,Audit_Werkzeuge!$K$12:$K$21,0))="","",INDEX(Audit_Werkzeuge!$J$12:$J$21,MATCH($A70,Audit_Werkzeuge!$K$12:$K$21,0))),IF(INDEX(Audit_Kompakt!$J$12:$J$35,MATCH($A70,Audit_Kompakt!$K$12:$K$35,0))="","",INDEX(Audit_Kompakt!$J$12:$J$35,MATCH($A70,Audit_Kompakt!$K$12:$K$35,0))))))),"")</f>
        <v/>
      </c>
    </row>
    <row r="71" customFormat="false" ht="15" hidden="false" customHeight="false" outlineLevel="0" collapsed="false">
      <c r="A71" s="41" t="str">
        <f aca="false">IF(67&lt;=Übersicht!$M$17,67,"")</f>
        <v/>
      </c>
      <c r="B71" s="41" t="str">
        <f aca="false">IFERROR(IF($A71="","",IF($A71&lt;=Übersicht!$P$13,"Allgemein",IF($A71&lt;=Übersicht!$P$14,"Maschine",IF($A71&lt;=Übersicht!$P$15,"Werkzeug","Kompakt")))),"")</f>
        <v/>
      </c>
      <c r="C71" s="41" t="str">
        <f aca="false">IFERROR(IF($A71="","",IF($A71&lt;=Übersicht!$P$13,IF(Audit_Allgemein!$C$4="","–",Audit_Allgemein!$C$4),IF($A71&lt;=Übersicht!$P$14,IF(Audit_Maschine!$C$4="","–",Audit_Maschine!$C$4),IF($A71&lt;=Übersicht!$P$15,IF(Audit_Werkzeuge!$C$4="","–",Audit_Werkzeuge!$C$4),IF(Audit_Kompakt!$C$4="","–",Audit_Kompakt!$C$4))))),"")</f>
        <v/>
      </c>
      <c r="D71" s="41" t="str">
        <f aca="false">IFERROR(IF($A71="","",IF($A71&lt;=Übersicht!$P$13,IF(INDEX(Audit_Allgemein!$A$12:$A$50,MATCH($A71,Audit_Allgemein!$K$12:$K$50,0))="","",INDEX(Audit_Allgemein!$A$12:$A$50,MATCH($A71,Audit_Allgemein!$K$12:$K$50,0))),IF($A71&lt;=Übersicht!$P$14,IF(INDEX(Audit_Maschine!$A$12:$A$24,MATCH($A71,Audit_Maschine!$K$12:$K$24,0))="","",INDEX(Audit_Maschine!$A$12:$A$24,MATCH($A71,Audit_Maschine!$K$12:$K$24,0))),IF($A71&lt;=Übersicht!$P$15,IF(INDEX(Audit_Werkzeuge!$A$12:$A$21,MATCH($A71,Audit_Werkzeuge!$K$12:$K$21,0))="","",INDEX(Audit_Werkzeuge!$A$12:$A$21,MATCH($A71,Audit_Werkzeuge!$K$12:$K$21,0))),IF(INDEX(Audit_Kompakt!$A$12:$A$35,MATCH($A71,Audit_Kompakt!$K$12:$K$35,0))="","",INDEX(Audit_Kompakt!$A$12:$A$35,MATCH($A71,Audit_Kompakt!$K$12:$K$35,0))))))),"")</f>
        <v/>
      </c>
      <c r="E71" s="42" t="str">
        <f aca="false">IFERROR(IF($A71="","",IF($A71&lt;=Übersicht!$P$13,IF(INDEX(Audit_Allgemein!$C$12:$C$50,MATCH($A71,Audit_Allgemein!$K$12:$K$50,0))="","",INDEX(Audit_Allgemein!$C$12:$C$50,MATCH($A71,Audit_Allgemein!$K$12:$K$50,0))),IF($A71&lt;=Übersicht!$P$14,IF(INDEX(Audit_Maschine!$C$12:$C$24,MATCH($A71,Audit_Maschine!$K$12:$K$24,0))="","",INDEX(Audit_Maschine!$C$12:$C$24,MATCH($A71,Audit_Maschine!$K$12:$K$24,0))),IF($A71&lt;=Übersicht!$P$15,IF(INDEX(Audit_Werkzeuge!$C$12:$C$21,MATCH($A71,Audit_Werkzeuge!$K$12:$K$21,0))="","",INDEX(Audit_Werkzeuge!$C$12:$C$21,MATCH($A71,Audit_Werkzeuge!$K$12:$K$21,0))),IF(INDEX(Audit_Kompakt!$C$12:$C$35,MATCH($A71,Audit_Kompakt!$K$12:$K$35,0))="","",INDEX(Audit_Kompakt!$C$12:$C$35,MATCH($A71,Audit_Kompakt!$K$12:$K$35,0))))))),"")</f>
        <v/>
      </c>
      <c r="F71" s="41" t="str">
        <f aca="false">IFERROR(IF($A71="","",IF($A71&lt;=Übersicht!$P$13,IF(INDEX(Audit_Allgemein!$E$12:$E$50,MATCH($A71,Audit_Allgemein!$K$12:$K$50,0))="","",INDEX(Audit_Allgemein!$E$12:$E$50,MATCH($A71,Audit_Allgemein!$K$12:$K$50,0))),IF($A71&lt;=Übersicht!$P$14,IF(INDEX(Audit_Maschine!$E$12:$E$24,MATCH($A71,Audit_Maschine!$K$12:$K$24,0))="","",INDEX(Audit_Maschine!$E$12:$E$24,MATCH($A71,Audit_Maschine!$K$12:$K$24,0))),IF($A71&lt;=Übersicht!$P$15,IF(INDEX(Audit_Werkzeuge!$E$12:$E$21,MATCH($A71,Audit_Werkzeuge!$K$12:$K$21,0))="","",INDEX(Audit_Werkzeuge!$E$12:$E$21,MATCH($A71,Audit_Werkzeuge!$K$12:$K$21,0))),IF(INDEX(Audit_Kompakt!$E$12:$E$35,MATCH($A71,Audit_Kompakt!$K$12:$K$35,0))="","",INDEX(Audit_Kompakt!$E$12:$E$35,MATCH($A71,Audit_Kompakt!$K$12:$K$35,0))))))),"")</f>
        <v/>
      </c>
      <c r="G71" s="42" t="str">
        <f aca="false">IFERROR(IF($A71="","",IF($A71&lt;=Übersicht!$P$13,IF(INDEX(Audit_Allgemein!$F$12:$F$50,MATCH($A71,Audit_Allgemein!$K$12:$K$50,0))="","",INDEX(Audit_Allgemein!$F$12:$F$50,MATCH($A71,Audit_Allgemein!$K$12:$K$50,0))),IF($A71&lt;=Übersicht!$P$14,IF(INDEX(Audit_Maschine!$F$12:$F$24,MATCH($A71,Audit_Maschine!$K$12:$K$24,0))="","",INDEX(Audit_Maschine!$F$12:$F$24,MATCH($A71,Audit_Maschine!$K$12:$K$24,0))),IF($A71&lt;=Übersicht!$P$15,IF(INDEX(Audit_Werkzeuge!$F$12:$F$21,MATCH($A71,Audit_Werkzeuge!$K$12:$K$21,0))="","",INDEX(Audit_Werkzeuge!$F$12:$F$21,MATCH($A71,Audit_Werkzeuge!$K$12:$K$21,0))),IF(INDEX(Audit_Kompakt!$F$12:$F$35,MATCH($A71,Audit_Kompakt!$K$12:$K$35,0))="","",INDEX(Audit_Kompakt!$F$12:$F$35,MATCH($A71,Audit_Kompakt!$K$12:$K$35,0))))))),"")</f>
        <v/>
      </c>
      <c r="H71" s="41" t="str">
        <f aca="false">IFERROR(IF($A71="","",IF($A71&lt;=Übersicht!$P$13,IF(INDEX(Audit_Allgemein!$G$12:$G$50,MATCH($A71,Audit_Allgemein!$K$12:$K$50,0))="","",INDEX(Audit_Allgemein!$G$12:$G$50,MATCH($A71,Audit_Allgemein!$K$12:$K$50,0))),IF($A71&lt;=Übersicht!$P$14,IF(INDEX(Audit_Maschine!$G$12:$G$24,MATCH($A71,Audit_Maschine!$K$12:$K$24,0))="","",INDEX(Audit_Maschine!$G$12:$G$24,MATCH($A71,Audit_Maschine!$K$12:$K$24,0))),IF($A71&lt;=Übersicht!$P$15,IF(INDEX(Audit_Werkzeuge!$G$12:$G$21,MATCH($A71,Audit_Werkzeuge!$K$12:$K$21,0))="","",INDEX(Audit_Werkzeuge!$G$12:$G$21,MATCH($A71,Audit_Werkzeuge!$K$12:$K$21,0))),IF(INDEX(Audit_Kompakt!$G$12:$G$35,MATCH($A71,Audit_Kompakt!$K$12:$K$35,0))="","",INDEX(Audit_Kompakt!$G$12:$G$35,MATCH($A71,Audit_Kompakt!$K$12:$K$35,0))))))),"")</f>
        <v/>
      </c>
      <c r="I71" s="43" t="str">
        <f aca="false">IFERROR(IF($A71="","",IF($A71&lt;=Übersicht!$P$13,IF(INDEX(Audit_Allgemein!$H$12:$H$50,MATCH($A71,Audit_Allgemein!$K$12:$K$50,0))="","",INDEX(Audit_Allgemein!$H$12:$H$50,MATCH($A71,Audit_Allgemein!$K$12:$K$50,0))),IF($A71&lt;=Übersicht!$P$14,IF(INDEX(Audit_Maschine!$H$12:$H$24,MATCH($A71,Audit_Maschine!$K$12:$K$24,0))="","",INDEX(Audit_Maschine!$H$12:$H$24,MATCH($A71,Audit_Maschine!$K$12:$K$24,0))),IF($A71&lt;=Übersicht!$P$15,IF(INDEX(Audit_Werkzeuge!$H$12:$H$21,MATCH($A71,Audit_Werkzeuge!$K$12:$K$21,0))="","",INDEX(Audit_Werkzeuge!$H$12:$H$21,MATCH($A71,Audit_Werkzeuge!$K$12:$K$21,0))),IF(INDEX(Audit_Kompakt!$H$12:$H$35,MATCH($A71,Audit_Kompakt!$K$12:$K$35,0))="","",INDEX(Audit_Kompakt!$H$12:$H$35,MATCH($A71,Audit_Kompakt!$K$12:$K$35,0))))))),"")</f>
        <v/>
      </c>
      <c r="J71" s="41" t="str">
        <f aca="false">IFERROR(IF($A71="","",IF($A71&lt;=Übersicht!$P$13,IF(INDEX(Audit_Allgemein!$J$12:$J$50,MATCH($A71,Audit_Allgemein!$K$12:$K$50,0))="","",INDEX(Audit_Allgemein!$J$12:$J$50,MATCH($A71,Audit_Allgemein!$K$12:$K$50,0))),IF($A71&lt;=Übersicht!$P$14,IF(INDEX(Audit_Maschine!$J$12:$J$24,MATCH($A71,Audit_Maschine!$K$12:$K$24,0))="","",INDEX(Audit_Maschine!$J$12:$J$24,MATCH($A71,Audit_Maschine!$K$12:$K$24,0))),IF($A71&lt;=Übersicht!$P$15,IF(INDEX(Audit_Werkzeuge!$J$12:$J$21,MATCH($A71,Audit_Werkzeuge!$K$12:$K$21,0))="","",INDEX(Audit_Werkzeuge!$J$12:$J$21,MATCH($A71,Audit_Werkzeuge!$K$12:$K$21,0))),IF(INDEX(Audit_Kompakt!$J$12:$J$35,MATCH($A71,Audit_Kompakt!$K$12:$K$35,0))="","",INDEX(Audit_Kompakt!$J$12:$J$35,MATCH($A71,Audit_Kompakt!$K$12:$K$35,0))))))),"")</f>
        <v/>
      </c>
    </row>
    <row r="72" customFormat="false" ht="15" hidden="false" customHeight="false" outlineLevel="0" collapsed="false">
      <c r="A72" s="41" t="str">
        <f aca="false">IF(68&lt;=Übersicht!$M$17,68,"")</f>
        <v/>
      </c>
      <c r="B72" s="41" t="str">
        <f aca="false">IFERROR(IF($A72="","",IF($A72&lt;=Übersicht!$P$13,"Allgemein",IF($A72&lt;=Übersicht!$P$14,"Maschine",IF($A72&lt;=Übersicht!$P$15,"Werkzeug","Kompakt")))),"")</f>
        <v/>
      </c>
      <c r="C72" s="41" t="str">
        <f aca="false">IFERROR(IF($A72="","",IF($A72&lt;=Übersicht!$P$13,IF(Audit_Allgemein!$C$4="","–",Audit_Allgemein!$C$4),IF($A72&lt;=Übersicht!$P$14,IF(Audit_Maschine!$C$4="","–",Audit_Maschine!$C$4),IF($A72&lt;=Übersicht!$P$15,IF(Audit_Werkzeuge!$C$4="","–",Audit_Werkzeuge!$C$4),IF(Audit_Kompakt!$C$4="","–",Audit_Kompakt!$C$4))))),"")</f>
        <v/>
      </c>
      <c r="D72" s="41" t="str">
        <f aca="false">IFERROR(IF($A72="","",IF($A72&lt;=Übersicht!$P$13,IF(INDEX(Audit_Allgemein!$A$12:$A$50,MATCH($A72,Audit_Allgemein!$K$12:$K$50,0))="","",INDEX(Audit_Allgemein!$A$12:$A$50,MATCH($A72,Audit_Allgemein!$K$12:$K$50,0))),IF($A72&lt;=Übersicht!$P$14,IF(INDEX(Audit_Maschine!$A$12:$A$24,MATCH($A72,Audit_Maschine!$K$12:$K$24,0))="","",INDEX(Audit_Maschine!$A$12:$A$24,MATCH($A72,Audit_Maschine!$K$12:$K$24,0))),IF($A72&lt;=Übersicht!$P$15,IF(INDEX(Audit_Werkzeuge!$A$12:$A$21,MATCH($A72,Audit_Werkzeuge!$K$12:$K$21,0))="","",INDEX(Audit_Werkzeuge!$A$12:$A$21,MATCH($A72,Audit_Werkzeuge!$K$12:$K$21,0))),IF(INDEX(Audit_Kompakt!$A$12:$A$35,MATCH($A72,Audit_Kompakt!$K$12:$K$35,0))="","",INDEX(Audit_Kompakt!$A$12:$A$35,MATCH($A72,Audit_Kompakt!$K$12:$K$35,0))))))),"")</f>
        <v/>
      </c>
      <c r="E72" s="42" t="str">
        <f aca="false">IFERROR(IF($A72="","",IF($A72&lt;=Übersicht!$P$13,IF(INDEX(Audit_Allgemein!$C$12:$C$50,MATCH($A72,Audit_Allgemein!$K$12:$K$50,0))="","",INDEX(Audit_Allgemein!$C$12:$C$50,MATCH($A72,Audit_Allgemein!$K$12:$K$50,0))),IF($A72&lt;=Übersicht!$P$14,IF(INDEX(Audit_Maschine!$C$12:$C$24,MATCH($A72,Audit_Maschine!$K$12:$K$24,0))="","",INDEX(Audit_Maschine!$C$12:$C$24,MATCH($A72,Audit_Maschine!$K$12:$K$24,0))),IF($A72&lt;=Übersicht!$P$15,IF(INDEX(Audit_Werkzeuge!$C$12:$C$21,MATCH($A72,Audit_Werkzeuge!$K$12:$K$21,0))="","",INDEX(Audit_Werkzeuge!$C$12:$C$21,MATCH($A72,Audit_Werkzeuge!$K$12:$K$21,0))),IF(INDEX(Audit_Kompakt!$C$12:$C$35,MATCH($A72,Audit_Kompakt!$K$12:$K$35,0))="","",INDEX(Audit_Kompakt!$C$12:$C$35,MATCH($A72,Audit_Kompakt!$K$12:$K$35,0))))))),"")</f>
        <v/>
      </c>
      <c r="F72" s="41" t="str">
        <f aca="false">IFERROR(IF($A72="","",IF($A72&lt;=Übersicht!$P$13,IF(INDEX(Audit_Allgemein!$E$12:$E$50,MATCH($A72,Audit_Allgemein!$K$12:$K$50,0))="","",INDEX(Audit_Allgemein!$E$12:$E$50,MATCH($A72,Audit_Allgemein!$K$12:$K$50,0))),IF($A72&lt;=Übersicht!$P$14,IF(INDEX(Audit_Maschine!$E$12:$E$24,MATCH($A72,Audit_Maschine!$K$12:$K$24,0))="","",INDEX(Audit_Maschine!$E$12:$E$24,MATCH($A72,Audit_Maschine!$K$12:$K$24,0))),IF($A72&lt;=Übersicht!$P$15,IF(INDEX(Audit_Werkzeuge!$E$12:$E$21,MATCH($A72,Audit_Werkzeuge!$K$12:$K$21,0))="","",INDEX(Audit_Werkzeuge!$E$12:$E$21,MATCH($A72,Audit_Werkzeuge!$K$12:$K$21,0))),IF(INDEX(Audit_Kompakt!$E$12:$E$35,MATCH($A72,Audit_Kompakt!$K$12:$K$35,0))="","",INDEX(Audit_Kompakt!$E$12:$E$35,MATCH($A72,Audit_Kompakt!$K$12:$K$35,0))))))),"")</f>
        <v/>
      </c>
      <c r="G72" s="42" t="str">
        <f aca="false">IFERROR(IF($A72="","",IF($A72&lt;=Übersicht!$P$13,IF(INDEX(Audit_Allgemein!$F$12:$F$50,MATCH($A72,Audit_Allgemein!$K$12:$K$50,0))="","",INDEX(Audit_Allgemein!$F$12:$F$50,MATCH($A72,Audit_Allgemein!$K$12:$K$50,0))),IF($A72&lt;=Übersicht!$P$14,IF(INDEX(Audit_Maschine!$F$12:$F$24,MATCH($A72,Audit_Maschine!$K$12:$K$24,0))="","",INDEX(Audit_Maschine!$F$12:$F$24,MATCH($A72,Audit_Maschine!$K$12:$K$24,0))),IF($A72&lt;=Übersicht!$P$15,IF(INDEX(Audit_Werkzeuge!$F$12:$F$21,MATCH($A72,Audit_Werkzeuge!$K$12:$K$21,0))="","",INDEX(Audit_Werkzeuge!$F$12:$F$21,MATCH($A72,Audit_Werkzeuge!$K$12:$K$21,0))),IF(INDEX(Audit_Kompakt!$F$12:$F$35,MATCH($A72,Audit_Kompakt!$K$12:$K$35,0))="","",INDEX(Audit_Kompakt!$F$12:$F$35,MATCH($A72,Audit_Kompakt!$K$12:$K$35,0))))))),"")</f>
        <v/>
      </c>
      <c r="H72" s="41" t="str">
        <f aca="false">IFERROR(IF($A72="","",IF($A72&lt;=Übersicht!$P$13,IF(INDEX(Audit_Allgemein!$G$12:$G$50,MATCH($A72,Audit_Allgemein!$K$12:$K$50,0))="","",INDEX(Audit_Allgemein!$G$12:$G$50,MATCH($A72,Audit_Allgemein!$K$12:$K$50,0))),IF($A72&lt;=Übersicht!$P$14,IF(INDEX(Audit_Maschine!$G$12:$G$24,MATCH($A72,Audit_Maschine!$K$12:$K$24,0))="","",INDEX(Audit_Maschine!$G$12:$G$24,MATCH($A72,Audit_Maschine!$K$12:$K$24,0))),IF($A72&lt;=Übersicht!$P$15,IF(INDEX(Audit_Werkzeuge!$G$12:$G$21,MATCH($A72,Audit_Werkzeuge!$K$12:$K$21,0))="","",INDEX(Audit_Werkzeuge!$G$12:$G$21,MATCH($A72,Audit_Werkzeuge!$K$12:$K$21,0))),IF(INDEX(Audit_Kompakt!$G$12:$G$35,MATCH($A72,Audit_Kompakt!$K$12:$K$35,0))="","",INDEX(Audit_Kompakt!$G$12:$G$35,MATCH($A72,Audit_Kompakt!$K$12:$K$35,0))))))),"")</f>
        <v/>
      </c>
      <c r="I72" s="43" t="str">
        <f aca="false">IFERROR(IF($A72="","",IF($A72&lt;=Übersicht!$P$13,IF(INDEX(Audit_Allgemein!$H$12:$H$50,MATCH($A72,Audit_Allgemein!$K$12:$K$50,0))="","",INDEX(Audit_Allgemein!$H$12:$H$50,MATCH($A72,Audit_Allgemein!$K$12:$K$50,0))),IF($A72&lt;=Übersicht!$P$14,IF(INDEX(Audit_Maschine!$H$12:$H$24,MATCH($A72,Audit_Maschine!$K$12:$K$24,0))="","",INDEX(Audit_Maschine!$H$12:$H$24,MATCH($A72,Audit_Maschine!$K$12:$K$24,0))),IF($A72&lt;=Übersicht!$P$15,IF(INDEX(Audit_Werkzeuge!$H$12:$H$21,MATCH($A72,Audit_Werkzeuge!$K$12:$K$21,0))="","",INDEX(Audit_Werkzeuge!$H$12:$H$21,MATCH($A72,Audit_Werkzeuge!$K$12:$K$21,0))),IF(INDEX(Audit_Kompakt!$H$12:$H$35,MATCH($A72,Audit_Kompakt!$K$12:$K$35,0))="","",INDEX(Audit_Kompakt!$H$12:$H$35,MATCH($A72,Audit_Kompakt!$K$12:$K$35,0))))))),"")</f>
        <v/>
      </c>
      <c r="J72" s="41" t="str">
        <f aca="false">IFERROR(IF($A72="","",IF($A72&lt;=Übersicht!$P$13,IF(INDEX(Audit_Allgemein!$J$12:$J$50,MATCH($A72,Audit_Allgemein!$K$12:$K$50,0))="","",INDEX(Audit_Allgemein!$J$12:$J$50,MATCH($A72,Audit_Allgemein!$K$12:$K$50,0))),IF($A72&lt;=Übersicht!$P$14,IF(INDEX(Audit_Maschine!$J$12:$J$24,MATCH($A72,Audit_Maschine!$K$12:$K$24,0))="","",INDEX(Audit_Maschine!$J$12:$J$24,MATCH($A72,Audit_Maschine!$K$12:$K$24,0))),IF($A72&lt;=Übersicht!$P$15,IF(INDEX(Audit_Werkzeuge!$J$12:$J$21,MATCH($A72,Audit_Werkzeuge!$K$12:$K$21,0))="","",INDEX(Audit_Werkzeuge!$J$12:$J$21,MATCH($A72,Audit_Werkzeuge!$K$12:$K$21,0))),IF(INDEX(Audit_Kompakt!$J$12:$J$35,MATCH($A72,Audit_Kompakt!$K$12:$K$35,0))="","",INDEX(Audit_Kompakt!$J$12:$J$35,MATCH($A72,Audit_Kompakt!$K$12:$K$35,0))))))),"")</f>
        <v/>
      </c>
    </row>
    <row r="73" customFormat="false" ht="15" hidden="false" customHeight="false" outlineLevel="0" collapsed="false">
      <c r="A73" s="41" t="str">
        <f aca="false">IF(69&lt;=Übersicht!$M$17,69,"")</f>
        <v/>
      </c>
      <c r="B73" s="41" t="str">
        <f aca="false">IFERROR(IF($A73="","",IF($A73&lt;=Übersicht!$P$13,"Allgemein",IF($A73&lt;=Übersicht!$P$14,"Maschine",IF($A73&lt;=Übersicht!$P$15,"Werkzeug","Kompakt")))),"")</f>
        <v/>
      </c>
      <c r="C73" s="41" t="str">
        <f aca="false">IFERROR(IF($A73="","",IF($A73&lt;=Übersicht!$P$13,IF(Audit_Allgemein!$C$4="","–",Audit_Allgemein!$C$4),IF($A73&lt;=Übersicht!$P$14,IF(Audit_Maschine!$C$4="","–",Audit_Maschine!$C$4),IF($A73&lt;=Übersicht!$P$15,IF(Audit_Werkzeuge!$C$4="","–",Audit_Werkzeuge!$C$4),IF(Audit_Kompakt!$C$4="","–",Audit_Kompakt!$C$4))))),"")</f>
        <v/>
      </c>
      <c r="D73" s="41" t="str">
        <f aca="false">IFERROR(IF($A73="","",IF($A73&lt;=Übersicht!$P$13,IF(INDEX(Audit_Allgemein!$A$12:$A$50,MATCH($A73,Audit_Allgemein!$K$12:$K$50,0))="","",INDEX(Audit_Allgemein!$A$12:$A$50,MATCH($A73,Audit_Allgemein!$K$12:$K$50,0))),IF($A73&lt;=Übersicht!$P$14,IF(INDEX(Audit_Maschine!$A$12:$A$24,MATCH($A73,Audit_Maschine!$K$12:$K$24,0))="","",INDEX(Audit_Maschine!$A$12:$A$24,MATCH($A73,Audit_Maschine!$K$12:$K$24,0))),IF($A73&lt;=Übersicht!$P$15,IF(INDEX(Audit_Werkzeuge!$A$12:$A$21,MATCH($A73,Audit_Werkzeuge!$K$12:$K$21,0))="","",INDEX(Audit_Werkzeuge!$A$12:$A$21,MATCH($A73,Audit_Werkzeuge!$K$12:$K$21,0))),IF(INDEX(Audit_Kompakt!$A$12:$A$35,MATCH($A73,Audit_Kompakt!$K$12:$K$35,0))="","",INDEX(Audit_Kompakt!$A$12:$A$35,MATCH($A73,Audit_Kompakt!$K$12:$K$35,0))))))),"")</f>
        <v/>
      </c>
      <c r="E73" s="42" t="str">
        <f aca="false">IFERROR(IF($A73="","",IF($A73&lt;=Übersicht!$P$13,IF(INDEX(Audit_Allgemein!$C$12:$C$50,MATCH($A73,Audit_Allgemein!$K$12:$K$50,0))="","",INDEX(Audit_Allgemein!$C$12:$C$50,MATCH($A73,Audit_Allgemein!$K$12:$K$50,0))),IF($A73&lt;=Übersicht!$P$14,IF(INDEX(Audit_Maschine!$C$12:$C$24,MATCH($A73,Audit_Maschine!$K$12:$K$24,0))="","",INDEX(Audit_Maschine!$C$12:$C$24,MATCH($A73,Audit_Maschine!$K$12:$K$24,0))),IF($A73&lt;=Übersicht!$P$15,IF(INDEX(Audit_Werkzeuge!$C$12:$C$21,MATCH($A73,Audit_Werkzeuge!$K$12:$K$21,0))="","",INDEX(Audit_Werkzeuge!$C$12:$C$21,MATCH($A73,Audit_Werkzeuge!$K$12:$K$21,0))),IF(INDEX(Audit_Kompakt!$C$12:$C$35,MATCH($A73,Audit_Kompakt!$K$12:$K$35,0))="","",INDEX(Audit_Kompakt!$C$12:$C$35,MATCH($A73,Audit_Kompakt!$K$12:$K$35,0))))))),"")</f>
        <v/>
      </c>
      <c r="F73" s="41" t="str">
        <f aca="false">IFERROR(IF($A73="","",IF($A73&lt;=Übersicht!$P$13,IF(INDEX(Audit_Allgemein!$E$12:$E$50,MATCH($A73,Audit_Allgemein!$K$12:$K$50,0))="","",INDEX(Audit_Allgemein!$E$12:$E$50,MATCH($A73,Audit_Allgemein!$K$12:$K$50,0))),IF($A73&lt;=Übersicht!$P$14,IF(INDEX(Audit_Maschine!$E$12:$E$24,MATCH($A73,Audit_Maschine!$K$12:$K$24,0))="","",INDEX(Audit_Maschine!$E$12:$E$24,MATCH($A73,Audit_Maschine!$K$12:$K$24,0))),IF($A73&lt;=Übersicht!$P$15,IF(INDEX(Audit_Werkzeuge!$E$12:$E$21,MATCH($A73,Audit_Werkzeuge!$K$12:$K$21,0))="","",INDEX(Audit_Werkzeuge!$E$12:$E$21,MATCH($A73,Audit_Werkzeuge!$K$12:$K$21,0))),IF(INDEX(Audit_Kompakt!$E$12:$E$35,MATCH($A73,Audit_Kompakt!$K$12:$K$35,0))="","",INDEX(Audit_Kompakt!$E$12:$E$35,MATCH($A73,Audit_Kompakt!$K$12:$K$35,0))))))),"")</f>
        <v/>
      </c>
      <c r="G73" s="42" t="str">
        <f aca="false">IFERROR(IF($A73="","",IF($A73&lt;=Übersicht!$P$13,IF(INDEX(Audit_Allgemein!$F$12:$F$50,MATCH($A73,Audit_Allgemein!$K$12:$K$50,0))="","",INDEX(Audit_Allgemein!$F$12:$F$50,MATCH($A73,Audit_Allgemein!$K$12:$K$50,0))),IF($A73&lt;=Übersicht!$P$14,IF(INDEX(Audit_Maschine!$F$12:$F$24,MATCH($A73,Audit_Maschine!$K$12:$K$24,0))="","",INDEX(Audit_Maschine!$F$12:$F$24,MATCH($A73,Audit_Maschine!$K$12:$K$24,0))),IF($A73&lt;=Übersicht!$P$15,IF(INDEX(Audit_Werkzeuge!$F$12:$F$21,MATCH($A73,Audit_Werkzeuge!$K$12:$K$21,0))="","",INDEX(Audit_Werkzeuge!$F$12:$F$21,MATCH($A73,Audit_Werkzeuge!$K$12:$K$21,0))),IF(INDEX(Audit_Kompakt!$F$12:$F$35,MATCH($A73,Audit_Kompakt!$K$12:$K$35,0))="","",INDEX(Audit_Kompakt!$F$12:$F$35,MATCH($A73,Audit_Kompakt!$K$12:$K$35,0))))))),"")</f>
        <v/>
      </c>
      <c r="H73" s="41" t="str">
        <f aca="false">IFERROR(IF($A73="","",IF($A73&lt;=Übersicht!$P$13,IF(INDEX(Audit_Allgemein!$G$12:$G$50,MATCH($A73,Audit_Allgemein!$K$12:$K$50,0))="","",INDEX(Audit_Allgemein!$G$12:$G$50,MATCH($A73,Audit_Allgemein!$K$12:$K$50,0))),IF($A73&lt;=Übersicht!$P$14,IF(INDEX(Audit_Maschine!$G$12:$G$24,MATCH($A73,Audit_Maschine!$K$12:$K$24,0))="","",INDEX(Audit_Maschine!$G$12:$G$24,MATCH($A73,Audit_Maschine!$K$12:$K$24,0))),IF($A73&lt;=Übersicht!$P$15,IF(INDEX(Audit_Werkzeuge!$G$12:$G$21,MATCH($A73,Audit_Werkzeuge!$K$12:$K$21,0))="","",INDEX(Audit_Werkzeuge!$G$12:$G$21,MATCH($A73,Audit_Werkzeuge!$K$12:$K$21,0))),IF(INDEX(Audit_Kompakt!$G$12:$G$35,MATCH($A73,Audit_Kompakt!$K$12:$K$35,0))="","",INDEX(Audit_Kompakt!$G$12:$G$35,MATCH($A73,Audit_Kompakt!$K$12:$K$35,0))))))),"")</f>
        <v/>
      </c>
      <c r="I73" s="43" t="str">
        <f aca="false">IFERROR(IF($A73="","",IF($A73&lt;=Übersicht!$P$13,IF(INDEX(Audit_Allgemein!$H$12:$H$50,MATCH($A73,Audit_Allgemein!$K$12:$K$50,0))="","",INDEX(Audit_Allgemein!$H$12:$H$50,MATCH($A73,Audit_Allgemein!$K$12:$K$50,0))),IF($A73&lt;=Übersicht!$P$14,IF(INDEX(Audit_Maschine!$H$12:$H$24,MATCH($A73,Audit_Maschine!$K$12:$K$24,0))="","",INDEX(Audit_Maschine!$H$12:$H$24,MATCH($A73,Audit_Maschine!$K$12:$K$24,0))),IF($A73&lt;=Übersicht!$P$15,IF(INDEX(Audit_Werkzeuge!$H$12:$H$21,MATCH($A73,Audit_Werkzeuge!$K$12:$K$21,0))="","",INDEX(Audit_Werkzeuge!$H$12:$H$21,MATCH($A73,Audit_Werkzeuge!$K$12:$K$21,0))),IF(INDEX(Audit_Kompakt!$H$12:$H$35,MATCH($A73,Audit_Kompakt!$K$12:$K$35,0))="","",INDEX(Audit_Kompakt!$H$12:$H$35,MATCH($A73,Audit_Kompakt!$K$12:$K$35,0))))))),"")</f>
        <v/>
      </c>
      <c r="J73" s="41" t="str">
        <f aca="false">IFERROR(IF($A73="","",IF($A73&lt;=Übersicht!$P$13,IF(INDEX(Audit_Allgemein!$J$12:$J$50,MATCH($A73,Audit_Allgemein!$K$12:$K$50,0))="","",INDEX(Audit_Allgemein!$J$12:$J$50,MATCH($A73,Audit_Allgemein!$K$12:$K$50,0))),IF($A73&lt;=Übersicht!$P$14,IF(INDEX(Audit_Maschine!$J$12:$J$24,MATCH($A73,Audit_Maschine!$K$12:$K$24,0))="","",INDEX(Audit_Maschine!$J$12:$J$24,MATCH($A73,Audit_Maschine!$K$12:$K$24,0))),IF($A73&lt;=Übersicht!$P$15,IF(INDEX(Audit_Werkzeuge!$J$12:$J$21,MATCH($A73,Audit_Werkzeuge!$K$12:$K$21,0))="","",INDEX(Audit_Werkzeuge!$J$12:$J$21,MATCH($A73,Audit_Werkzeuge!$K$12:$K$21,0))),IF(INDEX(Audit_Kompakt!$J$12:$J$35,MATCH($A73,Audit_Kompakt!$K$12:$K$35,0))="","",INDEX(Audit_Kompakt!$J$12:$J$35,MATCH($A73,Audit_Kompakt!$K$12:$K$35,0))))))),"")</f>
        <v/>
      </c>
    </row>
    <row r="74" customFormat="false" ht="15" hidden="false" customHeight="false" outlineLevel="0" collapsed="false">
      <c r="A74" s="41" t="str">
        <f aca="false">IF(70&lt;=Übersicht!$M$17,70,"")</f>
        <v/>
      </c>
      <c r="B74" s="41" t="str">
        <f aca="false">IFERROR(IF($A74="","",IF($A74&lt;=Übersicht!$P$13,"Allgemein",IF($A74&lt;=Übersicht!$P$14,"Maschine",IF($A74&lt;=Übersicht!$P$15,"Werkzeug","Kompakt")))),"")</f>
        <v/>
      </c>
      <c r="C74" s="41" t="str">
        <f aca="false">IFERROR(IF($A74="","",IF($A74&lt;=Übersicht!$P$13,IF(Audit_Allgemein!$C$4="","–",Audit_Allgemein!$C$4),IF($A74&lt;=Übersicht!$P$14,IF(Audit_Maschine!$C$4="","–",Audit_Maschine!$C$4),IF($A74&lt;=Übersicht!$P$15,IF(Audit_Werkzeuge!$C$4="","–",Audit_Werkzeuge!$C$4),IF(Audit_Kompakt!$C$4="","–",Audit_Kompakt!$C$4))))),"")</f>
        <v/>
      </c>
      <c r="D74" s="41" t="str">
        <f aca="false">IFERROR(IF($A74="","",IF($A74&lt;=Übersicht!$P$13,IF(INDEX(Audit_Allgemein!$A$12:$A$50,MATCH($A74,Audit_Allgemein!$K$12:$K$50,0))="","",INDEX(Audit_Allgemein!$A$12:$A$50,MATCH($A74,Audit_Allgemein!$K$12:$K$50,0))),IF($A74&lt;=Übersicht!$P$14,IF(INDEX(Audit_Maschine!$A$12:$A$24,MATCH($A74,Audit_Maschine!$K$12:$K$24,0))="","",INDEX(Audit_Maschine!$A$12:$A$24,MATCH($A74,Audit_Maschine!$K$12:$K$24,0))),IF($A74&lt;=Übersicht!$P$15,IF(INDEX(Audit_Werkzeuge!$A$12:$A$21,MATCH($A74,Audit_Werkzeuge!$K$12:$K$21,0))="","",INDEX(Audit_Werkzeuge!$A$12:$A$21,MATCH($A74,Audit_Werkzeuge!$K$12:$K$21,0))),IF(INDEX(Audit_Kompakt!$A$12:$A$35,MATCH($A74,Audit_Kompakt!$K$12:$K$35,0))="","",INDEX(Audit_Kompakt!$A$12:$A$35,MATCH($A74,Audit_Kompakt!$K$12:$K$35,0))))))),"")</f>
        <v/>
      </c>
      <c r="E74" s="42" t="str">
        <f aca="false">IFERROR(IF($A74="","",IF($A74&lt;=Übersicht!$P$13,IF(INDEX(Audit_Allgemein!$C$12:$C$50,MATCH($A74,Audit_Allgemein!$K$12:$K$50,0))="","",INDEX(Audit_Allgemein!$C$12:$C$50,MATCH($A74,Audit_Allgemein!$K$12:$K$50,0))),IF($A74&lt;=Übersicht!$P$14,IF(INDEX(Audit_Maschine!$C$12:$C$24,MATCH($A74,Audit_Maschine!$K$12:$K$24,0))="","",INDEX(Audit_Maschine!$C$12:$C$24,MATCH($A74,Audit_Maschine!$K$12:$K$24,0))),IF($A74&lt;=Übersicht!$P$15,IF(INDEX(Audit_Werkzeuge!$C$12:$C$21,MATCH($A74,Audit_Werkzeuge!$K$12:$K$21,0))="","",INDEX(Audit_Werkzeuge!$C$12:$C$21,MATCH($A74,Audit_Werkzeuge!$K$12:$K$21,0))),IF(INDEX(Audit_Kompakt!$C$12:$C$35,MATCH($A74,Audit_Kompakt!$K$12:$K$35,0))="","",INDEX(Audit_Kompakt!$C$12:$C$35,MATCH($A74,Audit_Kompakt!$K$12:$K$35,0))))))),"")</f>
        <v/>
      </c>
      <c r="F74" s="41" t="str">
        <f aca="false">IFERROR(IF($A74="","",IF($A74&lt;=Übersicht!$P$13,IF(INDEX(Audit_Allgemein!$E$12:$E$50,MATCH($A74,Audit_Allgemein!$K$12:$K$50,0))="","",INDEX(Audit_Allgemein!$E$12:$E$50,MATCH($A74,Audit_Allgemein!$K$12:$K$50,0))),IF($A74&lt;=Übersicht!$P$14,IF(INDEX(Audit_Maschine!$E$12:$E$24,MATCH($A74,Audit_Maschine!$K$12:$K$24,0))="","",INDEX(Audit_Maschine!$E$12:$E$24,MATCH($A74,Audit_Maschine!$K$12:$K$24,0))),IF($A74&lt;=Übersicht!$P$15,IF(INDEX(Audit_Werkzeuge!$E$12:$E$21,MATCH($A74,Audit_Werkzeuge!$K$12:$K$21,0))="","",INDEX(Audit_Werkzeuge!$E$12:$E$21,MATCH($A74,Audit_Werkzeuge!$K$12:$K$21,0))),IF(INDEX(Audit_Kompakt!$E$12:$E$35,MATCH($A74,Audit_Kompakt!$K$12:$K$35,0))="","",INDEX(Audit_Kompakt!$E$12:$E$35,MATCH($A74,Audit_Kompakt!$K$12:$K$35,0))))))),"")</f>
        <v/>
      </c>
      <c r="G74" s="42" t="str">
        <f aca="false">IFERROR(IF($A74="","",IF($A74&lt;=Übersicht!$P$13,IF(INDEX(Audit_Allgemein!$F$12:$F$50,MATCH($A74,Audit_Allgemein!$K$12:$K$50,0))="","",INDEX(Audit_Allgemein!$F$12:$F$50,MATCH($A74,Audit_Allgemein!$K$12:$K$50,0))),IF($A74&lt;=Übersicht!$P$14,IF(INDEX(Audit_Maschine!$F$12:$F$24,MATCH($A74,Audit_Maschine!$K$12:$K$24,0))="","",INDEX(Audit_Maschine!$F$12:$F$24,MATCH($A74,Audit_Maschine!$K$12:$K$24,0))),IF($A74&lt;=Übersicht!$P$15,IF(INDEX(Audit_Werkzeuge!$F$12:$F$21,MATCH($A74,Audit_Werkzeuge!$K$12:$K$21,0))="","",INDEX(Audit_Werkzeuge!$F$12:$F$21,MATCH($A74,Audit_Werkzeuge!$K$12:$K$21,0))),IF(INDEX(Audit_Kompakt!$F$12:$F$35,MATCH($A74,Audit_Kompakt!$K$12:$K$35,0))="","",INDEX(Audit_Kompakt!$F$12:$F$35,MATCH($A74,Audit_Kompakt!$K$12:$K$35,0))))))),"")</f>
        <v/>
      </c>
      <c r="H74" s="41" t="str">
        <f aca="false">IFERROR(IF($A74="","",IF($A74&lt;=Übersicht!$P$13,IF(INDEX(Audit_Allgemein!$G$12:$G$50,MATCH($A74,Audit_Allgemein!$K$12:$K$50,0))="","",INDEX(Audit_Allgemein!$G$12:$G$50,MATCH($A74,Audit_Allgemein!$K$12:$K$50,0))),IF($A74&lt;=Übersicht!$P$14,IF(INDEX(Audit_Maschine!$G$12:$G$24,MATCH($A74,Audit_Maschine!$K$12:$K$24,0))="","",INDEX(Audit_Maschine!$G$12:$G$24,MATCH($A74,Audit_Maschine!$K$12:$K$24,0))),IF($A74&lt;=Übersicht!$P$15,IF(INDEX(Audit_Werkzeuge!$G$12:$G$21,MATCH($A74,Audit_Werkzeuge!$K$12:$K$21,0))="","",INDEX(Audit_Werkzeuge!$G$12:$G$21,MATCH($A74,Audit_Werkzeuge!$K$12:$K$21,0))),IF(INDEX(Audit_Kompakt!$G$12:$G$35,MATCH($A74,Audit_Kompakt!$K$12:$K$35,0))="","",INDEX(Audit_Kompakt!$G$12:$G$35,MATCH($A74,Audit_Kompakt!$K$12:$K$35,0))))))),"")</f>
        <v/>
      </c>
      <c r="I74" s="43" t="str">
        <f aca="false">IFERROR(IF($A74="","",IF($A74&lt;=Übersicht!$P$13,IF(INDEX(Audit_Allgemein!$H$12:$H$50,MATCH($A74,Audit_Allgemein!$K$12:$K$50,0))="","",INDEX(Audit_Allgemein!$H$12:$H$50,MATCH($A74,Audit_Allgemein!$K$12:$K$50,0))),IF($A74&lt;=Übersicht!$P$14,IF(INDEX(Audit_Maschine!$H$12:$H$24,MATCH($A74,Audit_Maschine!$K$12:$K$24,0))="","",INDEX(Audit_Maschine!$H$12:$H$24,MATCH($A74,Audit_Maschine!$K$12:$K$24,0))),IF($A74&lt;=Übersicht!$P$15,IF(INDEX(Audit_Werkzeuge!$H$12:$H$21,MATCH($A74,Audit_Werkzeuge!$K$12:$K$21,0))="","",INDEX(Audit_Werkzeuge!$H$12:$H$21,MATCH($A74,Audit_Werkzeuge!$K$12:$K$21,0))),IF(INDEX(Audit_Kompakt!$H$12:$H$35,MATCH($A74,Audit_Kompakt!$K$12:$K$35,0))="","",INDEX(Audit_Kompakt!$H$12:$H$35,MATCH($A74,Audit_Kompakt!$K$12:$K$35,0))))))),"")</f>
        <v/>
      </c>
      <c r="J74" s="41" t="str">
        <f aca="false">IFERROR(IF($A74="","",IF($A74&lt;=Übersicht!$P$13,IF(INDEX(Audit_Allgemein!$J$12:$J$50,MATCH($A74,Audit_Allgemein!$K$12:$K$50,0))="","",INDEX(Audit_Allgemein!$J$12:$J$50,MATCH($A74,Audit_Allgemein!$K$12:$K$50,0))),IF($A74&lt;=Übersicht!$P$14,IF(INDEX(Audit_Maschine!$J$12:$J$24,MATCH($A74,Audit_Maschine!$K$12:$K$24,0))="","",INDEX(Audit_Maschine!$J$12:$J$24,MATCH($A74,Audit_Maschine!$K$12:$K$24,0))),IF($A74&lt;=Übersicht!$P$15,IF(INDEX(Audit_Werkzeuge!$J$12:$J$21,MATCH($A74,Audit_Werkzeuge!$K$12:$K$21,0))="","",INDEX(Audit_Werkzeuge!$J$12:$J$21,MATCH($A74,Audit_Werkzeuge!$K$12:$K$21,0))),IF(INDEX(Audit_Kompakt!$J$12:$J$35,MATCH($A74,Audit_Kompakt!$K$12:$K$35,0))="","",INDEX(Audit_Kompakt!$J$12:$J$35,MATCH($A74,Audit_Kompakt!$K$12:$K$35,0))))))),"")</f>
        <v/>
      </c>
    </row>
    <row r="75" customFormat="false" ht="15" hidden="false" customHeight="false" outlineLevel="0" collapsed="false">
      <c r="A75" s="41" t="str">
        <f aca="false">IF(71&lt;=Übersicht!$M$17,71,"")</f>
        <v/>
      </c>
      <c r="B75" s="41" t="str">
        <f aca="false">IFERROR(IF($A75="","",IF($A75&lt;=Übersicht!$P$13,"Allgemein",IF($A75&lt;=Übersicht!$P$14,"Maschine",IF($A75&lt;=Übersicht!$P$15,"Werkzeug","Kompakt")))),"")</f>
        <v/>
      </c>
      <c r="C75" s="41" t="str">
        <f aca="false">IFERROR(IF($A75="","",IF($A75&lt;=Übersicht!$P$13,IF(Audit_Allgemein!$C$4="","–",Audit_Allgemein!$C$4),IF($A75&lt;=Übersicht!$P$14,IF(Audit_Maschine!$C$4="","–",Audit_Maschine!$C$4),IF($A75&lt;=Übersicht!$P$15,IF(Audit_Werkzeuge!$C$4="","–",Audit_Werkzeuge!$C$4),IF(Audit_Kompakt!$C$4="","–",Audit_Kompakt!$C$4))))),"")</f>
        <v/>
      </c>
      <c r="D75" s="41" t="str">
        <f aca="false">IFERROR(IF($A75="","",IF($A75&lt;=Übersicht!$P$13,IF(INDEX(Audit_Allgemein!$A$12:$A$50,MATCH($A75,Audit_Allgemein!$K$12:$K$50,0))="","",INDEX(Audit_Allgemein!$A$12:$A$50,MATCH($A75,Audit_Allgemein!$K$12:$K$50,0))),IF($A75&lt;=Übersicht!$P$14,IF(INDEX(Audit_Maschine!$A$12:$A$24,MATCH($A75,Audit_Maschine!$K$12:$K$24,0))="","",INDEX(Audit_Maschine!$A$12:$A$24,MATCH($A75,Audit_Maschine!$K$12:$K$24,0))),IF($A75&lt;=Übersicht!$P$15,IF(INDEX(Audit_Werkzeuge!$A$12:$A$21,MATCH($A75,Audit_Werkzeuge!$K$12:$K$21,0))="","",INDEX(Audit_Werkzeuge!$A$12:$A$21,MATCH($A75,Audit_Werkzeuge!$K$12:$K$21,0))),IF(INDEX(Audit_Kompakt!$A$12:$A$35,MATCH($A75,Audit_Kompakt!$K$12:$K$35,0))="","",INDEX(Audit_Kompakt!$A$12:$A$35,MATCH($A75,Audit_Kompakt!$K$12:$K$35,0))))))),"")</f>
        <v/>
      </c>
      <c r="E75" s="42" t="str">
        <f aca="false">IFERROR(IF($A75="","",IF($A75&lt;=Übersicht!$P$13,IF(INDEX(Audit_Allgemein!$C$12:$C$50,MATCH($A75,Audit_Allgemein!$K$12:$K$50,0))="","",INDEX(Audit_Allgemein!$C$12:$C$50,MATCH($A75,Audit_Allgemein!$K$12:$K$50,0))),IF($A75&lt;=Übersicht!$P$14,IF(INDEX(Audit_Maschine!$C$12:$C$24,MATCH($A75,Audit_Maschine!$K$12:$K$24,0))="","",INDEX(Audit_Maschine!$C$12:$C$24,MATCH($A75,Audit_Maschine!$K$12:$K$24,0))),IF($A75&lt;=Übersicht!$P$15,IF(INDEX(Audit_Werkzeuge!$C$12:$C$21,MATCH($A75,Audit_Werkzeuge!$K$12:$K$21,0))="","",INDEX(Audit_Werkzeuge!$C$12:$C$21,MATCH($A75,Audit_Werkzeuge!$K$12:$K$21,0))),IF(INDEX(Audit_Kompakt!$C$12:$C$35,MATCH($A75,Audit_Kompakt!$K$12:$K$35,0))="","",INDEX(Audit_Kompakt!$C$12:$C$35,MATCH($A75,Audit_Kompakt!$K$12:$K$35,0))))))),"")</f>
        <v/>
      </c>
      <c r="F75" s="41" t="str">
        <f aca="false">IFERROR(IF($A75="","",IF($A75&lt;=Übersicht!$P$13,IF(INDEX(Audit_Allgemein!$E$12:$E$50,MATCH($A75,Audit_Allgemein!$K$12:$K$50,0))="","",INDEX(Audit_Allgemein!$E$12:$E$50,MATCH($A75,Audit_Allgemein!$K$12:$K$50,0))),IF($A75&lt;=Übersicht!$P$14,IF(INDEX(Audit_Maschine!$E$12:$E$24,MATCH($A75,Audit_Maschine!$K$12:$K$24,0))="","",INDEX(Audit_Maschine!$E$12:$E$24,MATCH($A75,Audit_Maschine!$K$12:$K$24,0))),IF($A75&lt;=Übersicht!$P$15,IF(INDEX(Audit_Werkzeuge!$E$12:$E$21,MATCH($A75,Audit_Werkzeuge!$K$12:$K$21,0))="","",INDEX(Audit_Werkzeuge!$E$12:$E$21,MATCH($A75,Audit_Werkzeuge!$K$12:$K$21,0))),IF(INDEX(Audit_Kompakt!$E$12:$E$35,MATCH($A75,Audit_Kompakt!$K$12:$K$35,0))="","",INDEX(Audit_Kompakt!$E$12:$E$35,MATCH($A75,Audit_Kompakt!$K$12:$K$35,0))))))),"")</f>
        <v/>
      </c>
      <c r="G75" s="42" t="str">
        <f aca="false">IFERROR(IF($A75="","",IF($A75&lt;=Übersicht!$P$13,IF(INDEX(Audit_Allgemein!$F$12:$F$50,MATCH($A75,Audit_Allgemein!$K$12:$K$50,0))="","",INDEX(Audit_Allgemein!$F$12:$F$50,MATCH($A75,Audit_Allgemein!$K$12:$K$50,0))),IF($A75&lt;=Übersicht!$P$14,IF(INDEX(Audit_Maschine!$F$12:$F$24,MATCH($A75,Audit_Maschine!$K$12:$K$24,0))="","",INDEX(Audit_Maschine!$F$12:$F$24,MATCH($A75,Audit_Maschine!$K$12:$K$24,0))),IF($A75&lt;=Übersicht!$P$15,IF(INDEX(Audit_Werkzeuge!$F$12:$F$21,MATCH($A75,Audit_Werkzeuge!$K$12:$K$21,0))="","",INDEX(Audit_Werkzeuge!$F$12:$F$21,MATCH($A75,Audit_Werkzeuge!$K$12:$K$21,0))),IF(INDEX(Audit_Kompakt!$F$12:$F$35,MATCH($A75,Audit_Kompakt!$K$12:$K$35,0))="","",INDEX(Audit_Kompakt!$F$12:$F$35,MATCH($A75,Audit_Kompakt!$K$12:$K$35,0))))))),"")</f>
        <v/>
      </c>
      <c r="H75" s="41" t="str">
        <f aca="false">IFERROR(IF($A75="","",IF($A75&lt;=Übersicht!$P$13,IF(INDEX(Audit_Allgemein!$G$12:$G$50,MATCH($A75,Audit_Allgemein!$K$12:$K$50,0))="","",INDEX(Audit_Allgemein!$G$12:$G$50,MATCH($A75,Audit_Allgemein!$K$12:$K$50,0))),IF($A75&lt;=Übersicht!$P$14,IF(INDEX(Audit_Maschine!$G$12:$G$24,MATCH($A75,Audit_Maschine!$K$12:$K$24,0))="","",INDEX(Audit_Maschine!$G$12:$G$24,MATCH($A75,Audit_Maschine!$K$12:$K$24,0))),IF($A75&lt;=Übersicht!$P$15,IF(INDEX(Audit_Werkzeuge!$G$12:$G$21,MATCH($A75,Audit_Werkzeuge!$K$12:$K$21,0))="","",INDEX(Audit_Werkzeuge!$G$12:$G$21,MATCH($A75,Audit_Werkzeuge!$K$12:$K$21,0))),IF(INDEX(Audit_Kompakt!$G$12:$G$35,MATCH($A75,Audit_Kompakt!$K$12:$K$35,0))="","",INDEX(Audit_Kompakt!$G$12:$G$35,MATCH($A75,Audit_Kompakt!$K$12:$K$35,0))))))),"")</f>
        <v/>
      </c>
      <c r="I75" s="43" t="str">
        <f aca="false">IFERROR(IF($A75="","",IF($A75&lt;=Übersicht!$P$13,IF(INDEX(Audit_Allgemein!$H$12:$H$50,MATCH($A75,Audit_Allgemein!$K$12:$K$50,0))="","",INDEX(Audit_Allgemein!$H$12:$H$50,MATCH($A75,Audit_Allgemein!$K$12:$K$50,0))),IF($A75&lt;=Übersicht!$P$14,IF(INDEX(Audit_Maschine!$H$12:$H$24,MATCH($A75,Audit_Maschine!$K$12:$K$24,0))="","",INDEX(Audit_Maschine!$H$12:$H$24,MATCH($A75,Audit_Maschine!$K$12:$K$24,0))),IF($A75&lt;=Übersicht!$P$15,IF(INDEX(Audit_Werkzeuge!$H$12:$H$21,MATCH($A75,Audit_Werkzeuge!$K$12:$K$21,0))="","",INDEX(Audit_Werkzeuge!$H$12:$H$21,MATCH($A75,Audit_Werkzeuge!$K$12:$K$21,0))),IF(INDEX(Audit_Kompakt!$H$12:$H$35,MATCH($A75,Audit_Kompakt!$K$12:$K$35,0))="","",INDEX(Audit_Kompakt!$H$12:$H$35,MATCH($A75,Audit_Kompakt!$K$12:$K$35,0))))))),"")</f>
        <v/>
      </c>
      <c r="J75" s="41" t="str">
        <f aca="false">IFERROR(IF($A75="","",IF($A75&lt;=Übersicht!$P$13,IF(INDEX(Audit_Allgemein!$J$12:$J$50,MATCH($A75,Audit_Allgemein!$K$12:$K$50,0))="","",INDEX(Audit_Allgemein!$J$12:$J$50,MATCH($A75,Audit_Allgemein!$K$12:$K$50,0))),IF($A75&lt;=Übersicht!$P$14,IF(INDEX(Audit_Maschine!$J$12:$J$24,MATCH($A75,Audit_Maschine!$K$12:$K$24,0))="","",INDEX(Audit_Maschine!$J$12:$J$24,MATCH($A75,Audit_Maschine!$K$12:$K$24,0))),IF($A75&lt;=Übersicht!$P$15,IF(INDEX(Audit_Werkzeuge!$J$12:$J$21,MATCH($A75,Audit_Werkzeuge!$K$12:$K$21,0))="","",INDEX(Audit_Werkzeuge!$J$12:$J$21,MATCH($A75,Audit_Werkzeuge!$K$12:$K$21,0))),IF(INDEX(Audit_Kompakt!$J$12:$J$35,MATCH($A75,Audit_Kompakt!$K$12:$K$35,0))="","",INDEX(Audit_Kompakt!$J$12:$J$35,MATCH($A75,Audit_Kompakt!$K$12:$K$35,0))))))),"")</f>
        <v/>
      </c>
    </row>
    <row r="76" customFormat="false" ht="15" hidden="false" customHeight="false" outlineLevel="0" collapsed="false">
      <c r="A76" s="41" t="str">
        <f aca="false">IF(72&lt;=Übersicht!$M$17,72,"")</f>
        <v/>
      </c>
      <c r="B76" s="41" t="str">
        <f aca="false">IFERROR(IF($A76="","",IF($A76&lt;=Übersicht!$P$13,"Allgemein",IF($A76&lt;=Übersicht!$P$14,"Maschine",IF($A76&lt;=Übersicht!$P$15,"Werkzeug","Kompakt")))),"")</f>
        <v/>
      </c>
      <c r="C76" s="41" t="str">
        <f aca="false">IFERROR(IF($A76="","",IF($A76&lt;=Übersicht!$P$13,IF(Audit_Allgemein!$C$4="","–",Audit_Allgemein!$C$4),IF($A76&lt;=Übersicht!$P$14,IF(Audit_Maschine!$C$4="","–",Audit_Maschine!$C$4),IF($A76&lt;=Übersicht!$P$15,IF(Audit_Werkzeuge!$C$4="","–",Audit_Werkzeuge!$C$4),IF(Audit_Kompakt!$C$4="","–",Audit_Kompakt!$C$4))))),"")</f>
        <v/>
      </c>
      <c r="D76" s="41" t="str">
        <f aca="false">IFERROR(IF($A76="","",IF($A76&lt;=Übersicht!$P$13,IF(INDEX(Audit_Allgemein!$A$12:$A$50,MATCH($A76,Audit_Allgemein!$K$12:$K$50,0))="","",INDEX(Audit_Allgemein!$A$12:$A$50,MATCH($A76,Audit_Allgemein!$K$12:$K$50,0))),IF($A76&lt;=Übersicht!$P$14,IF(INDEX(Audit_Maschine!$A$12:$A$24,MATCH($A76,Audit_Maschine!$K$12:$K$24,0))="","",INDEX(Audit_Maschine!$A$12:$A$24,MATCH($A76,Audit_Maschine!$K$12:$K$24,0))),IF($A76&lt;=Übersicht!$P$15,IF(INDEX(Audit_Werkzeuge!$A$12:$A$21,MATCH($A76,Audit_Werkzeuge!$K$12:$K$21,0))="","",INDEX(Audit_Werkzeuge!$A$12:$A$21,MATCH($A76,Audit_Werkzeuge!$K$12:$K$21,0))),IF(INDEX(Audit_Kompakt!$A$12:$A$35,MATCH($A76,Audit_Kompakt!$K$12:$K$35,0))="","",INDEX(Audit_Kompakt!$A$12:$A$35,MATCH($A76,Audit_Kompakt!$K$12:$K$35,0))))))),"")</f>
        <v/>
      </c>
      <c r="E76" s="42" t="str">
        <f aca="false">IFERROR(IF($A76="","",IF($A76&lt;=Übersicht!$P$13,IF(INDEX(Audit_Allgemein!$C$12:$C$50,MATCH($A76,Audit_Allgemein!$K$12:$K$50,0))="","",INDEX(Audit_Allgemein!$C$12:$C$50,MATCH($A76,Audit_Allgemein!$K$12:$K$50,0))),IF($A76&lt;=Übersicht!$P$14,IF(INDEX(Audit_Maschine!$C$12:$C$24,MATCH($A76,Audit_Maschine!$K$12:$K$24,0))="","",INDEX(Audit_Maschine!$C$12:$C$24,MATCH($A76,Audit_Maschine!$K$12:$K$24,0))),IF($A76&lt;=Übersicht!$P$15,IF(INDEX(Audit_Werkzeuge!$C$12:$C$21,MATCH($A76,Audit_Werkzeuge!$K$12:$K$21,0))="","",INDEX(Audit_Werkzeuge!$C$12:$C$21,MATCH($A76,Audit_Werkzeuge!$K$12:$K$21,0))),IF(INDEX(Audit_Kompakt!$C$12:$C$35,MATCH($A76,Audit_Kompakt!$K$12:$K$35,0))="","",INDEX(Audit_Kompakt!$C$12:$C$35,MATCH($A76,Audit_Kompakt!$K$12:$K$35,0))))))),"")</f>
        <v/>
      </c>
      <c r="F76" s="41" t="str">
        <f aca="false">IFERROR(IF($A76="","",IF($A76&lt;=Übersicht!$P$13,IF(INDEX(Audit_Allgemein!$E$12:$E$50,MATCH($A76,Audit_Allgemein!$K$12:$K$50,0))="","",INDEX(Audit_Allgemein!$E$12:$E$50,MATCH($A76,Audit_Allgemein!$K$12:$K$50,0))),IF($A76&lt;=Übersicht!$P$14,IF(INDEX(Audit_Maschine!$E$12:$E$24,MATCH($A76,Audit_Maschine!$K$12:$K$24,0))="","",INDEX(Audit_Maschine!$E$12:$E$24,MATCH($A76,Audit_Maschine!$K$12:$K$24,0))),IF($A76&lt;=Übersicht!$P$15,IF(INDEX(Audit_Werkzeuge!$E$12:$E$21,MATCH($A76,Audit_Werkzeuge!$K$12:$K$21,0))="","",INDEX(Audit_Werkzeuge!$E$12:$E$21,MATCH($A76,Audit_Werkzeuge!$K$12:$K$21,0))),IF(INDEX(Audit_Kompakt!$E$12:$E$35,MATCH($A76,Audit_Kompakt!$K$12:$K$35,0))="","",INDEX(Audit_Kompakt!$E$12:$E$35,MATCH($A76,Audit_Kompakt!$K$12:$K$35,0))))))),"")</f>
        <v/>
      </c>
      <c r="G76" s="42" t="str">
        <f aca="false">IFERROR(IF($A76="","",IF($A76&lt;=Übersicht!$P$13,IF(INDEX(Audit_Allgemein!$F$12:$F$50,MATCH($A76,Audit_Allgemein!$K$12:$K$50,0))="","",INDEX(Audit_Allgemein!$F$12:$F$50,MATCH($A76,Audit_Allgemein!$K$12:$K$50,0))),IF($A76&lt;=Übersicht!$P$14,IF(INDEX(Audit_Maschine!$F$12:$F$24,MATCH($A76,Audit_Maschine!$K$12:$K$24,0))="","",INDEX(Audit_Maschine!$F$12:$F$24,MATCH($A76,Audit_Maschine!$K$12:$K$24,0))),IF($A76&lt;=Übersicht!$P$15,IF(INDEX(Audit_Werkzeuge!$F$12:$F$21,MATCH($A76,Audit_Werkzeuge!$K$12:$K$21,0))="","",INDEX(Audit_Werkzeuge!$F$12:$F$21,MATCH($A76,Audit_Werkzeuge!$K$12:$K$21,0))),IF(INDEX(Audit_Kompakt!$F$12:$F$35,MATCH($A76,Audit_Kompakt!$K$12:$K$35,0))="","",INDEX(Audit_Kompakt!$F$12:$F$35,MATCH($A76,Audit_Kompakt!$K$12:$K$35,0))))))),"")</f>
        <v/>
      </c>
      <c r="H76" s="41" t="str">
        <f aca="false">IFERROR(IF($A76="","",IF($A76&lt;=Übersicht!$P$13,IF(INDEX(Audit_Allgemein!$G$12:$G$50,MATCH($A76,Audit_Allgemein!$K$12:$K$50,0))="","",INDEX(Audit_Allgemein!$G$12:$G$50,MATCH($A76,Audit_Allgemein!$K$12:$K$50,0))),IF($A76&lt;=Übersicht!$P$14,IF(INDEX(Audit_Maschine!$G$12:$G$24,MATCH($A76,Audit_Maschine!$K$12:$K$24,0))="","",INDEX(Audit_Maschine!$G$12:$G$24,MATCH($A76,Audit_Maschine!$K$12:$K$24,0))),IF($A76&lt;=Übersicht!$P$15,IF(INDEX(Audit_Werkzeuge!$G$12:$G$21,MATCH($A76,Audit_Werkzeuge!$K$12:$K$21,0))="","",INDEX(Audit_Werkzeuge!$G$12:$G$21,MATCH($A76,Audit_Werkzeuge!$K$12:$K$21,0))),IF(INDEX(Audit_Kompakt!$G$12:$G$35,MATCH($A76,Audit_Kompakt!$K$12:$K$35,0))="","",INDEX(Audit_Kompakt!$G$12:$G$35,MATCH($A76,Audit_Kompakt!$K$12:$K$35,0))))))),"")</f>
        <v/>
      </c>
      <c r="I76" s="43" t="str">
        <f aca="false">IFERROR(IF($A76="","",IF($A76&lt;=Übersicht!$P$13,IF(INDEX(Audit_Allgemein!$H$12:$H$50,MATCH($A76,Audit_Allgemein!$K$12:$K$50,0))="","",INDEX(Audit_Allgemein!$H$12:$H$50,MATCH($A76,Audit_Allgemein!$K$12:$K$50,0))),IF($A76&lt;=Übersicht!$P$14,IF(INDEX(Audit_Maschine!$H$12:$H$24,MATCH($A76,Audit_Maschine!$K$12:$K$24,0))="","",INDEX(Audit_Maschine!$H$12:$H$24,MATCH($A76,Audit_Maschine!$K$12:$K$24,0))),IF($A76&lt;=Übersicht!$P$15,IF(INDEX(Audit_Werkzeuge!$H$12:$H$21,MATCH($A76,Audit_Werkzeuge!$K$12:$K$21,0))="","",INDEX(Audit_Werkzeuge!$H$12:$H$21,MATCH($A76,Audit_Werkzeuge!$K$12:$K$21,0))),IF(INDEX(Audit_Kompakt!$H$12:$H$35,MATCH($A76,Audit_Kompakt!$K$12:$K$35,0))="","",INDEX(Audit_Kompakt!$H$12:$H$35,MATCH($A76,Audit_Kompakt!$K$12:$K$35,0))))))),"")</f>
        <v/>
      </c>
      <c r="J76" s="41" t="str">
        <f aca="false">IFERROR(IF($A76="","",IF($A76&lt;=Übersicht!$P$13,IF(INDEX(Audit_Allgemein!$J$12:$J$50,MATCH($A76,Audit_Allgemein!$K$12:$K$50,0))="","",INDEX(Audit_Allgemein!$J$12:$J$50,MATCH($A76,Audit_Allgemein!$K$12:$K$50,0))),IF($A76&lt;=Übersicht!$P$14,IF(INDEX(Audit_Maschine!$J$12:$J$24,MATCH($A76,Audit_Maschine!$K$12:$K$24,0))="","",INDEX(Audit_Maschine!$J$12:$J$24,MATCH($A76,Audit_Maschine!$K$12:$K$24,0))),IF($A76&lt;=Übersicht!$P$15,IF(INDEX(Audit_Werkzeuge!$J$12:$J$21,MATCH($A76,Audit_Werkzeuge!$K$12:$K$21,0))="","",INDEX(Audit_Werkzeuge!$J$12:$J$21,MATCH($A76,Audit_Werkzeuge!$K$12:$K$21,0))),IF(INDEX(Audit_Kompakt!$J$12:$J$35,MATCH($A76,Audit_Kompakt!$K$12:$K$35,0))="","",INDEX(Audit_Kompakt!$J$12:$J$35,MATCH($A76,Audit_Kompakt!$K$12:$K$35,0))))))),"")</f>
        <v/>
      </c>
    </row>
    <row r="77" customFormat="false" ht="15" hidden="false" customHeight="false" outlineLevel="0" collapsed="false">
      <c r="A77" s="41" t="str">
        <f aca="false">IF(73&lt;=Übersicht!$M$17,73,"")</f>
        <v/>
      </c>
      <c r="B77" s="41" t="str">
        <f aca="false">IFERROR(IF($A77="","",IF($A77&lt;=Übersicht!$P$13,"Allgemein",IF($A77&lt;=Übersicht!$P$14,"Maschine",IF($A77&lt;=Übersicht!$P$15,"Werkzeug","Kompakt")))),"")</f>
        <v/>
      </c>
      <c r="C77" s="41" t="str">
        <f aca="false">IFERROR(IF($A77="","",IF($A77&lt;=Übersicht!$P$13,IF(Audit_Allgemein!$C$4="","–",Audit_Allgemein!$C$4),IF($A77&lt;=Übersicht!$P$14,IF(Audit_Maschine!$C$4="","–",Audit_Maschine!$C$4),IF($A77&lt;=Übersicht!$P$15,IF(Audit_Werkzeuge!$C$4="","–",Audit_Werkzeuge!$C$4),IF(Audit_Kompakt!$C$4="","–",Audit_Kompakt!$C$4))))),"")</f>
        <v/>
      </c>
      <c r="D77" s="41" t="str">
        <f aca="false">IFERROR(IF($A77="","",IF($A77&lt;=Übersicht!$P$13,IF(INDEX(Audit_Allgemein!$A$12:$A$50,MATCH($A77,Audit_Allgemein!$K$12:$K$50,0))="","",INDEX(Audit_Allgemein!$A$12:$A$50,MATCH($A77,Audit_Allgemein!$K$12:$K$50,0))),IF($A77&lt;=Übersicht!$P$14,IF(INDEX(Audit_Maschine!$A$12:$A$24,MATCH($A77,Audit_Maschine!$K$12:$K$24,0))="","",INDEX(Audit_Maschine!$A$12:$A$24,MATCH($A77,Audit_Maschine!$K$12:$K$24,0))),IF($A77&lt;=Übersicht!$P$15,IF(INDEX(Audit_Werkzeuge!$A$12:$A$21,MATCH($A77,Audit_Werkzeuge!$K$12:$K$21,0))="","",INDEX(Audit_Werkzeuge!$A$12:$A$21,MATCH($A77,Audit_Werkzeuge!$K$12:$K$21,0))),IF(INDEX(Audit_Kompakt!$A$12:$A$35,MATCH($A77,Audit_Kompakt!$K$12:$K$35,0))="","",INDEX(Audit_Kompakt!$A$12:$A$35,MATCH($A77,Audit_Kompakt!$K$12:$K$35,0))))))),"")</f>
        <v/>
      </c>
      <c r="E77" s="42" t="str">
        <f aca="false">IFERROR(IF($A77="","",IF($A77&lt;=Übersicht!$P$13,IF(INDEX(Audit_Allgemein!$C$12:$C$50,MATCH($A77,Audit_Allgemein!$K$12:$K$50,0))="","",INDEX(Audit_Allgemein!$C$12:$C$50,MATCH($A77,Audit_Allgemein!$K$12:$K$50,0))),IF($A77&lt;=Übersicht!$P$14,IF(INDEX(Audit_Maschine!$C$12:$C$24,MATCH($A77,Audit_Maschine!$K$12:$K$24,0))="","",INDEX(Audit_Maschine!$C$12:$C$24,MATCH($A77,Audit_Maschine!$K$12:$K$24,0))),IF($A77&lt;=Übersicht!$P$15,IF(INDEX(Audit_Werkzeuge!$C$12:$C$21,MATCH($A77,Audit_Werkzeuge!$K$12:$K$21,0))="","",INDEX(Audit_Werkzeuge!$C$12:$C$21,MATCH($A77,Audit_Werkzeuge!$K$12:$K$21,0))),IF(INDEX(Audit_Kompakt!$C$12:$C$35,MATCH($A77,Audit_Kompakt!$K$12:$K$35,0))="","",INDEX(Audit_Kompakt!$C$12:$C$35,MATCH($A77,Audit_Kompakt!$K$12:$K$35,0))))))),"")</f>
        <v/>
      </c>
      <c r="F77" s="41" t="str">
        <f aca="false">IFERROR(IF($A77="","",IF($A77&lt;=Übersicht!$P$13,IF(INDEX(Audit_Allgemein!$E$12:$E$50,MATCH($A77,Audit_Allgemein!$K$12:$K$50,0))="","",INDEX(Audit_Allgemein!$E$12:$E$50,MATCH($A77,Audit_Allgemein!$K$12:$K$50,0))),IF($A77&lt;=Übersicht!$P$14,IF(INDEX(Audit_Maschine!$E$12:$E$24,MATCH($A77,Audit_Maschine!$K$12:$K$24,0))="","",INDEX(Audit_Maschine!$E$12:$E$24,MATCH($A77,Audit_Maschine!$K$12:$K$24,0))),IF($A77&lt;=Übersicht!$P$15,IF(INDEX(Audit_Werkzeuge!$E$12:$E$21,MATCH($A77,Audit_Werkzeuge!$K$12:$K$21,0))="","",INDEX(Audit_Werkzeuge!$E$12:$E$21,MATCH($A77,Audit_Werkzeuge!$K$12:$K$21,0))),IF(INDEX(Audit_Kompakt!$E$12:$E$35,MATCH($A77,Audit_Kompakt!$K$12:$K$35,0))="","",INDEX(Audit_Kompakt!$E$12:$E$35,MATCH($A77,Audit_Kompakt!$K$12:$K$35,0))))))),"")</f>
        <v/>
      </c>
      <c r="G77" s="42" t="str">
        <f aca="false">IFERROR(IF($A77="","",IF($A77&lt;=Übersicht!$P$13,IF(INDEX(Audit_Allgemein!$F$12:$F$50,MATCH($A77,Audit_Allgemein!$K$12:$K$50,0))="","",INDEX(Audit_Allgemein!$F$12:$F$50,MATCH($A77,Audit_Allgemein!$K$12:$K$50,0))),IF($A77&lt;=Übersicht!$P$14,IF(INDEX(Audit_Maschine!$F$12:$F$24,MATCH($A77,Audit_Maschine!$K$12:$K$24,0))="","",INDEX(Audit_Maschine!$F$12:$F$24,MATCH($A77,Audit_Maschine!$K$12:$K$24,0))),IF($A77&lt;=Übersicht!$P$15,IF(INDEX(Audit_Werkzeuge!$F$12:$F$21,MATCH($A77,Audit_Werkzeuge!$K$12:$K$21,0))="","",INDEX(Audit_Werkzeuge!$F$12:$F$21,MATCH($A77,Audit_Werkzeuge!$K$12:$K$21,0))),IF(INDEX(Audit_Kompakt!$F$12:$F$35,MATCH($A77,Audit_Kompakt!$K$12:$K$35,0))="","",INDEX(Audit_Kompakt!$F$12:$F$35,MATCH($A77,Audit_Kompakt!$K$12:$K$35,0))))))),"")</f>
        <v/>
      </c>
      <c r="H77" s="41" t="str">
        <f aca="false">IFERROR(IF($A77="","",IF($A77&lt;=Übersicht!$P$13,IF(INDEX(Audit_Allgemein!$G$12:$G$50,MATCH($A77,Audit_Allgemein!$K$12:$K$50,0))="","",INDEX(Audit_Allgemein!$G$12:$G$50,MATCH($A77,Audit_Allgemein!$K$12:$K$50,0))),IF($A77&lt;=Übersicht!$P$14,IF(INDEX(Audit_Maschine!$G$12:$G$24,MATCH($A77,Audit_Maschine!$K$12:$K$24,0))="","",INDEX(Audit_Maschine!$G$12:$G$24,MATCH($A77,Audit_Maschine!$K$12:$K$24,0))),IF($A77&lt;=Übersicht!$P$15,IF(INDEX(Audit_Werkzeuge!$G$12:$G$21,MATCH($A77,Audit_Werkzeuge!$K$12:$K$21,0))="","",INDEX(Audit_Werkzeuge!$G$12:$G$21,MATCH($A77,Audit_Werkzeuge!$K$12:$K$21,0))),IF(INDEX(Audit_Kompakt!$G$12:$G$35,MATCH($A77,Audit_Kompakt!$K$12:$K$35,0))="","",INDEX(Audit_Kompakt!$G$12:$G$35,MATCH($A77,Audit_Kompakt!$K$12:$K$35,0))))))),"")</f>
        <v/>
      </c>
      <c r="I77" s="43" t="str">
        <f aca="false">IFERROR(IF($A77="","",IF($A77&lt;=Übersicht!$P$13,IF(INDEX(Audit_Allgemein!$H$12:$H$50,MATCH($A77,Audit_Allgemein!$K$12:$K$50,0))="","",INDEX(Audit_Allgemein!$H$12:$H$50,MATCH($A77,Audit_Allgemein!$K$12:$K$50,0))),IF($A77&lt;=Übersicht!$P$14,IF(INDEX(Audit_Maschine!$H$12:$H$24,MATCH($A77,Audit_Maschine!$K$12:$K$24,0))="","",INDEX(Audit_Maschine!$H$12:$H$24,MATCH($A77,Audit_Maschine!$K$12:$K$24,0))),IF($A77&lt;=Übersicht!$P$15,IF(INDEX(Audit_Werkzeuge!$H$12:$H$21,MATCH($A77,Audit_Werkzeuge!$K$12:$K$21,0))="","",INDEX(Audit_Werkzeuge!$H$12:$H$21,MATCH($A77,Audit_Werkzeuge!$K$12:$K$21,0))),IF(INDEX(Audit_Kompakt!$H$12:$H$35,MATCH($A77,Audit_Kompakt!$K$12:$K$35,0))="","",INDEX(Audit_Kompakt!$H$12:$H$35,MATCH($A77,Audit_Kompakt!$K$12:$K$35,0))))))),"")</f>
        <v/>
      </c>
      <c r="J77" s="41" t="str">
        <f aca="false">IFERROR(IF($A77="","",IF($A77&lt;=Übersicht!$P$13,IF(INDEX(Audit_Allgemein!$J$12:$J$50,MATCH($A77,Audit_Allgemein!$K$12:$K$50,0))="","",INDEX(Audit_Allgemein!$J$12:$J$50,MATCH($A77,Audit_Allgemein!$K$12:$K$50,0))),IF($A77&lt;=Übersicht!$P$14,IF(INDEX(Audit_Maschine!$J$12:$J$24,MATCH($A77,Audit_Maschine!$K$12:$K$24,0))="","",INDEX(Audit_Maschine!$J$12:$J$24,MATCH($A77,Audit_Maschine!$K$12:$K$24,0))),IF($A77&lt;=Übersicht!$P$15,IF(INDEX(Audit_Werkzeuge!$J$12:$J$21,MATCH($A77,Audit_Werkzeuge!$K$12:$K$21,0))="","",INDEX(Audit_Werkzeuge!$J$12:$J$21,MATCH($A77,Audit_Werkzeuge!$K$12:$K$21,0))),IF(INDEX(Audit_Kompakt!$J$12:$J$35,MATCH($A77,Audit_Kompakt!$K$12:$K$35,0))="","",INDEX(Audit_Kompakt!$J$12:$J$35,MATCH($A77,Audit_Kompakt!$K$12:$K$35,0))))))),"")</f>
        <v/>
      </c>
    </row>
    <row r="78" customFormat="false" ht="15" hidden="false" customHeight="false" outlineLevel="0" collapsed="false">
      <c r="A78" s="41" t="str">
        <f aca="false">IF(74&lt;=Übersicht!$M$17,74,"")</f>
        <v/>
      </c>
      <c r="B78" s="41" t="str">
        <f aca="false">IFERROR(IF($A78="","",IF($A78&lt;=Übersicht!$P$13,"Allgemein",IF($A78&lt;=Übersicht!$P$14,"Maschine",IF($A78&lt;=Übersicht!$P$15,"Werkzeug","Kompakt")))),"")</f>
        <v/>
      </c>
      <c r="C78" s="41" t="str">
        <f aca="false">IFERROR(IF($A78="","",IF($A78&lt;=Übersicht!$P$13,IF(Audit_Allgemein!$C$4="","–",Audit_Allgemein!$C$4),IF($A78&lt;=Übersicht!$P$14,IF(Audit_Maschine!$C$4="","–",Audit_Maschine!$C$4),IF($A78&lt;=Übersicht!$P$15,IF(Audit_Werkzeuge!$C$4="","–",Audit_Werkzeuge!$C$4),IF(Audit_Kompakt!$C$4="","–",Audit_Kompakt!$C$4))))),"")</f>
        <v/>
      </c>
      <c r="D78" s="41" t="str">
        <f aca="false">IFERROR(IF($A78="","",IF($A78&lt;=Übersicht!$P$13,IF(INDEX(Audit_Allgemein!$A$12:$A$50,MATCH($A78,Audit_Allgemein!$K$12:$K$50,0))="","",INDEX(Audit_Allgemein!$A$12:$A$50,MATCH($A78,Audit_Allgemein!$K$12:$K$50,0))),IF($A78&lt;=Übersicht!$P$14,IF(INDEX(Audit_Maschine!$A$12:$A$24,MATCH($A78,Audit_Maschine!$K$12:$K$24,0))="","",INDEX(Audit_Maschine!$A$12:$A$24,MATCH($A78,Audit_Maschine!$K$12:$K$24,0))),IF($A78&lt;=Übersicht!$P$15,IF(INDEX(Audit_Werkzeuge!$A$12:$A$21,MATCH($A78,Audit_Werkzeuge!$K$12:$K$21,0))="","",INDEX(Audit_Werkzeuge!$A$12:$A$21,MATCH($A78,Audit_Werkzeuge!$K$12:$K$21,0))),IF(INDEX(Audit_Kompakt!$A$12:$A$35,MATCH($A78,Audit_Kompakt!$K$12:$K$35,0))="","",INDEX(Audit_Kompakt!$A$12:$A$35,MATCH($A78,Audit_Kompakt!$K$12:$K$35,0))))))),"")</f>
        <v/>
      </c>
      <c r="E78" s="42" t="str">
        <f aca="false">IFERROR(IF($A78="","",IF($A78&lt;=Übersicht!$P$13,IF(INDEX(Audit_Allgemein!$C$12:$C$50,MATCH($A78,Audit_Allgemein!$K$12:$K$50,0))="","",INDEX(Audit_Allgemein!$C$12:$C$50,MATCH($A78,Audit_Allgemein!$K$12:$K$50,0))),IF($A78&lt;=Übersicht!$P$14,IF(INDEX(Audit_Maschine!$C$12:$C$24,MATCH($A78,Audit_Maschine!$K$12:$K$24,0))="","",INDEX(Audit_Maschine!$C$12:$C$24,MATCH($A78,Audit_Maschine!$K$12:$K$24,0))),IF($A78&lt;=Übersicht!$P$15,IF(INDEX(Audit_Werkzeuge!$C$12:$C$21,MATCH($A78,Audit_Werkzeuge!$K$12:$K$21,0))="","",INDEX(Audit_Werkzeuge!$C$12:$C$21,MATCH($A78,Audit_Werkzeuge!$K$12:$K$21,0))),IF(INDEX(Audit_Kompakt!$C$12:$C$35,MATCH($A78,Audit_Kompakt!$K$12:$K$35,0))="","",INDEX(Audit_Kompakt!$C$12:$C$35,MATCH($A78,Audit_Kompakt!$K$12:$K$35,0))))))),"")</f>
        <v/>
      </c>
      <c r="F78" s="41" t="str">
        <f aca="false">IFERROR(IF($A78="","",IF($A78&lt;=Übersicht!$P$13,IF(INDEX(Audit_Allgemein!$E$12:$E$50,MATCH($A78,Audit_Allgemein!$K$12:$K$50,0))="","",INDEX(Audit_Allgemein!$E$12:$E$50,MATCH($A78,Audit_Allgemein!$K$12:$K$50,0))),IF($A78&lt;=Übersicht!$P$14,IF(INDEX(Audit_Maschine!$E$12:$E$24,MATCH($A78,Audit_Maschine!$K$12:$K$24,0))="","",INDEX(Audit_Maschine!$E$12:$E$24,MATCH($A78,Audit_Maschine!$K$12:$K$24,0))),IF($A78&lt;=Übersicht!$P$15,IF(INDEX(Audit_Werkzeuge!$E$12:$E$21,MATCH($A78,Audit_Werkzeuge!$K$12:$K$21,0))="","",INDEX(Audit_Werkzeuge!$E$12:$E$21,MATCH($A78,Audit_Werkzeuge!$K$12:$K$21,0))),IF(INDEX(Audit_Kompakt!$E$12:$E$35,MATCH($A78,Audit_Kompakt!$K$12:$K$35,0))="","",INDEX(Audit_Kompakt!$E$12:$E$35,MATCH($A78,Audit_Kompakt!$K$12:$K$35,0))))))),"")</f>
        <v/>
      </c>
      <c r="G78" s="42" t="str">
        <f aca="false">IFERROR(IF($A78="","",IF($A78&lt;=Übersicht!$P$13,IF(INDEX(Audit_Allgemein!$F$12:$F$50,MATCH($A78,Audit_Allgemein!$K$12:$K$50,0))="","",INDEX(Audit_Allgemein!$F$12:$F$50,MATCH($A78,Audit_Allgemein!$K$12:$K$50,0))),IF($A78&lt;=Übersicht!$P$14,IF(INDEX(Audit_Maschine!$F$12:$F$24,MATCH($A78,Audit_Maschine!$K$12:$K$24,0))="","",INDEX(Audit_Maschine!$F$12:$F$24,MATCH($A78,Audit_Maschine!$K$12:$K$24,0))),IF($A78&lt;=Übersicht!$P$15,IF(INDEX(Audit_Werkzeuge!$F$12:$F$21,MATCH($A78,Audit_Werkzeuge!$K$12:$K$21,0))="","",INDEX(Audit_Werkzeuge!$F$12:$F$21,MATCH($A78,Audit_Werkzeuge!$K$12:$K$21,0))),IF(INDEX(Audit_Kompakt!$F$12:$F$35,MATCH($A78,Audit_Kompakt!$K$12:$K$35,0))="","",INDEX(Audit_Kompakt!$F$12:$F$35,MATCH($A78,Audit_Kompakt!$K$12:$K$35,0))))))),"")</f>
        <v/>
      </c>
      <c r="H78" s="41" t="str">
        <f aca="false">IFERROR(IF($A78="","",IF($A78&lt;=Übersicht!$P$13,IF(INDEX(Audit_Allgemein!$G$12:$G$50,MATCH($A78,Audit_Allgemein!$K$12:$K$50,0))="","",INDEX(Audit_Allgemein!$G$12:$G$50,MATCH($A78,Audit_Allgemein!$K$12:$K$50,0))),IF($A78&lt;=Übersicht!$P$14,IF(INDEX(Audit_Maschine!$G$12:$G$24,MATCH($A78,Audit_Maschine!$K$12:$K$24,0))="","",INDEX(Audit_Maschine!$G$12:$G$24,MATCH($A78,Audit_Maschine!$K$12:$K$24,0))),IF($A78&lt;=Übersicht!$P$15,IF(INDEX(Audit_Werkzeuge!$G$12:$G$21,MATCH($A78,Audit_Werkzeuge!$K$12:$K$21,0))="","",INDEX(Audit_Werkzeuge!$G$12:$G$21,MATCH($A78,Audit_Werkzeuge!$K$12:$K$21,0))),IF(INDEX(Audit_Kompakt!$G$12:$G$35,MATCH($A78,Audit_Kompakt!$K$12:$K$35,0))="","",INDEX(Audit_Kompakt!$G$12:$G$35,MATCH($A78,Audit_Kompakt!$K$12:$K$35,0))))))),"")</f>
        <v/>
      </c>
      <c r="I78" s="43" t="str">
        <f aca="false">IFERROR(IF($A78="","",IF($A78&lt;=Übersicht!$P$13,IF(INDEX(Audit_Allgemein!$H$12:$H$50,MATCH($A78,Audit_Allgemein!$K$12:$K$50,0))="","",INDEX(Audit_Allgemein!$H$12:$H$50,MATCH($A78,Audit_Allgemein!$K$12:$K$50,0))),IF($A78&lt;=Übersicht!$P$14,IF(INDEX(Audit_Maschine!$H$12:$H$24,MATCH($A78,Audit_Maschine!$K$12:$K$24,0))="","",INDEX(Audit_Maschine!$H$12:$H$24,MATCH($A78,Audit_Maschine!$K$12:$K$24,0))),IF($A78&lt;=Übersicht!$P$15,IF(INDEX(Audit_Werkzeuge!$H$12:$H$21,MATCH($A78,Audit_Werkzeuge!$K$12:$K$21,0))="","",INDEX(Audit_Werkzeuge!$H$12:$H$21,MATCH($A78,Audit_Werkzeuge!$K$12:$K$21,0))),IF(INDEX(Audit_Kompakt!$H$12:$H$35,MATCH($A78,Audit_Kompakt!$K$12:$K$35,0))="","",INDEX(Audit_Kompakt!$H$12:$H$35,MATCH($A78,Audit_Kompakt!$K$12:$K$35,0))))))),"")</f>
        <v/>
      </c>
      <c r="J78" s="41" t="str">
        <f aca="false">IFERROR(IF($A78="","",IF($A78&lt;=Übersicht!$P$13,IF(INDEX(Audit_Allgemein!$J$12:$J$50,MATCH($A78,Audit_Allgemein!$K$12:$K$50,0))="","",INDEX(Audit_Allgemein!$J$12:$J$50,MATCH($A78,Audit_Allgemein!$K$12:$K$50,0))),IF($A78&lt;=Übersicht!$P$14,IF(INDEX(Audit_Maschine!$J$12:$J$24,MATCH($A78,Audit_Maschine!$K$12:$K$24,0))="","",INDEX(Audit_Maschine!$J$12:$J$24,MATCH($A78,Audit_Maschine!$K$12:$K$24,0))),IF($A78&lt;=Übersicht!$P$15,IF(INDEX(Audit_Werkzeuge!$J$12:$J$21,MATCH($A78,Audit_Werkzeuge!$K$12:$K$21,0))="","",INDEX(Audit_Werkzeuge!$J$12:$J$21,MATCH($A78,Audit_Werkzeuge!$K$12:$K$21,0))),IF(INDEX(Audit_Kompakt!$J$12:$J$35,MATCH($A78,Audit_Kompakt!$K$12:$K$35,0))="","",INDEX(Audit_Kompakt!$J$12:$J$35,MATCH($A78,Audit_Kompakt!$K$12:$K$35,0))))))),"")</f>
        <v/>
      </c>
    </row>
    <row r="79" customFormat="false" ht="15" hidden="false" customHeight="false" outlineLevel="0" collapsed="false">
      <c r="A79" s="41" t="str">
        <f aca="false">IF(75&lt;=Übersicht!$M$17,75,"")</f>
        <v/>
      </c>
      <c r="B79" s="41" t="str">
        <f aca="false">IFERROR(IF($A79="","",IF($A79&lt;=Übersicht!$P$13,"Allgemein",IF($A79&lt;=Übersicht!$P$14,"Maschine",IF($A79&lt;=Übersicht!$P$15,"Werkzeug","Kompakt")))),"")</f>
        <v/>
      </c>
      <c r="C79" s="41" t="str">
        <f aca="false">IFERROR(IF($A79="","",IF($A79&lt;=Übersicht!$P$13,IF(Audit_Allgemein!$C$4="","–",Audit_Allgemein!$C$4),IF($A79&lt;=Übersicht!$P$14,IF(Audit_Maschine!$C$4="","–",Audit_Maschine!$C$4),IF($A79&lt;=Übersicht!$P$15,IF(Audit_Werkzeuge!$C$4="","–",Audit_Werkzeuge!$C$4),IF(Audit_Kompakt!$C$4="","–",Audit_Kompakt!$C$4))))),"")</f>
        <v/>
      </c>
      <c r="D79" s="41" t="str">
        <f aca="false">IFERROR(IF($A79="","",IF($A79&lt;=Übersicht!$P$13,IF(INDEX(Audit_Allgemein!$A$12:$A$50,MATCH($A79,Audit_Allgemein!$K$12:$K$50,0))="","",INDEX(Audit_Allgemein!$A$12:$A$50,MATCH($A79,Audit_Allgemein!$K$12:$K$50,0))),IF($A79&lt;=Übersicht!$P$14,IF(INDEX(Audit_Maschine!$A$12:$A$24,MATCH($A79,Audit_Maschine!$K$12:$K$24,0))="","",INDEX(Audit_Maschine!$A$12:$A$24,MATCH($A79,Audit_Maschine!$K$12:$K$24,0))),IF($A79&lt;=Übersicht!$P$15,IF(INDEX(Audit_Werkzeuge!$A$12:$A$21,MATCH($A79,Audit_Werkzeuge!$K$12:$K$21,0))="","",INDEX(Audit_Werkzeuge!$A$12:$A$21,MATCH($A79,Audit_Werkzeuge!$K$12:$K$21,0))),IF(INDEX(Audit_Kompakt!$A$12:$A$35,MATCH($A79,Audit_Kompakt!$K$12:$K$35,0))="","",INDEX(Audit_Kompakt!$A$12:$A$35,MATCH($A79,Audit_Kompakt!$K$12:$K$35,0))))))),"")</f>
        <v/>
      </c>
      <c r="E79" s="42" t="str">
        <f aca="false">IFERROR(IF($A79="","",IF($A79&lt;=Übersicht!$P$13,IF(INDEX(Audit_Allgemein!$C$12:$C$50,MATCH($A79,Audit_Allgemein!$K$12:$K$50,0))="","",INDEX(Audit_Allgemein!$C$12:$C$50,MATCH($A79,Audit_Allgemein!$K$12:$K$50,0))),IF($A79&lt;=Übersicht!$P$14,IF(INDEX(Audit_Maschine!$C$12:$C$24,MATCH($A79,Audit_Maschine!$K$12:$K$24,0))="","",INDEX(Audit_Maschine!$C$12:$C$24,MATCH($A79,Audit_Maschine!$K$12:$K$24,0))),IF($A79&lt;=Übersicht!$P$15,IF(INDEX(Audit_Werkzeuge!$C$12:$C$21,MATCH($A79,Audit_Werkzeuge!$K$12:$K$21,0))="","",INDEX(Audit_Werkzeuge!$C$12:$C$21,MATCH($A79,Audit_Werkzeuge!$K$12:$K$21,0))),IF(INDEX(Audit_Kompakt!$C$12:$C$35,MATCH($A79,Audit_Kompakt!$K$12:$K$35,0))="","",INDEX(Audit_Kompakt!$C$12:$C$35,MATCH($A79,Audit_Kompakt!$K$12:$K$35,0))))))),"")</f>
        <v/>
      </c>
      <c r="F79" s="41" t="str">
        <f aca="false">IFERROR(IF($A79="","",IF($A79&lt;=Übersicht!$P$13,IF(INDEX(Audit_Allgemein!$E$12:$E$50,MATCH($A79,Audit_Allgemein!$K$12:$K$50,0))="","",INDEX(Audit_Allgemein!$E$12:$E$50,MATCH($A79,Audit_Allgemein!$K$12:$K$50,0))),IF($A79&lt;=Übersicht!$P$14,IF(INDEX(Audit_Maschine!$E$12:$E$24,MATCH($A79,Audit_Maschine!$K$12:$K$24,0))="","",INDEX(Audit_Maschine!$E$12:$E$24,MATCH($A79,Audit_Maschine!$K$12:$K$24,0))),IF($A79&lt;=Übersicht!$P$15,IF(INDEX(Audit_Werkzeuge!$E$12:$E$21,MATCH($A79,Audit_Werkzeuge!$K$12:$K$21,0))="","",INDEX(Audit_Werkzeuge!$E$12:$E$21,MATCH($A79,Audit_Werkzeuge!$K$12:$K$21,0))),IF(INDEX(Audit_Kompakt!$E$12:$E$35,MATCH($A79,Audit_Kompakt!$K$12:$K$35,0))="","",INDEX(Audit_Kompakt!$E$12:$E$35,MATCH($A79,Audit_Kompakt!$K$12:$K$35,0))))))),"")</f>
        <v/>
      </c>
      <c r="G79" s="42" t="str">
        <f aca="false">IFERROR(IF($A79="","",IF($A79&lt;=Übersicht!$P$13,IF(INDEX(Audit_Allgemein!$F$12:$F$50,MATCH($A79,Audit_Allgemein!$K$12:$K$50,0))="","",INDEX(Audit_Allgemein!$F$12:$F$50,MATCH($A79,Audit_Allgemein!$K$12:$K$50,0))),IF($A79&lt;=Übersicht!$P$14,IF(INDEX(Audit_Maschine!$F$12:$F$24,MATCH($A79,Audit_Maschine!$K$12:$K$24,0))="","",INDEX(Audit_Maschine!$F$12:$F$24,MATCH($A79,Audit_Maschine!$K$12:$K$24,0))),IF($A79&lt;=Übersicht!$P$15,IF(INDEX(Audit_Werkzeuge!$F$12:$F$21,MATCH($A79,Audit_Werkzeuge!$K$12:$K$21,0))="","",INDEX(Audit_Werkzeuge!$F$12:$F$21,MATCH($A79,Audit_Werkzeuge!$K$12:$K$21,0))),IF(INDEX(Audit_Kompakt!$F$12:$F$35,MATCH($A79,Audit_Kompakt!$K$12:$K$35,0))="","",INDEX(Audit_Kompakt!$F$12:$F$35,MATCH($A79,Audit_Kompakt!$K$12:$K$35,0))))))),"")</f>
        <v/>
      </c>
      <c r="H79" s="41" t="str">
        <f aca="false">IFERROR(IF($A79="","",IF($A79&lt;=Übersicht!$P$13,IF(INDEX(Audit_Allgemein!$G$12:$G$50,MATCH($A79,Audit_Allgemein!$K$12:$K$50,0))="","",INDEX(Audit_Allgemein!$G$12:$G$50,MATCH($A79,Audit_Allgemein!$K$12:$K$50,0))),IF($A79&lt;=Übersicht!$P$14,IF(INDEX(Audit_Maschine!$G$12:$G$24,MATCH($A79,Audit_Maschine!$K$12:$K$24,0))="","",INDEX(Audit_Maschine!$G$12:$G$24,MATCH($A79,Audit_Maschine!$K$12:$K$24,0))),IF($A79&lt;=Übersicht!$P$15,IF(INDEX(Audit_Werkzeuge!$G$12:$G$21,MATCH($A79,Audit_Werkzeuge!$K$12:$K$21,0))="","",INDEX(Audit_Werkzeuge!$G$12:$G$21,MATCH($A79,Audit_Werkzeuge!$K$12:$K$21,0))),IF(INDEX(Audit_Kompakt!$G$12:$G$35,MATCH($A79,Audit_Kompakt!$K$12:$K$35,0))="","",INDEX(Audit_Kompakt!$G$12:$G$35,MATCH($A79,Audit_Kompakt!$K$12:$K$35,0))))))),"")</f>
        <v/>
      </c>
      <c r="I79" s="43" t="str">
        <f aca="false">IFERROR(IF($A79="","",IF($A79&lt;=Übersicht!$P$13,IF(INDEX(Audit_Allgemein!$H$12:$H$50,MATCH($A79,Audit_Allgemein!$K$12:$K$50,0))="","",INDEX(Audit_Allgemein!$H$12:$H$50,MATCH($A79,Audit_Allgemein!$K$12:$K$50,0))),IF($A79&lt;=Übersicht!$P$14,IF(INDEX(Audit_Maschine!$H$12:$H$24,MATCH($A79,Audit_Maschine!$K$12:$K$24,0))="","",INDEX(Audit_Maschine!$H$12:$H$24,MATCH($A79,Audit_Maschine!$K$12:$K$24,0))),IF($A79&lt;=Übersicht!$P$15,IF(INDEX(Audit_Werkzeuge!$H$12:$H$21,MATCH($A79,Audit_Werkzeuge!$K$12:$K$21,0))="","",INDEX(Audit_Werkzeuge!$H$12:$H$21,MATCH($A79,Audit_Werkzeuge!$K$12:$K$21,0))),IF(INDEX(Audit_Kompakt!$H$12:$H$35,MATCH($A79,Audit_Kompakt!$K$12:$K$35,0))="","",INDEX(Audit_Kompakt!$H$12:$H$35,MATCH($A79,Audit_Kompakt!$K$12:$K$35,0))))))),"")</f>
        <v/>
      </c>
      <c r="J79" s="41" t="str">
        <f aca="false">IFERROR(IF($A79="","",IF($A79&lt;=Übersicht!$P$13,IF(INDEX(Audit_Allgemein!$J$12:$J$50,MATCH($A79,Audit_Allgemein!$K$12:$K$50,0))="","",INDEX(Audit_Allgemein!$J$12:$J$50,MATCH($A79,Audit_Allgemein!$K$12:$K$50,0))),IF($A79&lt;=Übersicht!$P$14,IF(INDEX(Audit_Maschine!$J$12:$J$24,MATCH($A79,Audit_Maschine!$K$12:$K$24,0))="","",INDEX(Audit_Maschine!$J$12:$J$24,MATCH($A79,Audit_Maschine!$K$12:$K$24,0))),IF($A79&lt;=Übersicht!$P$15,IF(INDEX(Audit_Werkzeuge!$J$12:$J$21,MATCH($A79,Audit_Werkzeuge!$K$12:$K$21,0))="","",INDEX(Audit_Werkzeuge!$J$12:$J$21,MATCH($A79,Audit_Werkzeuge!$K$12:$K$21,0))),IF(INDEX(Audit_Kompakt!$J$12:$J$35,MATCH($A79,Audit_Kompakt!$K$12:$K$35,0))="","",INDEX(Audit_Kompakt!$J$12:$J$35,MATCH($A79,Audit_Kompakt!$K$12:$K$35,0))))))),"")</f>
        <v/>
      </c>
    </row>
    <row r="80" customFormat="false" ht="15" hidden="false" customHeight="false" outlineLevel="0" collapsed="false">
      <c r="A80" s="41" t="str">
        <f aca="false">IF(76&lt;=Übersicht!$M$17,76,"")</f>
        <v/>
      </c>
      <c r="B80" s="41" t="str">
        <f aca="false">IFERROR(IF($A80="","",IF($A80&lt;=Übersicht!$P$13,"Allgemein",IF($A80&lt;=Übersicht!$P$14,"Maschine",IF($A80&lt;=Übersicht!$P$15,"Werkzeug","Kompakt")))),"")</f>
        <v/>
      </c>
      <c r="C80" s="41" t="str">
        <f aca="false">IFERROR(IF($A80="","",IF($A80&lt;=Übersicht!$P$13,IF(Audit_Allgemein!$C$4="","–",Audit_Allgemein!$C$4),IF($A80&lt;=Übersicht!$P$14,IF(Audit_Maschine!$C$4="","–",Audit_Maschine!$C$4),IF($A80&lt;=Übersicht!$P$15,IF(Audit_Werkzeuge!$C$4="","–",Audit_Werkzeuge!$C$4),IF(Audit_Kompakt!$C$4="","–",Audit_Kompakt!$C$4))))),"")</f>
        <v/>
      </c>
      <c r="D80" s="41" t="str">
        <f aca="false">IFERROR(IF($A80="","",IF($A80&lt;=Übersicht!$P$13,IF(INDEX(Audit_Allgemein!$A$12:$A$50,MATCH($A80,Audit_Allgemein!$K$12:$K$50,0))="","",INDEX(Audit_Allgemein!$A$12:$A$50,MATCH($A80,Audit_Allgemein!$K$12:$K$50,0))),IF($A80&lt;=Übersicht!$P$14,IF(INDEX(Audit_Maschine!$A$12:$A$24,MATCH($A80,Audit_Maschine!$K$12:$K$24,0))="","",INDEX(Audit_Maschine!$A$12:$A$24,MATCH($A80,Audit_Maschine!$K$12:$K$24,0))),IF($A80&lt;=Übersicht!$P$15,IF(INDEX(Audit_Werkzeuge!$A$12:$A$21,MATCH($A80,Audit_Werkzeuge!$K$12:$K$21,0))="","",INDEX(Audit_Werkzeuge!$A$12:$A$21,MATCH($A80,Audit_Werkzeuge!$K$12:$K$21,0))),IF(INDEX(Audit_Kompakt!$A$12:$A$35,MATCH($A80,Audit_Kompakt!$K$12:$K$35,0))="","",INDEX(Audit_Kompakt!$A$12:$A$35,MATCH($A80,Audit_Kompakt!$K$12:$K$35,0))))))),"")</f>
        <v/>
      </c>
      <c r="E80" s="42" t="str">
        <f aca="false">IFERROR(IF($A80="","",IF($A80&lt;=Übersicht!$P$13,IF(INDEX(Audit_Allgemein!$C$12:$C$50,MATCH($A80,Audit_Allgemein!$K$12:$K$50,0))="","",INDEX(Audit_Allgemein!$C$12:$C$50,MATCH($A80,Audit_Allgemein!$K$12:$K$50,0))),IF($A80&lt;=Übersicht!$P$14,IF(INDEX(Audit_Maschine!$C$12:$C$24,MATCH($A80,Audit_Maschine!$K$12:$K$24,0))="","",INDEX(Audit_Maschine!$C$12:$C$24,MATCH($A80,Audit_Maschine!$K$12:$K$24,0))),IF($A80&lt;=Übersicht!$P$15,IF(INDEX(Audit_Werkzeuge!$C$12:$C$21,MATCH($A80,Audit_Werkzeuge!$K$12:$K$21,0))="","",INDEX(Audit_Werkzeuge!$C$12:$C$21,MATCH($A80,Audit_Werkzeuge!$K$12:$K$21,0))),IF(INDEX(Audit_Kompakt!$C$12:$C$35,MATCH($A80,Audit_Kompakt!$K$12:$K$35,0))="","",INDEX(Audit_Kompakt!$C$12:$C$35,MATCH($A80,Audit_Kompakt!$K$12:$K$35,0))))))),"")</f>
        <v/>
      </c>
      <c r="F80" s="41" t="str">
        <f aca="false">IFERROR(IF($A80="","",IF($A80&lt;=Übersicht!$P$13,IF(INDEX(Audit_Allgemein!$E$12:$E$50,MATCH($A80,Audit_Allgemein!$K$12:$K$50,0))="","",INDEX(Audit_Allgemein!$E$12:$E$50,MATCH($A80,Audit_Allgemein!$K$12:$K$50,0))),IF($A80&lt;=Übersicht!$P$14,IF(INDEX(Audit_Maschine!$E$12:$E$24,MATCH($A80,Audit_Maschine!$K$12:$K$24,0))="","",INDEX(Audit_Maschine!$E$12:$E$24,MATCH($A80,Audit_Maschine!$K$12:$K$24,0))),IF($A80&lt;=Übersicht!$P$15,IF(INDEX(Audit_Werkzeuge!$E$12:$E$21,MATCH($A80,Audit_Werkzeuge!$K$12:$K$21,0))="","",INDEX(Audit_Werkzeuge!$E$12:$E$21,MATCH($A80,Audit_Werkzeuge!$K$12:$K$21,0))),IF(INDEX(Audit_Kompakt!$E$12:$E$35,MATCH($A80,Audit_Kompakt!$K$12:$K$35,0))="","",INDEX(Audit_Kompakt!$E$12:$E$35,MATCH($A80,Audit_Kompakt!$K$12:$K$35,0))))))),"")</f>
        <v/>
      </c>
      <c r="G80" s="42" t="str">
        <f aca="false">IFERROR(IF($A80="","",IF($A80&lt;=Übersicht!$P$13,IF(INDEX(Audit_Allgemein!$F$12:$F$50,MATCH($A80,Audit_Allgemein!$K$12:$K$50,0))="","",INDEX(Audit_Allgemein!$F$12:$F$50,MATCH($A80,Audit_Allgemein!$K$12:$K$50,0))),IF($A80&lt;=Übersicht!$P$14,IF(INDEX(Audit_Maschine!$F$12:$F$24,MATCH($A80,Audit_Maschine!$K$12:$K$24,0))="","",INDEX(Audit_Maschine!$F$12:$F$24,MATCH($A80,Audit_Maschine!$K$12:$K$24,0))),IF($A80&lt;=Übersicht!$P$15,IF(INDEX(Audit_Werkzeuge!$F$12:$F$21,MATCH($A80,Audit_Werkzeuge!$K$12:$K$21,0))="","",INDEX(Audit_Werkzeuge!$F$12:$F$21,MATCH($A80,Audit_Werkzeuge!$K$12:$K$21,0))),IF(INDEX(Audit_Kompakt!$F$12:$F$35,MATCH($A80,Audit_Kompakt!$K$12:$K$35,0))="","",INDEX(Audit_Kompakt!$F$12:$F$35,MATCH($A80,Audit_Kompakt!$K$12:$K$35,0))))))),"")</f>
        <v/>
      </c>
      <c r="H80" s="41" t="str">
        <f aca="false">IFERROR(IF($A80="","",IF($A80&lt;=Übersicht!$P$13,IF(INDEX(Audit_Allgemein!$G$12:$G$50,MATCH($A80,Audit_Allgemein!$K$12:$K$50,0))="","",INDEX(Audit_Allgemein!$G$12:$G$50,MATCH($A80,Audit_Allgemein!$K$12:$K$50,0))),IF($A80&lt;=Übersicht!$P$14,IF(INDEX(Audit_Maschine!$G$12:$G$24,MATCH($A80,Audit_Maschine!$K$12:$K$24,0))="","",INDEX(Audit_Maschine!$G$12:$G$24,MATCH($A80,Audit_Maschine!$K$12:$K$24,0))),IF($A80&lt;=Übersicht!$P$15,IF(INDEX(Audit_Werkzeuge!$G$12:$G$21,MATCH($A80,Audit_Werkzeuge!$K$12:$K$21,0))="","",INDEX(Audit_Werkzeuge!$G$12:$G$21,MATCH($A80,Audit_Werkzeuge!$K$12:$K$21,0))),IF(INDEX(Audit_Kompakt!$G$12:$G$35,MATCH($A80,Audit_Kompakt!$K$12:$K$35,0))="","",INDEX(Audit_Kompakt!$G$12:$G$35,MATCH($A80,Audit_Kompakt!$K$12:$K$35,0))))))),"")</f>
        <v/>
      </c>
      <c r="I80" s="43" t="str">
        <f aca="false">IFERROR(IF($A80="","",IF($A80&lt;=Übersicht!$P$13,IF(INDEX(Audit_Allgemein!$H$12:$H$50,MATCH($A80,Audit_Allgemein!$K$12:$K$50,0))="","",INDEX(Audit_Allgemein!$H$12:$H$50,MATCH($A80,Audit_Allgemein!$K$12:$K$50,0))),IF($A80&lt;=Übersicht!$P$14,IF(INDEX(Audit_Maschine!$H$12:$H$24,MATCH($A80,Audit_Maschine!$K$12:$K$24,0))="","",INDEX(Audit_Maschine!$H$12:$H$24,MATCH($A80,Audit_Maschine!$K$12:$K$24,0))),IF($A80&lt;=Übersicht!$P$15,IF(INDEX(Audit_Werkzeuge!$H$12:$H$21,MATCH($A80,Audit_Werkzeuge!$K$12:$K$21,0))="","",INDEX(Audit_Werkzeuge!$H$12:$H$21,MATCH($A80,Audit_Werkzeuge!$K$12:$K$21,0))),IF(INDEX(Audit_Kompakt!$H$12:$H$35,MATCH($A80,Audit_Kompakt!$K$12:$K$35,0))="","",INDEX(Audit_Kompakt!$H$12:$H$35,MATCH($A80,Audit_Kompakt!$K$12:$K$35,0))))))),"")</f>
        <v/>
      </c>
      <c r="J80" s="41" t="str">
        <f aca="false">IFERROR(IF($A80="","",IF($A80&lt;=Übersicht!$P$13,IF(INDEX(Audit_Allgemein!$J$12:$J$50,MATCH($A80,Audit_Allgemein!$K$12:$K$50,0))="","",INDEX(Audit_Allgemein!$J$12:$J$50,MATCH($A80,Audit_Allgemein!$K$12:$K$50,0))),IF($A80&lt;=Übersicht!$P$14,IF(INDEX(Audit_Maschine!$J$12:$J$24,MATCH($A80,Audit_Maschine!$K$12:$K$24,0))="","",INDEX(Audit_Maschine!$J$12:$J$24,MATCH($A80,Audit_Maschine!$K$12:$K$24,0))),IF($A80&lt;=Übersicht!$P$15,IF(INDEX(Audit_Werkzeuge!$J$12:$J$21,MATCH($A80,Audit_Werkzeuge!$K$12:$K$21,0))="","",INDEX(Audit_Werkzeuge!$J$12:$J$21,MATCH($A80,Audit_Werkzeuge!$K$12:$K$21,0))),IF(INDEX(Audit_Kompakt!$J$12:$J$35,MATCH($A80,Audit_Kompakt!$K$12:$K$35,0))="","",INDEX(Audit_Kompakt!$J$12:$J$35,MATCH($A80,Audit_Kompakt!$K$12:$K$35,0))))))),"")</f>
        <v/>
      </c>
    </row>
    <row r="81" customFormat="false" ht="15" hidden="false" customHeight="false" outlineLevel="0" collapsed="false">
      <c r="A81" s="41" t="str">
        <f aca="false">IF(77&lt;=Übersicht!$M$17,77,"")</f>
        <v/>
      </c>
      <c r="B81" s="41" t="str">
        <f aca="false">IFERROR(IF($A81="","",IF($A81&lt;=Übersicht!$P$13,"Allgemein",IF($A81&lt;=Übersicht!$P$14,"Maschine",IF($A81&lt;=Übersicht!$P$15,"Werkzeug","Kompakt")))),"")</f>
        <v/>
      </c>
      <c r="C81" s="41" t="str">
        <f aca="false">IFERROR(IF($A81="","",IF($A81&lt;=Übersicht!$P$13,IF(Audit_Allgemein!$C$4="","–",Audit_Allgemein!$C$4),IF($A81&lt;=Übersicht!$P$14,IF(Audit_Maschine!$C$4="","–",Audit_Maschine!$C$4),IF($A81&lt;=Übersicht!$P$15,IF(Audit_Werkzeuge!$C$4="","–",Audit_Werkzeuge!$C$4),IF(Audit_Kompakt!$C$4="","–",Audit_Kompakt!$C$4))))),"")</f>
        <v/>
      </c>
      <c r="D81" s="41" t="str">
        <f aca="false">IFERROR(IF($A81="","",IF($A81&lt;=Übersicht!$P$13,IF(INDEX(Audit_Allgemein!$A$12:$A$50,MATCH($A81,Audit_Allgemein!$K$12:$K$50,0))="","",INDEX(Audit_Allgemein!$A$12:$A$50,MATCH($A81,Audit_Allgemein!$K$12:$K$50,0))),IF($A81&lt;=Übersicht!$P$14,IF(INDEX(Audit_Maschine!$A$12:$A$24,MATCH($A81,Audit_Maschine!$K$12:$K$24,0))="","",INDEX(Audit_Maschine!$A$12:$A$24,MATCH($A81,Audit_Maschine!$K$12:$K$24,0))),IF($A81&lt;=Übersicht!$P$15,IF(INDEX(Audit_Werkzeuge!$A$12:$A$21,MATCH($A81,Audit_Werkzeuge!$K$12:$K$21,0))="","",INDEX(Audit_Werkzeuge!$A$12:$A$21,MATCH($A81,Audit_Werkzeuge!$K$12:$K$21,0))),IF(INDEX(Audit_Kompakt!$A$12:$A$35,MATCH($A81,Audit_Kompakt!$K$12:$K$35,0))="","",INDEX(Audit_Kompakt!$A$12:$A$35,MATCH($A81,Audit_Kompakt!$K$12:$K$35,0))))))),"")</f>
        <v/>
      </c>
      <c r="E81" s="42" t="str">
        <f aca="false">IFERROR(IF($A81="","",IF($A81&lt;=Übersicht!$P$13,IF(INDEX(Audit_Allgemein!$C$12:$C$50,MATCH($A81,Audit_Allgemein!$K$12:$K$50,0))="","",INDEX(Audit_Allgemein!$C$12:$C$50,MATCH($A81,Audit_Allgemein!$K$12:$K$50,0))),IF($A81&lt;=Übersicht!$P$14,IF(INDEX(Audit_Maschine!$C$12:$C$24,MATCH($A81,Audit_Maschine!$K$12:$K$24,0))="","",INDEX(Audit_Maschine!$C$12:$C$24,MATCH($A81,Audit_Maschine!$K$12:$K$24,0))),IF($A81&lt;=Übersicht!$P$15,IF(INDEX(Audit_Werkzeuge!$C$12:$C$21,MATCH($A81,Audit_Werkzeuge!$K$12:$K$21,0))="","",INDEX(Audit_Werkzeuge!$C$12:$C$21,MATCH($A81,Audit_Werkzeuge!$K$12:$K$21,0))),IF(INDEX(Audit_Kompakt!$C$12:$C$35,MATCH($A81,Audit_Kompakt!$K$12:$K$35,0))="","",INDEX(Audit_Kompakt!$C$12:$C$35,MATCH($A81,Audit_Kompakt!$K$12:$K$35,0))))))),"")</f>
        <v/>
      </c>
      <c r="F81" s="41" t="str">
        <f aca="false">IFERROR(IF($A81="","",IF($A81&lt;=Übersicht!$P$13,IF(INDEX(Audit_Allgemein!$E$12:$E$50,MATCH($A81,Audit_Allgemein!$K$12:$K$50,0))="","",INDEX(Audit_Allgemein!$E$12:$E$50,MATCH($A81,Audit_Allgemein!$K$12:$K$50,0))),IF($A81&lt;=Übersicht!$P$14,IF(INDEX(Audit_Maschine!$E$12:$E$24,MATCH($A81,Audit_Maschine!$K$12:$K$24,0))="","",INDEX(Audit_Maschine!$E$12:$E$24,MATCH($A81,Audit_Maschine!$K$12:$K$24,0))),IF($A81&lt;=Übersicht!$P$15,IF(INDEX(Audit_Werkzeuge!$E$12:$E$21,MATCH($A81,Audit_Werkzeuge!$K$12:$K$21,0))="","",INDEX(Audit_Werkzeuge!$E$12:$E$21,MATCH($A81,Audit_Werkzeuge!$K$12:$K$21,0))),IF(INDEX(Audit_Kompakt!$E$12:$E$35,MATCH($A81,Audit_Kompakt!$K$12:$K$35,0))="","",INDEX(Audit_Kompakt!$E$12:$E$35,MATCH($A81,Audit_Kompakt!$K$12:$K$35,0))))))),"")</f>
        <v/>
      </c>
      <c r="G81" s="42" t="str">
        <f aca="false">IFERROR(IF($A81="","",IF($A81&lt;=Übersicht!$P$13,IF(INDEX(Audit_Allgemein!$F$12:$F$50,MATCH($A81,Audit_Allgemein!$K$12:$K$50,0))="","",INDEX(Audit_Allgemein!$F$12:$F$50,MATCH($A81,Audit_Allgemein!$K$12:$K$50,0))),IF($A81&lt;=Übersicht!$P$14,IF(INDEX(Audit_Maschine!$F$12:$F$24,MATCH($A81,Audit_Maschine!$K$12:$K$24,0))="","",INDEX(Audit_Maschine!$F$12:$F$24,MATCH($A81,Audit_Maschine!$K$12:$K$24,0))),IF($A81&lt;=Übersicht!$P$15,IF(INDEX(Audit_Werkzeuge!$F$12:$F$21,MATCH($A81,Audit_Werkzeuge!$K$12:$K$21,0))="","",INDEX(Audit_Werkzeuge!$F$12:$F$21,MATCH($A81,Audit_Werkzeuge!$K$12:$K$21,0))),IF(INDEX(Audit_Kompakt!$F$12:$F$35,MATCH($A81,Audit_Kompakt!$K$12:$K$35,0))="","",INDEX(Audit_Kompakt!$F$12:$F$35,MATCH($A81,Audit_Kompakt!$K$12:$K$35,0))))))),"")</f>
        <v/>
      </c>
      <c r="H81" s="41" t="str">
        <f aca="false">IFERROR(IF($A81="","",IF($A81&lt;=Übersicht!$P$13,IF(INDEX(Audit_Allgemein!$G$12:$G$50,MATCH($A81,Audit_Allgemein!$K$12:$K$50,0))="","",INDEX(Audit_Allgemein!$G$12:$G$50,MATCH($A81,Audit_Allgemein!$K$12:$K$50,0))),IF($A81&lt;=Übersicht!$P$14,IF(INDEX(Audit_Maschine!$G$12:$G$24,MATCH($A81,Audit_Maschine!$K$12:$K$24,0))="","",INDEX(Audit_Maschine!$G$12:$G$24,MATCH($A81,Audit_Maschine!$K$12:$K$24,0))),IF($A81&lt;=Übersicht!$P$15,IF(INDEX(Audit_Werkzeuge!$G$12:$G$21,MATCH($A81,Audit_Werkzeuge!$K$12:$K$21,0))="","",INDEX(Audit_Werkzeuge!$G$12:$G$21,MATCH($A81,Audit_Werkzeuge!$K$12:$K$21,0))),IF(INDEX(Audit_Kompakt!$G$12:$G$35,MATCH($A81,Audit_Kompakt!$K$12:$K$35,0))="","",INDEX(Audit_Kompakt!$G$12:$G$35,MATCH($A81,Audit_Kompakt!$K$12:$K$35,0))))))),"")</f>
        <v/>
      </c>
      <c r="I81" s="43" t="str">
        <f aca="false">IFERROR(IF($A81="","",IF($A81&lt;=Übersicht!$P$13,IF(INDEX(Audit_Allgemein!$H$12:$H$50,MATCH($A81,Audit_Allgemein!$K$12:$K$50,0))="","",INDEX(Audit_Allgemein!$H$12:$H$50,MATCH($A81,Audit_Allgemein!$K$12:$K$50,0))),IF($A81&lt;=Übersicht!$P$14,IF(INDEX(Audit_Maschine!$H$12:$H$24,MATCH($A81,Audit_Maschine!$K$12:$K$24,0))="","",INDEX(Audit_Maschine!$H$12:$H$24,MATCH($A81,Audit_Maschine!$K$12:$K$24,0))),IF($A81&lt;=Übersicht!$P$15,IF(INDEX(Audit_Werkzeuge!$H$12:$H$21,MATCH($A81,Audit_Werkzeuge!$K$12:$K$21,0))="","",INDEX(Audit_Werkzeuge!$H$12:$H$21,MATCH($A81,Audit_Werkzeuge!$K$12:$K$21,0))),IF(INDEX(Audit_Kompakt!$H$12:$H$35,MATCH($A81,Audit_Kompakt!$K$12:$K$35,0))="","",INDEX(Audit_Kompakt!$H$12:$H$35,MATCH($A81,Audit_Kompakt!$K$12:$K$35,0))))))),"")</f>
        <v/>
      </c>
      <c r="J81" s="41" t="str">
        <f aca="false">IFERROR(IF($A81="","",IF($A81&lt;=Übersicht!$P$13,IF(INDEX(Audit_Allgemein!$J$12:$J$50,MATCH($A81,Audit_Allgemein!$K$12:$K$50,0))="","",INDEX(Audit_Allgemein!$J$12:$J$50,MATCH($A81,Audit_Allgemein!$K$12:$K$50,0))),IF($A81&lt;=Übersicht!$P$14,IF(INDEX(Audit_Maschine!$J$12:$J$24,MATCH($A81,Audit_Maschine!$K$12:$K$24,0))="","",INDEX(Audit_Maschine!$J$12:$J$24,MATCH($A81,Audit_Maschine!$K$12:$K$24,0))),IF($A81&lt;=Übersicht!$P$15,IF(INDEX(Audit_Werkzeuge!$J$12:$J$21,MATCH($A81,Audit_Werkzeuge!$K$12:$K$21,0))="","",INDEX(Audit_Werkzeuge!$J$12:$J$21,MATCH($A81,Audit_Werkzeuge!$K$12:$K$21,0))),IF(INDEX(Audit_Kompakt!$J$12:$J$35,MATCH($A81,Audit_Kompakt!$K$12:$K$35,0))="","",INDEX(Audit_Kompakt!$J$12:$J$35,MATCH($A81,Audit_Kompakt!$K$12:$K$35,0))))))),"")</f>
        <v/>
      </c>
    </row>
    <row r="82" customFormat="false" ht="15" hidden="false" customHeight="false" outlineLevel="0" collapsed="false">
      <c r="A82" s="41" t="str">
        <f aca="false">IF(78&lt;=Übersicht!$M$17,78,"")</f>
        <v/>
      </c>
      <c r="B82" s="41" t="str">
        <f aca="false">IFERROR(IF($A82="","",IF($A82&lt;=Übersicht!$P$13,"Allgemein",IF($A82&lt;=Übersicht!$P$14,"Maschine",IF($A82&lt;=Übersicht!$P$15,"Werkzeug","Kompakt")))),"")</f>
        <v/>
      </c>
      <c r="C82" s="41" t="str">
        <f aca="false">IFERROR(IF($A82="","",IF($A82&lt;=Übersicht!$P$13,IF(Audit_Allgemein!$C$4="","–",Audit_Allgemein!$C$4),IF($A82&lt;=Übersicht!$P$14,IF(Audit_Maschine!$C$4="","–",Audit_Maschine!$C$4),IF($A82&lt;=Übersicht!$P$15,IF(Audit_Werkzeuge!$C$4="","–",Audit_Werkzeuge!$C$4),IF(Audit_Kompakt!$C$4="","–",Audit_Kompakt!$C$4))))),"")</f>
        <v/>
      </c>
      <c r="D82" s="41" t="str">
        <f aca="false">IFERROR(IF($A82="","",IF($A82&lt;=Übersicht!$P$13,IF(INDEX(Audit_Allgemein!$A$12:$A$50,MATCH($A82,Audit_Allgemein!$K$12:$K$50,0))="","",INDEX(Audit_Allgemein!$A$12:$A$50,MATCH($A82,Audit_Allgemein!$K$12:$K$50,0))),IF($A82&lt;=Übersicht!$P$14,IF(INDEX(Audit_Maschine!$A$12:$A$24,MATCH($A82,Audit_Maschine!$K$12:$K$24,0))="","",INDEX(Audit_Maschine!$A$12:$A$24,MATCH($A82,Audit_Maschine!$K$12:$K$24,0))),IF($A82&lt;=Übersicht!$P$15,IF(INDEX(Audit_Werkzeuge!$A$12:$A$21,MATCH($A82,Audit_Werkzeuge!$K$12:$K$21,0))="","",INDEX(Audit_Werkzeuge!$A$12:$A$21,MATCH($A82,Audit_Werkzeuge!$K$12:$K$21,0))),IF(INDEX(Audit_Kompakt!$A$12:$A$35,MATCH($A82,Audit_Kompakt!$K$12:$K$35,0))="","",INDEX(Audit_Kompakt!$A$12:$A$35,MATCH($A82,Audit_Kompakt!$K$12:$K$35,0))))))),"")</f>
        <v/>
      </c>
      <c r="E82" s="42" t="str">
        <f aca="false">IFERROR(IF($A82="","",IF($A82&lt;=Übersicht!$P$13,IF(INDEX(Audit_Allgemein!$C$12:$C$50,MATCH($A82,Audit_Allgemein!$K$12:$K$50,0))="","",INDEX(Audit_Allgemein!$C$12:$C$50,MATCH($A82,Audit_Allgemein!$K$12:$K$50,0))),IF($A82&lt;=Übersicht!$P$14,IF(INDEX(Audit_Maschine!$C$12:$C$24,MATCH($A82,Audit_Maschine!$K$12:$K$24,0))="","",INDEX(Audit_Maschine!$C$12:$C$24,MATCH($A82,Audit_Maschine!$K$12:$K$24,0))),IF($A82&lt;=Übersicht!$P$15,IF(INDEX(Audit_Werkzeuge!$C$12:$C$21,MATCH($A82,Audit_Werkzeuge!$K$12:$K$21,0))="","",INDEX(Audit_Werkzeuge!$C$12:$C$21,MATCH($A82,Audit_Werkzeuge!$K$12:$K$21,0))),IF(INDEX(Audit_Kompakt!$C$12:$C$35,MATCH($A82,Audit_Kompakt!$K$12:$K$35,0))="","",INDEX(Audit_Kompakt!$C$12:$C$35,MATCH($A82,Audit_Kompakt!$K$12:$K$35,0))))))),"")</f>
        <v/>
      </c>
      <c r="F82" s="41" t="str">
        <f aca="false">IFERROR(IF($A82="","",IF($A82&lt;=Übersicht!$P$13,IF(INDEX(Audit_Allgemein!$E$12:$E$50,MATCH($A82,Audit_Allgemein!$K$12:$K$50,0))="","",INDEX(Audit_Allgemein!$E$12:$E$50,MATCH($A82,Audit_Allgemein!$K$12:$K$50,0))),IF($A82&lt;=Übersicht!$P$14,IF(INDEX(Audit_Maschine!$E$12:$E$24,MATCH($A82,Audit_Maschine!$K$12:$K$24,0))="","",INDEX(Audit_Maschine!$E$12:$E$24,MATCH($A82,Audit_Maschine!$K$12:$K$24,0))),IF($A82&lt;=Übersicht!$P$15,IF(INDEX(Audit_Werkzeuge!$E$12:$E$21,MATCH($A82,Audit_Werkzeuge!$K$12:$K$21,0))="","",INDEX(Audit_Werkzeuge!$E$12:$E$21,MATCH($A82,Audit_Werkzeuge!$K$12:$K$21,0))),IF(INDEX(Audit_Kompakt!$E$12:$E$35,MATCH($A82,Audit_Kompakt!$K$12:$K$35,0))="","",INDEX(Audit_Kompakt!$E$12:$E$35,MATCH($A82,Audit_Kompakt!$K$12:$K$35,0))))))),"")</f>
        <v/>
      </c>
      <c r="G82" s="42" t="str">
        <f aca="false">IFERROR(IF($A82="","",IF($A82&lt;=Übersicht!$P$13,IF(INDEX(Audit_Allgemein!$F$12:$F$50,MATCH($A82,Audit_Allgemein!$K$12:$K$50,0))="","",INDEX(Audit_Allgemein!$F$12:$F$50,MATCH($A82,Audit_Allgemein!$K$12:$K$50,0))),IF($A82&lt;=Übersicht!$P$14,IF(INDEX(Audit_Maschine!$F$12:$F$24,MATCH($A82,Audit_Maschine!$K$12:$K$24,0))="","",INDEX(Audit_Maschine!$F$12:$F$24,MATCH($A82,Audit_Maschine!$K$12:$K$24,0))),IF($A82&lt;=Übersicht!$P$15,IF(INDEX(Audit_Werkzeuge!$F$12:$F$21,MATCH($A82,Audit_Werkzeuge!$K$12:$K$21,0))="","",INDEX(Audit_Werkzeuge!$F$12:$F$21,MATCH($A82,Audit_Werkzeuge!$K$12:$K$21,0))),IF(INDEX(Audit_Kompakt!$F$12:$F$35,MATCH($A82,Audit_Kompakt!$K$12:$K$35,0))="","",INDEX(Audit_Kompakt!$F$12:$F$35,MATCH($A82,Audit_Kompakt!$K$12:$K$35,0))))))),"")</f>
        <v/>
      </c>
      <c r="H82" s="41" t="str">
        <f aca="false">IFERROR(IF($A82="","",IF($A82&lt;=Übersicht!$P$13,IF(INDEX(Audit_Allgemein!$G$12:$G$50,MATCH($A82,Audit_Allgemein!$K$12:$K$50,0))="","",INDEX(Audit_Allgemein!$G$12:$G$50,MATCH($A82,Audit_Allgemein!$K$12:$K$50,0))),IF($A82&lt;=Übersicht!$P$14,IF(INDEX(Audit_Maschine!$G$12:$G$24,MATCH($A82,Audit_Maschine!$K$12:$K$24,0))="","",INDEX(Audit_Maschine!$G$12:$G$24,MATCH($A82,Audit_Maschine!$K$12:$K$24,0))),IF($A82&lt;=Übersicht!$P$15,IF(INDEX(Audit_Werkzeuge!$G$12:$G$21,MATCH($A82,Audit_Werkzeuge!$K$12:$K$21,0))="","",INDEX(Audit_Werkzeuge!$G$12:$G$21,MATCH($A82,Audit_Werkzeuge!$K$12:$K$21,0))),IF(INDEX(Audit_Kompakt!$G$12:$G$35,MATCH($A82,Audit_Kompakt!$K$12:$K$35,0))="","",INDEX(Audit_Kompakt!$G$12:$G$35,MATCH($A82,Audit_Kompakt!$K$12:$K$35,0))))))),"")</f>
        <v/>
      </c>
      <c r="I82" s="43" t="str">
        <f aca="false">IFERROR(IF($A82="","",IF($A82&lt;=Übersicht!$P$13,IF(INDEX(Audit_Allgemein!$H$12:$H$50,MATCH($A82,Audit_Allgemein!$K$12:$K$50,0))="","",INDEX(Audit_Allgemein!$H$12:$H$50,MATCH($A82,Audit_Allgemein!$K$12:$K$50,0))),IF($A82&lt;=Übersicht!$P$14,IF(INDEX(Audit_Maschine!$H$12:$H$24,MATCH($A82,Audit_Maschine!$K$12:$K$24,0))="","",INDEX(Audit_Maschine!$H$12:$H$24,MATCH($A82,Audit_Maschine!$K$12:$K$24,0))),IF($A82&lt;=Übersicht!$P$15,IF(INDEX(Audit_Werkzeuge!$H$12:$H$21,MATCH($A82,Audit_Werkzeuge!$K$12:$K$21,0))="","",INDEX(Audit_Werkzeuge!$H$12:$H$21,MATCH($A82,Audit_Werkzeuge!$K$12:$K$21,0))),IF(INDEX(Audit_Kompakt!$H$12:$H$35,MATCH($A82,Audit_Kompakt!$K$12:$K$35,0))="","",INDEX(Audit_Kompakt!$H$12:$H$35,MATCH($A82,Audit_Kompakt!$K$12:$K$35,0))))))),"")</f>
        <v/>
      </c>
      <c r="J82" s="41" t="str">
        <f aca="false">IFERROR(IF($A82="","",IF($A82&lt;=Übersicht!$P$13,IF(INDEX(Audit_Allgemein!$J$12:$J$50,MATCH($A82,Audit_Allgemein!$K$12:$K$50,0))="","",INDEX(Audit_Allgemein!$J$12:$J$50,MATCH($A82,Audit_Allgemein!$K$12:$K$50,0))),IF($A82&lt;=Übersicht!$P$14,IF(INDEX(Audit_Maschine!$J$12:$J$24,MATCH($A82,Audit_Maschine!$K$12:$K$24,0))="","",INDEX(Audit_Maschine!$J$12:$J$24,MATCH($A82,Audit_Maschine!$K$12:$K$24,0))),IF($A82&lt;=Übersicht!$P$15,IF(INDEX(Audit_Werkzeuge!$J$12:$J$21,MATCH($A82,Audit_Werkzeuge!$K$12:$K$21,0))="","",INDEX(Audit_Werkzeuge!$J$12:$J$21,MATCH($A82,Audit_Werkzeuge!$K$12:$K$21,0))),IF(INDEX(Audit_Kompakt!$J$12:$J$35,MATCH($A82,Audit_Kompakt!$K$12:$K$35,0))="","",INDEX(Audit_Kompakt!$J$12:$J$35,MATCH($A82,Audit_Kompakt!$K$12:$K$35,0))))))),"")</f>
        <v/>
      </c>
    </row>
    <row r="83" customFormat="false" ht="15" hidden="false" customHeight="false" outlineLevel="0" collapsed="false">
      <c r="A83" s="41" t="str">
        <f aca="false">IF(79&lt;=Übersicht!$M$17,79,"")</f>
        <v/>
      </c>
      <c r="B83" s="41" t="str">
        <f aca="false">IFERROR(IF($A83="","",IF($A83&lt;=Übersicht!$P$13,"Allgemein",IF($A83&lt;=Übersicht!$P$14,"Maschine",IF($A83&lt;=Übersicht!$P$15,"Werkzeug","Kompakt")))),"")</f>
        <v/>
      </c>
      <c r="C83" s="41" t="str">
        <f aca="false">IFERROR(IF($A83="","",IF($A83&lt;=Übersicht!$P$13,IF(Audit_Allgemein!$C$4="","–",Audit_Allgemein!$C$4),IF($A83&lt;=Übersicht!$P$14,IF(Audit_Maschine!$C$4="","–",Audit_Maschine!$C$4),IF($A83&lt;=Übersicht!$P$15,IF(Audit_Werkzeuge!$C$4="","–",Audit_Werkzeuge!$C$4),IF(Audit_Kompakt!$C$4="","–",Audit_Kompakt!$C$4))))),"")</f>
        <v/>
      </c>
      <c r="D83" s="41" t="str">
        <f aca="false">IFERROR(IF($A83="","",IF($A83&lt;=Übersicht!$P$13,IF(INDEX(Audit_Allgemein!$A$12:$A$50,MATCH($A83,Audit_Allgemein!$K$12:$K$50,0))="","",INDEX(Audit_Allgemein!$A$12:$A$50,MATCH($A83,Audit_Allgemein!$K$12:$K$50,0))),IF($A83&lt;=Übersicht!$P$14,IF(INDEX(Audit_Maschine!$A$12:$A$24,MATCH($A83,Audit_Maschine!$K$12:$K$24,0))="","",INDEX(Audit_Maschine!$A$12:$A$24,MATCH($A83,Audit_Maschine!$K$12:$K$24,0))),IF($A83&lt;=Übersicht!$P$15,IF(INDEX(Audit_Werkzeuge!$A$12:$A$21,MATCH($A83,Audit_Werkzeuge!$K$12:$K$21,0))="","",INDEX(Audit_Werkzeuge!$A$12:$A$21,MATCH($A83,Audit_Werkzeuge!$K$12:$K$21,0))),IF(INDEX(Audit_Kompakt!$A$12:$A$35,MATCH($A83,Audit_Kompakt!$K$12:$K$35,0))="","",INDEX(Audit_Kompakt!$A$12:$A$35,MATCH($A83,Audit_Kompakt!$K$12:$K$35,0))))))),"")</f>
        <v/>
      </c>
      <c r="E83" s="42" t="str">
        <f aca="false">IFERROR(IF($A83="","",IF($A83&lt;=Übersicht!$P$13,IF(INDEX(Audit_Allgemein!$C$12:$C$50,MATCH($A83,Audit_Allgemein!$K$12:$K$50,0))="","",INDEX(Audit_Allgemein!$C$12:$C$50,MATCH($A83,Audit_Allgemein!$K$12:$K$50,0))),IF($A83&lt;=Übersicht!$P$14,IF(INDEX(Audit_Maschine!$C$12:$C$24,MATCH($A83,Audit_Maschine!$K$12:$K$24,0))="","",INDEX(Audit_Maschine!$C$12:$C$24,MATCH($A83,Audit_Maschine!$K$12:$K$24,0))),IF($A83&lt;=Übersicht!$P$15,IF(INDEX(Audit_Werkzeuge!$C$12:$C$21,MATCH($A83,Audit_Werkzeuge!$K$12:$K$21,0))="","",INDEX(Audit_Werkzeuge!$C$12:$C$21,MATCH($A83,Audit_Werkzeuge!$K$12:$K$21,0))),IF(INDEX(Audit_Kompakt!$C$12:$C$35,MATCH($A83,Audit_Kompakt!$K$12:$K$35,0))="","",INDEX(Audit_Kompakt!$C$12:$C$35,MATCH($A83,Audit_Kompakt!$K$12:$K$35,0))))))),"")</f>
        <v/>
      </c>
      <c r="F83" s="41" t="str">
        <f aca="false">IFERROR(IF($A83="","",IF($A83&lt;=Übersicht!$P$13,IF(INDEX(Audit_Allgemein!$E$12:$E$50,MATCH($A83,Audit_Allgemein!$K$12:$K$50,0))="","",INDEX(Audit_Allgemein!$E$12:$E$50,MATCH($A83,Audit_Allgemein!$K$12:$K$50,0))),IF($A83&lt;=Übersicht!$P$14,IF(INDEX(Audit_Maschine!$E$12:$E$24,MATCH($A83,Audit_Maschine!$K$12:$K$24,0))="","",INDEX(Audit_Maschine!$E$12:$E$24,MATCH($A83,Audit_Maschine!$K$12:$K$24,0))),IF($A83&lt;=Übersicht!$P$15,IF(INDEX(Audit_Werkzeuge!$E$12:$E$21,MATCH($A83,Audit_Werkzeuge!$K$12:$K$21,0))="","",INDEX(Audit_Werkzeuge!$E$12:$E$21,MATCH($A83,Audit_Werkzeuge!$K$12:$K$21,0))),IF(INDEX(Audit_Kompakt!$E$12:$E$35,MATCH($A83,Audit_Kompakt!$K$12:$K$35,0))="","",INDEX(Audit_Kompakt!$E$12:$E$35,MATCH($A83,Audit_Kompakt!$K$12:$K$35,0))))))),"")</f>
        <v/>
      </c>
      <c r="G83" s="42" t="str">
        <f aca="false">IFERROR(IF($A83="","",IF($A83&lt;=Übersicht!$P$13,IF(INDEX(Audit_Allgemein!$F$12:$F$50,MATCH($A83,Audit_Allgemein!$K$12:$K$50,0))="","",INDEX(Audit_Allgemein!$F$12:$F$50,MATCH($A83,Audit_Allgemein!$K$12:$K$50,0))),IF($A83&lt;=Übersicht!$P$14,IF(INDEX(Audit_Maschine!$F$12:$F$24,MATCH($A83,Audit_Maschine!$K$12:$K$24,0))="","",INDEX(Audit_Maschine!$F$12:$F$24,MATCH($A83,Audit_Maschine!$K$12:$K$24,0))),IF($A83&lt;=Übersicht!$P$15,IF(INDEX(Audit_Werkzeuge!$F$12:$F$21,MATCH($A83,Audit_Werkzeuge!$K$12:$K$21,0))="","",INDEX(Audit_Werkzeuge!$F$12:$F$21,MATCH($A83,Audit_Werkzeuge!$K$12:$K$21,0))),IF(INDEX(Audit_Kompakt!$F$12:$F$35,MATCH($A83,Audit_Kompakt!$K$12:$K$35,0))="","",INDEX(Audit_Kompakt!$F$12:$F$35,MATCH($A83,Audit_Kompakt!$K$12:$K$35,0))))))),"")</f>
        <v/>
      </c>
      <c r="H83" s="41" t="str">
        <f aca="false">IFERROR(IF($A83="","",IF($A83&lt;=Übersicht!$P$13,IF(INDEX(Audit_Allgemein!$G$12:$G$50,MATCH($A83,Audit_Allgemein!$K$12:$K$50,0))="","",INDEX(Audit_Allgemein!$G$12:$G$50,MATCH($A83,Audit_Allgemein!$K$12:$K$50,0))),IF($A83&lt;=Übersicht!$P$14,IF(INDEX(Audit_Maschine!$G$12:$G$24,MATCH($A83,Audit_Maschine!$K$12:$K$24,0))="","",INDEX(Audit_Maschine!$G$12:$G$24,MATCH($A83,Audit_Maschine!$K$12:$K$24,0))),IF($A83&lt;=Übersicht!$P$15,IF(INDEX(Audit_Werkzeuge!$G$12:$G$21,MATCH($A83,Audit_Werkzeuge!$K$12:$K$21,0))="","",INDEX(Audit_Werkzeuge!$G$12:$G$21,MATCH($A83,Audit_Werkzeuge!$K$12:$K$21,0))),IF(INDEX(Audit_Kompakt!$G$12:$G$35,MATCH($A83,Audit_Kompakt!$K$12:$K$35,0))="","",INDEX(Audit_Kompakt!$G$12:$G$35,MATCH($A83,Audit_Kompakt!$K$12:$K$35,0))))))),"")</f>
        <v/>
      </c>
      <c r="I83" s="43" t="str">
        <f aca="false">IFERROR(IF($A83="","",IF($A83&lt;=Übersicht!$P$13,IF(INDEX(Audit_Allgemein!$H$12:$H$50,MATCH($A83,Audit_Allgemein!$K$12:$K$50,0))="","",INDEX(Audit_Allgemein!$H$12:$H$50,MATCH($A83,Audit_Allgemein!$K$12:$K$50,0))),IF($A83&lt;=Übersicht!$P$14,IF(INDEX(Audit_Maschine!$H$12:$H$24,MATCH($A83,Audit_Maschine!$K$12:$K$24,0))="","",INDEX(Audit_Maschine!$H$12:$H$24,MATCH($A83,Audit_Maschine!$K$12:$K$24,0))),IF($A83&lt;=Übersicht!$P$15,IF(INDEX(Audit_Werkzeuge!$H$12:$H$21,MATCH($A83,Audit_Werkzeuge!$K$12:$K$21,0))="","",INDEX(Audit_Werkzeuge!$H$12:$H$21,MATCH($A83,Audit_Werkzeuge!$K$12:$K$21,0))),IF(INDEX(Audit_Kompakt!$H$12:$H$35,MATCH($A83,Audit_Kompakt!$K$12:$K$35,0))="","",INDEX(Audit_Kompakt!$H$12:$H$35,MATCH($A83,Audit_Kompakt!$K$12:$K$35,0))))))),"")</f>
        <v/>
      </c>
      <c r="J83" s="41" t="str">
        <f aca="false">IFERROR(IF($A83="","",IF($A83&lt;=Übersicht!$P$13,IF(INDEX(Audit_Allgemein!$J$12:$J$50,MATCH($A83,Audit_Allgemein!$K$12:$K$50,0))="","",INDEX(Audit_Allgemein!$J$12:$J$50,MATCH($A83,Audit_Allgemein!$K$12:$K$50,0))),IF($A83&lt;=Übersicht!$P$14,IF(INDEX(Audit_Maschine!$J$12:$J$24,MATCH($A83,Audit_Maschine!$K$12:$K$24,0))="","",INDEX(Audit_Maschine!$J$12:$J$24,MATCH($A83,Audit_Maschine!$K$12:$K$24,0))),IF($A83&lt;=Übersicht!$P$15,IF(INDEX(Audit_Werkzeuge!$J$12:$J$21,MATCH($A83,Audit_Werkzeuge!$K$12:$K$21,0))="","",INDEX(Audit_Werkzeuge!$J$12:$J$21,MATCH($A83,Audit_Werkzeuge!$K$12:$K$21,0))),IF(INDEX(Audit_Kompakt!$J$12:$J$35,MATCH($A83,Audit_Kompakt!$K$12:$K$35,0))="","",INDEX(Audit_Kompakt!$J$12:$J$35,MATCH($A83,Audit_Kompakt!$K$12:$K$35,0))))))),"")</f>
        <v/>
      </c>
    </row>
    <row r="84" customFormat="false" ht="15" hidden="false" customHeight="false" outlineLevel="0" collapsed="false">
      <c r="A84" s="41" t="str">
        <f aca="false">IF(80&lt;=Übersicht!$M$17,80,"")</f>
        <v/>
      </c>
      <c r="B84" s="41" t="str">
        <f aca="false">IFERROR(IF($A84="","",IF($A84&lt;=Übersicht!$P$13,"Allgemein",IF($A84&lt;=Übersicht!$P$14,"Maschine",IF($A84&lt;=Übersicht!$P$15,"Werkzeug","Kompakt")))),"")</f>
        <v/>
      </c>
      <c r="C84" s="41" t="str">
        <f aca="false">IFERROR(IF($A84="","",IF($A84&lt;=Übersicht!$P$13,IF(Audit_Allgemein!$C$4="","–",Audit_Allgemein!$C$4),IF($A84&lt;=Übersicht!$P$14,IF(Audit_Maschine!$C$4="","–",Audit_Maschine!$C$4),IF($A84&lt;=Übersicht!$P$15,IF(Audit_Werkzeuge!$C$4="","–",Audit_Werkzeuge!$C$4),IF(Audit_Kompakt!$C$4="","–",Audit_Kompakt!$C$4))))),"")</f>
        <v/>
      </c>
      <c r="D84" s="41" t="str">
        <f aca="false">IFERROR(IF($A84="","",IF($A84&lt;=Übersicht!$P$13,IF(INDEX(Audit_Allgemein!$A$12:$A$50,MATCH($A84,Audit_Allgemein!$K$12:$K$50,0))="","",INDEX(Audit_Allgemein!$A$12:$A$50,MATCH($A84,Audit_Allgemein!$K$12:$K$50,0))),IF($A84&lt;=Übersicht!$P$14,IF(INDEX(Audit_Maschine!$A$12:$A$24,MATCH($A84,Audit_Maschine!$K$12:$K$24,0))="","",INDEX(Audit_Maschine!$A$12:$A$24,MATCH($A84,Audit_Maschine!$K$12:$K$24,0))),IF($A84&lt;=Übersicht!$P$15,IF(INDEX(Audit_Werkzeuge!$A$12:$A$21,MATCH($A84,Audit_Werkzeuge!$K$12:$K$21,0))="","",INDEX(Audit_Werkzeuge!$A$12:$A$21,MATCH($A84,Audit_Werkzeuge!$K$12:$K$21,0))),IF(INDEX(Audit_Kompakt!$A$12:$A$35,MATCH($A84,Audit_Kompakt!$K$12:$K$35,0))="","",INDEX(Audit_Kompakt!$A$12:$A$35,MATCH($A84,Audit_Kompakt!$K$12:$K$35,0))))))),"")</f>
        <v/>
      </c>
      <c r="E84" s="42" t="str">
        <f aca="false">IFERROR(IF($A84="","",IF($A84&lt;=Übersicht!$P$13,IF(INDEX(Audit_Allgemein!$C$12:$C$50,MATCH($A84,Audit_Allgemein!$K$12:$K$50,0))="","",INDEX(Audit_Allgemein!$C$12:$C$50,MATCH($A84,Audit_Allgemein!$K$12:$K$50,0))),IF($A84&lt;=Übersicht!$P$14,IF(INDEX(Audit_Maschine!$C$12:$C$24,MATCH($A84,Audit_Maschine!$K$12:$K$24,0))="","",INDEX(Audit_Maschine!$C$12:$C$24,MATCH($A84,Audit_Maschine!$K$12:$K$24,0))),IF($A84&lt;=Übersicht!$P$15,IF(INDEX(Audit_Werkzeuge!$C$12:$C$21,MATCH($A84,Audit_Werkzeuge!$K$12:$K$21,0))="","",INDEX(Audit_Werkzeuge!$C$12:$C$21,MATCH($A84,Audit_Werkzeuge!$K$12:$K$21,0))),IF(INDEX(Audit_Kompakt!$C$12:$C$35,MATCH($A84,Audit_Kompakt!$K$12:$K$35,0))="","",INDEX(Audit_Kompakt!$C$12:$C$35,MATCH($A84,Audit_Kompakt!$K$12:$K$35,0))))))),"")</f>
        <v/>
      </c>
      <c r="F84" s="41" t="str">
        <f aca="false">IFERROR(IF($A84="","",IF($A84&lt;=Übersicht!$P$13,IF(INDEX(Audit_Allgemein!$E$12:$E$50,MATCH($A84,Audit_Allgemein!$K$12:$K$50,0))="","",INDEX(Audit_Allgemein!$E$12:$E$50,MATCH($A84,Audit_Allgemein!$K$12:$K$50,0))),IF($A84&lt;=Übersicht!$P$14,IF(INDEX(Audit_Maschine!$E$12:$E$24,MATCH($A84,Audit_Maschine!$K$12:$K$24,0))="","",INDEX(Audit_Maschine!$E$12:$E$24,MATCH($A84,Audit_Maschine!$K$12:$K$24,0))),IF($A84&lt;=Übersicht!$P$15,IF(INDEX(Audit_Werkzeuge!$E$12:$E$21,MATCH($A84,Audit_Werkzeuge!$K$12:$K$21,0))="","",INDEX(Audit_Werkzeuge!$E$12:$E$21,MATCH($A84,Audit_Werkzeuge!$K$12:$K$21,0))),IF(INDEX(Audit_Kompakt!$E$12:$E$35,MATCH($A84,Audit_Kompakt!$K$12:$K$35,0))="","",INDEX(Audit_Kompakt!$E$12:$E$35,MATCH($A84,Audit_Kompakt!$K$12:$K$35,0))))))),"")</f>
        <v/>
      </c>
      <c r="G84" s="42" t="str">
        <f aca="false">IFERROR(IF($A84="","",IF($A84&lt;=Übersicht!$P$13,IF(INDEX(Audit_Allgemein!$F$12:$F$50,MATCH($A84,Audit_Allgemein!$K$12:$K$50,0))="","",INDEX(Audit_Allgemein!$F$12:$F$50,MATCH($A84,Audit_Allgemein!$K$12:$K$50,0))),IF($A84&lt;=Übersicht!$P$14,IF(INDEX(Audit_Maschine!$F$12:$F$24,MATCH($A84,Audit_Maschine!$K$12:$K$24,0))="","",INDEX(Audit_Maschine!$F$12:$F$24,MATCH($A84,Audit_Maschine!$K$12:$K$24,0))),IF($A84&lt;=Übersicht!$P$15,IF(INDEX(Audit_Werkzeuge!$F$12:$F$21,MATCH($A84,Audit_Werkzeuge!$K$12:$K$21,0))="","",INDEX(Audit_Werkzeuge!$F$12:$F$21,MATCH($A84,Audit_Werkzeuge!$K$12:$K$21,0))),IF(INDEX(Audit_Kompakt!$F$12:$F$35,MATCH($A84,Audit_Kompakt!$K$12:$K$35,0))="","",INDEX(Audit_Kompakt!$F$12:$F$35,MATCH($A84,Audit_Kompakt!$K$12:$K$35,0))))))),"")</f>
        <v/>
      </c>
      <c r="H84" s="41" t="str">
        <f aca="false">IFERROR(IF($A84="","",IF($A84&lt;=Übersicht!$P$13,IF(INDEX(Audit_Allgemein!$G$12:$G$50,MATCH($A84,Audit_Allgemein!$K$12:$K$50,0))="","",INDEX(Audit_Allgemein!$G$12:$G$50,MATCH($A84,Audit_Allgemein!$K$12:$K$50,0))),IF($A84&lt;=Übersicht!$P$14,IF(INDEX(Audit_Maschine!$G$12:$G$24,MATCH($A84,Audit_Maschine!$K$12:$K$24,0))="","",INDEX(Audit_Maschine!$G$12:$G$24,MATCH($A84,Audit_Maschine!$K$12:$K$24,0))),IF($A84&lt;=Übersicht!$P$15,IF(INDEX(Audit_Werkzeuge!$G$12:$G$21,MATCH($A84,Audit_Werkzeuge!$K$12:$K$21,0))="","",INDEX(Audit_Werkzeuge!$G$12:$G$21,MATCH($A84,Audit_Werkzeuge!$K$12:$K$21,0))),IF(INDEX(Audit_Kompakt!$G$12:$G$35,MATCH($A84,Audit_Kompakt!$K$12:$K$35,0))="","",INDEX(Audit_Kompakt!$G$12:$G$35,MATCH($A84,Audit_Kompakt!$K$12:$K$35,0))))))),"")</f>
        <v/>
      </c>
      <c r="I84" s="43" t="str">
        <f aca="false">IFERROR(IF($A84="","",IF($A84&lt;=Übersicht!$P$13,IF(INDEX(Audit_Allgemein!$H$12:$H$50,MATCH($A84,Audit_Allgemein!$K$12:$K$50,0))="","",INDEX(Audit_Allgemein!$H$12:$H$50,MATCH($A84,Audit_Allgemein!$K$12:$K$50,0))),IF($A84&lt;=Übersicht!$P$14,IF(INDEX(Audit_Maschine!$H$12:$H$24,MATCH($A84,Audit_Maschine!$K$12:$K$24,0))="","",INDEX(Audit_Maschine!$H$12:$H$24,MATCH($A84,Audit_Maschine!$K$12:$K$24,0))),IF($A84&lt;=Übersicht!$P$15,IF(INDEX(Audit_Werkzeuge!$H$12:$H$21,MATCH($A84,Audit_Werkzeuge!$K$12:$K$21,0))="","",INDEX(Audit_Werkzeuge!$H$12:$H$21,MATCH($A84,Audit_Werkzeuge!$K$12:$K$21,0))),IF(INDEX(Audit_Kompakt!$H$12:$H$35,MATCH($A84,Audit_Kompakt!$K$12:$K$35,0))="","",INDEX(Audit_Kompakt!$H$12:$H$35,MATCH($A84,Audit_Kompakt!$K$12:$K$35,0))))))),"")</f>
        <v/>
      </c>
      <c r="J84" s="41" t="str">
        <f aca="false">IFERROR(IF($A84="","",IF($A84&lt;=Übersicht!$P$13,IF(INDEX(Audit_Allgemein!$J$12:$J$50,MATCH($A84,Audit_Allgemein!$K$12:$K$50,0))="","",INDEX(Audit_Allgemein!$J$12:$J$50,MATCH($A84,Audit_Allgemein!$K$12:$K$50,0))),IF($A84&lt;=Übersicht!$P$14,IF(INDEX(Audit_Maschine!$J$12:$J$24,MATCH($A84,Audit_Maschine!$K$12:$K$24,0))="","",INDEX(Audit_Maschine!$J$12:$J$24,MATCH($A84,Audit_Maschine!$K$12:$K$24,0))),IF($A84&lt;=Übersicht!$P$15,IF(INDEX(Audit_Werkzeuge!$J$12:$J$21,MATCH($A84,Audit_Werkzeuge!$K$12:$K$21,0))="","",INDEX(Audit_Werkzeuge!$J$12:$J$21,MATCH($A84,Audit_Werkzeuge!$K$12:$K$21,0))),IF(INDEX(Audit_Kompakt!$J$12:$J$35,MATCH($A84,Audit_Kompakt!$K$12:$K$35,0))="","",INDEX(Audit_Kompakt!$J$12:$J$35,MATCH($A84,Audit_Kompakt!$K$12:$K$35,0))))))),"")</f>
        <v/>
      </c>
    </row>
    <row r="85" customFormat="false" ht="15" hidden="false" customHeight="false" outlineLevel="0" collapsed="false">
      <c r="A85" s="41" t="str">
        <f aca="false">IF(81&lt;=Übersicht!$M$17,81,"")</f>
        <v/>
      </c>
      <c r="B85" s="41" t="str">
        <f aca="false">IFERROR(IF($A85="","",IF($A85&lt;=Übersicht!$P$13,"Allgemein",IF($A85&lt;=Übersicht!$P$14,"Maschine",IF($A85&lt;=Übersicht!$P$15,"Werkzeug","Kompakt")))),"")</f>
        <v/>
      </c>
      <c r="C85" s="41" t="str">
        <f aca="false">IFERROR(IF($A85="","",IF($A85&lt;=Übersicht!$P$13,IF(Audit_Allgemein!$C$4="","–",Audit_Allgemein!$C$4),IF($A85&lt;=Übersicht!$P$14,IF(Audit_Maschine!$C$4="","–",Audit_Maschine!$C$4),IF($A85&lt;=Übersicht!$P$15,IF(Audit_Werkzeuge!$C$4="","–",Audit_Werkzeuge!$C$4),IF(Audit_Kompakt!$C$4="","–",Audit_Kompakt!$C$4))))),"")</f>
        <v/>
      </c>
      <c r="D85" s="41" t="str">
        <f aca="false">IFERROR(IF($A85="","",IF($A85&lt;=Übersicht!$P$13,IF(INDEX(Audit_Allgemein!$A$12:$A$50,MATCH($A85,Audit_Allgemein!$K$12:$K$50,0))="","",INDEX(Audit_Allgemein!$A$12:$A$50,MATCH($A85,Audit_Allgemein!$K$12:$K$50,0))),IF($A85&lt;=Übersicht!$P$14,IF(INDEX(Audit_Maschine!$A$12:$A$24,MATCH($A85,Audit_Maschine!$K$12:$K$24,0))="","",INDEX(Audit_Maschine!$A$12:$A$24,MATCH($A85,Audit_Maschine!$K$12:$K$24,0))),IF($A85&lt;=Übersicht!$P$15,IF(INDEX(Audit_Werkzeuge!$A$12:$A$21,MATCH($A85,Audit_Werkzeuge!$K$12:$K$21,0))="","",INDEX(Audit_Werkzeuge!$A$12:$A$21,MATCH($A85,Audit_Werkzeuge!$K$12:$K$21,0))),IF(INDEX(Audit_Kompakt!$A$12:$A$35,MATCH($A85,Audit_Kompakt!$K$12:$K$35,0))="","",INDEX(Audit_Kompakt!$A$12:$A$35,MATCH($A85,Audit_Kompakt!$K$12:$K$35,0))))))),"")</f>
        <v/>
      </c>
      <c r="E85" s="42" t="str">
        <f aca="false">IFERROR(IF($A85="","",IF($A85&lt;=Übersicht!$P$13,IF(INDEX(Audit_Allgemein!$C$12:$C$50,MATCH($A85,Audit_Allgemein!$K$12:$K$50,0))="","",INDEX(Audit_Allgemein!$C$12:$C$50,MATCH($A85,Audit_Allgemein!$K$12:$K$50,0))),IF($A85&lt;=Übersicht!$P$14,IF(INDEX(Audit_Maschine!$C$12:$C$24,MATCH($A85,Audit_Maschine!$K$12:$K$24,0))="","",INDEX(Audit_Maschine!$C$12:$C$24,MATCH($A85,Audit_Maschine!$K$12:$K$24,0))),IF($A85&lt;=Übersicht!$P$15,IF(INDEX(Audit_Werkzeuge!$C$12:$C$21,MATCH($A85,Audit_Werkzeuge!$K$12:$K$21,0))="","",INDEX(Audit_Werkzeuge!$C$12:$C$21,MATCH($A85,Audit_Werkzeuge!$K$12:$K$21,0))),IF(INDEX(Audit_Kompakt!$C$12:$C$35,MATCH($A85,Audit_Kompakt!$K$12:$K$35,0))="","",INDEX(Audit_Kompakt!$C$12:$C$35,MATCH($A85,Audit_Kompakt!$K$12:$K$35,0))))))),"")</f>
        <v/>
      </c>
      <c r="F85" s="41" t="str">
        <f aca="false">IFERROR(IF($A85="","",IF($A85&lt;=Übersicht!$P$13,IF(INDEX(Audit_Allgemein!$E$12:$E$50,MATCH($A85,Audit_Allgemein!$K$12:$K$50,0))="","",INDEX(Audit_Allgemein!$E$12:$E$50,MATCH($A85,Audit_Allgemein!$K$12:$K$50,0))),IF($A85&lt;=Übersicht!$P$14,IF(INDEX(Audit_Maschine!$E$12:$E$24,MATCH($A85,Audit_Maschine!$K$12:$K$24,0))="","",INDEX(Audit_Maschine!$E$12:$E$24,MATCH($A85,Audit_Maschine!$K$12:$K$24,0))),IF($A85&lt;=Übersicht!$P$15,IF(INDEX(Audit_Werkzeuge!$E$12:$E$21,MATCH($A85,Audit_Werkzeuge!$K$12:$K$21,0))="","",INDEX(Audit_Werkzeuge!$E$12:$E$21,MATCH($A85,Audit_Werkzeuge!$K$12:$K$21,0))),IF(INDEX(Audit_Kompakt!$E$12:$E$35,MATCH($A85,Audit_Kompakt!$K$12:$K$35,0))="","",INDEX(Audit_Kompakt!$E$12:$E$35,MATCH($A85,Audit_Kompakt!$K$12:$K$35,0))))))),"")</f>
        <v/>
      </c>
      <c r="G85" s="42" t="str">
        <f aca="false">IFERROR(IF($A85="","",IF($A85&lt;=Übersicht!$P$13,IF(INDEX(Audit_Allgemein!$F$12:$F$50,MATCH($A85,Audit_Allgemein!$K$12:$K$50,0))="","",INDEX(Audit_Allgemein!$F$12:$F$50,MATCH($A85,Audit_Allgemein!$K$12:$K$50,0))),IF($A85&lt;=Übersicht!$P$14,IF(INDEX(Audit_Maschine!$F$12:$F$24,MATCH($A85,Audit_Maschine!$K$12:$K$24,0))="","",INDEX(Audit_Maschine!$F$12:$F$24,MATCH($A85,Audit_Maschine!$K$12:$K$24,0))),IF($A85&lt;=Übersicht!$P$15,IF(INDEX(Audit_Werkzeuge!$F$12:$F$21,MATCH($A85,Audit_Werkzeuge!$K$12:$K$21,0))="","",INDEX(Audit_Werkzeuge!$F$12:$F$21,MATCH($A85,Audit_Werkzeuge!$K$12:$K$21,0))),IF(INDEX(Audit_Kompakt!$F$12:$F$35,MATCH($A85,Audit_Kompakt!$K$12:$K$35,0))="","",INDEX(Audit_Kompakt!$F$12:$F$35,MATCH($A85,Audit_Kompakt!$K$12:$K$35,0))))))),"")</f>
        <v/>
      </c>
      <c r="H85" s="41" t="str">
        <f aca="false">IFERROR(IF($A85="","",IF($A85&lt;=Übersicht!$P$13,IF(INDEX(Audit_Allgemein!$G$12:$G$50,MATCH($A85,Audit_Allgemein!$K$12:$K$50,0))="","",INDEX(Audit_Allgemein!$G$12:$G$50,MATCH($A85,Audit_Allgemein!$K$12:$K$50,0))),IF($A85&lt;=Übersicht!$P$14,IF(INDEX(Audit_Maschine!$G$12:$G$24,MATCH($A85,Audit_Maschine!$K$12:$K$24,0))="","",INDEX(Audit_Maschine!$G$12:$G$24,MATCH($A85,Audit_Maschine!$K$12:$K$24,0))),IF($A85&lt;=Übersicht!$P$15,IF(INDEX(Audit_Werkzeuge!$G$12:$G$21,MATCH($A85,Audit_Werkzeuge!$K$12:$K$21,0))="","",INDEX(Audit_Werkzeuge!$G$12:$G$21,MATCH($A85,Audit_Werkzeuge!$K$12:$K$21,0))),IF(INDEX(Audit_Kompakt!$G$12:$G$35,MATCH($A85,Audit_Kompakt!$K$12:$K$35,0))="","",INDEX(Audit_Kompakt!$G$12:$G$35,MATCH($A85,Audit_Kompakt!$K$12:$K$35,0))))))),"")</f>
        <v/>
      </c>
      <c r="I85" s="43" t="str">
        <f aca="false">IFERROR(IF($A85="","",IF($A85&lt;=Übersicht!$P$13,IF(INDEX(Audit_Allgemein!$H$12:$H$50,MATCH($A85,Audit_Allgemein!$K$12:$K$50,0))="","",INDEX(Audit_Allgemein!$H$12:$H$50,MATCH($A85,Audit_Allgemein!$K$12:$K$50,0))),IF($A85&lt;=Übersicht!$P$14,IF(INDEX(Audit_Maschine!$H$12:$H$24,MATCH($A85,Audit_Maschine!$K$12:$K$24,0))="","",INDEX(Audit_Maschine!$H$12:$H$24,MATCH($A85,Audit_Maschine!$K$12:$K$24,0))),IF($A85&lt;=Übersicht!$P$15,IF(INDEX(Audit_Werkzeuge!$H$12:$H$21,MATCH($A85,Audit_Werkzeuge!$K$12:$K$21,0))="","",INDEX(Audit_Werkzeuge!$H$12:$H$21,MATCH($A85,Audit_Werkzeuge!$K$12:$K$21,0))),IF(INDEX(Audit_Kompakt!$H$12:$H$35,MATCH($A85,Audit_Kompakt!$K$12:$K$35,0))="","",INDEX(Audit_Kompakt!$H$12:$H$35,MATCH($A85,Audit_Kompakt!$K$12:$K$35,0))))))),"")</f>
        <v/>
      </c>
      <c r="J85" s="41" t="str">
        <f aca="false">IFERROR(IF($A85="","",IF($A85&lt;=Übersicht!$P$13,IF(INDEX(Audit_Allgemein!$J$12:$J$50,MATCH($A85,Audit_Allgemein!$K$12:$K$50,0))="","",INDEX(Audit_Allgemein!$J$12:$J$50,MATCH($A85,Audit_Allgemein!$K$12:$K$50,0))),IF($A85&lt;=Übersicht!$P$14,IF(INDEX(Audit_Maschine!$J$12:$J$24,MATCH($A85,Audit_Maschine!$K$12:$K$24,0))="","",INDEX(Audit_Maschine!$J$12:$J$24,MATCH($A85,Audit_Maschine!$K$12:$K$24,0))),IF($A85&lt;=Übersicht!$P$15,IF(INDEX(Audit_Werkzeuge!$J$12:$J$21,MATCH($A85,Audit_Werkzeuge!$K$12:$K$21,0))="","",INDEX(Audit_Werkzeuge!$J$12:$J$21,MATCH($A85,Audit_Werkzeuge!$K$12:$K$21,0))),IF(INDEX(Audit_Kompakt!$J$12:$J$35,MATCH($A85,Audit_Kompakt!$K$12:$K$35,0))="","",INDEX(Audit_Kompakt!$J$12:$J$35,MATCH($A85,Audit_Kompakt!$K$12:$K$35,0))))))),"")</f>
        <v/>
      </c>
    </row>
    <row r="86" customFormat="false" ht="15" hidden="false" customHeight="false" outlineLevel="0" collapsed="false">
      <c r="A86" s="41" t="str">
        <f aca="false">IF(82&lt;=Übersicht!$M$17,82,"")</f>
        <v/>
      </c>
      <c r="B86" s="41" t="str">
        <f aca="false">IFERROR(IF($A86="","",IF($A86&lt;=Übersicht!$P$13,"Allgemein",IF($A86&lt;=Übersicht!$P$14,"Maschine",IF($A86&lt;=Übersicht!$P$15,"Werkzeug","Kompakt")))),"")</f>
        <v/>
      </c>
      <c r="C86" s="41" t="str">
        <f aca="false">IFERROR(IF($A86="","",IF($A86&lt;=Übersicht!$P$13,IF(Audit_Allgemein!$C$4="","–",Audit_Allgemein!$C$4),IF($A86&lt;=Übersicht!$P$14,IF(Audit_Maschine!$C$4="","–",Audit_Maschine!$C$4),IF($A86&lt;=Übersicht!$P$15,IF(Audit_Werkzeuge!$C$4="","–",Audit_Werkzeuge!$C$4),IF(Audit_Kompakt!$C$4="","–",Audit_Kompakt!$C$4))))),"")</f>
        <v/>
      </c>
      <c r="D86" s="41" t="str">
        <f aca="false">IFERROR(IF($A86="","",IF($A86&lt;=Übersicht!$P$13,IF(INDEX(Audit_Allgemein!$A$12:$A$50,MATCH($A86,Audit_Allgemein!$K$12:$K$50,0))="","",INDEX(Audit_Allgemein!$A$12:$A$50,MATCH($A86,Audit_Allgemein!$K$12:$K$50,0))),IF($A86&lt;=Übersicht!$P$14,IF(INDEX(Audit_Maschine!$A$12:$A$24,MATCH($A86,Audit_Maschine!$K$12:$K$24,0))="","",INDEX(Audit_Maschine!$A$12:$A$24,MATCH($A86,Audit_Maschine!$K$12:$K$24,0))),IF($A86&lt;=Übersicht!$P$15,IF(INDEX(Audit_Werkzeuge!$A$12:$A$21,MATCH($A86,Audit_Werkzeuge!$K$12:$K$21,0))="","",INDEX(Audit_Werkzeuge!$A$12:$A$21,MATCH($A86,Audit_Werkzeuge!$K$12:$K$21,0))),IF(INDEX(Audit_Kompakt!$A$12:$A$35,MATCH($A86,Audit_Kompakt!$K$12:$K$35,0))="","",INDEX(Audit_Kompakt!$A$12:$A$35,MATCH($A86,Audit_Kompakt!$K$12:$K$35,0))))))),"")</f>
        <v/>
      </c>
      <c r="E86" s="42" t="str">
        <f aca="false">IFERROR(IF($A86="","",IF($A86&lt;=Übersicht!$P$13,IF(INDEX(Audit_Allgemein!$C$12:$C$50,MATCH($A86,Audit_Allgemein!$K$12:$K$50,0))="","",INDEX(Audit_Allgemein!$C$12:$C$50,MATCH($A86,Audit_Allgemein!$K$12:$K$50,0))),IF($A86&lt;=Übersicht!$P$14,IF(INDEX(Audit_Maschine!$C$12:$C$24,MATCH($A86,Audit_Maschine!$K$12:$K$24,0))="","",INDEX(Audit_Maschine!$C$12:$C$24,MATCH($A86,Audit_Maschine!$K$12:$K$24,0))),IF($A86&lt;=Übersicht!$P$15,IF(INDEX(Audit_Werkzeuge!$C$12:$C$21,MATCH($A86,Audit_Werkzeuge!$K$12:$K$21,0))="","",INDEX(Audit_Werkzeuge!$C$12:$C$21,MATCH($A86,Audit_Werkzeuge!$K$12:$K$21,0))),IF(INDEX(Audit_Kompakt!$C$12:$C$35,MATCH($A86,Audit_Kompakt!$K$12:$K$35,0))="","",INDEX(Audit_Kompakt!$C$12:$C$35,MATCH($A86,Audit_Kompakt!$K$12:$K$35,0))))))),"")</f>
        <v/>
      </c>
      <c r="F86" s="41" t="str">
        <f aca="false">IFERROR(IF($A86="","",IF($A86&lt;=Übersicht!$P$13,IF(INDEX(Audit_Allgemein!$E$12:$E$50,MATCH($A86,Audit_Allgemein!$K$12:$K$50,0))="","",INDEX(Audit_Allgemein!$E$12:$E$50,MATCH($A86,Audit_Allgemein!$K$12:$K$50,0))),IF($A86&lt;=Übersicht!$P$14,IF(INDEX(Audit_Maschine!$E$12:$E$24,MATCH($A86,Audit_Maschine!$K$12:$K$24,0))="","",INDEX(Audit_Maschine!$E$12:$E$24,MATCH($A86,Audit_Maschine!$K$12:$K$24,0))),IF($A86&lt;=Übersicht!$P$15,IF(INDEX(Audit_Werkzeuge!$E$12:$E$21,MATCH($A86,Audit_Werkzeuge!$K$12:$K$21,0))="","",INDEX(Audit_Werkzeuge!$E$12:$E$21,MATCH($A86,Audit_Werkzeuge!$K$12:$K$21,0))),IF(INDEX(Audit_Kompakt!$E$12:$E$35,MATCH($A86,Audit_Kompakt!$K$12:$K$35,0))="","",INDEX(Audit_Kompakt!$E$12:$E$35,MATCH($A86,Audit_Kompakt!$K$12:$K$35,0))))))),"")</f>
        <v/>
      </c>
      <c r="G86" s="42" t="str">
        <f aca="false">IFERROR(IF($A86="","",IF($A86&lt;=Übersicht!$P$13,IF(INDEX(Audit_Allgemein!$F$12:$F$50,MATCH($A86,Audit_Allgemein!$K$12:$K$50,0))="","",INDEX(Audit_Allgemein!$F$12:$F$50,MATCH($A86,Audit_Allgemein!$K$12:$K$50,0))),IF($A86&lt;=Übersicht!$P$14,IF(INDEX(Audit_Maschine!$F$12:$F$24,MATCH($A86,Audit_Maschine!$K$12:$K$24,0))="","",INDEX(Audit_Maschine!$F$12:$F$24,MATCH($A86,Audit_Maschine!$K$12:$K$24,0))),IF($A86&lt;=Übersicht!$P$15,IF(INDEX(Audit_Werkzeuge!$F$12:$F$21,MATCH($A86,Audit_Werkzeuge!$K$12:$K$21,0))="","",INDEX(Audit_Werkzeuge!$F$12:$F$21,MATCH($A86,Audit_Werkzeuge!$K$12:$K$21,0))),IF(INDEX(Audit_Kompakt!$F$12:$F$35,MATCH($A86,Audit_Kompakt!$K$12:$K$35,0))="","",INDEX(Audit_Kompakt!$F$12:$F$35,MATCH($A86,Audit_Kompakt!$K$12:$K$35,0))))))),"")</f>
        <v/>
      </c>
      <c r="H86" s="41" t="str">
        <f aca="false">IFERROR(IF($A86="","",IF($A86&lt;=Übersicht!$P$13,IF(INDEX(Audit_Allgemein!$G$12:$G$50,MATCH($A86,Audit_Allgemein!$K$12:$K$50,0))="","",INDEX(Audit_Allgemein!$G$12:$G$50,MATCH($A86,Audit_Allgemein!$K$12:$K$50,0))),IF($A86&lt;=Übersicht!$P$14,IF(INDEX(Audit_Maschine!$G$12:$G$24,MATCH($A86,Audit_Maschine!$K$12:$K$24,0))="","",INDEX(Audit_Maschine!$G$12:$G$24,MATCH($A86,Audit_Maschine!$K$12:$K$24,0))),IF($A86&lt;=Übersicht!$P$15,IF(INDEX(Audit_Werkzeuge!$G$12:$G$21,MATCH($A86,Audit_Werkzeuge!$K$12:$K$21,0))="","",INDEX(Audit_Werkzeuge!$G$12:$G$21,MATCH($A86,Audit_Werkzeuge!$K$12:$K$21,0))),IF(INDEX(Audit_Kompakt!$G$12:$G$35,MATCH($A86,Audit_Kompakt!$K$12:$K$35,0))="","",INDEX(Audit_Kompakt!$G$12:$G$35,MATCH($A86,Audit_Kompakt!$K$12:$K$35,0))))))),"")</f>
        <v/>
      </c>
      <c r="I86" s="43" t="str">
        <f aca="false">IFERROR(IF($A86="","",IF($A86&lt;=Übersicht!$P$13,IF(INDEX(Audit_Allgemein!$H$12:$H$50,MATCH($A86,Audit_Allgemein!$K$12:$K$50,0))="","",INDEX(Audit_Allgemein!$H$12:$H$50,MATCH($A86,Audit_Allgemein!$K$12:$K$50,0))),IF($A86&lt;=Übersicht!$P$14,IF(INDEX(Audit_Maschine!$H$12:$H$24,MATCH($A86,Audit_Maschine!$K$12:$K$24,0))="","",INDEX(Audit_Maschine!$H$12:$H$24,MATCH($A86,Audit_Maschine!$K$12:$K$24,0))),IF($A86&lt;=Übersicht!$P$15,IF(INDEX(Audit_Werkzeuge!$H$12:$H$21,MATCH($A86,Audit_Werkzeuge!$K$12:$K$21,0))="","",INDEX(Audit_Werkzeuge!$H$12:$H$21,MATCH($A86,Audit_Werkzeuge!$K$12:$K$21,0))),IF(INDEX(Audit_Kompakt!$H$12:$H$35,MATCH($A86,Audit_Kompakt!$K$12:$K$35,0))="","",INDEX(Audit_Kompakt!$H$12:$H$35,MATCH($A86,Audit_Kompakt!$K$12:$K$35,0))))))),"")</f>
        <v/>
      </c>
      <c r="J86" s="41" t="str">
        <f aca="false">IFERROR(IF($A86="","",IF($A86&lt;=Übersicht!$P$13,IF(INDEX(Audit_Allgemein!$J$12:$J$50,MATCH($A86,Audit_Allgemein!$K$12:$K$50,0))="","",INDEX(Audit_Allgemein!$J$12:$J$50,MATCH($A86,Audit_Allgemein!$K$12:$K$50,0))),IF($A86&lt;=Übersicht!$P$14,IF(INDEX(Audit_Maschine!$J$12:$J$24,MATCH($A86,Audit_Maschine!$K$12:$K$24,0))="","",INDEX(Audit_Maschine!$J$12:$J$24,MATCH($A86,Audit_Maschine!$K$12:$K$24,0))),IF($A86&lt;=Übersicht!$P$15,IF(INDEX(Audit_Werkzeuge!$J$12:$J$21,MATCH($A86,Audit_Werkzeuge!$K$12:$K$21,0))="","",INDEX(Audit_Werkzeuge!$J$12:$J$21,MATCH($A86,Audit_Werkzeuge!$K$12:$K$21,0))),IF(INDEX(Audit_Kompakt!$J$12:$J$35,MATCH($A86,Audit_Kompakt!$K$12:$K$35,0))="","",INDEX(Audit_Kompakt!$J$12:$J$35,MATCH($A86,Audit_Kompakt!$K$12:$K$35,0))))))),"")</f>
        <v/>
      </c>
    </row>
    <row r="87" customFormat="false" ht="15" hidden="false" customHeight="false" outlineLevel="0" collapsed="false">
      <c r="A87" s="41" t="str">
        <f aca="false">IF(83&lt;=Übersicht!$M$17,83,"")</f>
        <v/>
      </c>
      <c r="B87" s="41" t="str">
        <f aca="false">IFERROR(IF($A87="","",IF($A87&lt;=Übersicht!$P$13,"Allgemein",IF($A87&lt;=Übersicht!$P$14,"Maschine",IF($A87&lt;=Übersicht!$P$15,"Werkzeug","Kompakt")))),"")</f>
        <v/>
      </c>
      <c r="C87" s="41" t="str">
        <f aca="false">IFERROR(IF($A87="","",IF($A87&lt;=Übersicht!$P$13,IF(Audit_Allgemein!$C$4="","–",Audit_Allgemein!$C$4),IF($A87&lt;=Übersicht!$P$14,IF(Audit_Maschine!$C$4="","–",Audit_Maschine!$C$4),IF($A87&lt;=Übersicht!$P$15,IF(Audit_Werkzeuge!$C$4="","–",Audit_Werkzeuge!$C$4),IF(Audit_Kompakt!$C$4="","–",Audit_Kompakt!$C$4))))),"")</f>
        <v/>
      </c>
      <c r="D87" s="41" t="str">
        <f aca="false">IFERROR(IF($A87="","",IF($A87&lt;=Übersicht!$P$13,IF(INDEX(Audit_Allgemein!$A$12:$A$50,MATCH($A87,Audit_Allgemein!$K$12:$K$50,0))="","",INDEX(Audit_Allgemein!$A$12:$A$50,MATCH($A87,Audit_Allgemein!$K$12:$K$50,0))),IF($A87&lt;=Übersicht!$P$14,IF(INDEX(Audit_Maschine!$A$12:$A$24,MATCH($A87,Audit_Maschine!$K$12:$K$24,0))="","",INDEX(Audit_Maschine!$A$12:$A$24,MATCH($A87,Audit_Maschine!$K$12:$K$24,0))),IF($A87&lt;=Übersicht!$P$15,IF(INDEX(Audit_Werkzeuge!$A$12:$A$21,MATCH($A87,Audit_Werkzeuge!$K$12:$K$21,0))="","",INDEX(Audit_Werkzeuge!$A$12:$A$21,MATCH($A87,Audit_Werkzeuge!$K$12:$K$21,0))),IF(INDEX(Audit_Kompakt!$A$12:$A$35,MATCH($A87,Audit_Kompakt!$K$12:$K$35,0))="","",INDEX(Audit_Kompakt!$A$12:$A$35,MATCH($A87,Audit_Kompakt!$K$12:$K$35,0))))))),"")</f>
        <v/>
      </c>
      <c r="E87" s="42" t="str">
        <f aca="false">IFERROR(IF($A87="","",IF($A87&lt;=Übersicht!$P$13,IF(INDEX(Audit_Allgemein!$C$12:$C$50,MATCH($A87,Audit_Allgemein!$K$12:$K$50,0))="","",INDEX(Audit_Allgemein!$C$12:$C$50,MATCH($A87,Audit_Allgemein!$K$12:$K$50,0))),IF($A87&lt;=Übersicht!$P$14,IF(INDEX(Audit_Maschine!$C$12:$C$24,MATCH($A87,Audit_Maschine!$K$12:$K$24,0))="","",INDEX(Audit_Maschine!$C$12:$C$24,MATCH($A87,Audit_Maschine!$K$12:$K$24,0))),IF($A87&lt;=Übersicht!$P$15,IF(INDEX(Audit_Werkzeuge!$C$12:$C$21,MATCH($A87,Audit_Werkzeuge!$K$12:$K$21,0))="","",INDEX(Audit_Werkzeuge!$C$12:$C$21,MATCH($A87,Audit_Werkzeuge!$K$12:$K$21,0))),IF(INDEX(Audit_Kompakt!$C$12:$C$35,MATCH($A87,Audit_Kompakt!$K$12:$K$35,0))="","",INDEX(Audit_Kompakt!$C$12:$C$35,MATCH($A87,Audit_Kompakt!$K$12:$K$35,0))))))),"")</f>
        <v/>
      </c>
      <c r="F87" s="41" t="str">
        <f aca="false">IFERROR(IF($A87="","",IF($A87&lt;=Übersicht!$P$13,IF(INDEX(Audit_Allgemein!$E$12:$E$50,MATCH($A87,Audit_Allgemein!$K$12:$K$50,0))="","",INDEX(Audit_Allgemein!$E$12:$E$50,MATCH($A87,Audit_Allgemein!$K$12:$K$50,0))),IF($A87&lt;=Übersicht!$P$14,IF(INDEX(Audit_Maschine!$E$12:$E$24,MATCH($A87,Audit_Maschine!$K$12:$K$24,0))="","",INDEX(Audit_Maschine!$E$12:$E$24,MATCH($A87,Audit_Maschine!$K$12:$K$24,0))),IF($A87&lt;=Übersicht!$P$15,IF(INDEX(Audit_Werkzeuge!$E$12:$E$21,MATCH($A87,Audit_Werkzeuge!$K$12:$K$21,0))="","",INDEX(Audit_Werkzeuge!$E$12:$E$21,MATCH($A87,Audit_Werkzeuge!$K$12:$K$21,0))),IF(INDEX(Audit_Kompakt!$E$12:$E$35,MATCH($A87,Audit_Kompakt!$K$12:$K$35,0))="","",INDEX(Audit_Kompakt!$E$12:$E$35,MATCH($A87,Audit_Kompakt!$K$12:$K$35,0))))))),"")</f>
        <v/>
      </c>
      <c r="G87" s="42" t="str">
        <f aca="false">IFERROR(IF($A87="","",IF($A87&lt;=Übersicht!$P$13,IF(INDEX(Audit_Allgemein!$F$12:$F$50,MATCH($A87,Audit_Allgemein!$K$12:$K$50,0))="","",INDEX(Audit_Allgemein!$F$12:$F$50,MATCH($A87,Audit_Allgemein!$K$12:$K$50,0))),IF($A87&lt;=Übersicht!$P$14,IF(INDEX(Audit_Maschine!$F$12:$F$24,MATCH($A87,Audit_Maschine!$K$12:$K$24,0))="","",INDEX(Audit_Maschine!$F$12:$F$24,MATCH($A87,Audit_Maschine!$K$12:$K$24,0))),IF($A87&lt;=Übersicht!$P$15,IF(INDEX(Audit_Werkzeuge!$F$12:$F$21,MATCH($A87,Audit_Werkzeuge!$K$12:$K$21,0))="","",INDEX(Audit_Werkzeuge!$F$12:$F$21,MATCH($A87,Audit_Werkzeuge!$K$12:$K$21,0))),IF(INDEX(Audit_Kompakt!$F$12:$F$35,MATCH($A87,Audit_Kompakt!$K$12:$K$35,0))="","",INDEX(Audit_Kompakt!$F$12:$F$35,MATCH($A87,Audit_Kompakt!$K$12:$K$35,0))))))),"")</f>
        <v/>
      </c>
      <c r="H87" s="41" t="str">
        <f aca="false">IFERROR(IF($A87="","",IF($A87&lt;=Übersicht!$P$13,IF(INDEX(Audit_Allgemein!$G$12:$G$50,MATCH($A87,Audit_Allgemein!$K$12:$K$50,0))="","",INDEX(Audit_Allgemein!$G$12:$G$50,MATCH($A87,Audit_Allgemein!$K$12:$K$50,0))),IF($A87&lt;=Übersicht!$P$14,IF(INDEX(Audit_Maschine!$G$12:$G$24,MATCH($A87,Audit_Maschine!$K$12:$K$24,0))="","",INDEX(Audit_Maschine!$G$12:$G$24,MATCH($A87,Audit_Maschine!$K$12:$K$24,0))),IF($A87&lt;=Übersicht!$P$15,IF(INDEX(Audit_Werkzeuge!$G$12:$G$21,MATCH($A87,Audit_Werkzeuge!$K$12:$K$21,0))="","",INDEX(Audit_Werkzeuge!$G$12:$G$21,MATCH($A87,Audit_Werkzeuge!$K$12:$K$21,0))),IF(INDEX(Audit_Kompakt!$G$12:$G$35,MATCH($A87,Audit_Kompakt!$K$12:$K$35,0))="","",INDEX(Audit_Kompakt!$G$12:$G$35,MATCH($A87,Audit_Kompakt!$K$12:$K$35,0))))))),"")</f>
        <v/>
      </c>
      <c r="I87" s="43" t="str">
        <f aca="false">IFERROR(IF($A87="","",IF($A87&lt;=Übersicht!$P$13,IF(INDEX(Audit_Allgemein!$H$12:$H$50,MATCH($A87,Audit_Allgemein!$K$12:$K$50,0))="","",INDEX(Audit_Allgemein!$H$12:$H$50,MATCH($A87,Audit_Allgemein!$K$12:$K$50,0))),IF($A87&lt;=Übersicht!$P$14,IF(INDEX(Audit_Maschine!$H$12:$H$24,MATCH($A87,Audit_Maschine!$K$12:$K$24,0))="","",INDEX(Audit_Maschine!$H$12:$H$24,MATCH($A87,Audit_Maschine!$K$12:$K$24,0))),IF($A87&lt;=Übersicht!$P$15,IF(INDEX(Audit_Werkzeuge!$H$12:$H$21,MATCH($A87,Audit_Werkzeuge!$K$12:$K$21,0))="","",INDEX(Audit_Werkzeuge!$H$12:$H$21,MATCH($A87,Audit_Werkzeuge!$K$12:$K$21,0))),IF(INDEX(Audit_Kompakt!$H$12:$H$35,MATCH($A87,Audit_Kompakt!$K$12:$K$35,0))="","",INDEX(Audit_Kompakt!$H$12:$H$35,MATCH($A87,Audit_Kompakt!$K$12:$K$35,0))))))),"")</f>
        <v/>
      </c>
      <c r="J87" s="41" t="str">
        <f aca="false">IFERROR(IF($A87="","",IF($A87&lt;=Übersicht!$P$13,IF(INDEX(Audit_Allgemein!$J$12:$J$50,MATCH($A87,Audit_Allgemein!$K$12:$K$50,0))="","",INDEX(Audit_Allgemein!$J$12:$J$50,MATCH($A87,Audit_Allgemein!$K$12:$K$50,0))),IF($A87&lt;=Übersicht!$P$14,IF(INDEX(Audit_Maschine!$J$12:$J$24,MATCH($A87,Audit_Maschine!$K$12:$K$24,0))="","",INDEX(Audit_Maschine!$J$12:$J$24,MATCH($A87,Audit_Maschine!$K$12:$K$24,0))),IF($A87&lt;=Übersicht!$P$15,IF(INDEX(Audit_Werkzeuge!$J$12:$J$21,MATCH($A87,Audit_Werkzeuge!$K$12:$K$21,0))="","",INDEX(Audit_Werkzeuge!$J$12:$J$21,MATCH($A87,Audit_Werkzeuge!$K$12:$K$21,0))),IF(INDEX(Audit_Kompakt!$J$12:$J$35,MATCH($A87,Audit_Kompakt!$K$12:$K$35,0))="","",INDEX(Audit_Kompakt!$J$12:$J$35,MATCH($A87,Audit_Kompakt!$K$12:$K$35,0))))))),"")</f>
        <v/>
      </c>
    </row>
    <row r="88" customFormat="false" ht="15" hidden="false" customHeight="false" outlineLevel="0" collapsed="false">
      <c r="A88" s="41" t="str">
        <f aca="false">IF(84&lt;=Übersicht!$M$17,84,"")</f>
        <v/>
      </c>
      <c r="B88" s="41" t="str">
        <f aca="false">IFERROR(IF($A88="","",IF($A88&lt;=Übersicht!$P$13,"Allgemein",IF($A88&lt;=Übersicht!$P$14,"Maschine",IF($A88&lt;=Übersicht!$P$15,"Werkzeug","Kompakt")))),"")</f>
        <v/>
      </c>
      <c r="C88" s="41" t="str">
        <f aca="false">IFERROR(IF($A88="","",IF($A88&lt;=Übersicht!$P$13,IF(Audit_Allgemein!$C$4="","–",Audit_Allgemein!$C$4),IF($A88&lt;=Übersicht!$P$14,IF(Audit_Maschine!$C$4="","–",Audit_Maschine!$C$4),IF($A88&lt;=Übersicht!$P$15,IF(Audit_Werkzeuge!$C$4="","–",Audit_Werkzeuge!$C$4),IF(Audit_Kompakt!$C$4="","–",Audit_Kompakt!$C$4))))),"")</f>
        <v/>
      </c>
      <c r="D88" s="41" t="str">
        <f aca="false">IFERROR(IF($A88="","",IF($A88&lt;=Übersicht!$P$13,IF(INDEX(Audit_Allgemein!$A$12:$A$50,MATCH($A88,Audit_Allgemein!$K$12:$K$50,0))="","",INDEX(Audit_Allgemein!$A$12:$A$50,MATCH($A88,Audit_Allgemein!$K$12:$K$50,0))),IF($A88&lt;=Übersicht!$P$14,IF(INDEX(Audit_Maschine!$A$12:$A$24,MATCH($A88,Audit_Maschine!$K$12:$K$24,0))="","",INDEX(Audit_Maschine!$A$12:$A$24,MATCH($A88,Audit_Maschine!$K$12:$K$24,0))),IF($A88&lt;=Übersicht!$P$15,IF(INDEX(Audit_Werkzeuge!$A$12:$A$21,MATCH($A88,Audit_Werkzeuge!$K$12:$K$21,0))="","",INDEX(Audit_Werkzeuge!$A$12:$A$21,MATCH($A88,Audit_Werkzeuge!$K$12:$K$21,0))),IF(INDEX(Audit_Kompakt!$A$12:$A$35,MATCH($A88,Audit_Kompakt!$K$12:$K$35,0))="","",INDEX(Audit_Kompakt!$A$12:$A$35,MATCH($A88,Audit_Kompakt!$K$12:$K$35,0))))))),"")</f>
        <v/>
      </c>
      <c r="E88" s="42" t="str">
        <f aca="false">IFERROR(IF($A88="","",IF($A88&lt;=Übersicht!$P$13,IF(INDEX(Audit_Allgemein!$C$12:$C$50,MATCH($A88,Audit_Allgemein!$K$12:$K$50,0))="","",INDEX(Audit_Allgemein!$C$12:$C$50,MATCH($A88,Audit_Allgemein!$K$12:$K$50,0))),IF($A88&lt;=Übersicht!$P$14,IF(INDEX(Audit_Maschine!$C$12:$C$24,MATCH($A88,Audit_Maschine!$K$12:$K$24,0))="","",INDEX(Audit_Maschine!$C$12:$C$24,MATCH($A88,Audit_Maschine!$K$12:$K$24,0))),IF($A88&lt;=Übersicht!$P$15,IF(INDEX(Audit_Werkzeuge!$C$12:$C$21,MATCH($A88,Audit_Werkzeuge!$K$12:$K$21,0))="","",INDEX(Audit_Werkzeuge!$C$12:$C$21,MATCH($A88,Audit_Werkzeuge!$K$12:$K$21,0))),IF(INDEX(Audit_Kompakt!$C$12:$C$35,MATCH($A88,Audit_Kompakt!$K$12:$K$35,0))="","",INDEX(Audit_Kompakt!$C$12:$C$35,MATCH($A88,Audit_Kompakt!$K$12:$K$35,0))))))),"")</f>
        <v/>
      </c>
      <c r="F88" s="41" t="str">
        <f aca="false">IFERROR(IF($A88="","",IF($A88&lt;=Übersicht!$P$13,IF(INDEX(Audit_Allgemein!$E$12:$E$50,MATCH($A88,Audit_Allgemein!$K$12:$K$50,0))="","",INDEX(Audit_Allgemein!$E$12:$E$50,MATCH($A88,Audit_Allgemein!$K$12:$K$50,0))),IF($A88&lt;=Übersicht!$P$14,IF(INDEX(Audit_Maschine!$E$12:$E$24,MATCH($A88,Audit_Maschine!$K$12:$K$24,0))="","",INDEX(Audit_Maschine!$E$12:$E$24,MATCH($A88,Audit_Maschine!$K$12:$K$24,0))),IF($A88&lt;=Übersicht!$P$15,IF(INDEX(Audit_Werkzeuge!$E$12:$E$21,MATCH($A88,Audit_Werkzeuge!$K$12:$K$21,0))="","",INDEX(Audit_Werkzeuge!$E$12:$E$21,MATCH($A88,Audit_Werkzeuge!$K$12:$K$21,0))),IF(INDEX(Audit_Kompakt!$E$12:$E$35,MATCH($A88,Audit_Kompakt!$K$12:$K$35,0))="","",INDEX(Audit_Kompakt!$E$12:$E$35,MATCH($A88,Audit_Kompakt!$K$12:$K$35,0))))))),"")</f>
        <v/>
      </c>
      <c r="G88" s="42" t="str">
        <f aca="false">IFERROR(IF($A88="","",IF($A88&lt;=Übersicht!$P$13,IF(INDEX(Audit_Allgemein!$F$12:$F$50,MATCH($A88,Audit_Allgemein!$K$12:$K$50,0))="","",INDEX(Audit_Allgemein!$F$12:$F$50,MATCH($A88,Audit_Allgemein!$K$12:$K$50,0))),IF($A88&lt;=Übersicht!$P$14,IF(INDEX(Audit_Maschine!$F$12:$F$24,MATCH($A88,Audit_Maschine!$K$12:$K$24,0))="","",INDEX(Audit_Maschine!$F$12:$F$24,MATCH($A88,Audit_Maschine!$K$12:$K$24,0))),IF($A88&lt;=Übersicht!$P$15,IF(INDEX(Audit_Werkzeuge!$F$12:$F$21,MATCH($A88,Audit_Werkzeuge!$K$12:$K$21,0))="","",INDEX(Audit_Werkzeuge!$F$12:$F$21,MATCH($A88,Audit_Werkzeuge!$K$12:$K$21,0))),IF(INDEX(Audit_Kompakt!$F$12:$F$35,MATCH($A88,Audit_Kompakt!$K$12:$K$35,0))="","",INDEX(Audit_Kompakt!$F$12:$F$35,MATCH($A88,Audit_Kompakt!$K$12:$K$35,0))))))),"")</f>
        <v/>
      </c>
      <c r="H88" s="41" t="str">
        <f aca="false">IFERROR(IF($A88="","",IF($A88&lt;=Übersicht!$P$13,IF(INDEX(Audit_Allgemein!$G$12:$G$50,MATCH($A88,Audit_Allgemein!$K$12:$K$50,0))="","",INDEX(Audit_Allgemein!$G$12:$G$50,MATCH($A88,Audit_Allgemein!$K$12:$K$50,0))),IF($A88&lt;=Übersicht!$P$14,IF(INDEX(Audit_Maschine!$G$12:$G$24,MATCH($A88,Audit_Maschine!$K$12:$K$24,0))="","",INDEX(Audit_Maschine!$G$12:$G$24,MATCH($A88,Audit_Maschine!$K$12:$K$24,0))),IF($A88&lt;=Übersicht!$P$15,IF(INDEX(Audit_Werkzeuge!$G$12:$G$21,MATCH($A88,Audit_Werkzeuge!$K$12:$K$21,0))="","",INDEX(Audit_Werkzeuge!$G$12:$G$21,MATCH($A88,Audit_Werkzeuge!$K$12:$K$21,0))),IF(INDEX(Audit_Kompakt!$G$12:$G$35,MATCH($A88,Audit_Kompakt!$K$12:$K$35,0))="","",INDEX(Audit_Kompakt!$G$12:$G$35,MATCH($A88,Audit_Kompakt!$K$12:$K$35,0))))))),"")</f>
        <v/>
      </c>
      <c r="I88" s="43" t="str">
        <f aca="false">IFERROR(IF($A88="","",IF($A88&lt;=Übersicht!$P$13,IF(INDEX(Audit_Allgemein!$H$12:$H$50,MATCH($A88,Audit_Allgemein!$K$12:$K$50,0))="","",INDEX(Audit_Allgemein!$H$12:$H$50,MATCH($A88,Audit_Allgemein!$K$12:$K$50,0))),IF($A88&lt;=Übersicht!$P$14,IF(INDEX(Audit_Maschine!$H$12:$H$24,MATCH($A88,Audit_Maschine!$K$12:$K$24,0))="","",INDEX(Audit_Maschine!$H$12:$H$24,MATCH($A88,Audit_Maschine!$K$12:$K$24,0))),IF($A88&lt;=Übersicht!$P$15,IF(INDEX(Audit_Werkzeuge!$H$12:$H$21,MATCH($A88,Audit_Werkzeuge!$K$12:$K$21,0))="","",INDEX(Audit_Werkzeuge!$H$12:$H$21,MATCH($A88,Audit_Werkzeuge!$K$12:$K$21,0))),IF(INDEX(Audit_Kompakt!$H$12:$H$35,MATCH($A88,Audit_Kompakt!$K$12:$K$35,0))="","",INDEX(Audit_Kompakt!$H$12:$H$35,MATCH($A88,Audit_Kompakt!$K$12:$K$35,0))))))),"")</f>
        <v/>
      </c>
      <c r="J88" s="41" t="str">
        <f aca="false">IFERROR(IF($A88="","",IF($A88&lt;=Übersicht!$P$13,IF(INDEX(Audit_Allgemein!$J$12:$J$50,MATCH($A88,Audit_Allgemein!$K$12:$K$50,0))="","",INDEX(Audit_Allgemein!$J$12:$J$50,MATCH($A88,Audit_Allgemein!$K$12:$K$50,0))),IF($A88&lt;=Übersicht!$P$14,IF(INDEX(Audit_Maschine!$J$12:$J$24,MATCH($A88,Audit_Maschine!$K$12:$K$24,0))="","",INDEX(Audit_Maschine!$J$12:$J$24,MATCH($A88,Audit_Maschine!$K$12:$K$24,0))),IF($A88&lt;=Übersicht!$P$15,IF(INDEX(Audit_Werkzeuge!$J$12:$J$21,MATCH($A88,Audit_Werkzeuge!$K$12:$K$21,0))="","",INDEX(Audit_Werkzeuge!$J$12:$J$21,MATCH($A88,Audit_Werkzeuge!$K$12:$K$21,0))),IF(INDEX(Audit_Kompakt!$J$12:$J$35,MATCH($A88,Audit_Kompakt!$K$12:$K$35,0))="","",INDEX(Audit_Kompakt!$J$12:$J$35,MATCH($A88,Audit_Kompakt!$K$12:$K$35,0))))))),"")</f>
        <v/>
      </c>
    </row>
    <row r="89" customFormat="false" ht="15" hidden="false" customHeight="false" outlineLevel="0" collapsed="false">
      <c r="A89" s="41" t="str">
        <f aca="false">IF(85&lt;=Übersicht!$M$17,85,"")</f>
        <v/>
      </c>
      <c r="B89" s="41" t="str">
        <f aca="false">IFERROR(IF($A89="","",IF($A89&lt;=Übersicht!$P$13,"Allgemein",IF($A89&lt;=Übersicht!$P$14,"Maschine",IF($A89&lt;=Übersicht!$P$15,"Werkzeug","Kompakt")))),"")</f>
        <v/>
      </c>
      <c r="C89" s="41" t="str">
        <f aca="false">IFERROR(IF($A89="","",IF($A89&lt;=Übersicht!$P$13,IF(Audit_Allgemein!$C$4="","–",Audit_Allgemein!$C$4),IF($A89&lt;=Übersicht!$P$14,IF(Audit_Maschine!$C$4="","–",Audit_Maschine!$C$4),IF($A89&lt;=Übersicht!$P$15,IF(Audit_Werkzeuge!$C$4="","–",Audit_Werkzeuge!$C$4),IF(Audit_Kompakt!$C$4="","–",Audit_Kompakt!$C$4))))),"")</f>
        <v/>
      </c>
      <c r="D89" s="41" t="str">
        <f aca="false">IFERROR(IF($A89="","",IF($A89&lt;=Übersicht!$P$13,IF(INDEX(Audit_Allgemein!$A$12:$A$50,MATCH($A89,Audit_Allgemein!$K$12:$K$50,0))="","",INDEX(Audit_Allgemein!$A$12:$A$50,MATCH($A89,Audit_Allgemein!$K$12:$K$50,0))),IF($A89&lt;=Übersicht!$P$14,IF(INDEX(Audit_Maschine!$A$12:$A$24,MATCH($A89,Audit_Maschine!$K$12:$K$24,0))="","",INDEX(Audit_Maschine!$A$12:$A$24,MATCH($A89,Audit_Maschine!$K$12:$K$24,0))),IF($A89&lt;=Übersicht!$P$15,IF(INDEX(Audit_Werkzeuge!$A$12:$A$21,MATCH($A89,Audit_Werkzeuge!$K$12:$K$21,0))="","",INDEX(Audit_Werkzeuge!$A$12:$A$21,MATCH($A89,Audit_Werkzeuge!$K$12:$K$21,0))),IF(INDEX(Audit_Kompakt!$A$12:$A$35,MATCH($A89,Audit_Kompakt!$K$12:$K$35,0))="","",INDEX(Audit_Kompakt!$A$12:$A$35,MATCH($A89,Audit_Kompakt!$K$12:$K$35,0))))))),"")</f>
        <v/>
      </c>
      <c r="E89" s="42" t="str">
        <f aca="false">IFERROR(IF($A89="","",IF($A89&lt;=Übersicht!$P$13,IF(INDEX(Audit_Allgemein!$C$12:$C$50,MATCH($A89,Audit_Allgemein!$K$12:$K$50,0))="","",INDEX(Audit_Allgemein!$C$12:$C$50,MATCH($A89,Audit_Allgemein!$K$12:$K$50,0))),IF($A89&lt;=Übersicht!$P$14,IF(INDEX(Audit_Maschine!$C$12:$C$24,MATCH($A89,Audit_Maschine!$K$12:$K$24,0))="","",INDEX(Audit_Maschine!$C$12:$C$24,MATCH($A89,Audit_Maschine!$K$12:$K$24,0))),IF($A89&lt;=Übersicht!$P$15,IF(INDEX(Audit_Werkzeuge!$C$12:$C$21,MATCH($A89,Audit_Werkzeuge!$K$12:$K$21,0))="","",INDEX(Audit_Werkzeuge!$C$12:$C$21,MATCH($A89,Audit_Werkzeuge!$K$12:$K$21,0))),IF(INDEX(Audit_Kompakt!$C$12:$C$35,MATCH($A89,Audit_Kompakt!$K$12:$K$35,0))="","",INDEX(Audit_Kompakt!$C$12:$C$35,MATCH($A89,Audit_Kompakt!$K$12:$K$35,0))))))),"")</f>
        <v/>
      </c>
      <c r="F89" s="41" t="str">
        <f aca="false">IFERROR(IF($A89="","",IF($A89&lt;=Übersicht!$P$13,IF(INDEX(Audit_Allgemein!$E$12:$E$50,MATCH($A89,Audit_Allgemein!$K$12:$K$50,0))="","",INDEX(Audit_Allgemein!$E$12:$E$50,MATCH($A89,Audit_Allgemein!$K$12:$K$50,0))),IF($A89&lt;=Übersicht!$P$14,IF(INDEX(Audit_Maschine!$E$12:$E$24,MATCH($A89,Audit_Maschine!$K$12:$K$24,0))="","",INDEX(Audit_Maschine!$E$12:$E$24,MATCH($A89,Audit_Maschine!$K$12:$K$24,0))),IF($A89&lt;=Übersicht!$P$15,IF(INDEX(Audit_Werkzeuge!$E$12:$E$21,MATCH($A89,Audit_Werkzeuge!$K$12:$K$21,0))="","",INDEX(Audit_Werkzeuge!$E$12:$E$21,MATCH($A89,Audit_Werkzeuge!$K$12:$K$21,0))),IF(INDEX(Audit_Kompakt!$E$12:$E$35,MATCH($A89,Audit_Kompakt!$K$12:$K$35,0))="","",INDEX(Audit_Kompakt!$E$12:$E$35,MATCH($A89,Audit_Kompakt!$K$12:$K$35,0))))))),"")</f>
        <v/>
      </c>
      <c r="G89" s="42" t="str">
        <f aca="false">IFERROR(IF($A89="","",IF($A89&lt;=Übersicht!$P$13,IF(INDEX(Audit_Allgemein!$F$12:$F$50,MATCH($A89,Audit_Allgemein!$K$12:$K$50,0))="","",INDEX(Audit_Allgemein!$F$12:$F$50,MATCH($A89,Audit_Allgemein!$K$12:$K$50,0))),IF($A89&lt;=Übersicht!$P$14,IF(INDEX(Audit_Maschine!$F$12:$F$24,MATCH($A89,Audit_Maschine!$K$12:$K$24,0))="","",INDEX(Audit_Maschine!$F$12:$F$24,MATCH($A89,Audit_Maschine!$K$12:$K$24,0))),IF($A89&lt;=Übersicht!$P$15,IF(INDEX(Audit_Werkzeuge!$F$12:$F$21,MATCH($A89,Audit_Werkzeuge!$K$12:$K$21,0))="","",INDEX(Audit_Werkzeuge!$F$12:$F$21,MATCH($A89,Audit_Werkzeuge!$K$12:$K$21,0))),IF(INDEX(Audit_Kompakt!$F$12:$F$35,MATCH($A89,Audit_Kompakt!$K$12:$K$35,0))="","",INDEX(Audit_Kompakt!$F$12:$F$35,MATCH($A89,Audit_Kompakt!$K$12:$K$35,0))))))),"")</f>
        <v/>
      </c>
      <c r="H89" s="41" t="str">
        <f aca="false">IFERROR(IF($A89="","",IF($A89&lt;=Übersicht!$P$13,IF(INDEX(Audit_Allgemein!$G$12:$G$50,MATCH($A89,Audit_Allgemein!$K$12:$K$50,0))="","",INDEX(Audit_Allgemein!$G$12:$G$50,MATCH($A89,Audit_Allgemein!$K$12:$K$50,0))),IF($A89&lt;=Übersicht!$P$14,IF(INDEX(Audit_Maschine!$G$12:$G$24,MATCH($A89,Audit_Maschine!$K$12:$K$24,0))="","",INDEX(Audit_Maschine!$G$12:$G$24,MATCH($A89,Audit_Maschine!$K$12:$K$24,0))),IF($A89&lt;=Übersicht!$P$15,IF(INDEX(Audit_Werkzeuge!$G$12:$G$21,MATCH($A89,Audit_Werkzeuge!$K$12:$K$21,0))="","",INDEX(Audit_Werkzeuge!$G$12:$G$21,MATCH($A89,Audit_Werkzeuge!$K$12:$K$21,0))),IF(INDEX(Audit_Kompakt!$G$12:$G$35,MATCH($A89,Audit_Kompakt!$K$12:$K$35,0))="","",INDEX(Audit_Kompakt!$G$12:$G$35,MATCH($A89,Audit_Kompakt!$K$12:$K$35,0))))))),"")</f>
        <v/>
      </c>
      <c r="I89" s="43" t="str">
        <f aca="false">IFERROR(IF($A89="","",IF($A89&lt;=Übersicht!$P$13,IF(INDEX(Audit_Allgemein!$H$12:$H$50,MATCH($A89,Audit_Allgemein!$K$12:$K$50,0))="","",INDEX(Audit_Allgemein!$H$12:$H$50,MATCH($A89,Audit_Allgemein!$K$12:$K$50,0))),IF($A89&lt;=Übersicht!$P$14,IF(INDEX(Audit_Maschine!$H$12:$H$24,MATCH($A89,Audit_Maschine!$K$12:$K$24,0))="","",INDEX(Audit_Maschine!$H$12:$H$24,MATCH($A89,Audit_Maschine!$K$12:$K$24,0))),IF($A89&lt;=Übersicht!$P$15,IF(INDEX(Audit_Werkzeuge!$H$12:$H$21,MATCH($A89,Audit_Werkzeuge!$K$12:$K$21,0))="","",INDEX(Audit_Werkzeuge!$H$12:$H$21,MATCH($A89,Audit_Werkzeuge!$K$12:$K$21,0))),IF(INDEX(Audit_Kompakt!$H$12:$H$35,MATCH($A89,Audit_Kompakt!$K$12:$K$35,0))="","",INDEX(Audit_Kompakt!$H$12:$H$35,MATCH($A89,Audit_Kompakt!$K$12:$K$35,0))))))),"")</f>
        <v/>
      </c>
      <c r="J89" s="41" t="str">
        <f aca="false">IFERROR(IF($A89="","",IF($A89&lt;=Übersicht!$P$13,IF(INDEX(Audit_Allgemein!$J$12:$J$50,MATCH($A89,Audit_Allgemein!$K$12:$K$50,0))="","",INDEX(Audit_Allgemein!$J$12:$J$50,MATCH($A89,Audit_Allgemein!$K$12:$K$50,0))),IF($A89&lt;=Übersicht!$P$14,IF(INDEX(Audit_Maschine!$J$12:$J$24,MATCH($A89,Audit_Maschine!$K$12:$K$24,0))="","",INDEX(Audit_Maschine!$J$12:$J$24,MATCH($A89,Audit_Maschine!$K$12:$K$24,0))),IF($A89&lt;=Übersicht!$P$15,IF(INDEX(Audit_Werkzeuge!$J$12:$J$21,MATCH($A89,Audit_Werkzeuge!$K$12:$K$21,0))="","",INDEX(Audit_Werkzeuge!$J$12:$J$21,MATCH($A89,Audit_Werkzeuge!$K$12:$K$21,0))),IF(INDEX(Audit_Kompakt!$J$12:$J$35,MATCH($A89,Audit_Kompakt!$K$12:$K$35,0))="","",INDEX(Audit_Kompakt!$J$12:$J$35,MATCH($A89,Audit_Kompakt!$K$12:$K$35,0))))))),"")</f>
        <v/>
      </c>
    </row>
    <row r="90" customFormat="false" ht="15" hidden="false" customHeight="false" outlineLevel="0" collapsed="false">
      <c r="A90" s="41" t="str">
        <f aca="false">IF(86&lt;=Übersicht!$M$17,86,"")</f>
        <v/>
      </c>
      <c r="B90" s="41" t="str">
        <f aca="false">IFERROR(IF($A90="","",IF($A90&lt;=Übersicht!$P$13,"Allgemein",IF($A90&lt;=Übersicht!$P$14,"Maschine",IF($A90&lt;=Übersicht!$P$15,"Werkzeug","Kompakt")))),"")</f>
        <v/>
      </c>
      <c r="C90" s="41" t="str">
        <f aca="false">IFERROR(IF($A90="","",IF($A90&lt;=Übersicht!$P$13,IF(Audit_Allgemein!$C$4="","–",Audit_Allgemein!$C$4),IF($A90&lt;=Übersicht!$P$14,IF(Audit_Maschine!$C$4="","–",Audit_Maschine!$C$4),IF($A90&lt;=Übersicht!$P$15,IF(Audit_Werkzeuge!$C$4="","–",Audit_Werkzeuge!$C$4),IF(Audit_Kompakt!$C$4="","–",Audit_Kompakt!$C$4))))),"")</f>
        <v/>
      </c>
      <c r="D90" s="41" t="str">
        <f aca="false">IFERROR(IF($A90="","",IF($A90&lt;=Übersicht!$P$13,IF(INDEX(Audit_Allgemein!$A$12:$A$50,MATCH($A90,Audit_Allgemein!$K$12:$K$50,0))="","",INDEX(Audit_Allgemein!$A$12:$A$50,MATCH($A90,Audit_Allgemein!$K$12:$K$50,0))),IF($A90&lt;=Übersicht!$P$14,IF(INDEX(Audit_Maschine!$A$12:$A$24,MATCH($A90,Audit_Maschine!$K$12:$K$24,0))="","",INDEX(Audit_Maschine!$A$12:$A$24,MATCH($A90,Audit_Maschine!$K$12:$K$24,0))),IF($A90&lt;=Übersicht!$P$15,IF(INDEX(Audit_Werkzeuge!$A$12:$A$21,MATCH($A90,Audit_Werkzeuge!$K$12:$K$21,0))="","",INDEX(Audit_Werkzeuge!$A$12:$A$21,MATCH($A90,Audit_Werkzeuge!$K$12:$K$21,0))),IF(INDEX(Audit_Kompakt!$A$12:$A$35,MATCH($A90,Audit_Kompakt!$K$12:$K$35,0))="","",INDEX(Audit_Kompakt!$A$12:$A$35,MATCH($A90,Audit_Kompakt!$K$12:$K$35,0))))))),"")</f>
        <v/>
      </c>
      <c r="E90" s="42" t="str">
        <f aca="false">IFERROR(IF($A90="","",IF($A90&lt;=Übersicht!$P$13,IF(INDEX(Audit_Allgemein!$C$12:$C$50,MATCH($A90,Audit_Allgemein!$K$12:$K$50,0))="","",INDEX(Audit_Allgemein!$C$12:$C$50,MATCH($A90,Audit_Allgemein!$K$12:$K$50,0))),IF($A90&lt;=Übersicht!$P$14,IF(INDEX(Audit_Maschine!$C$12:$C$24,MATCH($A90,Audit_Maschine!$K$12:$K$24,0))="","",INDEX(Audit_Maschine!$C$12:$C$24,MATCH($A90,Audit_Maschine!$K$12:$K$24,0))),IF($A90&lt;=Übersicht!$P$15,IF(INDEX(Audit_Werkzeuge!$C$12:$C$21,MATCH($A90,Audit_Werkzeuge!$K$12:$K$21,0))="","",INDEX(Audit_Werkzeuge!$C$12:$C$21,MATCH($A90,Audit_Werkzeuge!$K$12:$K$21,0))),IF(INDEX(Audit_Kompakt!$C$12:$C$35,MATCH($A90,Audit_Kompakt!$K$12:$K$35,0))="","",INDEX(Audit_Kompakt!$C$12:$C$35,MATCH($A90,Audit_Kompakt!$K$12:$K$35,0))))))),"")</f>
        <v/>
      </c>
      <c r="F90" s="41" t="str">
        <f aca="false">IFERROR(IF($A90="","",IF($A90&lt;=Übersicht!$P$13,IF(INDEX(Audit_Allgemein!$E$12:$E$50,MATCH($A90,Audit_Allgemein!$K$12:$K$50,0))="","",INDEX(Audit_Allgemein!$E$12:$E$50,MATCH($A90,Audit_Allgemein!$K$12:$K$50,0))),IF($A90&lt;=Übersicht!$P$14,IF(INDEX(Audit_Maschine!$E$12:$E$24,MATCH($A90,Audit_Maschine!$K$12:$K$24,0))="","",INDEX(Audit_Maschine!$E$12:$E$24,MATCH($A90,Audit_Maschine!$K$12:$K$24,0))),IF($A90&lt;=Übersicht!$P$15,IF(INDEX(Audit_Werkzeuge!$E$12:$E$21,MATCH($A90,Audit_Werkzeuge!$K$12:$K$21,0))="","",INDEX(Audit_Werkzeuge!$E$12:$E$21,MATCH($A90,Audit_Werkzeuge!$K$12:$K$21,0))),IF(INDEX(Audit_Kompakt!$E$12:$E$35,MATCH($A90,Audit_Kompakt!$K$12:$K$35,0))="","",INDEX(Audit_Kompakt!$E$12:$E$35,MATCH($A90,Audit_Kompakt!$K$12:$K$35,0))))))),"")</f>
        <v/>
      </c>
      <c r="G90" s="42" t="str">
        <f aca="false">IFERROR(IF($A90="","",IF($A90&lt;=Übersicht!$P$13,IF(INDEX(Audit_Allgemein!$F$12:$F$50,MATCH($A90,Audit_Allgemein!$K$12:$K$50,0))="","",INDEX(Audit_Allgemein!$F$12:$F$50,MATCH($A90,Audit_Allgemein!$K$12:$K$50,0))),IF($A90&lt;=Übersicht!$P$14,IF(INDEX(Audit_Maschine!$F$12:$F$24,MATCH($A90,Audit_Maschine!$K$12:$K$24,0))="","",INDEX(Audit_Maschine!$F$12:$F$24,MATCH($A90,Audit_Maschine!$K$12:$K$24,0))),IF($A90&lt;=Übersicht!$P$15,IF(INDEX(Audit_Werkzeuge!$F$12:$F$21,MATCH($A90,Audit_Werkzeuge!$K$12:$K$21,0))="","",INDEX(Audit_Werkzeuge!$F$12:$F$21,MATCH($A90,Audit_Werkzeuge!$K$12:$K$21,0))),IF(INDEX(Audit_Kompakt!$F$12:$F$35,MATCH($A90,Audit_Kompakt!$K$12:$K$35,0))="","",INDEX(Audit_Kompakt!$F$12:$F$35,MATCH($A90,Audit_Kompakt!$K$12:$K$35,0))))))),"")</f>
        <v/>
      </c>
      <c r="H90" s="41" t="str">
        <f aca="false">IFERROR(IF($A90="","",IF($A90&lt;=Übersicht!$P$13,IF(INDEX(Audit_Allgemein!$G$12:$G$50,MATCH($A90,Audit_Allgemein!$K$12:$K$50,0))="","",INDEX(Audit_Allgemein!$G$12:$G$50,MATCH($A90,Audit_Allgemein!$K$12:$K$50,0))),IF($A90&lt;=Übersicht!$P$14,IF(INDEX(Audit_Maschine!$G$12:$G$24,MATCH($A90,Audit_Maschine!$K$12:$K$24,0))="","",INDEX(Audit_Maschine!$G$12:$G$24,MATCH($A90,Audit_Maschine!$K$12:$K$24,0))),IF($A90&lt;=Übersicht!$P$15,IF(INDEX(Audit_Werkzeuge!$G$12:$G$21,MATCH($A90,Audit_Werkzeuge!$K$12:$K$21,0))="","",INDEX(Audit_Werkzeuge!$G$12:$G$21,MATCH($A90,Audit_Werkzeuge!$K$12:$K$21,0))),IF(INDEX(Audit_Kompakt!$G$12:$G$35,MATCH($A90,Audit_Kompakt!$K$12:$K$35,0))="","",INDEX(Audit_Kompakt!$G$12:$G$35,MATCH($A90,Audit_Kompakt!$K$12:$K$35,0))))))),"")</f>
        <v/>
      </c>
      <c r="I90" s="43" t="str">
        <f aca="false">IFERROR(IF($A90="","",IF($A90&lt;=Übersicht!$P$13,IF(INDEX(Audit_Allgemein!$H$12:$H$50,MATCH($A90,Audit_Allgemein!$K$12:$K$50,0))="","",INDEX(Audit_Allgemein!$H$12:$H$50,MATCH($A90,Audit_Allgemein!$K$12:$K$50,0))),IF($A90&lt;=Übersicht!$P$14,IF(INDEX(Audit_Maschine!$H$12:$H$24,MATCH($A90,Audit_Maschine!$K$12:$K$24,0))="","",INDEX(Audit_Maschine!$H$12:$H$24,MATCH($A90,Audit_Maschine!$K$12:$K$24,0))),IF($A90&lt;=Übersicht!$P$15,IF(INDEX(Audit_Werkzeuge!$H$12:$H$21,MATCH($A90,Audit_Werkzeuge!$K$12:$K$21,0))="","",INDEX(Audit_Werkzeuge!$H$12:$H$21,MATCH($A90,Audit_Werkzeuge!$K$12:$K$21,0))),IF(INDEX(Audit_Kompakt!$H$12:$H$35,MATCH($A90,Audit_Kompakt!$K$12:$K$35,0))="","",INDEX(Audit_Kompakt!$H$12:$H$35,MATCH($A90,Audit_Kompakt!$K$12:$K$35,0))))))),"")</f>
        <v/>
      </c>
      <c r="J90" s="41" t="str">
        <f aca="false">IFERROR(IF($A90="","",IF($A90&lt;=Übersicht!$P$13,IF(INDEX(Audit_Allgemein!$J$12:$J$50,MATCH($A90,Audit_Allgemein!$K$12:$K$50,0))="","",INDEX(Audit_Allgemein!$J$12:$J$50,MATCH($A90,Audit_Allgemein!$K$12:$K$50,0))),IF($A90&lt;=Übersicht!$P$14,IF(INDEX(Audit_Maschine!$J$12:$J$24,MATCH($A90,Audit_Maschine!$K$12:$K$24,0))="","",INDEX(Audit_Maschine!$J$12:$J$24,MATCH($A90,Audit_Maschine!$K$12:$K$24,0))),IF($A90&lt;=Übersicht!$P$15,IF(INDEX(Audit_Werkzeuge!$J$12:$J$21,MATCH($A90,Audit_Werkzeuge!$K$12:$K$21,0))="","",INDEX(Audit_Werkzeuge!$J$12:$J$21,MATCH($A90,Audit_Werkzeuge!$K$12:$K$21,0))),IF(INDEX(Audit_Kompakt!$J$12:$J$35,MATCH($A90,Audit_Kompakt!$K$12:$K$35,0))="","",INDEX(Audit_Kompakt!$J$12:$J$35,MATCH($A90,Audit_Kompakt!$K$12:$K$35,0))))))),"")</f>
        <v/>
      </c>
    </row>
  </sheetData>
  <autoFilter ref="A4:J90"/>
  <conditionalFormatting sqref="J5:J90">
    <cfRule type="cellIs" priority="2" operator="equal" aboveAverage="0" equalAverage="0" bottom="0" percent="0" rank="0" text="" dxfId="2">
      <formula>"überfällig"</formula>
    </cfRule>
    <cfRule type="cellIs" priority="3" operator="equal" aboveAverage="0" equalAverage="0" bottom="0" percent="0" rank="0" text="" dxfId="1">
      <formula>"offen"</formula>
    </cfRule>
    <cfRule type="cellIs" priority="4" operator="equal" aboveAverage="0" equalAverage="0" bottom="0" percent="0" rank="0" text="" dxfId="0">
      <formula>"erledigt"</formula>
    </cfRule>
  </conditionalFormatting>
  <conditionalFormatting sqref="F5:F90">
    <cfRule type="cellIs" priority="5" operator="equal" aboveAverage="0" equalAverage="0" bottom="0" percent="0" rank="0" text="" dxfId="11">
      <formula>"N.I.O"</formula>
    </cfRule>
    <cfRule type="cellIs" priority="6" operator="equal" aboveAverage="0" equalAverage="0" bottom="0" percent="0" rank="0" text="" dxfId="12">
      <formula>"bed. 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13" min="4" style="0" width="16"/>
    <col collapsed="false" customWidth="true" hidden="false" outlineLevel="0" max="14" min="14" style="0" width="30"/>
    <col collapsed="false" customWidth="true" hidden="false" outlineLevel="0" max="24" min="15" style="0" width="16"/>
    <col collapsed="false" customWidth="true" hidden="false" outlineLevel="0" max="25" min="25" style="0" width="30"/>
    <col collapsed="false" customWidth="true" hidden="false" outlineLevel="0" max="28" min="26" style="0" width="16"/>
    <col collapsed="false" customWidth="true" hidden="false" outlineLevel="0" max="29" min="29" style="0" width="28"/>
    <col collapsed="false" customWidth="true" hidden="false" outlineLevel="0" max="30" min="30" style="0" width="24"/>
    <col collapsed="false" customWidth="true" hidden="false" outlineLevel="0" max="32" min="31" style="0" width="30"/>
    <col collapsed="false" customWidth="true" hidden="false" outlineLevel="0" max="33" min="33" style="0" width="26"/>
  </cols>
  <sheetData>
    <row r="1" customFormat="false" ht="19.7" hidden="false" customHeight="false" outlineLevel="0" collapsed="false">
      <c r="A1" s="1" t="s">
        <v>291</v>
      </c>
    </row>
    <row r="2" customFormat="false" ht="15" hidden="false" customHeight="false" outlineLevel="0" collapsed="false">
      <c r="A2" s="2" t="s">
        <v>292</v>
      </c>
    </row>
    <row r="4" customFormat="false" ht="48" hidden="false" customHeight="true" outlineLevel="0" collapsed="false">
      <c r="A4" s="9" t="s">
        <v>51</v>
      </c>
      <c r="B4" s="9" t="s">
        <v>184</v>
      </c>
      <c r="C4" s="9" t="s">
        <v>49</v>
      </c>
      <c r="D4" s="9" t="s">
        <v>293</v>
      </c>
      <c r="E4" s="9" t="s">
        <v>294</v>
      </c>
      <c r="F4" s="9" t="s">
        <v>295</v>
      </c>
      <c r="G4" s="9" t="s">
        <v>296</v>
      </c>
      <c r="H4" s="9" t="s">
        <v>297</v>
      </c>
      <c r="I4" s="9" t="s">
        <v>298</v>
      </c>
      <c r="J4" s="9" t="s">
        <v>299</v>
      </c>
      <c r="K4" s="9" t="s">
        <v>300</v>
      </c>
      <c r="L4" s="9" t="s">
        <v>301</v>
      </c>
      <c r="M4" s="9" t="s">
        <v>302</v>
      </c>
      <c r="N4" s="9" t="s">
        <v>303</v>
      </c>
      <c r="O4" s="9" t="s">
        <v>304</v>
      </c>
      <c r="P4" s="9" t="s">
        <v>305</v>
      </c>
      <c r="Q4" s="9" t="s">
        <v>306</v>
      </c>
      <c r="R4" s="9" t="s">
        <v>307</v>
      </c>
      <c r="S4" s="9" t="s">
        <v>308</v>
      </c>
      <c r="T4" s="9" t="s">
        <v>309</v>
      </c>
      <c r="U4" s="9" t="s">
        <v>310</v>
      </c>
      <c r="V4" s="9" t="s">
        <v>311</v>
      </c>
      <c r="W4" s="9" t="s">
        <v>312</v>
      </c>
      <c r="X4" s="9" t="s">
        <v>313</v>
      </c>
      <c r="Y4" s="9" t="s">
        <v>314</v>
      </c>
      <c r="Z4" s="9" t="s">
        <v>315</v>
      </c>
      <c r="AA4" s="9" t="s">
        <v>316</v>
      </c>
      <c r="AB4" s="9" t="s">
        <v>317</v>
      </c>
      <c r="AC4" s="9" t="s">
        <v>318</v>
      </c>
      <c r="AD4" s="9" t="s">
        <v>319</v>
      </c>
      <c r="AE4" s="9" t="s">
        <v>320</v>
      </c>
      <c r="AF4" s="9" t="s">
        <v>321</v>
      </c>
      <c r="AG4" s="9" t="s">
        <v>322</v>
      </c>
    </row>
    <row r="5" customFormat="false" ht="23.85" hidden="false" customHeight="false" outlineLevel="0" collapsed="false">
      <c r="A5" s="23" t="n">
        <v>1</v>
      </c>
      <c r="B5" s="35" t="s">
        <v>323</v>
      </c>
      <c r="C5" s="35"/>
      <c r="D5" s="35" t="s">
        <v>324</v>
      </c>
      <c r="E5" s="35" t="s">
        <v>325</v>
      </c>
      <c r="F5" s="35"/>
      <c r="G5" s="35" t="s">
        <v>326</v>
      </c>
      <c r="H5" s="35"/>
      <c r="I5" s="35"/>
      <c r="J5" s="35" t="s">
        <v>327</v>
      </c>
      <c r="K5" s="35" t="s">
        <v>328</v>
      </c>
      <c r="L5" s="35" t="s">
        <v>329</v>
      </c>
      <c r="M5" s="35"/>
      <c r="N5" s="35"/>
      <c r="O5" s="35" t="s">
        <v>330</v>
      </c>
      <c r="P5" s="35" t="s">
        <v>331</v>
      </c>
      <c r="Q5" s="35" t="s">
        <v>332</v>
      </c>
      <c r="R5" s="35" t="s">
        <v>332</v>
      </c>
      <c r="S5" s="35" t="s">
        <v>333</v>
      </c>
      <c r="T5" s="35" t="s">
        <v>334</v>
      </c>
      <c r="U5" s="35"/>
      <c r="V5" s="35" t="s">
        <v>335</v>
      </c>
      <c r="W5" s="35" t="s">
        <v>333</v>
      </c>
      <c r="X5" s="35" t="s">
        <v>336</v>
      </c>
      <c r="Y5" s="35" t="s">
        <v>337</v>
      </c>
      <c r="Z5" s="35" t="s">
        <v>333</v>
      </c>
      <c r="AA5" s="35" t="s">
        <v>333</v>
      </c>
      <c r="AB5" s="35" t="s">
        <v>333</v>
      </c>
      <c r="AC5" s="35" t="s">
        <v>338</v>
      </c>
      <c r="AD5" s="35" t="s">
        <v>339</v>
      </c>
      <c r="AE5" s="35" t="s">
        <v>333</v>
      </c>
      <c r="AF5" s="35"/>
      <c r="AG5" s="35" t="s">
        <v>340</v>
      </c>
    </row>
    <row r="6" customFormat="false" ht="15" hidden="false" customHeight="false" outlineLevel="0" collapsed="false">
      <c r="A6" s="23" t="n">
        <v>2</v>
      </c>
      <c r="B6" s="35" t="s">
        <v>341</v>
      </c>
      <c r="C6" s="35"/>
      <c r="D6" s="35"/>
      <c r="E6" s="35" t="s">
        <v>342</v>
      </c>
      <c r="F6" s="35" t="s">
        <v>343</v>
      </c>
      <c r="G6" s="35" t="s">
        <v>344</v>
      </c>
      <c r="H6" s="35"/>
      <c r="I6" s="35"/>
      <c r="J6" s="35" t="s">
        <v>345</v>
      </c>
      <c r="K6" s="35" t="s">
        <v>328</v>
      </c>
      <c r="L6" s="35" t="s">
        <v>346</v>
      </c>
      <c r="M6" s="35"/>
      <c r="N6" s="35"/>
      <c r="O6" s="35" t="s">
        <v>330</v>
      </c>
      <c r="P6" s="35" t="s">
        <v>347</v>
      </c>
      <c r="Q6" s="35" t="s">
        <v>332</v>
      </c>
      <c r="R6" s="35"/>
      <c r="S6" s="35" t="s">
        <v>333</v>
      </c>
      <c r="T6" s="35" t="s">
        <v>348</v>
      </c>
      <c r="U6" s="35"/>
      <c r="V6" s="35"/>
      <c r="W6" s="35" t="s">
        <v>332</v>
      </c>
      <c r="X6" s="35" t="s">
        <v>332</v>
      </c>
      <c r="Y6" s="35"/>
      <c r="Z6" s="35" t="s">
        <v>333</v>
      </c>
      <c r="AA6" s="35" t="s">
        <v>333</v>
      </c>
      <c r="AB6" s="35" t="s">
        <v>333</v>
      </c>
      <c r="AC6" s="35"/>
      <c r="AD6" s="35"/>
      <c r="AE6" s="35" t="s">
        <v>333</v>
      </c>
      <c r="AF6" s="35"/>
      <c r="AG6" s="35" t="s">
        <v>349</v>
      </c>
    </row>
    <row r="7" customFormat="false" ht="23.85" hidden="false" customHeight="false" outlineLevel="0" collapsed="false">
      <c r="A7" s="23" t="n">
        <v>3</v>
      </c>
      <c r="B7" s="35" t="s">
        <v>350</v>
      </c>
      <c r="C7" s="35" t="s">
        <v>351</v>
      </c>
      <c r="D7" s="35"/>
      <c r="E7" s="35" t="s">
        <v>352</v>
      </c>
      <c r="F7" s="35" t="s">
        <v>353</v>
      </c>
      <c r="G7" s="35" t="s">
        <v>354</v>
      </c>
      <c r="H7" s="35" t="s">
        <v>355</v>
      </c>
      <c r="I7" s="35"/>
      <c r="J7" s="35"/>
      <c r="K7" s="35" t="s">
        <v>356</v>
      </c>
      <c r="L7" s="35" t="s">
        <v>357</v>
      </c>
      <c r="M7" s="35"/>
      <c r="N7" s="35"/>
      <c r="O7" s="35" t="s">
        <v>330</v>
      </c>
      <c r="P7" s="35" t="s">
        <v>358</v>
      </c>
      <c r="Q7" s="35" t="s">
        <v>332</v>
      </c>
      <c r="R7" s="35"/>
      <c r="S7" s="35" t="s">
        <v>333</v>
      </c>
      <c r="T7" s="35" t="s">
        <v>348</v>
      </c>
      <c r="U7" s="35"/>
      <c r="V7" s="35"/>
      <c r="W7" s="35" t="s">
        <v>333</v>
      </c>
      <c r="X7" s="35" t="s">
        <v>336</v>
      </c>
      <c r="Y7" s="35" t="s">
        <v>359</v>
      </c>
      <c r="Z7" s="35" t="s">
        <v>333</v>
      </c>
      <c r="AA7" s="35" t="s">
        <v>333</v>
      </c>
      <c r="AB7" s="35" t="s">
        <v>333</v>
      </c>
      <c r="AC7" s="35"/>
      <c r="AD7" s="35" t="s">
        <v>360</v>
      </c>
      <c r="AE7" s="35" t="s">
        <v>333</v>
      </c>
      <c r="AF7" s="35" t="s">
        <v>361</v>
      </c>
      <c r="AG7" s="35" t="s">
        <v>362</v>
      </c>
    </row>
    <row r="8" customFormat="false" ht="15" hidden="false" customHeight="false" outlineLevel="0" collapsed="false">
      <c r="A8" s="23" t="n">
        <v>4</v>
      </c>
      <c r="B8" s="35" t="s">
        <v>363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 t="s">
        <v>364</v>
      </c>
    </row>
    <row r="9" customFormat="false" ht="15" hidden="false" customHeight="false" outlineLevel="0" collapsed="false">
      <c r="A9" s="23" t="n">
        <v>5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</row>
    <row r="10" customFormat="false" ht="15" hidden="false" customHeight="false" outlineLevel="0" collapsed="false">
      <c r="A10" s="23" t="n">
        <v>6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</row>
    <row r="11" customFormat="false" ht="15" hidden="false" customHeight="false" outlineLevel="0" collapsed="false">
      <c r="A11" s="23" t="n">
        <v>7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</row>
    <row r="12" customFormat="false" ht="15" hidden="false" customHeight="false" outlineLevel="0" collapsed="false">
      <c r="A12" s="23" t="n">
        <v>8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</row>
    <row r="13" customFormat="false" ht="15" hidden="false" customHeight="false" outlineLevel="0" collapsed="false">
      <c r="A13" s="23" t="n">
        <v>9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</row>
    <row r="14" customFormat="false" ht="15" hidden="false" customHeight="false" outlineLevel="0" collapsed="false">
      <c r="A14" s="23" t="n">
        <v>10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</row>
    <row r="15" customFormat="false" ht="15" hidden="false" customHeight="false" outlineLevel="0" collapsed="false">
      <c r="A15" s="23" t="n">
        <v>11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</row>
    <row r="16" customFormat="false" ht="15" hidden="false" customHeight="false" outlineLevel="0" collapsed="false">
      <c r="A16" s="23" t="n">
        <v>12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</row>
    <row r="17" customFormat="false" ht="15" hidden="false" customHeight="false" outlineLevel="0" collapsed="false">
      <c r="A17" s="23" t="n">
        <v>13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</row>
    <row r="18" customFormat="false" ht="15" hidden="false" customHeight="false" outlineLevel="0" collapsed="false">
      <c r="A18" s="23" t="n">
        <v>14</v>
      </c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</row>
    <row r="19" customFormat="false" ht="15" hidden="false" customHeight="false" outlineLevel="0" collapsed="false">
      <c r="A19" s="23" t="n">
        <v>15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</row>
    <row r="20" customFormat="false" ht="15" hidden="false" customHeight="false" outlineLevel="0" collapsed="false">
      <c r="A20" s="23" t="n">
        <v>16</v>
      </c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</row>
    <row r="21" customFormat="false" ht="15" hidden="false" customHeight="false" outlineLevel="0" collapsed="false">
      <c r="A21" s="23" t="n">
        <v>17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</row>
    <row r="22" customFormat="false" ht="15" hidden="false" customHeight="false" outlineLevel="0" collapsed="false">
      <c r="A22" s="23" t="n">
        <v>18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</row>
    <row r="23" customFormat="false" ht="15" hidden="false" customHeight="false" outlineLevel="0" collapsed="false">
      <c r="A23" s="23" t="n">
        <v>19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</row>
    <row r="24" customFormat="false" ht="15" hidden="false" customHeight="false" outlineLevel="0" collapsed="false">
      <c r="A24" s="23" t="n">
        <v>20</v>
      </c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</row>
  </sheetData>
  <conditionalFormatting sqref="T5:T24">
    <cfRule type="cellIs" priority="2" operator="equal" aboveAverage="0" equalAverage="0" bottom="0" percent="0" rank="0" text="" dxfId="2">
      <formula>"A"</formula>
    </cfRule>
    <cfRule type="cellIs" priority="3" operator="equal" aboveAverage="0" equalAverage="0" bottom="0" percent="0" rank="0" text="" dxfId="1">
      <formula>"B"</formula>
    </cfRule>
    <cfRule type="cellIs" priority="4" operator="equal" aboveAverage="0" equalAverage="0" bottom="0" percent="0" rank="0" text="" dxfId="0">
      <formula>"C"</formula>
    </cfRule>
  </conditionalFormatting>
  <dataValidations count="1">
    <dataValidation allowBlank="true" errorStyle="stop" operator="between" showDropDown="false" showErrorMessage="false" showInputMessage="false" sqref="T5:T24" type="list">
      <formula1>"A,B,C"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3" min="3" style="0" width="40"/>
    <col collapsed="false" customWidth="true" hidden="false" outlineLevel="0" max="4" min="4" style="0" width="44"/>
  </cols>
  <sheetData>
    <row r="1" customFormat="false" ht="19.7" hidden="false" customHeight="false" outlineLevel="0" collapsed="false">
      <c r="A1" s="1" t="s">
        <v>365</v>
      </c>
    </row>
    <row r="2" customFormat="false" ht="15" hidden="false" customHeight="false" outlineLevel="0" collapsed="false">
      <c r="A2" s="2" t="s">
        <v>366</v>
      </c>
    </row>
    <row r="4" customFormat="false" ht="15" hidden="false" customHeight="false" outlineLevel="0" collapsed="false">
      <c r="A4" s="25" t="s">
        <v>184</v>
      </c>
      <c r="C4" s="44" t="s">
        <v>323</v>
      </c>
      <c r="D4" s="44"/>
    </row>
    <row r="5" customFormat="false" ht="15" hidden="false" customHeight="false" outlineLevel="0" collapsed="false">
      <c r="A5" s="25" t="s">
        <v>49</v>
      </c>
      <c r="C5" s="45" t="str">
        <f aca="false">IFERROR(INDEX(Maschinen!$C$5:$C$24,MATCH($C$4,Maschinen!$B$5:$B$24,0))&amp;"","")</f>
        <v/>
      </c>
      <c r="D5" s="45"/>
    </row>
    <row r="7" customFormat="false" ht="15" hidden="false" customHeight="false" outlineLevel="0" collapsed="false">
      <c r="A7" s="9" t="s">
        <v>51</v>
      </c>
      <c r="B7" s="9" t="s">
        <v>53</v>
      </c>
      <c r="C7" s="9" t="s">
        <v>367</v>
      </c>
      <c r="D7" s="9" t="s">
        <v>368</v>
      </c>
    </row>
    <row r="8" customFormat="false" ht="15" hidden="false" customHeight="false" outlineLevel="0" collapsed="false">
      <c r="A8" s="46" t="n">
        <v>1</v>
      </c>
      <c r="B8" s="47" t="s">
        <v>369</v>
      </c>
      <c r="C8" s="48" t="str">
        <f aca="false">IFERROR(INDEX(Maschinen!$D$5:$D$24,MATCH($C$4,Maschinen!$B$5:$B$24,0))&amp;"","")</f>
        <v>4977</v>
      </c>
      <c r="D8" s="49"/>
    </row>
    <row r="9" customFormat="false" ht="15" hidden="false" customHeight="false" outlineLevel="0" collapsed="false">
      <c r="A9" s="46" t="n">
        <v>2</v>
      </c>
      <c r="B9" s="47" t="s">
        <v>370</v>
      </c>
      <c r="C9" s="48" t="str">
        <f aca="false">IFERROR(INDEX(Maschinen!$E$5:$E$24,MATCH($C$4,Maschinen!$B$5:$B$24,0))&amp;"","")</f>
        <v>207-16.PS7</v>
      </c>
      <c r="D9" s="49"/>
    </row>
    <row r="10" customFormat="false" ht="15" hidden="false" customHeight="false" outlineLevel="0" collapsed="false">
      <c r="A10" s="46" t="n">
        <v>3</v>
      </c>
      <c r="B10" s="47" t="s">
        <v>371</v>
      </c>
      <c r="C10" s="48" t="str">
        <f aca="false">IFERROR(INDEX(Maschinen!$F$5:$F$24,MATCH($C$4,Maschinen!$B$5:$B$24,0))&amp;"","")</f>
        <v/>
      </c>
      <c r="D10" s="49"/>
    </row>
    <row r="11" customFormat="false" ht="15" hidden="false" customHeight="false" outlineLevel="0" collapsed="false">
      <c r="A11" s="46" t="n">
        <v>4</v>
      </c>
      <c r="B11" s="47" t="s">
        <v>372</v>
      </c>
      <c r="C11" s="48" t="str">
        <f aca="false">IFERROR(INDEX(Maschinen!$G$5:$G$24,MATCH($C$4,Maschinen!$B$5:$B$24,0))&amp;"","")</f>
        <v>S464</v>
      </c>
      <c r="D11" s="49"/>
    </row>
    <row r="12" customFormat="false" ht="15" hidden="false" customHeight="false" outlineLevel="0" collapsed="false">
      <c r="A12" s="46" t="n">
        <v>5</v>
      </c>
      <c r="B12" s="47" t="s">
        <v>373</v>
      </c>
      <c r="C12" s="48" t="str">
        <f aca="false">IFERROR(INDEX(Maschinen!$H$5:$H$24,MATCH($C$4,Maschinen!$B$5:$B$24,0))&amp;"","")</f>
        <v/>
      </c>
      <c r="D12" s="49"/>
    </row>
    <row r="13" customFormat="false" ht="15" hidden="false" customHeight="false" outlineLevel="0" collapsed="false">
      <c r="A13" s="46" t="n">
        <v>6</v>
      </c>
      <c r="B13" s="47" t="s">
        <v>374</v>
      </c>
      <c r="C13" s="48" t="str">
        <f aca="false">IFERROR(INDEX(Maschinen!$I$5:$I$24,MATCH($C$4,Maschinen!$B$5:$B$24,0))&amp;"","")</f>
        <v/>
      </c>
      <c r="D13" s="49"/>
    </row>
    <row r="14" customFormat="false" ht="15" hidden="false" customHeight="false" outlineLevel="0" collapsed="false">
      <c r="A14" s="46" t="n">
        <v>7</v>
      </c>
      <c r="B14" s="47" t="s">
        <v>375</v>
      </c>
      <c r="C14" s="48" t="str">
        <f aca="false">IFERROR(INDEX(Maschinen!$J$5:$J$24,MATCH($C$4,Maschinen!$B$5:$B$24,0))&amp;"","")</f>
        <v>Rundschweißen / Rundschweißtisch</v>
      </c>
      <c r="D14" s="49"/>
    </row>
    <row r="15" customFormat="false" ht="15" hidden="false" customHeight="false" outlineLevel="0" collapsed="false">
      <c r="A15" s="46" t="n">
        <v>8</v>
      </c>
      <c r="B15" s="47" t="s">
        <v>376</v>
      </c>
      <c r="C15" s="48" t="str">
        <f aca="false">IFERROR(INDEX(Maschinen!$K$5:$K$24,MATCH($C$4,Maschinen!$B$5:$B$24,0))&amp;"","")</f>
        <v>250 kg</v>
      </c>
      <c r="D15" s="49"/>
    </row>
    <row r="16" customFormat="false" ht="15" hidden="false" customHeight="false" outlineLevel="0" collapsed="false">
      <c r="A16" s="46" t="n">
        <v>9</v>
      </c>
      <c r="B16" s="47" t="s">
        <v>377</v>
      </c>
      <c r="C16" s="48" t="str">
        <f aca="false">IFERROR(INDEX(Maschinen!$L$5:$L$24,MATCH($C$4,Maschinen!$B$5:$B$24,0))&amp;"","")</f>
        <v>1 x 0,7 x 1,8</v>
      </c>
      <c r="D16" s="49"/>
    </row>
    <row r="17" customFormat="false" ht="15" hidden="false" customHeight="false" outlineLevel="0" collapsed="false">
      <c r="A17" s="46" t="n">
        <v>10</v>
      </c>
      <c r="B17" s="47" t="s">
        <v>378</v>
      </c>
      <c r="C17" s="48" t="str">
        <f aca="false">IFERROR(INDEX(Maschinen!$M$5:$M$24,MATCH($C$4,Maschinen!$B$5:$B$24,0))&amp;"","")</f>
        <v/>
      </c>
      <c r="D17" s="49"/>
    </row>
    <row r="18" customFormat="false" ht="15" hidden="false" customHeight="false" outlineLevel="0" collapsed="false">
      <c r="A18" s="46" t="n">
        <v>11</v>
      </c>
      <c r="B18" s="47" t="s">
        <v>379</v>
      </c>
      <c r="C18" s="48" t="str">
        <f aca="false">IFERROR(INDEX(Maschinen!$N$5:$N$24,MATCH($C$4,Maschinen!$B$5:$B$24,0))&amp;"","")</f>
        <v/>
      </c>
      <c r="D18" s="49" t="s">
        <v>380</v>
      </c>
    </row>
    <row r="19" customFormat="false" ht="15" hidden="false" customHeight="false" outlineLevel="0" collapsed="false">
      <c r="A19" s="46" t="n">
        <v>12</v>
      </c>
      <c r="B19" s="47" t="s">
        <v>381</v>
      </c>
      <c r="C19" s="48" t="str">
        <f aca="false">IFERROR(INDEX(Maschinen!$O$5:$O$24,MATCH($C$4,Maschinen!$B$5:$B$24,0))&amp;"","")</f>
        <v>70–90 %</v>
      </c>
      <c r="D19" s="49"/>
    </row>
    <row r="20" customFormat="false" ht="15" hidden="false" customHeight="false" outlineLevel="0" collapsed="false">
      <c r="A20" s="46" t="n">
        <v>13</v>
      </c>
      <c r="B20" s="47" t="s">
        <v>382</v>
      </c>
      <c r="C20" s="48" t="str">
        <f aca="false">IFERROR(INDEX(Maschinen!$P$5:$P$24,MATCH($C$4,Maschinen!$B$5:$B$24,0))&amp;"","")</f>
        <v>manuell / Schweißen</v>
      </c>
      <c r="D20" s="49"/>
    </row>
    <row r="21" customFormat="false" ht="15" hidden="false" customHeight="false" outlineLevel="0" collapsed="false">
      <c r="A21" s="46" t="n">
        <v>14</v>
      </c>
      <c r="B21" s="47" t="s">
        <v>383</v>
      </c>
      <c r="C21" s="48" t="str">
        <f aca="false">IFERROR(INDEX(Maschinen!$Q$5:$Q$24,MATCH($C$4,Maschinen!$B$5:$B$24,0))&amp;"","")</f>
        <v>ja</v>
      </c>
      <c r="D21" s="49"/>
    </row>
    <row r="22" customFormat="false" ht="15" hidden="false" customHeight="false" outlineLevel="0" collapsed="false">
      <c r="A22" s="46" t="n">
        <v>15</v>
      </c>
      <c r="B22" s="47" t="s">
        <v>384</v>
      </c>
      <c r="C22" s="48" t="str">
        <f aca="false">IFERROR(INDEX(Maschinen!$R$5:$R$24,MATCH($C$4,Maschinen!$B$5:$B$24,0))&amp;"","")</f>
        <v>ja</v>
      </c>
      <c r="D22" s="49" t="s">
        <v>385</v>
      </c>
    </row>
    <row r="23" customFormat="false" ht="15" hidden="false" customHeight="false" outlineLevel="0" collapsed="false">
      <c r="A23" s="46" t="n">
        <v>16</v>
      </c>
      <c r="B23" s="47" t="s">
        <v>386</v>
      </c>
      <c r="C23" s="48" t="str">
        <f aca="false">IFERROR(INDEX(Maschinen!$S$5:$S$24,MATCH($C$4,Maschinen!$B$5:$B$24,0))&amp;"","")</f>
        <v>–</v>
      </c>
      <c r="D23" s="49"/>
    </row>
    <row r="24" customFormat="false" ht="15" hidden="false" customHeight="false" outlineLevel="0" collapsed="false">
      <c r="A24" s="46" t="n">
        <v>17</v>
      </c>
      <c r="B24" s="47" t="s">
        <v>387</v>
      </c>
      <c r="C24" s="48" t="str">
        <f aca="false">IFERROR(INDEX(Maschinen!$T$5:$T$24,MATCH($C$4,Maschinen!$B$5:$B$24,0))&amp;"","")</f>
        <v>B</v>
      </c>
      <c r="D24" s="49" t="s">
        <v>388</v>
      </c>
    </row>
    <row r="25" customFormat="false" ht="15" hidden="false" customHeight="false" outlineLevel="0" collapsed="false">
      <c r="A25" s="46" t="n">
        <v>18</v>
      </c>
      <c r="B25" s="47" t="s">
        <v>389</v>
      </c>
      <c r="C25" s="48" t="str">
        <f aca="false">IFERROR(INDEX(Maschinen!$U$5:$U$24,MATCH($C$4,Maschinen!$B$5:$B$24,0))&amp;"","")</f>
        <v/>
      </c>
      <c r="D25" s="49"/>
    </row>
    <row r="26" customFormat="false" ht="15" hidden="false" customHeight="false" outlineLevel="0" collapsed="false">
      <c r="A26" s="46" t="n">
        <v>19</v>
      </c>
      <c r="B26" s="47" t="s">
        <v>390</v>
      </c>
      <c r="C26" s="48" t="str">
        <f aca="false">IFERROR(INDEX(Maschinen!$V$5:$V$24,MATCH($C$4,Maschinen!$B$5:$B$24,0))&amp;"","")</f>
        <v>ja / D = 80 mm</v>
      </c>
      <c r="D26" s="49"/>
    </row>
    <row r="27" customFormat="false" ht="15" hidden="false" customHeight="false" outlineLevel="0" collapsed="false">
      <c r="A27" s="46" t="n">
        <v>20</v>
      </c>
      <c r="B27" s="47" t="s">
        <v>391</v>
      </c>
      <c r="C27" s="48" t="str">
        <f aca="false">IFERROR(INDEX(Maschinen!$W$5:$W$24,MATCH($C$4,Maschinen!$B$5:$B$24,0))&amp;"","")</f>
        <v>–</v>
      </c>
      <c r="D27" s="49"/>
    </row>
    <row r="28" customFormat="false" ht="15" hidden="false" customHeight="false" outlineLevel="0" collapsed="false">
      <c r="A28" s="46" t="n">
        <v>21</v>
      </c>
      <c r="B28" s="47" t="s">
        <v>392</v>
      </c>
      <c r="C28" s="48" t="str">
        <f aca="false">IFERROR(INDEX(Maschinen!$X$5:$X$24,MATCH($C$4,Maschinen!$B$5:$B$24,0))&amp;"","")</f>
        <v>optional / empfohlen</v>
      </c>
      <c r="D28" s="49"/>
    </row>
    <row r="29" customFormat="false" ht="19.4" hidden="false" customHeight="false" outlineLevel="0" collapsed="false">
      <c r="A29" s="46" t="n">
        <v>22</v>
      </c>
      <c r="B29" s="47" t="s">
        <v>393</v>
      </c>
      <c r="C29" s="48" t="str">
        <f aca="false">IFERROR(INDEX(Maschinen!$Y$5:$Y$24,MATCH($C$4,Maschinen!$B$5:$B$24,0))&amp;"","")</f>
        <v>Argon</v>
      </c>
      <c r="D29" s="49" t="s">
        <v>394</v>
      </c>
    </row>
    <row r="30" customFormat="false" ht="15" hidden="false" customHeight="false" outlineLevel="0" collapsed="false">
      <c r="A30" s="46" t="n">
        <v>23</v>
      </c>
      <c r="B30" s="47" t="s">
        <v>395</v>
      </c>
      <c r="C30" s="48" t="str">
        <f aca="false">IFERROR(INDEX(Maschinen!$Z$5:$Z$24,MATCH($C$4,Maschinen!$B$5:$B$24,0))&amp;"","")</f>
        <v>–</v>
      </c>
      <c r="D30" s="49" t="s">
        <v>396</v>
      </c>
    </row>
    <row r="31" customFormat="false" ht="15" hidden="false" customHeight="false" outlineLevel="0" collapsed="false">
      <c r="A31" s="46" t="n">
        <v>24</v>
      </c>
      <c r="B31" s="47" t="s">
        <v>397</v>
      </c>
      <c r="C31" s="48" t="str">
        <f aca="false">IFERROR(INDEX(Maschinen!$AA$5:$AA$24,MATCH($C$4,Maschinen!$B$5:$B$24,0))&amp;"","")</f>
        <v>–</v>
      </c>
      <c r="D31" s="49"/>
    </row>
    <row r="32" customFormat="false" ht="15" hidden="false" customHeight="false" outlineLevel="0" collapsed="false">
      <c r="A32" s="46" t="n">
        <v>25</v>
      </c>
      <c r="B32" s="47" t="s">
        <v>398</v>
      </c>
      <c r="C32" s="48" t="str">
        <f aca="false">IFERROR(INDEX(Maschinen!$AB$5:$AB$24,MATCH($C$4,Maschinen!$B$5:$B$24,0))&amp;"","")</f>
        <v>–</v>
      </c>
      <c r="D32" s="49"/>
    </row>
    <row r="33" customFormat="false" ht="23.85" hidden="false" customHeight="false" outlineLevel="0" collapsed="false">
      <c r="A33" s="46" t="n">
        <v>26</v>
      </c>
      <c r="B33" s="47" t="s">
        <v>399</v>
      </c>
      <c r="C33" s="48" t="str">
        <f aca="false">IFERROR(INDEX(Maschinen!$AC$5:$AC$24,MATCH($C$4,Maschinen!$B$5:$B$24,0))&amp;"","")</f>
        <v>Eher bei Reinigungsstoffen, die beim Schweißen verwendet werden</v>
      </c>
      <c r="D33" s="49" t="s">
        <v>400</v>
      </c>
    </row>
    <row r="34" customFormat="false" ht="15" hidden="false" customHeight="false" outlineLevel="0" collapsed="false">
      <c r="A34" s="46" t="n">
        <v>27</v>
      </c>
      <c r="B34" s="47" t="s">
        <v>401</v>
      </c>
      <c r="C34" s="48" t="str">
        <f aca="false">IFERROR(INDEX(Maschinen!$AD$5:$AD$24,MATCH($C$4,Maschinen!$B$5:$B$24,0))&amp;"","")</f>
        <v>0,6 kW / Anschluss 16 A</v>
      </c>
      <c r="D34" s="49" t="s">
        <v>402</v>
      </c>
    </row>
    <row r="35" customFormat="false" ht="28.35" hidden="false" customHeight="false" outlineLevel="0" collapsed="false">
      <c r="A35" s="46" t="n">
        <v>28</v>
      </c>
      <c r="B35" s="47" t="s">
        <v>403</v>
      </c>
      <c r="C35" s="48" t="str">
        <f aca="false">IFERROR(INDEX(Maschinen!$AE$5:$AE$24,MATCH($C$4,Maschinen!$B$5:$B$24,0))&amp;"","")</f>
        <v>–</v>
      </c>
      <c r="D35" s="49" t="s">
        <v>404</v>
      </c>
    </row>
    <row r="36" customFormat="false" ht="15" hidden="false" customHeight="false" outlineLevel="0" collapsed="false">
      <c r="A36" s="50"/>
      <c r="B36" s="47" t="s">
        <v>321</v>
      </c>
      <c r="C36" s="46" t="str">
        <f aca="false">IFERROR(INDEX(Maschinen!$AF$5:$AF$24,MATCH($C$4,Maschinen!$B$5:$B$24,0))&amp;"","")</f>
        <v/>
      </c>
      <c r="D36" s="46"/>
    </row>
  </sheetData>
  <mergeCells count="3">
    <mergeCell ref="C4:D4"/>
    <mergeCell ref="C5:D5"/>
    <mergeCell ref="C36:D36"/>
  </mergeCells>
  <dataValidations count="1">
    <dataValidation allowBlank="true" errorStyle="stop" operator="between" showDropDown="false" showErrorMessage="false" showInputMessage="false" sqref="C4" type="list">
      <formula1>Maschinen!$B$5:$B$24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4"/>
    <col collapsed="false" customWidth="true" hidden="false" outlineLevel="0" max="3" min="3" style="0" width="40"/>
    <col collapsed="false" customWidth="true" hidden="false" outlineLevel="0" max="5" min="4" style="0" width="34"/>
  </cols>
  <sheetData>
    <row r="1" customFormat="false" ht="19.7" hidden="false" customHeight="false" outlineLevel="0" collapsed="false">
      <c r="A1" s="1" t="s">
        <v>405</v>
      </c>
    </row>
    <row r="2" customFormat="false" ht="15" hidden="false" customHeight="false" outlineLevel="0" collapsed="false">
      <c r="A2" s="2" t="s">
        <v>406</v>
      </c>
    </row>
    <row r="4" customFormat="false" ht="15" hidden="false" customHeight="false" outlineLevel="0" collapsed="false">
      <c r="A4" s="3" t="s">
        <v>407</v>
      </c>
    </row>
    <row r="5" customFormat="false" ht="15" hidden="false" customHeight="false" outlineLevel="0" collapsed="false">
      <c r="A5" s="9" t="s">
        <v>408</v>
      </c>
      <c r="B5" s="9" t="s">
        <v>409</v>
      </c>
      <c r="C5" s="9" t="s">
        <v>410</v>
      </c>
      <c r="D5" s="9" t="s">
        <v>411</v>
      </c>
    </row>
    <row r="6" customFormat="false" ht="23.85" hidden="false" customHeight="false" outlineLevel="0" collapsed="false">
      <c r="A6" s="47" t="s">
        <v>412</v>
      </c>
      <c r="B6" s="42" t="s">
        <v>413</v>
      </c>
      <c r="C6" s="42" t="s">
        <v>414</v>
      </c>
      <c r="D6" s="42" t="s">
        <v>415</v>
      </c>
    </row>
    <row r="7" customFormat="false" ht="15" hidden="false" customHeight="false" outlineLevel="0" collapsed="false">
      <c r="A7" s="47" t="s">
        <v>416</v>
      </c>
      <c r="B7" s="42" t="s">
        <v>417</v>
      </c>
      <c r="C7" s="42" t="s">
        <v>418</v>
      </c>
      <c r="D7" s="42" t="s">
        <v>419</v>
      </c>
    </row>
    <row r="8" customFormat="false" ht="15" hidden="false" customHeight="false" outlineLevel="0" collapsed="false">
      <c r="A8" s="47" t="s">
        <v>420</v>
      </c>
      <c r="B8" s="42" t="s">
        <v>421</v>
      </c>
      <c r="C8" s="42" t="s">
        <v>422</v>
      </c>
      <c r="D8" s="42" t="s">
        <v>423</v>
      </c>
    </row>
    <row r="9" customFormat="false" ht="15" hidden="false" customHeight="false" outlineLevel="0" collapsed="false">
      <c r="A9" s="47" t="s">
        <v>424</v>
      </c>
      <c r="B9" s="42" t="s">
        <v>425</v>
      </c>
      <c r="C9" s="42" t="s">
        <v>426</v>
      </c>
      <c r="D9" s="42" t="s">
        <v>427</v>
      </c>
    </row>
    <row r="11" customFormat="false" ht="15" hidden="false" customHeight="false" outlineLevel="0" collapsed="false">
      <c r="A11" s="3" t="s">
        <v>428</v>
      </c>
    </row>
    <row r="12" customFormat="false" ht="15" hidden="false" customHeight="false" outlineLevel="0" collapsed="false">
      <c r="A12" s="9" t="s">
        <v>429</v>
      </c>
      <c r="B12" s="9" t="s">
        <v>430</v>
      </c>
      <c r="C12" s="9" t="s">
        <v>431</v>
      </c>
      <c r="D12" s="9" t="s">
        <v>432</v>
      </c>
      <c r="E12" s="9" t="s">
        <v>433</v>
      </c>
    </row>
    <row r="13" customFormat="false" ht="15" hidden="false" customHeight="false" outlineLevel="0" collapsed="false">
      <c r="A13" s="47" t="s">
        <v>434</v>
      </c>
      <c r="B13" s="42" t="s">
        <v>435</v>
      </c>
      <c r="C13" s="42" t="s">
        <v>436</v>
      </c>
      <c r="D13" s="42" t="s">
        <v>437</v>
      </c>
      <c r="E13" s="42" t="s">
        <v>438</v>
      </c>
    </row>
    <row r="14" customFormat="false" ht="23.85" hidden="false" customHeight="false" outlineLevel="0" collapsed="false">
      <c r="A14" s="47" t="s">
        <v>439</v>
      </c>
      <c r="B14" s="42" t="s">
        <v>440</v>
      </c>
      <c r="C14" s="42" t="s">
        <v>441</v>
      </c>
      <c r="D14" s="42" t="s">
        <v>442</v>
      </c>
      <c r="E14" s="42" t="s">
        <v>443</v>
      </c>
    </row>
    <row r="15" customFormat="false" ht="15" hidden="false" customHeight="false" outlineLevel="0" collapsed="false">
      <c r="A15" s="47" t="s">
        <v>444</v>
      </c>
      <c r="B15" s="42" t="s">
        <v>445</v>
      </c>
      <c r="C15" s="42" t="s">
        <v>446</v>
      </c>
      <c r="D15" s="42" t="s">
        <v>447</v>
      </c>
      <c r="E15" s="42" t="s">
        <v>448</v>
      </c>
    </row>
    <row r="16" customFormat="false" ht="15" hidden="false" customHeight="false" outlineLevel="0" collapsed="false">
      <c r="A16" s="47" t="s">
        <v>449</v>
      </c>
      <c r="B16" s="42" t="s">
        <v>450</v>
      </c>
      <c r="C16" s="42" t="s">
        <v>451</v>
      </c>
      <c r="D16" s="42" t="s">
        <v>452</v>
      </c>
      <c r="E16" s="42" t="s">
        <v>453</v>
      </c>
    </row>
    <row r="17" customFormat="false" ht="15" hidden="false" customHeight="false" outlineLevel="0" collapsed="false">
      <c r="A17" s="47" t="s">
        <v>454</v>
      </c>
      <c r="B17" s="42" t="s">
        <v>455</v>
      </c>
      <c r="C17" s="42" t="s">
        <v>456</v>
      </c>
      <c r="D17" s="42" t="s">
        <v>457</v>
      </c>
      <c r="E17" s="42" t="s">
        <v>458</v>
      </c>
    </row>
    <row r="19" customFormat="false" ht="15" hidden="false" customHeight="false" outlineLevel="0" collapsed="false">
      <c r="A19" s="3" t="s">
        <v>459</v>
      </c>
    </row>
    <row r="20" customFormat="false" ht="15" hidden="false" customHeight="false" outlineLevel="0" collapsed="false">
      <c r="A20" s="9" t="s">
        <v>460</v>
      </c>
      <c r="B20" s="9" t="s">
        <v>461</v>
      </c>
      <c r="C20" s="9" t="s">
        <v>411</v>
      </c>
    </row>
    <row r="21" customFormat="false" ht="23.85" hidden="false" customHeight="false" outlineLevel="0" collapsed="false">
      <c r="A21" s="47" t="s">
        <v>462</v>
      </c>
      <c r="B21" s="42" t="s">
        <v>463</v>
      </c>
      <c r="C21" s="42" t="s">
        <v>464</v>
      </c>
    </row>
    <row r="22" customFormat="false" ht="15" hidden="false" customHeight="false" outlineLevel="0" collapsed="false">
      <c r="A22" s="47" t="s">
        <v>465</v>
      </c>
      <c r="B22" s="42" t="s">
        <v>466</v>
      </c>
      <c r="C22" s="42" t="s">
        <v>467</v>
      </c>
    </row>
    <row r="23" customFormat="false" ht="23.85" hidden="false" customHeight="false" outlineLevel="0" collapsed="false">
      <c r="A23" s="47" t="s">
        <v>468</v>
      </c>
      <c r="B23" s="42" t="s">
        <v>469</v>
      </c>
      <c r="C23" s="42" t="s">
        <v>470</v>
      </c>
    </row>
    <row r="24" customFormat="false" ht="68.65" hidden="false" customHeight="false" outlineLevel="0" collapsed="false">
      <c r="A24" s="47" t="s">
        <v>471</v>
      </c>
      <c r="B24" s="42" t="s">
        <v>472</v>
      </c>
      <c r="C24" s="42" t="s">
        <v>473</v>
      </c>
    </row>
    <row r="25" customFormat="false" ht="23.85" hidden="false" customHeight="false" outlineLevel="0" collapsed="false">
      <c r="A25" s="47" t="s">
        <v>474</v>
      </c>
      <c r="B25" s="42" t="s">
        <v>475</v>
      </c>
      <c r="C25" s="42" t="s">
        <v>476</v>
      </c>
    </row>
    <row r="26" customFormat="false" ht="46.25" hidden="false" customHeight="false" outlineLevel="0" collapsed="false">
      <c r="A26" s="47" t="s">
        <v>477</v>
      </c>
      <c r="B26" s="42" t="s">
        <v>478</v>
      </c>
      <c r="C26" s="42" t="s">
        <v>479</v>
      </c>
    </row>
    <row r="27" customFormat="false" ht="15" hidden="false" customHeight="false" outlineLevel="0" collapsed="false">
      <c r="A27" s="47" t="s">
        <v>480</v>
      </c>
      <c r="B27" s="42" t="s">
        <v>481</v>
      </c>
      <c r="C27" s="42" t="s">
        <v>482</v>
      </c>
    </row>
    <row r="28" customFormat="false" ht="23.85" hidden="false" customHeight="false" outlineLevel="0" collapsed="false">
      <c r="A28" s="47" t="s">
        <v>483</v>
      </c>
      <c r="B28" s="42" t="s">
        <v>484</v>
      </c>
      <c r="C28" s="42" t="s">
        <v>485</v>
      </c>
    </row>
    <row r="29" customFormat="false" ht="46.25" hidden="false" customHeight="false" outlineLevel="0" collapsed="false">
      <c r="A29" s="47" t="s">
        <v>486</v>
      </c>
      <c r="B29" s="42" t="s">
        <v>487</v>
      </c>
      <c r="C29" s="42" t="s">
        <v>488</v>
      </c>
    </row>
    <row r="30" customFormat="false" ht="23.85" hidden="false" customHeight="false" outlineLevel="0" collapsed="false">
      <c r="A30" s="47" t="s">
        <v>489</v>
      </c>
      <c r="B30" s="42" t="s">
        <v>490</v>
      </c>
      <c r="C30" s="42" t="s">
        <v>491</v>
      </c>
    </row>
    <row r="32" customFormat="false" ht="15" hidden="false" customHeight="false" outlineLevel="0" collapsed="false">
      <c r="A32" s="3" t="s">
        <v>492</v>
      </c>
    </row>
    <row r="33" customFormat="false" ht="15" hidden="false" customHeight="false" outlineLevel="0" collapsed="false">
      <c r="A33" s="9" t="s">
        <v>38</v>
      </c>
      <c r="B33" s="9" t="s">
        <v>493</v>
      </c>
      <c r="C33" s="9" t="s">
        <v>494</v>
      </c>
    </row>
    <row r="34" customFormat="false" ht="23.85" hidden="false" customHeight="false" outlineLevel="0" collapsed="false">
      <c r="A34" s="47" t="s">
        <v>348</v>
      </c>
      <c r="B34" s="42" t="s">
        <v>495</v>
      </c>
      <c r="C34" s="42" t="s">
        <v>496</v>
      </c>
    </row>
    <row r="35" customFormat="false" ht="15" hidden="false" customHeight="false" outlineLevel="0" collapsed="false">
      <c r="A35" s="47" t="s">
        <v>334</v>
      </c>
      <c r="B35" s="42" t="s">
        <v>497</v>
      </c>
      <c r="C35" s="42" t="s">
        <v>498</v>
      </c>
    </row>
    <row r="36" customFormat="false" ht="15" hidden="false" customHeight="false" outlineLevel="0" collapsed="false">
      <c r="A36" s="47" t="s">
        <v>499</v>
      </c>
      <c r="B36" s="42" t="s">
        <v>500</v>
      </c>
      <c r="C36" s="42" t="s">
        <v>501</v>
      </c>
    </row>
    <row r="38" customFormat="false" ht="15" hidden="false" customHeight="false" outlineLevel="0" collapsed="false">
      <c r="A38" s="3" t="s">
        <v>502</v>
      </c>
    </row>
    <row r="39" customFormat="false" ht="15" hidden="false" customHeight="false" outlineLevel="0" collapsed="false">
      <c r="A39" s="6" t="s">
        <v>503</v>
      </c>
    </row>
    <row r="40" customFormat="false" ht="15" hidden="false" customHeight="false" outlineLevel="0" collapsed="false">
      <c r="A40" s="4" t="s">
        <v>504</v>
      </c>
      <c r="B40" s="5" t="n">
        <v>720</v>
      </c>
    </row>
    <row r="41" customFormat="false" ht="15" hidden="false" customHeight="false" outlineLevel="0" collapsed="false">
      <c r="A41" s="4" t="s">
        <v>505</v>
      </c>
      <c r="B41" s="5" t="n">
        <v>4</v>
      </c>
    </row>
    <row r="42" customFormat="false" ht="15" hidden="false" customHeight="false" outlineLevel="0" collapsed="false">
      <c r="A42" s="4" t="s">
        <v>506</v>
      </c>
      <c r="B42" s="5" t="n">
        <v>12</v>
      </c>
    </row>
    <row r="43" customFormat="false" ht="15" hidden="false" customHeight="false" outlineLevel="0" collapsed="false">
      <c r="A43" s="25" t="s">
        <v>507</v>
      </c>
      <c r="B43" s="51" t="n">
        <f aca="false">IFERROR(B40/B41,"")</f>
        <v>180</v>
      </c>
    </row>
    <row r="44" customFormat="false" ht="15" hidden="false" customHeight="false" outlineLevel="0" collapsed="false">
      <c r="A44" s="25" t="s">
        <v>508</v>
      </c>
      <c r="B44" s="51" t="n">
        <f aca="false">IFERROR(B42/B41,"")</f>
        <v>3</v>
      </c>
    </row>
    <row r="45" customFormat="false" ht="15" hidden="false" customHeight="false" outlineLevel="0" collapsed="false">
      <c r="A45" s="25" t="s">
        <v>509</v>
      </c>
      <c r="B45" s="52" t="n">
        <f aca="false">IFERROR(B43/(B43+B44),"")</f>
        <v>0.983606557377049</v>
      </c>
    </row>
    <row r="47" customFormat="false" ht="15" hidden="false" customHeight="false" outlineLevel="0" collapsed="false">
      <c r="A47" s="4" t="s">
        <v>510</v>
      </c>
      <c r="B47" s="53" t="n">
        <v>0.9</v>
      </c>
    </row>
    <row r="48" customFormat="false" ht="15" hidden="false" customHeight="false" outlineLevel="0" collapsed="false">
      <c r="A48" s="4" t="s">
        <v>511</v>
      </c>
      <c r="B48" s="53" t="n">
        <v>0.95</v>
      </c>
    </row>
    <row r="49" customFormat="false" ht="15" hidden="false" customHeight="false" outlineLevel="0" collapsed="false">
      <c r="A49" s="4" t="s">
        <v>512</v>
      </c>
      <c r="B49" s="53" t="n">
        <v>0.99</v>
      </c>
    </row>
    <row r="50" customFormat="false" ht="15" hidden="false" customHeight="false" outlineLevel="0" collapsed="false">
      <c r="A50" s="25" t="s">
        <v>513</v>
      </c>
      <c r="B50" s="52" t="n">
        <f aca="false">B47*B48*B49</f>
        <v>0.84645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19.7" hidden="false" customHeight="false" outlineLevel="0" collapsed="false">
      <c r="A1" s="1" t="s">
        <v>514</v>
      </c>
    </row>
    <row r="2" customFormat="false" ht="15" hidden="false" customHeight="false" outlineLevel="0" collapsed="false">
      <c r="A2" s="2" t="s">
        <v>515</v>
      </c>
    </row>
    <row r="4" customFormat="false" ht="15" hidden="false" customHeight="false" outlineLevel="0" collapsed="false">
      <c r="A4" s="3" t="s">
        <v>516</v>
      </c>
    </row>
    <row r="5" customFormat="false" ht="15" hidden="false" customHeight="false" outlineLevel="0" collapsed="false">
      <c r="A5" s="25" t="s">
        <v>517</v>
      </c>
      <c r="B5" s="54" t="s">
        <v>518</v>
      </c>
    </row>
    <row r="6" customFormat="false" ht="15" hidden="false" customHeight="false" outlineLevel="0" collapsed="false">
      <c r="A6" s="25" t="s">
        <v>519</v>
      </c>
      <c r="B6" s="54" t="s">
        <v>520</v>
      </c>
    </row>
    <row r="7" customFormat="false" ht="15" hidden="false" customHeight="false" outlineLevel="0" collapsed="false">
      <c r="A7" s="25" t="s">
        <v>521</v>
      </c>
      <c r="B7" s="54" t="s">
        <v>522</v>
      </c>
    </row>
    <row r="8" customFormat="false" ht="15" hidden="false" customHeight="false" outlineLevel="0" collapsed="false">
      <c r="A8" s="25" t="s">
        <v>523</v>
      </c>
      <c r="B8" s="54" t="s">
        <v>524</v>
      </c>
    </row>
    <row r="9" customFormat="false" ht="15" hidden="false" customHeight="false" outlineLevel="0" collapsed="false">
      <c r="A9" s="25" t="s">
        <v>525</v>
      </c>
      <c r="B9" s="54" t="s">
        <v>526</v>
      </c>
    </row>
    <row r="10" customFormat="false" ht="15" hidden="false" customHeight="false" outlineLevel="0" collapsed="false">
      <c r="A10" s="25"/>
      <c r="B10" s="54"/>
    </row>
    <row r="11" customFormat="false" ht="15" hidden="false" customHeight="false" outlineLevel="0" collapsed="false">
      <c r="A11" s="3" t="s">
        <v>527</v>
      </c>
    </row>
    <row r="12" customFormat="false" ht="15" hidden="false" customHeight="false" outlineLevel="0" collapsed="false">
      <c r="A12" s="55" t="s">
        <v>528</v>
      </c>
      <c r="B12" s="54" t="s">
        <v>529</v>
      </c>
    </row>
    <row r="13" customFormat="false" ht="15" hidden="false" customHeight="false" outlineLevel="0" collapsed="false">
      <c r="A13" s="25" t="s">
        <v>530</v>
      </c>
      <c r="B13" s="54" t="s">
        <v>531</v>
      </c>
    </row>
    <row r="14" customFormat="false" ht="15" hidden="false" customHeight="false" outlineLevel="0" collapsed="false">
      <c r="A14" s="25"/>
      <c r="B14" s="54"/>
    </row>
    <row r="15" customFormat="false" ht="15" hidden="false" customHeight="false" outlineLevel="0" collapsed="false">
      <c r="A15" s="25" t="s">
        <v>532</v>
      </c>
      <c r="B15" s="54" t="s">
        <v>533</v>
      </c>
    </row>
    <row r="16" customFormat="false" ht="15" hidden="false" customHeight="false" outlineLevel="0" collapsed="false">
      <c r="A16" s="25"/>
      <c r="B16" s="54"/>
    </row>
    <row r="17" customFormat="false" ht="15" hidden="false" customHeight="false" outlineLevel="0" collapsed="false">
      <c r="A17" s="3" t="s">
        <v>534</v>
      </c>
    </row>
    <row r="18" customFormat="false" ht="23.85" hidden="false" customHeight="false" outlineLevel="0" collapsed="false">
      <c r="A18" s="25" t="s">
        <v>22</v>
      </c>
      <c r="B18" s="54" t="s">
        <v>535</v>
      </c>
    </row>
    <row r="19" customFormat="false" ht="15" hidden="false" customHeight="false" outlineLevel="0" collapsed="false">
      <c r="A19" s="25" t="s">
        <v>536</v>
      </c>
      <c r="B19" s="54" t="s">
        <v>537</v>
      </c>
    </row>
    <row r="20" customFormat="false" ht="15" hidden="false" customHeight="false" outlineLevel="0" collapsed="false">
      <c r="A20" s="25"/>
      <c r="B20" s="54"/>
    </row>
    <row r="21" customFormat="false" ht="15" hidden="false" customHeight="false" outlineLevel="0" collapsed="false">
      <c r="A21" s="3" t="s">
        <v>538</v>
      </c>
    </row>
    <row r="22" customFormat="false" ht="15" hidden="false" customHeight="false" outlineLevel="0" collapsed="false">
      <c r="A22" s="25" t="s">
        <v>539</v>
      </c>
      <c r="B22" s="54" t="s">
        <v>540</v>
      </c>
    </row>
    <row r="23" customFormat="false" ht="15" hidden="false" customHeight="false" outlineLevel="0" collapsed="false">
      <c r="A23" s="25" t="s">
        <v>541</v>
      </c>
      <c r="B23" s="54" t="s">
        <v>542</v>
      </c>
    </row>
    <row r="24" customFormat="false" ht="15" hidden="false" customHeight="false" outlineLevel="0" collapsed="false">
      <c r="A24" s="25" t="s">
        <v>543</v>
      </c>
      <c r="B24" s="54" t="s">
        <v>544</v>
      </c>
    </row>
    <row r="25" customFormat="false" ht="15" hidden="false" customHeight="false" outlineLevel="0" collapsed="false">
      <c r="A25" s="25"/>
      <c r="B25" s="54"/>
    </row>
    <row r="26" customFormat="false" ht="15" hidden="false" customHeight="false" outlineLevel="0" collapsed="false">
      <c r="A26" s="3" t="s">
        <v>545</v>
      </c>
    </row>
    <row r="27" customFormat="false" ht="15" hidden="false" customHeight="false" outlineLevel="0" collapsed="false">
      <c r="A27" s="25" t="s">
        <v>546</v>
      </c>
      <c r="B27" s="56" t="s">
        <v>547</v>
      </c>
    </row>
    <row r="28" customFormat="false" ht="15" hidden="false" customHeight="false" outlineLevel="0" collapsed="false">
      <c r="A28" s="25" t="s">
        <v>546</v>
      </c>
      <c r="B28" s="56" t="s">
        <v>548</v>
      </c>
    </row>
    <row r="29" customFormat="false" ht="15" hidden="false" customHeight="false" outlineLevel="0" collapsed="false">
      <c r="A29" s="25" t="s">
        <v>465</v>
      </c>
      <c r="B29" s="56" t="s">
        <v>549</v>
      </c>
    </row>
    <row r="30" customFormat="false" ht="15" hidden="false" customHeight="false" outlineLevel="0" collapsed="false">
      <c r="A30" s="25" t="s">
        <v>171</v>
      </c>
      <c r="B30" s="56" t="s">
        <v>550</v>
      </c>
    </row>
    <row r="31" customFormat="false" ht="15" hidden="false" customHeight="false" outlineLevel="0" collapsed="false">
      <c r="A31" s="25" t="s">
        <v>551</v>
      </c>
      <c r="B31" s="56" t="s">
        <v>552</v>
      </c>
    </row>
    <row r="32" customFormat="false" ht="15" hidden="false" customHeight="false" outlineLevel="0" collapsed="false">
      <c r="A32" s="25" t="s">
        <v>553</v>
      </c>
      <c r="B32" s="56" t="s">
        <v>554</v>
      </c>
    </row>
    <row r="33" customFormat="false" ht="15" hidden="false" customHeight="false" outlineLevel="0" collapsed="false">
      <c r="A33" s="25" t="s">
        <v>555</v>
      </c>
      <c r="B33" s="56" t="s">
        <v>556</v>
      </c>
    </row>
    <row r="34" customFormat="false" ht="15" hidden="false" customHeight="false" outlineLevel="0" collapsed="false">
      <c r="A34" s="25" t="s">
        <v>557</v>
      </c>
      <c r="B34" s="56" t="s">
        <v>558</v>
      </c>
    </row>
    <row r="35" customFormat="false" ht="15" hidden="false" customHeight="false" outlineLevel="0" collapsed="false">
      <c r="A35" s="25" t="s">
        <v>559</v>
      </c>
      <c r="B35" s="56" t="s">
        <v>560</v>
      </c>
    </row>
    <row r="36" customFormat="false" ht="15" hidden="false" customHeight="false" outlineLevel="0" collapsed="false">
      <c r="A36" s="25" t="s">
        <v>561</v>
      </c>
      <c r="B36" s="56" t="s">
        <v>562</v>
      </c>
    </row>
    <row r="37" customFormat="false" ht="15" hidden="false" customHeight="false" outlineLevel="0" collapsed="false">
      <c r="A37" s="25" t="s">
        <v>483</v>
      </c>
      <c r="B37" s="56" t="s">
        <v>563</v>
      </c>
    </row>
    <row r="38" customFormat="false" ht="15" hidden="false" customHeight="false" outlineLevel="0" collapsed="false">
      <c r="A38" s="25" t="s">
        <v>564</v>
      </c>
      <c r="B38" s="56" t="s">
        <v>565</v>
      </c>
    </row>
    <row r="39" customFormat="false" ht="15" hidden="false" customHeight="false" outlineLevel="0" collapsed="false">
      <c r="A39" s="25" t="s">
        <v>566</v>
      </c>
      <c r="B39" s="56" t="s">
        <v>567</v>
      </c>
    </row>
  </sheetData>
  <hyperlinks>
    <hyperlink ref="B27" r:id="rId1" display="https://www.baunormenlexikon.de/norm/din-31051/8d1293a4-de10-49d4-9fee-0b415e6545a1"/>
    <hyperlink ref="B28" r:id="rId2" display="https://www.buerklin.com/de/elektronik-kompetenz/instandhaltung/din-31051-grundlagen-der-instandhaltung/"/>
    <hyperlink ref="B29" r:id="rId3" display="https://ihb.tuev-media.de/docs/din_en_13306.html"/>
    <hyperlink ref="B30" r:id="rId4" display="https://blog.ccc-industriesoftware.de/kennzahlen-und-kpis-instandhaltung/"/>
    <hyperlink ref="B31" r:id="rId5" display="https://comain.cloud/glossar/mttr-mtbf"/>
    <hyperlink ref="B32" r:id="rId6" display="https://de.wikipedia.org/wiki/Gesamtanlageneffektivit%C3%A4t"/>
    <hyperlink ref="B33" r:id="rId7" display="https://community.advisera.com/topic/total-productive-maintenance-in-iatf-16949/"/>
    <hyperlink ref="B34" r:id="rId8" display="https://elsmar.com/elsmarqualityforum/threads/iatf-16949-section-8-5-1-5-total-productive-maintenance.70125/"/>
    <hyperlink ref="B35" r:id="rId9" display="https://elsmar.com/elsmarqualityforum/threads/ts-16949-clause-7-5-1-4-preventive-and-predictive-maintenance-requirements-scope.54706/"/>
    <hyperlink ref="B36" r:id="rId10" display="https://www.gesetze-im-internet.de/betrsichv_2015/BJNR004910015.html"/>
    <hyperlink ref="B37" r:id="rId11" display="https://www.baua.de/DE/Angebote/Regelwerk/TRBS/pdf/TRBS-1112.pdf"/>
    <hyperlink ref="B38" r:id="rId12" display="https://www.forum-verlag.com/fachwissen/elektrosicherheit-und-elektrotechnik/prueffristen-nach-dguv-v3/"/>
    <hyperlink ref="B39" r:id="rId13" display="https://www.umweltbundesamt.de/system/files/medien/421/dokumente/info_awsv_dieter_wgk.pdf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2026-10-04T19:24:09Z</dcterms:created>
  <dc:creator>openpyxl</dc:creator>
  <dc:description/>
  <dc:language>en-US</dc:language>
  <cp:lastModifiedBy/>
  <dcterms:modified xsi:type="dcterms:W3CDTF">2026-10-04T19:24:14Z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