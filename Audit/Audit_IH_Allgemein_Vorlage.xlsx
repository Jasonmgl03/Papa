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heckliste" sheetId="2" state="visible" r:id="rId2"/>
    <sheet name="Maßnahmenplan" sheetId="3" state="visible" r:id="rId3"/>
    <sheet name="Einstellungen" sheetId="4" state="visible" r:id="rId4"/>
    <sheet name="Anleitung" sheetId="5" state="visible" r:id="rId5"/>
  </sheets>
  <definedNames>
    <definedName name="Gewicht_bedOK">Einstellungen!$B$5</definedName>
    <definedName name="Ampel_gruen">Einstellungen!$B$6</definedName>
    <definedName name="Ampel_gelb">Einstellungen!$B$7</definedName>
    <definedName name="Ziel_Verfuegbarkeit">Einstellungen!$B$8</definedName>
    <definedName name="Kapitel_Liste">Einstellungen!$B$11:$B$19</definedName>
    <definedName name="Auditart_Liste">Einstellungen!$B$34:$B$36</definedName>
    <definedName name="_xlnm.Print_Area" localSheetId="0">'Dashboard'!$A$1:$N$73</definedName>
    <definedName name="_xlnm._FilterDatabase" localSheetId="1" hidden="1">'Checkliste'!$A$12:$Q$85</definedName>
    <definedName name="_xlnm.Print_Titles" localSheetId="1">'Checkliste'!$12:$12</definedName>
    <definedName name="_xlnm.Print_Area" localSheetId="1">'Checkliste'!$A$1:$M$85</definedName>
    <definedName name="_xlnm.Print_Titles" localSheetId="2">'Maßnahmenplan'!$4:$4</definedName>
    <definedName name="_xlnm.Print_Area" localSheetId="2">'Maßnahmenplan'!$A$1:$I$77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"/>
    <numFmt numFmtId="166" formatCode="+0&quot; Pkt.&quot;;-0&quot; Pkt.&quot;;&quot;±0 Pkt.&quot;"/>
  </numFmts>
  <fonts count="27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color rgb="0064748B"/>
      <sz val="9"/>
    </font>
    <font>
      <name val="Arial"/>
      <b val="1"/>
      <color rgb="000F172A"/>
      <sz val="11"/>
    </font>
    <font>
      <name val="Arial"/>
      <sz val="10"/>
    </font>
    <font>
      <name val="Arial"/>
      <color rgb="000000FF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b val="1"/>
      <color rgb="00006100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475569"/>
      <sz val="10"/>
    </font>
    <font>
      <name val="Arial"/>
      <color rgb="0064748B"/>
      <sz val="8"/>
    </font>
    <font>
      <name val="Arial"/>
      <b val="1"/>
      <color rgb="000F172A"/>
      <sz val="22"/>
    </font>
    <font>
      <name val="Arial"/>
      <b val="1"/>
      <sz val="11"/>
    </font>
    <font>
      <name val="Arial"/>
      <i val="1"/>
      <color rgb="0064748B"/>
      <sz val="8"/>
    </font>
    <font>
      <name val="Arial"/>
      <b val="1"/>
      <color rgb="001D4ED8"/>
      <sz val="9"/>
    </font>
    <font>
      <name val="Arial"/>
      <color rgb="000000FF"/>
      <sz val="9"/>
    </font>
    <font>
      <name val="Arial"/>
      <i val="1"/>
      <color rgb="0064748B"/>
      <sz val="9"/>
    </font>
    <font>
      <name val="Arial"/>
      <b val="1"/>
      <color rgb="000F172A"/>
      <sz val="18"/>
    </font>
    <font>
      <name val="Arial"/>
      <b val="1"/>
      <color rgb="000F172A"/>
      <sz val="10"/>
    </font>
    <font>
      <name val="Arial"/>
      <b val="1"/>
      <color rgb="0064748B"/>
      <sz val="9"/>
    </font>
    <font>
      <name val="Arial"/>
      <b val="1"/>
      <color rgb="000F172A"/>
      <sz val="24"/>
    </font>
    <font>
      <name val="Arial"/>
      <b val="1"/>
      <color rgb="000F172A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0F172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8F0"/>
      </patternFill>
    </fill>
    <fill>
      <patternFill patternType="solid">
        <fgColor rgb="00475569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</border>
    <border>
      <right style="thin">
        <color rgb="00CBD5E1"/>
      </right>
    </border>
    <border>
      <left style="thin">
        <color rgb="00CBD5E1"/>
      </left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bottom style="thin">
        <color rgb="000F172A"/>
      </bottom>
    </border>
    <border>
      <bottom style="thin">
        <color rgb="00CBD5E1"/>
      </bottom>
    </border>
    <border>
      <top style="thin">
        <color rgb="000F172A"/>
      </top>
      <bottom style="thin">
        <color rgb="000F172A"/>
      </bottom>
    </border>
    <border>
      <top style="thin">
        <color rgb="000F172A"/>
      </top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9" fillId="0" borderId="0" pivotButton="0" quotePrefix="0" xfId="0"/>
    <xf numFmtId="0" fontId="2" fillId="0" borderId="0" pivotButton="0" quotePrefix="0" xfId="0"/>
    <xf numFmtId="0" fontId="12" fillId="10" borderId="0" pivotButton="0" quotePrefix="0" xfId="0"/>
    <xf numFmtId="0" fontId="0" fillId="10" borderId="0" pivotButton="0" quotePrefix="0" xfId="0"/>
    <xf numFmtId="0" fontId="20" fillId="10" borderId="0" applyAlignment="1" pivotButton="0" quotePrefix="0" xfId="0">
      <alignment vertical="top" wrapText="1"/>
    </xf>
    <xf numFmtId="164" fontId="20" fillId="10" borderId="0" applyAlignment="1" pivotButton="0" quotePrefix="0" xfId="0">
      <alignment horizontal="left" vertical="top"/>
    </xf>
    <xf numFmtId="0" fontId="2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9" fontId="2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9" fillId="0" borderId="4" applyAlignment="1" pivotButton="0" quotePrefix="0" xfId="0">
      <alignment horizontal="center" vertical="center" wrapText="1"/>
    </xf>
    <xf numFmtId="166" fontId="22" fillId="0" borderId="4" applyAlignment="1" pivotButton="0" quotePrefix="0" xfId="0">
      <alignment horizontal="center" vertical="center" wrapText="1"/>
    </xf>
    <xf numFmtId="1" fontId="22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2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23" fillId="0" borderId="8" pivotButton="0" quotePrefix="0" xfId="0"/>
    <xf numFmtId="0" fontId="0" fillId="0" borderId="8" pivotButton="0" quotePrefix="0" xfId="0"/>
    <xf numFmtId="0" fontId="24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0" borderId="9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9" fontId="4" fillId="0" borderId="9" applyAlignment="1" pivotButton="0" quotePrefix="0" xfId="0">
      <alignment horizontal="center" vertical="center"/>
    </xf>
    <xf numFmtId="0" fontId="4" fillId="11" borderId="9" applyAlignment="1" pivotButton="0" quotePrefix="0" xfId="0">
      <alignment horizontal="left" vertical="center"/>
    </xf>
    <xf numFmtId="0" fontId="4" fillId="11" borderId="9" applyAlignment="1" pivotButton="0" quotePrefix="0" xfId="0">
      <alignment horizontal="center" vertical="center"/>
    </xf>
    <xf numFmtId="9" fontId="4" fillId="11" borderId="9" applyAlignment="1" pivotButton="0" quotePrefix="0" xfId="0">
      <alignment horizontal="center" vertical="center"/>
    </xf>
    <xf numFmtId="0" fontId="20" fillId="10" borderId="10" applyAlignment="1" pivotButton="0" quotePrefix="0" xfId="0">
      <alignment horizontal="left" vertical="center"/>
    </xf>
    <xf numFmtId="0" fontId="20" fillId="10" borderId="10" applyAlignment="1" pivotButton="0" quotePrefix="0" xfId="0">
      <alignment horizontal="center" vertical="center"/>
    </xf>
    <xf numFmtId="9" fontId="20" fillId="10" borderId="10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top" wrapText="1"/>
    </xf>
    <xf numFmtId="0" fontId="25" fillId="0" borderId="9" applyAlignment="1" pivotButton="0" quotePrefix="0" xfId="0">
      <alignment horizontal="left" vertical="top" wrapText="1"/>
    </xf>
    <xf numFmtId="164" fontId="25" fillId="0" borderId="9" applyAlignment="1" pivotButton="0" quotePrefix="0" xfId="0">
      <alignment horizontal="center" vertical="top" wrapText="1"/>
    </xf>
    <xf numFmtId="0" fontId="18" fillId="0" borderId="0" pivotButton="0" quotePrefix="0" xfId="0"/>
    <xf numFmtId="0" fontId="5" fillId="2" borderId="0" applyAlignment="1" pivotButton="0" quotePrefix="0" xfId="0">
      <alignment vertical="top" wrapText="1"/>
    </xf>
    <xf numFmtId="0" fontId="0" fillId="2" borderId="0" pivotButton="0" quotePrefix="0" xfId="0"/>
    <xf numFmtId="0" fontId="12" fillId="0" borderId="11" pivotButton="0" quotePrefix="0" xfId="0"/>
    <xf numFmtId="0" fontId="0" fillId="0" borderId="11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9" fontId="13" fillId="0" borderId="0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9" fontId="5" fillId="2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top" wrapText="1"/>
    </xf>
    <xf numFmtId="0" fontId="15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top" wrapText="1"/>
    </xf>
    <xf numFmtId="164" fontId="5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165" fontId="6" fillId="0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/>
    </xf>
    <xf numFmtId="0" fontId="16" fillId="9" borderId="1" applyAlignment="1" pivotButton="0" quotePrefix="0" xfId="0">
      <alignment horizontal="center" vertical="top" wrapText="1"/>
    </xf>
    <xf numFmtId="0" fontId="17" fillId="2" borderId="1" applyAlignment="1" pivotButton="0" quotePrefix="0" xfId="0">
      <alignment vertical="top" wrapText="1"/>
    </xf>
    <xf numFmtId="0" fontId="2" fillId="0" borderId="9" applyAlignment="1" pivotButton="0" quotePrefix="0" xfId="0">
      <alignment horizontal="center" vertical="top" wrapText="1"/>
    </xf>
    <xf numFmtId="9" fontId="5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1" pivotButton="0" quotePrefix="0" xfId="0"/>
    <xf numFmtId="0" fontId="7" fillId="3" borderId="0" pivotButton="0" quotePrefix="0" xfId="0"/>
    <xf numFmtId="0" fontId="8" fillId="4" borderId="1" pivotButton="0" quotePrefix="0" xfId="0"/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horizontal="center"/>
    </xf>
    <xf numFmtId="0" fontId="9" fillId="5" borderId="1" pivotButton="0" quotePrefix="0" xfId="0"/>
    <xf numFmtId="0" fontId="10" fillId="6" borderId="1" pivotButton="0" quotePrefix="0" xfId="0"/>
    <xf numFmtId="0" fontId="11" fillId="7" borderId="1" pivotButton="0" quotePrefix="0" xfId="0"/>
    <xf numFmtId="0" fontId="4" fillId="0" borderId="0" applyAlignment="1" pivotButton="0" quotePrefix="0" xfId="0">
      <alignment horizontal="center"/>
    </xf>
    <xf numFmtId="0" fontId="26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0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5700"/>
      </font>
      <fill>
        <patternFill patternType="solid">
          <f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006100"/>
      </font>
    </dxf>
    <dxf>
      <font>
        <name val="Arial"/>
        <b val="1"/>
        <color rgb="009C0006"/>
      </font>
    </dxf>
    <dxf>
      <font>
        <name val="Arial"/>
        <b val="1"/>
        <color rgb="009C5700"/>
      </font>
    </dxf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9C5700"/>
      </font>
      <fill>
        <patternFill patternType="solid">
          <fgColor rgb="00FFEB9C"/>
        </patternFill>
      </fill>
    </dxf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475569"/>
      </font>
      <fill>
        <patternFill patternType="solid">
          <f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Erfüllungsgrad je Kapitel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334155"/>
            </a:solidFill>
            <a:ln>
              <a:solidFill>
                <a:srgbClr val="334155"/>
              </a:solidFill>
              <a:prstDash val="solid"/>
            </a:ln>
          </spPr>
          <dLbls>
            <numFmt formatCode="0%"/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'Dashboard'!$B$14:$B$22</f>
            </numRef>
          </cat>
          <val>
            <numRef>
              <f>'Dashboard'!$K$14:$K$22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  <majorUnit val="0.25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Bewertungen je Kapitel (Anzahl)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'Dashboard'!F13</f>
            </strRef>
          </tx>
          <spPr>
            <a:solidFill>
              <a:srgbClr val="C0392B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'Dashboard'!$B$14:$B$22</f>
            </numRef>
          </cat>
          <val>
            <numRef>
              <f>'Dashboard'!$F$14:$F$22</f>
            </numRef>
          </val>
        </ser>
        <ser>
          <idx val="1"/>
          <order val="1"/>
          <tx>
            <strRef>
              <f>'Dashboard'!G13</f>
            </strRef>
          </tx>
          <spPr>
            <a:solidFill>
              <a:srgbClr val="E0A800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'Dashboard'!$B$14:$B$22</f>
            </numRef>
          </cat>
          <val>
            <numRef>
              <f>'Dashboard'!$G$14:$G$22</f>
            </numRef>
          </val>
        </ser>
        <ser>
          <idx val="2"/>
          <order val="2"/>
          <tx>
            <strRef>
              <f>'Dashboard'!H13</f>
            </strRef>
          </tx>
          <spPr>
            <a:solidFill>
              <a:srgbClr val="2E8B57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'Dashboard'!$B$14:$B$22</f>
            </numRef>
          </cat>
          <val>
            <numRef>
              <f>'Dashboard'!$H$14:$H$22</f>
            </numRef>
          </val>
        </ser>
        <ser>
          <idx val="3"/>
          <order val="3"/>
          <tx>
            <strRef>
              <f>'Dashboard'!I13</f>
            </strRef>
          </tx>
          <spPr>
            <a:solidFill>
              <a:srgbClr val="94A3B8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'Dashboard'!$B$14:$B$22</f>
            </numRef>
          </cat>
          <val>
            <numRef>
              <f>'Dashboard'!$I$14:$I$22</f>
            </numRef>
          </val>
        </ser>
        <ser>
          <idx val="4"/>
          <order val="4"/>
          <tx>
            <strRef>
              <f>'Dashboard'!J13</f>
            </strRef>
          </tx>
          <spPr>
            <a:solidFill>
              <a:srgbClr val="E2E8F0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'Dashboard'!$B$14:$B$22</f>
            </numRef>
          </cat>
          <val>
            <numRef>
              <f>'Dashboard'!$J$14:$J$22</f>
            </numRef>
          </val>
        </ser>
        <gapWidth val="6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Audit</author>
  </authors>
  <commentList>
    <comment ref="G4" authorId="0" shapeId="0">
      <text>
        <t>Gewichteter Erfüllungsgrad – Details im Dashboard.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4968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26</row>
      <rowOff>0</rowOff>
    </from>
    <ext cx="4968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M7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2" customWidth="1" min="14" max="14"/>
  </cols>
  <sheetData>
    <row r="1">
      <c r="B1" s="1" t="inlineStr">
        <is>
          <t>Audit Instandhaltung allgemein – Bewertung</t>
        </is>
      </c>
    </row>
    <row r="2">
      <c r="B2" s="2" t="inlineStr">
        <is>
          <t>Rechnet automatisch aus dem Blatt „Checkliste“. Grenzwerte und Gewichte auf „Einstellungen“.</t>
        </is>
      </c>
    </row>
    <row r="4">
      <c r="B4" s="3" t="inlineStr">
        <is>
          <t>Firma / Werk</t>
        </is>
      </c>
      <c r="C4" s="4" t="n"/>
      <c r="D4" s="3" t="inlineStr">
        <is>
          <t>Bereich / Abteilung</t>
        </is>
      </c>
      <c r="E4" s="4" t="n"/>
      <c r="F4" s="3" t="inlineStr">
        <is>
          <t>Auditdatum</t>
        </is>
      </c>
      <c r="G4" s="4" t="n"/>
      <c r="H4" s="3" t="inlineStr">
        <is>
          <t>Auditor</t>
        </is>
      </c>
      <c r="I4" s="4" t="n"/>
      <c r="J4" s="3" t="inlineStr">
        <is>
          <t>Auditart</t>
        </is>
      </c>
      <c r="K4" s="4" t="n"/>
      <c r="L4" s="3" t="inlineStr">
        <is>
          <t>Teilnehmer</t>
        </is>
      </c>
      <c r="M4" s="4" t="n"/>
    </row>
    <row r="5" ht="28" customHeight="1">
      <c r="B5" s="5">
        <f>IF(Checkliste!$C$4="","–",Checkliste!$C$4)</f>
        <v/>
      </c>
      <c r="C5" s="4" t="n"/>
      <c r="D5" s="5">
        <f>IF(Checkliste!$C$5="","–",Checkliste!$C$5)</f>
        <v/>
      </c>
      <c r="E5" s="4" t="n"/>
      <c r="F5" s="6">
        <f>IF(Checkliste!$C$6="","–",Checkliste!$C$6)</f>
        <v/>
      </c>
      <c r="G5" s="4" t="n"/>
      <c r="H5" s="5">
        <f>IF(Checkliste!$C$7="","–",Checkliste!$C$7)</f>
        <v/>
      </c>
      <c r="I5" s="4" t="n"/>
      <c r="J5" s="5">
        <f>IF(Checkliste!$C$9="","–",Checkliste!$C$9)</f>
        <v/>
      </c>
      <c r="K5" s="4" t="n"/>
      <c r="L5" s="5">
        <f>IF(Checkliste!$C$8="","–",Checkliste!$C$8)</f>
        <v/>
      </c>
      <c r="M5" s="4" t="n"/>
    </row>
    <row r="7">
      <c r="B7" s="7" t="inlineStr">
        <is>
          <t>Erfüllungsgrad</t>
        </is>
      </c>
      <c r="C7" s="8" t="n"/>
      <c r="D7" s="7" t="inlineStr">
        <is>
          <t>Gesamtbewertung</t>
        </is>
      </c>
      <c r="E7" s="8" t="n"/>
      <c r="F7" s="7" t="inlineStr">
        <is>
          <t>Veränderung zum letzten Audit</t>
        </is>
      </c>
      <c r="G7" s="8" t="n"/>
      <c r="H7" s="7" t="inlineStr">
        <is>
          <t>Bewertungsfortschritt</t>
        </is>
      </c>
      <c r="I7" s="8" t="n"/>
      <c r="J7" s="7" t="inlineStr">
        <is>
          <t>Maßnahmen gesamt</t>
        </is>
      </c>
      <c r="K7" s="8" t="n"/>
      <c r="L7" s="7" t="inlineStr">
        <is>
          <t>Maßnahmen überfällig</t>
        </is>
      </c>
      <c r="M7" s="8" t="n"/>
    </row>
    <row r="8" ht="22" customHeight="1">
      <c r="B8" s="9">
        <f>IFERROR(SUM(Checkliste!$O$13:$O$85)/SUM(Checkliste!$P$13:$P$85),"")</f>
        <v/>
      </c>
      <c r="C8" s="10" t="n"/>
      <c r="D8" s="11">
        <f>IF(B8="","nicht bewertet",IF(B8&gt;=Ampel_gruen,"gut",IF(B8&gt;=Ampel_gelb,"mittel","kritisch")))</f>
        <v/>
      </c>
      <c r="E8" s="10" t="n"/>
      <c r="F8" s="12">
        <f>IF(OR(Checkliste!$C$10="",B8=""),"–",(B8-Checkliste!$C$10)*100)</f>
        <v/>
      </c>
      <c r="G8" s="10" t="n"/>
      <c r="H8" s="9">
        <f>IFERROR((COUNTIF(Checkliste!$G$13:$G$85,"N.I.O")+COUNTIF(Checkliste!$G$13:$G$85,"bed. OK")+COUNTIF(Checkliste!$G$13:$G$85,"OK")+COUNTIF(Checkliste!$G$13:$G$85,"n. b."))/COUNTIF(Checkliste!$C$13:$C$85,"?*"),"")</f>
        <v/>
      </c>
      <c r="I8" s="10" t="n"/>
      <c r="J8" s="13">
        <f>COUNTIF(Checkliste!$L$13:$L$85,"offen")+COUNTIF(Checkliste!$L$13:$L$85,"überfällig")+COUNTIF(Checkliste!$L$13:$L$85,"erledigt")</f>
        <v/>
      </c>
      <c r="K8" s="10" t="n"/>
      <c r="L8" s="13">
        <f>COUNTIF(Checkliste!$L$13:$L$85,"überfällig")</f>
        <v/>
      </c>
      <c r="M8" s="10" t="n"/>
    </row>
    <row r="9" ht="22" customHeight="1">
      <c r="B9" s="14" t="n"/>
      <c r="C9" s="10" t="n"/>
      <c r="D9" s="14" t="n"/>
      <c r="E9" s="10" t="n"/>
      <c r="F9" s="14" t="n"/>
      <c r="G9" s="10" t="n"/>
      <c r="H9" s="14" t="n"/>
      <c r="I9" s="10" t="n"/>
      <c r="J9" s="14" t="n"/>
      <c r="K9" s="10" t="n"/>
      <c r="L9" s="14" t="n"/>
      <c r="M9" s="10" t="n"/>
    </row>
    <row r="10">
      <c r="B10" s="15">
        <f>"Ziel „gut“ ≥ "&amp;TEXT(Ampel_gruen,"0%")</f>
        <v/>
      </c>
      <c r="C10" s="16" t="n"/>
      <c r="D10" s="15">
        <f>"gelb ab "&amp;TEXT(Ampel_gelb,"0%")&amp;" · grün ab "&amp;TEXT(Ampel_gruen,"0%")</f>
        <v/>
      </c>
      <c r="E10" s="16" t="n"/>
      <c r="F10" s="15">
        <f>"letztes Audit: "&amp;IF(Checkliste!$C$10="","–",TEXT(Checkliste!$C$10,"0%"))</f>
        <v/>
      </c>
      <c r="G10" s="16" t="n"/>
      <c r="H10" s="15">
        <f>(COUNTIF(Checkliste!$G$13:$G$85,"N.I.O")+COUNTIF(Checkliste!$G$13:$G$85,"bed. OK")+COUNTIF(Checkliste!$G$13:$G$85,"OK")+COUNTIF(Checkliste!$G$13:$G$85,"n. b."))&amp;" von "&amp;COUNTIF(Checkliste!$C$13:$C$85,"?*")&amp;" Punkten bewertet"</f>
        <v/>
      </c>
      <c r="I10" s="16" t="n"/>
      <c r="J10" s="15">
        <f>"davon erledigt: "&amp;COUNTIF(Checkliste!$L$13:$L$85,"erledigt")</f>
        <v/>
      </c>
      <c r="K10" s="16" t="n"/>
      <c r="L10" s="15">
        <f>"offen (im Termin / ohne Termin): "&amp;COUNTIF(Checkliste!$L$13:$L$85,"offen")</f>
        <v/>
      </c>
      <c r="M10" s="16" t="n"/>
    </row>
    <row r="12">
      <c r="B12" s="17" t="inlineStr">
        <is>
          <t>Ergebnis je Kapitel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</row>
    <row r="13">
      <c r="B13" s="19" t="inlineStr">
        <is>
          <t>Kapitel</t>
        </is>
      </c>
      <c r="C13" s="20" t="n"/>
      <c r="D13" s="20" t="n"/>
      <c r="E13" s="19" t="inlineStr">
        <is>
          <t>Punkte</t>
        </is>
      </c>
      <c r="F13" s="19" t="inlineStr">
        <is>
          <t>N.I.O</t>
        </is>
      </c>
      <c r="G13" s="19" t="inlineStr">
        <is>
          <t>bed. OK</t>
        </is>
      </c>
      <c r="H13" s="19" t="inlineStr">
        <is>
          <t>OK</t>
        </is>
      </c>
      <c r="I13" s="19" t="inlineStr">
        <is>
          <t>n. b.</t>
        </is>
      </c>
      <c r="J13" s="19" t="inlineStr">
        <is>
          <t>offen</t>
        </is>
      </c>
      <c r="K13" s="19" t="inlineStr">
        <is>
          <t>Erfüllungsgrad</t>
        </is>
      </c>
      <c r="L13" s="19" t="inlineStr">
        <is>
          <t>Bewertung</t>
        </is>
      </c>
      <c r="M13" s="20" t="n"/>
    </row>
    <row r="14">
      <c r="B14" s="21">
        <f>IF(Einstellungen!$B$11="","",Einstellungen!$B$11)</f>
        <v/>
      </c>
      <c r="C14" s="22" t="n"/>
      <c r="D14" s="22" t="n"/>
      <c r="E14" s="22">
        <f>IF($B14="","",COUNTIFS(Checkliste!$B$13:$B$85,$B14,Checkliste!$C$13:$C$85,"?*"))</f>
        <v/>
      </c>
      <c r="F14" s="22">
        <f>IF($B14="","",COUNTIFS(Checkliste!$B$13:$B$85,$B14,Checkliste!$G$13:$G$85,"N.I.O"))</f>
        <v/>
      </c>
      <c r="G14" s="22">
        <f>IF($B14="","",COUNTIFS(Checkliste!$B$13:$B$85,$B14,Checkliste!$G$13:$G$85,"bed. OK"))</f>
        <v/>
      </c>
      <c r="H14" s="22">
        <f>IF($B14="","",COUNTIFS(Checkliste!$B$13:$B$85,$B14,Checkliste!$G$13:$G$85,"OK"))</f>
        <v/>
      </c>
      <c r="I14" s="22">
        <f>IF($B14="","",COUNTIFS(Checkliste!$B$13:$B$85,$B14,Checkliste!$G$13:$G$85,"n. b."))</f>
        <v/>
      </c>
      <c r="J14" s="22">
        <f>IF($B14="","",E14-SUM(F14:I14))</f>
        <v/>
      </c>
      <c r="K14" s="23">
        <f>IF($B14="","",IFERROR(SUMIFS(Checkliste!$O$13:$O$85,Checkliste!$B$13:$B$85,$B14)/SUMIFS(Checkliste!$P$13:$P$85,Checkliste!$B$13:$B$85,$B14),""))</f>
        <v/>
      </c>
      <c r="L14" s="22">
        <f>IF($B14="","",IF(K14="","nicht bewertet",IF(K14&gt;=Ampel_gruen,"gut",IF(K14&gt;=Ampel_gelb,"mittel","kritisch"))))</f>
        <v/>
      </c>
      <c r="M14" s="22" t="n"/>
    </row>
    <row r="15">
      <c r="B15" s="24">
        <f>IF(Einstellungen!$B$12="","",Einstellungen!$B$12)</f>
        <v/>
      </c>
      <c r="C15" s="25" t="n"/>
      <c r="D15" s="25" t="n"/>
      <c r="E15" s="25">
        <f>IF($B15="","",COUNTIFS(Checkliste!$B$13:$B$85,$B15,Checkliste!$C$13:$C$85,"?*"))</f>
        <v/>
      </c>
      <c r="F15" s="25">
        <f>IF($B15="","",COUNTIFS(Checkliste!$B$13:$B$85,$B15,Checkliste!$G$13:$G$85,"N.I.O"))</f>
        <v/>
      </c>
      <c r="G15" s="25">
        <f>IF($B15="","",COUNTIFS(Checkliste!$B$13:$B$85,$B15,Checkliste!$G$13:$G$85,"bed. OK"))</f>
        <v/>
      </c>
      <c r="H15" s="25">
        <f>IF($B15="","",COUNTIFS(Checkliste!$B$13:$B$85,$B15,Checkliste!$G$13:$G$85,"OK"))</f>
        <v/>
      </c>
      <c r="I15" s="25">
        <f>IF($B15="","",COUNTIFS(Checkliste!$B$13:$B$85,$B15,Checkliste!$G$13:$G$85,"n. b."))</f>
        <v/>
      </c>
      <c r="J15" s="25">
        <f>IF($B15="","",E15-SUM(F15:I15))</f>
        <v/>
      </c>
      <c r="K15" s="26">
        <f>IF($B15="","",IFERROR(SUMIFS(Checkliste!$O$13:$O$85,Checkliste!$B$13:$B$85,$B15)/SUMIFS(Checkliste!$P$13:$P$85,Checkliste!$B$13:$B$85,$B15),""))</f>
        <v/>
      </c>
      <c r="L15" s="25">
        <f>IF($B15="","",IF(K15="","nicht bewertet",IF(K15&gt;=Ampel_gruen,"gut",IF(K15&gt;=Ampel_gelb,"mittel","kritisch"))))</f>
        <v/>
      </c>
      <c r="M15" s="25" t="n"/>
    </row>
    <row r="16">
      <c r="B16" s="21">
        <f>IF(Einstellungen!$B$13="","",Einstellungen!$B$13)</f>
        <v/>
      </c>
      <c r="C16" s="22" t="n"/>
      <c r="D16" s="22" t="n"/>
      <c r="E16" s="22">
        <f>IF($B16="","",COUNTIFS(Checkliste!$B$13:$B$85,$B16,Checkliste!$C$13:$C$85,"?*"))</f>
        <v/>
      </c>
      <c r="F16" s="22">
        <f>IF($B16="","",COUNTIFS(Checkliste!$B$13:$B$85,$B16,Checkliste!$G$13:$G$85,"N.I.O"))</f>
        <v/>
      </c>
      <c r="G16" s="22">
        <f>IF($B16="","",COUNTIFS(Checkliste!$B$13:$B$85,$B16,Checkliste!$G$13:$G$85,"bed. OK"))</f>
        <v/>
      </c>
      <c r="H16" s="22">
        <f>IF($B16="","",COUNTIFS(Checkliste!$B$13:$B$85,$B16,Checkliste!$G$13:$G$85,"OK"))</f>
        <v/>
      </c>
      <c r="I16" s="22">
        <f>IF($B16="","",COUNTIFS(Checkliste!$B$13:$B$85,$B16,Checkliste!$G$13:$G$85,"n. b."))</f>
        <v/>
      </c>
      <c r="J16" s="22">
        <f>IF($B16="","",E16-SUM(F16:I16))</f>
        <v/>
      </c>
      <c r="K16" s="23">
        <f>IF($B16="","",IFERROR(SUMIFS(Checkliste!$O$13:$O$85,Checkliste!$B$13:$B$85,$B16)/SUMIFS(Checkliste!$P$13:$P$85,Checkliste!$B$13:$B$85,$B16),""))</f>
        <v/>
      </c>
      <c r="L16" s="22">
        <f>IF($B16="","",IF(K16="","nicht bewertet",IF(K16&gt;=Ampel_gruen,"gut",IF(K16&gt;=Ampel_gelb,"mittel","kritisch"))))</f>
        <v/>
      </c>
      <c r="M16" s="22" t="n"/>
    </row>
    <row r="17">
      <c r="B17" s="24">
        <f>IF(Einstellungen!$B$14="","",Einstellungen!$B$14)</f>
        <v/>
      </c>
      <c r="C17" s="25" t="n"/>
      <c r="D17" s="25" t="n"/>
      <c r="E17" s="25">
        <f>IF($B17="","",COUNTIFS(Checkliste!$B$13:$B$85,$B17,Checkliste!$C$13:$C$85,"?*"))</f>
        <v/>
      </c>
      <c r="F17" s="25">
        <f>IF($B17="","",COUNTIFS(Checkliste!$B$13:$B$85,$B17,Checkliste!$G$13:$G$85,"N.I.O"))</f>
        <v/>
      </c>
      <c r="G17" s="25">
        <f>IF($B17="","",COUNTIFS(Checkliste!$B$13:$B$85,$B17,Checkliste!$G$13:$G$85,"bed. OK"))</f>
        <v/>
      </c>
      <c r="H17" s="25">
        <f>IF($B17="","",COUNTIFS(Checkliste!$B$13:$B$85,$B17,Checkliste!$G$13:$G$85,"OK"))</f>
        <v/>
      </c>
      <c r="I17" s="25">
        <f>IF($B17="","",COUNTIFS(Checkliste!$B$13:$B$85,$B17,Checkliste!$G$13:$G$85,"n. b."))</f>
        <v/>
      </c>
      <c r="J17" s="25">
        <f>IF($B17="","",E17-SUM(F17:I17))</f>
        <v/>
      </c>
      <c r="K17" s="26">
        <f>IF($B17="","",IFERROR(SUMIFS(Checkliste!$O$13:$O$85,Checkliste!$B$13:$B$85,$B17)/SUMIFS(Checkliste!$P$13:$P$85,Checkliste!$B$13:$B$85,$B17),""))</f>
        <v/>
      </c>
      <c r="L17" s="25">
        <f>IF($B17="","",IF(K17="","nicht bewertet",IF(K17&gt;=Ampel_gruen,"gut",IF(K17&gt;=Ampel_gelb,"mittel","kritisch"))))</f>
        <v/>
      </c>
      <c r="M17" s="25" t="n"/>
    </row>
    <row r="18">
      <c r="B18" s="21">
        <f>IF(Einstellungen!$B$15="","",Einstellungen!$B$15)</f>
        <v/>
      </c>
      <c r="C18" s="22" t="n"/>
      <c r="D18" s="22" t="n"/>
      <c r="E18" s="22">
        <f>IF($B18="","",COUNTIFS(Checkliste!$B$13:$B$85,$B18,Checkliste!$C$13:$C$85,"?*"))</f>
        <v/>
      </c>
      <c r="F18" s="22">
        <f>IF($B18="","",COUNTIFS(Checkliste!$B$13:$B$85,$B18,Checkliste!$G$13:$G$85,"N.I.O"))</f>
        <v/>
      </c>
      <c r="G18" s="22">
        <f>IF($B18="","",COUNTIFS(Checkliste!$B$13:$B$85,$B18,Checkliste!$G$13:$G$85,"bed. OK"))</f>
        <v/>
      </c>
      <c r="H18" s="22">
        <f>IF($B18="","",COUNTIFS(Checkliste!$B$13:$B$85,$B18,Checkliste!$G$13:$G$85,"OK"))</f>
        <v/>
      </c>
      <c r="I18" s="22">
        <f>IF($B18="","",COUNTIFS(Checkliste!$B$13:$B$85,$B18,Checkliste!$G$13:$G$85,"n. b."))</f>
        <v/>
      </c>
      <c r="J18" s="22">
        <f>IF($B18="","",E18-SUM(F18:I18))</f>
        <v/>
      </c>
      <c r="K18" s="23">
        <f>IF($B18="","",IFERROR(SUMIFS(Checkliste!$O$13:$O$85,Checkliste!$B$13:$B$85,$B18)/SUMIFS(Checkliste!$P$13:$P$85,Checkliste!$B$13:$B$85,$B18),""))</f>
        <v/>
      </c>
      <c r="L18" s="22">
        <f>IF($B18="","",IF(K18="","nicht bewertet",IF(K18&gt;=Ampel_gruen,"gut",IF(K18&gt;=Ampel_gelb,"mittel","kritisch"))))</f>
        <v/>
      </c>
      <c r="M18" s="22" t="n"/>
    </row>
    <row r="19">
      <c r="B19" s="24">
        <f>IF(Einstellungen!$B$16="","",Einstellungen!$B$16)</f>
        <v/>
      </c>
      <c r="C19" s="25" t="n"/>
      <c r="D19" s="25" t="n"/>
      <c r="E19" s="25">
        <f>IF($B19="","",COUNTIFS(Checkliste!$B$13:$B$85,$B19,Checkliste!$C$13:$C$85,"?*"))</f>
        <v/>
      </c>
      <c r="F19" s="25">
        <f>IF($B19="","",COUNTIFS(Checkliste!$B$13:$B$85,$B19,Checkliste!$G$13:$G$85,"N.I.O"))</f>
        <v/>
      </c>
      <c r="G19" s="25">
        <f>IF($B19="","",COUNTIFS(Checkliste!$B$13:$B$85,$B19,Checkliste!$G$13:$G$85,"bed. OK"))</f>
        <v/>
      </c>
      <c r="H19" s="25">
        <f>IF($B19="","",COUNTIFS(Checkliste!$B$13:$B$85,$B19,Checkliste!$G$13:$G$85,"OK"))</f>
        <v/>
      </c>
      <c r="I19" s="25">
        <f>IF($B19="","",COUNTIFS(Checkliste!$B$13:$B$85,$B19,Checkliste!$G$13:$G$85,"n. b."))</f>
        <v/>
      </c>
      <c r="J19" s="25">
        <f>IF($B19="","",E19-SUM(F19:I19))</f>
        <v/>
      </c>
      <c r="K19" s="26">
        <f>IF($B19="","",IFERROR(SUMIFS(Checkliste!$O$13:$O$85,Checkliste!$B$13:$B$85,$B19)/SUMIFS(Checkliste!$P$13:$P$85,Checkliste!$B$13:$B$85,$B19),""))</f>
        <v/>
      </c>
      <c r="L19" s="25">
        <f>IF($B19="","",IF(K19="","nicht bewertet",IF(K19&gt;=Ampel_gruen,"gut",IF(K19&gt;=Ampel_gelb,"mittel","kritisch"))))</f>
        <v/>
      </c>
      <c r="M19" s="25" t="n"/>
    </row>
    <row r="20">
      <c r="B20" s="21">
        <f>IF(Einstellungen!$B$17="","",Einstellungen!$B$17)</f>
        <v/>
      </c>
      <c r="C20" s="22" t="n"/>
      <c r="D20" s="22" t="n"/>
      <c r="E20" s="22">
        <f>IF($B20="","",COUNTIFS(Checkliste!$B$13:$B$85,$B20,Checkliste!$C$13:$C$85,"?*"))</f>
        <v/>
      </c>
      <c r="F20" s="22">
        <f>IF($B20="","",COUNTIFS(Checkliste!$B$13:$B$85,$B20,Checkliste!$G$13:$G$85,"N.I.O"))</f>
        <v/>
      </c>
      <c r="G20" s="22">
        <f>IF($B20="","",COUNTIFS(Checkliste!$B$13:$B$85,$B20,Checkliste!$G$13:$G$85,"bed. OK"))</f>
        <v/>
      </c>
      <c r="H20" s="22">
        <f>IF($B20="","",COUNTIFS(Checkliste!$B$13:$B$85,$B20,Checkliste!$G$13:$G$85,"OK"))</f>
        <v/>
      </c>
      <c r="I20" s="22">
        <f>IF($B20="","",COUNTIFS(Checkliste!$B$13:$B$85,$B20,Checkliste!$G$13:$G$85,"n. b."))</f>
        <v/>
      </c>
      <c r="J20" s="22">
        <f>IF($B20="","",E20-SUM(F20:I20))</f>
        <v/>
      </c>
      <c r="K20" s="23">
        <f>IF($B20="","",IFERROR(SUMIFS(Checkliste!$O$13:$O$85,Checkliste!$B$13:$B$85,$B20)/SUMIFS(Checkliste!$P$13:$P$85,Checkliste!$B$13:$B$85,$B20),""))</f>
        <v/>
      </c>
      <c r="L20" s="22">
        <f>IF($B20="","",IF(K20="","nicht bewertet",IF(K20&gt;=Ampel_gruen,"gut",IF(K20&gt;=Ampel_gelb,"mittel","kritisch"))))</f>
        <v/>
      </c>
      <c r="M20" s="22" t="n"/>
    </row>
    <row r="21">
      <c r="B21" s="24">
        <f>IF(Einstellungen!$B$18="","",Einstellungen!$B$18)</f>
        <v/>
      </c>
      <c r="C21" s="25" t="n"/>
      <c r="D21" s="25" t="n"/>
      <c r="E21" s="25">
        <f>IF($B21="","",COUNTIFS(Checkliste!$B$13:$B$85,$B21,Checkliste!$C$13:$C$85,"?*"))</f>
        <v/>
      </c>
      <c r="F21" s="25">
        <f>IF($B21="","",COUNTIFS(Checkliste!$B$13:$B$85,$B21,Checkliste!$G$13:$G$85,"N.I.O"))</f>
        <v/>
      </c>
      <c r="G21" s="25">
        <f>IF($B21="","",COUNTIFS(Checkliste!$B$13:$B$85,$B21,Checkliste!$G$13:$G$85,"bed. OK"))</f>
        <v/>
      </c>
      <c r="H21" s="25">
        <f>IF($B21="","",COUNTIFS(Checkliste!$B$13:$B$85,$B21,Checkliste!$G$13:$G$85,"OK"))</f>
        <v/>
      </c>
      <c r="I21" s="25">
        <f>IF($B21="","",COUNTIFS(Checkliste!$B$13:$B$85,$B21,Checkliste!$G$13:$G$85,"n. b."))</f>
        <v/>
      </c>
      <c r="J21" s="25">
        <f>IF($B21="","",E21-SUM(F21:I21))</f>
        <v/>
      </c>
      <c r="K21" s="26">
        <f>IF($B21="","",IFERROR(SUMIFS(Checkliste!$O$13:$O$85,Checkliste!$B$13:$B$85,$B21)/SUMIFS(Checkliste!$P$13:$P$85,Checkliste!$B$13:$B$85,$B21),""))</f>
        <v/>
      </c>
      <c r="L21" s="25">
        <f>IF($B21="","",IF(K21="","nicht bewertet",IF(K21&gt;=Ampel_gruen,"gut",IF(K21&gt;=Ampel_gelb,"mittel","kritisch"))))</f>
        <v/>
      </c>
      <c r="M21" s="25" t="n"/>
    </row>
    <row r="22">
      <c r="B22" s="21">
        <f>IF(Einstellungen!$B$19="","",Einstellungen!$B$19)</f>
        <v/>
      </c>
      <c r="C22" s="22" t="n"/>
      <c r="D22" s="22" t="n"/>
      <c r="E22" s="22">
        <f>IF($B22="","",COUNTIFS(Checkliste!$B$13:$B$85,$B22,Checkliste!$C$13:$C$85,"?*"))</f>
        <v/>
      </c>
      <c r="F22" s="22">
        <f>IF($B22="","",COUNTIFS(Checkliste!$B$13:$B$85,$B22,Checkliste!$G$13:$G$85,"N.I.O"))</f>
        <v/>
      </c>
      <c r="G22" s="22">
        <f>IF($B22="","",COUNTIFS(Checkliste!$B$13:$B$85,$B22,Checkliste!$G$13:$G$85,"bed. OK"))</f>
        <v/>
      </c>
      <c r="H22" s="22">
        <f>IF($B22="","",COUNTIFS(Checkliste!$B$13:$B$85,$B22,Checkliste!$G$13:$G$85,"OK"))</f>
        <v/>
      </c>
      <c r="I22" s="22">
        <f>IF($B22="","",COUNTIFS(Checkliste!$B$13:$B$85,$B22,Checkliste!$G$13:$G$85,"n. b."))</f>
        <v/>
      </c>
      <c r="J22" s="22">
        <f>IF($B22="","",E22-SUM(F22:I22))</f>
        <v/>
      </c>
      <c r="K22" s="23">
        <f>IF($B22="","",IFERROR(SUMIFS(Checkliste!$O$13:$O$85,Checkliste!$B$13:$B$85,$B22)/SUMIFS(Checkliste!$P$13:$P$85,Checkliste!$B$13:$B$85,$B22),""))</f>
        <v/>
      </c>
      <c r="L22" s="22">
        <f>IF($B22="","",IF(K22="","nicht bewertet",IF(K22&gt;=Ampel_gruen,"gut",IF(K22&gt;=Ampel_gelb,"mittel","kritisch"))))</f>
        <v/>
      </c>
      <c r="M22" s="22" t="n"/>
    </row>
    <row r="23">
      <c r="B23" s="27" t="inlineStr">
        <is>
          <t>Gesamt</t>
        </is>
      </c>
      <c r="C23" s="28" t="n"/>
      <c r="D23" s="28" t="n"/>
      <c r="E23" s="28">
        <f>SUM(E14:E22)</f>
        <v/>
      </c>
      <c r="F23" s="28">
        <f>SUM(F14:F22)</f>
        <v/>
      </c>
      <c r="G23" s="28">
        <f>SUM(G14:G22)</f>
        <v/>
      </c>
      <c r="H23" s="28">
        <f>SUM(H14:H22)</f>
        <v/>
      </c>
      <c r="I23" s="28">
        <f>SUM(I14:I22)</f>
        <v/>
      </c>
      <c r="J23" s="28">
        <f>SUM(J14:J22)</f>
        <v/>
      </c>
      <c r="K23" s="29">
        <f>B8</f>
        <v/>
      </c>
      <c r="L23" s="28">
        <f>D8</f>
        <v/>
      </c>
      <c r="M23" s="28" t="n"/>
    </row>
    <row r="25">
      <c r="B25" s="17" t="inlineStr">
        <is>
          <t>Diagramme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</row>
    <row r="45">
      <c r="B45" s="17" t="inlineStr">
        <is>
          <t>Kritische Befunde (N.I.O) – vorrangig bearbeiten</t>
        </is>
      </c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</row>
    <row r="46">
      <c r="B46" s="19" t="inlineStr">
        <is>
          <t>Nr.</t>
        </is>
      </c>
      <c r="C46" s="19" t="inlineStr">
        <is>
          <t>Check-Punkt</t>
        </is>
      </c>
      <c r="D46" s="20" t="n"/>
      <c r="E46" s="20" t="n"/>
      <c r="F46" s="20" t="n"/>
      <c r="G46" s="20" t="n"/>
      <c r="H46" s="19" t="inlineStr">
        <is>
          <t>Befund / Maßnahme</t>
        </is>
      </c>
      <c r="I46" s="20" t="n"/>
      <c r="J46" s="20" t="n"/>
      <c r="K46" s="19" t="inlineStr">
        <is>
          <t>Verantwortlich</t>
        </is>
      </c>
      <c r="L46" s="19" t="inlineStr">
        <is>
          <t>Termin</t>
        </is>
      </c>
      <c r="M46" s="19" t="inlineStr">
        <is>
          <t>Status</t>
        </is>
      </c>
    </row>
    <row r="47" ht="26" customHeight="1">
      <c r="B47" s="30">
        <f>IFERROR(INDEX(Checkliste!$A$13:$A$85,MATCH(1,Checkliste!$N$13:$N$85,0)),"")</f>
        <v/>
      </c>
      <c r="C47" s="31">
        <f>IFERROR(INDEX(Checkliste!$C$13:$C$85,MATCH(1,Checkliste!$N$13:$N$85,0)),"")</f>
        <v/>
      </c>
      <c r="D47" s="31" t="n"/>
      <c r="E47" s="31" t="n"/>
      <c r="F47" s="31" t="n"/>
      <c r="G47" s="31" t="n"/>
      <c r="H47" s="31">
        <f>IFERROR(INDEX(Checkliste!$H$13:$H$85,MATCH(1,Checkliste!$N$13:$N$85,0))&amp;"","")</f>
        <v/>
      </c>
      <c r="I47" s="31" t="n"/>
      <c r="J47" s="31" t="n"/>
      <c r="K47" s="31">
        <f>IFERROR(INDEX(Checkliste!$I$13:$I$85,MATCH(1,Checkliste!$N$13:$N$85,0))&amp;"","")</f>
        <v/>
      </c>
      <c r="L47" s="32">
        <f>IFERROR(IF(INDEX(Checkliste!$J$13:$J$85,MATCH(1,Checkliste!$N$13:$N$85,0))="","",INDEX(Checkliste!$J$13:$J$85,MATCH(1,Checkliste!$N$13:$N$85,0))),"")</f>
        <v/>
      </c>
      <c r="M47" s="30">
        <f>IFERROR(INDEX(Checkliste!$L$13:$L$85,MATCH(1,Checkliste!$N$13:$N$85,0)),"")</f>
        <v/>
      </c>
    </row>
    <row r="48" ht="26" customHeight="1">
      <c r="B48" s="30">
        <f>IFERROR(INDEX(Checkliste!$A$13:$A$85,MATCH(2,Checkliste!$N$13:$N$85,0)),"")</f>
        <v/>
      </c>
      <c r="C48" s="31">
        <f>IFERROR(INDEX(Checkliste!$C$13:$C$85,MATCH(2,Checkliste!$N$13:$N$85,0)),"")</f>
        <v/>
      </c>
      <c r="D48" s="31" t="n"/>
      <c r="E48" s="31" t="n"/>
      <c r="F48" s="31" t="n"/>
      <c r="G48" s="31" t="n"/>
      <c r="H48" s="31">
        <f>IFERROR(INDEX(Checkliste!$H$13:$H$85,MATCH(2,Checkliste!$N$13:$N$85,0))&amp;"","")</f>
        <v/>
      </c>
      <c r="I48" s="31" t="n"/>
      <c r="J48" s="31" t="n"/>
      <c r="K48" s="31">
        <f>IFERROR(INDEX(Checkliste!$I$13:$I$85,MATCH(2,Checkliste!$N$13:$N$85,0))&amp;"","")</f>
        <v/>
      </c>
      <c r="L48" s="32">
        <f>IFERROR(IF(INDEX(Checkliste!$J$13:$J$85,MATCH(2,Checkliste!$N$13:$N$85,0))="","",INDEX(Checkliste!$J$13:$J$85,MATCH(2,Checkliste!$N$13:$N$85,0))),"")</f>
        <v/>
      </c>
      <c r="M48" s="30">
        <f>IFERROR(INDEX(Checkliste!$L$13:$L$85,MATCH(2,Checkliste!$N$13:$N$85,0)),"")</f>
        <v/>
      </c>
    </row>
    <row r="49" ht="26" customHeight="1">
      <c r="B49" s="30">
        <f>IFERROR(INDEX(Checkliste!$A$13:$A$85,MATCH(3,Checkliste!$N$13:$N$85,0)),"")</f>
        <v/>
      </c>
      <c r="C49" s="31">
        <f>IFERROR(INDEX(Checkliste!$C$13:$C$85,MATCH(3,Checkliste!$N$13:$N$85,0)),"")</f>
        <v/>
      </c>
      <c r="D49" s="31" t="n"/>
      <c r="E49" s="31" t="n"/>
      <c r="F49" s="31" t="n"/>
      <c r="G49" s="31" t="n"/>
      <c r="H49" s="31">
        <f>IFERROR(INDEX(Checkliste!$H$13:$H$85,MATCH(3,Checkliste!$N$13:$N$85,0))&amp;"","")</f>
        <v/>
      </c>
      <c r="I49" s="31" t="n"/>
      <c r="J49" s="31" t="n"/>
      <c r="K49" s="31">
        <f>IFERROR(INDEX(Checkliste!$I$13:$I$85,MATCH(3,Checkliste!$N$13:$N$85,0))&amp;"","")</f>
        <v/>
      </c>
      <c r="L49" s="32">
        <f>IFERROR(IF(INDEX(Checkliste!$J$13:$J$85,MATCH(3,Checkliste!$N$13:$N$85,0))="","",INDEX(Checkliste!$J$13:$J$85,MATCH(3,Checkliste!$N$13:$N$85,0))),"")</f>
        <v/>
      </c>
      <c r="M49" s="30">
        <f>IFERROR(INDEX(Checkliste!$L$13:$L$85,MATCH(3,Checkliste!$N$13:$N$85,0)),"")</f>
        <v/>
      </c>
    </row>
    <row r="50" ht="26" customHeight="1">
      <c r="B50" s="30">
        <f>IFERROR(INDEX(Checkliste!$A$13:$A$85,MATCH(4,Checkliste!$N$13:$N$85,0)),"")</f>
        <v/>
      </c>
      <c r="C50" s="31">
        <f>IFERROR(INDEX(Checkliste!$C$13:$C$85,MATCH(4,Checkliste!$N$13:$N$85,0)),"")</f>
        <v/>
      </c>
      <c r="D50" s="31" t="n"/>
      <c r="E50" s="31" t="n"/>
      <c r="F50" s="31" t="n"/>
      <c r="G50" s="31" t="n"/>
      <c r="H50" s="31">
        <f>IFERROR(INDEX(Checkliste!$H$13:$H$85,MATCH(4,Checkliste!$N$13:$N$85,0))&amp;"","")</f>
        <v/>
      </c>
      <c r="I50" s="31" t="n"/>
      <c r="J50" s="31" t="n"/>
      <c r="K50" s="31">
        <f>IFERROR(INDEX(Checkliste!$I$13:$I$85,MATCH(4,Checkliste!$N$13:$N$85,0))&amp;"","")</f>
        <v/>
      </c>
      <c r="L50" s="32">
        <f>IFERROR(IF(INDEX(Checkliste!$J$13:$J$85,MATCH(4,Checkliste!$N$13:$N$85,0))="","",INDEX(Checkliste!$J$13:$J$85,MATCH(4,Checkliste!$N$13:$N$85,0))),"")</f>
        <v/>
      </c>
      <c r="M50" s="30">
        <f>IFERROR(INDEX(Checkliste!$L$13:$L$85,MATCH(4,Checkliste!$N$13:$N$85,0)),"")</f>
        <v/>
      </c>
    </row>
    <row r="51" ht="26" customHeight="1">
      <c r="B51" s="30">
        <f>IFERROR(INDEX(Checkliste!$A$13:$A$85,MATCH(5,Checkliste!$N$13:$N$85,0)),"")</f>
        <v/>
      </c>
      <c r="C51" s="31">
        <f>IFERROR(INDEX(Checkliste!$C$13:$C$85,MATCH(5,Checkliste!$N$13:$N$85,0)),"")</f>
        <v/>
      </c>
      <c r="D51" s="31" t="n"/>
      <c r="E51" s="31" t="n"/>
      <c r="F51" s="31" t="n"/>
      <c r="G51" s="31" t="n"/>
      <c r="H51" s="31">
        <f>IFERROR(INDEX(Checkliste!$H$13:$H$85,MATCH(5,Checkliste!$N$13:$N$85,0))&amp;"","")</f>
        <v/>
      </c>
      <c r="I51" s="31" t="n"/>
      <c r="J51" s="31" t="n"/>
      <c r="K51" s="31">
        <f>IFERROR(INDEX(Checkliste!$I$13:$I$85,MATCH(5,Checkliste!$N$13:$N$85,0))&amp;"","")</f>
        <v/>
      </c>
      <c r="L51" s="32">
        <f>IFERROR(IF(INDEX(Checkliste!$J$13:$J$85,MATCH(5,Checkliste!$N$13:$N$85,0))="","",INDEX(Checkliste!$J$13:$J$85,MATCH(5,Checkliste!$N$13:$N$85,0))),"")</f>
        <v/>
      </c>
      <c r="M51" s="30">
        <f>IFERROR(INDEX(Checkliste!$L$13:$L$85,MATCH(5,Checkliste!$N$13:$N$85,0)),"")</f>
        <v/>
      </c>
    </row>
    <row r="52" ht="26" customHeight="1">
      <c r="B52" s="30">
        <f>IFERROR(INDEX(Checkliste!$A$13:$A$85,MATCH(6,Checkliste!$N$13:$N$85,0)),"")</f>
        <v/>
      </c>
      <c r="C52" s="31">
        <f>IFERROR(INDEX(Checkliste!$C$13:$C$85,MATCH(6,Checkliste!$N$13:$N$85,0)),"")</f>
        <v/>
      </c>
      <c r="D52" s="31" t="n"/>
      <c r="E52" s="31" t="n"/>
      <c r="F52" s="31" t="n"/>
      <c r="G52" s="31" t="n"/>
      <c r="H52" s="31">
        <f>IFERROR(INDEX(Checkliste!$H$13:$H$85,MATCH(6,Checkliste!$N$13:$N$85,0))&amp;"","")</f>
        <v/>
      </c>
      <c r="I52" s="31" t="n"/>
      <c r="J52" s="31" t="n"/>
      <c r="K52" s="31">
        <f>IFERROR(INDEX(Checkliste!$I$13:$I$85,MATCH(6,Checkliste!$N$13:$N$85,0))&amp;"","")</f>
        <v/>
      </c>
      <c r="L52" s="32">
        <f>IFERROR(IF(INDEX(Checkliste!$J$13:$J$85,MATCH(6,Checkliste!$N$13:$N$85,0))="","",INDEX(Checkliste!$J$13:$J$85,MATCH(6,Checkliste!$N$13:$N$85,0))),"")</f>
        <v/>
      </c>
      <c r="M52" s="30">
        <f>IFERROR(INDEX(Checkliste!$L$13:$L$85,MATCH(6,Checkliste!$N$13:$N$85,0)),"")</f>
        <v/>
      </c>
    </row>
    <row r="53" ht="26" customHeight="1">
      <c r="B53" s="30">
        <f>IFERROR(INDEX(Checkliste!$A$13:$A$85,MATCH(7,Checkliste!$N$13:$N$85,0)),"")</f>
        <v/>
      </c>
      <c r="C53" s="31">
        <f>IFERROR(INDEX(Checkliste!$C$13:$C$85,MATCH(7,Checkliste!$N$13:$N$85,0)),"")</f>
        <v/>
      </c>
      <c r="D53" s="31" t="n"/>
      <c r="E53" s="31" t="n"/>
      <c r="F53" s="31" t="n"/>
      <c r="G53" s="31" t="n"/>
      <c r="H53" s="31">
        <f>IFERROR(INDEX(Checkliste!$H$13:$H$85,MATCH(7,Checkliste!$N$13:$N$85,0))&amp;"","")</f>
        <v/>
      </c>
      <c r="I53" s="31" t="n"/>
      <c r="J53" s="31" t="n"/>
      <c r="K53" s="31">
        <f>IFERROR(INDEX(Checkliste!$I$13:$I$85,MATCH(7,Checkliste!$N$13:$N$85,0))&amp;"","")</f>
        <v/>
      </c>
      <c r="L53" s="32">
        <f>IFERROR(IF(INDEX(Checkliste!$J$13:$J$85,MATCH(7,Checkliste!$N$13:$N$85,0))="","",INDEX(Checkliste!$J$13:$J$85,MATCH(7,Checkliste!$N$13:$N$85,0))),"")</f>
        <v/>
      </c>
      <c r="M53" s="30">
        <f>IFERROR(INDEX(Checkliste!$L$13:$L$85,MATCH(7,Checkliste!$N$13:$N$85,0)),"")</f>
        <v/>
      </c>
    </row>
    <row r="54" ht="26" customHeight="1">
      <c r="B54" s="30">
        <f>IFERROR(INDEX(Checkliste!$A$13:$A$85,MATCH(8,Checkliste!$N$13:$N$85,0)),"")</f>
        <v/>
      </c>
      <c r="C54" s="31">
        <f>IFERROR(INDEX(Checkliste!$C$13:$C$85,MATCH(8,Checkliste!$N$13:$N$85,0)),"")</f>
        <v/>
      </c>
      <c r="D54" s="31" t="n"/>
      <c r="E54" s="31" t="n"/>
      <c r="F54" s="31" t="n"/>
      <c r="G54" s="31" t="n"/>
      <c r="H54" s="31">
        <f>IFERROR(INDEX(Checkliste!$H$13:$H$85,MATCH(8,Checkliste!$N$13:$N$85,0))&amp;"","")</f>
        <v/>
      </c>
      <c r="I54" s="31" t="n"/>
      <c r="J54" s="31" t="n"/>
      <c r="K54" s="31">
        <f>IFERROR(INDEX(Checkliste!$I$13:$I$85,MATCH(8,Checkliste!$N$13:$N$85,0))&amp;"","")</f>
        <v/>
      </c>
      <c r="L54" s="32">
        <f>IFERROR(IF(INDEX(Checkliste!$J$13:$J$85,MATCH(8,Checkliste!$N$13:$N$85,0))="","",INDEX(Checkliste!$J$13:$J$85,MATCH(8,Checkliste!$N$13:$N$85,0))),"")</f>
        <v/>
      </c>
      <c r="M54" s="30">
        <f>IFERROR(INDEX(Checkliste!$L$13:$L$85,MATCH(8,Checkliste!$N$13:$N$85,0)),"")</f>
        <v/>
      </c>
    </row>
    <row r="55" ht="26" customHeight="1">
      <c r="B55" s="30">
        <f>IFERROR(INDEX(Checkliste!$A$13:$A$85,MATCH(9,Checkliste!$N$13:$N$85,0)),"")</f>
        <v/>
      </c>
      <c r="C55" s="31">
        <f>IFERROR(INDEX(Checkliste!$C$13:$C$85,MATCH(9,Checkliste!$N$13:$N$85,0)),"")</f>
        <v/>
      </c>
      <c r="D55" s="31" t="n"/>
      <c r="E55" s="31" t="n"/>
      <c r="F55" s="31" t="n"/>
      <c r="G55" s="31" t="n"/>
      <c r="H55" s="31">
        <f>IFERROR(INDEX(Checkliste!$H$13:$H$85,MATCH(9,Checkliste!$N$13:$N$85,0))&amp;"","")</f>
        <v/>
      </c>
      <c r="I55" s="31" t="n"/>
      <c r="J55" s="31" t="n"/>
      <c r="K55" s="31">
        <f>IFERROR(INDEX(Checkliste!$I$13:$I$85,MATCH(9,Checkliste!$N$13:$N$85,0))&amp;"","")</f>
        <v/>
      </c>
      <c r="L55" s="32">
        <f>IFERROR(IF(INDEX(Checkliste!$J$13:$J$85,MATCH(9,Checkliste!$N$13:$N$85,0))="","",INDEX(Checkliste!$J$13:$J$85,MATCH(9,Checkliste!$N$13:$N$85,0))),"")</f>
        <v/>
      </c>
      <c r="M55" s="30">
        <f>IFERROR(INDEX(Checkliste!$L$13:$L$85,MATCH(9,Checkliste!$N$13:$N$85,0)),"")</f>
        <v/>
      </c>
    </row>
    <row r="56" ht="26" customHeight="1">
      <c r="B56" s="30">
        <f>IFERROR(INDEX(Checkliste!$A$13:$A$85,MATCH(10,Checkliste!$N$13:$N$85,0)),"")</f>
        <v/>
      </c>
      <c r="C56" s="31">
        <f>IFERROR(INDEX(Checkliste!$C$13:$C$85,MATCH(10,Checkliste!$N$13:$N$85,0)),"")</f>
        <v/>
      </c>
      <c r="D56" s="31" t="n"/>
      <c r="E56" s="31" t="n"/>
      <c r="F56" s="31" t="n"/>
      <c r="G56" s="31" t="n"/>
      <c r="H56" s="31">
        <f>IFERROR(INDEX(Checkliste!$H$13:$H$85,MATCH(10,Checkliste!$N$13:$N$85,0))&amp;"","")</f>
        <v/>
      </c>
      <c r="I56" s="31" t="n"/>
      <c r="J56" s="31" t="n"/>
      <c r="K56" s="31">
        <f>IFERROR(INDEX(Checkliste!$I$13:$I$85,MATCH(10,Checkliste!$N$13:$N$85,0))&amp;"","")</f>
        <v/>
      </c>
      <c r="L56" s="32">
        <f>IFERROR(IF(INDEX(Checkliste!$J$13:$J$85,MATCH(10,Checkliste!$N$13:$N$85,0))="","",INDEX(Checkliste!$J$13:$J$85,MATCH(10,Checkliste!$N$13:$N$85,0))),"")</f>
        <v/>
      </c>
      <c r="M56" s="30">
        <f>IFERROR(INDEX(Checkliste!$L$13:$L$85,MATCH(10,Checkliste!$N$13:$N$85,0)),"")</f>
        <v/>
      </c>
    </row>
    <row r="57" ht="26" customHeight="1">
      <c r="B57" s="30">
        <f>IFERROR(INDEX(Checkliste!$A$13:$A$85,MATCH(11,Checkliste!$N$13:$N$85,0)),"")</f>
        <v/>
      </c>
      <c r="C57" s="31">
        <f>IFERROR(INDEX(Checkliste!$C$13:$C$85,MATCH(11,Checkliste!$N$13:$N$85,0)),"")</f>
        <v/>
      </c>
      <c r="D57" s="31" t="n"/>
      <c r="E57" s="31" t="n"/>
      <c r="F57" s="31" t="n"/>
      <c r="G57" s="31" t="n"/>
      <c r="H57" s="31">
        <f>IFERROR(INDEX(Checkliste!$H$13:$H$85,MATCH(11,Checkliste!$N$13:$N$85,0))&amp;"","")</f>
        <v/>
      </c>
      <c r="I57" s="31" t="n"/>
      <c r="J57" s="31" t="n"/>
      <c r="K57" s="31">
        <f>IFERROR(INDEX(Checkliste!$I$13:$I$85,MATCH(11,Checkliste!$N$13:$N$85,0))&amp;"","")</f>
        <v/>
      </c>
      <c r="L57" s="32">
        <f>IFERROR(IF(INDEX(Checkliste!$J$13:$J$85,MATCH(11,Checkliste!$N$13:$N$85,0))="","",INDEX(Checkliste!$J$13:$J$85,MATCH(11,Checkliste!$N$13:$N$85,0))),"")</f>
        <v/>
      </c>
      <c r="M57" s="30">
        <f>IFERROR(INDEX(Checkliste!$L$13:$L$85,MATCH(11,Checkliste!$N$13:$N$85,0)),"")</f>
        <v/>
      </c>
    </row>
    <row r="58" ht="26" customHeight="1">
      <c r="B58" s="30">
        <f>IFERROR(INDEX(Checkliste!$A$13:$A$85,MATCH(12,Checkliste!$N$13:$N$85,0)),"")</f>
        <v/>
      </c>
      <c r="C58" s="31">
        <f>IFERROR(INDEX(Checkliste!$C$13:$C$85,MATCH(12,Checkliste!$N$13:$N$85,0)),"")</f>
        <v/>
      </c>
      <c r="D58" s="31" t="n"/>
      <c r="E58" s="31" t="n"/>
      <c r="F58" s="31" t="n"/>
      <c r="G58" s="31" t="n"/>
      <c r="H58" s="31">
        <f>IFERROR(INDEX(Checkliste!$H$13:$H$85,MATCH(12,Checkliste!$N$13:$N$85,0))&amp;"","")</f>
        <v/>
      </c>
      <c r="I58" s="31" t="n"/>
      <c r="J58" s="31" t="n"/>
      <c r="K58" s="31">
        <f>IFERROR(INDEX(Checkliste!$I$13:$I$85,MATCH(12,Checkliste!$N$13:$N$85,0))&amp;"","")</f>
        <v/>
      </c>
      <c r="L58" s="32">
        <f>IFERROR(IF(INDEX(Checkliste!$J$13:$J$85,MATCH(12,Checkliste!$N$13:$N$85,0))="","",INDEX(Checkliste!$J$13:$J$85,MATCH(12,Checkliste!$N$13:$N$85,0))),"")</f>
        <v/>
      </c>
      <c r="M58" s="30">
        <f>IFERROR(INDEX(Checkliste!$L$13:$L$85,MATCH(12,Checkliste!$N$13:$N$85,0)),"")</f>
        <v/>
      </c>
    </row>
    <row r="59" ht="26" customHeight="1">
      <c r="B59" s="30">
        <f>IFERROR(INDEX(Checkliste!$A$13:$A$85,MATCH(13,Checkliste!$N$13:$N$85,0)),"")</f>
        <v/>
      </c>
      <c r="C59" s="31">
        <f>IFERROR(INDEX(Checkliste!$C$13:$C$85,MATCH(13,Checkliste!$N$13:$N$85,0)),"")</f>
        <v/>
      </c>
      <c r="D59" s="31" t="n"/>
      <c r="E59" s="31" t="n"/>
      <c r="F59" s="31" t="n"/>
      <c r="G59" s="31" t="n"/>
      <c r="H59" s="31">
        <f>IFERROR(INDEX(Checkliste!$H$13:$H$85,MATCH(13,Checkliste!$N$13:$N$85,0))&amp;"","")</f>
        <v/>
      </c>
      <c r="I59" s="31" t="n"/>
      <c r="J59" s="31" t="n"/>
      <c r="K59" s="31">
        <f>IFERROR(INDEX(Checkliste!$I$13:$I$85,MATCH(13,Checkliste!$N$13:$N$85,0))&amp;"","")</f>
        <v/>
      </c>
      <c r="L59" s="32">
        <f>IFERROR(IF(INDEX(Checkliste!$J$13:$J$85,MATCH(13,Checkliste!$N$13:$N$85,0))="","",INDEX(Checkliste!$J$13:$J$85,MATCH(13,Checkliste!$N$13:$N$85,0))),"")</f>
        <v/>
      </c>
      <c r="M59" s="30">
        <f>IFERROR(INDEX(Checkliste!$L$13:$L$85,MATCH(13,Checkliste!$N$13:$N$85,0)),"")</f>
        <v/>
      </c>
    </row>
    <row r="60" ht="26" customHeight="1">
      <c r="B60" s="30">
        <f>IFERROR(INDEX(Checkliste!$A$13:$A$85,MATCH(14,Checkliste!$N$13:$N$85,0)),"")</f>
        <v/>
      </c>
      <c r="C60" s="31">
        <f>IFERROR(INDEX(Checkliste!$C$13:$C$85,MATCH(14,Checkliste!$N$13:$N$85,0)),"")</f>
        <v/>
      </c>
      <c r="D60" s="31" t="n"/>
      <c r="E60" s="31" t="n"/>
      <c r="F60" s="31" t="n"/>
      <c r="G60" s="31" t="n"/>
      <c r="H60" s="31">
        <f>IFERROR(INDEX(Checkliste!$H$13:$H$85,MATCH(14,Checkliste!$N$13:$N$85,0))&amp;"","")</f>
        <v/>
      </c>
      <c r="I60" s="31" t="n"/>
      <c r="J60" s="31" t="n"/>
      <c r="K60" s="31">
        <f>IFERROR(INDEX(Checkliste!$I$13:$I$85,MATCH(14,Checkliste!$N$13:$N$85,0))&amp;"","")</f>
        <v/>
      </c>
      <c r="L60" s="32">
        <f>IFERROR(IF(INDEX(Checkliste!$J$13:$J$85,MATCH(14,Checkliste!$N$13:$N$85,0))="","",INDEX(Checkliste!$J$13:$J$85,MATCH(14,Checkliste!$N$13:$N$85,0))),"")</f>
        <v/>
      </c>
      <c r="M60" s="30">
        <f>IFERROR(INDEX(Checkliste!$L$13:$L$85,MATCH(14,Checkliste!$N$13:$N$85,0)),"")</f>
        <v/>
      </c>
    </row>
    <row r="61" ht="26" customHeight="1">
      <c r="B61" s="30">
        <f>IFERROR(INDEX(Checkliste!$A$13:$A$85,MATCH(15,Checkliste!$N$13:$N$85,0)),"")</f>
        <v/>
      </c>
      <c r="C61" s="31">
        <f>IFERROR(INDEX(Checkliste!$C$13:$C$85,MATCH(15,Checkliste!$N$13:$N$85,0)),"")</f>
        <v/>
      </c>
      <c r="D61" s="31" t="n"/>
      <c r="E61" s="31" t="n"/>
      <c r="F61" s="31" t="n"/>
      <c r="G61" s="31" t="n"/>
      <c r="H61" s="31">
        <f>IFERROR(INDEX(Checkliste!$H$13:$H$85,MATCH(15,Checkliste!$N$13:$N$85,0))&amp;"","")</f>
        <v/>
      </c>
      <c r="I61" s="31" t="n"/>
      <c r="J61" s="31" t="n"/>
      <c r="K61" s="31">
        <f>IFERROR(INDEX(Checkliste!$I$13:$I$85,MATCH(15,Checkliste!$N$13:$N$85,0))&amp;"","")</f>
        <v/>
      </c>
      <c r="L61" s="32">
        <f>IFERROR(IF(INDEX(Checkliste!$J$13:$J$85,MATCH(15,Checkliste!$N$13:$N$85,0))="","",INDEX(Checkliste!$J$13:$J$85,MATCH(15,Checkliste!$N$13:$N$85,0))),"")</f>
        <v/>
      </c>
      <c r="M61" s="30">
        <f>IFERROR(INDEX(Checkliste!$L$13:$L$85,MATCH(15,Checkliste!$N$13:$N$85,0)),"")</f>
        <v/>
      </c>
    </row>
    <row r="62">
      <c r="B62" s="33">
        <f>IF(COUNTIF(Checkliste!$G$13:$G$85,"N.I.O")=0,"Keine N.I.O-Befunde.",IF(COUNTIF(Checkliste!$G$13:$G$85,"N.I.O")&gt;15,"+ "&amp;(COUNTIF(Checkliste!$G$13:$G$85,"N.I.O")-15)&amp;" weitere N.I.O-Befunde – siehe Blatt „Maßnahmenplan“.","Alle Maßnahmen (auch bed. OK) im Blatt „Maßnahmenplan“."))</f>
        <v/>
      </c>
    </row>
    <row r="64">
      <c r="B64" s="17" t="inlineStr">
        <is>
          <t>Fazit des Auditors</t>
        </is>
      </c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</row>
    <row r="65">
      <c r="B65" s="34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</row>
    <row r="66"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</row>
    <row r="67"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</row>
    <row r="68"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</row>
    <row r="69"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</row>
    <row r="73">
      <c r="B73" s="36" t="inlineStr">
        <is>
          <t>Datum, Unterschrift Auditor</t>
        </is>
      </c>
      <c r="C73" s="37" t="n"/>
      <c r="D73" s="37" t="n"/>
      <c r="E73" s="37" t="n"/>
      <c r="F73" s="37" t="n"/>
      <c r="H73" s="36" t="inlineStr">
        <is>
          <t>Datum, Unterschrift Bereichsleitung</t>
        </is>
      </c>
      <c r="I73" s="37" t="n"/>
      <c r="J73" s="37" t="n"/>
      <c r="K73" s="37" t="n"/>
      <c r="L73" s="37" t="n"/>
      <c r="M73" s="37" t="n"/>
    </row>
  </sheetData>
  <mergeCells count="92">
    <mergeCell ref="L17:M17"/>
    <mergeCell ref="H73:M73"/>
    <mergeCell ref="H10:I10"/>
    <mergeCell ref="C58:G58"/>
    <mergeCell ref="J10:K10"/>
    <mergeCell ref="L19:M19"/>
    <mergeCell ref="C47:G47"/>
    <mergeCell ref="L5:M5"/>
    <mergeCell ref="L14:M14"/>
    <mergeCell ref="B20:D20"/>
    <mergeCell ref="J4:K4"/>
    <mergeCell ref="L4:M4"/>
    <mergeCell ref="D7:E7"/>
    <mergeCell ref="C60:G60"/>
    <mergeCell ref="D4:E4"/>
    <mergeCell ref="L21:M21"/>
    <mergeCell ref="C57:G57"/>
    <mergeCell ref="H58:J58"/>
    <mergeCell ref="L8:M9"/>
    <mergeCell ref="F8:G9"/>
    <mergeCell ref="H51:J51"/>
    <mergeCell ref="D10:E10"/>
    <mergeCell ref="L7:M7"/>
    <mergeCell ref="H60:J60"/>
    <mergeCell ref="F10:G10"/>
    <mergeCell ref="L16:M16"/>
    <mergeCell ref="B17:D17"/>
    <mergeCell ref="B19:D19"/>
    <mergeCell ref="H57:J57"/>
    <mergeCell ref="F5:G5"/>
    <mergeCell ref="C59:G59"/>
    <mergeCell ref="L20:M20"/>
    <mergeCell ref="C46:G46"/>
    <mergeCell ref="B45:M45"/>
    <mergeCell ref="C51:G51"/>
    <mergeCell ref="C61:G61"/>
    <mergeCell ref="L22:M22"/>
    <mergeCell ref="C48:G48"/>
    <mergeCell ref="B62:M62"/>
    <mergeCell ref="H5:I5"/>
    <mergeCell ref="B21:D21"/>
    <mergeCell ref="H59:J59"/>
    <mergeCell ref="F4:G4"/>
    <mergeCell ref="C49:G49"/>
    <mergeCell ref="H46:J46"/>
    <mergeCell ref="B14:D14"/>
    <mergeCell ref="B7:C7"/>
    <mergeCell ref="B23:D23"/>
    <mergeCell ref="H52:J52"/>
    <mergeCell ref="H61:J61"/>
    <mergeCell ref="B13:D13"/>
    <mergeCell ref="F7:G7"/>
    <mergeCell ref="D8:E9"/>
    <mergeCell ref="C50:G50"/>
    <mergeCell ref="L18:M18"/>
    <mergeCell ref="H47:J47"/>
    <mergeCell ref="C55:G55"/>
    <mergeCell ref="H8:I9"/>
    <mergeCell ref="J8:K9"/>
    <mergeCell ref="B73:F73"/>
    <mergeCell ref="B65:M69"/>
    <mergeCell ref="L10:M10"/>
    <mergeCell ref="C52:G52"/>
    <mergeCell ref="H53:J53"/>
    <mergeCell ref="H50:J50"/>
    <mergeCell ref="B5:C5"/>
    <mergeCell ref="B22:D22"/>
    <mergeCell ref="D5:E5"/>
    <mergeCell ref="H55:J55"/>
    <mergeCell ref="B4:C4"/>
    <mergeCell ref="B12:M12"/>
    <mergeCell ref="H49:J49"/>
    <mergeCell ref="J5:K5"/>
    <mergeCell ref="H4:I4"/>
    <mergeCell ref="L13:M13"/>
    <mergeCell ref="C54:G54"/>
    <mergeCell ref="L15:M15"/>
    <mergeCell ref="L23:M23"/>
    <mergeCell ref="B15:D15"/>
    <mergeCell ref="H48:J48"/>
    <mergeCell ref="C56:G56"/>
    <mergeCell ref="B64:M64"/>
    <mergeCell ref="H7:I7"/>
    <mergeCell ref="B10:C10"/>
    <mergeCell ref="J7:K7"/>
    <mergeCell ref="B16:D16"/>
    <mergeCell ref="B8:C9"/>
    <mergeCell ref="H54:J54"/>
    <mergeCell ref="B25:M25"/>
    <mergeCell ref="B18:D18"/>
    <mergeCell ref="C53:G53"/>
    <mergeCell ref="H56:J56"/>
  </mergeCells>
  <conditionalFormatting sqref="B8:C9">
    <cfRule type="expression" priority="1" dxfId="0">
      <formula>AND($B$8&lt;&gt;"",$B$8&gt;=Ampel_gruen)</formula>
    </cfRule>
    <cfRule type="expression" priority="2" dxfId="1">
      <formula>AND($B$8&lt;&gt;"",$B$8&gt;=Ampel_gelb,$B$8&lt;Ampel_gruen)</formula>
    </cfRule>
    <cfRule type="expression" priority="3" dxfId="2">
      <formula>AND($B$8&lt;&gt;"",$B$8&lt;Ampel_gelb)</formula>
    </cfRule>
  </conditionalFormatting>
  <conditionalFormatting sqref="D8:E9">
    <cfRule type="expression" priority="4" dxfId="0">
      <formula>AND($B$8&lt;&gt;"",$B$8&gt;=Ampel_gruen)</formula>
    </cfRule>
    <cfRule type="expression" priority="5" dxfId="1">
      <formula>AND($B$8&lt;&gt;"",$B$8&gt;=Ampel_gelb,$B$8&lt;Ampel_gruen)</formula>
    </cfRule>
    <cfRule type="expression" priority="6" dxfId="2">
      <formula>AND($B$8&lt;&gt;"",$B$8&lt;Ampel_gelb)</formula>
    </cfRule>
  </conditionalFormatting>
  <conditionalFormatting sqref="F8:G9">
    <cfRule type="expression" priority="7" dxfId="3">
      <formula>AND(ISNUMBER($F$8),$F$8&gt;0)</formula>
    </cfRule>
    <cfRule type="expression" priority="8" dxfId="4">
      <formula>AND(ISNUMBER($F$8),$F$8&lt;0)</formula>
    </cfRule>
  </conditionalFormatting>
  <conditionalFormatting sqref="L8:M9">
    <cfRule type="expression" priority="9" dxfId="2">
      <formula>$L$8&gt;0</formula>
    </cfRule>
  </conditionalFormatting>
  <conditionalFormatting sqref="K14:K22">
    <cfRule type="dataBar" priority="10">
      <dataBar>
        <cfvo type="num" val="0"/>
        <cfvo type="num" val="1"/>
        <color rgb="0094A3B8"/>
      </dataBar>
    </cfRule>
  </conditionalFormatting>
  <conditionalFormatting sqref="L14:M23">
    <cfRule type="cellIs" priority="11" operator="equal" dxfId="0">
      <formula>"gut"</formula>
    </cfRule>
    <cfRule type="cellIs" priority="12" operator="equal" dxfId="1">
      <formula>"mittel"</formula>
    </cfRule>
    <cfRule type="cellIs" priority="13" operator="equal" dxfId="2">
      <formula>"kritisch"</formula>
    </cfRule>
  </conditionalFormatting>
  <conditionalFormatting sqref="F14:F22">
    <cfRule type="cellIs" priority="14" operator="greaterThan" dxfId="4">
      <formula>0</formula>
    </cfRule>
  </conditionalFormatting>
  <conditionalFormatting sqref="G14:G22">
    <cfRule type="cellIs" priority="15" operator="greaterThan" dxfId="5">
      <formula>0</formula>
    </cfRule>
  </conditionalFormatting>
  <conditionalFormatting sqref="M47:M61">
    <cfRule type="cellIs" priority="16" operator="equal" dxfId="6">
      <formula>"überfällig"</formula>
    </cfRule>
    <cfRule type="cellIs" priority="17" operator="equal" dxfId="7">
      <formula>"offen"</formula>
    </cfRule>
    <cfRule type="cellIs" priority="18" operator="equal" dxfId="8">
      <formula>"erledigt"</formula>
    </cfRule>
  </conditionalFormatting>
  <pageMargins left="0.4" right="0.4" top="1" bottom="1" header="0.5" footer="0.5"/>
  <pageSetup orientation="portrait" paperSize="9" fitToHeight="0" fitToWidth="1"/>
  <headerFooter>
    <oddHeader/>
    <oddFooter>&amp;CSeite &amp;P von &amp;N</oddFooter>
    <evenHeader/>
    <evenFooter/>
    <firstHeader/>
    <firstFooter/>
  </headerFooter>
  <rowBreaks count="1" manualBreakCount="1">
    <brk id="44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88"/>
  <sheetViews>
    <sheetView showGridLines="0" workbookViewId="0">
      <pane xSplit="3" ySplit="12" topLeftCell="D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42" customWidth="1" min="4" max="4"/>
    <col width="10" customWidth="1" min="5" max="5"/>
    <col width="8" customWidth="1" min="6" max="6"/>
    <col width="11" customWidth="1" min="7" max="7"/>
    <col width="36" customWidth="1" min="8" max="8"/>
    <col width="16" customWidth="1" min="9" max="9"/>
    <col width="11" customWidth="1" min="10" max="10"/>
    <col width="8" customWidth="1" min="11" max="11"/>
    <col width="11" customWidth="1" min="12" max="12"/>
    <col width="8" customWidth="1" min="13" max="13"/>
    <col hidden="1" outlineLevel="1" width="8" customWidth="1" min="14" max="16"/>
    <col hidden="1" outlineLevel="1" width="50" customWidth="1" min="17" max="17"/>
  </cols>
  <sheetData>
    <row r="1">
      <c r="A1" s="38" t="inlineStr">
        <is>
          <t>Audit Instandhaltung allgemein – Checkliste</t>
        </is>
      </c>
    </row>
    <row r="2">
      <c r="A2" s="2" t="inlineStr">
        <is>
          <t>Gelbe Felder ausfüllen. Bewertung je Prüfpunkt aus der Liste wählen; bei N.I.O / bed. OK Befund bzw. Maßnahme, Verantwortlich und Termin eintragen. Blau hinterlegte Nummern = neue Prüfpunkte (NEU).</t>
        </is>
      </c>
    </row>
    <row r="3">
      <c r="A3" s="39" t="inlineStr">
        <is>
          <t>Kopfdaten</t>
        </is>
      </c>
      <c r="G3" s="39" t="inlineStr">
        <is>
          <t>Ergebnis (live)</t>
        </is>
      </c>
    </row>
    <row r="4">
      <c r="A4" s="40" t="inlineStr">
        <is>
          <t>Firma / Werk</t>
        </is>
      </c>
      <c r="C4" s="41" t="n"/>
      <c r="G4" s="42">
        <f>Dashboard!B8</f>
        <v/>
      </c>
    </row>
    <row r="5">
      <c r="A5" s="40" t="inlineStr">
        <is>
          <t>Bereich / Abteilung</t>
        </is>
      </c>
      <c r="C5" s="41" t="n"/>
    </row>
    <row r="6">
      <c r="A6" s="40" t="inlineStr">
        <is>
          <t>Auditdatum</t>
        </is>
      </c>
      <c r="C6" s="43" t="n"/>
    </row>
    <row r="7">
      <c r="A7" s="40" t="inlineStr">
        <is>
          <t>Auditor</t>
        </is>
      </c>
      <c r="C7" s="41" t="n"/>
      <c r="G7" s="44">
        <f>Dashboard!D8</f>
        <v/>
      </c>
    </row>
    <row r="8">
      <c r="A8" s="40" t="inlineStr">
        <is>
          <t>Teilnehmer / Auditteam</t>
        </is>
      </c>
      <c r="C8" s="41" t="n"/>
      <c r="G8" s="45">
        <f>Dashboard!H10</f>
        <v/>
      </c>
    </row>
    <row r="9">
      <c r="A9" s="40" t="inlineStr">
        <is>
          <t>Auditart</t>
        </is>
      </c>
      <c r="C9" s="41" t="n"/>
    </row>
    <row r="10">
      <c r="A10" s="40" t="inlineStr">
        <is>
          <t>Ergebnis letztes Audit</t>
        </is>
      </c>
      <c r="C10" s="46" t="n"/>
      <c r="D10" s="47" t="inlineStr">
        <is>
          <t>Erfüllungsgrad des Vorgänger-Audits (für die Veränderung im Dashboard), leer lassen beim Erstaudit.</t>
        </is>
      </c>
    </row>
    <row r="11">
      <c r="N11" s="48" t="inlineStr">
        <is>
          <t>Hilfswerte (nicht ändern)</t>
        </is>
      </c>
    </row>
    <row r="12" ht="30" customHeight="1">
      <c r="A12" s="49" t="inlineStr">
        <is>
          <t>Nr.</t>
        </is>
      </c>
      <c r="B12" s="49" t="inlineStr">
        <is>
          <t>Kapitel</t>
        </is>
      </c>
      <c r="C12" s="49" t="inlineStr">
        <is>
          <t>Check-Punkt</t>
        </is>
      </c>
      <c r="D12" s="49" t="inlineStr">
        <is>
          <t>Prüfhinweis / Nachweise</t>
        </is>
      </c>
      <c r="E12" s="49" t="inlineStr">
        <is>
          <t>Quelle</t>
        </is>
      </c>
      <c r="F12" s="49" t="inlineStr">
        <is>
          <t>Gewich-
tung</t>
        </is>
      </c>
      <c r="G12" s="49" t="inlineStr">
        <is>
          <t>Bewertung</t>
        </is>
      </c>
      <c r="H12" s="49" t="inlineStr">
        <is>
          <t>Befund / Maßnahme</t>
        </is>
      </c>
      <c r="I12" s="49" t="inlineStr">
        <is>
          <t>Verantwortlich</t>
        </is>
      </c>
      <c r="J12" s="49" t="inlineStr">
        <is>
          <t>Termin</t>
        </is>
      </c>
      <c r="K12" s="49" t="inlineStr">
        <is>
          <t>Erledigt</t>
        </is>
      </c>
      <c r="L12" s="49" t="inlineStr">
        <is>
          <t>Status</t>
        </is>
      </c>
      <c r="M12" s="49" t="inlineStr">
        <is>
          <t>Maßn.-Nr.</t>
        </is>
      </c>
      <c r="N12" s="50" t="inlineStr">
        <is>
          <t>N.I.O-Rang</t>
        </is>
      </c>
      <c r="O12" s="50" t="inlineStr">
        <is>
          <t>Punkte erreicht</t>
        </is>
      </c>
      <c r="P12" s="50" t="inlineStr">
        <is>
          <t>Punkte möglich</t>
        </is>
      </c>
      <c r="Q12" s="50" t="inlineStr">
        <is>
          <t>Check-Punkt (EN)</t>
        </is>
      </c>
    </row>
    <row r="13">
      <c r="A13" s="51">
        <f>IF(C13="","",COUNTIF($C$13:C13,"?*"))</f>
        <v/>
      </c>
      <c r="B13" s="52" t="inlineStr">
        <is>
          <t>Organisation &amp; Personal</t>
        </is>
      </c>
      <c r="C13" s="52" t="inlineStr">
        <is>
          <t>Existiert eine Verfahrensanweisung für das Instandhaltungssystem (aktuell / wird sie gelebt)?</t>
        </is>
      </c>
      <c r="D13" s="53" t="inlineStr">
        <is>
          <t>VA vorlegen lassen: Freigabe, Revisionsstand, letzte Überprüfung. Stichprobe, ob das Vorgehen in der Praxis eingehalten wird.</t>
        </is>
      </c>
      <c r="E13" s="54" t="inlineStr">
        <is>
          <t>Vorlage 1</t>
        </is>
      </c>
      <c r="F13" s="55" t="n">
        <v>1</v>
      </c>
      <c r="G13" s="55" t="n"/>
      <c r="H13" s="52" t="n"/>
      <c r="I13" s="52" t="n"/>
      <c r="J13" s="56" t="n"/>
      <c r="K13" s="55" t="n"/>
      <c r="L13" s="57">
        <f>IF(OR(G13="N.I.O",G13="bed. OK"),IF(K13="ja","erledigt",IF(AND(J13&lt;&gt;"",J13&lt;TODAY()),"überfällig","offen")),"")</f>
        <v/>
      </c>
      <c r="M13" s="57">
        <f>IF(OR(G13="N.I.O",G13="bed. OK"),COUNTIF($G$13:G13,"N.I.O")+COUNTIF($G$13:G13,"bed. OK"),"")</f>
        <v/>
      </c>
      <c r="N13" s="58">
        <f>IF(G13="N.I.O",COUNTIF($G$13:G13,"N.I.O"),"")</f>
        <v/>
      </c>
      <c r="O13" s="59">
        <f>IF(G13="OK",IF(F13="",1,F13),IF(G13="bed. OK",IF(F13="",1,F13)*Gewicht_bedOK,IF(G13="N.I.O",0,"")))</f>
        <v/>
      </c>
      <c r="P13" s="58">
        <f>IF(OR(G13="OK",G13="bed. OK",G13="N.I.O"),IF(F13="",1,F13),"")</f>
        <v/>
      </c>
      <c r="Q13" s="53" t="inlineStr">
        <is>
          <t>Is there a procedure for the maintenance system? (Is it currently being followed/implemented?)</t>
        </is>
      </c>
    </row>
    <row r="14">
      <c r="A14" s="51">
        <f>IF(C14="","",COUNTIF($C$13:C14,"?*"))</f>
        <v/>
      </c>
      <c r="B14" s="52" t="inlineStr">
        <is>
          <t>Organisation &amp; Personal</t>
        </is>
      </c>
      <c r="C14" s="52" t="inlineStr">
        <is>
          <t>Existiert eine Arbeitsanweisung für die vorbeugende Instandhaltung (aktuell / wird sie gelebt)?</t>
        </is>
      </c>
      <c r="D14" s="53" t="inlineStr">
        <is>
          <t>AA einsehen; an 1–2 Anlagen nachfragen, ob die Mitarbeiter sie kennen und anwenden.</t>
        </is>
      </c>
      <c r="E14" s="54" t="inlineStr">
        <is>
          <t>Vorlage 2</t>
        </is>
      </c>
      <c r="F14" s="55" t="n">
        <v>1</v>
      </c>
      <c r="G14" s="55" t="n"/>
      <c r="H14" s="52" t="n"/>
      <c r="I14" s="52" t="n"/>
      <c r="J14" s="56" t="n"/>
      <c r="K14" s="55" t="n"/>
      <c r="L14" s="57">
        <f>IF(OR(G14="N.I.O",G14="bed. OK"),IF(K14="ja","erledigt",IF(AND(J14&lt;&gt;"",J14&lt;TODAY()),"überfällig","offen")),"")</f>
        <v/>
      </c>
      <c r="M14" s="57">
        <f>IF(OR(G14="N.I.O",G14="bed. OK"),COUNTIF($G$13:G14,"N.I.O")+COUNTIF($G$13:G14,"bed. OK"),"")</f>
        <v/>
      </c>
      <c r="N14" s="58">
        <f>IF(G14="N.I.O",COUNTIF($G$13:G14,"N.I.O"),"")</f>
        <v/>
      </c>
      <c r="O14" s="59">
        <f>IF(G14="OK",IF(F14="",1,F14),IF(G14="bed. OK",IF(F14="",1,F14)*Gewicht_bedOK,IF(G14="N.I.O",0,"")))</f>
        <v/>
      </c>
      <c r="P14" s="58">
        <f>IF(OR(G14="OK",G14="bed. OK",G14="N.I.O"),IF(F14="",1,F14),"")</f>
        <v/>
      </c>
      <c r="Q14" s="53" t="inlineStr">
        <is>
          <t>Is there a work instruction for preventive maintenance? (Is it currently being implemented/is it being followed?)</t>
        </is>
      </c>
    </row>
    <row r="15">
      <c r="A15" s="51">
        <f>IF(C15="","",COUNTIF($C$13:C15,"?*"))</f>
        <v/>
      </c>
      <c r="B15" s="52" t="inlineStr">
        <is>
          <t>Organisation &amp; Personal</t>
        </is>
      </c>
      <c r="C15" s="52" t="inlineStr">
        <is>
          <t>Existiert eine Qualifikationsmatrix / Vertretungsregelung / Struktur der IH?</t>
        </is>
      </c>
      <c r="D15" s="53" t="inlineStr">
        <is>
          <t>Organigramm, Qualifikationsmatrix (Stand?), Vertretung für Schlüsselfunktionen geregelt.</t>
        </is>
      </c>
      <c r="E15" s="54" t="inlineStr">
        <is>
          <t>Vorlage 3</t>
        </is>
      </c>
      <c r="F15" s="55" t="n">
        <v>1</v>
      </c>
      <c r="G15" s="55" t="n"/>
      <c r="H15" s="52" t="n"/>
      <c r="I15" s="52" t="n"/>
      <c r="J15" s="56" t="n"/>
      <c r="K15" s="55" t="n"/>
      <c r="L15" s="57">
        <f>IF(OR(G15="N.I.O",G15="bed. OK"),IF(K15="ja","erledigt",IF(AND(J15&lt;&gt;"",J15&lt;TODAY()),"überfällig","offen")),"")</f>
        <v/>
      </c>
      <c r="M15" s="57">
        <f>IF(OR(G15="N.I.O",G15="bed. OK"),COUNTIF($G$13:G15,"N.I.O")+COUNTIF($G$13:G15,"bed. OK"),"")</f>
        <v/>
      </c>
      <c r="N15" s="58">
        <f>IF(G15="N.I.O",COUNTIF($G$13:G15,"N.I.O"),"")</f>
        <v/>
      </c>
      <c r="O15" s="59">
        <f>IF(G15="OK",IF(F15="",1,F15),IF(G15="bed. OK",IF(F15="",1,F15)*Gewicht_bedOK,IF(G15="N.I.O",0,"")))</f>
        <v/>
      </c>
      <c r="P15" s="58">
        <f>IF(OR(G15="OK",G15="bed. OK",G15="N.I.O"),IF(F15="",1,F15),"")</f>
        <v/>
      </c>
      <c r="Q15" s="53" t="inlineStr">
        <is>
          <t>Does a qualification matrix / substitution arrangement / structure of the maintenance department exist?</t>
        </is>
      </c>
    </row>
    <row r="16">
      <c r="A16" s="51">
        <f>IF(C16="","",COUNTIF($C$13:C16,"?*"))</f>
        <v/>
      </c>
      <c r="B16" s="52" t="inlineStr">
        <is>
          <t>Organisation &amp; Personal</t>
        </is>
      </c>
      <c r="C16" s="52" t="inlineStr">
        <is>
          <t>Existiert eine Schichtregelung? Ist die technische Betreuung der Anlage gewährleistet?</t>
        </is>
      </c>
      <c r="D16" s="53" t="inlineStr">
        <is>
          <t>Schichtplan, IH-Besetzung je Schicht, Erreichbarkeit in allen Schichten.</t>
        </is>
      </c>
      <c r="E16" s="54" t="inlineStr">
        <is>
          <t>Vorlage 4</t>
        </is>
      </c>
      <c r="F16" s="55" t="n">
        <v>1</v>
      </c>
      <c r="G16" s="55" t="n"/>
      <c r="H16" s="52" t="n"/>
      <c r="I16" s="52" t="n"/>
      <c r="J16" s="56" t="n"/>
      <c r="K16" s="55" t="n"/>
      <c r="L16" s="57">
        <f>IF(OR(G16="N.I.O",G16="bed. OK"),IF(K16="ja","erledigt",IF(AND(J16&lt;&gt;"",J16&lt;TODAY()),"überfällig","offen")),"")</f>
        <v/>
      </c>
      <c r="M16" s="57">
        <f>IF(OR(G16="N.I.O",G16="bed. OK"),COUNTIF($G$13:G16,"N.I.O")+COUNTIF($G$13:G16,"bed. OK"),"")</f>
        <v/>
      </c>
      <c r="N16" s="58">
        <f>IF(G16="N.I.O",COUNTIF($G$13:G16,"N.I.O"),"")</f>
        <v/>
      </c>
      <c r="O16" s="59">
        <f>IF(G16="OK",IF(F16="",1,F16),IF(G16="bed. OK",IF(F16="",1,F16)*Gewicht_bedOK,IF(G16="N.I.O",0,"")))</f>
        <v/>
      </c>
      <c r="P16" s="58">
        <f>IF(OR(G16="OK",G16="bed. OK",G16="N.I.O"),IF(F16="",1,F16),"")</f>
        <v/>
      </c>
      <c r="Q16" s="53" t="inlineStr">
        <is>
          <t>Is there a shift system in place? Is technical support for the plant guaranteed?</t>
        </is>
      </c>
    </row>
    <row r="17">
      <c r="A17" s="51">
        <f>IF(C17="","",COUNTIF($C$13:C17,"?*"))</f>
        <v/>
      </c>
      <c r="B17" s="52" t="inlineStr">
        <is>
          <t>Organisation &amp; Personal</t>
        </is>
      </c>
      <c r="C17" s="52" t="inlineStr">
        <is>
          <t>Führungskräfteanzahl in der IH</t>
        </is>
      </c>
      <c r="D17" s="53" t="inlineStr">
        <is>
          <t>Führungsspanne (Mitarbeiter je Führungskraft), Stellvertretung, Organigramm.</t>
        </is>
      </c>
      <c r="E17" s="54" t="inlineStr">
        <is>
          <t>Vorlage 5</t>
        </is>
      </c>
      <c r="F17" s="55" t="n">
        <v>1</v>
      </c>
      <c r="G17" s="55" t="n"/>
      <c r="H17" s="52" t="n"/>
      <c r="I17" s="52" t="n"/>
      <c r="J17" s="56" t="n"/>
      <c r="K17" s="55" t="n"/>
      <c r="L17" s="57">
        <f>IF(OR(G17="N.I.O",G17="bed. OK"),IF(K17="ja","erledigt",IF(AND(J17&lt;&gt;"",J17&lt;TODAY()),"überfällig","offen")),"")</f>
        <v/>
      </c>
      <c r="M17" s="57">
        <f>IF(OR(G17="N.I.O",G17="bed. OK"),COUNTIF($G$13:G17,"N.I.O")+COUNTIF($G$13:G17,"bed. OK"),"")</f>
        <v/>
      </c>
      <c r="N17" s="58">
        <f>IF(G17="N.I.O",COUNTIF($G$13:G17,"N.I.O"),"")</f>
        <v/>
      </c>
      <c r="O17" s="59">
        <f>IF(G17="OK",IF(F17="",1,F17),IF(G17="bed. OK",IF(F17="",1,F17)*Gewicht_bedOK,IF(G17="N.I.O",0,"")))</f>
        <v/>
      </c>
      <c r="P17" s="58">
        <f>IF(OR(G17="OK",G17="bed. OK",G17="N.I.O"),IF(F17="",1,F17),"")</f>
        <v/>
      </c>
      <c r="Q17" s="53" t="inlineStr">
        <is>
          <t>Number of managers in maintenance</t>
        </is>
      </c>
    </row>
    <row r="18">
      <c r="A18" s="51">
        <f>IF(C18="","",COUNTIF($C$13:C18,"?*"))</f>
        <v/>
      </c>
      <c r="B18" s="52" t="inlineStr">
        <is>
          <t>Organisation &amp; Personal</t>
        </is>
      </c>
      <c r="C18" s="52" t="inlineStr">
        <is>
          <t>Existiert eine Kapazitäts- und Terminplanung der MA (T/W/M/J)?</t>
        </is>
      </c>
      <c r="D18" s="53" t="inlineStr">
        <is>
          <t>Tages-/Wochen-/Monatsplanung, Auslastung, Urlaubs- und Abwesenheitsplanung.</t>
        </is>
      </c>
      <c r="E18" s="54" t="inlineStr">
        <is>
          <t>Vorlage 6</t>
        </is>
      </c>
      <c r="F18" s="55" t="n">
        <v>1</v>
      </c>
      <c r="G18" s="55" t="n"/>
      <c r="H18" s="52" t="n"/>
      <c r="I18" s="52" t="n"/>
      <c r="J18" s="56" t="n"/>
      <c r="K18" s="55" t="n"/>
      <c r="L18" s="57">
        <f>IF(OR(G18="N.I.O",G18="bed. OK"),IF(K18="ja","erledigt",IF(AND(J18&lt;&gt;"",J18&lt;TODAY()),"überfällig","offen")),"")</f>
        <v/>
      </c>
      <c r="M18" s="57">
        <f>IF(OR(G18="N.I.O",G18="bed. OK"),COUNTIF($G$13:G18,"N.I.O")+COUNTIF($G$13:G18,"bed. OK"),"")</f>
        <v/>
      </c>
      <c r="N18" s="58">
        <f>IF(G18="N.I.O",COUNTIF($G$13:G18,"N.I.O"),"")</f>
        <v/>
      </c>
      <c r="O18" s="59">
        <f>IF(G18="OK",IF(F18="",1,F18),IF(G18="bed. OK",IF(F18="",1,F18)*Gewicht_bedOK,IF(G18="N.I.O",0,"")))</f>
        <v/>
      </c>
      <c r="P18" s="58">
        <f>IF(OR(G18="OK",G18="bed. OK",G18="N.I.O"),IF(F18="",1,F18),"")</f>
        <v/>
      </c>
      <c r="Q18" s="53" t="inlineStr">
        <is>
          <t>Is there capacity and scheduling planning for employees (daily/weekly/monthly/yearly)?</t>
        </is>
      </c>
    </row>
    <row r="19">
      <c r="A19" s="51">
        <f>IF(C19="","",COUNTIF($C$13:C19,"?*"))</f>
        <v/>
      </c>
      <c r="B19" s="52" t="inlineStr">
        <is>
          <t>Organisation &amp; Personal</t>
        </is>
      </c>
      <c r="C19" s="52" t="inlineStr">
        <is>
          <t>Flexibilität und Qualifikation der MA innerhalb der Fertigungsbereiche</t>
        </is>
      </c>
      <c r="D19" s="53" t="inlineStr">
        <is>
          <t>Einsatz in mehreren Bereichen möglich? Mehrfachqualifikation laut Matrix.</t>
        </is>
      </c>
      <c r="E19" s="54" t="inlineStr">
        <is>
          <t>Vorlage 7</t>
        </is>
      </c>
      <c r="F19" s="55" t="n">
        <v>1</v>
      </c>
      <c r="G19" s="55" t="n"/>
      <c r="H19" s="52" t="n"/>
      <c r="I19" s="52" t="n"/>
      <c r="J19" s="56" t="n"/>
      <c r="K19" s="55" t="n"/>
      <c r="L19" s="57">
        <f>IF(OR(G19="N.I.O",G19="bed. OK"),IF(K19="ja","erledigt",IF(AND(J19&lt;&gt;"",J19&lt;TODAY()),"überfällig","offen")),"")</f>
        <v/>
      </c>
      <c r="M19" s="57">
        <f>IF(OR(G19="N.I.O",G19="bed. OK"),COUNTIF($G$13:G19,"N.I.O")+COUNTIF($G$13:G19,"bed. OK"),"")</f>
        <v/>
      </c>
      <c r="N19" s="58">
        <f>IF(G19="N.I.O",COUNTIF($G$13:G19,"N.I.O"),"")</f>
        <v/>
      </c>
      <c r="O19" s="59">
        <f>IF(G19="OK",IF(F19="",1,F19),IF(G19="bed. OK",IF(F19="",1,F19)*Gewicht_bedOK,IF(G19="N.I.O",0,"")))</f>
        <v/>
      </c>
      <c r="P19" s="58">
        <f>IF(OR(G19="OK",G19="bed. OK",G19="N.I.O"),IF(F19="",1,F19),"")</f>
        <v/>
      </c>
      <c r="Q19" s="53" t="inlineStr">
        <is>
          <t>Flexibility and qualification of employees within the production areas</t>
        </is>
      </c>
    </row>
    <row r="20">
      <c r="A20" s="60">
        <f>IF(C20="","",COUNTIF($C$13:C20,"?*"))</f>
        <v/>
      </c>
      <c r="B20" s="52" t="inlineStr">
        <is>
          <t>Organisation &amp; Personal</t>
        </is>
      </c>
      <c r="C20" s="52" t="inlineStr">
        <is>
          <t>Gibt es eine Rufbereitschaft und einen Eskalationsweg bei Störungen außerhalb der Regelarbeitszeit?</t>
        </is>
      </c>
      <c r="D20" s="53" t="inlineStr">
        <is>
          <t>Rufbereitschaftsplan, Eskalationsstufen, vereinbarte Reaktionszeiten, Erreichbarkeit nachts / am Wochenende.</t>
        </is>
      </c>
      <c r="E20" s="61" t="inlineStr">
        <is>
          <t>NEU</t>
        </is>
      </c>
      <c r="F20" s="55" t="n">
        <v>1</v>
      </c>
      <c r="G20" s="55" t="n"/>
      <c r="H20" s="52" t="n"/>
      <c r="I20" s="52" t="n"/>
      <c r="J20" s="56" t="n"/>
      <c r="K20" s="55" t="n"/>
      <c r="L20" s="57">
        <f>IF(OR(G20="N.I.O",G20="bed. OK"),IF(K20="ja","erledigt",IF(AND(J20&lt;&gt;"",J20&lt;TODAY()),"überfällig","offen")),"")</f>
        <v/>
      </c>
      <c r="M20" s="57">
        <f>IF(OR(G20="N.I.O",G20="bed. OK"),COUNTIF($G$13:G20,"N.I.O")+COUNTIF($G$13:G20,"bed. OK"),"")</f>
        <v/>
      </c>
      <c r="N20" s="58">
        <f>IF(G20="N.I.O",COUNTIF($G$13:G20,"N.I.O"),"")</f>
        <v/>
      </c>
      <c r="O20" s="59">
        <f>IF(G20="OK",IF(F20="",1,F20),IF(G20="bed. OK",IF(F20="",1,F20)*Gewicht_bedOK,IF(G20="N.I.O",0,"")))</f>
        <v/>
      </c>
      <c r="P20" s="58">
        <f>IF(OR(G20="OK",G20="bed. OK",G20="N.I.O"),IF(F20="",1,F20),"")</f>
        <v/>
      </c>
      <c r="Q20" s="53" t="inlineStr">
        <is>
          <t>Is there an on-call service and escalation path for breakdowns outside regular hours?</t>
        </is>
      </c>
    </row>
    <row r="21">
      <c r="A21" s="60">
        <f>IF(C21="","",COUNTIF($C$13:C21,"?*"))</f>
        <v/>
      </c>
      <c r="B21" s="52" t="inlineStr">
        <is>
          <t>Organisation &amp; Personal</t>
        </is>
      </c>
      <c r="C21" s="52" t="inlineStr">
        <is>
          <t>Ist das Erfahrungswissen gesichert (Know-how-Träger, Nachfolge, Einarbeitung)?</t>
        </is>
      </c>
      <c r="D21" s="53" t="inlineStr">
        <is>
          <t>Altersstruktur, Know-how-Träger benannt, Einarbeitungspläne, dokumentiertes Erfahrungswissen.</t>
        </is>
      </c>
      <c r="E21" s="61" t="inlineStr">
        <is>
          <t>NEU</t>
        </is>
      </c>
      <c r="F21" s="55" t="n">
        <v>1</v>
      </c>
      <c r="G21" s="55" t="n"/>
      <c r="H21" s="52" t="n"/>
      <c r="I21" s="52" t="n"/>
      <c r="J21" s="56" t="n"/>
      <c r="K21" s="55" t="n"/>
      <c r="L21" s="57">
        <f>IF(OR(G21="N.I.O",G21="bed. OK"),IF(K21="ja","erledigt",IF(AND(J21&lt;&gt;"",J21&lt;TODAY()),"überfällig","offen")),"")</f>
        <v/>
      </c>
      <c r="M21" s="57">
        <f>IF(OR(G21="N.I.O",G21="bed. OK"),COUNTIF($G$13:G21,"N.I.O")+COUNTIF($G$13:G21,"bed. OK"),"")</f>
        <v/>
      </c>
      <c r="N21" s="58">
        <f>IF(G21="N.I.O",COUNTIF($G$13:G21,"N.I.O"),"")</f>
        <v/>
      </c>
      <c r="O21" s="59">
        <f>IF(G21="OK",IF(F21="",1,F21),IF(G21="bed. OK",IF(F21="",1,F21)*Gewicht_bedOK,IF(G21="N.I.O",0,"")))</f>
        <v/>
      </c>
      <c r="P21" s="58">
        <f>IF(OR(G21="OK",G21="bed. OK",G21="N.I.O"),IF(F21="",1,F21),"")</f>
        <v/>
      </c>
      <c r="Q21" s="53" t="inlineStr">
        <is>
          <t>Is expert knowledge secured (key persons, succession, onboarding)?</t>
        </is>
      </c>
    </row>
    <row r="22">
      <c r="A22" s="60">
        <f>IF(C22="","",COUNTIF($C$13:C22,"?*"))</f>
        <v/>
      </c>
      <c r="B22" s="52" t="inlineStr">
        <is>
          <t>Organisation &amp; Personal</t>
        </is>
      </c>
      <c r="C22" s="52" t="inlineStr">
        <is>
          <t>Sind Elektrofachkräfte und zur Prüfung befähigte Personen schriftlich bestellt?</t>
        </is>
      </c>
      <c r="D22" s="53" t="inlineStr">
        <is>
          <t>Bestellung EFK / EuP, befähigte Personen nach BetrSichV § 2, Verantwortliche Elektrofachkraft benannt.</t>
        </is>
      </c>
      <c r="E22" s="61" t="inlineStr">
        <is>
          <t>NEU</t>
        </is>
      </c>
      <c r="F22" s="55" t="n">
        <v>1</v>
      </c>
      <c r="G22" s="55" t="n"/>
      <c r="H22" s="52" t="n"/>
      <c r="I22" s="52" t="n"/>
      <c r="J22" s="56" t="n"/>
      <c r="K22" s="55" t="n"/>
      <c r="L22" s="57">
        <f>IF(OR(G22="N.I.O",G22="bed. OK"),IF(K22="ja","erledigt",IF(AND(J22&lt;&gt;"",J22&lt;TODAY()),"überfällig","offen")),"")</f>
        <v/>
      </c>
      <c r="M22" s="57">
        <f>IF(OR(G22="N.I.O",G22="bed. OK"),COUNTIF($G$13:G22,"N.I.O")+COUNTIF($G$13:G22,"bed. OK"),"")</f>
        <v/>
      </c>
      <c r="N22" s="58">
        <f>IF(G22="N.I.O",COUNTIF($G$13:G22,"N.I.O"),"")</f>
        <v/>
      </c>
      <c r="O22" s="59">
        <f>IF(G22="OK",IF(F22="",1,F22),IF(G22="bed. OK",IF(F22="",1,F22)*Gewicht_bedOK,IF(G22="N.I.O",0,"")))</f>
        <v/>
      </c>
      <c r="P22" s="58">
        <f>IF(OR(G22="OK",G22="bed. OK",G22="N.I.O"),IF(F22="",1,F22),"")</f>
        <v/>
      </c>
      <c r="Q22" s="53" t="inlineStr">
        <is>
          <t>Are qualified electricians and competent persons for inspections formally appointed?</t>
        </is>
      </c>
    </row>
    <row r="23">
      <c r="A23" s="51">
        <f>IF(C23="","",COUNTIF($C$13:C23,"?*"))</f>
        <v/>
      </c>
      <c r="B23" s="52" t="inlineStr">
        <is>
          <t>Strategie &amp; IH-System</t>
        </is>
      </c>
      <c r="C23" s="52" t="inlineStr">
        <is>
          <t>Anwendung von Instandhaltungsstrategien (welche Instandhaltungsstrategie?)</t>
        </is>
      </c>
      <c r="D23" s="53" t="inlineStr">
        <is>
          <t>Strategie je Anlagenklasse (korrektiv, präventiv, zustandsorientiert, TPM) und Begründung.</t>
        </is>
      </c>
      <c r="E23" s="54" t="inlineStr">
        <is>
          <t>Vorlage 8</t>
        </is>
      </c>
      <c r="F23" s="55" t="n">
        <v>1</v>
      </c>
      <c r="G23" s="55" t="n"/>
      <c r="H23" s="52" t="n"/>
      <c r="I23" s="52" t="n"/>
      <c r="J23" s="56" t="n"/>
      <c r="K23" s="55" t="n"/>
      <c r="L23" s="57">
        <f>IF(OR(G23="N.I.O",G23="bed. OK"),IF(K23="ja","erledigt",IF(AND(J23&lt;&gt;"",J23&lt;TODAY()),"überfällig","offen")),"")</f>
        <v/>
      </c>
      <c r="M23" s="57">
        <f>IF(OR(G23="N.I.O",G23="bed. OK"),COUNTIF($G$13:G23,"N.I.O")+COUNTIF($G$13:G23,"bed. OK"),"")</f>
        <v/>
      </c>
      <c r="N23" s="58">
        <f>IF(G23="N.I.O",COUNTIF($G$13:G23,"N.I.O"),"")</f>
        <v/>
      </c>
      <c r="O23" s="59">
        <f>IF(G23="OK",IF(F23="",1,F23),IF(G23="bed. OK",IF(F23="",1,F23)*Gewicht_bedOK,IF(G23="N.I.O",0,"")))</f>
        <v/>
      </c>
      <c r="P23" s="58">
        <f>IF(OR(G23="OK",G23="bed. OK",G23="N.I.O"),IF(F23="",1,F23),"")</f>
        <v/>
      </c>
      <c r="Q23" s="53" t="inlineStr">
        <is>
          <t>Application of maintenance strategies (which maintenance strategy)</t>
        </is>
      </c>
    </row>
    <row r="24">
      <c r="A24" s="60">
        <f>IF(C24="","",COUNTIF($C$13:C24,"?*"))</f>
        <v/>
      </c>
      <c r="B24" s="52" t="inlineStr">
        <is>
          <t>Strategie &amp; IH-System</t>
        </is>
      </c>
      <c r="C24" s="52" t="inlineStr">
        <is>
          <t>Sind die Anlagen nach Kritikalität (A/B/C) eingestuft und ist die Strategie daraus abgeleitet?</t>
        </is>
      </c>
      <c r="D24" s="53" t="inlineStr">
        <is>
          <t>Anlagenliste mit A/B/C-Einstufung und Kriterien; Schlüsselanlagen nach IATF 16949, 8.5.1.5.</t>
        </is>
      </c>
      <c r="E24" s="61" t="inlineStr">
        <is>
          <t>NEU</t>
        </is>
      </c>
      <c r="F24" s="55" t="n">
        <v>1</v>
      </c>
      <c r="G24" s="55" t="n"/>
      <c r="H24" s="52" t="n"/>
      <c r="I24" s="52" t="n"/>
      <c r="J24" s="56" t="n"/>
      <c r="K24" s="55" t="n"/>
      <c r="L24" s="57">
        <f>IF(OR(G24="N.I.O",G24="bed. OK"),IF(K24="ja","erledigt",IF(AND(J24&lt;&gt;"",J24&lt;TODAY()),"überfällig","offen")),"")</f>
        <v/>
      </c>
      <c r="M24" s="57">
        <f>IF(OR(G24="N.I.O",G24="bed. OK"),COUNTIF($G$13:G24,"N.I.O")+COUNTIF($G$13:G24,"bed. OK"),"")</f>
        <v/>
      </c>
      <c r="N24" s="58">
        <f>IF(G24="N.I.O",COUNTIF($G$13:G24,"N.I.O"),"")</f>
        <v/>
      </c>
      <c r="O24" s="59">
        <f>IF(G24="OK",IF(F24="",1,F24),IF(G24="bed. OK",IF(F24="",1,F24)*Gewicht_bedOK,IF(G24="N.I.O",0,"")))</f>
        <v/>
      </c>
      <c r="P24" s="58">
        <f>IF(OR(G24="OK",G24="bed. OK",G24="N.I.O"),IF(F24="",1,F24),"")</f>
        <v/>
      </c>
      <c r="Q24" s="53" t="inlineStr">
        <is>
          <t>Are machines classified by criticality (A/B/C) and is the strategy derived from it?</t>
        </is>
      </c>
    </row>
    <row r="25">
      <c r="A25" s="51">
        <f>IF(C25="","",COUNTIF($C$13:C25,"?*"))</f>
        <v/>
      </c>
      <c r="B25" s="52" t="inlineStr">
        <is>
          <t>Strategie &amp; IH-System</t>
        </is>
      </c>
      <c r="C25" s="52" t="inlineStr">
        <is>
          <t>Welches IH-System steht zur Verfügung (Wartung, Inspektion, geplante/ungeplante Reparatur) und wird es genutzt?</t>
        </is>
      </c>
      <c r="D25" s="53" t="inlineStr">
        <is>
          <t>System zeigen lassen (z. B. SAP PM, CMMS, Excel); Auftragsarten Wartung / Inspektion / Reparatur.</t>
        </is>
      </c>
      <c r="E25" s="54" t="inlineStr">
        <is>
          <t>Vorlage 9</t>
        </is>
      </c>
      <c r="F25" s="55" t="n">
        <v>1</v>
      </c>
      <c r="G25" s="55" t="n"/>
      <c r="H25" s="52" t="n"/>
      <c r="I25" s="52" t="n"/>
      <c r="J25" s="56" t="n"/>
      <c r="K25" s="55" t="n"/>
      <c r="L25" s="57">
        <f>IF(OR(G25="N.I.O",G25="bed. OK"),IF(K25="ja","erledigt",IF(AND(J25&lt;&gt;"",J25&lt;TODAY()),"überfällig","offen")),"")</f>
        <v/>
      </c>
      <c r="M25" s="57">
        <f>IF(OR(G25="N.I.O",G25="bed. OK"),COUNTIF($G$13:G25,"N.I.O")+COUNTIF($G$13:G25,"bed. OK"),"")</f>
        <v/>
      </c>
      <c r="N25" s="58">
        <f>IF(G25="N.I.O",COUNTIF($G$13:G25,"N.I.O"),"")</f>
        <v/>
      </c>
      <c r="O25" s="59">
        <f>IF(G25="OK",IF(F25="",1,F25),IF(G25="bed. OK",IF(F25="",1,F25)*Gewicht_bedOK,IF(G25="N.I.O",0,"")))</f>
        <v/>
      </c>
      <c r="P25" s="58">
        <f>IF(OR(G25="OK",G25="bed. OK",G25="N.I.O"),IF(F25="",1,F25),"")</f>
        <v/>
      </c>
      <c r="Q25" s="53" t="inlineStr">
        <is>
          <t>Which maintenance system is available (maintenance; inspection; planned/unplanned repairs) and is it being used?</t>
        </is>
      </c>
    </row>
    <row r="26">
      <c r="A26" s="60">
        <f>IF(C26="","",COUNTIF($C$13:C26,"?*"))</f>
        <v/>
      </c>
      <c r="B26" s="52" t="inlineStr">
        <is>
          <t>Strategie &amp; IH-System</t>
        </is>
      </c>
      <c r="C26" s="52" t="inlineStr">
        <is>
          <t>Sind die Stammdaten im IH-System vollständig und gepflegt (Equipments, Struktur)?</t>
        </is>
      </c>
      <c r="D26" s="53" t="inlineStr">
        <is>
          <t>Stichprobe 3 Anlagen: Equipment / technischer Platz, Struktur Anlage – Baugruppe – Bauteil, Stücklisten verknüpft.</t>
        </is>
      </c>
      <c r="E26" s="61" t="inlineStr">
        <is>
          <t>NEU</t>
        </is>
      </c>
      <c r="F26" s="55" t="n">
        <v>1</v>
      </c>
      <c r="G26" s="55" t="n"/>
      <c r="H26" s="52" t="n"/>
      <c r="I26" s="52" t="n"/>
      <c r="J26" s="56" t="n"/>
      <c r="K26" s="55" t="n"/>
      <c r="L26" s="57">
        <f>IF(OR(G26="N.I.O",G26="bed. OK"),IF(K26="ja","erledigt",IF(AND(J26&lt;&gt;"",J26&lt;TODAY()),"überfällig","offen")),"")</f>
        <v/>
      </c>
      <c r="M26" s="57">
        <f>IF(OR(G26="N.I.O",G26="bed. OK"),COUNTIF($G$13:G26,"N.I.O")+COUNTIF($G$13:G26,"bed. OK"),"")</f>
        <v/>
      </c>
      <c r="N26" s="58">
        <f>IF(G26="N.I.O",COUNTIF($G$13:G26,"N.I.O"),"")</f>
        <v/>
      </c>
      <c r="O26" s="59">
        <f>IF(G26="OK",IF(F26="",1,F26),IF(G26="bed. OK",IF(F26="",1,F26)*Gewicht_bedOK,IF(G26="N.I.O",0,"")))</f>
        <v/>
      </c>
      <c r="P26" s="58">
        <f>IF(OR(G26="OK",G26="bed. OK",G26="N.I.O"),IF(F26="",1,F26),"")</f>
        <v/>
      </c>
      <c r="Q26" s="53" t="inlineStr">
        <is>
          <t>Is master data in the maintenance system complete and maintained?</t>
        </is>
      </c>
    </row>
    <row r="27">
      <c r="A27" s="60">
        <f>IF(C27="","",COUNTIF($C$13:C27,"?*"))</f>
        <v/>
      </c>
      <c r="B27" s="52" t="inlineStr">
        <is>
          <t>Strategie &amp; IH-System</t>
        </is>
      </c>
      <c r="C27" s="52" t="inlineStr">
        <is>
          <t>Werden IH-Aufträge vollständig zurückgemeldet (Zeit, Material, Schadensbild, Ursache)?</t>
        </is>
      </c>
      <c r="D27" s="53" t="inlineStr">
        <is>
          <t>Stichprobe abgeschlossener Aufträge: Zeiten, Material, Schadensbild, Ursache und Maßnahme erfasst?</t>
        </is>
      </c>
      <c r="E27" s="61" t="inlineStr">
        <is>
          <t>NEU</t>
        </is>
      </c>
      <c r="F27" s="55" t="n">
        <v>1</v>
      </c>
      <c r="G27" s="55" t="n"/>
      <c r="H27" s="52" t="n"/>
      <c r="I27" s="52" t="n"/>
      <c r="J27" s="56" t="n"/>
      <c r="K27" s="55" t="n"/>
      <c r="L27" s="57">
        <f>IF(OR(G27="N.I.O",G27="bed. OK"),IF(K27="ja","erledigt",IF(AND(J27&lt;&gt;"",J27&lt;TODAY()),"überfällig","offen")),"")</f>
        <v/>
      </c>
      <c r="M27" s="57">
        <f>IF(OR(G27="N.I.O",G27="bed. OK"),COUNTIF($G$13:G27,"N.I.O")+COUNTIF($G$13:G27,"bed. OK"),"")</f>
        <v/>
      </c>
      <c r="N27" s="58">
        <f>IF(G27="N.I.O",COUNTIF($G$13:G27,"N.I.O"),"")</f>
        <v/>
      </c>
      <c r="O27" s="59">
        <f>IF(G27="OK",IF(F27="",1,F27),IF(G27="bed. OK",IF(F27="",1,F27)*Gewicht_bedOK,IF(G27="N.I.O",0,"")))</f>
        <v/>
      </c>
      <c r="P27" s="58">
        <f>IF(OR(G27="OK",G27="bed. OK",G27="N.I.O"),IF(F27="",1,F27),"")</f>
        <v/>
      </c>
      <c r="Q27" s="53" t="inlineStr">
        <is>
          <t>Are work orders fully confirmed (time, material, damage, cause)?</t>
        </is>
      </c>
    </row>
    <row r="28">
      <c r="A28" s="51">
        <f>IF(C28="","",COUNTIF($C$13:C28,"?*"))</f>
        <v/>
      </c>
      <c r="B28" s="52" t="inlineStr">
        <is>
          <t>Strategie &amp; IH-System</t>
        </is>
      </c>
      <c r="C28" s="52" t="inlineStr">
        <is>
          <t>Existiert eine vorbeugende Instandhaltung?</t>
        </is>
      </c>
      <c r="D28" s="53" t="inlineStr">
        <is>
          <t>Wartungsplan je Anlage vorhanden? Anteil der Anlagen mit Plan.</t>
        </is>
      </c>
      <c r="E28" s="54" t="inlineStr">
        <is>
          <t>Vorlage 10</t>
        </is>
      </c>
      <c r="F28" s="55" t="n">
        <v>1</v>
      </c>
      <c r="G28" s="55" t="n"/>
      <c r="H28" s="52" t="n"/>
      <c r="I28" s="52" t="n"/>
      <c r="J28" s="56" t="n"/>
      <c r="K28" s="55" t="n"/>
      <c r="L28" s="57">
        <f>IF(OR(G28="N.I.O",G28="bed. OK"),IF(K28="ja","erledigt",IF(AND(J28&lt;&gt;"",J28&lt;TODAY()),"überfällig","offen")),"")</f>
        <v/>
      </c>
      <c r="M28" s="57">
        <f>IF(OR(G28="N.I.O",G28="bed. OK"),COUNTIF($G$13:G28,"N.I.O")+COUNTIF($G$13:G28,"bed. OK"),"")</f>
        <v/>
      </c>
      <c r="N28" s="58">
        <f>IF(G28="N.I.O",COUNTIF($G$13:G28,"N.I.O"),"")</f>
        <v/>
      </c>
      <c r="O28" s="59">
        <f>IF(G28="OK",IF(F28="",1,F28),IF(G28="bed. OK",IF(F28="",1,F28)*Gewicht_bedOK,IF(G28="N.I.O",0,"")))</f>
        <v/>
      </c>
      <c r="P28" s="58">
        <f>IF(OR(G28="OK",G28="bed. OK",G28="N.I.O"),IF(F28="",1,F28),"")</f>
        <v/>
      </c>
      <c r="Q28" s="53" t="inlineStr">
        <is>
          <t>Preventive maintenance exists</t>
        </is>
      </c>
    </row>
    <row r="29">
      <c r="A29" s="51">
        <f>IF(C29="","",COUNTIF($C$13:C29,"?*"))</f>
        <v/>
      </c>
      <c r="B29" s="52" t="inlineStr">
        <is>
          <t>Strategie &amp; IH-System</t>
        </is>
      </c>
      <c r="C29" s="52" t="inlineStr">
        <is>
          <t>Qualität planmäßige Wartung (Intervalle, Arbeitspläne, Arbeitsabläufe)</t>
        </is>
      </c>
      <c r="D29" s="53" t="inlineStr">
        <is>
          <t>Intervalle begründet (Hersteller, Erfahrung)? Arbeitspläne mit Schritten, Material und Zeit.</t>
        </is>
      </c>
      <c r="E29" s="54" t="inlineStr">
        <is>
          <t>Vorlage 11</t>
        </is>
      </c>
      <c r="F29" s="55" t="n">
        <v>1</v>
      </c>
      <c r="G29" s="55" t="n"/>
      <c r="H29" s="52" t="n"/>
      <c r="I29" s="52" t="n"/>
      <c r="J29" s="56" t="n"/>
      <c r="K29" s="55" t="n"/>
      <c r="L29" s="57">
        <f>IF(OR(G29="N.I.O",G29="bed. OK"),IF(K29="ja","erledigt",IF(AND(J29&lt;&gt;"",J29&lt;TODAY()),"überfällig","offen")),"")</f>
        <v/>
      </c>
      <c r="M29" s="57">
        <f>IF(OR(G29="N.I.O",G29="bed. OK"),COUNTIF($G$13:G29,"N.I.O")+COUNTIF($G$13:G29,"bed. OK"),"")</f>
        <v/>
      </c>
      <c r="N29" s="58">
        <f>IF(G29="N.I.O",COUNTIF($G$13:G29,"N.I.O"),"")</f>
        <v/>
      </c>
      <c r="O29" s="59">
        <f>IF(G29="OK",IF(F29="",1,F29),IF(G29="bed. OK",IF(F29="",1,F29)*Gewicht_bedOK,IF(G29="N.I.O",0,"")))</f>
        <v/>
      </c>
      <c r="P29" s="58">
        <f>IF(OR(G29="OK",G29="bed. OK",G29="N.I.O"),IF(F29="",1,F29),"")</f>
        <v/>
      </c>
      <c r="Q29" s="53" t="inlineStr">
        <is>
          <t>Quality of scheduled maintenance (intervals; work plans; work processes)</t>
        </is>
      </c>
    </row>
    <row r="30">
      <c r="A30" s="51">
        <f>IF(C30="","",COUNTIF($C$13:C30,"?*"))</f>
        <v/>
      </c>
      <c r="B30" s="52" t="inlineStr">
        <is>
          <t>Strategie &amp; IH-System</t>
        </is>
      </c>
      <c r="C30" s="52" t="inlineStr">
        <is>
          <t>Qualität planmäßige Inspektion (Intervalle, Arbeitspläne, Arbeitsabläufe)</t>
        </is>
      </c>
      <c r="D30" s="53" t="inlineStr">
        <is>
          <t>Inspektionspläne mit Prüfkriterien und Grenzwerten, Nachweise der Durchführung.</t>
        </is>
      </c>
      <c r="E30" s="54" t="inlineStr">
        <is>
          <t>Vorlage 12</t>
        </is>
      </c>
      <c r="F30" s="55" t="n">
        <v>1</v>
      </c>
      <c r="G30" s="55" t="n"/>
      <c r="H30" s="52" t="n"/>
      <c r="I30" s="52" t="n"/>
      <c r="J30" s="56" t="n"/>
      <c r="K30" s="55" t="n"/>
      <c r="L30" s="57">
        <f>IF(OR(G30="N.I.O",G30="bed. OK"),IF(K30="ja","erledigt",IF(AND(J30&lt;&gt;"",J30&lt;TODAY()),"überfällig","offen")),"")</f>
        <v/>
      </c>
      <c r="M30" s="57">
        <f>IF(OR(G30="N.I.O",G30="bed. OK"),COUNTIF($G$13:G30,"N.I.O")+COUNTIF($G$13:G30,"bed. OK"),"")</f>
        <v/>
      </c>
      <c r="N30" s="58">
        <f>IF(G30="N.I.O",COUNTIF($G$13:G30,"N.I.O"),"")</f>
        <v/>
      </c>
      <c r="O30" s="59">
        <f>IF(G30="OK",IF(F30="",1,F30),IF(G30="bed. OK",IF(F30="",1,F30)*Gewicht_bedOK,IF(G30="N.I.O",0,"")))</f>
        <v/>
      </c>
      <c r="P30" s="58">
        <f>IF(OR(G30="OK",G30="bed. OK",G30="N.I.O"),IF(F30="",1,F30),"")</f>
        <v/>
      </c>
      <c r="Q30" s="53" t="inlineStr">
        <is>
          <t>Quality of scheduled inspections (intervals; work plans; work procedures)</t>
        </is>
      </c>
    </row>
    <row r="31">
      <c r="A31" s="51">
        <f>IF(C31="","",COUNTIF($C$13:C31,"?*"))</f>
        <v/>
      </c>
      <c r="B31" s="52" t="inlineStr">
        <is>
          <t>Strategie &amp; IH-System</t>
        </is>
      </c>
      <c r="C31" s="52" t="inlineStr">
        <is>
          <t>Qualität planmäßig vorbeugende Instandsetzung (Intervalle, Arbeitspläne, Arbeitsabläufe)</t>
        </is>
      </c>
      <c r="D31" s="53" t="inlineStr">
        <is>
          <t>Geplante Tauschintervalle für Verschleißteile, Generalüberholungen eingeplant.</t>
        </is>
      </c>
      <c r="E31" s="54" t="inlineStr">
        <is>
          <t>Vorlage 13</t>
        </is>
      </c>
      <c r="F31" s="55" t="n">
        <v>1</v>
      </c>
      <c r="G31" s="55" t="n"/>
      <c r="H31" s="52" t="n"/>
      <c r="I31" s="52" t="n"/>
      <c r="J31" s="56" t="n"/>
      <c r="K31" s="55" t="n"/>
      <c r="L31" s="57">
        <f>IF(OR(G31="N.I.O",G31="bed. OK"),IF(K31="ja","erledigt",IF(AND(J31&lt;&gt;"",J31&lt;TODAY()),"überfällig","offen")),"")</f>
        <v/>
      </c>
      <c r="M31" s="57">
        <f>IF(OR(G31="N.I.O",G31="bed. OK"),COUNTIF($G$13:G31,"N.I.O")+COUNTIF($G$13:G31,"bed. OK"),"")</f>
        <v/>
      </c>
      <c r="N31" s="58">
        <f>IF(G31="N.I.O",COUNTIF($G$13:G31,"N.I.O"),"")</f>
        <v/>
      </c>
      <c r="O31" s="59">
        <f>IF(G31="OK",IF(F31="",1,F31),IF(G31="bed. OK",IF(F31="",1,F31)*Gewicht_bedOK,IF(G31="N.I.O",0,"")))</f>
        <v/>
      </c>
      <c r="P31" s="58">
        <f>IF(OR(G31="OK",G31="bed. OK",G31="N.I.O"),IF(F31="",1,F31),"")</f>
        <v/>
      </c>
      <c r="Q31" s="53" t="inlineStr">
        <is>
          <t>Quality of scheduled preventive maintenance (intervals; work plans; workflows)</t>
        </is>
      </c>
    </row>
    <row r="32">
      <c r="A32" s="51">
        <f>IF(C32="","",COUNTIF($C$13:C32,"?*"))</f>
        <v/>
      </c>
      <c r="B32" s="52" t="inlineStr">
        <is>
          <t>Strategie &amp; IH-System</t>
        </is>
      </c>
      <c r="C32" s="52" t="inlineStr">
        <is>
          <t>Qualität störungsbedingte, bedarfsweise Instandsetzung / Einsatzbereitschaft (Arbeitspläne, Reaktionsvermögen bei Störungen)</t>
        </is>
      </c>
      <c r="D32" s="53" t="inlineStr">
        <is>
          <t>Störungsmeldeweg, Priorisierung, Reaktionszeit; Stichprobe aktueller Störmeldungen.</t>
        </is>
      </c>
      <c r="E32" s="54" t="inlineStr">
        <is>
          <t>Vorlage 14</t>
        </is>
      </c>
      <c r="F32" s="55" t="n">
        <v>1</v>
      </c>
      <c r="G32" s="55" t="n"/>
      <c r="H32" s="52" t="n"/>
      <c r="I32" s="52" t="n"/>
      <c r="J32" s="56" t="n"/>
      <c r="K32" s="55" t="n"/>
      <c r="L32" s="57">
        <f>IF(OR(G32="N.I.O",G32="bed. OK"),IF(K32="ja","erledigt",IF(AND(J32&lt;&gt;"",J32&lt;TODAY()),"überfällig","offen")),"")</f>
        <v/>
      </c>
      <c r="M32" s="57">
        <f>IF(OR(G32="N.I.O",G32="bed. OK"),COUNTIF($G$13:G32,"N.I.O")+COUNTIF($G$13:G32,"bed. OK"),"")</f>
        <v/>
      </c>
      <c r="N32" s="58">
        <f>IF(G32="N.I.O",COUNTIF($G$13:G32,"N.I.O"),"")</f>
        <v/>
      </c>
      <c r="O32" s="59">
        <f>IF(G32="OK",IF(F32="",1,F32),IF(G32="bed. OK",IF(F32="",1,F32)*Gewicht_bedOK,IF(G32="N.I.O",0,"")))</f>
        <v/>
      </c>
      <c r="P32" s="58">
        <f>IF(OR(G32="OK",G32="bed. OK",G32="N.I.O"),IF(F32="",1,F32),"")</f>
        <v/>
      </c>
      <c r="Q32" s="53" t="inlineStr">
        <is>
          <t>Quality of breakdown-based and demand-based maintenance / operational readiness (work plans; responsiveness to malfunctions)</t>
        </is>
      </c>
    </row>
    <row r="33">
      <c r="A33" s="60">
        <f>IF(C33="","",COUNTIF($C$13:C33,"?*"))</f>
        <v/>
      </c>
      <c r="B33" s="52" t="inlineStr">
        <is>
          <t>Strategie &amp; IH-System</t>
        </is>
      </c>
      <c r="C33" s="52" t="inlineStr">
        <is>
          <t>Werden zustandsorientierte Verfahren eingesetzt (z. B. Thermografie, Schwingungs-, Ölanalyse)?</t>
        </is>
      </c>
      <c r="D33" s="53" t="inlineStr">
        <is>
          <t>Eingesetzte Verfahren, Messrouten, Grenzwerte, Trends dokumentiert, Reaktion auf Befunde.</t>
        </is>
      </c>
      <c r="E33" s="61" t="inlineStr">
        <is>
          <t>NEU</t>
        </is>
      </c>
      <c r="F33" s="55" t="n">
        <v>1</v>
      </c>
      <c r="G33" s="55" t="n"/>
      <c r="H33" s="52" t="n"/>
      <c r="I33" s="52" t="n"/>
      <c r="J33" s="56" t="n"/>
      <c r="K33" s="55" t="n"/>
      <c r="L33" s="57">
        <f>IF(OR(G33="N.I.O",G33="bed. OK"),IF(K33="ja","erledigt",IF(AND(J33&lt;&gt;"",J33&lt;TODAY()),"überfällig","offen")),"")</f>
        <v/>
      </c>
      <c r="M33" s="57">
        <f>IF(OR(G33="N.I.O",G33="bed. OK"),COUNTIF($G$13:G33,"N.I.O")+COUNTIF($G$13:G33,"bed. OK"),"")</f>
        <v/>
      </c>
      <c r="N33" s="58">
        <f>IF(G33="N.I.O",COUNTIF($G$13:G33,"N.I.O"),"")</f>
        <v/>
      </c>
      <c r="O33" s="59">
        <f>IF(G33="OK",IF(F33="",1,F33),IF(G33="bed. OK",IF(F33="",1,F33)*Gewicht_bedOK,IF(G33="N.I.O",0,"")))</f>
        <v/>
      </c>
      <c r="P33" s="58">
        <f>IF(OR(G33="OK",G33="bed. OK",G33="N.I.O"),IF(F33="",1,F33),"")</f>
        <v/>
      </c>
      <c r="Q33" s="53" t="inlineStr">
        <is>
          <t>Are condition-based methods used (e.g. thermography, vibration or oil analysis)?</t>
        </is>
      </c>
    </row>
    <row r="34">
      <c r="A34" s="51">
        <f>IF(C34="","",COUNTIF($C$13:C34,"?*"))</f>
        <v/>
      </c>
      <c r="B34" s="52" t="inlineStr">
        <is>
          <t>Strategie &amp; IH-System</t>
        </is>
      </c>
      <c r="C34" s="52" t="inlineStr">
        <is>
          <t>Wird Outsourcing (Fremdauftragsvergabe) für Wartung, Inspektion und geplante Instandsetzung praktiziert?</t>
        </is>
      </c>
      <c r="D34" s="53" t="inlineStr">
        <is>
          <t>Fremdvergabe-Strategie, Rahmenverträge, Leistungsbewertung der Dienstleister.</t>
        </is>
      </c>
      <c r="E34" s="54" t="inlineStr">
        <is>
          <t>Vorlage 15</t>
        </is>
      </c>
      <c r="F34" s="55" t="n">
        <v>1</v>
      </c>
      <c r="G34" s="55" t="n"/>
      <c r="H34" s="52" t="n"/>
      <c r="I34" s="52" t="n"/>
      <c r="J34" s="56" t="n"/>
      <c r="K34" s="55" t="n"/>
      <c r="L34" s="57">
        <f>IF(OR(G34="N.I.O",G34="bed. OK"),IF(K34="ja","erledigt",IF(AND(J34&lt;&gt;"",J34&lt;TODAY()),"überfällig","offen")),"")</f>
        <v/>
      </c>
      <c r="M34" s="57">
        <f>IF(OR(G34="N.I.O",G34="bed. OK"),COUNTIF($G$13:G34,"N.I.O")+COUNTIF($G$13:G34,"bed. OK"),"")</f>
        <v/>
      </c>
      <c r="N34" s="58">
        <f>IF(G34="N.I.O",COUNTIF($G$13:G34,"N.I.O"),"")</f>
        <v/>
      </c>
      <c r="O34" s="59">
        <f>IF(G34="OK",IF(F34="",1,F34),IF(G34="bed. OK",IF(F34="",1,F34)*Gewicht_bedOK,IF(G34="N.I.O",0,"")))</f>
        <v/>
      </c>
      <c r="P34" s="58">
        <f>IF(OR(G34="OK",G34="bed. OK",G34="N.I.O"),IF(F34="",1,F34),"")</f>
        <v/>
      </c>
      <c r="Q34" s="53" t="inlineStr">
        <is>
          <t>Is outsourcing (contracting) practiced for maintenance, inspection, and planned repairs?</t>
        </is>
      </c>
    </row>
    <row r="35">
      <c r="A35" s="51">
        <f>IF(C35="","",COUNTIF($C$13:C35,"?*"))</f>
        <v/>
      </c>
      <c r="B35" s="52" t="inlineStr">
        <is>
          <t>Durchführung &amp; Schulung</t>
        </is>
      </c>
      <c r="C35" s="52" t="inlineStr">
        <is>
          <t>Sind MA für präventive Instandhaltung (PM) geschult worden?</t>
        </is>
      </c>
      <c r="D35" s="53" t="inlineStr">
        <is>
          <t>Schulungsplan und -nachweise, Unterweisungen, Herstellerschulungen.</t>
        </is>
      </c>
      <c r="E35" s="54" t="inlineStr">
        <is>
          <t>Vorlage 16</t>
        </is>
      </c>
      <c r="F35" s="55" t="n">
        <v>1</v>
      </c>
      <c r="G35" s="55" t="n"/>
      <c r="H35" s="52" t="n"/>
      <c r="I35" s="52" t="n"/>
      <c r="J35" s="56" t="n"/>
      <c r="K35" s="55" t="n"/>
      <c r="L35" s="57">
        <f>IF(OR(G35="N.I.O",G35="bed. OK"),IF(K35="ja","erledigt",IF(AND(J35&lt;&gt;"",J35&lt;TODAY()),"überfällig","offen")),"")</f>
        <v/>
      </c>
      <c r="M35" s="57">
        <f>IF(OR(G35="N.I.O",G35="bed. OK"),COUNTIF($G$13:G35,"N.I.O")+COUNTIF($G$13:G35,"bed. OK"),"")</f>
        <v/>
      </c>
      <c r="N35" s="58">
        <f>IF(G35="N.I.O",COUNTIF($G$13:G35,"N.I.O"),"")</f>
        <v/>
      </c>
      <c r="O35" s="59">
        <f>IF(G35="OK",IF(F35="",1,F35),IF(G35="bed. OK",IF(F35="",1,F35)*Gewicht_bedOK,IF(G35="N.I.O",0,"")))</f>
        <v/>
      </c>
      <c r="P35" s="58">
        <f>IF(OR(G35="OK",G35="bed. OK",G35="N.I.O"),IF(F35="",1,F35),"")</f>
        <v/>
      </c>
      <c r="Q35" s="53" t="inlineStr">
        <is>
          <t>Have employees been trained in preventive maintenance (PM)?</t>
        </is>
      </c>
    </row>
    <row r="36">
      <c r="A36" s="51">
        <f>IF(C36="","",COUNTIF($C$13:C36,"?*"))</f>
        <v/>
      </c>
      <c r="B36" s="52" t="inlineStr">
        <is>
          <t>Durchführung &amp; Schulung</t>
        </is>
      </c>
      <c r="C36" s="52" t="inlineStr">
        <is>
          <t>Werden Betriebsstoffe für PM bereitgestellt?</t>
        </is>
      </c>
      <c r="D36" s="53" t="inlineStr">
        <is>
          <t>Schmierstoffe, Filter, Verbrauchsmaterial verfügbar und gekennzeichnet.</t>
        </is>
      </c>
      <c r="E36" s="54" t="inlineStr">
        <is>
          <t>Vorlage 17</t>
        </is>
      </c>
      <c r="F36" s="55" t="n">
        <v>1</v>
      </c>
      <c r="G36" s="55" t="n"/>
      <c r="H36" s="52" t="n"/>
      <c r="I36" s="52" t="n"/>
      <c r="J36" s="56" t="n"/>
      <c r="K36" s="55" t="n"/>
      <c r="L36" s="57">
        <f>IF(OR(G36="N.I.O",G36="bed. OK"),IF(K36="ja","erledigt",IF(AND(J36&lt;&gt;"",J36&lt;TODAY()),"überfällig","offen")),"")</f>
        <v/>
      </c>
      <c r="M36" s="57">
        <f>IF(OR(G36="N.I.O",G36="bed. OK"),COUNTIF($G$13:G36,"N.I.O")+COUNTIF($G$13:G36,"bed. OK"),"")</f>
        <v/>
      </c>
      <c r="N36" s="58">
        <f>IF(G36="N.I.O",COUNTIF($G$13:G36,"N.I.O"),"")</f>
        <v/>
      </c>
      <c r="O36" s="59">
        <f>IF(G36="OK",IF(F36="",1,F36),IF(G36="bed. OK",IF(F36="",1,F36)*Gewicht_bedOK,IF(G36="N.I.O",0,"")))</f>
        <v/>
      </c>
      <c r="P36" s="58">
        <f>IF(OR(G36="OK",G36="bed. OK",G36="N.I.O"),IF(F36="",1,F36),"")</f>
        <v/>
      </c>
      <c r="Q36" s="53" t="inlineStr">
        <is>
          <t>Are operating materials provided for PM?</t>
        </is>
      </c>
    </row>
    <row r="37">
      <c r="A37" s="51">
        <f>IF(C37="","",COUNTIF($C$13:C37,"?*"))</f>
        <v/>
      </c>
      <c r="B37" s="52" t="inlineStr">
        <is>
          <t>Durchführung &amp; Schulung</t>
        </is>
      </c>
      <c r="C37" s="52" t="inlineStr">
        <is>
          <t>Werden Wartungen sachgemäß durchgeführt? Sichtkontrolle? Erledigte/unerledigte Aufträge?</t>
        </is>
      </c>
      <c r="D37" s="53" t="inlineStr">
        <is>
          <t>Begehung vor Ort; Anteil überfälliger Wartungsaufträge im System.</t>
        </is>
      </c>
      <c r="E37" s="54" t="inlineStr">
        <is>
          <t>Vorlage 18</t>
        </is>
      </c>
      <c r="F37" s="55" t="n">
        <v>1</v>
      </c>
      <c r="G37" s="55" t="n"/>
      <c r="H37" s="52" t="n"/>
      <c r="I37" s="52" t="n"/>
      <c r="J37" s="56" t="n"/>
      <c r="K37" s="55" t="n"/>
      <c r="L37" s="57">
        <f>IF(OR(G37="N.I.O",G37="bed. OK"),IF(K37="ja","erledigt",IF(AND(J37&lt;&gt;"",J37&lt;TODAY()),"überfällig","offen")),"")</f>
        <v/>
      </c>
      <c r="M37" s="57">
        <f>IF(OR(G37="N.I.O",G37="bed. OK"),COUNTIF($G$13:G37,"N.I.O")+COUNTIF($G$13:G37,"bed. OK"),"")</f>
        <v/>
      </c>
      <c r="N37" s="58">
        <f>IF(G37="N.I.O",COUNTIF($G$13:G37,"N.I.O"),"")</f>
        <v/>
      </c>
      <c r="O37" s="59">
        <f>IF(G37="OK",IF(F37="",1,F37),IF(G37="bed. OK",IF(F37="",1,F37)*Gewicht_bedOK,IF(G37="N.I.O",0,"")))</f>
        <v/>
      </c>
      <c r="P37" s="58">
        <f>IF(OR(G37="OK",G37="bed. OK",G37="N.I.O"),IF(F37="",1,F37),"")</f>
        <v/>
      </c>
      <c r="Q37" s="53" t="inlineStr">
        <is>
          <t>Is maintenance being carried out properly? Visual inspection? Completed/uncompleted tasks?</t>
        </is>
      </c>
    </row>
    <row r="38">
      <c r="A38" s="51">
        <f>IF(C38="","",COUNTIF($C$13:C38,"?*"))</f>
        <v/>
      </c>
      <c r="B38" s="52" t="inlineStr">
        <is>
          <t>Durchführung &amp; Schulung</t>
        </is>
      </c>
      <c r="C38" s="52" t="inlineStr">
        <is>
          <t>Wie werden Werkzeuge gewartet? In welchem Zustand?</t>
        </is>
      </c>
      <c r="D38" s="53" t="inlineStr">
        <is>
          <t>Zustand von Hand- und Spezialwerkzeug, Prüfung, Lagerung.</t>
        </is>
      </c>
      <c r="E38" s="54" t="inlineStr">
        <is>
          <t>Vorlage 19</t>
        </is>
      </c>
      <c r="F38" s="55" t="n">
        <v>1</v>
      </c>
      <c r="G38" s="55" t="n"/>
      <c r="H38" s="52" t="n"/>
      <c r="I38" s="52" t="n"/>
      <c r="J38" s="56" t="n"/>
      <c r="K38" s="55" t="n"/>
      <c r="L38" s="57">
        <f>IF(OR(G38="N.I.O",G38="bed. OK"),IF(K38="ja","erledigt",IF(AND(J38&lt;&gt;"",J38&lt;TODAY()),"überfällig","offen")),"")</f>
        <v/>
      </c>
      <c r="M38" s="57">
        <f>IF(OR(G38="N.I.O",G38="bed. OK"),COUNTIF($G$13:G38,"N.I.O")+COUNTIF($G$13:G38,"bed. OK"),"")</f>
        <v/>
      </c>
      <c r="N38" s="58">
        <f>IF(G38="N.I.O",COUNTIF($G$13:G38,"N.I.O"),"")</f>
        <v/>
      </c>
      <c r="O38" s="59">
        <f>IF(G38="OK",IF(F38="",1,F38),IF(G38="bed. OK",IF(F38="",1,F38)*Gewicht_bedOK,IF(G38="N.I.O",0,"")))</f>
        <v/>
      </c>
      <c r="P38" s="58">
        <f>IF(OR(G38="OK",G38="bed. OK",G38="N.I.O"),IF(F38="",1,F38),"")</f>
        <v/>
      </c>
      <c r="Q38" s="53" t="inlineStr">
        <is>
          <t>How are tools maintained? In what condition?</t>
        </is>
      </c>
    </row>
    <row r="39">
      <c r="A39" s="60">
        <f>IF(C39="","",COUNTIF($C$13:C39,"?*"))</f>
        <v/>
      </c>
      <c r="B39" s="52" t="inlineStr">
        <is>
          <t>Durchführung &amp; Schulung</t>
        </is>
      </c>
      <c r="C39" s="52" t="inlineStr">
        <is>
          <t>Führen Bediener definierte Reinigungs-, Prüf- und Schmieraufgaben durch (autonome IH / TPM)?</t>
        </is>
      </c>
      <c r="D39" s="53" t="inlineStr">
        <is>
          <t>Bedienerstandards und Checklisten an der Anlage, Abzeichnung, Übergabe an IH bei Abweichung.</t>
        </is>
      </c>
      <c r="E39" s="61" t="inlineStr">
        <is>
          <t>NEU</t>
        </is>
      </c>
      <c r="F39" s="55" t="n">
        <v>1</v>
      </c>
      <c r="G39" s="55" t="n"/>
      <c r="H39" s="52" t="n"/>
      <c r="I39" s="52" t="n"/>
      <c r="J39" s="56" t="n"/>
      <c r="K39" s="55" t="n"/>
      <c r="L39" s="57">
        <f>IF(OR(G39="N.I.O",G39="bed. OK"),IF(K39="ja","erledigt",IF(AND(J39&lt;&gt;"",J39&lt;TODAY()),"überfällig","offen")),"")</f>
        <v/>
      </c>
      <c r="M39" s="57">
        <f>IF(OR(G39="N.I.O",G39="bed. OK"),COUNTIF($G$13:G39,"N.I.O")+COUNTIF($G$13:G39,"bed. OK"),"")</f>
        <v/>
      </c>
      <c r="N39" s="58">
        <f>IF(G39="N.I.O",COUNTIF($G$13:G39,"N.I.O"),"")</f>
        <v/>
      </c>
      <c r="O39" s="59">
        <f>IF(G39="OK",IF(F39="",1,F39),IF(G39="bed. OK",IF(F39="",1,F39)*Gewicht_bedOK,IF(G39="N.I.O",0,"")))</f>
        <v/>
      </c>
      <c r="P39" s="58">
        <f>IF(OR(G39="OK",G39="bed. OK",G39="N.I.O"),IF(F39="",1,F39),"")</f>
        <v/>
      </c>
      <c r="Q39" s="53" t="inlineStr">
        <is>
          <t>Do operators carry out defined cleaning, inspection and lubrication tasks (autonomous maintenance / TPM)?</t>
        </is>
      </c>
    </row>
    <row r="40">
      <c r="A40" s="60">
        <f>IF(C40="","",COUNTIF($C$13:C40,"?*"))</f>
        <v/>
      </c>
      <c r="B40" s="52" t="inlineStr">
        <is>
          <t>Durchführung &amp; Schulung</t>
        </is>
      </c>
      <c r="C40" s="52" t="inlineStr">
        <is>
          <t>Gibt es nach Instandsetzung eine dokumentierte Funktionsprüfung und Freigabe vor dem Wiederanlauf?</t>
        </is>
      </c>
      <c r="D40" s="53" t="inlineStr">
        <is>
          <t>Freigabe (ggf. durch Qualität) dokumentiert, Rückmeldung an Produktion, Erstteilprüfung.</t>
        </is>
      </c>
      <c r="E40" s="61" t="inlineStr">
        <is>
          <t>NEU</t>
        </is>
      </c>
      <c r="F40" s="55" t="n">
        <v>1</v>
      </c>
      <c r="G40" s="55" t="n"/>
      <c r="H40" s="52" t="n"/>
      <c r="I40" s="52" t="n"/>
      <c r="J40" s="56" t="n"/>
      <c r="K40" s="55" t="n"/>
      <c r="L40" s="57">
        <f>IF(OR(G40="N.I.O",G40="bed. OK"),IF(K40="ja","erledigt",IF(AND(J40&lt;&gt;"",J40&lt;TODAY()),"überfällig","offen")),"")</f>
        <v/>
      </c>
      <c r="M40" s="57">
        <f>IF(OR(G40="N.I.O",G40="bed. OK"),COUNTIF($G$13:G40,"N.I.O")+COUNTIF($G$13:G40,"bed. OK"),"")</f>
        <v/>
      </c>
      <c r="N40" s="58">
        <f>IF(G40="N.I.O",COUNTIF($G$13:G40,"N.I.O"),"")</f>
        <v/>
      </c>
      <c r="O40" s="59">
        <f>IF(G40="OK",IF(F40="",1,F40),IF(G40="bed. OK",IF(F40="",1,F40)*Gewicht_bedOK,IF(G40="N.I.O",0,"")))</f>
        <v/>
      </c>
      <c r="P40" s="58">
        <f>IF(OR(G40="OK",G40="bed. OK",G40="N.I.O"),IF(F40="",1,F40),"")</f>
        <v/>
      </c>
      <c r="Q40" s="53" t="inlineStr">
        <is>
          <t>Is there a documented function test and release before restarting after repair?</t>
        </is>
      </c>
    </row>
    <row r="41">
      <c r="A41" s="51">
        <f>IF(C41="","",COUNTIF($C$13:C41,"?*"))</f>
        <v/>
      </c>
      <c r="B41" s="52" t="inlineStr">
        <is>
          <t>Auswertung &amp; Verbesserung</t>
        </is>
      </c>
      <c r="C41" s="52" t="inlineStr">
        <is>
          <t>Werden Wartungsmängel ausgewertet?</t>
        </is>
      </c>
      <c r="D41" s="53" t="inlineStr">
        <is>
          <t>Mängelliste aus Wartungen, Nachverfolgung, Auswertung von Häufungen.</t>
        </is>
      </c>
      <c r="E41" s="54" t="inlineStr">
        <is>
          <t>Vorlage 20</t>
        </is>
      </c>
      <c r="F41" s="55" t="n">
        <v>1</v>
      </c>
      <c r="G41" s="55" t="n"/>
      <c r="H41" s="52" t="n"/>
      <c r="I41" s="52" t="n"/>
      <c r="J41" s="56" t="n"/>
      <c r="K41" s="55" t="n"/>
      <c r="L41" s="57">
        <f>IF(OR(G41="N.I.O",G41="bed. OK"),IF(K41="ja","erledigt",IF(AND(J41&lt;&gt;"",J41&lt;TODAY()),"überfällig","offen")),"")</f>
        <v/>
      </c>
      <c r="M41" s="57">
        <f>IF(OR(G41="N.I.O",G41="bed. OK"),COUNTIF($G$13:G41,"N.I.O")+COUNTIF($G$13:G41,"bed. OK"),"")</f>
        <v/>
      </c>
      <c r="N41" s="58">
        <f>IF(G41="N.I.O",COUNTIF($G$13:G41,"N.I.O"),"")</f>
        <v/>
      </c>
      <c r="O41" s="59">
        <f>IF(G41="OK",IF(F41="",1,F41),IF(G41="bed. OK",IF(F41="",1,F41)*Gewicht_bedOK,IF(G41="N.I.O",0,"")))</f>
        <v/>
      </c>
      <c r="P41" s="58">
        <f>IF(OR(G41="OK",G41="bed. OK",G41="N.I.O"),IF(F41="",1,F41),"")</f>
        <v/>
      </c>
      <c r="Q41" s="53" t="inlineStr">
        <is>
          <t>Are maintenance deficiencies evaluated?</t>
        </is>
      </c>
    </row>
    <row r="42">
      <c r="A42" s="51">
        <f>IF(C42="","",COUNTIF($C$13:C42,"?*"))</f>
        <v/>
      </c>
      <c r="B42" s="52" t="inlineStr">
        <is>
          <t>Auswertung &amp; Verbesserung</t>
        </is>
      </c>
      <c r="C42" s="52" t="inlineStr">
        <is>
          <t>Kontinuierliche Optimierung der Wartungs-/Inspektionspläne?</t>
        </is>
      </c>
      <c r="D42" s="53" t="inlineStr">
        <is>
          <t>Intervalle anhand von Ausfalldaten angepasst; Änderungshistorie der Pläne.</t>
        </is>
      </c>
      <c r="E42" s="54" t="inlineStr">
        <is>
          <t>Vorlage 21</t>
        </is>
      </c>
      <c r="F42" s="55" t="n">
        <v>1</v>
      </c>
      <c r="G42" s="55" t="n"/>
      <c r="H42" s="52" t="n"/>
      <c r="I42" s="52" t="n"/>
      <c r="J42" s="56" t="n"/>
      <c r="K42" s="55" t="n"/>
      <c r="L42" s="57">
        <f>IF(OR(G42="N.I.O",G42="bed. OK"),IF(K42="ja","erledigt",IF(AND(J42&lt;&gt;"",J42&lt;TODAY()),"überfällig","offen")),"")</f>
        <v/>
      </c>
      <c r="M42" s="57">
        <f>IF(OR(G42="N.I.O",G42="bed. OK"),COUNTIF($G$13:G42,"N.I.O")+COUNTIF($G$13:G42,"bed. OK"),"")</f>
        <v/>
      </c>
      <c r="N42" s="58">
        <f>IF(G42="N.I.O",COUNTIF($G$13:G42,"N.I.O"),"")</f>
        <v/>
      </c>
      <c r="O42" s="59">
        <f>IF(G42="OK",IF(F42="",1,F42),IF(G42="bed. OK",IF(F42="",1,F42)*Gewicht_bedOK,IF(G42="N.I.O",0,"")))</f>
        <v/>
      </c>
      <c r="P42" s="58">
        <f>IF(OR(G42="OK",G42="bed. OK",G42="N.I.O"),IF(F42="",1,F42),"")</f>
        <v/>
      </c>
      <c r="Q42" s="53" t="inlineStr">
        <is>
          <t>Continuous optimization of maintenance/inspection plans?</t>
        </is>
      </c>
    </row>
    <row r="43">
      <c r="A43" s="51">
        <f>IF(C43="","",COUNTIF($C$13:C43,"?*"))</f>
        <v/>
      </c>
      <c r="B43" s="52" t="inlineStr">
        <is>
          <t>Auswertung &amp; Verbesserung</t>
        </is>
      </c>
      <c r="C43" s="52" t="inlineStr">
        <is>
          <t>Schadensregistrierung (Änderung durch konstruktives Beseitigen von Störquellen)</t>
        </is>
      </c>
      <c r="D43" s="53" t="inlineStr">
        <is>
          <t>Schäden mit Ursache erfasst; Störquellen konstruktiv beseitigt (Verbesserung nach DIN 31051).</t>
        </is>
      </c>
      <c r="E43" s="54" t="inlineStr">
        <is>
          <t>Vorlage 22</t>
        </is>
      </c>
      <c r="F43" s="55" t="n">
        <v>1</v>
      </c>
      <c r="G43" s="55" t="n"/>
      <c r="H43" s="52" t="n"/>
      <c r="I43" s="52" t="n"/>
      <c r="J43" s="56" t="n"/>
      <c r="K43" s="55" t="n"/>
      <c r="L43" s="57">
        <f>IF(OR(G43="N.I.O",G43="bed. OK"),IF(K43="ja","erledigt",IF(AND(J43&lt;&gt;"",J43&lt;TODAY()),"überfällig","offen")),"")</f>
        <v/>
      </c>
      <c r="M43" s="57">
        <f>IF(OR(G43="N.I.O",G43="bed. OK"),COUNTIF($G$13:G43,"N.I.O")+COUNTIF($G$13:G43,"bed. OK"),"")</f>
        <v/>
      </c>
      <c r="N43" s="58">
        <f>IF(G43="N.I.O",COUNTIF($G$13:G43,"N.I.O"),"")</f>
        <v/>
      </c>
      <c r="O43" s="59">
        <f>IF(G43="OK",IF(F43="",1,F43),IF(G43="bed. OK",IF(F43="",1,F43)*Gewicht_bedOK,IF(G43="N.I.O",0,"")))</f>
        <v/>
      </c>
      <c r="P43" s="58">
        <f>IF(OR(G43="OK",G43="bed. OK",G43="N.I.O"),IF(F43="",1,F43),"")</f>
        <v/>
      </c>
      <c r="Q43" s="53" t="inlineStr">
        <is>
          <t>Damage registration (change by constructive elimination of sources of faults)</t>
        </is>
      </c>
    </row>
    <row r="44">
      <c r="A44" s="51">
        <f>IF(C44="","",COUNTIF($C$13:C44,"?*"))</f>
        <v/>
      </c>
      <c r="B44" s="52" t="inlineStr">
        <is>
          <t>Auswertung &amp; Verbesserung</t>
        </is>
      </c>
      <c r="C44" s="52" t="inlineStr">
        <is>
          <t>Schadensanalysen und Durchführung</t>
        </is>
      </c>
      <c r="D44" s="53" t="inlineStr">
        <is>
          <t>Ursachenanalysen (5-Why, Ishikawa, 8D) bei wiederkehrenden Störungen; Top-Störer-Liste.</t>
        </is>
      </c>
      <c r="E44" s="54" t="inlineStr">
        <is>
          <t>Vorlage 23</t>
        </is>
      </c>
      <c r="F44" s="55" t="n">
        <v>1</v>
      </c>
      <c r="G44" s="55" t="n"/>
      <c r="H44" s="52" t="n"/>
      <c r="I44" s="52" t="n"/>
      <c r="J44" s="56" t="n"/>
      <c r="K44" s="55" t="n"/>
      <c r="L44" s="57">
        <f>IF(OR(G44="N.I.O",G44="bed. OK"),IF(K44="ja","erledigt",IF(AND(J44&lt;&gt;"",J44&lt;TODAY()),"überfällig","offen")),"")</f>
        <v/>
      </c>
      <c r="M44" s="57">
        <f>IF(OR(G44="N.I.O",G44="bed. OK"),COUNTIF($G$13:G44,"N.I.O")+COUNTIF($G$13:G44,"bed. OK"),"")</f>
        <v/>
      </c>
      <c r="N44" s="58">
        <f>IF(G44="N.I.O",COUNTIF($G$13:G44,"N.I.O"),"")</f>
        <v/>
      </c>
      <c r="O44" s="59">
        <f>IF(G44="OK",IF(F44="",1,F44),IF(G44="bed. OK",IF(F44="",1,F44)*Gewicht_bedOK,IF(G44="N.I.O",0,"")))</f>
        <v/>
      </c>
      <c r="P44" s="58">
        <f>IF(OR(G44="OK",G44="bed. OK",G44="N.I.O"),IF(F44="",1,F44),"")</f>
        <v/>
      </c>
      <c r="Q44" s="53" t="inlineStr">
        <is>
          <t>Damage analysis and implementation</t>
        </is>
      </c>
    </row>
    <row r="45">
      <c r="A45" s="51">
        <f>IF(C45="","",COUNTIF($C$13:C45,"?*"))</f>
        <v/>
      </c>
      <c r="B45" s="52" t="inlineStr">
        <is>
          <t>Auswertung &amp; Verbesserung</t>
        </is>
      </c>
      <c r="C45" s="52">
        <f>"Technische Verfügbarkeit der Maschinen als Maß für die IH ≥ "&amp;TEXT(Ziel_Verfuegbarkeit,"0%")&amp;" (Zielwert, siehe Einstellungen)"</f>
        <v/>
      </c>
      <c r="D45" s="53" t="inlineStr">
        <is>
          <t>Berechnung: MTBF ÷ (MTBF + MTTR). Datenquelle prüfen. Zielwert auf Blatt „Einstellungen“ (Vorlage nannte DE 90 %, EN 80 %).</t>
        </is>
      </c>
      <c r="E45" s="54" t="inlineStr">
        <is>
          <t>Vorlage 24</t>
        </is>
      </c>
      <c r="F45" s="55" t="n">
        <v>1</v>
      </c>
      <c r="G45" s="55" t="n"/>
      <c r="H45" s="52" t="n"/>
      <c r="I45" s="52" t="n"/>
      <c r="J45" s="56" t="n"/>
      <c r="K45" s="55" t="n"/>
      <c r="L45" s="57">
        <f>IF(OR(G45="N.I.O",G45="bed. OK"),IF(K45="ja","erledigt",IF(AND(J45&lt;&gt;"",J45&lt;TODAY()),"überfällig","offen")),"")</f>
        <v/>
      </c>
      <c r="M45" s="57">
        <f>IF(OR(G45="N.I.O",G45="bed. OK"),COUNTIF($G$13:G45,"N.I.O")+COUNTIF($G$13:G45,"bed. OK"),"")</f>
        <v/>
      </c>
      <c r="N45" s="58">
        <f>IF(G45="N.I.O",COUNTIF($G$13:G45,"N.I.O"),"")</f>
        <v/>
      </c>
      <c r="O45" s="59">
        <f>IF(G45="OK",IF(F45="",1,F45),IF(G45="bed. OK",IF(F45="",1,F45)*Gewicht_bedOK,IF(G45="N.I.O",0,"")))</f>
        <v/>
      </c>
      <c r="P45" s="58">
        <f>IF(OR(G45="OK",G45="bed. OK",G45="N.I.O"),IF(F45="",1,F45),"")</f>
        <v/>
      </c>
      <c r="Q45" s="53" t="inlineStr">
        <is>
          <t>Technical availability of machines as a measure of maintenance (target see settings)</t>
        </is>
      </c>
    </row>
    <row r="46">
      <c r="A46" s="60">
        <f>IF(C46="","",COUNTIF($C$13:C46,"?*"))</f>
        <v/>
      </c>
      <c r="B46" s="52" t="inlineStr">
        <is>
          <t>Auswertung &amp; Verbesserung</t>
        </is>
      </c>
      <c r="C46" s="52" t="inlineStr">
        <is>
          <t>Gibt es regelmäßige Besprechungen IH / Produktion mit Störungs- und Maßnahmenverfolgung (Shopfloor)?</t>
        </is>
      </c>
      <c r="D46" s="53" t="inlineStr">
        <is>
          <t>Termin und Teilnehmer, Störungs- und Maßnahmenliste mit Verantwortlichen und Terminen.</t>
        </is>
      </c>
      <c r="E46" s="61" t="inlineStr">
        <is>
          <t>NEU</t>
        </is>
      </c>
      <c r="F46" s="55" t="n">
        <v>1</v>
      </c>
      <c r="G46" s="55" t="n"/>
      <c r="H46" s="52" t="n"/>
      <c r="I46" s="52" t="n"/>
      <c r="J46" s="56" t="n"/>
      <c r="K46" s="55" t="n"/>
      <c r="L46" s="57">
        <f>IF(OR(G46="N.I.O",G46="bed. OK"),IF(K46="ja","erledigt",IF(AND(J46&lt;&gt;"",J46&lt;TODAY()),"überfällig","offen")),"")</f>
        <v/>
      </c>
      <c r="M46" s="57">
        <f>IF(OR(G46="N.I.O",G46="bed. OK"),COUNTIF($G$13:G46,"N.I.O")+COUNTIF($G$13:G46,"bed. OK"),"")</f>
        <v/>
      </c>
      <c r="N46" s="58">
        <f>IF(G46="N.I.O",COUNTIF($G$13:G46,"N.I.O"),"")</f>
        <v/>
      </c>
      <c r="O46" s="59">
        <f>IF(G46="OK",IF(F46="",1,F46),IF(G46="bed. OK",IF(F46="",1,F46)*Gewicht_bedOK,IF(G46="N.I.O",0,"")))</f>
        <v/>
      </c>
      <c r="P46" s="58">
        <f>IF(OR(G46="OK",G46="bed. OK",G46="N.I.O"),IF(F46="",1,F46),"")</f>
        <v/>
      </c>
      <c r="Q46" s="53" t="inlineStr">
        <is>
          <t>Are there regular maintenance/production meetings tracking breakdowns and actions (shopfloor)?</t>
        </is>
      </c>
    </row>
    <row r="47">
      <c r="A47" s="60">
        <f>IF(C47="","",COUNTIF($C$13:C47,"?*"))</f>
        <v/>
      </c>
      <c r="B47" s="52" t="inlineStr">
        <is>
          <t>Auswertung &amp; Verbesserung</t>
        </is>
      </c>
      <c r="C47" s="52" t="inlineStr">
        <is>
          <t>Wird die IH bei der Beschaffung neuer Anlagen beteiligt (Lastenheft, Abnahme)?</t>
        </is>
      </c>
      <c r="D47" s="53" t="inlineStr">
        <is>
          <t>IH-Anforderungen im Lastenheft (Doku, Ersatzteile, Zugänglichkeit), Beteiligung an Abnahme.</t>
        </is>
      </c>
      <c r="E47" s="61" t="inlineStr">
        <is>
          <t>NEU</t>
        </is>
      </c>
      <c r="F47" s="55" t="n">
        <v>1</v>
      </c>
      <c r="G47" s="55" t="n"/>
      <c r="H47" s="52" t="n"/>
      <c r="I47" s="52" t="n"/>
      <c r="J47" s="56" t="n"/>
      <c r="K47" s="55" t="n"/>
      <c r="L47" s="57">
        <f>IF(OR(G47="N.I.O",G47="bed. OK"),IF(K47="ja","erledigt",IF(AND(J47&lt;&gt;"",J47&lt;TODAY()),"überfällig","offen")),"")</f>
        <v/>
      </c>
      <c r="M47" s="57">
        <f>IF(OR(G47="N.I.O",G47="bed. OK"),COUNTIF($G$13:G47,"N.I.O")+COUNTIF($G$13:G47,"bed. OK"),"")</f>
        <v/>
      </c>
      <c r="N47" s="58">
        <f>IF(G47="N.I.O",COUNTIF($G$13:G47,"N.I.O"),"")</f>
        <v/>
      </c>
      <c r="O47" s="59">
        <f>IF(G47="OK",IF(F47="",1,F47),IF(G47="bed. OK",IF(F47="",1,F47)*Gewicht_bedOK,IF(G47="N.I.O",0,"")))</f>
        <v/>
      </c>
      <c r="P47" s="58">
        <f>IF(OR(G47="OK",G47="bed. OK",G47="N.I.O"),IF(F47="",1,F47),"")</f>
        <v/>
      </c>
      <c r="Q47" s="53" t="inlineStr">
        <is>
          <t>Is maintenance involved in purchasing new equipment (specification, acceptance)?</t>
        </is>
      </c>
    </row>
    <row r="48">
      <c r="A48" s="51">
        <f>IF(C48="","",COUNTIF($C$13:C48,"?*"))</f>
        <v/>
      </c>
      <c r="B48" s="52" t="inlineStr">
        <is>
          <t>Dokumentation &amp; Kommunikation</t>
        </is>
      </c>
      <c r="C48" s="52" t="inlineStr">
        <is>
          <t>Verwaltung der technischen Dokumentation (Stücklisten, Maschinenbeschreibung, technische Zeichnungen)</t>
        </is>
      </c>
      <c r="D48" s="53" t="inlineStr">
        <is>
          <t>Ablage aktuell und zugänglich (digital / Papier): Stücklisten, Schaltpläne, Zeichnungen, Betriebsanleitungen.</t>
        </is>
      </c>
      <c r="E48" s="54" t="inlineStr">
        <is>
          <t>Vorlage 25</t>
        </is>
      </c>
      <c r="F48" s="55" t="n">
        <v>1</v>
      </c>
      <c r="G48" s="55" t="n"/>
      <c r="H48" s="52" t="n"/>
      <c r="I48" s="52" t="n"/>
      <c r="J48" s="56" t="n"/>
      <c r="K48" s="55" t="n"/>
      <c r="L48" s="57">
        <f>IF(OR(G48="N.I.O",G48="bed. OK"),IF(K48="ja","erledigt",IF(AND(J48&lt;&gt;"",J48&lt;TODAY()),"überfällig","offen")),"")</f>
        <v/>
      </c>
      <c r="M48" s="57">
        <f>IF(OR(G48="N.I.O",G48="bed. OK"),COUNTIF($G$13:G48,"N.I.O")+COUNTIF($G$13:G48,"bed. OK"),"")</f>
        <v/>
      </c>
      <c r="N48" s="58">
        <f>IF(G48="N.I.O",COUNTIF($G$13:G48,"N.I.O"),"")</f>
        <v/>
      </c>
      <c r="O48" s="59">
        <f>IF(G48="OK",IF(F48="",1,F48),IF(G48="bed. OK",IF(F48="",1,F48)*Gewicht_bedOK,IF(G48="N.I.O",0,"")))</f>
        <v/>
      </c>
      <c r="P48" s="58">
        <f>IF(OR(G48="OK",G48="bed. OK",G48="N.I.O"),IF(F48="",1,F48),"")</f>
        <v/>
      </c>
      <c r="Q48" s="53" t="inlineStr">
        <is>
          <t>Management of technical documentation (parts lists; machine descriptions; technical drawings)</t>
        </is>
      </c>
    </row>
    <row r="49">
      <c r="A49" s="60">
        <f>IF(C49="","",COUNTIF($C$13:C49,"?*"))</f>
        <v/>
      </c>
      <c r="B49" s="52" t="inlineStr">
        <is>
          <t>Dokumentation &amp; Kommunikation</t>
        </is>
      </c>
      <c r="C49" s="52" t="inlineStr">
        <is>
          <t>Wird je Anlage eine Maschinenhistorie (Lebenslaufakte) geführt?</t>
        </is>
      </c>
      <c r="D49" s="53" t="inlineStr">
        <is>
          <t>Störungen, Reparaturen, Änderungen und Prüfungen je Anlage nachvollziehbar.</t>
        </is>
      </c>
      <c r="E49" s="61" t="inlineStr">
        <is>
          <t>NEU</t>
        </is>
      </c>
      <c r="F49" s="55" t="n">
        <v>1</v>
      </c>
      <c r="G49" s="55" t="n"/>
      <c r="H49" s="52" t="n"/>
      <c r="I49" s="52" t="n"/>
      <c r="J49" s="56" t="n"/>
      <c r="K49" s="55" t="n"/>
      <c r="L49" s="57">
        <f>IF(OR(G49="N.I.O",G49="bed. OK"),IF(K49="ja","erledigt",IF(AND(J49&lt;&gt;"",J49&lt;TODAY()),"überfällig","offen")),"")</f>
        <v/>
      </c>
      <c r="M49" s="57">
        <f>IF(OR(G49="N.I.O",G49="bed. OK"),COUNTIF($G$13:G49,"N.I.O")+COUNTIF($G$13:G49,"bed. OK"),"")</f>
        <v/>
      </c>
      <c r="N49" s="58">
        <f>IF(G49="N.I.O",COUNTIF($G$13:G49,"N.I.O"),"")</f>
        <v/>
      </c>
      <c r="O49" s="59">
        <f>IF(G49="OK",IF(F49="",1,F49),IF(G49="bed. OK",IF(F49="",1,F49)*Gewicht_bedOK,IF(G49="N.I.O",0,"")))</f>
        <v/>
      </c>
      <c r="P49" s="58">
        <f>IF(OR(G49="OK",G49="bed. OK",G49="N.I.O"),IF(F49="",1,F49),"")</f>
        <v/>
      </c>
      <c r="Q49" s="53" t="inlineStr">
        <is>
          <t>Is a machine history (log book) kept for each machine?</t>
        </is>
      </c>
    </row>
    <row r="50">
      <c r="A50" s="60">
        <f>IF(C50="","",COUNTIF($C$13:C50,"?*"))</f>
        <v/>
      </c>
      <c r="B50" s="52" t="inlineStr">
        <is>
          <t>Dokumentation &amp; Kommunikation</t>
        </is>
      </c>
      <c r="C50" s="52" t="inlineStr">
        <is>
          <t>Werden technische Änderungen an Anlagen dokumentiert (inkl. Steuerungs-/Software-Stände, Datensicherung)?</t>
        </is>
      </c>
      <c r="D50" s="53" t="inlineStr">
        <is>
          <t>Änderungsantrag und -freigabe, Unterlagen nachgeführt, aktuelle Sicherung der SPS-/Roboterprogramme.</t>
        </is>
      </c>
      <c r="E50" s="61" t="inlineStr">
        <is>
          <t>NEU</t>
        </is>
      </c>
      <c r="F50" s="55" t="n">
        <v>1</v>
      </c>
      <c r="G50" s="55" t="n"/>
      <c r="H50" s="52" t="n"/>
      <c r="I50" s="52" t="n"/>
      <c r="J50" s="56" t="n"/>
      <c r="K50" s="55" t="n"/>
      <c r="L50" s="57">
        <f>IF(OR(G50="N.I.O",G50="bed. OK"),IF(K50="ja","erledigt",IF(AND(J50&lt;&gt;"",J50&lt;TODAY()),"überfällig","offen")),"")</f>
        <v/>
      </c>
      <c r="M50" s="57">
        <f>IF(OR(G50="N.I.O",G50="bed. OK"),COUNTIF($G$13:G50,"N.I.O")+COUNTIF($G$13:G50,"bed. OK"),"")</f>
        <v/>
      </c>
      <c r="N50" s="58">
        <f>IF(G50="N.I.O",COUNTIF($G$13:G50,"N.I.O"),"")</f>
        <v/>
      </c>
      <c r="O50" s="59">
        <f>IF(G50="OK",IF(F50="",1,F50),IF(G50="bed. OK",IF(F50="",1,F50)*Gewicht_bedOK,IF(G50="N.I.O",0,"")))</f>
        <v/>
      </c>
      <c r="P50" s="58">
        <f>IF(OR(G50="OK",G50="bed. OK",G50="N.I.O"),IF(F50="",1,F50),"")</f>
        <v/>
      </c>
      <c r="Q50" s="53" t="inlineStr">
        <is>
          <t>Are technical changes documented (incl. control/software versions, backups)?</t>
        </is>
      </c>
    </row>
    <row r="51">
      <c r="A51" s="51">
        <f>IF(C51="","",COUNTIF($C$13:C51,"?*"))</f>
        <v/>
      </c>
      <c r="B51" s="52" t="inlineStr">
        <is>
          <t>Dokumentation &amp; Kommunikation</t>
        </is>
      </c>
      <c r="C51" s="52" t="inlineStr">
        <is>
          <t>Findet eine Absprache zwischen Instandhaltung und Produktion statt?</t>
        </is>
      </c>
      <c r="D51" s="53" t="inlineStr">
        <is>
          <t>Abstimmung von Stillständen und Wartungsfenstern; Protokolle.</t>
        </is>
      </c>
      <c r="E51" s="54" t="inlineStr">
        <is>
          <t>Vorlage 26</t>
        </is>
      </c>
      <c r="F51" s="55" t="n">
        <v>1</v>
      </c>
      <c r="G51" s="55" t="n"/>
      <c r="H51" s="52" t="n"/>
      <c r="I51" s="52" t="n"/>
      <c r="J51" s="56" t="n"/>
      <c r="K51" s="55" t="n"/>
      <c r="L51" s="57">
        <f>IF(OR(G51="N.I.O",G51="bed. OK"),IF(K51="ja","erledigt",IF(AND(J51&lt;&gt;"",J51&lt;TODAY()),"überfällig","offen")),"")</f>
        <v/>
      </c>
      <c r="M51" s="57">
        <f>IF(OR(G51="N.I.O",G51="bed. OK"),COUNTIF($G$13:G51,"N.I.O")+COUNTIF($G$13:G51,"bed. OK"),"")</f>
        <v/>
      </c>
      <c r="N51" s="58">
        <f>IF(G51="N.I.O",COUNTIF($G$13:G51,"N.I.O"),"")</f>
        <v/>
      </c>
      <c r="O51" s="59">
        <f>IF(G51="OK",IF(F51="",1,F51),IF(G51="bed. OK",IF(F51="",1,F51)*Gewicht_bedOK,IF(G51="N.I.O",0,"")))</f>
        <v/>
      </c>
      <c r="P51" s="58">
        <f>IF(OR(G51="OK",G51="bed. OK",G51="N.I.O"),IF(F51="",1,F51),"")</f>
        <v/>
      </c>
      <c r="Q51" s="53" t="inlineStr">
        <is>
          <t>Is there coordination between maintenance and production?</t>
        </is>
      </c>
    </row>
    <row r="52">
      <c r="A52" s="51">
        <f>IF(C52="","",COUNTIF($C$13:C52,"?*"))</f>
        <v/>
      </c>
      <c r="B52" s="52" t="inlineStr">
        <is>
          <t>Dokumentation &amp; Kommunikation</t>
        </is>
      </c>
      <c r="C52" s="52" t="inlineStr">
        <is>
          <t>Wie gelangen Informationen an die Instandhalter / Anlagenführer?</t>
        </is>
      </c>
      <c r="D52" s="53" t="inlineStr">
        <is>
          <t>Schichtübergabe, Schichtbuch, Infotafel, digitale Meldungen.</t>
        </is>
      </c>
      <c r="E52" s="54" t="inlineStr">
        <is>
          <t>Vorlage 27</t>
        </is>
      </c>
      <c r="F52" s="55" t="n">
        <v>1</v>
      </c>
      <c r="G52" s="55" t="n"/>
      <c r="H52" s="52" t="n"/>
      <c r="I52" s="52" t="n"/>
      <c r="J52" s="56" t="n"/>
      <c r="K52" s="55" t="n"/>
      <c r="L52" s="57">
        <f>IF(OR(G52="N.I.O",G52="bed. OK"),IF(K52="ja","erledigt",IF(AND(J52&lt;&gt;"",J52&lt;TODAY()),"überfällig","offen")),"")</f>
        <v/>
      </c>
      <c r="M52" s="57">
        <f>IF(OR(G52="N.I.O",G52="bed. OK"),COUNTIF($G$13:G52,"N.I.O")+COUNTIF($G$13:G52,"bed. OK"),"")</f>
        <v/>
      </c>
      <c r="N52" s="58">
        <f>IF(G52="N.I.O",COUNTIF($G$13:G52,"N.I.O"),"")</f>
        <v/>
      </c>
      <c r="O52" s="59">
        <f>IF(G52="OK",IF(F52="",1,F52),IF(G52="bed. OK",IF(F52="",1,F52)*Gewicht_bedOK,IF(G52="N.I.O",0,"")))</f>
        <v/>
      </c>
      <c r="P52" s="58">
        <f>IF(OR(G52="OK",G52="bed. OK",G52="N.I.O"),IF(F52="",1,F52),"")</f>
        <v/>
      </c>
      <c r="Q52" s="53" t="inlineStr">
        <is>
          <t>How does information reach maintenance staff / machine operators?</t>
        </is>
      </c>
    </row>
    <row r="53">
      <c r="A53" s="51">
        <f>IF(C53="","",COUNTIF($C$13:C53,"?*"))</f>
        <v/>
      </c>
      <c r="B53" s="52" t="inlineStr">
        <is>
          <t>Dokumentation &amp; Kommunikation</t>
        </is>
      </c>
      <c r="C53" s="52" t="inlineStr">
        <is>
          <t>Wie ist die Bereitschaft der Instandhalter zu Weiterbildungsmaßnahmen?</t>
        </is>
      </c>
      <c r="D53" s="53" t="inlineStr">
        <is>
          <t>Weiterbildungsplan, Teilnahmequote, Mitarbeitergespräche.</t>
        </is>
      </c>
      <c r="E53" s="54" t="inlineStr">
        <is>
          <t>Vorlage 28</t>
        </is>
      </c>
      <c r="F53" s="55" t="n">
        <v>1</v>
      </c>
      <c r="G53" s="55" t="n"/>
      <c r="H53" s="52" t="n"/>
      <c r="I53" s="52" t="n"/>
      <c r="J53" s="56" t="n"/>
      <c r="K53" s="55" t="n"/>
      <c r="L53" s="57">
        <f>IF(OR(G53="N.I.O",G53="bed. OK"),IF(K53="ja","erledigt",IF(AND(J53&lt;&gt;"",J53&lt;TODAY()),"überfällig","offen")),"")</f>
        <v/>
      </c>
      <c r="M53" s="57">
        <f>IF(OR(G53="N.I.O",G53="bed. OK"),COUNTIF($G$13:G53,"N.I.O")+COUNTIF($G$13:G53,"bed. OK"),"")</f>
        <v/>
      </c>
      <c r="N53" s="58">
        <f>IF(G53="N.I.O",COUNTIF($G$13:G53,"N.I.O"),"")</f>
        <v/>
      </c>
      <c r="O53" s="59">
        <f>IF(G53="OK",IF(F53="",1,F53),IF(G53="bed. OK",IF(F53="",1,F53)*Gewicht_bedOK,IF(G53="N.I.O",0,"")))</f>
        <v/>
      </c>
      <c r="P53" s="58">
        <f>IF(OR(G53="OK",G53="bed. OK",G53="N.I.O"),IF(F53="",1,F53),"")</f>
        <v/>
      </c>
      <c r="Q53" s="53" t="inlineStr">
        <is>
          <t>How willing are maintenance staff to take part in further training?</t>
        </is>
      </c>
    </row>
    <row r="54">
      <c r="A54" s="51">
        <f>IF(C54="","",COUNTIF($C$13:C54,"?*"))</f>
        <v/>
      </c>
      <c r="B54" s="52" t="inlineStr">
        <is>
          <t>Werkstatt &amp; Betriebsmittel</t>
        </is>
      </c>
      <c r="C54" s="52" t="inlineStr">
        <is>
          <t>Wie sieht die Werkstattausstattung aus und wie ist deren Qualität?</t>
        </is>
      </c>
      <c r="D54" s="53" t="inlineStr">
        <is>
          <t>Begehung: Maschinen, Arbeitsplätze, Hebezeuge, Zustand.</t>
        </is>
      </c>
      <c r="E54" s="54" t="inlineStr">
        <is>
          <t>Vorlage 29</t>
        </is>
      </c>
      <c r="F54" s="55" t="n">
        <v>1</v>
      </c>
      <c r="G54" s="55" t="n"/>
      <c r="H54" s="52" t="n"/>
      <c r="I54" s="52" t="n"/>
      <c r="J54" s="56" t="n"/>
      <c r="K54" s="55" t="n"/>
      <c r="L54" s="57">
        <f>IF(OR(G54="N.I.O",G54="bed. OK"),IF(K54="ja","erledigt",IF(AND(J54&lt;&gt;"",J54&lt;TODAY()),"überfällig","offen")),"")</f>
        <v/>
      </c>
      <c r="M54" s="57">
        <f>IF(OR(G54="N.I.O",G54="bed. OK"),COUNTIF($G$13:G54,"N.I.O")+COUNTIF($G$13:G54,"bed. OK"),"")</f>
        <v/>
      </c>
      <c r="N54" s="58">
        <f>IF(G54="N.I.O",COUNTIF($G$13:G54,"N.I.O"),"")</f>
        <v/>
      </c>
      <c r="O54" s="59">
        <f>IF(G54="OK",IF(F54="",1,F54),IF(G54="bed. OK",IF(F54="",1,F54)*Gewicht_bedOK,IF(G54="N.I.O",0,"")))</f>
        <v/>
      </c>
      <c r="P54" s="58">
        <f>IF(OR(G54="OK",G54="bed. OK",G54="N.I.O"),IF(F54="",1,F54),"")</f>
        <v/>
      </c>
      <c r="Q54" s="53" t="inlineStr">
        <is>
          <t>What does the workshop equipment look like and what is its quality?</t>
        </is>
      </c>
    </row>
    <row r="55">
      <c r="A55" s="51">
        <f>IF(C55="","",COUNTIF($C$13:C55,"?*"))</f>
        <v/>
      </c>
      <c r="B55" s="52" t="inlineStr">
        <is>
          <t>Werkstatt &amp; Betriebsmittel</t>
        </is>
      </c>
      <c r="C55" s="52" t="inlineStr">
        <is>
          <t>Gibt es Betriebsmittel für Instandsetzung, PM und Generalüberholung?</t>
        </is>
      </c>
      <c r="D55" s="53" t="inlineStr">
        <is>
          <t>Vorrichtungen, Spezialwerkzeug, Prüfstände vorhanden und einsatzbereit.</t>
        </is>
      </c>
      <c r="E55" s="54" t="inlineStr">
        <is>
          <t>Vorlage 30</t>
        </is>
      </c>
      <c r="F55" s="55" t="n">
        <v>1</v>
      </c>
      <c r="G55" s="55" t="n"/>
      <c r="H55" s="52" t="n"/>
      <c r="I55" s="52" t="n"/>
      <c r="J55" s="56" t="n"/>
      <c r="K55" s="55" t="n"/>
      <c r="L55" s="57">
        <f>IF(OR(G55="N.I.O",G55="bed. OK"),IF(K55="ja","erledigt",IF(AND(J55&lt;&gt;"",J55&lt;TODAY()),"überfällig","offen")),"")</f>
        <v/>
      </c>
      <c r="M55" s="57">
        <f>IF(OR(G55="N.I.O",G55="bed. OK"),COUNTIF($G$13:G55,"N.I.O")+COUNTIF($G$13:G55,"bed. OK"),"")</f>
        <v/>
      </c>
      <c r="N55" s="58">
        <f>IF(G55="N.I.O",COUNTIF($G$13:G55,"N.I.O"),"")</f>
        <v/>
      </c>
      <c r="O55" s="59">
        <f>IF(G55="OK",IF(F55="",1,F55),IF(G55="bed. OK",IF(F55="",1,F55)*Gewicht_bedOK,IF(G55="N.I.O",0,"")))</f>
        <v/>
      </c>
      <c r="P55" s="58">
        <f>IF(OR(G55="OK",G55="bed. OK",G55="N.I.O"),IF(F55="",1,F55),"")</f>
        <v/>
      </c>
      <c r="Q55" s="53" t="inlineStr">
        <is>
          <t>Are there resources available for repair, preventive maintenance (PM), and major overhauls?</t>
        </is>
      </c>
    </row>
    <row r="56">
      <c r="A56" s="60">
        <f>IF(C56="","",COUNTIF($C$13:C56,"?*"))</f>
        <v/>
      </c>
      <c r="B56" s="52" t="inlineStr">
        <is>
          <t>Werkstatt &amp; Betriebsmittel</t>
        </is>
      </c>
      <c r="C56" s="52" t="inlineStr">
        <is>
          <t>Ordnung und Sauberkeit in der IH-Werkstatt (5S)?</t>
        </is>
      </c>
      <c r="D56" s="53" t="inlineStr">
        <is>
          <t>Kennzeichnung, feste Plätze (Schattenbretter), Sauberkeit; Ergebnis letztes 5S-Audit.</t>
        </is>
      </c>
      <c r="E56" s="61" t="inlineStr">
        <is>
          <t>NEU</t>
        </is>
      </c>
      <c r="F56" s="55" t="n">
        <v>1</v>
      </c>
      <c r="G56" s="55" t="n"/>
      <c r="H56" s="52" t="n"/>
      <c r="I56" s="52" t="n"/>
      <c r="J56" s="56" t="n"/>
      <c r="K56" s="55" t="n"/>
      <c r="L56" s="57">
        <f>IF(OR(G56="N.I.O",G56="bed. OK"),IF(K56="ja","erledigt",IF(AND(J56&lt;&gt;"",J56&lt;TODAY()),"überfällig","offen")),"")</f>
        <v/>
      </c>
      <c r="M56" s="57">
        <f>IF(OR(G56="N.I.O",G56="bed. OK"),COUNTIF($G$13:G56,"N.I.O")+COUNTIF($G$13:G56,"bed. OK"),"")</f>
        <v/>
      </c>
      <c r="N56" s="58">
        <f>IF(G56="N.I.O",COUNTIF($G$13:G56,"N.I.O"),"")</f>
        <v/>
      </c>
      <c r="O56" s="59">
        <f>IF(G56="OK",IF(F56="",1,F56),IF(G56="bed. OK",IF(F56="",1,F56)*Gewicht_bedOK,IF(G56="N.I.O",0,"")))</f>
        <v/>
      </c>
      <c r="P56" s="58">
        <f>IF(OR(G56="OK",G56="bed. OK",G56="N.I.O"),IF(F56="",1,F56),"")</f>
        <v/>
      </c>
      <c r="Q56" s="53" t="inlineStr">
        <is>
          <t>Order and cleanliness in the maintenance workshop (5S)?</t>
        </is>
      </c>
    </row>
    <row r="57">
      <c r="A57" s="60">
        <f>IF(C57="","",COUNTIF($C$13:C57,"?*"))</f>
        <v/>
      </c>
      <c r="B57" s="52" t="inlineStr">
        <is>
          <t>Werkstatt &amp; Betriebsmittel</t>
        </is>
      </c>
      <c r="C57" s="52" t="inlineStr">
        <is>
          <t>Sind die Prüf- und Messmittel der IH erfasst und kalibriert?</t>
        </is>
      </c>
      <c r="D57" s="53" t="inlineStr">
        <is>
          <t>Messmittelliste (Multimeter, Drehmomentschlüssel, Messschieber …), Prüfplakette gültig.</t>
        </is>
      </c>
      <c r="E57" s="61" t="inlineStr">
        <is>
          <t>NEU</t>
        </is>
      </c>
      <c r="F57" s="55" t="n">
        <v>1</v>
      </c>
      <c r="G57" s="55" t="n"/>
      <c r="H57" s="52" t="n"/>
      <c r="I57" s="52" t="n"/>
      <c r="J57" s="56" t="n"/>
      <c r="K57" s="55" t="n"/>
      <c r="L57" s="57">
        <f>IF(OR(G57="N.I.O",G57="bed. OK"),IF(K57="ja","erledigt",IF(AND(J57&lt;&gt;"",J57&lt;TODAY()),"überfällig","offen")),"")</f>
        <v/>
      </c>
      <c r="M57" s="57">
        <f>IF(OR(G57="N.I.O",G57="bed. OK"),COUNTIF($G$13:G57,"N.I.O")+COUNTIF($G$13:G57,"bed. OK"),"")</f>
        <v/>
      </c>
      <c r="N57" s="58">
        <f>IF(G57="N.I.O",COUNTIF($G$13:G57,"N.I.O"),"")</f>
        <v/>
      </c>
      <c r="O57" s="59">
        <f>IF(G57="OK",IF(F57="",1,F57),IF(G57="bed. OK",IF(F57="",1,F57)*Gewicht_bedOK,IF(G57="N.I.O",0,"")))</f>
        <v/>
      </c>
      <c r="P57" s="58">
        <f>IF(OR(G57="OK",G57="bed. OK",G57="N.I.O"),IF(F57="",1,F57),"")</f>
        <v/>
      </c>
      <c r="Q57" s="53" t="inlineStr">
        <is>
          <t>Are maintenance test and measuring devices registered and calibrated?</t>
        </is>
      </c>
    </row>
    <row r="58">
      <c r="A58" s="51">
        <f>IF(C58="","",COUNTIF($C$13:C58,"?*"))</f>
        <v/>
      </c>
      <c r="B58" s="52" t="inlineStr">
        <is>
          <t>Material &amp; Ersatzteile</t>
        </is>
      </c>
      <c r="C58" s="52" t="inlineStr">
        <is>
          <t>Wie wird die Materialplanung (Ersatzteile, Betriebs- und Hilfsstoffe) durchgeführt (Stücklisten, Programme, Disposition)?</t>
        </is>
      </c>
      <c r="D58" s="53" t="inlineStr">
        <is>
          <t>Dispositionsverfahren, Stücklisten im System, Bestellvorschläge.</t>
        </is>
      </c>
      <c r="E58" s="54" t="inlineStr">
        <is>
          <t>Vorlage 31</t>
        </is>
      </c>
      <c r="F58" s="55" t="n">
        <v>1</v>
      </c>
      <c r="G58" s="55" t="n"/>
      <c r="H58" s="52" t="n"/>
      <c r="I58" s="52" t="n"/>
      <c r="J58" s="56" t="n"/>
      <c r="K58" s="55" t="n"/>
      <c r="L58" s="57">
        <f>IF(OR(G58="N.I.O",G58="bed. OK"),IF(K58="ja","erledigt",IF(AND(J58&lt;&gt;"",J58&lt;TODAY()),"überfällig","offen")),"")</f>
        <v/>
      </c>
      <c r="M58" s="57">
        <f>IF(OR(G58="N.I.O",G58="bed. OK"),COUNTIF($G$13:G58,"N.I.O")+COUNTIF($G$13:G58,"bed. OK"),"")</f>
        <v/>
      </c>
      <c r="N58" s="58">
        <f>IF(G58="N.I.O",COUNTIF($G$13:G58,"N.I.O"),"")</f>
        <v/>
      </c>
      <c r="O58" s="59">
        <f>IF(G58="OK",IF(F58="",1,F58),IF(G58="bed. OK",IF(F58="",1,F58)*Gewicht_bedOK,IF(G58="N.I.O",0,"")))</f>
        <v/>
      </c>
      <c r="P58" s="58">
        <f>IF(OR(G58="OK",G58="bed. OK",G58="N.I.O"),IF(F58="",1,F58),"")</f>
        <v/>
      </c>
      <c r="Q58" s="53" t="inlineStr">
        <is>
          <t>How is material planning (spare parts, operating and auxiliary materials) carried out (bills of materials; programs; scheduling)?</t>
        </is>
      </c>
    </row>
    <row r="59">
      <c r="A59" s="51">
        <f>IF(C59="","",COUNTIF($C$13:C59,"?*"))</f>
        <v/>
      </c>
      <c r="B59" s="52" t="inlineStr">
        <is>
          <t>Material &amp; Ersatzteile</t>
        </is>
      </c>
      <c r="C59" s="52" t="inlineStr">
        <is>
          <t>Ersatzteile Anlagen</t>
        </is>
      </c>
      <c r="D59" s="53" t="inlineStr">
        <is>
          <t>Ersatzteillisten je Anlage vorhanden, Verfügbarkeit kritischer Teile.</t>
        </is>
      </c>
      <c r="E59" s="54" t="inlineStr">
        <is>
          <t>Vorlage 32</t>
        </is>
      </c>
      <c r="F59" s="55" t="n">
        <v>1</v>
      </c>
      <c r="G59" s="55" t="n"/>
      <c r="H59" s="52" t="n"/>
      <c r="I59" s="52" t="n"/>
      <c r="J59" s="56" t="n"/>
      <c r="K59" s="55" t="n"/>
      <c r="L59" s="57">
        <f>IF(OR(G59="N.I.O",G59="bed. OK"),IF(K59="ja","erledigt",IF(AND(J59&lt;&gt;"",J59&lt;TODAY()),"überfällig","offen")),"")</f>
        <v/>
      </c>
      <c r="M59" s="57">
        <f>IF(OR(G59="N.I.O",G59="bed. OK"),COUNTIF($G$13:G59,"N.I.O")+COUNTIF($G$13:G59,"bed. OK"),"")</f>
        <v/>
      </c>
      <c r="N59" s="58">
        <f>IF(G59="N.I.O",COUNTIF($G$13:G59,"N.I.O"),"")</f>
        <v/>
      </c>
      <c r="O59" s="59">
        <f>IF(G59="OK",IF(F59="",1,F59),IF(G59="bed. OK",IF(F59="",1,F59)*Gewicht_bedOK,IF(G59="N.I.O",0,"")))</f>
        <v/>
      </c>
      <c r="P59" s="58">
        <f>IF(OR(G59="OK",G59="bed. OK",G59="N.I.O"),IF(F59="",1,F59),"")</f>
        <v/>
      </c>
      <c r="Q59" s="53" t="inlineStr">
        <is>
          <t>Spare parts machines</t>
        </is>
      </c>
    </row>
    <row r="60">
      <c r="A60" s="51">
        <f>IF(C60="","",COUNTIF($C$13:C60,"?*"))</f>
        <v/>
      </c>
      <c r="B60" s="52" t="inlineStr">
        <is>
          <t>Material &amp; Ersatzteile</t>
        </is>
      </c>
      <c r="C60" s="52" t="inlineStr">
        <is>
          <t>Ersatzteile Werkzeuge</t>
        </is>
      </c>
      <c r="D60" s="53" t="inlineStr">
        <is>
          <t>Ersatzteile für Werkzeuge definiert und verfügbar.</t>
        </is>
      </c>
      <c r="E60" s="54" t="inlineStr">
        <is>
          <t>Vorlage 33</t>
        </is>
      </c>
      <c r="F60" s="55" t="n">
        <v>1</v>
      </c>
      <c r="G60" s="55" t="n"/>
      <c r="H60" s="52" t="n"/>
      <c r="I60" s="52" t="n"/>
      <c r="J60" s="56" t="n"/>
      <c r="K60" s="55" t="n"/>
      <c r="L60" s="57">
        <f>IF(OR(G60="N.I.O",G60="bed. OK"),IF(K60="ja","erledigt",IF(AND(J60&lt;&gt;"",J60&lt;TODAY()),"überfällig","offen")),"")</f>
        <v/>
      </c>
      <c r="M60" s="57">
        <f>IF(OR(G60="N.I.O",G60="bed. OK"),COUNTIF($G$13:G60,"N.I.O")+COUNTIF($G$13:G60,"bed. OK"),"")</f>
        <v/>
      </c>
      <c r="N60" s="58">
        <f>IF(G60="N.I.O",COUNTIF($G$13:G60,"N.I.O"),"")</f>
        <v/>
      </c>
      <c r="O60" s="59">
        <f>IF(G60="OK",IF(F60="",1,F60),IF(G60="bed. OK",IF(F60="",1,F60)*Gewicht_bedOK,IF(G60="N.I.O",0,"")))</f>
        <v/>
      </c>
      <c r="P60" s="58">
        <f>IF(OR(G60="OK",G60="bed. OK",G60="N.I.O"),IF(F60="",1,F60),"")</f>
        <v/>
      </c>
      <c r="Q60" s="53" t="inlineStr">
        <is>
          <t>Spare parts tools</t>
        </is>
      </c>
    </row>
    <row r="61">
      <c r="A61" s="51">
        <f>IF(C61="","",COUNTIF($C$13:C61,"?*"))</f>
        <v/>
      </c>
      <c r="B61" s="52" t="inlineStr">
        <is>
          <t>Material &amp; Ersatzteile</t>
        </is>
      </c>
      <c r="C61" s="52" t="inlineStr">
        <is>
          <t>Betriebs- und Hilfsstoffe</t>
        </is>
      </c>
      <c r="D61" s="53" t="inlineStr">
        <is>
          <t>Bevorratung, Kennzeichnung, Lagerung.</t>
        </is>
      </c>
      <c r="E61" s="54" t="inlineStr">
        <is>
          <t>Vorlage 34</t>
        </is>
      </c>
      <c r="F61" s="55" t="n">
        <v>1</v>
      </c>
      <c r="G61" s="55" t="n"/>
      <c r="H61" s="52" t="n"/>
      <c r="I61" s="52" t="n"/>
      <c r="J61" s="56" t="n"/>
      <c r="K61" s="55" t="n"/>
      <c r="L61" s="57">
        <f>IF(OR(G61="N.I.O",G61="bed. OK"),IF(K61="ja","erledigt",IF(AND(J61&lt;&gt;"",J61&lt;TODAY()),"überfällig","offen")),"")</f>
        <v/>
      </c>
      <c r="M61" s="57">
        <f>IF(OR(G61="N.I.O",G61="bed. OK"),COUNTIF($G$13:G61,"N.I.O")+COUNTIF($G$13:G61,"bed. OK"),"")</f>
        <v/>
      </c>
      <c r="N61" s="58">
        <f>IF(G61="N.I.O",COUNTIF($G$13:G61,"N.I.O"),"")</f>
        <v/>
      </c>
      <c r="O61" s="59">
        <f>IF(G61="OK",IF(F61="",1,F61),IF(G61="bed. OK",IF(F61="",1,F61)*Gewicht_bedOK,IF(G61="N.I.O",0,"")))</f>
        <v/>
      </c>
      <c r="P61" s="58">
        <f>IF(OR(G61="OK",G61="bed. OK",G61="N.I.O"),IF(F61="",1,F61),"")</f>
        <v/>
      </c>
      <c r="Q61" s="53" t="inlineStr">
        <is>
          <t>Operating and auxiliary materials</t>
        </is>
      </c>
    </row>
    <row r="62">
      <c r="A62" s="51">
        <f>IF(C62="","",COUNTIF($C$13:C62,"?*"))</f>
        <v/>
      </c>
      <c r="B62" s="52" t="inlineStr">
        <is>
          <t>Material &amp; Ersatzteile</t>
        </is>
      </c>
      <c r="C62" s="52" t="inlineStr">
        <is>
          <t>Qualität der Ersatzteillager / Ordnung</t>
        </is>
      </c>
      <c r="D62" s="53" t="inlineStr">
        <is>
          <t>Lagerplätze gekennzeichnet, Bestand im System = Bestand im Regal (Stichprobe).</t>
        </is>
      </c>
      <c r="E62" s="54" t="inlineStr">
        <is>
          <t>Vorlage 35</t>
        </is>
      </c>
      <c r="F62" s="55" t="n">
        <v>1</v>
      </c>
      <c r="G62" s="55" t="n"/>
      <c r="H62" s="52" t="n"/>
      <c r="I62" s="52" t="n"/>
      <c r="J62" s="56" t="n"/>
      <c r="K62" s="55" t="n"/>
      <c r="L62" s="57">
        <f>IF(OR(G62="N.I.O",G62="bed. OK"),IF(K62="ja","erledigt",IF(AND(J62&lt;&gt;"",J62&lt;TODAY()),"überfällig","offen")),"")</f>
        <v/>
      </c>
      <c r="M62" s="57">
        <f>IF(OR(G62="N.I.O",G62="bed. OK"),COUNTIF($G$13:G62,"N.I.O")+COUNTIF($G$13:G62,"bed. OK"),"")</f>
        <v/>
      </c>
      <c r="N62" s="58">
        <f>IF(G62="N.I.O",COUNTIF($G$13:G62,"N.I.O"),"")</f>
        <v/>
      </c>
      <c r="O62" s="59">
        <f>IF(G62="OK",IF(F62="",1,F62),IF(G62="bed. OK",IF(F62="",1,F62)*Gewicht_bedOK,IF(G62="N.I.O",0,"")))</f>
        <v/>
      </c>
      <c r="P62" s="58">
        <f>IF(OR(G62="OK",G62="bed. OK",G62="N.I.O"),IF(F62="",1,F62),"")</f>
        <v/>
      </c>
      <c r="Q62" s="53" t="inlineStr">
        <is>
          <t>Quality of spare parts storage / organization</t>
        </is>
      </c>
    </row>
    <row r="63">
      <c r="A63" s="51">
        <f>IF(C63="","",COUNTIF($C$13:C63,"?*"))</f>
        <v/>
      </c>
      <c r="B63" s="52" t="inlineStr">
        <is>
          <t>Material &amp; Ersatzteile</t>
        </is>
      </c>
      <c r="C63" s="52" t="inlineStr">
        <is>
          <t>Qualität der Ersatzteillager / Sicherheitsbestände</t>
        </is>
      </c>
      <c r="D63" s="53" t="inlineStr">
        <is>
          <t>Mindestbestände festgelegt und eingehalten.</t>
        </is>
      </c>
      <c r="E63" s="54" t="inlineStr">
        <is>
          <t>Vorlage 36</t>
        </is>
      </c>
      <c r="F63" s="55" t="n">
        <v>1</v>
      </c>
      <c r="G63" s="55" t="n"/>
      <c r="H63" s="52" t="n"/>
      <c r="I63" s="52" t="n"/>
      <c r="J63" s="56" t="n"/>
      <c r="K63" s="55" t="n"/>
      <c r="L63" s="57">
        <f>IF(OR(G63="N.I.O",G63="bed. OK"),IF(K63="ja","erledigt",IF(AND(J63&lt;&gt;"",J63&lt;TODAY()),"überfällig","offen")),"")</f>
        <v/>
      </c>
      <c r="M63" s="57">
        <f>IF(OR(G63="N.I.O",G63="bed. OK"),COUNTIF($G$13:G63,"N.I.O")+COUNTIF($G$13:G63,"bed. OK"),"")</f>
        <v/>
      </c>
      <c r="N63" s="58">
        <f>IF(G63="N.I.O",COUNTIF($G$13:G63,"N.I.O"),"")</f>
        <v/>
      </c>
      <c r="O63" s="59">
        <f>IF(G63="OK",IF(F63="",1,F63),IF(G63="bed. OK",IF(F63="",1,F63)*Gewicht_bedOK,IF(G63="N.I.O",0,"")))</f>
        <v/>
      </c>
      <c r="P63" s="58">
        <f>IF(OR(G63="OK",G63="bed. OK",G63="N.I.O"),IF(F63="",1,F63),"")</f>
        <v/>
      </c>
      <c r="Q63" s="53" t="inlineStr">
        <is>
          <t>Quality of spare parts inventory / safety stocks</t>
        </is>
      </c>
    </row>
    <row r="64">
      <c r="A64" s="60">
        <f>IF(C64="","",COUNTIF($C$13:C64,"?*"))</f>
        <v/>
      </c>
      <c r="B64" s="52" t="inlineStr">
        <is>
          <t>Material &amp; Ersatzteile</t>
        </is>
      </c>
      <c r="C64" s="52" t="inlineStr">
        <is>
          <t>Sind kritische Ersatzteile für A-Anlagen festgelegt (Lieferzeit, Mindestbestand)?</t>
        </is>
      </c>
      <c r="D64" s="53" t="inlineStr">
        <is>
          <t>Liste kritischer Teile mit Lieferzeit, Mindestbestand und Lagerort; Abgleich mit Kritikalität A/B/C.</t>
        </is>
      </c>
      <c r="E64" s="61" t="inlineStr">
        <is>
          <t>NEU</t>
        </is>
      </c>
      <c r="F64" s="55" t="n">
        <v>1</v>
      </c>
      <c r="G64" s="55" t="n"/>
      <c r="H64" s="52" t="n"/>
      <c r="I64" s="52" t="n"/>
      <c r="J64" s="56" t="n"/>
      <c r="K64" s="55" t="n"/>
      <c r="L64" s="57">
        <f>IF(OR(G64="N.I.O",G64="bed. OK"),IF(K64="ja","erledigt",IF(AND(J64&lt;&gt;"",J64&lt;TODAY()),"überfällig","offen")),"")</f>
        <v/>
      </c>
      <c r="M64" s="57">
        <f>IF(OR(G64="N.I.O",G64="bed. OK"),COUNTIF($G$13:G64,"N.I.O")+COUNTIF($G$13:G64,"bed. OK"),"")</f>
        <v/>
      </c>
      <c r="N64" s="58">
        <f>IF(G64="N.I.O",COUNTIF($G$13:G64,"N.I.O"),"")</f>
        <v/>
      </c>
      <c r="O64" s="59">
        <f>IF(G64="OK",IF(F64="",1,F64),IF(G64="bed. OK",IF(F64="",1,F64)*Gewicht_bedOK,IF(G64="N.I.O",0,"")))</f>
        <v/>
      </c>
      <c r="P64" s="58">
        <f>IF(OR(G64="OK",G64="bed. OK",G64="N.I.O"),IF(F64="",1,F64),"")</f>
        <v/>
      </c>
      <c r="Q64" s="53" t="inlineStr">
        <is>
          <t>Are critical spare parts for A-class machines defined (lead time, minimum stock)?</t>
        </is>
      </c>
    </row>
    <row r="65">
      <c r="A65" s="60">
        <f>IF(C65="","",COUNTIF($C$13:C65,"?*"))</f>
        <v/>
      </c>
      <c r="B65" s="52" t="inlineStr">
        <is>
          <t>Material &amp; Ersatzteile</t>
        </is>
      </c>
      <c r="C65" s="52" t="inlineStr">
        <is>
          <t>Werden Ersatzteile sachgerecht gelagert und konserviert (Feuchte, ESD, Haltbarkeit, FIFO)?</t>
        </is>
      </c>
      <c r="D65" s="53" t="inlineStr">
        <is>
          <t>Lagerbedingungen, Konservierung, ESD-Schutz für Elektronik, Haltbarkeit von Dichtungen/Schläuchen (IATF 16949, 8.5.1.5).</t>
        </is>
      </c>
      <c r="E65" s="61" t="inlineStr">
        <is>
          <t>NEU</t>
        </is>
      </c>
      <c r="F65" s="55" t="n">
        <v>1</v>
      </c>
      <c r="G65" s="55" t="n"/>
      <c r="H65" s="52" t="n"/>
      <c r="I65" s="52" t="n"/>
      <c r="J65" s="56" t="n"/>
      <c r="K65" s="55" t="n"/>
      <c r="L65" s="57">
        <f>IF(OR(G65="N.I.O",G65="bed. OK"),IF(K65="ja","erledigt",IF(AND(J65&lt;&gt;"",J65&lt;TODAY()),"überfällig","offen")),"")</f>
        <v/>
      </c>
      <c r="M65" s="57">
        <f>IF(OR(G65="N.I.O",G65="bed. OK"),COUNTIF($G$13:G65,"N.I.O")+COUNTIF($G$13:G65,"bed. OK"),"")</f>
        <v/>
      </c>
      <c r="N65" s="58">
        <f>IF(G65="N.I.O",COUNTIF($G$13:G65,"N.I.O"),"")</f>
        <v/>
      </c>
      <c r="O65" s="59">
        <f>IF(G65="OK",IF(F65="",1,F65),IF(G65="bed. OK",IF(F65="",1,F65)*Gewicht_bedOK,IF(G65="N.I.O",0,"")))</f>
        <v/>
      </c>
      <c r="P65" s="58">
        <f>IF(OR(G65="OK",G65="bed. OK",G65="N.I.O"),IF(F65="",1,F65),"")</f>
        <v/>
      </c>
      <c r="Q65" s="53" t="inlineStr">
        <is>
          <t>Are spare parts stored and preserved properly (humidity, ESD, shelf life, FIFO)?</t>
        </is>
      </c>
    </row>
    <row r="66">
      <c r="A66" s="51">
        <f>IF(C66="","",COUNTIF($C$13:C66,"?*"))</f>
        <v/>
      </c>
      <c r="B66" s="52" t="inlineStr">
        <is>
          <t>Kennzahlen</t>
        </is>
      </c>
      <c r="C66" s="52" t="inlineStr">
        <is>
          <t>Gibt es Instandhaltungs-Kennzahlen?</t>
        </is>
      </c>
      <c r="D66" s="53" t="inlineStr">
        <is>
          <t>z. B. MTBF, MTTR, technische Verfügbarkeit, OEE, IH-Kosten (DIN EN 15341).</t>
        </is>
      </c>
      <c r="E66" s="54" t="inlineStr">
        <is>
          <t>Vorlage 37</t>
        </is>
      </c>
      <c r="F66" s="55" t="n">
        <v>1</v>
      </c>
      <c r="G66" s="55" t="n"/>
      <c r="H66" s="52" t="n"/>
      <c r="I66" s="52" t="n"/>
      <c r="J66" s="56" t="n"/>
      <c r="K66" s="55" t="n"/>
      <c r="L66" s="57">
        <f>IF(OR(G66="N.I.O",G66="bed. OK"),IF(K66="ja","erledigt",IF(AND(J66&lt;&gt;"",J66&lt;TODAY()),"überfällig","offen")),"")</f>
        <v/>
      </c>
      <c r="M66" s="57">
        <f>IF(OR(G66="N.I.O",G66="bed. OK"),COUNTIF($G$13:G66,"N.I.O")+COUNTIF($G$13:G66,"bed. OK"),"")</f>
        <v/>
      </c>
      <c r="N66" s="58">
        <f>IF(G66="N.I.O",COUNTIF($G$13:G66,"N.I.O"),"")</f>
        <v/>
      </c>
      <c r="O66" s="59">
        <f>IF(G66="OK",IF(F66="",1,F66),IF(G66="bed. OK",IF(F66="",1,F66)*Gewicht_bedOK,IF(G66="N.I.O",0,"")))</f>
        <v/>
      </c>
      <c r="P66" s="58">
        <f>IF(OR(G66="OK",G66="bed. OK",G66="N.I.O"),IF(F66="",1,F66),"")</f>
        <v/>
      </c>
      <c r="Q66" s="53" t="inlineStr">
        <is>
          <t>Are there maintenance indicators?</t>
        </is>
      </c>
    </row>
    <row r="67">
      <c r="A67" s="51">
        <f>IF(C67="","",COUNTIF($C$13:C67,"?*"))</f>
        <v/>
      </c>
      <c r="B67" s="52" t="inlineStr">
        <is>
          <t>Kennzahlen</t>
        </is>
      </c>
      <c r="C67" s="52" t="inlineStr">
        <is>
          <t>Nutzung von Kennzahlen</t>
        </is>
      </c>
      <c r="D67" s="53" t="inlineStr">
        <is>
          <t>Werden die Kennzahlen regelmäßig besprochen und für Entscheidungen genutzt?</t>
        </is>
      </c>
      <c r="E67" s="54" t="inlineStr">
        <is>
          <t>Vorlage 38</t>
        </is>
      </c>
      <c r="F67" s="55" t="n">
        <v>1</v>
      </c>
      <c r="G67" s="55" t="n"/>
      <c r="H67" s="52" t="n"/>
      <c r="I67" s="52" t="n"/>
      <c r="J67" s="56" t="n"/>
      <c r="K67" s="55" t="n"/>
      <c r="L67" s="57">
        <f>IF(OR(G67="N.I.O",G67="bed. OK"),IF(K67="ja","erledigt",IF(AND(J67&lt;&gt;"",J67&lt;TODAY()),"überfällig","offen")),"")</f>
        <v/>
      </c>
      <c r="M67" s="57">
        <f>IF(OR(G67="N.I.O",G67="bed. OK"),COUNTIF($G$13:G67,"N.I.O")+COUNTIF($G$13:G67,"bed. OK"),"")</f>
        <v/>
      </c>
      <c r="N67" s="58">
        <f>IF(G67="N.I.O",COUNTIF($G$13:G67,"N.I.O"),"")</f>
        <v/>
      </c>
      <c r="O67" s="59">
        <f>IF(G67="OK",IF(F67="",1,F67),IF(G67="bed. OK",IF(F67="",1,F67)*Gewicht_bedOK,IF(G67="N.I.O",0,"")))</f>
        <v/>
      </c>
      <c r="P67" s="58">
        <f>IF(OR(G67="OK",G67="bed. OK",G67="N.I.O"),IF(F67="",1,F67),"")</f>
        <v/>
      </c>
      <c r="Q67" s="53" t="inlineStr">
        <is>
          <t>Use of KPIs</t>
        </is>
      </c>
    </row>
    <row r="68">
      <c r="A68" s="60">
        <f>IF(C68="","",COUNTIF($C$13:C68,"?*"))</f>
        <v/>
      </c>
      <c r="B68" s="52" t="inlineStr">
        <is>
          <t>Kennzahlen</t>
        </is>
      </c>
      <c r="C68" s="52" t="inlineStr">
        <is>
          <t>Sind Zielwerte für die IH-Kennzahlen festgelegt und wird bei Abweichung reagiert?</t>
        </is>
      </c>
      <c r="D68" s="53" t="inlineStr">
        <is>
          <t>Zielwerte dokumentiert, Soll/Ist-Vergleich, Maßnahmen bei Zielverfehlung.</t>
        </is>
      </c>
      <c r="E68" s="61" t="inlineStr">
        <is>
          <t>NEU</t>
        </is>
      </c>
      <c r="F68" s="55" t="n">
        <v>1</v>
      </c>
      <c r="G68" s="55" t="n"/>
      <c r="H68" s="52" t="n"/>
      <c r="I68" s="52" t="n"/>
      <c r="J68" s="56" t="n"/>
      <c r="K68" s="55" t="n"/>
      <c r="L68" s="57">
        <f>IF(OR(G68="N.I.O",G68="bed. OK"),IF(K68="ja","erledigt",IF(AND(J68&lt;&gt;"",J68&lt;TODAY()),"überfällig","offen")),"")</f>
        <v/>
      </c>
      <c r="M68" s="57">
        <f>IF(OR(G68="N.I.O",G68="bed. OK"),COUNTIF($G$13:G68,"N.I.O")+COUNTIF($G$13:G68,"bed. OK"),"")</f>
        <v/>
      </c>
      <c r="N68" s="58">
        <f>IF(G68="N.I.O",COUNTIF($G$13:G68,"N.I.O"),"")</f>
        <v/>
      </c>
      <c r="O68" s="59">
        <f>IF(G68="OK",IF(F68="",1,F68),IF(G68="bed. OK",IF(F68="",1,F68)*Gewicht_bedOK,IF(G68="N.I.O",0,"")))</f>
        <v/>
      </c>
      <c r="P68" s="58">
        <f>IF(OR(G68="OK",G68="bed. OK",G68="N.I.O"),IF(F68="",1,F68),"")</f>
        <v/>
      </c>
      <c r="Q68" s="53" t="inlineStr">
        <is>
          <t>Are targets set for maintenance KPIs and is action taken on deviations?</t>
        </is>
      </c>
    </row>
    <row r="69">
      <c r="A69" s="60">
        <f>IF(C69="","",COUNTIF($C$13:C69,"?*"))</f>
        <v/>
      </c>
      <c r="B69" s="52" t="inlineStr">
        <is>
          <t>Kennzahlen</t>
        </is>
      </c>
      <c r="C69" s="52" t="inlineStr">
        <is>
          <t>Sind Planungsgrad (geplante zu ungeplanter IH) und IH-Kosten (Plan/Ist) bekannt?</t>
        </is>
      </c>
      <c r="D69" s="53" t="inlineStr">
        <is>
          <t>Anteil geplanter Aufträge, IH-Budget je Kostenstelle, Plan/Ist-Vergleich.</t>
        </is>
      </c>
      <c r="E69" s="61" t="inlineStr">
        <is>
          <t>NEU</t>
        </is>
      </c>
      <c r="F69" s="55" t="n">
        <v>1</v>
      </c>
      <c r="G69" s="55" t="n"/>
      <c r="H69" s="52" t="n"/>
      <c r="I69" s="52" t="n"/>
      <c r="J69" s="56" t="n"/>
      <c r="K69" s="55" t="n"/>
      <c r="L69" s="57">
        <f>IF(OR(G69="N.I.O",G69="bed. OK"),IF(K69="ja","erledigt",IF(AND(J69&lt;&gt;"",J69&lt;TODAY()),"überfällig","offen")),"")</f>
        <v/>
      </c>
      <c r="M69" s="57">
        <f>IF(OR(G69="N.I.O",G69="bed. OK"),COUNTIF($G$13:G69,"N.I.O")+COUNTIF($G$13:G69,"bed. OK"),"")</f>
        <v/>
      </c>
      <c r="N69" s="58">
        <f>IF(G69="N.I.O",COUNTIF($G$13:G69,"N.I.O"),"")</f>
        <v/>
      </c>
      <c r="O69" s="59">
        <f>IF(G69="OK",IF(F69="",1,F69),IF(G69="bed. OK",IF(F69="",1,F69)*Gewicht_bedOK,IF(G69="N.I.O",0,"")))</f>
        <v/>
      </c>
      <c r="P69" s="58">
        <f>IF(OR(G69="OK",G69="bed. OK",G69="N.I.O"),IF(F69="",1,F69),"")</f>
        <v/>
      </c>
      <c r="Q69" s="53" t="inlineStr">
        <is>
          <t>Are planning ratio (planned vs. unplanned) and maintenance costs (budget/actual) known?</t>
        </is>
      </c>
    </row>
    <row r="70">
      <c r="A70" s="51">
        <f>IF(C70="","",COUNTIF($C$13:C70,"?*"))</f>
        <v/>
      </c>
      <c r="B70" s="52" t="inlineStr">
        <is>
          <t>Arbeits- &amp; Umweltschutz</t>
        </is>
      </c>
      <c r="C70" s="52" t="inlineStr">
        <is>
          <t>Arbeits- und Umweltschutz und technische Sicherheit</t>
        </is>
      </c>
      <c r="D70" s="53" t="inlineStr">
        <is>
          <t>Gesamteindruck: Schutzeinrichtungen, Unterweisungen, Unfallgeschehen in der IH.</t>
        </is>
      </c>
      <c r="E70" s="54" t="inlineStr">
        <is>
          <t>Vorlage 39</t>
        </is>
      </c>
      <c r="F70" s="55" t="n">
        <v>1</v>
      </c>
      <c r="G70" s="55" t="n"/>
      <c r="H70" s="52" t="n"/>
      <c r="I70" s="52" t="n"/>
      <c r="J70" s="56" t="n"/>
      <c r="K70" s="55" t="n"/>
      <c r="L70" s="57">
        <f>IF(OR(G70="N.I.O",G70="bed. OK"),IF(K70="ja","erledigt",IF(AND(J70&lt;&gt;"",J70&lt;TODAY()),"überfällig","offen")),"")</f>
        <v/>
      </c>
      <c r="M70" s="57">
        <f>IF(OR(G70="N.I.O",G70="bed. OK"),COUNTIF($G$13:G70,"N.I.O")+COUNTIF($G$13:G70,"bed. OK"),"")</f>
        <v/>
      </c>
      <c r="N70" s="58">
        <f>IF(G70="N.I.O",COUNTIF($G$13:G70,"N.I.O"),"")</f>
        <v/>
      </c>
      <c r="O70" s="59">
        <f>IF(G70="OK",IF(F70="",1,F70),IF(G70="bed. OK",IF(F70="",1,F70)*Gewicht_bedOK,IF(G70="N.I.O",0,"")))</f>
        <v/>
      </c>
      <c r="P70" s="58">
        <f>IF(OR(G70="OK",G70="bed. OK",G70="N.I.O"),IF(F70="",1,F70),"")</f>
        <v/>
      </c>
      <c r="Q70" s="53" t="inlineStr">
        <is>
          <t>Occupational safety, environmental protection and technical safety</t>
        </is>
      </c>
    </row>
    <row r="71">
      <c r="A71" s="60">
        <f>IF(C71="","",COUNTIF($C$13:C71,"?*"))</f>
        <v/>
      </c>
      <c r="B71" s="52" t="inlineStr">
        <is>
          <t>Arbeits- &amp; Umweltschutz</t>
        </is>
      </c>
      <c r="C71" s="52" t="inlineStr">
        <is>
          <t>Sind prüfpflichtige Arbeitsmittel und Anlagen erfasst und werden die Prüffristen eingehalten?</t>
        </is>
      </c>
      <c r="D71" s="53" t="inlineStr">
        <is>
          <t>Prüfkataster (BetrSichV § 14, DGUV V3, Krane, Leitern, Druckbehälter, Tore), Nachweise, überfällige Prüfungen.</t>
        </is>
      </c>
      <c r="E71" s="61" t="inlineStr">
        <is>
          <t>NEU</t>
        </is>
      </c>
      <c r="F71" s="55" t="n">
        <v>1</v>
      </c>
      <c r="G71" s="55" t="n"/>
      <c r="H71" s="52" t="n"/>
      <c r="I71" s="52" t="n"/>
      <c r="J71" s="56" t="n"/>
      <c r="K71" s="55" t="n"/>
      <c r="L71" s="57">
        <f>IF(OR(G71="N.I.O",G71="bed. OK"),IF(K71="ja","erledigt",IF(AND(J71&lt;&gt;"",J71&lt;TODAY()),"überfällig","offen")),"")</f>
        <v/>
      </c>
      <c r="M71" s="57">
        <f>IF(OR(G71="N.I.O",G71="bed. OK"),COUNTIF($G$13:G71,"N.I.O")+COUNTIF($G$13:G71,"bed. OK"),"")</f>
        <v/>
      </c>
      <c r="N71" s="58">
        <f>IF(G71="N.I.O",COUNTIF($G$13:G71,"N.I.O"),"")</f>
        <v/>
      </c>
      <c r="O71" s="59">
        <f>IF(G71="OK",IF(F71="",1,F71),IF(G71="bed. OK",IF(F71="",1,F71)*Gewicht_bedOK,IF(G71="N.I.O",0,"")))</f>
        <v/>
      </c>
      <c r="P71" s="58">
        <f>IF(OR(G71="OK",G71="bed. OK",G71="N.I.O"),IF(F71="",1,F71),"")</f>
        <v/>
      </c>
      <c r="Q71" s="53" t="inlineStr">
        <is>
          <t>Are equipment subject to inspection registered and inspection intervals met?</t>
        </is>
      </c>
    </row>
    <row r="72">
      <c r="A72" s="60">
        <f>IF(C72="","",COUNTIF($C$13:C72,"?*"))</f>
        <v/>
      </c>
      <c r="B72" s="52" t="inlineStr">
        <is>
          <t>Arbeits- &amp; Umweltschutz</t>
        </is>
      </c>
      <c r="C72" s="52" t="inlineStr">
        <is>
          <t>Gibt es Gefährdungsbeurteilungen für IH-Tätigkeiten und ein Freischalt-Verfahren (LOTO)?</t>
        </is>
      </c>
      <c r="D72" s="53" t="inlineStr">
        <is>
          <t>GBU nach TRBS 1112, LOTO-Verfahren, Schlösser/Anhänger vorhanden, Unterweisung nachgewiesen.</t>
        </is>
      </c>
      <c r="E72" s="61" t="inlineStr">
        <is>
          <t>NEU</t>
        </is>
      </c>
      <c r="F72" s="55" t="n">
        <v>1</v>
      </c>
      <c r="G72" s="55" t="n"/>
      <c r="H72" s="52" t="n"/>
      <c r="I72" s="52" t="n"/>
      <c r="J72" s="56" t="n"/>
      <c r="K72" s="55" t="n"/>
      <c r="L72" s="57">
        <f>IF(OR(G72="N.I.O",G72="bed. OK"),IF(K72="ja","erledigt",IF(AND(J72&lt;&gt;"",J72&lt;TODAY()),"überfällig","offen")),"")</f>
        <v/>
      </c>
      <c r="M72" s="57">
        <f>IF(OR(G72="N.I.O",G72="bed. OK"),COUNTIF($G$13:G72,"N.I.O")+COUNTIF($G$13:G72,"bed. OK"),"")</f>
        <v/>
      </c>
      <c r="N72" s="58">
        <f>IF(G72="N.I.O",COUNTIF($G$13:G72,"N.I.O"),"")</f>
        <v/>
      </c>
      <c r="O72" s="59">
        <f>IF(G72="OK",IF(F72="",1,F72),IF(G72="bed. OK",IF(F72="",1,F72)*Gewicht_bedOK,IF(G72="N.I.O",0,"")))</f>
        <v/>
      </c>
      <c r="P72" s="58">
        <f>IF(OR(G72="OK",G72="bed. OK",G72="N.I.O"),IF(F72="",1,F72),"")</f>
        <v/>
      </c>
      <c r="Q72" s="53" t="inlineStr">
        <is>
          <t>Are there risk assessments for maintenance work and a lockout/tagout procedure?</t>
        </is>
      </c>
    </row>
    <row r="73">
      <c r="A73" s="60">
        <f>IF(C73="","",COUNTIF($C$13:C73,"?*"))</f>
        <v/>
      </c>
      <c r="B73" s="52" t="inlineStr">
        <is>
          <t>Arbeits- &amp; Umweltschutz</t>
        </is>
      </c>
      <c r="C73" s="52" t="inlineStr">
        <is>
          <t>Werden Fremdfirmen eingewiesen, koordiniert und überwacht (Erlaubnisscheine)?</t>
        </is>
      </c>
      <c r="D73" s="53" t="inlineStr">
        <is>
          <t>Fremdfirmen-Einweisung, Koordinator benannt, Erlaubnisscheine (Heißarbeiten, Befahren), Abnahme.</t>
        </is>
      </c>
      <c r="E73" s="61" t="inlineStr">
        <is>
          <t>NEU</t>
        </is>
      </c>
      <c r="F73" s="55" t="n">
        <v>1</v>
      </c>
      <c r="G73" s="55" t="n"/>
      <c r="H73" s="52" t="n"/>
      <c r="I73" s="52" t="n"/>
      <c r="J73" s="56" t="n"/>
      <c r="K73" s="55" t="n"/>
      <c r="L73" s="57">
        <f>IF(OR(G73="N.I.O",G73="bed. OK"),IF(K73="ja","erledigt",IF(AND(J73&lt;&gt;"",J73&lt;TODAY()),"überfällig","offen")),"")</f>
        <v/>
      </c>
      <c r="M73" s="57">
        <f>IF(OR(G73="N.I.O",G73="bed. OK"),COUNTIF($G$13:G73,"N.I.O")+COUNTIF($G$13:G73,"bed. OK"),"")</f>
        <v/>
      </c>
      <c r="N73" s="58">
        <f>IF(G73="N.I.O",COUNTIF($G$13:G73,"N.I.O"),"")</f>
        <v/>
      </c>
      <c r="O73" s="59">
        <f>IF(G73="OK",IF(F73="",1,F73),IF(G73="bed. OK",IF(F73="",1,F73)*Gewicht_bedOK,IF(G73="N.I.O",0,"")))</f>
        <v/>
      </c>
      <c r="P73" s="58">
        <f>IF(OR(G73="OK",G73="bed. OK",G73="N.I.O"),IF(F73="",1,F73),"")</f>
        <v/>
      </c>
      <c r="Q73" s="53" t="inlineStr">
        <is>
          <t>Are contractors briefed, coordinated and supervised (work permits)?</t>
        </is>
      </c>
    </row>
    <row r="74">
      <c r="A74" s="60">
        <f>IF(C74="","",COUNTIF($C$13:C74,"?*"))</f>
        <v/>
      </c>
      <c r="B74" s="52" t="inlineStr">
        <is>
          <t>Arbeits- &amp; Umweltschutz</t>
        </is>
      </c>
      <c r="C74" s="52" t="inlineStr">
        <is>
          <t>Ist der Umgang mit Gefahrstoffen und Abfällen der IH geregelt (Altöl, Emulsionen, AwSV)?</t>
        </is>
      </c>
      <c r="D74" s="53" t="inlineStr">
        <is>
          <t>Gefahrstoffverzeichnis, Sicherheitsdatenblätter, Lagerung mit Auffangwannen (WGK), Entsorgungsnachweise.</t>
        </is>
      </c>
      <c r="E74" s="61" t="inlineStr">
        <is>
          <t>NEU</t>
        </is>
      </c>
      <c r="F74" s="55" t="n">
        <v>1</v>
      </c>
      <c r="G74" s="55" t="n"/>
      <c r="H74" s="52" t="n"/>
      <c r="I74" s="52" t="n"/>
      <c r="J74" s="56" t="n"/>
      <c r="K74" s="55" t="n"/>
      <c r="L74" s="57">
        <f>IF(OR(G74="N.I.O",G74="bed. OK"),IF(K74="ja","erledigt",IF(AND(J74&lt;&gt;"",J74&lt;TODAY()),"überfällig","offen")),"")</f>
        <v/>
      </c>
      <c r="M74" s="57">
        <f>IF(OR(G74="N.I.O",G74="bed. OK"),COUNTIF($G$13:G74,"N.I.O")+COUNTIF($G$13:G74,"bed. OK"),"")</f>
        <v/>
      </c>
      <c r="N74" s="58">
        <f>IF(G74="N.I.O",COUNTIF($G$13:G74,"N.I.O"),"")</f>
        <v/>
      </c>
      <c r="O74" s="59">
        <f>IF(G74="OK",IF(F74="",1,F74),IF(G74="bed. OK",IF(F74="",1,F74)*Gewicht_bedOK,IF(G74="N.I.O",0,"")))</f>
        <v/>
      </c>
      <c r="P74" s="58">
        <f>IF(OR(G74="OK",G74="bed. OK",G74="N.I.O"),IF(F74="",1,F74),"")</f>
        <v/>
      </c>
      <c r="Q74" s="53" t="inlineStr">
        <is>
          <t>Is handling of hazardous substances and waste regulated (waste oil, emulsions)?</t>
        </is>
      </c>
    </row>
    <row r="75">
      <c r="A75" s="60">
        <f>IF(C75="","",COUNTIF($C$13:C75,"?*"))</f>
        <v/>
      </c>
      <c r="B75" s="52" t="inlineStr">
        <is>
          <t>Arbeits- &amp; Umweltschutz</t>
        </is>
      </c>
      <c r="C75" s="52" t="inlineStr">
        <is>
          <t>Werden Druckluft-Leckagen und Energieverluste regelmäßig gesucht und beseitigt?</t>
        </is>
      </c>
      <c r="D75" s="53" t="inlineStr">
        <is>
          <t>Leckage-Ortung (Intervall), gekennzeichnete Leckagen, Behebungsquote.</t>
        </is>
      </c>
      <c r="E75" s="61" t="inlineStr">
        <is>
          <t>NEU</t>
        </is>
      </c>
      <c r="F75" s="55" t="n">
        <v>1</v>
      </c>
      <c r="G75" s="55" t="n"/>
      <c r="H75" s="52" t="n"/>
      <c r="I75" s="52" t="n"/>
      <c r="J75" s="56" t="n"/>
      <c r="K75" s="55" t="n"/>
      <c r="L75" s="57">
        <f>IF(OR(G75="N.I.O",G75="bed. OK"),IF(K75="ja","erledigt",IF(AND(J75&lt;&gt;"",J75&lt;TODAY()),"überfällig","offen")),"")</f>
        <v/>
      </c>
      <c r="M75" s="57">
        <f>IF(OR(G75="N.I.O",G75="bed. OK"),COUNTIF($G$13:G75,"N.I.O")+COUNTIF($G$13:G75,"bed. OK"),"")</f>
        <v/>
      </c>
      <c r="N75" s="58">
        <f>IF(G75="N.I.O",COUNTIF($G$13:G75,"N.I.O"),"")</f>
        <v/>
      </c>
      <c r="O75" s="59">
        <f>IF(G75="OK",IF(F75="",1,F75),IF(G75="bed. OK",IF(F75="",1,F75)*Gewicht_bedOK,IF(G75="N.I.O",0,"")))</f>
        <v/>
      </c>
      <c r="P75" s="58">
        <f>IF(OR(G75="OK",G75="bed. OK",G75="N.I.O"),IF(F75="",1,F75),"")</f>
        <v/>
      </c>
      <c r="Q75" s="53" t="inlineStr">
        <is>
          <t>Are compressed-air leaks and energy losses regularly detected and fixed?</t>
        </is>
      </c>
    </row>
    <row r="76">
      <c r="A76" s="51">
        <f>IF(C76="","",COUNTIF($C$13:C76,"?*"))</f>
        <v/>
      </c>
      <c r="B76" s="52" t="n"/>
      <c r="C76" s="52" t="n"/>
      <c r="D76" s="62" t="n"/>
      <c r="E76" s="54" t="n"/>
      <c r="F76" s="55" t="n"/>
      <c r="G76" s="55" t="n"/>
      <c r="H76" s="52" t="n"/>
      <c r="I76" s="52" t="n"/>
      <c r="J76" s="56" t="n"/>
      <c r="K76" s="55" t="n"/>
      <c r="L76" s="57">
        <f>IF(OR(G76="N.I.O",G76="bed. OK"),IF(K76="ja","erledigt",IF(AND(J76&lt;&gt;"",J76&lt;TODAY()),"überfällig","offen")),"")</f>
        <v/>
      </c>
      <c r="M76" s="57">
        <f>IF(OR(G76="N.I.O",G76="bed. OK"),COUNTIF($G$13:G76,"N.I.O")+COUNTIF($G$13:G76,"bed. OK"),"")</f>
        <v/>
      </c>
      <c r="N76" s="58">
        <f>IF(G76="N.I.O",COUNTIF($G$13:G76,"N.I.O"),"")</f>
        <v/>
      </c>
      <c r="O76" s="59">
        <f>IF(G76="OK",IF(F76="",1,F76),IF(G76="bed. OK",IF(F76="",1,F76)*Gewicht_bedOK,IF(G76="N.I.O",0,"")))</f>
        <v/>
      </c>
      <c r="P76" s="58">
        <f>IF(OR(G76="OK",G76="bed. OK",G76="N.I.O"),IF(F76="",1,F76),"")</f>
        <v/>
      </c>
      <c r="Q76" s="53" t="n"/>
    </row>
    <row r="77">
      <c r="A77" s="51">
        <f>IF(C77="","",COUNTIF($C$13:C77,"?*"))</f>
        <v/>
      </c>
      <c r="B77" s="52" t="n"/>
      <c r="C77" s="52" t="n"/>
      <c r="D77" s="62" t="n"/>
      <c r="E77" s="54" t="n"/>
      <c r="F77" s="55" t="n"/>
      <c r="G77" s="55" t="n"/>
      <c r="H77" s="52" t="n"/>
      <c r="I77" s="52" t="n"/>
      <c r="J77" s="56" t="n"/>
      <c r="K77" s="55" t="n"/>
      <c r="L77" s="57">
        <f>IF(OR(G77="N.I.O",G77="bed. OK"),IF(K77="ja","erledigt",IF(AND(J77&lt;&gt;"",J77&lt;TODAY()),"überfällig","offen")),"")</f>
        <v/>
      </c>
      <c r="M77" s="57">
        <f>IF(OR(G77="N.I.O",G77="bed. OK"),COUNTIF($G$13:G77,"N.I.O")+COUNTIF($G$13:G77,"bed. OK"),"")</f>
        <v/>
      </c>
      <c r="N77" s="58">
        <f>IF(G77="N.I.O",COUNTIF($G$13:G77,"N.I.O"),"")</f>
        <v/>
      </c>
      <c r="O77" s="59">
        <f>IF(G77="OK",IF(F77="",1,F77),IF(G77="bed. OK",IF(F77="",1,F77)*Gewicht_bedOK,IF(G77="N.I.O",0,"")))</f>
        <v/>
      </c>
      <c r="P77" s="58">
        <f>IF(OR(G77="OK",G77="bed. OK",G77="N.I.O"),IF(F77="",1,F77),"")</f>
        <v/>
      </c>
      <c r="Q77" s="53" t="n"/>
    </row>
    <row r="78">
      <c r="A78" s="51">
        <f>IF(C78="","",COUNTIF($C$13:C78,"?*"))</f>
        <v/>
      </c>
      <c r="B78" s="52" t="n"/>
      <c r="C78" s="52" t="n"/>
      <c r="D78" s="62" t="n"/>
      <c r="E78" s="54" t="n"/>
      <c r="F78" s="55" t="n"/>
      <c r="G78" s="55" t="n"/>
      <c r="H78" s="52" t="n"/>
      <c r="I78" s="52" t="n"/>
      <c r="J78" s="56" t="n"/>
      <c r="K78" s="55" t="n"/>
      <c r="L78" s="57">
        <f>IF(OR(G78="N.I.O",G78="bed. OK"),IF(K78="ja","erledigt",IF(AND(J78&lt;&gt;"",J78&lt;TODAY()),"überfällig","offen")),"")</f>
        <v/>
      </c>
      <c r="M78" s="57">
        <f>IF(OR(G78="N.I.O",G78="bed. OK"),COUNTIF($G$13:G78,"N.I.O")+COUNTIF($G$13:G78,"bed. OK"),"")</f>
        <v/>
      </c>
      <c r="N78" s="58">
        <f>IF(G78="N.I.O",COUNTIF($G$13:G78,"N.I.O"),"")</f>
        <v/>
      </c>
      <c r="O78" s="59">
        <f>IF(G78="OK",IF(F78="",1,F78),IF(G78="bed. OK",IF(F78="",1,F78)*Gewicht_bedOK,IF(G78="N.I.O",0,"")))</f>
        <v/>
      </c>
      <c r="P78" s="58">
        <f>IF(OR(G78="OK",G78="bed. OK",G78="N.I.O"),IF(F78="",1,F78),"")</f>
        <v/>
      </c>
      <c r="Q78" s="53" t="n"/>
    </row>
    <row r="79">
      <c r="A79" s="51">
        <f>IF(C79="","",COUNTIF($C$13:C79,"?*"))</f>
        <v/>
      </c>
      <c r="B79" s="52" t="n"/>
      <c r="C79" s="52" t="n"/>
      <c r="D79" s="62" t="n"/>
      <c r="E79" s="54" t="n"/>
      <c r="F79" s="55" t="n"/>
      <c r="G79" s="55" t="n"/>
      <c r="H79" s="52" t="n"/>
      <c r="I79" s="52" t="n"/>
      <c r="J79" s="56" t="n"/>
      <c r="K79" s="55" t="n"/>
      <c r="L79" s="57">
        <f>IF(OR(G79="N.I.O",G79="bed. OK"),IF(K79="ja","erledigt",IF(AND(J79&lt;&gt;"",J79&lt;TODAY()),"überfällig","offen")),"")</f>
        <v/>
      </c>
      <c r="M79" s="57">
        <f>IF(OR(G79="N.I.O",G79="bed. OK"),COUNTIF($G$13:G79,"N.I.O")+COUNTIF($G$13:G79,"bed. OK"),"")</f>
        <v/>
      </c>
      <c r="N79" s="58">
        <f>IF(G79="N.I.O",COUNTIF($G$13:G79,"N.I.O"),"")</f>
        <v/>
      </c>
      <c r="O79" s="59">
        <f>IF(G79="OK",IF(F79="",1,F79),IF(G79="bed. OK",IF(F79="",1,F79)*Gewicht_bedOK,IF(G79="N.I.O",0,"")))</f>
        <v/>
      </c>
      <c r="P79" s="58">
        <f>IF(OR(G79="OK",G79="bed. OK",G79="N.I.O"),IF(F79="",1,F79),"")</f>
        <v/>
      </c>
      <c r="Q79" s="53" t="n"/>
    </row>
    <row r="80">
      <c r="A80" s="51">
        <f>IF(C80="","",COUNTIF($C$13:C80,"?*"))</f>
        <v/>
      </c>
      <c r="B80" s="52" t="n"/>
      <c r="C80" s="52" t="n"/>
      <c r="D80" s="62" t="n"/>
      <c r="E80" s="54" t="n"/>
      <c r="F80" s="55" t="n"/>
      <c r="G80" s="55" t="n"/>
      <c r="H80" s="52" t="n"/>
      <c r="I80" s="52" t="n"/>
      <c r="J80" s="56" t="n"/>
      <c r="K80" s="55" t="n"/>
      <c r="L80" s="57">
        <f>IF(OR(G80="N.I.O",G80="bed. OK"),IF(K80="ja","erledigt",IF(AND(J80&lt;&gt;"",J80&lt;TODAY()),"überfällig","offen")),"")</f>
        <v/>
      </c>
      <c r="M80" s="57">
        <f>IF(OR(G80="N.I.O",G80="bed. OK"),COUNTIF($G$13:G80,"N.I.O")+COUNTIF($G$13:G80,"bed. OK"),"")</f>
        <v/>
      </c>
      <c r="N80" s="58">
        <f>IF(G80="N.I.O",COUNTIF($G$13:G80,"N.I.O"),"")</f>
        <v/>
      </c>
      <c r="O80" s="59">
        <f>IF(G80="OK",IF(F80="",1,F80),IF(G80="bed. OK",IF(F80="",1,F80)*Gewicht_bedOK,IF(G80="N.I.O",0,"")))</f>
        <v/>
      </c>
      <c r="P80" s="58">
        <f>IF(OR(G80="OK",G80="bed. OK",G80="N.I.O"),IF(F80="",1,F80),"")</f>
        <v/>
      </c>
      <c r="Q80" s="53" t="n"/>
    </row>
    <row r="81">
      <c r="A81" s="51">
        <f>IF(C81="","",COUNTIF($C$13:C81,"?*"))</f>
        <v/>
      </c>
      <c r="B81" s="52" t="n"/>
      <c r="C81" s="52" t="n"/>
      <c r="D81" s="62" t="n"/>
      <c r="E81" s="54" t="n"/>
      <c r="F81" s="55" t="n"/>
      <c r="G81" s="55" t="n"/>
      <c r="H81" s="52" t="n"/>
      <c r="I81" s="52" t="n"/>
      <c r="J81" s="56" t="n"/>
      <c r="K81" s="55" t="n"/>
      <c r="L81" s="57">
        <f>IF(OR(G81="N.I.O",G81="bed. OK"),IF(K81="ja","erledigt",IF(AND(J81&lt;&gt;"",J81&lt;TODAY()),"überfällig","offen")),"")</f>
        <v/>
      </c>
      <c r="M81" s="57">
        <f>IF(OR(G81="N.I.O",G81="bed. OK"),COUNTIF($G$13:G81,"N.I.O")+COUNTIF($G$13:G81,"bed. OK"),"")</f>
        <v/>
      </c>
      <c r="N81" s="58">
        <f>IF(G81="N.I.O",COUNTIF($G$13:G81,"N.I.O"),"")</f>
        <v/>
      </c>
      <c r="O81" s="59">
        <f>IF(G81="OK",IF(F81="",1,F81),IF(G81="bed. OK",IF(F81="",1,F81)*Gewicht_bedOK,IF(G81="N.I.O",0,"")))</f>
        <v/>
      </c>
      <c r="P81" s="58">
        <f>IF(OR(G81="OK",G81="bed. OK",G81="N.I.O"),IF(F81="",1,F81),"")</f>
        <v/>
      </c>
      <c r="Q81" s="53" t="n"/>
    </row>
    <row r="82">
      <c r="A82" s="51">
        <f>IF(C82="","",COUNTIF($C$13:C82,"?*"))</f>
        <v/>
      </c>
      <c r="B82" s="52" t="n"/>
      <c r="C82" s="52" t="n"/>
      <c r="D82" s="62" t="n"/>
      <c r="E82" s="54" t="n"/>
      <c r="F82" s="55" t="n"/>
      <c r="G82" s="55" t="n"/>
      <c r="H82" s="52" t="n"/>
      <c r="I82" s="52" t="n"/>
      <c r="J82" s="56" t="n"/>
      <c r="K82" s="55" t="n"/>
      <c r="L82" s="57">
        <f>IF(OR(G82="N.I.O",G82="bed. OK"),IF(K82="ja","erledigt",IF(AND(J82&lt;&gt;"",J82&lt;TODAY()),"überfällig","offen")),"")</f>
        <v/>
      </c>
      <c r="M82" s="57">
        <f>IF(OR(G82="N.I.O",G82="bed. OK"),COUNTIF($G$13:G82,"N.I.O")+COUNTIF($G$13:G82,"bed. OK"),"")</f>
        <v/>
      </c>
      <c r="N82" s="58">
        <f>IF(G82="N.I.O",COUNTIF($G$13:G82,"N.I.O"),"")</f>
        <v/>
      </c>
      <c r="O82" s="59">
        <f>IF(G82="OK",IF(F82="",1,F82),IF(G82="bed. OK",IF(F82="",1,F82)*Gewicht_bedOK,IF(G82="N.I.O",0,"")))</f>
        <v/>
      </c>
      <c r="P82" s="58">
        <f>IF(OR(G82="OK",G82="bed. OK",G82="N.I.O"),IF(F82="",1,F82),"")</f>
        <v/>
      </c>
      <c r="Q82" s="53" t="n"/>
    </row>
    <row r="83">
      <c r="A83" s="51">
        <f>IF(C83="","",COUNTIF($C$13:C83,"?*"))</f>
        <v/>
      </c>
      <c r="B83" s="52" t="n"/>
      <c r="C83" s="52" t="n"/>
      <c r="D83" s="62" t="n"/>
      <c r="E83" s="54" t="n"/>
      <c r="F83" s="55" t="n"/>
      <c r="G83" s="55" t="n"/>
      <c r="H83" s="52" t="n"/>
      <c r="I83" s="52" t="n"/>
      <c r="J83" s="56" t="n"/>
      <c r="K83" s="55" t="n"/>
      <c r="L83" s="57">
        <f>IF(OR(G83="N.I.O",G83="bed. OK"),IF(K83="ja","erledigt",IF(AND(J83&lt;&gt;"",J83&lt;TODAY()),"überfällig","offen")),"")</f>
        <v/>
      </c>
      <c r="M83" s="57">
        <f>IF(OR(G83="N.I.O",G83="bed. OK"),COUNTIF($G$13:G83,"N.I.O")+COUNTIF($G$13:G83,"bed. OK"),"")</f>
        <v/>
      </c>
      <c r="N83" s="58">
        <f>IF(G83="N.I.O",COUNTIF($G$13:G83,"N.I.O"),"")</f>
        <v/>
      </c>
      <c r="O83" s="59">
        <f>IF(G83="OK",IF(F83="",1,F83),IF(G83="bed. OK",IF(F83="",1,F83)*Gewicht_bedOK,IF(G83="N.I.O",0,"")))</f>
        <v/>
      </c>
      <c r="P83" s="58">
        <f>IF(OR(G83="OK",G83="bed. OK",G83="N.I.O"),IF(F83="",1,F83),"")</f>
        <v/>
      </c>
      <c r="Q83" s="53" t="n"/>
    </row>
    <row r="84">
      <c r="A84" s="51">
        <f>IF(C84="","",COUNTIF($C$13:C84,"?*"))</f>
        <v/>
      </c>
      <c r="B84" s="52" t="n"/>
      <c r="C84" s="52" t="n"/>
      <c r="D84" s="62" t="n"/>
      <c r="E84" s="54" t="n"/>
      <c r="F84" s="55" t="n"/>
      <c r="G84" s="55" t="n"/>
      <c r="H84" s="52" t="n"/>
      <c r="I84" s="52" t="n"/>
      <c r="J84" s="56" t="n"/>
      <c r="K84" s="55" t="n"/>
      <c r="L84" s="57">
        <f>IF(OR(G84="N.I.O",G84="bed. OK"),IF(K84="ja","erledigt",IF(AND(J84&lt;&gt;"",J84&lt;TODAY()),"überfällig","offen")),"")</f>
        <v/>
      </c>
      <c r="M84" s="57">
        <f>IF(OR(G84="N.I.O",G84="bed. OK"),COUNTIF($G$13:G84,"N.I.O")+COUNTIF($G$13:G84,"bed. OK"),"")</f>
        <v/>
      </c>
      <c r="N84" s="58">
        <f>IF(G84="N.I.O",COUNTIF($G$13:G84,"N.I.O"),"")</f>
        <v/>
      </c>
      <c r="O84" s="59">
        <f>IF(G84="OK",IF(F84="",1,F84),IF(G84="bed. OK",IF(F84="",1,F84)*Gewicht_bedOK,IF(G84="N.I.O",0,"")))</f>
        <v/>
      </c>
      <c r="P84" s="58">
        <f>IF(OR(G84="OK",G84="bed. OK",G84="N.I.O"),IF(F84="",1,F84),"")</f>
        <v/>
      </c>
      <c r="Q84" s="53" t="n"/>
    </row>
    <row r="85">
      <c r="A85" s="51">
        <f>IF(C85="","",COUNTIF($C$13:C85,"?*"))</f>
        <v/>
      </c>
      <c r="B85" s="52" t="n"/>
      <c r="C85" s="52" t="n"/>
      <c r="D85" s="62" t="n"/>
      <c r="E85" s="54" t="n"/>
      <c r="F85" s="55" t="n"/>
      <c r="G85" s="55" t="n"/>
      <c r="H85" s="52" t="n"/>
      <c r="I85" s="52" t="n"/>
      <c r="J85" s="56" t="n"/>
      <c r="K85" s="55" t="n"/>
      <c r="L85" s="57">
        <f>IF(OR(G85="N.I.O",G85="bed. OK"),IF(K85="ja","erledigt",IF(AND(J85&lt;&gt;"",J85&lt;TODAY()),"überfällig","offen")),"")</f>
        <v/>
      </c>
      <c r="M85" s="57">
        <f>IF(OR(G85="N.I.O",G85="bed. OK"),COUNTIF($G$13:G85,"N.I.O")+COUNTIF($G$13:G85,"bed. OK"),"")</f>
        <v/>
      </c>
      <c r="N85" s="58">
        <f>IF(G85="N.I.O",COUNTIF($G$13:G85,"N.I.O"),"")</f>
        <v/>
      </c>
      <c r="O85" s="59">
        <f>IF(G85="OK",IF(F85="",1,F85),IF(G85="bed. OK",IF(F85="",1,F85)*Gewicht_bedOK,IF(G85="N.I.O",0,"")))</f>
        <v/>
      </c>
      <c r="P85" s="58">
        <f>IF(OR(G85="OK",G85="bed. OK",G85="N.I.O"),IF(F85="",1,F85),"")</f>
        <v/>
      </c>
      <c r="Q85" s="53" t="n"/>
    </row>
    <row r="87">
      <c r="A87" s="33" t="inlineStr">
        <is>
          <t>Zeilen 76–85 sind Reserve für eigene Prüfpunkte (Kapitel wählen, Text eintragen). Nicht benötigte Prüfpunkte: ganze Zeile löschen – Nummern und Auswertung passen sich an.</t>
        </is>
      </c>
    </row>
    <row r="88">
      <c r="A88" s="33" t="inlineStr">
        <is>
          <t>Ausgeblendete Spalten N–Q (Hilfswerte, englischer Text): über das „+“ oberhalb der Spaltenköpfe einblenden.</t>
        </is>
      </c>
    </row>
  </sheetData>
  <autoFilter ref="A12:Q85"/>
  <mergeCells count="10">
    <mergeCell ref="A4:B4"/>
    <mergeCell ref="G8:H8"/>
    <mergeCell ref="A7:B7"/>
    <mergeCell ref="G4:H6"/>
    <mergeCell ref="G7:H7"/>
    <mergeCell ref="A10:B10"/>
    <mergeCell ref="A5:B5"/>
    <mergeCell ref="A9:B9"/>
    <mergeCell ref="A8:B8"/>
    <mergeCell ref="A6:B6"/>
  </mergeCells>
  <conditionalFormatting sqref="G13:G85">
    <cfRule type="cellIs" priority="1" operator="equal" dxfId="2">
      <formula>"N.I.O"</formula>
    </cfRule>
    <cfRule type="cellIs" priority="2" operator="equal" dxfId="1">
      <formula>"bed. OK"</formula>
    </cfRule>
    <cfRule type="cellIs" priority="3" operator="equal" dxfId="0">
      <formula>"OK"</formula>
    </cfRule>
    <cfRule type="cellIs" priority="4" operator="equal" dxfId="9">
      <formula>"n. b."</formula>
    </cfRule>
  </conditionalFormatting>
  <conditionalFormatting sqref="L13:L85">
    <cfRule type="cellIs" priority="5" operator="equal" dxfId="6">
      <formula>"überfällig"</formula>
    </cfRule>
    <cfRule type="cellIs" priority="6" operator="equal" dxfId="7">
      <formula>"offen"</formula>
    </cfRule>
    <cfRule type="cellIs" priority="7" operator="equal" dxfId="8">
      <formula>"erledigt"</formula>
    </cfRule>
  </conditionalFormatting>
  <dataValidations count="8">
    <dataValidation sqref="C6" showDropDown="0" showInputMessage="0" showErrorMessage="1" allowBlank="1" error="Bitte ein Datum eingeben (TT.MM.JJJJ)." type="date" operator="greaterThan">
      <formula1>36526</formula1>
    </dataValidation>
    <dataValidation sqref="C9" showDropDown="0" showInputMessage="0" showErrorMessage="0" allowBlank="1" type="list">
      <formula1>=Auditart_Liste</formula1>
    </dataValidation>
    <dataValidation sqref="C10" showDropDown="0" showInputMessage="0" showErrorMessage="1" allowBlank="1" error="Wert zwischen 0 % und 100 % eingeben." type="decimal" operator="between">
      <formula1>0</formula1>
      <formula2>1</formula2>
    </dataValidation>
    <dataValidation sqref="G13:G85" showDropDown="0" showInputMessage="0" showErrorMessage="1" allowBlank="1" error="Bitte N.I.O, bed. OK, OK oder n. b. wählen." type="list">
      <formula1>"N.I.O,bed. OK,OK,n. b."</formula1>
    </dataValidation>
    <dataValidation sqref="K13:K85" showDropDown="0" showInputMessage="0" showErrorMessage="0" allowBlank="1" type="list">
      <formula1>"ja,nein"</formula1>
    </dataValidation>
    <dataValidation sqref="F13:F85" showDropDown="0" showInputMessage="0" showErrorMessage="0" allowBlank="1" type="list">
      <formula1>"1,2,3"</formula1>
    </dataValidation>
    <dataValidation sqref="B13:B85" showDropDown="0" showInputMessage="0" showErrorMessage="0" allowBlank="1" type="list">
      <formula1>=Kapitel_Liste</formula1>
    </dataValidation>
    <dataValidation sqref="J13:J85" showDropDown="0" showInputMessage="0" showErrorMessage="1" allowBlank="1" error="Bitte ein Datum eingeben (TT.MM.JJJJ)." type="date" operator="greaterThan">
      <formula1>36526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&amp;CSeite &amp;P von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48" customWidth="1" min="4" max="4"/>
    <col width="10" customWidth="1" min="5" max="5"/>
    <col width="40" customWidth="1" min="6" max="6"/>
    <col width="16" customWidth="1" min="7" max="7"/>
    <col width="11" customWidth="1" min="8" max="8"/>
    <col width="11" customWidth="1" min="9" max="9"/>
    <col hidden="1" outlineLevel="1" width="6" customWidth="1" min="10" max="10"/>
  </cols>
  <sheetData>
    <row r="1">
      <c r="A1" s="38" t="inlineStr">
        <is>
          <t>Maßnahmenplan – Audit Instandhaltung allgemein</t>
        </is>
      </c>
    </row>
    <row r="2">
      <c r="A2" s="2" t="inlineStr">
        <is>
          <t>Wird automatisch aus der Checkliste erzeugt (alle N.I.O und bed. OK). Änderungen bitte in der Checkliste eintragen.</t>
        </is>
      </c>
    </row>
    <row r="4">
      <c r="A4" s="49" t="inlineStr">
        <is>
          <t>Maßn.-Nr.</t>
        </is>
      </c>
      <c r="B4" s="49" t="inlineStr">
        <is>
          <t>Nr.</t>
        </is>
      </c>
      <c r="C4" s="49" t="inlineStr">
        <is>
          <t>Kapitel</t>
        </is>
      </c>
      <c r="D4" s="49" t="inlineStr">
        <is>
          <t>Check-Punkt</t>
        </is>
      </c>
      <c r="E4" s="49" t="inlineStr">
        <is>
          <t>Bewertung</t>
        </is>
      </c>
      <c r="F4" s="49" t="inlineStr">
        <is>
          <t>Befund / Maßnahme</t>
        </is>
      </c>
      <c r="G4" s="49" t="inlineStr">
        <is>
          <t>Verantwortlich</t>
        </is>
      </c>
      <c r="H4" s="49" t="inlineStr">
        <is>
          <t>Termin</t>
        </is>
      </c>
      <c r="I4" s="49" t="inlineStr">
        <is>
          <t>Status</t>
        </is>
      </c>
      <c r="J4" s="50" t="inlineStr">
        <is>
          <t>Zeile</t>
        </is>
      </c>
    </row>
    <row r="5">
      <c r="A5" s="30">
        <f>IF($J5="","",1)</f>
        <v/>
      </c>
      <c r="B5" s="30">
        <f>IF($J5="","",INDEX(Checkliste!$A$13:$A$85,$J5))</f>
        <v/>
      </c>
      <c r="C5" s="31">
        <f>IF($J5="","",INDEX(Checkliste!$B$13:$B$85,$J5)&amp;"")</f>
        <v/>
      </c>
      <c r="D5" s="31">
        <f>IF($J5="","",INDEX(Checkliste!$C$13:$C$85,$J5)&amp;"")</f>
        <v/>
      </c>
      <c r="E5" s="30">
        <f>IF($J5="","",INDEX(Checkliste!$G$13:$G$85,$J5)&amp;"")</f>
        <v/>
      </c>
      <c r="F5" s="31">
        <f>IF($J5="","",INDEX(Checkliste!$H$13:$H$85,$J5)&amp;"")</f>
        <v/>
      </c>
      <c r="G5" s="31">
        <f>IF($J5="","",INDEX(Checkliste!$I$13:$I$85,$J5)&amp;"")</f>
        <v/>
      </c>
      <c r="H5" s="32">
        <f>IF($J5="","",IF(INDEX(Checkliste!$J$13:$J$85,$J5)="","",INDEX(Checkliste!$J$13:$J$85,$J5)))</f>
        <v/>
      </c>
      <c r="I5" s="30">
        <f>IF($J5="","",INDEX(Checkliste!$L$13:$L$85,$J5)&amp;"")</f>
        <v/>
      </c>
      <c r="J5" s="63">
        <f>IFERROR(MATCH(1,Checkliste!$M$13:$M$85,0),"")</f>
        <v/>
      </c>
    </row>
    <row r="6">
      <c r="A6" s="30">
        <f>IF($J6="","",2)</f>
        <v/>
      </c>
      <c r="B6" s="30">
        <f>IF($J6="","",INDEX(Checkliste!$A$13:$A$85,$J6))</f>
        <v/>
      </c>
      <c r="C6" s="31">
        <f>IF($J6="","",INDEX(Checkliste!$B$13:$B$85,$J6)&amp;"")</f>
        <v/>
      </c>
      <c r="D6" s="31">
        <f>IF($J6="","",INDEX(Checkliste!$C$13:$C$85,$J6)&amp;"")</f>
        <v/>
      </c>
      <c r="E6" s="30">
        <f>IF($J6="","",INDEX(Checkliste!$G$13:$G$85,$J6)&amp;"")</f>
        <v/>
      </c>
      <c r="F6" s="31">
        <f>IF($J6="","",INDEX(Checkliste!$H$13:$H$85,$J6)&amp;"")</f>
        <v/>
      </c>
      <c r="G6" s="31">
        <f>IF($J6="","",INDEX(Checkliste!$I$13:$I$85,$J6)&amp;"")</f>
        <v/>
      </c>
      <c r="H6" s="32">
        <f>IF($J6="","",IF(INDEX(Checkliste!$J$13:$J$85,$J6)="","",INDEX(Checkliste!$J$13:$J$85,$J6)))</f>
        <v/>
      </c>
      <c r="I6" s="30">
        <f>IF($J6="","",INDEX(Checkliste!$L$13:$L$85,$J6)&amp;"")</f>
        <v/>
      </c>
      <c r="J6" s="63">
        <f>IFERROR(MATCH(2,Checkliste!$M$13:$M$85,0),"")</f>
        <v/>
      </c>
    </row>
    <row r="7">
      <c r="A7" s="30">
        <f>IF($J7="","",3)</f>
        <v/>
      </c>
      <c r="B7" s="30">
        <f>IF($J7="","",INDEX(Checkliste!$A$13:$A$85,$J7))</f>
        <v/>
      </c>
      <c r="C7" s="31">
        <f>IF($J7="","",INDEX(Checkliste!$B$13:$B$85,$J7)&amp;"")</f>
        <v/>
      </c>
      <c r="D7" s="31">
        <f>IF($J7="","",INDEX(Checkliste!$C$13:$C$85,$J7)&amp;"")</f>
        <v/>
      </c>
      <c r="E7" s="30">
        <f>IF($J7="","",INDEX(Checkliste!$G$13:$G$85,$J7)&amp;"")</f>
        <v/>
      </c>
      <c r="F7" s="31">
        <f>IF($J7="","",INDEX(Checkliste!$H$13:$H$85,$J7)&amp;"")</f>
        <v/>
      </c>
      <c r="G7" s="31">
        <f>IF($J7="","",INDEX(Checkliste!$I$13:$I$85,$J7)&amp;"")</f>
        <v/>
      </c>
      <c r="H7" s="32">
        <f>IF($J7="","",IF(INDEX(Checkliste!$J$13:$J$85,$J7)="","",INDEX(Checkliste!$J$13:$J$85,$J7)))</f>
        <v/>
      </c>
      <c r="I7" s="30">
        <f>IF($J7="","",INDEX(Checkliste!$L$13:$L$85,$J7)&amp;"")</f>
        <v/>
      </c>
      <c r="J7" s="63">
        <f>IFERROR(MATCH(3,Checkliste!$M$13:$M$85,0),"")</f>
        <v/>
      </c>
    </row>
    <row r="8">
      <c r="A8" s="30">
        <f>IF($J8="","",4)</f>
        <v/>
      </c>
      <c r="B8" s="30">
        <f>IF($J8="","",INDEX(Checkliste!$A$13:$A$85,$J8))</f>
        <v/>
      </c>
      <c r="C8" s="31">
        <f>IF($J8="","",INDEX(Checkliste!$B$13:$B$85,$J8)&amp;"")</f>
        <v/>
      </c>
      <c r="D8" s="31">
        <f>IF($J8="","",INDEX(Checkliste!$C$13:$C$85,$J8)&amp;"")</f>
        <v/>
      </c>
      <c r="E8" s="30">
        <f>IF($J8="","",INDEX(Checkliste!$G$13:$G$85,$J8)&amp;"")</f>
        <v/>
      </c>
      <c r="F8" s="31">
        <f>IF($J8="","",INDEX(Checkliste!$H$13:$H$85,$J8)&amp;"")</f>
        <v/>
      </c>
      <c r="G8" s="31">
        <f>IF($J8="","",INDEX(Checkliste!$I$13:$I$85,$J8)&amp;"")</f>
        <v/>
      </c>
      <c r="H8" s="32">
        <f>IF($J8="","",IF(INDEX(Checkliste!$J$13:$J$85,$J8)="","",INDEX(Checkliste!$J$13:$J$85,$J8)))</f>
        <v/>
      </c>
      <c r="I8" s="30">
        <f>IF($J8="","",INDEX(Checkliste!$L$13:$L$85,$J8)&amp;"")</f>
        <v/>
      </c>
      <c r="J8" s="63">
        <f>IFERROR(MATCH(4,Checkliste!$M$13:$M$85,0),"")</f>
        <v/>
      </c>
    </row>
    <row r="9">
      <c r="A9" s="30">
        <f>IF($J9="","",5)</f>
        <v/>
      </c>
      <c r="B9" s="30">
        <f>IF($J9="","",INDEX(Checkliste!$A$13:$A$85,$J9))</f>
        <v/>
      </c>
      <c r="C9" s="31">
        <f>IF($J9="","",INDEX(Checkliste!$B$13:$B$85,$J9)&amp;"")</f>
        <v/>
      </c>
      <c r="D9" s="31">
        <f>IF($J9="","",INDEX(Checkliste!$C$13:$C$85,$J9)&amp;"")</f>
        <v/>
      </c>
      <c r="E9" s="30">
        <f>IF($J9="","",INDEX(Checkliste!$G$13:$G$85,$J9)&amp;"")</f>
        <v/>
      </c>
      <c r="F9" s="31">
        <f>IF($J9="","",INDEX(Checkliste!$H$13:$H$85,$J9)&amp;"")</f>
        <v/>
      </c>
      <c r="G9" s="31">
        <f>IF($J9="","",INDEX(Checkliste!$I$13:$I$85,$J9)&amp;"")</f>
        <v/>
      </c>
      <c r="H9" s="32">
        <f>IF($J9="","",IF(INDEX(Checkliste!$J$13:$J$85,$J9)="","",INDEX(Checkliste!$J$13:$J$85,$J9)))</f>
        <v/>
      </c>
      <c r="I9" s="30">
        <f>IF($J9="","",INDEX(Checkliste!$L$13:$L$85,$J9)&amp;"")</f>
        <v/>
      </c>
      <c r="J9" s="63">
        <f>IFERROR(MATCH(5,Checkliste!$M$13:$M$85,0),"")</f>
        <v/>
      </c>
    </row>
    <row r="10">
      <c r="A10" s="30">
        <f>IF($J10="","",6)</f>
        <v/>
      </c>
      <c r="B10" s="30">
        <f>IF($J10="","",INDEX(Checkliste!$A$13:$A$85,$J10))</f>
        <v/>
      </c>
      <c r="C10" s="31">
        <f>IF($J10="","",INDEX(Checkliste!$B$13:$B$85,$J10)&amp;"")</f>
        <v/>
      </c>
      <c r="D10" s="31">
        <f>IF($J10="","",INDEX(Checkliste!$C$13:$C$85,$J10)&amp;"")</f>
        <v/>
      </c>
      <c r="E10" s="30">
        <f>IF($J10="","",INDEX(Checkliste!$G$13:$G$85,$J10)&amp;"")</f>
        <v/>
      </c>
      <c r="F10" s="31">
        <f>IF($J10="","",INDEX(Checkliste!$H$13:$H$85,$J10)&amp;"")</f>
        <v/>
      </c>
      <c r="G10" s="31">
        <f>IF($J10="","",INDEX(Checkliste!$I$13:$I$85,$J10)&amp;"")</f>
        <v/>
      </c>
      <c r="H10" s="32">
        <f>IF($J10="","",IF(INDEX(Checkliste!$J$13:$J$85,$J10)="","",INDEX(Checkliste!$J$13:$J$85,$J10)))</f>
        <v/>
      </c>
      <c r="I10" s="30">
        <f>IF($J10="","",INDEX(Checkliste!$L$13:$L$85,$J10)&amp;"")</f>
        <v/>
      </c>
      <c r="J10" s="63">
        <f>IFERROR(MATCH(6,Checkliste!$M$13:$M$85,0),"")</f>
        <v/>
      </c>
    </row>
    <row r="11">
      <c r="A11" s="30">
        <f>IF($J11="","",7)</f>
        <v/>
      </c>
      <c r="B11" s="30">
        <f>IF($J11="","",INDEX(Checkliste!$A$13:$A$85,$J11))</f>
        <v/>
      </c>
      <c r="C11" s="31">
        <f>IF($J11="","",INDEX(Checkliste!$B$13:$B$85,$J11)&amp;"")</f>
        <v/>
      </c>
      <c r="D11" s="31">
        <f>IF($J11="","",INDEX(Checkliste!$C$13:$C$85,$J11)&amp;"")</f>
        <v/>
      </c>
      <c r="E11" s="30">
        <f>IF($J11="","",INDEX(Checkliste!$G$13:$G$85,$J11)&amp;"")</f>
        <v/>
      </c>
      <c r="F11" s="31">
        <f>IF($J11="","",INDEX(Checkliste!$H$13:$H$85,$J11)&amp;"")</f>
        <v/>
      </c>
      <c r="G11" s="31">
        <f>IF($J11="","",INDEX(Checkliste!$I$13:$I$85,$J11)&amp;"")</f>
        <v/>
      </c>
      <c r="H11" s="32">
        <f>IF($J11="","",IF(INDEX(Checkliste!$J$13:$J$85,$J11)="","",INDEX(Checkliste!$J$13:$J$85,$J11)))</f>
        <v/>
      </c>
      <c r="I11" s="30">
        <f>IF($J11="","",INDEX(Checkliste!$L$13:$L$85,$J11)&amp;"")</f>
        <v/>
      </c>
      <c r="J11" s="63">
        <f>IFERROR(MATCH(7,Checkliste!$M$13:$M$85,0),"")</f>
        <v/>
      </c>
    </row>
    <row r="12">
      <c r="A12" s="30">
        <f>IF($J12="","",8)</f>
        <v/>
      </c>
      <c r="B12" s="30">
        <f>IF($J12="","",INDEX(Checkliste!$A$13:$A$85,$J12))</f>
        <v/>
      </c>
      <c r="C12" s="31">
        <f>IF($J12="","",INDEX(Checkliste!$B$13:$B$85,$J12)&amp;"")</f>
        <v/>
      </c>
      <c r="D12" s="31">
        <f>IF($J12="","",INDEX(Checkliste!$C$13:$C$85,$J12)&amp;"")</f>
        <v/>
      </c>
      <c r="E12" s="30">
        <f>IF($J12="","",INDEX(Checkliste!$G$13:$G$85,$J12)&amp;"")</f>
        <v/>
      </c>
      <c r="F12" s="31">
        <f>IF($J12="","",INDEX(Checkliste!$H$13:$H$85,$J12)&amp;"")</f>
        <v/>
      </c>
      <c r="G12" s="31">
        <f>IF($J12="","",INDEX(Checkliste!$I$13:$I$85,$J12)&amp;"")</f>
        <v/>
      </c>
      <c r="H12" s="32">
        <f>IF($J12="","",IF(INDEX(Checkliste!$J$13:$J$85,$J12)="","",INDEX(Checkliste!$J$13:$J$85,$J12)))</f>
        <v/>
      </c>
      <c r="I12" s="30">
        <f>IF($J12="","",INDEX(Checkliste!$L$13:$L$85,$J12)&amp;"")</f>
        <v/>
      </c>
      <c r="J12" s="63">
        <f>IFERROR(MATCH(8,Checkliste!$M$13:$M$85,0),"")</f>
        <v/>
      </c>
    </row>
    <row r="13">
      <c r="A13" s="30">
        <f>IF($J13="","",9)</f>
        <v/>
      </c>
      <c r="B13" s="30">
        <f>IF($J13="","",INDEX(Checkliste!$A$13:$A$85,$J13))</f>
        <v/>
      </c>
      <c r="C13" s="31">
        <f>IF($J13="","",INDEX(Checkliste!$B$13:$B$85,$J13)&amp;"")</f>
        <v/>
      </c>
      <c r="D13" s="31">
        <f>IF($J13="","",INDEX(Checkliste!$C$13:$C$85,$J13)&amp;"")</f>
        <v/>
      </c>
      <c r="E13" s="30">
        <f>IF($J13="","",INDEX(Checkliste!$G$13:$G$85,$J13)&amp;"")</f>
        <v/>
      </c>
      <c r="F13" s="31">
        <f>IF($J13="","",INDEX(Checkliste!$H$13:$H$85,$J13)&amp;"")</f>
        <v/>
      </c>
      <c r="G13" s="31">
        <f>IF($J13="","",INDEX(Checkliste!$I$13:$I$85,$J13)&amp;"")</f>
        <v/>
      </c>
      <c r="H13" s="32">
        <f>IF($J13="","",IF(INDEX(Checkliste!$J$13:$J$85,$J13)="","",INDEX(Checkliste!$J$13:$J$85,$J13)))</f>
        <v/>
      </c>
      <c r="I13" s="30">
        <f>IF($J13="","",INDEX(Checkliste!$L$13:$L$85,$J13)&amp;"")</f>
        <v/>
      </c>
      <c r="J13" s="63">
        <f>IFERROR(MATCH(9,Checkliste!$M$13:$M$85,0),"")</f>
        <v/>
      </c>
    </row>
    <row r="14">
      <c r="A14" s="30">
        <f>IF($J14="","",10)</f>
        <v/>
      </c>
      <c r="B14" s="30">
        <f>IF($J14="","",INDEX(Checkliste!$A$13:$A$85,$J14))</f>
        <v/>
      </c>
      <c r="C14" s="31">
        <f>IF($J14="","",INDEX(Checkliste!$B$13:$B$85,$J14)&amp;"")</f>
        <v/>
      </c>
      <c r="D14" s="31">
        <f>IF($J14="","",INDEX(Checkliste!$C$13:$C$85,$J14)&amp;"")</f>
        <v/>
      </c>
      <c r="E14" s="30">
        <f>IF($J14="","",INDEX(Checkliste!$G$13:$G$85,$J14)&amp;"")</f>
        <v/>
      </c>
      <c r="F14" s="31">
        <f>IF($J14="","",INDEX(Checkliste!$H$13:$H$85,$J14)&amp;"")</f>
        <v/>
      </c>
      <c r="G14" s="31">
        <f>IF($J14="","",INDEX(Checkliste!$I$13:$I$85,$J14)&amp;"")</f>
        <v/>
      </c>
      <c r="H14" s="32">
        <f>IF($J14="","",IF(INDEX(Checkliste!$J$13:$J$85,$J14)="","",INDEX(Checkliste!$J$13:$J$85,$J14)))</f>
        <v/>
      </c>
      <c r="I14" s="30">
        <f>IF($J14="","",INDEX(Checkliste!$L$13:$L$85,$J14)&amp;"")</f>
        <v/>
      </c>
      <c r="J14" s="63">
        <f>IFERROR(MATCH(10,Checkliste!$M$13:$M$85,0),"")</f>
        <v/>
      </c>
    </row>
    <row r="15">
      <c r="A15" s="30">
        <f>IF($J15="","",11)</f>
        <v/>
      </c>
      <c r="B15" s="30">
        <f>IF($J15="","",INDEX(Checkliste!$A$13:$A$85,$J15))</f>
        <v/>
      </c>
      <c r="C15" s="31">
        <f>IF($J15="","",INDEX(Checkliste!$B$13:$B$85,$J15)&amp;"")</f>
        <v/>
      </c>
      <c r="D15" s="31">
        <f>IF($J15="","",INDEX(Checkliste!$C$13:$C$85,$J15)&amp;"")</f>
        <v/>
      </c>
      <c r="E15" s="30">
        <f>IF($J15="","",INDEX(Checkliste!$G$13:$G$85,$J15)&amp;"")</f>
        <v/>
      </c>
      <c r="F15" s="31">
        <f>IF($J15="","",INDEX(Checkliste!$H$13:$H$85,$J15)&amp;"")</f>
        <v/>
      </c>
      <c r="G15" s="31">
        <f>IF($J15="","",INDEX(Checkliste!$I$13:$I$85,$J15)&amp;"")</f>
        <v/>
      </c>
      <c r="H15" s="32">
        <f>IF($J15="","",IF(INDEX(Checkliste!$J$13:$J$85,$J15)="","",INDEX(Checkliste!$J$13:$J$85,$J15)))</f>
        <v/>
      </c>
      <c r="I15" s="30">
        <f>IF($J15="","",INDEX(Checkliste!$L$13:$L$85,$J15)&amp;"")</f>
        <v/>
      </c>
      <c r="J15" s="63">
        <f>IFERROR(MATCH(11,Checkliste!$M$13:$M$85,0),"")</f>
        <v/>
      </c>
    </row>
    <row r="16">
      <c r="A16" s="30">
        <f>IF($J16="","",12)</f>
        <v/>
      </c>
      <c r="B16" s="30">
        <f>IF($J16="","",INDEX(Checkliste!$A$13:$A$85,$J16))</f>
        <v/>
      </c>
      <c r="C16" s="31">
        <f>IF($J16="","",INDEX(Checkliste!$B$13:$B$85,$J16)&amp;"")</f>
        <v/>
      </c>
      <c r="D16" s="31">
        <f>IF($J16="","",INDEX(Checkliste!$C$13:$C$85,$J16)&amp;"")</f>
        <v/>
      </c>
      <c r="E16" s="30">
        <f>IF($J16="","",INDEX(Checkliste!$G$13:$G$85,$J16)&amp;"")</f>
        <v/>
      </c>
      <c r="F16" s="31">
        <f>IF($J16="","",INDEX(Checkliste!$H$13:$H$85,$J16)&amp;"")</f>
        <v/>
      </c>
      <c r="G16" s="31">
        <f>IF($J16="","",INDEX(Checkliste!$I$13:$I$85,$J16)&amp;"")</f>
        <v/>
      </c>
      <c r="H16" s="32">
        <f>IF($J16="","",IF(INDEX(Checkliste!$J$13:$J$85,$J16)="","",INDEX(Checkliste!$J$13:$J$85,$J16)))</f>
        <v/>
      </c>
      <c r="I16" s="30">
        <f>IF($J16="","",INDEX(Checkliste!$L$13:$L$85,$J16)&amp;"")</f>
        <v/>
      </c>
      <c r="J16" s="63">
        <f>IFERROR(MATCH(12,Checkliste!$M$13:$M$85,0),"")</f>
        <v/>
      </c>
    </row>
    <row r="17">
      <c r="A17" s="30">
        <f>IF($J17="","",13)</f>
        <v/>
      </c>
      <c r="B17" s="30">
        <f>IF($J17="","",INDEX(Checkliste!$A$13:$A$85,$J17))</f>
        <v/>
      </c>
      <c r="C17" s="31">
        <f>IF($J17="","",INDEX(Checkliste!$B$13:$B$85,$J17)&amp;"")</f>
        <v/>
      </c>
      <c r="D17" s="31">
        <f>IF($J17="","",INDEX(Checkliste!$C$13:$C$85,$J17)&amp;"")</f>
        <v/>
      </c>
      <c r="E17" s="30">
        <f>IF($J17="","",INDEX(Checkliste!$G$13:$G$85,$J17)&amp;"")</f>
        <v/>
      </c>
      <c r="F17" s="31">
        <f>IF($J17="","",INDEX(Checkliste!$H$13:$H$85,$J17)&amp;"")</f>
        <v/>
      </c>
      <c r="G17" s="31">
        <f>IF($J17="","",INDEX(Checkliste!$I$13:$I$85,$J17)&amp;"")</f>
        <v/>
      </c>
      <c r="H17" s="32">
        <f>IF($J17="","",IF(INDEX(Checkliste!$J$13:$J$85,$J17)="","",INDEX(Checkliste!$J$13:$J$85,$J17)))</f>
        <v/>
      </c>
      <c r="I17" s="30">
        <f>IF($J17="","",INDEX(Checkliste!$L$13:$L$85,$J17)&amp;"")</f>
        <v/>
      </c>
      <c r="J17" s="63">
        <f>IFERROR(MATCH(13,Checkliste!$M$13:$M$85,0),"")</f>
        <v/>
      </c>
    </row>
    <row r="18">
      <c r="A18" s="30">
        <f>IF($J18="","",14)</f>
        <v/>
      </c>
      <c r="B18" s="30">
        <f>IF($J18="","",INDEX(Checkliste!$A$13:$A$85,$J18))</f>
        <v/>
      </c>
      <c r="C18" s="31">
        <f>IF($J18="","",INDEX(Checkliste!$B$13:$B$85,$J18)&amp;"")</f>
        <v/>
      </c>
      <c r="D18" s="31">
        <f>IF($J18="","",INDEX(Checkliste!$C$13:$C$85,$J18)&amp;"")</f>
        <v/>
      </c>
      <c r="E18" s="30">
        <f>IF($J18="","",INDEX(Checkliste!$G$13:$G$85,$J18)&amp;"")</f>
        <v/>
      </c>
      <c r="F18" s="31">
        <f>IF($J18="","",INDEX(Checkliste!$H$13:$H$85,$J18)&amp;"")</f>
        <v/>
      </c>
      <c r="G18" s="31">
        <f>IF($J18="","",INDEX(Checkliste!$I$13:$I$85,$J18)&amp;"")</f>
        <v/>
      </c>
      <c r="H18" s="32">
        <f>IF($J18="","",IF(INDEX(Checkliste!$J$13:$J$85,$J18)="","",INDEX(Checkliste!$J$13:$J$85,$J18)))</f>
        <v/>
      </c>
      <c r="I18" s="30">
        <f>IF($J18="","",INDEX(Checkliste!$L$13:$L$85,$J18)&amp;"")</f>
        <v/>
      </c>
      <c r="J18" s="63">
        <f>IFERROR(MATCH(14,Checkliste!$M$13:$M$85,0),"")</f>
        <v/>
      </c>
    </row>
    <row r="19">
      <c r="A19" s="30">
        <f>IF($J19="","",15)</f>
        <v/>
      </c>
      <c r="B19" s="30">
        <f>IF($J19="","",INDEX(Checkliste!$A$13:$A$85,$J19))</f>
        <v/>
      </c>
      <c r="C19" s="31">
        <f>IF($J19="","",INDEX(Checkliste!$B$13:$B$85,$J19)&amp;"")</f>
        <v/>
      </c>
      <c r="D19" s="31">
        <f>IF($J19="","",INDEX(Checkliste!$C$13:$C$85,$J19)&amp;"")</f>
        <v/>
      </c>
      <c r="E19" s="30">
        <f>IF($J19="","",INDEX(Checkliste!$G$13:$G$85,$J19)&amp;"")</f>
        <v/>
      </c>
      <c r="F19" s="31">
        <f>IF($J19="","",INDEX(Checkliste!$H$13:$H$85,$J19)&amp;"")</f>
        <v/>
      </c>
      <c r="G19" s="31">
        <f>IF($J19="","",INDEX(Checkliste!$I$13:$I$85,$J19)&amp;"")</f>
        <v/>
      </c>
      <c r="H19" s="32">
        <f>IF($J19="","",IF(INDEX(Checkliste!$J$13:$J$85,$J19)="","",INDEX(Checkliste!$J$13:$J$85,$J19)))</f>
        <v/>
      </c>
      <c r="I19" s="30">
        <f>IF($J19="","",INDEX(Checkliste!$L$13:$L$85,$J19)&amp;"")</f>
        <v/>
      </c>
      <c r="J19" s="63">
        <f>IFERROR(MATCH(15,Checkliste!$M$13:$M$85,0),"")</f>
        <v/>
      </c>
    </row>
    <row r="20">
      <c r="A20" s="30">
        <f>IF($J20="","",16)</f>
        <v/>
      </c>
      <c r="B20" s="30">
        <f>IF($J20="","",INDEX(Checkliste!$A$13:$A$85,$J20))</f>
        <v/>
      </c>
      <c r="C20" s="31">
        <f>IF($J20="","",INDEX(Checkliste!$B$13:$B$85,$J20)&amp;"")</f>
        <v/>
      </c>
      <c r="D20" s="31">
        <f>IF($J20="","",INDEX(Checkliste!$C$13:$C$85,$J20)&amp;"")</f>
        <v/>
      </c>
      <c r="E20" s="30">
        <f>IF($J20="","",INDEX(Checkliste!$G$13:$G$85,$J20)&amp;"")</f>
        <v/>
      </c>
      <c r="F20" s="31">
        <f>IF($J20="","",INDEX(Checkliste!$H$13:$H$85,$J20)&amp;"")</f>
        <v/>
      </c>
      <c r="G20" s="31">
        <f>IF($J20="","",INDEX(Checkliste!$I$13:$I$85,$J20)&amp;"")</f>
        <v/>
      </c>
      <c r="H20" s="32">
        <f>IF($J20="","",IF(INDEX(Checkliste!$J$13:$J$85,$J20)="","",INDEX(Checkliste!$J$13:$J$85,$J20)))</f>
        <v/>
      </c>
      <c r="I20" s="30">
        <f>IF($J20="","",INDEX(Checkliste!$L$13:$L$85,$J20)&amp;"")</f>
        <v/>
      </c>
      <c r="J20" s="63">
        <f>IFERROR(MATCH(16,Checkliste!$M$13:$M$85,0),"")</f>
        <v/>
      </c>
    </row>
    <row r="21">
      <c r="A21" s="30">
        <f>IF($J21="","",17)</f>
        <v/>
      </c>
      <c r="B21" s="30">
        <f>IF($J21="","",INDEX(Checkliste!$A$13:$A$85,$J21))</f>
        <v/>
      </c>
      <c r="C21" s="31">
        <f>IF($J21="","",INDEX(Checkliste!$B$13:$B$85,$J21)&amp;"")</f>
        <v/>
      </c>
      <c r="D21" s="31">
        <f>IF($J21="","",INDEX(Checkliste!$C$13:$C$85,$J21)&amp;"")</f>
        <v/>
      </c>
      <c r="E21" s="30">
        <f>IF($J21="","",INDEX(Checkliste!$G$13:$G$85,$J21)&amp;"")</f>
        <v/>
      </c>
      <c r="F21" s="31">
        <f>IF($J21="","",INDEX(Checkliste!$H$13:$H$85,$J21)&amp;"")</f>
        <v/>
      </c>
      <c r="G21" s="31">
        <f>IF($J21="","",INDEX(Checkliste!$I$13:$I$85,$J21)&amp;"")</f>
        <v/>
      </c>
      <c r="H21" s="32">
        <f>IF($J21="","",IF(INDEX(Checkliste!$J$13:$J$85,$J21)="","",INDEX(Checkliste!$J$13:$J$85,$J21)))</f>
        <v/>
      </c>
      <c r="I21" s="30">
        <f>IF($J21="","",INDEX(Checkliste!$L$13:$L$85,$J21)&amp;"")</f>
        <v/>
      </c>
      <c r="J21" s="63">
        <f>IFERROR(MATCH(17,Checkliste!$M$13:$M$85,0),"")</f>
        <v/>
      </c>
    </row>
    <row r="22">
      <c r="A22" s="30">
        <f>IF($J22="","",18)</f>
        <v/>
      </c>
      <c r="B22" s="30">
        <f>IF($J22="","",INDEX(Checkliste!$A$13:$A$85,$J22))</f>
        <v/>
      </c>
      <c r="C22" s="31">
        <f>IF($J22="","",INDEX(Checkliste!$B$13:$B$85,$J22)&amp;"")</f>
        <v/>
      </c>
      <c r="D22" s="31">
        <f>IF($J22="","",INDEX(Checkliste!$C$13:$C$85,$J22)&amp;"")</f>
        <v/>
      </c>
      <c r="E22" s="30">
        <f>IF($J22="","",INDEX(Checkliste!$G$13:$G$85,$J22)&amp;"")</f>
        <v/>
      </c>
      <c r="F22" s="31">
        <f>IF($J22="","",INDEX(Checkliste!$H$13:$H$85,$J22)&amp;"")</f>
        <v/>
      </c>
      <c r="G22" s="31">
        <f>IF($J22="","",INDEX(Checkliste!$I$13:$I$85,$J22)&amp;"")</f>
        <v/>
      </c>
      <c r="H22" s="32">
        <f>IF($J22="","",IF(INDEX(Checkliste!$J$13:$J$85,$J22)="","",INDEX(Checkliste!$J$13:$J$85,$J22)))</f>
        <v/>
      </c>
      <c r="I22" s="30">
        <f>IF($J22="","",INDEX(Checkliste!$L$13:$L$85,$J22)&amp;"")</f>
        <v/>
      </c>
      <c r="J22" s="63">
        <f>IFERROR(MATCH(18,Checkliste!$M$13:$M$85,0),"")</f>
        <v/>
      </c>
    </row>
    <row r="23">
      <c r="A23" s="30">
        <f>IF($J23="","",19)</f>
        <v/>
      </c>
      <c r="B23" s="30">
        <f>IF($J23="","",INDEX(Checkliste!$A$13:$A$85,$J23))</f>
        <v/>
      </c>
      <c r="C23" s="31">
        <f>IF($J23="","",INDEX(Checkliste!$B$13:$B$85,$J23)&amp;"")</f>
        <v/>
      </c>
      <c r="D23" s="31">
        <f>IF($J23="","",INDEX(Checkliste!$C$13:$C$85,$J23)&amp;"")</f>
        <v/>
      </c>
      <c r="E23" s="30">
        <f>IF($J23="","",INDEX(Checkliste!$G$13:$G$85,$J23)&amp;"")</f>
        <v/>
      </c>
      <c r="F23" s="31">
        <f>IF($J23="","",INDEX(Checkliste!$H$13:$H$85,$J23)&amp;"")</f>
        <v/>
      </c>
      <c r="G23" s="31">
        <f>IF($J23="","",INDEX(Checkliste!$I$13:$I$85,$J23)&amp;"")</f>
        <v/>
      </c>
      <c r="H23" s="32">
        <f>IF($J23="","",IF(INDEX(Checkliste!$J$13:$J$85,$J23)="","",INDEX(Checkliste!$J$13:$J$85,$J23)))</f>
        <v/>
      </c>
      <c r="I23" s="30">
        <f>IF($J23="","",INDEX(Checkliste!$L$13:$L$85,$J23)&amp;"")</f>
        <v/>
      </c>
      <c r="J23" s="63">
        <f>IFERROR(MATCH(19,Checkliste!$M$13:$M$85,0),"")</f>
        <v/>
      </c>
    </row>
    <row r="24">
      <c r="A24" s="30">
        <f>IF($J24="","",20)</f>
        <v/>
      </c>
      <c r="B24" s="30">
        <f>IF($J24="","",INDEX(Checkliste!$A$13:$A$85,$J24))</f>
        <v/>
      </c>
      <c r="C24" s="31">
        <f>IF($J24="","",INDEX(Checkliste!$B$13:$B$85,$J24)&amp;"")</f>
        <v/>
      </c>
      <c r="D24" s="31">
        <f>IF($J24="","",INDEX(Checkliste!$C$13:$C$85,$J24)&amp;"")</f>
        <v/>
      </c>
      <c r="E24" s="30">
        <f>IF($J24="","",INDEX(Checkliste!$G$13:$G$85,$J24)&amp;"")</f>
        <v/>
      </c>
      <c r="F24" s="31">
        <f>IF($J24="","",INDEX(Checkliste!$H$13:$H$85,$J24)&amp;"")</f>
        <v/>
      </c>
      <c r="G24" s="31">
        <f>IF($J24="","",INDEX(Checkliste!$I$13:$I$85,$J24)&amp;"")</f>
        <v/>
      </c>
      <c r="H24" s="32">
        <f>IF($J24="","",IF(INDEX(Checkliste!$J$13:$J$85,$J24)="","",INDEX(Checkliste!$J$13:$J$85,$J24)))</f>
        <v/>
      </c>
      <c r="I24" s="30">
        <f>IF($J24="","",INDEX(Checkliste!$L$13:$L$85,$J24)&amp;"")</f>
        <v/>
      </c>
      <c r="J24" s="63">
        <f>IFERROR(MATCH(20,Checkliste!$M$13:$M$85,0),"")</f>
        <v/>
      </c>
    </row>
    <row r="25">
      <c r="A25" s="30">
        <f>IF($J25="","",21)</f>
        <v/>
      </c>
      <c r="B25" s="30">
        <f>IF($J25="","",INDEX(Checkliste!$A$13:$A$85,$J25))</f>
        <v/>
      </c>
      <c r="C25" s="31">
        <f>IF($J25="","",INDEX(Checkliste!$B$13:$B$85,$J25)&amp;"")</f>
        <v/>
      </c>
      <c r="D25" s="31">
        <f>IF($J25="","",INDEX(Checkliste!$C$13:$C$85,$J25)&amp;"")</f>
        <v/>
      </c>
      <c r="E25" s="30">
        <f>IF($J25="","",INDEX(Checkliste!$G$13:$G$85,$J25)&amp;"")</f>
        <v/>
      </c>
      <c r="F25" s="31">
        <f>IF($J25="","",INDEX(Checkliste!$H$13:$H$85,$J25)&amp;"")</f>
        <v/>
      </c>
      <c r="G25" s="31">
        <f>IF($J25="","",INDEX(Checkliste!$I$13:$I$85,$J25)&amp;"")</f>
        <v/>
      </c>
      <c r="H25" s="32">
        <f>IF($J25="","",IF(INDEX(Checkliste!$J$13:$J$85,$J25)="","",INDEX(Checkliste!$J$13:$J$85,$J25)))</f>
        <v/>
      </c>
      <c r="I25" s="30">
        <f>IF($J25="","",INDEX(Checkliste!$L$13:$L$85,$J25)&amp;"")</f>
        <v/>
      </c>
      <c r="J25" s="63">
        <f>IFERROR(MATCH(21,Checkliste!$M$13:$M$85,0),"")</f>
        <v/>
      </c>
    </row>
    <row r="26">
      <c r="A26" s="30">
        <f>IF($J26="","",22)</f>
        <v/>
      </c>
      <c r="B26" s="30">
        <f>IF($J26="","",INDEX(Checkliste!$A$13:$A$85,$J26))</f>
        <v/>
      </c>
      <c r="C26" s="31">
        <f>IF($J26="","",INDEX(Checkliste!$B$13:$B$85,$J26)&amp;"")</f>
        <v/>
      </c>
      <c r="D26" s="31">
        <f>IF($J26="","",INDEX(Checkliste!$C$13:$C$85,$J26)&amp;"")</f>
        <v/>
      </c>
      <c r="E26" s="30">
        <f>IF($J26="","",INDEX(Checkliste!$G$13:$G$85,$J26)&amp;"")</f>
        <v/>
      </c>
      <c r="F26" s="31">
        <f>IF($J26="","",INDEX(Checkliste!$H$13:$H$85,$J26)&amp;"")</f>
        <v/>
      </c>
      <c r="G26" s="31">
        <f>IF($J26="","",INDEX(Checkliste!$I$13:$I$85,$J26)&amp;"")</f>
        <v/>
      </c>
      <c r="H26" s="32">
        <f>IF($J26="","",IF(INDEX(Checkliste!$J$13:$J$85,$J26)="","",INDEX(Checkliste!$J$13:$J$85,$J26)))</f>
        <v/>
      </c>
      <c r="I26" s="30">
        <f>IF($J26="","",INDEX(Checkliste!$L$13:$L$85,$J26)&amp;"")</f>
        <v/>
      </c>
      <c r="J26" s="63">
        <f>IFERROR(MATCH(22,Checkliste!$M$13:$M$85,0),"")</f>
        <v/>
      </c>
    </row>
    <row r="27">
      <c r="A27" s="30">
        <f>IF($J27="","",23)</f>
        <v/>
      </c>
      <c r="B27" s="30">
        <f>IF($J27="","",INDEX(Checkliste!$A$13:$A$85,$J27))</f>
        <v/>
      </c>
      <c r="C27" s="31">
        <f>IF($J27="","",INDEX(Checkliste!$B$13:$B$85,$J27)&amp;"")</f>
        <v/>
      </c>
      <c r="D27" s="31">
        <f>IF($J27="","",INDEX(Checkliste!$C$13:$C$85,$J27)&amp;"")</f>
        <v/>
      </c>
      <c r="E27" s="30">
        <f>IF($J27="","",INDEX(Checkliste!$G$13:$G$85,$J27)&amp;"")</f>
        <v/>
      </c>
      <c r="F27" s="31">
        <f>IF($J27="","",INDEX(Checkliste!$H$13:$H$85,$J27)&amp;"")</f>
        <v/>
      </c>
      <c r="G27" s="31">
        <f>IF($J27="","",INDEX(Checkliste!$I$13:$I$85,$J27)&amp;"")</f>
        <v/>
      </c>
      <c r="H27" s="32">
        <f>IF($J27="","",IF(INDEX(Checkliste!$J$13:$J$85,$J27)="","",INDEX(Checkliste!$J$13:$J$85,$J27)))</f>
        <v/>
      </c>
      <c r="I27" s="30">
        <f>IF($J27="","",INDEX(Checkliste!$L$13:$L$85,$J27)&amp;"")</f>
        <v/>
      </c>
      <c r="J27" s="63">
        <f>IFERROR(MATCH(23,Checkliste!$M$13:$M$85,0),"")</f>
        <v/>
      </c>
    </row>
    <row r="28">
      <c r="A28" s="30">
        <f>IF($J28="","",24)</f>
        <v/>
      </c>
      <c r="B28" s="30">
        <f>IF($J28="","",INDEX(Checkliste!$A$13:$A$85,$J28))</f>
        <v/>
      </c>
      <c r="C28" s="31">
        <f>IF($J28="","",INDEX(Checkliste!$B$13:$B$85,$J28)&amp;"")</f>
        <v/>
      </c>
      <c r="D28" s="31">
        <f>IF($J28="","",INDEX(Checkliste!$C$13:$C$85,$J28)&amp;"")</f>
        <v/>
      </c>
      <c r="E28" s="30">
        <f>IF($J28="","",INDEX(Checkliste!$G$13:$G$85,$J28)&amp;"")</f>
        <v/>
      </c>
      <c r="F28" s="31">
        <f>IF($J28="","",INDEX(Checkliste!$H$13:$H$85,$J28)&amp;"")</f>
        <v/>
      </c>
      <c r="G28" s="31">
        <f>IF($J28="","",INDEX(Checkliste!$I$13:$I$85,$J28)&amp;"")</f>
        <v/>
      </c>
      <c r="H28" s="32">
        <f>IF($J28="","",IF(INDEX(Checkliste!$J$13:$J$85,$J28)="","",INDEX(Checkliste!$J$13:$J$85,$J28)))</f>
        <v/>
      </c>
      <c r="I28" s="30">
        <f>IF($J28="","",INDEX(Checkliste!$L$13:$L$85,$J28)&amp;"")</f>
        <v/>
      </c>
      <c r="J28" s="63">
        <f>IFERROR(MATCH(24,Checkliste!$M$13:$M$85,0),"")</f>
        <v/>
      </c>
    </row>
    <row r="29">
      <c r="A29" s="30">
        <f>IF($J29="","",25)</f>
        <v/>
      </c>
      <c r="B29" s="30">
        <f>IF($J29="","",INDEX(Checkliste!$A$13:$A$85,$J29))</f>
        <v/>
      </c>
      <c r="C29" s="31">
        <f>IF($J29="","",INDEX(Checkliste!$B$13:$B$85,$J29)&amp;"")</f>
        <v/>
      </c>
      <c r="D29" s="31">
        <f>IF($J29="","",INDEX(Checkliste!$C$13:$C$85,$J29)&amp;"")</f>
        <v/>
      </c>
      <c r="E29" s="30">
        <f>IF($J29="","",INDEX(Checkliste!$G$13:$G$85,$J29)&amp;"")</f>
        <v/>
      </c>
      <c r="F29" s="31">
        <f>IF($J29="","",INDEX(Checkliste!$H$13:$H$85,$J29)&amp;"")</f>
        <v/>
      </c>
      <c r="G29" s="31">
        <f>IF($J29="","",INDEX(Checkliste!$I$13:$I$85,$J29)&amp;"")</f>
        <v/>
      </c>
      <c r="H29" s="32">
        <f>IF($J29="","",IF(INDEX(Checkliste!$J$13:$J$85,$J29)="","",INDEX(Checkliste!$J$13:$J$85,$J29)))</f>
        <v/>
      </c>
      <c r="I29" s="30">
        <f>IF($J29="","",INDEX(Checkliste!$L$13:$L$85,$J29)&amp;"")</f>
        <v/>
      </c>
      <c r="J29" s="63">
        <f>IFERROR(MATCH(25,Checkliste!$M$13:$M$85,0),"")</f>
        <v/>
      </c>
    </row>
    <row r="30">
      <c r="A30" s="30">
        <f>IF($J30="","",26)</f>
        <v/>
      </c>
      <c r="B30" s="30">
        <f>IF($J30="","",INDEX(Checkliste!$A$13:$A$85,$J30))</f>
        <v/>
      </c>
      <c r="C30" s="31">
        <f>IF($J30="","",INDEX(Checkliste!$B$13:$B$85,$J30)&amp;"")</f>
        <v/>
      </c>
      <c r="D30" s="31">
        <f>IF($J30="","",INDEX(Checkliste!$C$13:$C$85,$J30)&amp;"")</f>
        <v/>
      </c>
      <c r="E30" s="30">
        <f>IF($J30="","",INDEX(Checkliste!$G$13:$G$85,$J30)&amp;"")</f>
        <v/>
      </c>
      <c r="F30" s="31">
        <f>IF($J30="","",INDEX(Checkliste!$H$13:$H$85,$J30)&amp;"")</f>
        <v/>
      </c>
      <c r="G30" s="31">
        <f>IF($J30="","",INDEX(Checkliste!$I$13:$I$85,$J30)&amp;"")</f>
        <v/>
      </c>
      <c r="H30" s="32">
        <f>IF($J30="","",IF(INDEX(Checkliste!$J$13:$J$85,$J30)="","",INDEX(Checkliste!$J$13:$J$85,$J30)))</f>
        <v/>
      </c>
      <c r="I30" s="30">
        <f>IF($J30="","",INDEX(Checkliste!$L$13:$L$85,$J30)&amp;"")</f>
        <v/>
      </c>
      <c r="J30" s="63">
        <f>IFERROR(MATCH(26,Checkliste!$M$13:$M$85,0),"")</f>
        <v/>
      </c>
    </row>
    <row r="31">
      <c r="A31" s="30">
        <f>IF($J31="","",27)</f>
        <v/>
      </c>
      <c r="B31" s="30">
        <f>IF($J31="","",INDEX(Checkliste!$A$13:$A$85,$J31))</f>
        <v/>
      </c>
      <c r="C31" s="31">
        <f>IF($J31="","",INDEX(Checkliste!$B$13:$B$85,$J31)&amp;"")</f>
        <v/>
      </c>
      <c r="D31" s="31">
        <f>IF($J31="","",INDEX(Checkliste!$C$13:$C$85,$J31)&amp;"")</f>
        <v/>
      </c>
      <c r="E31" s="30">
        <f>IF($J31="","",INDEX(Checkliste!$G$13:$G$85,$J31)&amp;"")</f>
        <v/>
      </c>
      <c r="F31" s="31">
        <f>IF($J31="","",INDEX(Checkliste!$H$13:$H$85,$J31)&amp;"")</f>
        <v/>
      </c>
      <c r="G31" s="31">
        <f>IF($J31="","",INDEX(Checkliste!$I$13:$I$85,$J31)&amp;"")</f>
        <v/>
      </c>
      <c r="H31" s="32">
        <f>IF($J31="","",IF(INDEX(Checkliste!$J$13:$J$85,$J31)="","",INDEX(Checkliste!$J$13:$J$85,$J31)))</f>
        <v/>
      </c>
      <c r="I31" s="30">
        <f>IF($J31="","",INDEX(Checkliste!$L$13:$L$85,$J31)&amp;"")</f>
        <v/>
      </c>
      <c r="J31" s="63">
        <f>IFERROR(MATCH(27,Checkliste!$M$13:$M$85,0),"")</f>
        <v/>
      </c>
    </row>
    <row r="32">
      <c r="A32" s="30">
        <f>IF($J32="","",28)</f>
        <v/>
      </c>
      <c r="B32" s="30">
        <f>IF($J32="","",INDEX(Checkliste!$A$13:$A$85,$J32))</f>
        <v/>
      </c>
      <c r="C32" s="31">
        <f>IF($J32="","",INDEX(Checkliste!$B$13:$B$85,$J32)&amp;"")</f>
        <v/>
      </c>
      <c r="D32" s="31">
        <f>IF($J32="","",INDEX(Checkliste!$C$13:$C$85,$J32)&amp;"")</f>
        <v/>
      </c>
      <c r="E32" s="30">
        <f>IF($J32="","",INDEX(Checkliste!$G$13:$G$85,$J32)&amp;"")</f>
        <v/>
      </c>
      <c r="F32" s="31">
        <f>IF($J32="","",INDEX(Checkliste!$H$13:$H$85,$J32)&amp;"")</f>
        <v/>
      </c>
      <c r="G32" s="31">
        <f>IF($J32="","",INDEX(Checkliste!$I$13:$I$85,$J32)&amp;"")</f>
        <v/>
      </c>
      <c r="H32" s="32">
        <f>IF($J32="","",IF(INDEX(Checkliste!$J$13:$J$85,$J32)="","",INDEX(Checkliste!$J$13:$J$85,$J32)))</f>
        <v/>
      </c>
      <c r="I32" s="30">
        <f>IF($J32="","",INDEX(Checkliste!$L$13:$L$85,$J32)&amp;"")</f>
        <v/>
      </c>
      <c r="J32" s="63">
        <f>IFERROR(MATCH(28,Checkliste!$M$13:$M$85,0),"")</f>
        <v/>
      </c>
    </row>
    <row r="33">
      <c r="A33" s="30">
        <f>IF($J33="","",29)</f>
        <v/>
      </c>
      <c r="B33" s="30">
        <f>IF($J33="","",INDEX(Checkliste!$A$13:$A$85,$J33))</f>
        <v/>
      </c>
      <c r="C33" s="31">
        <f>IF($J33="","",INDEX(Checkliste!$B$13:$B$85,$J33)&amp;"")</f>
        <v/>
      </c>
      <c r="D33" s="31">
        <f>IF($J33="","",INDEX(Checkliste!$C$13:$C$85,$J33)&amp;"")</f>
        <v/>
      </c>
      <c r="E33" s="30">
        <f>IF($J33="","",INDEX(Checkliste!$G$13:$G$85,$J33)&amp;"")</f>
        <v/>
      </c>
      <c r="F33" s="31">
        <f>IF($J33="","",INDEX(Checkliste!$H$13:$H$85,$J33)&amp;"")</f>
        <v/>
      </c>
      <c r="G33" s="31">
        <f>IF($J33="","",INDEX(Checkliste!$I$13:$I$85,$J33)&amp;"")</f>
        <v/>
      </c>
      <c r="H33" s="32">
        <f>IF($J33="","",IF(INDEX(Checkliste!$J$13:$J$85,$J33)="","",INDEX(Checkliste!$J$13:$J$85,$J33)))</f>
        <v/>
      </c>
      <c r="I33" s="30">
        <f>IF($J33="","",INDEX(Checkliste!$L$13:$L$85,$J33)&amp;"")</f>
        <v/>
      </c>
      <c r="J33" s="63">
        <f>IFERROR(MATCH(29,Checkliste!$M$13:$M$85,0),"")</f>
        <v/>
      </c>
    </row>
    <row r="34">
      <c r="A34" s="30">
        <f>IF($J34="","",30)</f>
        <v/>
      </c>
      <c r="B34" s="30">
        <f>IF($J34="","",INDEX(Checkliste!$A$13:$A$85,$J34))</f>
        <v/>
      </c>
      <c r="C34" s="31">
        <f>IF($J34="","",INDEX(Checkliste!$B$13:$B$85,$J34)&amp;"")</f>
        <v/>
      </c>
      <c r="D34" s="31">
        <f>IF($J34="","",INDEX(Checkliste!$C$13:$C$85,$J34)&amp;"")</f>
        <v/>
      </c>
      <c r="E34" s="30">
        <f>IF($J34="","",INDEX(Checkliste!$G$13:$G$85,$J34)&amp;"")</f>
        <v/>
      </c>
      <c r="F34" s="31">
        <f>IF($J34="","",INDEX(Checkliste!$H$13:$H$85,$J34)&amp;"")</f>
        <v/>
      </c>
      <c r="G34" s="31">
        <f>IF($J34="","",INDEX(Checkliste!$I$13:$I$85,$J34)&amp;"")</f>
        <v/>
      </c>
      <c r="H34" s="32">
        <f>IF($J34="","",IF(INDEX(Checkliste!$J$13:$J$85,$J34)="","",INDEX(Checkliste!$J$13:$J$85,$J34)))</f>
        <v/>
      </c>
      <c r="I34" s="30">
        <f>IF($J34="","",INDEX(Checkliste!$L$13:$L$85,$J34)&amp;"")</f>
        <v/>
      </c>
      <c r="J34" s="63">
        <f>IFERROR(MATCH(30,Checkliste!$M$13:$M$85,0),"")</f>
        <v/>
      </c>
    </row>
    <row r="35">
      <c r="A35" s="30">
        <f>IF($J35="","",31)</f>
        <v/>
      </c>
      <c r="B35" s="30">
        <f>IF($J35="","",INDEX(Checkliste!$A$13:$A$85,$J35))</f>
        <v/>
      </c>
      <c r="C35" s="31">
        <f>IF($J35="","",INDEX(Checkliste!$B$13:$B$85,$J35)&amp;"")</f>
        <v/>
      </c>
      <c r="D35" s="31">
        <f>IF($J35="","",INDEX(Checkliste!$C$13:$C$85,$J35)&amp;"")</f>
        <v/>
      </c>
      <c r="E35" s="30">
        <f>IF($J35="","",INDEX(Checkliste!$G$13:$G$85,$J35)&amp;"")</f>
        <v/>
      </c>
      <c r="F35" s="31">
        <f>IF($J35="","",INDEX(Checkliste!$H$13:$H$85,$J35)&amp;"")</f>
        <v/>
      </c>
      <c r="G35" s="31">
        <f>IF($J35="","",INDEX(Checkliste!$I$13:$I$85,$J35)&amp;"")</f>
        <v/>
      </c>
      <c r="H35" s="32">
        <f>IF($J35="","",IF(INDEX(Checkliste!$J$13:$J$85,$J35)="","",INDEX(Checkliste!$J$13:$J$85,$J35)))</f>
        <v/>
      </c>
      <c r="I35" s="30">
        <f>IF($J35="","",INDEX(Checkliste!$L$13:$L$85,$J35)&amp;"")</f>
        <v/>
      </c>
      <c r="J35" s="63">
        <f>IFERROR(MATCH(31,Checkliste!$M$13:$M$85,0),"")</f>
        <v/>
      </c>
    </row>
    <row r="36">
      <c r="A36" s="30">
        <f>IF($J36="","",32)</f>
        <v/>
      </c>
      <c r="B36" s="30">
        <f>IF($J36="","",INDEX(Checkliste!$A$13:$A$85,$J36))</f>
        <v/>
      </c>
      <c r="C36" s="31">
        <f>IF($J36="","",INDEX(Checkliste!$B$13:$B$85,$J36)&amp;"")</f>
        <v/>
      </c>
      <c r="D36" s="31">
        <f>IF($J36="","",INDEX(Checkliste!$C$13:$C$85,$J36)&amp;"")</f>
        <v/>
      </c>
      <c r="E36" s="30">
        <f>IF($J36="","",INDEX(Checkliste!$G$13:$G$85,$J36)&amp;"")</f>
        <v/>
      </c>
      <c r="F36" s="31">
        <f>IF($J36="","",INDEX(Checkliste!$H$13:$H$85,$J36)&amp;"")</f>
        <v/>
      </c>
      <c r="G36" s="31">
        <f>IF($J36="","",INDEX(Checkliste!$I$13:$I$85,$J36)&amp;"")</f>
        <v/>
      </c>
      <c r="H36" s="32">
        <f>IF($J36="","",IF(INDEX(Checkliste!$J$13:$J$85,$J36)="","",INDEX(Checkliste!$J$13:$J$85,$J36)))</f>
        <v/>
      </c>
      <c r="I36" s="30">
        <f>IF($J36="","",INDEX(Checkliste!$L$13:$L$85,$J36)&amp;"")</f>
        <v/>
      </c>
      <c r="J36" s="63">
        <f>IFERROR(MATCH(32,Checkliste!$M$13:$M$85,0),"")</f>
        <v/>
      </c>
    </row>
    <row r="37">
      <c r="A37" s="30">
        <f>IF($J37="","",33)</f>
        <v/>
      </c>
      <c r="B37" s="30">
        <f>IF($J37="","",INDEX(Checkliste!$A$13:$A$85,$J37))</f>
        <v/>
      </c>
      <c r="C37" s="31">
        <f>IF($J37="","",INDEX(Checkliste!$B$13:$B$85,$J37)&amp;"")</f>
        <v/>
      </c>
      <c r="D37" s="31">
        <f>IF($J37="","",INDEX(Checkliste!$C$13:$C$85,$J37)&amp;"")</f>
        <v/>
      </c>
      <c r="E37" s="30">
        <f>IF($J37="","",INDEX(Checkliste!$G$13:$G$85,$J37)&amp;"")</f>
        <v/>
      </c>
      <c r="F37" s="31">
        <f>IF($J37="","",INDEX(Checkliste!$H$13:$H$85,$J37)&amp;"")</f>
        <v/>
      </c>
      <c r="G37" s="31">
        <f>IF($J37="","",INDEX(Checkliste!$I$13:$I$85,$J37)&amp;"")</f>
        <v/>
      </c>
      <c r="H37" s="32">
        <f>IF($J37="","",IF(INDEX(Checkliste!$J$13:$J$85,$J37)="","",INDEX(Checkliste!$J$13:$J$85,$J37)))</f>
        <v/>
      </c>
      <c r="I37" s="30">
        <f>IF($J37="","",INDEX(Checkliste!$L$13:$L$85,$J37)&amp;"")</f>
        <v/>
      </c>
      <c r="J37" s="63">
        <f>IFERROR(MATCH(33,Checkliste!$M$13:$M$85,0),"")</f>
        <v/>
      </c>
    </row>
    <row r="38">
      <c r="A38" s="30">
        <f>IF($J38="","",34)</f>
        <v/>
      </c>
      <c r="B38" s="30">
        <f>IF($J38="","",INDEX(Checkliste!$A$13:$A$85,$J38))</f>
        <v/>
      </c>
      <c r="C38" s="31">
        <f>IF($J38="","",INDEX(Checkliste!$B$13:$B$85,$J38)&amp;"")</f>
        <v/>
      </c>
      <c r="D38" s="31">
        <f>IF($J38="","",INDEX(Checkliste!$C$13:$C$85,$J38)&amp;"")</f>
        <v/>
      </c>
      <c r="E38" s="30">
        <f>IF($J38="","",INDEX(Checkliste!$G$13:$G$85,$J38)&amp;"")</f>
        <v/>
      </c>
      <c r="F38" s="31">
        <f>IF($J38="","",INDEX(Checkliste!$H$13:$H$85,$J38)&amp;"")</f>
        <v/>
      </c>
      <c r="G38" s="31">
        <f>IF($J38="","",INDEX(Checkliste!$I$13:$I$85,$J38)&amp;"")</f>
        <v/>
      </c>
      <c r="H38" s="32">
        <f>IF($J38="","",IF(INDEX(Checkliste!$J$13:$J$85,$J38)="","",INDEX(Checkliste!$J$13:$J$85,$J38)))</f>
        <v/>
      </c>
      <c r="I38" s="30">
        <f>IF($J38="","",INDEX(Checkliste!$L$13:$L$85,$J38)&amp;"")</f>
        <v/>
      </c>
      <c r="J38" s="63">
        <f>IFERROR(MATCH(34,Checkliste!$M$13:$M$85,0),"")</f>
        <v/>
      </c>
    </row>
    <row r="39">
      <c r="A39" s="30">
        <f>IF($J39="","",35)</f>
        <v/>
      </c>
      <c r="B39" s="30">
        <f>IF($J39="","",INDEX(Checkliste!$A$13:$A$85,$J39))</f>
        <v/>
      </c>
      <c r="C39" s="31">
        <f>IF($J39="","",INDEX(Checkliste!$B$13:$B$85,$J39)&amp;"")</f>
        <v/>
      </c>
      <c r="D39" s="31">
        <f>IF($J39="","",INDEX(Checkliste!$C$13:$C$85,$J39)&amp;"")</f>
        <v/>
      </c>
      <c r="E39" s="30">
        <f>IF($J39="","",INDEX(Checkliste!$G$13:$G$85,$J39)&amp;"")</f>
        <v/>
      </c>
      <c r="F39" s="31">
        <f>IF($J39="","",INDEX(Checkliste!$H$13:$H$85,$J39)&amp;"")</f>
        <v/>
      </c>
      <c r="G39" s="31">
        <f>IF($J39="","",INDEX(Checkliste!$I$13:$I$85,$J39)&amp;"")</f>
        <v/>
      </c>
      <c r="H39" s="32">
        <f>IF($J39="","",IF(INDEX(Checkliste!$J$13:$J$85,$J39)="","",INDEX(Checkliste!$J$13:$J$85,$J39)))</f>
        <v/>
      </c>
      <c r="I39" s="30">
        <f>IF($J39="","",INDEX(Checkliste!$L$13:$L$85,$J39)&amp;"")</f>
        <v/>
      </c>
      <c r="J39" s="63">
        <f>IFERROR(MATCH(35,Checkliste!$M$13:$M$85,0),"")</f>
        <v/>
      </c>
    </row>
    <row r="40">
      <c r="A40" s="30">
        <f>IF($J40="","",36)</f>
        <v/>
      </c>
      <c r="B40" s="30">
        <f>IF($J40="","",INDEX(Checkliste!$A$13:$A$85,$J40))</f>
        <v/>
      </c>
      <c r="C40" s="31">
        <f>IF($J40="","",INDEX(Checkliste!$B$13:$B$85,$J40)&amp;"")</f>
        <v/>
      </c>
      <c r="D40" s="31">
        <f>IF($J40="","",INDEX(Checkliste!$C$13:$C$85,$J40)&amp;"")</f>
        <v/>
      </c>
      <c r="E40" s="30">
        <f>IF($J40="","",INDEX(Checkliste!$G$13:$G$85,$J40)&amp;"")</f>
        <v/>
      </c>
      <c r="F40" s="31">
        <f>IF($J40="","",INDEX(Checkliste!$H$13:$H$85,$J40)&amp;"")</f>
        <v/>
      </c>
      <c r="G40" s="31">
        <f>IF($J40="","",INDEX(Checkliste!$I$13:$I$85,$J40)&amp;"")</f>
        <v/>
      </c>
      <c r="H40" s="32">
        <f>IF($J40="","",IF(INDEX(Checkliste!$J$13:$J$85,$J40)="","",INDEX(Checkliste!$J$13:$J$85,$J40)))</f>
        <v/>
      </c>
      <c r="I40" s="30">
        <f>IF($J40="","",INDEX(Checkliste!$L$13:$L$85,$J40)&amp;"")</f>
        <v/>
      </c>
      <c r="J40" s="63">
        <f>IFERROR(MATCH(36,Checkliste!$M$13:$M$85,0),"")</f>
        <v/>
      </c>
    </row>
    <row r="41">
      <c r="A41" s="30">
        <f>IF($J41="","",37)</f>
        <v/>
      </c>
      <c r="B41" s="30">
        <f>IF($J41="","",INDEX(Checkliste!$A$13:$A$85,$J41))</f>
        <v/>
      </c>
      <c r="C41" s="31">
        <f>IF($J41="","",INDEX(Checkliste!$B$13:$B$85,$J41)&amp;"")</f>
        <v/>
      </c>
      <c r="D41" s="31">
        <f>IF($J41="","",INDEX(Checkliste!$C$13:$C$85,$J41)&amp;"")</f>
        <v/>
      </c>
      <c r="E41" s="30">
        <f>IF($J41="","",INDEX(Checkliste!$G$13:$G$85,$J41)&amp;"")</f>
        <v/>
      </c>
      <c r="F41" s="31">
        <f>IF($J41="","",INDEX(Checkliste!$H$13:$H$85,$J41)&amp;"")</f>
        <v/>
      </c>
      <c r="G41" s="31">
        <f>IF($J41="","",INDEX(Checkliste!$I$13:$I$85,$J41)&amp;"")</f>
        <v/>
      </c>
      <c r="H41" s="32">
        <f>IF($J41="","",IF(INDEX(Checkliste!$J$13:$J$85,$J41)="","",INDEX(Checkliste!$J$13:$J$85,$J41)))</f>
        <v/>
      </c>
      <c r="I41" s="30">
        <f>IF($J41="","",INDEX(Checkliste!$L$13:$L$85,$J41)&amp;"")</f>
        <v/>
      </c>
      <c r="J41" s="63">
        <f>IFERROR(MATCH(37,Checkliste!$M$13:$M$85,0),"")</f>
        <v/>
      </c>
    </row>
    <row r="42">
      <c r="A42" s="30">
        <f>IF($J42="","",38)</f>
        <v/>
      </c>
      <c r="B42" s="30">
        <f>IF($J42="","",INDEX(Checkliste!$A$13:$A$85,$J42))</f>
        <v/>
      </c>
      <c r="C42" s="31">
        <f>IF($J42="","",INDEX(Checkliste!$B$13:$B$85,$J42)&amp;"")</f>
        <v/>
      </c>
      <c r="D42" s="31">
        <f>IF($J42="","",INDEX(Checkliste!$C$13:$C$85,$J42)&amp;"")</f>
        <v/>
      </c>
      <c r="E42" s="30">
        <f>IF($J42="","",INDEX(Checkliste!$G$13:$G$85,$J42)&amp;"")</f>
        <v/>
      </c>
      <c r="F42" s="31">
        <f>IF($J42="","",INDEX(Checkliste!$H$13:$H$85,$J42)&amp;"")</f>
        <v/>
      </c>
      <c r="G42" s="31">
        <f>IF($J42="","",INDEX(Checkliste!$I$13:$I$85,$J42)&amp;"")</f>
        <v/>
      </c>
      <c r="H42" s="32">
        <f>IF($J42="","",IF(INDEX(Checkliste!$J$13:$J$85,$J42)="","",INDEX(Checkliste!$J$13:$J$85,$J42)))</f>
        <v/>
      </c>
      <c r="I42" s="30">
        <f>IF($J42="","",INDEX(Checkliste!$L$13:$L$85,$J42)&amp;"")</f>
        <v/>
      </c>
      <c r="J42" s="63">
        <f>IFERROR(MATCH(38,Checkliste!$M$13:$M$85,0),"")</f>
        <v/>
      </c>
    </row>
    <row r="43">
      <c r="A43" s="30">
        <f>IF($J43="","",39)</f>
        <v/>
      </c>
      <c r="B43" s="30">
        <f>IF($J43="","",INDEX(Checkliste!$A$13:$A$85,$J43))</f>
        <v/>
      </c>
      <c r="C43" s="31">
        <f>IF($J43="","",INDEX(Checkliste!$B$13:$B$85,$J43)&amp;"")</f>
        <v/>
      </c>
      <c r="D43" s="31">
        <f>IF($J43="","",INDEX(Checkliste!$C$13:$C$85,$J43)&amp;"")</f>
        <v/>
      </c>
      <c r="E43" s="30">
        <f>IF($J43="","",INDEX(Checkliste!$G$13:$G$85,$J43)&amp;"")</f>
        <v/>
      </c>
      <c r="F43" s="31">
        <f>IF($J43="","",INDEX(Checkliste!$H$13:$H$85,$J43)&amp;"")</f>
        <v/>
      </c>
      <c r="G43" s="31">
        <f>IF($J43="","",INDEX(Checkliste!$I$13:$I$85,$J43)&amp;"")</f>
        <v/>
      </c>
      <c r="H43" s="32">
        <f>IF($J43="","",IF(INDEX(Checkliste!$J$13:$J$85,$J43)="","",INDEX(Checkliste!$J$13:$J$85,$J43)))</f>
        <v/>
      </c>
      <c r="I43" s="30">
        <f>IF($J43="","",INDEX(Checkliste!$L$13:$L$85,$J43)&amp;"")</f>
        <v/>
      </c>
      <c r="J43" s="63">
        <f>IFERROR(MATCH(39,Checkliste!$M$13:$M$85,0),"")</f>
        <v/>
      </c>
    </row>
    <row r="44">
      <c r="A44" s="30">
        <f>IF($J44="","",40)</f>
        <v/>
      </c>
      <c r="B44" s="30">
        <f>IF($J44="","",INDEX(Checkliste!$A$13:$A$85,$J44))</f>
        <v/>
      </c>
      <c r="C44" s="31">
        <f>IF($J44="","",INDEX(Checkliste!$B$13:$B$85,$J44)&amp;"")</f>
        <v/>
      </c>
      <c r="D44" s="31">
        <f>IF($J44="","",INDEX(Checkliste!$C$13:$C$85,$J44)&amp;"")</f>
        <v/>
      </c>
      <c r="E44" s="30">
        <f>IF($J44="","",INDEX(Checkliste!$G$13:$G$85,$J44)&amp;"")</f>
        <v/>
      </c>
      <c r="F44" s="31">
        <f>IF($J44="","",INDEX(Checkliste!$H$13:$H$85,$J44)&amp;"")</f>
        <v/>
      </c>
      <c r="G44" s="31">
        <f>IF($J44="","",INDEX(Checkliste!$I$13:$I$85,$J44)&amp;"")</f>
        <v/>
      </c>
      <c r="H44" s="32">
        <f>IF($J44="","",IF(INDEX(Checkliste!$J$13:$J$85,$J44)="","",INDEX(Checkliste!$J$13:$J$85,$J44)))</f>
        <v/>
      </c>
      <c r="I44" s="30">
        <f>IF($J44="","",INDEX(Checkliste!$L$13:$L$85,$J44)&amp;"")</f>
        <v/>
      </c>
      <c r="J44" s="63">
        <f>IFERROR(MATCH(40,Checkliste!$M$13:$M$85,0),"")</f>
        <v/>
      </c>
    </row>
    <row r="45">
      <c r="A45" s="30">
        <f>IF($J45="","",41)</f>
        <v/>
      </c>
      <c r="B45" s="30">
        <f>IF($J45="","",INDEX(Checkliste!$A$13:$A$85,$J45))</f>
        <v/>
      </c>
      <c r="C45" s="31">
        <f>IF($J45="","",INDEX(Checkliste!$B$13:$B$85,$J45)&amp;"")</f>
        <v/>
      </c>
      <c r="D45" s="31">
        <f>IF($J45="","",INDEX(Checkliste!$C$13:$C$85,$J45)&amp;"")</f>
        <v/>
      </c>
      <c r="E45" s="30">
        <f>IF($J45="","",INDEX(Checkliste!$G$13:$G$85,$J45)&amp;"")</f>
        <v/>
      </c>
      <c r="F45" s="31">
        <f>IF($J45="","",INDEX(Checkliste!$H$13:$H$85,$J45)&amp;"")</f>
        <v/>
      </c>
      <c r="G45" s="31">
        <f>IF($J45="","",INDEX(Checkliste!$I$13:$I$85,$J45)&amp;"")</f>
        <v/>
      </c>
      <c r="H45" s="32">
        <f>IF($J45="","",IF(INDEX(Checkliste!$J$13:$J$85,$J45)="","",INDEX(Checkliste!$J$13:$J$85,$J45)))</f>
        <v/>
      </c>
      <c r="I45" s="30">
        <f>IF($J45="","",INDEX(Checkliste!$L$13:$L$85,$J45)&amp;"")</f>
        <v/>
      </c>
      <c r="J45" s="63">
        <f>IFERROR(MATCH(41,Checkliste!$M$13:$M$85,0),"")</f>
        <v/>
      </c>
    </row>
    <row r="46">
      <c r="A46" s="30">
        <f>IF($J46="","",42)</f>
        <v/>
      </c>
      <c r="B46" s="30">
        <f>IF($J46="","",INDEX(Checkliste!$A$13:$A$85,$J46))</f>
        <v/>
      </c>
      <c r="C46" s="31">
        <f>IF($J46="","",INDEX(Checkliste!$B$13:$B$85,$J46)&amp;"")</f>
        <v/>
      </c>
      <c r="D46" s="31">
        <f>IF($J46="","",INDEX(Checkliste!$C$13:$C$85,$J46)&amp;"")</f>
        <v/>
      </c>
      <c r="E46" s="30">
        <f>IF($J46="","",INDEX(Checkliste!$G$13:$G$85,$J46)&amp;"")</f>
        <v/>
      </c>
      <c r="F46" s="31">
        <f>IF($J46="","",INDEX(Checkliste!$H$13:$H$85,$J46)&amp;"")</f>
        <v/>
      </c>
      <c r="G46" s="31">
        <f>IF($J46="","",INDEX(Checkliste!$I$13:$I$85,$J46)&amp;"")</f>
        <v/>
      </c>
      <c r="H46" s="32">
        <f>IF($J46="","",IF(INDEX(Checkliste!$J$13:$J$85,$J46)="","",INDEX(Checkliste!$J$13:$J$85,$J46)))</f>
        <v/>
      </c>
      <c r="I46" s="30">
        <f>IF($J46="","",INDEX(Checkliste!$L$13:$L$85,$J46)&amp;"")</f>
        <v/>
      </c>
      <c r="J46" s="63">
        <f>IFERROR(MATCH(42,Checkliste!$M$13:$M$85,0),"")</f>
        <v/>
      </c>
    </row>
    <row r="47">
      <c r="A47" s="30">
        <f>IF($J47="","",43)</f>
        <v/>
      </c>
      <c r="B47" s="30">
        <f>IF($J47="","",INDEX(Checkliste!$A$13:$A$85,$J47))</f>
        <v/>
      </c>
      <c r="C47" s="31">
        <f>IF($J47="","",INDEX(Checkliste!$B$13:$B$85,$J47)&amp;"")</f>
        <v/>
      </c>
      <c r="D47" s="31">
        <f>IF($J47="","",INDEX(Checkliste!$C$13:$C$85,$J47)&amp;"")</f>
        <v/>
      </c>
      <c r="E47" s="30">
        <f>IF($J47="","",INDEX(Checkliste!$G$13:$G$85,$J47)&amp;"")</f>
        <v/>
      </c>
      <c r="F47" s="31">
        <f>IF($J47="","",INDEX(Checkliste!$H$13:$H$85,$J47)&amp;"")</f>
        <v/>
      </c>
      <c r="G47" s="31">
        <f>IF($J47="","",INDEX(Checkliste!$I$13:$I$85,$J47)&amp;"")</f>
        <v/>
      </c>
      <c r="H47" s="32">
        <f>IF($J47="","",IF(INDEX(Checkliste!$J$13:$J$85,$J47)="","",INDEX(Checkliste!$J$13:$J$85,$J47)))</f>
        <v/>
      </c>
      <c r="I47" s="30">
        <f>IF($J47="","",INDEX(Checkliste!$L$13:$L$85,$J47)&amp;"")</f>
        <v/>
      </c>
      <c r="J47" s="63">
        <f>IFERROR(MATCH(43,Checkliste!$M$13:$M$85,0),"")</f>
        <v/>
      </c>
    </row>
    <row r="48">
      <c r="A48" s="30">
        <f>IF($J48="","",44)</f>
        <v/>
      </c>
      <c r="B48" s="30">
        <f>IF($J48="","",INDEX(Checkliste!$A$13:$A$85,$J48))</f>
        <v/>
      </c>
      <c r="C48" s="31">
        <f>IF($J48="","",INDEX(Checkliste!$B$13:$B$85,$J48)&amp;"")</f>
        <v/>
      </c>
      <c r="D48" s="31">
        <f>IF($J48="","",INDEX(Checkliste!$C$13:$C$85,$J48)&amp;"")</f>
        <v/>
      </c>
      <c r="E48" s="30">
        <f>IF($J48="","",INDEX(Checkliste!$G$13:$G$85,$J48)&amp;"")</f>
        <v/>
      </c>
      <c r="F48" s="31">
        <f>IF($J48="","",INDEX(Checkliste!$H$13:$H$85,$J48)&amp;"")</f>
        <v/>
      </c>
      <c r="G48" s="31">
        <f>IF($J48="","",INDEX(Checkliste!$I$13:$I$85,$J48)&amp;"")</f>
        <v/>
      </c>
      <c r="H48" s="32">
        <f>IF($J48="","",IF(INDEX(Checkliste!$J$13:$J$85,$J48)="","",INDEX(Checkliste!$J$13:$J$85,$J48)))</f>
        <v/>
      </c>
      <c r="I48" s="30">
        <f>IF($J48="","",INDEX(Checkliste!$L$13:$L$85,$J48)&amp;"")</f>
        <v/>
      </c>
      <c r="J48" s="63">
        <f>IFERROR(MATCH(44,Checkliste!$M$13:$M$85,0),"")</f>
        <v/>
      </c>
    </row>
    <row r="49">
      <c r="A49" s="30">
        <f>IF($J49="","",45)</f>
        <v/>
      </c>
      <c r="B49" s="30">
        <f>IF($J49="","",INDEX(Checkliste!$A$13:$A$85,$J49))</f>
        <v/>
      </c>
      <c r="C49" s="31">
        <f>IF($J49="","",INDEX(Checkliste!$B$13:$B$85,$J49)&amp;"")</f>
        <v/>
      </c>
      <c r="D49" s="31">
        <f>IF($J49="","",INDEX(Checkliste!$C$13:$C$85,$J49)&amp;"")</f>
        <v/>
      </c>
      <c r="E49" s="30">
        <f>IF($J49="","",INDEX(Checkliste!$G$13:$G$85,$J49)&amp;"")</f>
        <v/>
      </c>
      <c r="F49" s="31">
        <f>IF($J49="","",INDEX(Checkliste!$H$13:$H$85,$J49)&amp;"")</f>
        <v/>
      </c>
      <c r="G49" s="31">
        <f>IF($J49="","",INDEX(Checkliste!$I$13:$I$85,$J49)&amp;"")</f>
        <v/>
      </c>
      <c r="H49" s="32">
        <f>IF($J49="","",IF(INDEX(Checkliste!$J$13:$J$85,$J49)="","",INDEX(Checkliste!$J$13:$J$85,$J49)))</f>
        <v/>
      </c>
      <c r="I49" s="30">
        <f>IF($J49="","",INDEX(Checkliste!$L$13:$L$85,$J49)&amp;"")</f>
        <v/>
      </c>
      <c r="J49" s="63">
        <f>IFERROR(MATCH(45,Checkliste!$M$13:$M$85,0),"")</f>
        <v/>
      </c>
    </row>
    <row r="50">
      <c r="A50" s="30">
        <f>IF($J50="","",46)</f>
        <v/>
      </c>
      <c r="B50" s="30">
        <f>IF($J50="","",INDEX(Checkliste!$A$13:$A$85,$J50))</f>
        <v/>
      </c>
      <c r="C50" s="31">
        <f>IF($J50="","",INDEX(Checkliste!$B$13:$B$85,$J50)&amp;"")</f>
        <v/>
      </c>
      <c r="D50" s="31">
        <f>IF($J50="","",INDEX(Checkliste!$C$13:$C$85,$J50)&amp;"")</f>
        <v/>
      </c>
      <c r="E50" s="30">
        <f>IF($J50="","",INDEX(Checkliste!$G$13:$G$85,$J50)&amp;"")</f>
        <v/>
      </c>
      <c r="F50" s="31">
        <f>IF($J50="","",INDEX(Checkliste!$H$13:$H$85,$J50)&amp;"")</f>
        <v/>
      </c>
      <c r="G50" s="31">
        <f>IF($J50="","",INDEX(Checkliste!$I$13:$I$85,$J50)&amp;"")</f>
        <v/>
      </c>
      <c r="H50" s="32">
        <f>IF($J50="","",IF(INDEX(Checkliste!$J$13:$J$85,$J50)="","",INDEX(Checkliste!$J$13:$J$85,$J50)))</f>
        <v/>
      </c>
      <c r="I50" s="30">
        <f>IF($J50="","",INDEX(Checkliste!$L$13:$L$85,$J50)&amp;"")</f>
        <v/>
      </c>
      <c r="J50" s="63">
        <f>IFERROR(MATCH(46,Checkliste!$M$13:$M$85,0),"")</f>
        <v/>
      </c>
    </row>
    <row r="51">
      <c r="A51" s="30">
        <f>IF($J51="","",47)</f>
        <v/>
      </c>
      <c r="B51" s="30">
        <f>IF($J51="","",INDEX(Checkliste!$A$13:$A$85,$J51))</f>
        <v/>
      </c>
      <c r="C51" s="31">
        <f>IF($J51="","",INDEX(Checkliste!$B$13:$B$85,$J51)&amp;"")</f>
        <v/>
      </c>
      <c r="D51" s="31">
        <f>IF($J51="","",INDEX(Checkliste!$C$13:$C$85,$J51)&amp;"")</f>
        <v/>
      </c>
      <c r="E51" s="30">
        <f>IF($J51="","",INDEX(Checkliste!$G$13:$G$85,$J51)&amp;"")</f>
        <v/>
      </c>
      <c r="F51" s="31">
        <f>IF($J51="","",INDEX(Checkliste!$H$13:$H$85,$J51)&amp;"")</f>
        <v/>
      </c>
      <c r="G51" s="31">
        <f>IF($J51="","",INDEX(Checkliste!$I$13:$I$85,$J51)&amp;"")</f>
        <v/>
      </c>
      <c r="H51" s="32">
        <f>IF($J51="","",IF(INDEX(Checkliste!$J$13:$J$85,$J51)="","",INDEX(Checkliste!$J$13:$J$85,$J51)))</f>
        <v/>
      </c>
      <c r="I51" s="30">
        <f>IF($J51="","",INDEX(Checkliste!$L$13:$L$85,$J51)&amp;"")</f>
        <v/>
      </c>
      <c r="J51" s="63">
        <f>IFERROR(MATCH(47,Checkliste!$M$13:$M$85,0),"")</f>
        <v/>
      </c>
    </row>
    <row r="52">
      <c r="A52" s="30">
        <f>IF($J52="","",48)</f>
        <v/>
      </c>
      <c r="B52" s="30">
        <f>IF($J52="","",INDEX(Checkliste!$A$13:$A$85,$J52))</f>
        <v/>
      </c>
      <c r="C52" s="31">
        <f>IF($J52="","",INDEX(Checkliste!$B$13:$B$85,$J52)&amp;"")</f>
        <v/>
      </c>
      <c r="D52" s="31">
        <f>IF($J52="","",INDEX(Checkliste!$C$13:$C$85,$J52)&amp;"")</f>
        <v/>
      </c>
      <c r="E52" s="30">
        <f>IF($J52="","",INDEX(Checkliste!$G$13:$G$85,$J52)&amp;"")</f>
        <v/>
      </c>
      <c r="F52" s="31">
        <f>IF($J52="","",INDEX(Checkliste!$H$13:$H$85,$J52)&amp;"")</f>
        <v/>
      </c>
      <c r="G52" s="31">
        <f>IF($J52="","",INDEX(Checkliste!$I$13:$I$85,$J52)&amp;"")</f>
        <v/>
      </c>
      <c r="H52" s="32">
        <f>IF($J52="","",IF(INDEX(Checkliste!$J$13:$J$85,$J52)="","",INDEX(Checkliste!$J$13:$J$85,$J52)))</f>
        <v/>
      </c>
      <c r="I52" s="30">
        <f>IF($J52="","",INDEX(Checkliste!$L$13:$L$85,$J52)&amp;"")</f>
        <v/>
      </c>
      <c r="J52" s="63">
        <f>IFERROR(MATCH(48,Checkliste!$M$13:$M$85,0),"")</f>
        <v/>
      </c>
    </row>
    <row r="53">
      <c r="A53" s="30">
        <f>IF($J53="","",49)</f>
        <v/>
      </c>
      <c r="B53" s="30">
        <f>IF($J53="","",INDEX(Checkliste!$A$13:$A$85,$J53))</f>
        <v/>
      </c>
      <c r="C53" s="31">
        <f>IF($J53="","",INDEX(Checkliste!$B$13:$B$85,$J53)&amp;"")</f>
        <v/>
      </c>
      <c r="D53" s="31">
        <f>IF($J53="","",INDEX(Checkliste!$C$13:$C$85,$J53)&amp;"")</f>
        <v/>
      </c>
      <c r="E53" s="30">
        <f>IF($J53="","",INDEX(Checkliste!$G$13:$G$85,$J53)&amp;"")</f>
        <v/>
      </c>
      <c r="F53" s="31">
        <f>IF($J53="","",INDEX(Checkliste!$H$13:$H$85,$J53)&amp;"")</f>
        <v/>
      </c>
      <c r="G53" s="31">
        <f>IF($J53="","",INDEX(Checkliste!$I$13:$I$85,$J53)&amp;"")</f>
        <v/>
      </c>
      <c r="H53" s="32">
        <f>IF($J53="","",IF(INDEX(Checkliste!$J$13:$J$85,$J53)="","",INDEX(Checkliste!$J$13:$J$85,$J53)))</f>
        <v/>
      </c>
      <c r="I53" s="30">
        <f>IF($J53="","",INDEX(Checkliste!$L$13:$L$85,$J53)&amp;"")</f>
        <v/>
      </c>
      <c r="J53" s="63">
        <f>IFERROR(MATCH(49,Checkliste!$M$13:$M$85,0),"")</f>
        <v/>
      </c>
    </row>
    <row r="54">
      <c r="A54" s="30">
        <f>IF($J54="","",50)</f>
        <v/>
      </c>
      <c r="B54" s="30">
        <f>IF($J54="","",INDEX(Checkliste!$A$13:$A$85,$J54))</f>
        <v/>
      </c>
      <c r="C54" s="31">
        <f>IF($J54="","",INDEX(Checkliste!$B$13:$B$85,$J54)&amp;"")</f>
        <v/>
      </c>
      <c r="D54" s="31">
        <f>IF($J54="","",INDEX(Checkliste!$C$13:$C$85,$J54)&amp;"")</f>
        <v/>
      </c>
      <c r="E54" s="30">
        <f>IF($J54="","",INDEX(Checkliste!$G$13:$G$85,$J54)&amp;"")</f>
        <v/>
      </c>
      <c r="F54" s="31">
        <f>IF($J54="","",INDEX(Checkliste!$H$13:$H$85,$J54)&amp;"")</f>
        <v/>
      </c>
      <c r="G54" s="31">
        <f>IF($J54="","",INDEX(Checkliste!$I$13:$I$85,$J54)&amp;"")</f>
        <v/>
      </c>
      <c r="H54" s="32">
        <f>IF($J54="","",IF(INDEX(Checkliste!$J$13:$J$85,$J54)="","",INDEX(Checkliste!$J$13:$J$85,$J54)))</f>
        <v/>
      </c>
      <c r="I54" s="30">
        <f>IF($J54="","",INDEX(Checkliste!$L$13:$L$85,$J54)&amp;"")</f>
        <v/>
      </c>
      <c r="J54" s="63">
        <f>IFERROR(MATCH(50,Checkliste!$M$13:$M$85,0),"")</f>
        <v/>
      </c>
    </row>
    <row r="55">
      <c r="A55" s="30">
        <f>IF($J55="","",51)</f>
        <v/>
      </c>
      <c r="B55" s="30">
        <f>IF($J55="","",INDEX(Checkliste!$A$13:$A$85,$J55))</f>
        <v/>
      </c>
      <c r="C55" s="31">
        <f>IF($J55="","",INDEX(Checkliste!$B$13:$B$85,$J55)&amp;"")</f>
        <v/>
      </c>
      <c r="D55" s="31">
        <f>IF($J55="","",INDEX(Checkliste!$C$13:$C$85,$J55)&amp;"")</f>
        <v/>
      </c>
      <c r="E55" s="30">
        <f>IF($J55="","",INDEX(Checkliste!$G$13:$G$85,$J55)&amp;"")</f>
        <v/>
      </c>
      <c r="F55" s="31">
        <f>IF($J55="","",INDEX(Checkliste!$H$13:$H$85,$J55)&amp;"")</f>
        <v/>
      </c>
      <c r="G55" s="31">
        <f>IF($J55="","",INDEX(Checkliste!$I$13:$I$85,$J55)&amp;"")</f>
        <v/>
      </c>
      <c r="H55" s="32">
        <f>IF($J55="","",IF(INDEX(Checkliste!$J$13:$J$85,$J55)="","",INDEX(Checkliste!$J$13:$J$85,$J55)))</f>
        <v/>
      </c>
      <c r="I55" s="30">
        <f>IF($J55="","",INDEX(Checkliste!$L$13:$L$85,$J55)&amp;"")</f>
        <v/>
      </c>
      <c r="J55" s="63">
        <f>IFERROR(MATCH(51,Checkliste!$M$13:$M$85,0),"")</f>
        <v/>
      </c>
    </row>
    <row r="56">
      <c r="A56" s="30">
        <f>IF($J56="","",52)</f>
        <v/>
      </c>
      <c r="B56" s="30">
        <f>IF($J56="","",INDEX(Checkliste!$A$13:$A$85,$J56))</f>
        <v/>
      </c>
      <c r="C56" s="31">
        <f>IF($J56="","",INDEX(Checkliste!$B$13:$B$85,$J56)&amp;"")</f>
        <v/>
      </c>
      <c r="D56" s="31">
        <f>IF($J56="","",INDEX(Checkliste!$C$13:$C$85,$J56)&amp;"")</f>
        <v/>
      </c>
      <c r="E56" s="30">
        <f>IF($J56="","",INDEX(Checkliste!$G$13:$G$85,$J56)&amp;"")</f>
        <v/>
      </c>
      <c r="F56" s="31">
        <f>IF($J56="","",INDEX(Checkliste!$H$13:$H$85,$J56)&amp;"")</f>
        <v/>
      </c>
      <c r="G56" s="31">
        <f>IF($J56="","",INDEX(Checkliste!$I$13:$I$85,$J56)&amp;"")</f>
        <v/>
      </c>
      <c r="H56" s="32">
        <f>IF($J56="","",IF(INDEX(Checkliste!$J$13:$J$85,$J56)="","",INDEX(Checkliste!$J$13:$J$85,$J56)))</f>
        <v/>
      </c>
      <c r="I56" s="30">
        <f>IF($J56="","",INDEX(Checkliste!$L$13:$L$85,$J56)&amp;"")</f>
        <v/>
      </c>
      <c r="J56" s="63">
        <f>IFERROR(MATCH(52,Checkliste!$M$13:$M$85,0),"")</f>
        <v/>
      </c>
    </row>
    <row r="57">
      <c r="A57" s="30">
        <f>IF($J57="","",53)</f>
        <v/>
      </c>
      <c r="B57" s="30">
        <f>IF($J57="","",INDEX(Checkliste!$A$13:$A$85,$J57))</f>
        <v/>
      </c>
      <c r="C57" s="31">
        <f>IF($J57="","",INDEX(Checkliste!$B$13:$B$85,$J57)&amp;"")</f>
        <v/>
      </c>
      <c r="D57" s="31">
        <f>IF($J57="","",INDEX(Checkliste!$C$13:$C$85,$J57)&amp;"")</f>
        <v/>
      </c>
      <c r="E57" s="30">
        <f>IF($J57="","",INDEX(Checkliste!$G$13:$G$85,$J57)&amp;"")</f>
        <v/>
      </c>
      <c r="F57" s="31">
        <f>IF($J57="","",INDEX(Checkliste!$H$13:$H$85,$J57)&amp;"")</f>
        <v/>
      </c>
      <c r="G57" s="31">
        <f>IF($J57="","",INDEX(Checkliste!$I$13:$I$85,$J57)&amp;"")</f>
        <v/>
      </c>
      <c r="H57" s="32">
        <f>IF($J57="","",IF(INDEX(Checkliste!$J$13:$J$85,$J57)="","",INDEX(Checkliste!$J$13:$J$85,$J57)))</f>
        <v/>
      </c>
      <c r="I57" s="30">
        <f>IF($J57="","",INDEX(Checkliste!$L$13:$L$85,$J57)&amp;"")</f>
        <v/>
      </c>
      <c r="J57" s="63">
        <f>IFERROR(MATCH(53,Checkliste!$M$13:$M$85,0),"")</f>
        <v/>
      </c>
    </row>
    <row r="58">
      <c r="A58" s="30">
        <f>IF($J58="","",54)</f>
        <v/>
      </c>
      <c r="B58" s="30">
        <f>IF($J58="","",INDEX(Checkliste!$A$13:$A$85,$J58))</f>
        <v/>
      </c>
      <c r="C58" s="31">
        <f>IF($J58="","",INDEX(Checkliste!$B$13:$B$85,$J58)&amp;"")</f>
        <v/>
      </c>
      <c r="D58" s="31">
        <f>IF($J58="","",INDEX(Checkliste!$C$13:$C$85,$J58)&amp;"")</f>
        <v/>
      </c>
      <c r="E58" s="30">
        <f>IF($J58="","",INDEX(Checkliste!$G$13:$G$85,$J58)&amp;"")</f>
        <v/>
      </c>
      <c r="F58" s="31">
        <f>IF($J58="","",INDEX(Checkliste!$H$13:$H$85,$J58)&amp;"")</f>
        <v/>
      </c>
      <c r="G58" s="31">
        <f>IF($J58="","",INDEX(Checkliste!$I$13:$I$85,$J58)&amp;"")</f>
        <v/>
      </c>
      <c r="H58" s="32">
        <f>IF($J58="","",IF(INDEX(Checkliste!$J$13:$J$85,$J58)="","",INDEX(Checkliste!$J$13:$J$85,$J58)))</f>
        <v/>
      </c>
      <c r="I58" s="30">
        <f>IF($J58="","",INDEX(Checkliste!$L$13:$L$85,$J58)&amp;"")</f>
        <v/>
      </c>
      <c r="J58" s="63">
        <f>IFERROR(MATCH(54,Checkliste!$M$13:$M$85,0),"")</f>
        <v/>
      </c>
    </row>
    <row r="59">
      <c r="A59" s="30">
        <f>IF($J59="","",55)</f>
        <v/>
      </c>
      <c r="B59" s="30">
        <f>IF($J59="","",INDEX(Checkliste!$A$13:$A$85,$J59))</f>
        <v/>
      </c>
      <c r="C59" s="31">
        <f>IF($J59="","",INDEX(Checkliste!$B$13:$B$85,$J59)&amp;"")</f>
        <v/>
      </c>
      <c r="D59" s="31">
        <f>IF($J59="","",INDEX(Checkliste!$C$13:$C$85,$J59)&amp;"")</f>
        <v/>
      </c>
      <c r="E59" s="30">
        <f>IF($J59="","",INDEX(Checkliste!$G$13:$G$85,$J59)&amp;"")</f>
        <v/>
      </c>
      <c r="F59" s="31">
        <f>IF($J59="","",INDEX(Checkliste!$H$13:$H$85,$J59)&amp;"")</f>
        <v/>
      </c>
      <c r="G59" s="31">
        <f>IF($J59="","",INDEX(Checkliste!$I$13:$I$85,$J59)&amp;"")</f>
        <v/>
      </c>
      <c r="H59" s="32">
        <f>IF($J59="","",IF(INDEX(Checkliste!$J$13:$J$85,$J59)="","",INDEX(Checkliste!$J$13:$J$85,$J59)))</f>
        <v/>
      </c>
      <c r="I59" s="30">
        <f>IF($J59="","",INDEX(Checkliste!$L$13:$L$85,$J59)&amp;"")</f>
        <v/>
      </c>
      <c r="J59" s="63">
        <f>IFERROR(MATCH(55,Checkliste!$M$13:$M$85,0),"")</f>
        <v/>
      </c>
    </row>
    <row r="60">
      <c r="A60" s="30">
        <f>IF($J60="","",56)</f>
        <v/>
      </c>
      <c r="B60" s="30">
        <f>IF($J60="","",INDEX(Checkliste!$A$13:$A$85,$J60))</f>
        <v/>
      </c>
      <c r="C60" s="31">
        <f>IF($J60="","",INDEX(Checkliste!$B$13:$B$85,$J60)&amp;"")</f>
        <v/>
      </c>
      <c r="D60" s="31">
        <f>IF($J60="","",INDEX(Checkliste!$C$13:$C$85,$J60)&amp;"")</f>
        <v/>
      </c>
      <c r="E60" s="30">
        <f>IF($J60="","",INDEX(Checkliste!$G$13:$G$85,$J60)&amp;"")</f>
        <v/>
      </c>
      <c r="F60" s="31">
        <f>IF($J60="","",INDEX(Checkliste!$H$13:$H$85,$J60)&amp;"")</f>
        <v/>
      </c>
      <c r="G60" s="31">
        <f>IF($J60="","",INDEX(Checkliste!$I$13:$I$85,$J60)&amp;"")</f>
        <v/>
      </c>
      <c r="H60" s="32">
        <f>IF($J60="","",IF(INDEX(Checkliste!$J$13:$J$85,$J60)="","",INDEX(Checkliste!$J$13:$J$85,$J60)))</f>
        <v/>
      </c>
      <c r="I60" s="30">
        <f>IF($J60="","",INDEX(Checkliste!$L$13:$L$85,$J60)&amp;"")</f>
        <v/>
      </c>
      <c r="J60" s="63">
        <f>IFERROR(MATCH(56,Checkliste!$M$13:$M$85,0),"")</f>
        <v/>
      </c>
    </row>
    <row r="61">
      <c r="A61" s="30">
        <f>IF($J61="","",57)</f>
        <v/>
      </c>
      <c r="B61" s="30">
        <f>IF($J61="","",INDEX(Checkliste!$A$13:$A$85,$J61))</f>
        <v/>
      </c>
      <c r="C61" s="31">
        <f>IF($J61="","",INDEX(Checkliste!$B$13:$B$85,$J61)&amp;"")</f>
        <v/>
      </c>
      <c r="D61" s="31">
        <f>IF($J61="","",INDEX(Checkliste!$C$13:$C$85,$J61)&amp;"")</f>
        <v/>
      </c>
      <c r="E61" s="30">
        <f>IF($J61="","",INDEX(Checkliste!$G$13:$G$85,$J61)&amp;"")</f>
        <v/>
      </c>
      <c r="F61" s="31">
        <f>IF($J61="","",INDEX(Checkliste!$H$13:$H$85,$J61)&amp;"")</f>
        <v/>
      </c>
      <c r="G61" s="31">
        <f>IF($J61="","",INDEX(Checkliste!$I$13:$I$85,$J61)&amp;"")</f>
        <v/>
      </c>
      <c r="H61" s="32">
        <f>IF($J61="","",IF(INDEX(Checkliste!$J$13:$J$85,$J61)="","",INDEX(Checkliste!$J$13:$J$85,$J61)))</f>
        <v/>
      </c>
      <c r="I61" s="30">
        <f>IF($J61="","",INDEX(Checkliste!$L$13:$L$85,$J61)&amp;"")</f>
        <v/>
      </c>
      <c r="J61" s="63">
        <f>IFERROR(MATCH(57,Checkliste!$M$13:$M$85,0),"")</f>
        <v/>
      </c>
    </row>
    <row r="62">
      <c r="A62" s="30">
        <f>IF($J62="","",58)</f>
        <v/>
      </c>
      <c r="B62" s="30">
        <f>IF($J62="","",INDEX(Checkliste!$A$13:$A$85,$J62))</f>
        <v/>
      </c>
      <c r="C62" s="31">
        <f>IF($J62="","",INDEX(Checkliste!$B$13:$B$85,$J62)&amp;"")</f>
        <v/>
      </c>
      <c r="D62" s="31">
        <f>IF($J62="","",INDEX(Checkliste!$C$13:$C$85,$J62)&amp;"")</f>
        <v/>
      </c>
      <c r="E62" s="30">
        <f>IF($J62="","",INDEX(Checkliste!$G$13:$G$85,$J62)&amp;"")</f>
        <v/>
      </c>
      <c r="F62" s="31">
        <f>IF($J62="","",INDEX(Checkliste!$H$13:$H$85,$J62)&amp;"")</f>
        <v/>
      </c>
      <c r="G62" s="31">
        <f>IF($J62="","",INDEX(Checkliste!$I$13:$I$85,$J62)&amp;"")</f>
        <v/>
      </c>
      <c r="H62" s="32">
        <f>IF($J62="","",IF(INDEX(Checkliste!$J$13:$J$85,$J62)="","",INDEX(Checkliste!$J$13:$J$85,$J62)))</f>
        <v/>
      </c>
      <c r="I62" s="30">
        <f>IF($J62="","",INDEX(Checkliste!$L$13:$L$85,$J62)&amp;"")</f>
        <v/>
      </c>
      <c r="J62" s="63">
        <f>IFERROR(MATCH(58,Checkliste!$M$13:$M$85,0),"")</f>
        <v/>
      </c>
    </row>
    <row r="63">
      <c r="A63" s="30">
        <f>IF($J63="","",59)</f>
        <v/>
      </c>
      <c r="B63" s="30">
        <f>IF($J63="","",INDEX(Checkliste!$A$13:$A$85,$J63))</f>
        <v/>
      </c>
      <c r="C63" s="31">
        <f>IF($J63="","",INDEX(Checkliste!$B$13:$B$85,$J63)&amp;"")</f>
        <v/>
      </c>
      <c r="D63" s="31">
        <f>IF($J63="","",INDEX(Checkliste!$C$13:$C$85,$J63)&amp;"")</f>
        <v/>
      </c>
      <c r="E63" s="30">
        <f>IF($J63="","",INDEX(Checkliste!$G$13:$G$85,$J63)&amp;"")</f>
        <v/>
      </c>
      <c r="F63" s="31">
        <f>IF($J63="","",INDEX(Checkliste!$H$13:$H$85,$J63)&amp;"")</f>
        <v/>
      </c>
      <c r="G63" s="31">
        <f>IF($J63="","",INDEX(Checkliste!$I$13:$I$85,$J63)&amp;"")</f>
        <v/>
      </c>
      <c r="H63" s="32">
        <f>IF($J63="","",IF(INDEX(Checkliste!$J$13:$J$85,$J63)="","",INDEX(Checkliste!$J$13:$J$85,$J63)))</f>
        <v/>
      </c>
      <c r="I63" s="30">
        <f>IF($J63="","",INDEX(Checkliste!$L$13:$L$85,$J63)&amp;"")</f>
        <v/>
      </c>
      <c r="J63" s="63">
        <f>IFERROR(MATCH(59,Checkliste!$M$13:$M$85,0),"")</f>
        <v/>
      </c>
    </row>
    <row r="64">
      <c r="A64" s="30">
        <f>IF($J64="","",60)</f>
        <v/>
      </c>
      <c r="B64" s="30">
        <f>IF($J64="","",INDEX(Checkliste!$A$13:$A$85,$J64))</f>
        <v/>
      </c>
      <c r="C64" s="31">
        <f>IF($J64="","",INDEX(Checkliste!$B$13:$B$85,$J64)&amp;"")</f>
        <v/>
      </c>
      <c r="D64" s="31">
        <f>IF($J64="","",INDEX(Checkliste!$C$13:$C$85,$J64)&amp;"")</f>
        <v/>
      </c>
      <c r="E64" s="30">
        <f>IF($J64="","",INDEX(Checkliste!$G$13:$G$85,$J64)&amp;"")</f>
        <v/>
      </c>
      <c r="F64" s="31">
        <f>IF($J64="","",INDEX(Checkliste!$H$13:$H$85,$J64)&amp;"")</f>
        <v/>
      </c>
      <c r="G64" s="31">
        <f>IF($J64="","",INDEX(Checkliste!$I$13:$I$85,$J64)&amp;"")</f>
        <v/>
      </c>
      <c r="H64" s="32">
        <f>IF($J64="","",IF(INDEX(Checkliste!$J$13:$J$85,$J64)="","",INDEX(Checkliste!$J$13:$J$85,$J64)))</f>
        <v/>
      </c>
      <c r="I64" s="30">
        <f>IF($J64="","",INDEX(Checkliste!$L$13:$L$85,$J64)&amp;"")</f>
        <v/>
      </c>
      <c r="J64" s="63">
        <f>IFERROR(MATCH(60,Checkliste!$M$13:$M$85,0),"")</f>
        <v/>
      </c>
    </row>
    <row r="65">
      <c r="A65" s="30">
        <f>IF($J65="","",61)</f>
        <v/>
      </c>
      <c r="B65" s="30">
        <f>IF($J65="","",INDEX(Checkliste!$A$13:$A$85,$J65))</f>
        <v/>
      </c>
      <c r="C65" s="31">
        <f>IF($J65="","",INDEX(Checkliste!$B$13:$B$85,$J65)&amp;"")</f>
        <v/>
      </c>
      <c r="D65" s="31">
        <f>IF($J65="","",INDEX(Checkliste!$C$13:$C$85,$J65)&amp;"")</f>
        <v/>
      </c>
      <c r="E65" s="30">
        <f>IF($J65="","",INDEX(Checkliste!$G$13:$G$85,$J65)&amp;"")</f>
        <v/>
      </c>
      <c r="F65" s="31">
        <f>IF($J65="","",INDEX(Checkliste!$H$13:$H$85,$J65)&amp;"")</f>
        <v/>
      </c>
      <c r="G65" s="31">
        <f>IF($J65="","",INDEX(Checkliste!$I$13:$I$85,$J65)&amp;"")</f>
        <v/>
      </c>
      <c r="H65" s="32">
        <f>IF($J65="","",IF(INDEX(Checkliste!$J$13:$J$85,$J65)="","",INDEX(Checkliste!$J$13:$J$85,$J65)))</f>
        <v/>
      </c>
      <c r="I65" s="30">
        <f>IF($J65="","",INDEX(Checkliste!$L$13:$L$85,$J65)&amp;"")</f>
        <v/>
      </c>
      <c r="J65" s="63">
        <f>IFERROR(MATCH(61,Checkliste!$M$13:$M$85,0),"")</f>
        <v/>
      </c>
    </row>
    <row r="66">
      <c r="A66" s="30">
        <f>IF($J66="","",62)</f>
        <v/>
      </c>
      <c r="B66" s="30">
        <f>IF($J66="","",INDEX(Checkliste!$A$13:$A$85,$J66))</f>
        <v/>
      </c>
      <c r="C66" s="31">
        <f>IF($J66="","",INDEX(Checkliste!$B$13:$B$85,$J66)&amp;"")</f>
        <v/>
      </c>
      <c r="D66" s="31">
        <f>IF($J66="","",INDEX(Checkliste!$C$13:$C$85,$J66)&amp;"")</f>
        <v/>
      </c>
      <c r="E66" s="30">
        <f>IF($J66="","",INDEX(Checkliste!$G$13:$G$85,$J66)&amp;"")</f>
        <v/>
      </c>
      <c r="F66" s="31">
        <f>IF($J66="","",INDEX(Checkliste!$H$13:$H$85,$J66)&amp;"")</f>
        <v/>
      </c>
      <c r="G66" s="31">
        <f>IF($J66="","",INDEX(Checkliste!$I$13:$I$85,$J66)&amp;"")</f>
        <v/>
      </c>
      <c r="H66" s="32">
        <f>IF($J66="","",IF(INDEX(Checkliste!$J$13:$J$85,$J66)="","",INDEX(Checkliste!$J$13:$J$85,$J66)))</f>
        <v/>
      </c>
      <c r="I66" s="30">
        <f>IF($J66="","",INDEX(Checkliste!$L$13:$L$85,$J66)&amp;"")</f>
        <v/>
      </c>
      <c r="J66" s="63">
        <f>IFERROR(MATCH(62,Checkliste!$M$13:$M$85,0),"")</f>
        <v/>
      </c>
    </row>
    <row r="67">
      <c r="A67" s="30">
        <f>IF($J67="","",63)</f>
        <v/>
      </c>
      <c r="B67" s="30">
        <f>IF($J67="","",INDEX(Checkliste!$A$13:$A$85,$J67))</f>
        <v/>
      </c>
      <c r="C67" s="31">
        <f>IF($J67="","",INDEX(Checkliste!$B$13:$B$85,$J67)&amp;"")</f>
        <v/>
      </c>
      <c r="D67" s="31">
        <f>IF($J67="","",INDEX(Checkliste!$C$13:$C$85,$J67)&amp;"")</f>
        <v/>
      </c>
      <c r="E67" s="30">
        <f>IF($J67="","",INDEX(Checkliste!$G$13:$G$85,$J67)&amp;"")</f>
        <v/>
      </c>
      <c r="F67" s="31">
        <f>IF($J67="","",INDEX(Checkliste!$H$13:$H$85,$J67)&amp;"")</f>
        <v/>
      </c>
      <c r="G67" s="31">
        <f>IF($J67="","",INDEX(Checkliste!$I$13:$I$85,$J67)&amp;"")</f>
        <v/>
      </c>
      <c r="H67" s="32">
        <f>IF($J67="","",IF(INDEX(Checkliste!$J$13:$J$85,$J67)="","",INDEX(Checkliste!$J$13:$J$85,$J67)))</f>
        <v/>
      </c>
      <c r="I67" s="30">
        <f>IF($J67="","",INDEX(Checkliste!$L$13:$L$85,$J67)&amp;"")</f>
        <v/>
      </c>
      <c r="J67" s="63">
        <f>IFERROR(MATCH(63,Checkliste!$M$13:$M$85,0),"")</f>
        <v/>
      </c>
    </row>
    <row r="68">
      <c r="A68" s="30">
        <f>IF($J68="","",64)</f>
        <v/>
      </c>
      <c r="B68" s="30">
        <f>IF($J68="","",INDEX(Checkliste!$A$13:$A$85,$J68))</f>
        <v/>
      </c>
      <c r="C68" s="31">
        <f>IF($J68="","",INDEX(Checkliste!$B$13:$B$85,$J68)&amp;"")</f>
        <v/>
      </c>
      <c r="D68" s="31">
        <f>IF($J68="","",INDEX(Checkliste!$C$13:$C$85,$J68)&amp;"")</f>
        <v/>
      </c>
      <c r="E68" s="30">
        <f>IF($J68="","",INDEX(Checkliste!$G$13:$G$85,$J68)&amp;"")</f>
        <v/>
      </c>
      <c r="F68" s="31">
        <f>IF($J68="","",INDEX(Checkliste!$H$13:$H$85,$J68)&amp;"")</f>
        <v/>
      </c>
      <c r="G68" s="31">
        <f>IF($J68="","",INDEX(Checkliste!$I$13:$I$85,$J68)&amp;"")</f>
        <v/>
      </c>
      <c r="H68" s="32">
        <f>IF($J68="","",IF(INDEX(Checkliste!$J$13:$J$85,$J68)="","",INDEX(Checkliste!$J$13:$J$85,$J68)))</f>
        <v/>
      </c>
      <c r="I68" s="30">
        <f>IF($J68="","",INDEX(Checkliste!$L$13:$L$85,$J68)&amp;"")</f>
        <v/>
      </c>
      <c r="J68" s="63">
        <f>IFERROR(MATCH(64,Checkliste!$M$13:$M$85,0),"")</f>
        <v/>
      </c>
    </row>
    <row r="69">
      <c r="A69" s="30">
        <f>IF($J69="","",65)</f>
        <v/>
      </c>
      <c r="B69" s="30">
        <f>IF($J69="","",INDEX(Checkliste!$A$13:$A$85,$J69))</f>
        <v/>
      </c>
      <c r="C69" s="31">
        <f>IF($J69="","",INDEX(Checkliste!$B$13:$B$85,$J69)&amp;"")</f>
        <v/>
      </c>
      <c r="D69" s="31">
        <f>IF($J69="","",INDEX(Checkliste!$C$13:$C$85,$J69)&amp;"")</f>
        <v/>
      </c>
      <c r="E69" s="30">
        <f>IF($J69="","",INDEX(Checkliste!$G$13:$G$85,$J69)&amp;"")</f>
        <v/>
      </c>
      <c r="F69" s="31">
        <f>IF($J69="","",INDEX(Checkliste!$H$13:$H$85,$J69)&amp;"")</f>
        <v/>
      </c>
      <c r="G69" s="31">
        <f>IF($J69="","",INDEX(Checkliste!$I$13:$I$85,$J69)&amp;"")</f>
        <v/>
      </c>
      <c r="H69" s="32">
        <f>IF($J69="","",IF(INDEX(Checkliste!$J$13:$J$85,$J69)="","",INDEX(Checkliste!$J$13:$J$85,$J69)))</f>
        <v/>
      </c>
      <c r="I69" s="30">
        <f>IF($J69="","",INDEX(Checkliste!$L$13:$L$85,$J69)&amp;"")</f>
        <v/>
      </c>
      <c r="J69" s="63">
        <f>IFERROR(MATCH(65,Checkliste!$M$13:$M$85,0),"")</f>
        <v/>
      </c>
    </row>
    <row r="70">
      <c r="A70" s="30">
        <f>IF($J70="","",66)</f>
        <v/>
      </c>
      <c r="B70" s="30">
        <f>IF($J70="","",INDEX(Checkliste!$A$13:$A$85,$J70))</f>
        <v/>
      </c>
      <c r="C70" s="31">
        <f>IF($J70="","",INDEX(Checkliste!$B$13:$B$85,$J70)&amp;"")</f>
        <v/>
      </c>
      <c r="D70" s="31">
        <f>IF($J70="","",INDEX(Checkliste!$C$13:$C$85,$J70)&amp;"")</f>
        <v/>
      </c>
      <c r="E70" s="30">
        <f>IF($J70="","",INDEX(Checkliste!$G$13:$G$85,$J70)&amp;"")</f>
        <v/>
      </c>
      <c r="F70" s="31">
        <f>IF($J70="","",INDEX(Checkliste!$H$13:$H$85,$J70)&amp;"")</f>
        <v/>
      </c>
      <c r="G70" s="31">
        <f>IF($J70="","",INDEX(Checkliste!$I$13:$I$85,$J70)&amp;"")</f>
        <v/>
      </c>
      <c r="H70" s="32">
        <f>IF($J70="","",IF(INDEX(Checkliste!$J$13:$J$85,$J70)="","",INDEX(Checkliste!$J$13:$J$85,$J70)))</f>
        <v/>
      </c>
      <c r="I70" s="30">
        <f>IF($J70="","",INDEX(Checkliste!$L$13:$L$85,$J70)&amp;"")</f>
        <v/>
      </c>
      <c r="J70" s="63">
        <f>IFERROR(MATCH(66,Checkliste!$M$13:$M$85,0),"")</f>
        <v/>
      </c>
    </row>
    <row r="71">
      <c r="A71" s="30">
        <f>IF($J71="","",67)</f>
        <v/>
      </c>
      <c r="B71" s="30">
        <f>IF($J71="","",INDEX(Checkliste!$A$13:$A$85,$J71))</f>
        <v/>
      </c>
      <c r="C71" s="31">
        <f>IF($J71="","",INDEX(Checkliste!$B$13:$B$85,$J71)&amp;"")</f>
        <v/>
      </c>
      <c r="D71" s="31">
        <f>IF($J71="","",INDEX(Checkliste!$C$13:$C$85,$J71)&amp;"")</f>
        <v/>
      </c>
      <c r="E71" s="30">
        <f>IF($J71="","",INDEX(Checkliste!$G$13:$G$85,$J71)&amp;"")</f>
        <v/>
      </c>
      <c r="F71" s="31">
        <f>IF($J71="","",INDEX(Checkliste!$H$13:$H$85,$J71)&amp;"")</f>
        <v/>
      </c>
      <c r="G71" s="31">
        <f>IF($J71="","",INDEX(Checkliste!$I$13:$I$85,$J71)&amp;"")</f>
        <v/>
      </c>
      <c r="H71" s="32">
        <f>IF($J71="","",IF(INDEX(Checkliste!$J$13:$J$85,$J71)="","",INDEX(Checkliste!$J$13:$J$85,$J71)))</f>
        <v/>
      </c>
      <c r="I71" s="30">
        <f>IF($J71="","",INDEX(Checkliste!$L$13:$L$85,$J71)&amp;"")</f>
        <v/>
      </c>
      <c r="J71" s="63">
        <f>IFERROR(MATCH(67,Checkliste!$M$13:$M$85,0),"")</f>
        <v/>
      </c>
    </row>
    <row r="72">
      <c r="A72" s="30">
        <f>IF($J72="","",68)</f>
        <v/>
      </c>
      <c r="B72" s="30">
        <f>IF($J72="","",INDEX(Checkliste!$A$13:$A$85,$J72))</f>
        <v/>
      </c>
      <c r="C72" s="31">
        <f>IF($J72="","",INDEX(Checkliste!$B$13:$B$85,$J72)&amp;"")</f>
        <v/>
      </c>
      <c r="D72" s="31">
        <f>IF($J72="","",INDEX(Checkliste!$C$13:$C$85,$J72)&amp;"")</f>
        <v/>
      </c>
      <c r="E72" s="30">
        <f>IF($J72="","",INDEX(Checkliste!$G$13:$G$85,$J72)&amp;"")</f>
        <v/>
      </c>
      <c r="F72" s="31">
        <f>IF($J72="","",INDEX(Checkliste!$H$13:$H$85,$J72)&amp;"")</f>
        <v/>
      </c>
      <c r="G72" s="31">
        <f>IF($J72="","",INDEX(Checkliste!$I$13:$I$85,$J72)&amp;"")</f>
        <v/>
      </c>
      <c r="H72" s="32">
        <f>IF($J72="","",IF(INDEX(Checkliste!$J$13:$J$85,$J72)="","",INDEX(Checkliste!$J$13:$J$85,$J72)))</f>
        <v/>
      </c>
      <c r="I72" s="30">
        <f>IF($J72="","",INDEX(Checkliste!$L$13:$L$85,$J72)&amp;"")</f>
        <v/>
      </c>
      <c r="J72" s="63">
        <f>IFERROR(MATCH(68,Checkliste!$M$13:$M$85,0),"")</f>
        <v/>
      </c>
    </row>
    <row r="73">
      <c r="A73" s="30">
        <f>IF($J73="","",69)</f>
        <v/>
      </c>
      <c r="B73" s="30">
        <f>IF($J73="","",INDEX(Checkliste!$A$13:$A$85,$J73))</f>
        <v/>
      </c>
      <c r="C73" s="31">
        <f>IF($J73="","",INDEX(Checkliste!$B$13:$B$85,$J73)&amp;"")</f>
        <v/>
      </c>
      <c r="D73" s="31">
        <f>IF($J73="","",INDEX(Checkliste!$C$13:$C$85,$J73)&amp;"")</f>
        <v/>
      </c>
      <c r="E73" s="30">
        <f>IF($J73="","",INDEX(Checkliste!$G$13:$G$85,$J73)&amp;"")</f>
        <v/>
      </c>
      <c r="F73" s="31">
        <f>IF($J73="","",INDEX(Checkliste!$H$13:$H$85,$J73)&amp;"")</f>
        <v/>
      </c>
      <c r="G73" s="31">
        <f>IF($J73="","",INDEX(Checkliste!$I$13:$I$85,$J73)&amp;"")</f>
        <v/>
      </c>
      <c r="H73" s="32">
        <f>IF($J73="","",IF(INDEX(Checkliste!$J$13:$J$85,$J73)="","",INDEX(Checkliste!$J$13:$J$85,$J73)))</f>
        <v/>
      </c>
      <c r="I73" s="30">
        <f>IF($J73="","",INDEX(Checkliste!$L$13:$L$85,$J73)&amp;"")</f>
        <v/>
      </c>
      <c r="J73" s="63">
        <f>IFERROR(MATCH(69,Checkliste!$M$13:$M$85,0),"")</f>
        <v/>
      </c>
    </row>
    <row r="74">
      <c r="A74" s="30">
        <f>IF($J74="","",70)</f>
        <v/>
      </c>
      <c r="B74" s="30">
        <f>IF($J74="","",INDEX(Checkliste!$A$13:$A$85,$J74))</f>
        <v/>
      </c>
      <c r="C74" s="31">
        <f>IF($J74="","",INDEX(Checkliste!$B$13:$B$85,$J74)&amp;"")</f>
        <v/>
      </c>
      <c r="D74" s="31">
        <f>IF($J74="","",INDEX(Checkliste!$C$13:$C$85,$J74)&amp;"")</f>
        <v/>
      </c>
      <c r="E74" s="30">
        <f>IF($J74="","",INDEX(Checkliste!$G$13:$G$85,$J74)&amp;"")</f>
        <v/>
      </c>
      <c r="F74" s="31">
        <f>IF($J74="","",INDEX(Checkliste!$H$13:$H$85,$J74)&amp;"")</f>
        <v/>
      </c>
      <c r="G74" s="31">
        <f>IF($J74="","",INDEX(Checkliste!$I$13:$I$85,$J74)&amp;"")</f>
        <v/>
      </c>
      <c r="H74" s="32">
        <f>IF($J74="","",IF(INDEX(Checkliste!$J$13:$J$85,$J74)="","",INDEX(Checkliste!$J$13:$J$85,$J74)))</f>
        <v/>
      </c>
      <c r="I74" s="30">
        <f>IF($J74="","",INDEX(Checkliste!$L$13:$L$85,$J74)&amp;"")</f>
        <v/>
      </c>
      <c r="J74" s="63">
        <f>IFERROR(MATCH(70,Checkliste!$M$13:$M$85,0),"")</f>
        <v/>
      </c>
    </row>
    <row r="75">
      <c r="A75" s="30">
        <f>IF($J75="","",71)</f>
        <v/>
      </c>
      <c r="B75" s="30">
        <f>IF($J75="","",INDEX(Checkliste!$A$13:$A$85,$J75))</f>
        <v/>
      </c>
      <c r="C75" s="31">
        <f>IF($J75="","",INDEX(Checkliste!$B$13:$B$85,$J75)&amp;"")</f>
        <v/>
      </c>
      <c r="D75" s="31">
        <f>IF($J75="","",INDEX(Checkliste!$C$13:$C$85,$J75)&amp;"")</f>
        <v/>
      </c>
      <c r="E75" s="30">
        <f>IF($J75="","",INDEX(Checkliste!$G$13:$G$85,$J75)&amp;"")</f>
        <v/>
      </c>
      <c r="F75" s="31">
        <f>IF($J75="","",INDEX(Checkliste!$H$13:$H$85,$J75)&amp;"")</f>
        <v/>
      </c>
      <c r="G75" s="31">
        <f>IF($J75="","",INDEX(Checkliste!$I$13:$I$85,$J75)&amp;"")</f>
        <v/>
      </c>
      <c r="H75" s="32">
        <f>IF($J75="","",IF(INDEX(Checkliste!$J$13:$J$85,$J75)="","",INDEX(Checkliste!$J$13:$J$85,$J75)))</f>
        <v/>
      </c>
      <c r="I75" s="30">
        <f>IF($J75="","",INDEX(Checkliste!$L$13:$L$85,$J75)&amp;"")</f>
        <v/>
      </c>
      <c r="J75" s="63">
        <f>IFERROR(MATCH(71,Checkliste!$M$13:$M$85,0),"")</f>
        <v/>
      </c>
    </row>
    <row r="76">
      <c r="A76" s="30">
        <f>IF($J76="","",72)</f>
        <v/>
      </c>
      <c r="B76" s="30">
        <f>IF($J76="","",INDEX(Checkliste!$A$13:$A$85,$J76))</f>
        <v/>
      </c>
      <c r="C76" s="31">
        <f>IF($J76="","",INDEX(Checkliste!$B$13:$B$85,$J76)&amp;"")</f>
        <v/>
      </c>
      <c r="D76" s="31">
        <f>IF($J76="","",INDEX(Checkliste!$C$13:$C$85,$J76)&amp;"")</f>
        <v/>
      </c>
      <c r="E76" s="30">
        <f>IF($J76="","",INDEX(Checkliste!$G$13:$G$85,$J76)&amp;"")</f>
        <v/>
      </c>
      <c r="F76" s="31">
        <f>IF($J76="","",INDEX(Checkliste!$H$13:$H$85,$J76)&amp;"")</f>
        <v/>
      </c>
      <c r="G76" s="31">
        <f>IF($J76="","",INDEX(Checkliste!$I$13:$I$85,$J76)&amp;"")</f>
        <v/>
      </c>
      <c r="H76" s="32">
        <f>IF($J76="","",IF(INDEX(Checkliste!$J$13:$J$85,$J76)="","",INDEX(Checkliste!$J$13:$J$85,$J76)))</f>
        <v/>
      </c>
      <c r="I76" s="30">
        <f>IF($J76="","",INDEX(Checkliste!$L$13:$L$85,$J76)&amp;"")</f>
        <v/>
      </c>
      <c r="J76" s="63">
        <f>IFERROR(MATCH(72,Checkliste!$M$13:$M$85,0),"")</f>
        <v/>
      </c>
    </row>
    <row r="77">
      <c r="A77" s="30">
        <f>IF($J77="","",73)</f>
        <v/>
      </c>
      <c r="B77" s="30">
        <f>IF($J77="","",INDEX(Checkliste!$A$13:$A$85,$J77))</f>
        <v/>
      </c>
      <c r="C77" s="31">
        <f>IF($J77="","",INDEX(Checkliste!$B$13:$B$85,$J77)&amp;"")</f>
        <v/>
      </c>
      <c r="D77" s="31">
        <f>IF($J77="","",INDEX(Checkliste!$C$13:$C$85,$J77)&amp;"")</f>
        <v/>
      </c>
      <c r="E77" s="30">
        <f>IF($J77="","",INDEX(Checkliste!$G$13:$G$85,$J77)&amp;"")</f>
        <v/>
      </c>
      <c r="F77" s="31">
        <f>IF($J77="","",INDEX(Checkliste!$H$13:$H$85,$J77)&amp;"")</f>
        <v/>
      </c>
      <c r="G77" s="31">
        <f>IF($J77="","",INDEX(Checkliste!$I$13:$I$85,$J77)&amp;"")</f>
        <v/>
      </c>
      <c r="H77" s="32">
        <f>IF($J77="","",IF(INDEX(Checkliste!$J$13:$J$85,$J77)="","",INDEX(Checkliste!$J$13:$J$85,$J77)))</f>
        <v/>
      </c>
      <c r="I77" s="30">
        <f>IF($J77="","",INDEX(Checkliste!$L$13:$L$85,$J77)&amp;"")</f>
        <v/>
      </c>
      <c r="J77" s="63">
        <f>IFERROR(MATCH(73,Checkliste!$M$13:$M$85,0),"")</f>
        <v/>
      </c>
    </row>
  </sheetData>
  <conditionalFormatting sqref="E5:E77">
    <cfRule type="cellIs" priority="1" operator="equal" dxfId="2">
      <formula>"N.I.O"</formula>
    </cfRule>
    <cfRule type="cellIs" priority="2" operator="equal" dxfId="1">
      <formula>"bed. OK"</formula>
    </cfRule>
    <cfRule type="cellIs" priority="3" operator="equal" dxfId="0">
      <formula>"OK"</formula>
    </cfRule>
    <cfRule type="cellIs" priority="4" operator="equal" dxfId="9">
      <formula>"n. b."</formula>
    </cfRule>
  </conditionalFormatting>
  <conditionalFormatting sqref="I5:I77">
    <cfRule type="cellIs" priority="5" operator="equal" dxfId="6">
      <formula>"überfällig"</formula>
    </cfRule>
    <cfRule type="cellIs" priority="6" operator="equal" dxfId="7">
      <formula>"offen"</formula>
    </cfRule>
    <cfRule type="cellIs" priority="7" operator="equal" dxfId="8">
      <formula>"erledigt"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70" customWidth="1" min="4" max="4"/>
  </cols>
  <sheetData>
    <row r="1">
      <c r="A1" s="38" t="inlineStr">
        <is>
          <t>Einstellungen</t>
        </is>
      </c>
    </row>
    <row r="2">
      <c r="A2" s="2" t="inlineStr">
        <is>
          <t>Gelbe Felder mit blauer Schrift sind änderbar. Alle Auswertungen rechnen mit diesen Werten.</t>
        </is>
      </c>
    </row>
    <row r="4">
      <c r="A4" s="39" t="inlineStr">
        <is>
          <t>Bewertungsparameter</t>
        </is>
      </c>
    </row>
    <row r="5">
      <c r="A5" s="40" t="inlineStr">
        <is>
          <t>Gewicht „bed. OK“</t>
        </is>
      </c>
      <c r="B5" s="64" t="n">
        <v>0.5</v>
      </c>
      <c r="D5" s="65" t="inlineStr">
        <is>
          <t>bed. OK zählt mit diesem Anteil (Annahme: 50 %, frei änderbar).</t>
        </is>
      </c>
    </row>
    <row r="6">
      <c r="A6" s="40" t="inlineStr">
        <is>
          <t>Ampel grün ab</t>
        </is>
      </c>
      <c r="B6" s="64" t="n">
        <v>0.85</v>
      </c>
      <c r="D6" s="65" t="inlineStr">
        <is>
          <t>Erfüllungsgrad ab diesem Wert = „gut“ (Annahme, frei änderbar).</t>
        </is>
      </c>
    </row>
    <row r="7">
      <c r="A7" s="40" t="inlineStr">
        <is>
          <t>Ampel gelb ab</t>
        </is>
      </c>
      <c r="B7" s="64" t="n">
        <v>0.6</v>
      </c>
      <c r="D7" s="65" t="inlineStr">
        <is>
          <t>Erfüllungsgrad ab diesem Wert = „mittel“, darunter „kritisch“ (Annahme).</t>
        </is>
      </c>
    </row>
    <row r="8">
      <c r="A8" s="40" t="inlineStr">
        <is>
          <t>Ziel technische Verfügbarkeit</t>
        </is>
      </c>
      <c r="B8" s="64" t="n">
        <v>0.9</v>
      </c>
      <c r="D8" s="65" t="inlineStr">
        <is>
          <t>Wird im Prüfpunkt zur Verfügbarkeit angezeigt. Vorlage nannte DE 90 % / EN 80 % – bitte verbindlich festlegen.</t>
        </is>
      </c>
    </row>
    <row r="10">
      <c r="A10" s="39" t="inlineStr">
        <is>
          <t>Kapitel</t>
        </is>
      </c>
      <c r="D10" s="65" t="inlineStr">
        <is>
          <t>Reihenfolge = Reihenfolge im Dashboard. Beim Umbenennen den Namen auch in der Spalte „Kapitel“ der Checkliste anpassen.</t>
        </is>
      </c>
    </row>
    <row r="11">
      <c r="A11" s="66" t="n">
        <v>1</v>
      </c>
      <c r="B11" s="67" t="inlineStr">
        <is>
          <t>Organisation &amp; Personal</t>
        </is>
      </c>
    </row>
    <row r="12">
      <c r="A12" s="66" t="n">
        <v>2</v>
      </c>
      <c r="B12" s="67" t="inlineStr">
        <is>
          <t>Strategie &amp; IH-System</t>
        </is>
      </c>
    </row>
    <row r="13">
      <c r="A13" s="66" t="n">
        <v>3</v>
      </c>
      <c r="B13" s="67" t="inlineStr">
        <is>
          <t>Durchführung &amp; Schulung</t>
        </is>
      </c>
    </row>
    <row r="14">
      <c r="A14" s="66" t="n">
        <v>4</v>
      </c>
      <c r="B14" s="67" t="inlineStr">
        <is>
          <t>Auswertung &amp; Verbesserung</t>
        </is>
      </c>
    </row>
    <row r="15">
      <c r="A15" s="66" t="n">
        <v>5</v>
      </c>
      <c r="B15" s="67" t="inlineStr">
        <is>
          <t>Dokumentation &amp; Kommunikation</t>
        </is>
      </c>
    </row>
    <row r="16">
      <c r="A16" s="66" t="n">
        <v>6</v>
      </c>
      <c r="B16" s="67" t="inlineStr">
        <is>
          <t>Werkstatt &amp; Betriebsmittel</t>
        </is>
      </c>
    </row>
    <row r="17">
      <c r="A17" s="66" t="n">
        <v>7</v>
      </c>
      <c r="B17" s="67" t="inlineStr">
        <is>
          <t>Material &amp; Ersatzteile</t>
        </is>
      </c>
    </row>
    <row r="18">
      <c r="A18" s="66" t="n">
        <v>8</v>
      </c>
      <c r="B18" s="67" t="inlineStr">
        <is>
          <t>Kennzahlen</t>
        </is>
      </c>
    </row>
    <row r="19">
      <c r="A19" s="66" t="n">
        <v>9</v>
      </c>
      <c r="B19" s="67" t="inlineStr">
        <is>
          <t>Arbeits- &amp; Umweltschutz</t>
        </is>
      </c>
    </row>
    <row r="21">
      <c r="A21" s="39" t="inlineStr">
        <is>
          <t>Bewertungsskala</t>
        </is>
      </c>
    </row>
    <row r="22">
      <c r="A22" s="68" t="inlineStr">
        <is>
          <t>Bewertung</t>
        </is>
      </c>
      <c r="B22" s="68" t="inlineStr">
        <is>
          <t>Bedeutung</t>
        </is>
      </c>
      <c r="C22" s="68" t="inlineStr">
        <is>
          <t>zählt mit</t>
        </is>
      </c>
    </row>
    <row r="23">
      <c r="A23" s="69" t="inlineStr">
        <is>
          <t>OK</t>
        </is>
      </c>
      <c r="B23" s="70" t="inlineStr">
        <is>
          <t>Anforderung erfüllt und nachweisbar</t>
        </is>
      </c>
      <c r="C23" s="71" t="inlineStr">
        <is>
          <t>100 %</t>
        </is>
      </c>
    </row>
    <row r="24">
      <c r="A24" s="72" t="inlineStr">
        <is>
          <t>bed. OK</t>
        </is>
      </c>
      <c r="B24" s="70" t="inlineStr">
        <is>
          <t>Teilweise erfüllt / kleinere Abweichungen – Maßnahme nötig</t>
        </is>
      </c>
      <c r="C24" s="71">
        <f>Gewicht_bedOK</f>
        <v/>
      </c>
    </row>
    <row r="25">
      <c r="A25" s="73" t="inlineStr">
        <is>
          <t>N.I.O</t>
        </is>
      </c>
      <c r="B25" s="70" t="inlineStr">
        <is>
          <t>Nicht erfüllt / nicht vorhanden – Maßnahme nötig</t>
        </is>
      </c>
      <c r="C25" s="71" t="inlineStr">
        <is>
          <t>0 %</t>
        </is>
      </c>
    </row>
    <row r="26">
      <c r="A26" s="74" t="inlineStr">
        <is>
          <t>n. b.</t>
        </is>
      </c>
      <c r="B26" s="70" t="inlineStr">
        <is>
          <t>Nicht bewertet / nicht zutreffend</t>
        </is>
      </c>
      <c r="C26" s="71" t="inlineStr">
        <is>
          <t>zählt nicht</t>
        </is>
      </c>
    </row>
    <row r="28">
      <c r="A28" s="39" t="inlineStr">
        <is>
          <t>Gewichtung je Prüfpunkt</t>
        </is>
      </c>
    </row>
    <row r="29">
      <c r="A29" s="75" t="n">
        <v>1</v>
      </c>
      <c r="B29" s="40" t="inlineStr">
        <is>
          <t>normal (Standard, auch wenn leer)</t>
        </is>
      </c>
    </row>
    <row r="30">
      <c r="A30" s="75" t="n">
        <v>2</v>
      </c>
      <c r="B30" s="40" t="inlineStr">
        <is>
          <t>wichtig</t>
        </is>
      </c>
    </row>
    <row r="31">
      <c r="A31" s="75" t="n">
        <v>3</v>
      </c>
      <c r="B31" s="40" t="inlineStr">
        <is>
          <t>kritisch – z. B. Sicherheit, gesetzliche Pflicht, Kundenforderung</t>
        </is>
      </c>
    </row>
    <row r="33">
      <c r="A33" s="39" t="inlineStr">
        <is>
          <t>Auditart (Auswahlliste)</t>
        </is>
      </c>
    </row>
    <row r="34">
      <c r="B34" s="67" t="inlineStr">
        <is>
          <t>Erstaudit</t>
        </is>
      </c>
    </row>
    <row r="35">
      <c r="B35" s="67" t="inlineStr">
        <is>
          <t>Wiederholungsaudit</t>
        </is>
      </c>
    </row>
    <row r="36">
      <c r="B36" s="67" t="inlineStr">
        <is>
          <t>Nachaudit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8" t="inlineStr">
        <is>
          <t>Anleitung</t>
        </is>
      </c>
    </row>
    <row r="3">
      <c r="A3" s="39" t="inlineStr">
        <is>
          <t>So geht's</t>
        </is>
      </c>
    </row>
    <row r="4">
      <c r="A4" s="76" t="inlineStr">
        <is>
          <t>1.</t>
        </is>
      </c>
      <c r="B4" s="77" t="inlineStr">
        <is>
          <t>Blatt „Checkliste“: Kopfdaten ausfüllen (Firma, Bereich, Datum, Auditor, Teilnehmer, Auditart, Ergebnis letztes Audit).</t>
        </is>
      </c>
    </row>
    <row r="5">
      <c r="A5" s="76" t="inlineStr">
        <is>
          <t>2.</t>
        </is>
      </c>
      <c r="B5" s="77" t="inlineStr">
        <is>
          <t>Je Prüfpunkt in „Bewertung“ wählen: OK, bed. OK, N.I.O oder n. b. (nicht bewertet / nicht zutreffend). Die Spalte „Prüfhinweis / Nachweise“ sagt, worauf zu achten ist.</t>
        </is>
      </c>
    </row>
    <row r="6">
      <c r="A6" s="76" t="inlineStr">
        <is>
          <t>3.</t>
        </is>
      </c>
      <c r="B6" s="77" t="inlineStr">
        <is>
          <t>Bei N.I.O und bed. OK: Befund / Maßnahme, Verantwortlich und Termin eintragen. Erledigt = ja setzt den Status auf „erledigt“; Termin in der Vergangenheit = „überfällig“.</t>
        </is>
      </c>
    </row>
    <row r="7">
      <c r="A7" s="76" t="inlineStr">
        <is>
          <t>4.</t>
        </is>
      </c>
      <c r="B7" s="77" t="inlineStr">
        <is>
          <t>Optional: Gewichtung 1–3 je Prüfpunkt (leer = 1). Wichtige Punkte zählen dann stärker.</t>
        </is>
      </c>
    </row>
    <row r="8">
      <c r="A8" s="76" t="inlineStr">
        <is>
          <t>5.</t>
        </is>
      </c>
      <c r="B8" s="77" t="inlineStr">
        <is>
          <t>Blatt „Dashboard“ zeigt das Ergebnis: Erfüllungsgrad, Ampel, Kapitel, Diagramme, kritische Befunde. Fazit eintragen, drucken, unterschreiben.</t>
        </is>
      </c>
    </row>
    <row r="9">
      <c r="A9" s="76" t="inlineStr">
        <is>
          <t>6.</t>
        </is>
      </c>
      <c r="B9" s="77" t="inlineStr">
        <is>
          <t>Blatt „Maßnahmenplan“ listet alle Maßnahmen automatisch – zum Nachverfolgen oder Weitergeben.</t>
        </is>
      </c>
    </row>
    <row r="11">
      <c r="A11" s="39" t="inlineStr">
        <is>
          <t>Farben</t>
        </is>
      </c>
    </row>
    <row r="12">
      <c r="A12" s="76" t="inlineStr">
        <is>
          <t>Gelb, blaue Schrift</t>
        </is>
      </c>
      <c r="B12" s="77" t="inlineStr">
        <is>
          <t>Eingabefelder – nur hier eintragen.</t>
        </is>
      </c>
    </row>
    <row r="13">
      <c r="A13" s="76" t="inlineStr">
        <is>
          <t>Schwarz / grau</t>
        </is>
      </c>
      <c r="B13" s="77" t="inlineStr">
        <is>
          <t>Formeln – nicht überschreiben.</t>
        </is>
      </c>
    </row>
    <row r="14">
      <c r="A14" s="76" t="inlineStr">
        <is>
          <t>Blaue Nummer, „NEU“</t>
        </is>
      </c>
      <c r="B14" s="77" t="inlineStr">
        <is>
          <t>Zusätzlich vorgeschlagene Prüfpunkte (nicht in der ursprünglichen Vorlage). Nicht benötigte Punkte: ganze Zeile löschen (Rechtsklick auf Zeilennummer → Zellen löschen).</t>
        </is>
      </c>
    </row>
    <row r="16">
      <c r="A16" s="39" t="inlineStr">
        <is>
          <t>Berechnung</t>
        </is>
      </c>
    </row>
    <row r="17">
      <c r="A17" s="76" t="inlineStr">
        <is>
          <t>Erfüllungsgrad</t>
        </is>
      </c>
      <c r="B17" s="77" t="inlineStr">
        <is>
          <t>Σ erreichte Punkte ÷ Σ mögliche Punkte. OK = Gewichtung × 100 %, bed. OK = Gewichtung × Gewicht „bed. OK“ (Annahme 50 %), N.I.O = 0. „n. b.“ und unbewertete Punkte zählen nicht.</t>
        </is>
      </c>
    </row>
    <row r="18">
      <c r="A18" s="76" t="inlineStr">
        <is>
          <t>Ampel</t>
        </is>
      </c>
      <c r="B18" s="77" t="inlineStr">
        <is>
          <t>gut ≥ 85 %, mittel ≥ 60 %, sonst kritisch. Annahmen – auf „Einstellungen“ änderbar.</t>
        </is>
      </c>
    </row>
    <row r="19">
      <c r="A19" s="76" t="inlineStr">
        <is>
          <t>Veränderung</t>
        </is>
      </c>
      <c r="B19" s="77" t="inlineStr">
        <is>
          <t>Erfüllungsgrad jetzt minus „Ergebnis letztes Audit“ in Prozentpunkten.</t>
        </is>
      </c>
    </row>
    <row r="20">
      <c r="A20" s="76" t="inlineStr">
        <is>
          <t>Fortschritt</t>
        </is>
      </c>
      <c r="B20" s="77" t="inlineStr">
        <is>
          <t>Anteil der Prüfpunkte mit einer Bewertung (inkl. n. b.).</t>
        </is>
      </c>
    </row>
    <row r="22">
      <c r="A22" s="76" t="inlineStr">
        <is>
          <t>Eigene Prüfpunkte</t>
        </is>
      </c>
      <c r="B22" s="77" t="inlineStr">
        <is>
          <t>Am Ende der Checkliste sind 10 leere Reservezeilen. Kapitel wählen und Text eintragen – Auswertung und Dashboard zählen sie automatisch mit. Weitere Zeilen innerhalb des Bereichs einfügen (nicht unterhalb der letzten Reservezeile).</t>
        </is>
      </c>
    </row>
    <row r="23">
      <c r="A23" s="76" t="inlineStr">
        <is>
          <t>Neues Kapitel</t>
        </is>
      </c>
      <c r="B23" s="77" t="inlineStr">
        <is>
          <t>Auf „Einstellungen“ einen Kapitelnamen ersetzen. Das Dashboard zeigt 9 Kapitel.</t>
        </is>
      </c>
    </row>
    <row r="24">
      <c r="A24" s="76" t="inlineStr">
        <is>
          <t>Nächstes Audit</t>
        </is>
      </c>
      <c r="B24" s="77" t="inlineStr">
        <is>
          <t>Datei kopieren (Speichern unter …), Bewertungen leeren, Erfüllungsgrad des alten Audits bei „Ergebnis letztes Audit“ eintragen.</t>
        </is>
      </c>
    </row>
    <row r="26">
      <c r="A26" s="39" t="inlineStr">
        <is>
          <t>Hinweise zur Vorlage</t>
        </is>
      </c>
    </row>
    <row r="27">
      <c r="A27" s="76" t="inlineStr">
        <is>
          <t>Herkunft</t>
        </is>
      </c>
      <c r="B27" s="77" t="inlineStr">
        <is>
          <t>Prüfpunkte 1–39 der Vorlage „Auditcheckliste_allg“ (Spalte „Quelle“ = Vorlage-Nr.). Die englischen Texte stehen in der ausgeblendeten Spalte Q.</t>
        </is>
      </c>
    </row>
    <row r="28">
      <c r="A28" s="76" t="inlineStr">
        <is>
          <t>Verfügbarkeit</t>
        </is>
      </c>
      <c r="B28" s="77" t="inlineStr">
        <is>
          <t>Die Vorlage nannte 90 % (DE) bzw. 80 % (EN) technische Verfügbarkeit. Zielwert auf „Einstellungen“ festlegen.</t>
        </is>
      </c>
    </row>
    <row r="30">
      <c r="A30" s="39" t="inlineStr">
        <is>
          <t>Quellen</t>
        </is>
      </c>
    </row>
    <row r="31">
      <c r="A31" s="76" t="inlineStr">
        <is>
          <t>DIN 31051</t>
        </is>
      </c>
      <c r="B31" s="77" t="inlineStr">
        <is>
          <t>Grundlagen der Instandhaltung – https://www.baunormenlexikon.de/norm/din-31051/8d1293a4-de10-49d4-9fee-0b415e6545a1</t>
        </is>
      </c>
    </row>
    <row r="32">
      <c r="A32" s="76" t="inlineStr">
        <is>
          <t>DIN EN 13306</t>
        </is>
      </c>
      <c r="B32" s="77" t="inlineStr">
        <is>
          <t>Begriffe der Instandhaltung – https://ihb.tuev-media.de/docs/din_en_13306.html</t>
        </is>
      </c>
    </row>
    <row r="33">
      <c r="A33" s="76" t="inlineStr">
        <is>
          <t>DIN EN 15341</t>
        </is>
      </c>
      <c r="B33" s="77" t="inlineStr">
        <is>
          <t>Leistungskennzahlen der Instandhaltung – https://blog.ccc-industriesoftware.de/kennzahlen-und-kpis-instandhaltung/</t>
        </is>
      </c>
    </row>
    <row r="34">
      <c r="A34" s="76" t="inlineStr">
        <is>
          <t>IATF 16949, 8.5.1.5</t>
        </is>
      </c>
      <c r="B34" s="77" t="inlineStr">
        <is>
          <t>TPM, Schlüsselanlagen, Ersatzteile, Konservierung – https://community.advisera.com/topic/total-productive-maintenance-in-iatf-16949/</t>
        </is>
      </c>
    </row>
    <row r="35">
      <c r="A35" s="76" t="inlineStr">
        <is>
          <t>BetrSichV</t>
        </is>
      </c>
      <c r="B35" s="77" t="inlineStr">
        <is>
          <t>§ 10 Instandhaltung, § 14 Prüfung – https://www.gesetze-im-internet.de/betrsichv_2015/BJNR004910015.html</t>
        </is>
      </c>
    </row>
    <row r="36">
      <c r="A36" s="76" t="inlineStr">
        <is>
          <t>TRBS 1112</t>
        </is>
      </c>
      <c r="B36" s="77" t="inlineStr">
        <is>
          <t>Instandhaltung – https://www.baua.de/DE/Angebote/Regelwerk/TRBS/pdf/TRBS-1112.pdf</t>
        </is>
      </c>
    </row>
    <row r="37">
      <c r="A37" s="76" t="inlineStr">
        <is>
          <t>DGUV Vorschrift 3</t>
        </is>
      </c>
      <c r="B37" s="77" t="inlineStr">
        <is>
          <t>Prüfung elektrischer Anlagen – https://www.forum-verlag.com/fachwissen/elektrosicherheit-und-elektrotechnik/prueffristen-nach-dguv-v3/</t>
        </is>
      </c>
    </row>
    <row r="38">
      <c r="A38" s="76" t="inlineStr">
        <is>
          <t>AwSV / WGK</t>
        </is>
      </c>
      <c r="B38" s="77" t="inlineStr">
        <is>
          <t>https://www.umweltbundesamt.de/system/files/medien/421/dokumente/info_awsv_dieter_wgk.pdf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2026-10-05T20:29:31Z</dcterms:created>
  <dcterms:modified xsi:type="dcterms:W3CDTF">2026-10-05T20:29:31Z</dcterms:modified>
</cp:coreProperties>
</file>