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wertung" sheetId="1" state="visible" r:id="rId1"/>
    <sheet xmlns:r="http://schemas.openxmlformats.org/officeDocument/2006/relationships" name="Übersicht" sheetId="2" state="visible" r:id="rId2"/>
    <sheet xmlns:r="http://schemas.openxmlformats.org/officeDocument/2006/relationships" name="Einstellungen" sheetId="3" state="visible" r:id="rId3"/>
    <sheet xmlns:r="http://schemas.openxmlformats.org/officeDocument/2006/relationships" name="Anleitung" sheetId="4" state="visible" r:id="rId4"/>
  </sheets>
  <definedNames>
    <definedName name="Krit_Liste">Einstellungen!$A$6:$A$8</definedName>
    <definedName name="Krit_Faktor">Einstellungen!$B$6:$B$8</definedName>
    <definedName name="Krit_Kosten">Einstellungen!$C$6:$C$8</definedName>
    <definedName name="Gruen_bis">Einstellungen!$B$20</definedName>
    <definedName name="Gelb_bis">Einstellungen!$B$21</definedName>
    <definedName name="Tage_beschaffbar">Einstellungen!$C$26</definedName>
    <definedName name="Tage_nicht_beschaffbar">Einstellungen!$C$27</definedName>
    <definedName name="Faktor_lohnt">Einstellungen!$C$28</definedName>
    <definedName name="Waehrung">Einstellungen!$C$29</definedName>
    <definedName name="L_Status">Einstellungen!$A$32:$A$34</definedName>
    <definedName name="B_Nr">Bewertung!$A$9:$A$208</definedName>
    <definedName name="B_Teil">Bewertung!$B$9:$B$208</definedName>
    <definedName name="B_Mat">Bewertung!$C$9:$C$208</definedName>
    <definedName name="B_Masch">Bewertung!$D$9:$D$208</definedName>
    <definedName name="B_Krit">Bewertung!$F$9:$F$208</definedName>
    <definedName name="B_Besch">Bewertung!$G$9:$G$208</definedName>
    <definedName name="B_Rep">Bewertung!$H$9:$H$208</definedName>
    <definedName name="B_Lager">Bewertung!$I$9:$I$208</definedName>
    <definedName name="B_Nein">Bewertung!$J$9:$J$208</definedName>
    <definedName name="B_Risiko">Bewertung!$K$9:$K$208</definedName>
    <definedName name="B_Ampel">Bewertung!$L$9:$L$208</definedName>
    <definedName name="B_Massn">Bewertung!$M$9:$M$208</definedName>
    <definedName name="B_Preis">Bewertung!$N$9:$N$208</definedName>
    <definedName name="B_Ausfall">Bewertung!$P$9:$P$208</definedName>
    <definedName name="B_Lohnt">Bewertung!$Q$9:$Q$208</definedName>
    <definedName name="B_Status">Bewertung!$T$9:$T$208</definedName>
    <definedName name="B_Termin">Bewertung!$S$9:$S$208</definedName>
    <definedName name="B_NeinBesch">Bewertung!$X$9:$X$208</definedName>
    <definedName name="B_NeinRep">Bewertung!$Y$9:$Y$208</definedName>
    <definedName name="B_NeinLager">Bewertung!$Z$9:$Z$208</definedName>
    <definedName name="B_Key">Bewertung!$AC$9:$AC$208</definedName>
    <definedName name="_xlnm._FilterDatabase" localSheetId="0" hidden="1">'Bewertung'!$A$8:$U$208</definedName>
    <definedName name="_xlnm.Print_Titles" localSheetId="0">'Bewertung'!$8:$8</definedName>
    <definedName name="_xlnm.Print_Area" localSheetId="0">'Bewertung'!$A$1:$U$208</definedName>
    <definedName name="_xlnm.Print_Area" localSheetId="1">'Übersicht'!$A$1:$R$41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dd.mm.yyyy"/>
    <numFmt numFmtId="166" formatCode="#,##0;-#,##0;&quot;–&quot;"/>
  </numFmts>
  <fonts count="26">
    <font>
      <name val="Calibri"/>
      <family val="2"/>
      <color theme="1"/>
      <sz val="11"/>
      <scheme val="minor"/>
    </font>
    <font>
      <name val="Arial"/>
      <b val="1"/>
      <color rgb="00141339"/>
      <sz val="16"/>
    </font>
    <font>
      <name val="Arial"/>
      <color rgb="005B6678"/>
      <sz val="9"/>
    </font>
    <font>
      <name val="Arial"/>
      <b val="1"/>
      <color rgb="00141339"/>
      <sz val="11"/>
    </font>
    <font>
      <name val="Arial"/>
      <b val="1"/>
      <color rgb="00FFFFFF"/>
      <sz val="9"/>
    </font>
    <font>
      <name val="Arial"/>
      <b val="1"/>
      <sz val="14"/>
    </font>
    <font>
      <name val="Arial"/>
      <color rgb="000000FF"/>
      <sz val="10"/>
    </font>
    <font>
      <name val="Arial"/>
      <sz val="9"/>
    </font>
    <font>
      <name val="Arial"/>
      <color rgb="005B6678"/>
      <sz val="8"/>
    </font>
    <font>
      <name val="Arial"/>
      <b val="1"/>
      <sz val="10"/>
    </font>
    <font>
      <name val="Arial"/>
      <sz val="10"/>
    </font>
    <font>
      <name val="Arial"/>
      <b val="1"/>
      <color rgb="00141339"/>
      <sz val="9"/>
    </font>
    <font>
      <name val="Arial"/>
      <b val="1"/>
      <color rgb="00141339"/>
      <sz val="10"/>
    </font>
    <font>
      <name val="Arial"/>
      <color rgb="00141339"/>
      <sz val="10"/>
    </font>
    <font>
      <name val="Arial"/>
      <b val="1"/>
      <color rgb="00C62F2F"/>
      <sz val="22"/>
    </font>
    <font>
      <name val="Arial"/>
      <color rgb="00141339"/>
      <sz val="9"/>
    </font>
    <font>
      <name val="Arial"/>
      <b val="1"/>
      <color rgb="00141339"/>
      <sz val="22"/>
    </font>
    <font>
      <name val="Arial"/>
      <b val="1"/>
      <color rgb="008A94A6"/>
      <sz val="8"/>
    </font>
    <font>
      <name val="Arial"/>
      <color rgb="008A94A6"/>
      <sz val="8"/>
    </font>
    <font>
      <name val="Arial"/>
      <b val="1"/>
      <sz val="9"/>
    </font>
    <font>
      <name val="Arial"/>
      <b val="1"/>
      <color rgb="00141339"/>
      <sz val="18"/>
    </font>
    <font>
      <name val="Arial"/>
      <sz val="11"/>
    </font>
    <font>
      <name val="Arial"/>
      <b val="1"/>
      <sz val="11"/>
    </font>
    <font>
      <name val="Arial"/>
      <b val="1"/>
      <color rgb="00C62F2F"/>
      <sz val="8"/>
    </font>
    <font>
      <name val="Arial"/>
      <b val="1"/>
      <color rgb="00141339"/>
      <sz val="12"/>
    </font>
    <font>
      <name val="Arial"/>
      <color theme="1"/>
      <sz val="11"/>
    </font>
  </fonts>
  <fills count="10">
    <fill>
      <patternFill/>
    </fill>
    <fill>
      <patternFill patternType="gray125"/>
    </fill>
    <fill>
      <patternFill patternType="solid">
        <fgColor rgb="00141339"/>
      </patternFill>
    </fill>
    <fill>
      <patternFill patternType="solid">
        <fgColor rgb="00FFFFFF"/>
      </patternFill>
    </fill>
    <fill>
      <patternFill patternType="solid">
        <fgColor rgb="00D3F0DB"/>
      </patternFill>
    </fill>
    <fill>
      <patternFill patternType="solid">
        <fgColor rgb="00FCEBC2"/>
      </patternFill>
    </fill>
    <fill>
      <patternFill patternType="solid">
        <fgColor rgb="00FBDADA"/>
      </patternFill>
    </fill>
    <fill>
      <patternFill patternType="solid">
        <fgColor rgb="00F2F3F7"/>
      </patternFill>
    </fill>
    <fill>
      <patternFill patternType="solid">
        <fgColor rgb="00F7A600"/>
      </patternFill>
    </fill>
    <fill>
      <patternFill patternType="solid">
        <fgColor rgb="00FFF8E6"/>
      </patternFill>
    </fill>
  </fills>
  <borders count="9">
    <border>
      <left/>
      <right/>
      <top/>
      <bottom/>
      <diagonal/>
    </border>
    <border>
      <bottom style="medium">
        <color rgb="00141339"/>
      </bottom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left/>
      <right/>
      <top style="thin">
        <color rgb="00D5DCE6"/>
      </top>
      <bottom/>
      <diagonal/>
    </border>
    <border>
      <left/>
      <right style="thin">
        <color rgb="00D5DCE6"/>
      </right>
      <top style="thin">
        <color rgb="00D5DCE6"/>
      </top>
      <bottom/>
      <diagonal/>
    </border>
    <border>
      <left/>
      <right/>
      <top style="thin">
        <color rgb="00D5DCE6"/>
      </top>
      <bottom style="thin">
        <color rgb="00D5DCE6"/>
      </bottom>
      <diagonal/>
    </border>
    <border>
      <left/>
      <right style="thin">
        <color rgb="00D5DCE6"/>
      </right>
      <top style="thin">
        <color rgb="00D5DCE6"/>
      </top>
      <bottom style="thin">
        <color rgb="00D5DCE6"/>
      </bottom>
      <diagonal/>
    </border>
    <border>
      <bottom style="thin">
        <color rgb="00D5DCE6"/>
      </bottom>
    </border>
    <border>
      <top style="thin">
        <color rgb="00141339"/>
      </top>
      <bottom style="thin">
        <color rgb="00141339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5" fillId="0" borderId="0" pivotButton="0" quotePrefix="0" xfId="0"/>
    <xf numFmtId="0" fontId="2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right" vertical="center"/>
    </xf>
    <xf numFmtId="0" fontId="6" fillId="3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left" vertical="center"/>
    </xf>
    <xf numFmtId="0" fontId="12" fillId="4" borderId="2" applyAlignment="1" pivotButton="0" quotePrefix="0" xfId="0">
      <alignment horizontal="center" vertical="center"/>
    </xf>
    <xf numFmtId="0" fontId="25" fillId="4" borderId="2" pivotButton="0" quotePrefix="0" xfId="0"/>
    <xf numFmtId="0" fontId="13" fillId="0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0" fontId="25" fillId="5" borderId="2" pivotButton="0" quotePrefix="0" xfId="0"/>
    <xf numFmtId="0" fontId="12" fillId="6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25" fillId="0" borderId="2" pivotButton="0" quotePrefix="0" xfId="0"/>
    <xf numFmtId="3" fontId="14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25" fillId="7" borderId="2" pivotButton="0" quotePrefix="0" xfId="0"/>
    <xf numFmtId="3" fontId="15" fillId="7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10" fillId="7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vertical="center" wrapText="1"/>
    </xf>
    <xf numFmtId="0" fontId="6" fillId="3" borderId="2" applyAlignment="1" pivotButton="0" quotePrefix="0" xfId="0">
      <alignment vertical="center" wrapText="1"/>
    </xf>
    <xf numFmtId="0" fontId="6" fillId="9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vertical="center" wrapText="1"/>
    </xf>
    <xf numFmtId="3" fontId="6" fillId="3" borderId="2" applyAlignment="1" pivotButton="0" quotePrefix="0" xfId="0">
      <alignment vertical="center" wrapText="1"/>
    </xf>
    <xf numFmtId="0" fontId="6" fillId="3" borderId="2" applyAlignment="1" pivotButton="0" quotePrefix="0" xfId="0">
      <alignment horizontal="center" vertical="center" wrapText="1"/>
    </xf>
    <xf numFmtId="3" fontId="10" fillId="7" borderId="2" applyAlignment="1" pivotButton="0" quotePrefix="0" xfId="0">
      <alignment vertical="center" wrapText="1"/>
    </xf>
    <xf numFmtId="0" fontId="19" fillId="7" borderId="2" applyAlignment="1" pivotButton="0" quotePrefix="0" xfId="0">
      <alignment vertical="center" wrapText="1"/>
    </xf>
    <xf numFmtId="165" fontId="6" fillId="3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/>
    </xf>
    <xf numFmtId="0" fontId="20" fillId="0" borderId="0" applyAlignment="1" pivotButton="0" quotePrefix="0" xfId="0">
      <alignment vertical="center"/>
    </xf>
    <xf numFmtId="0" fontId="2" fillId="0" borderId="0" pivotButton="0" quotePrefix="0" xfId="0"/>
    <xf numFmtId="0" fontId="8" fillId="0" borderId="0" pivotButton="0" quotePrefix="0" xfId="0"/>
    <xf numFmtId="0" fontId="12" fillId="0" borderId="7" pivotButton="0" quotePrefix="0" xfId="0"/>
    <xf numFmtId="0" fontId="25" fillId="0" borderId="7" pivotButton="0" quotePrefix="0" xfId="0"/>
    <xf numFmtId="165" fontId="12" fillId="0" borderId="7" pivotButton="0" quotePrefix="0" xfId="0"/>
    <xf numFmtId="0" fontId="3" fillId="0" borderId="1" applyAlignment="1" pivotButton="0" quotePrefix="0" xfId="0">
      <alignment vertical="center"/>
    </xf>
    <xf numFmtId="0" fontId="25" fillId="0" borderId="1" pivotButton="0" quotePrefix="0" xfId="0"/>
    <xf numFmtId="0" fontId="17" fillId="0" borderId="0" pivotButton="0" quotePrefix="0" xfId="0"/>
    <xf numFmtId="0" fontId="9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18" fillId="0" borderId="0" pivotButton="0" quotePrefix="0" xfId="0"/>
    <xf numFmtId="0" fontId="22" fillId="7" borderId="8" applyAlignment="1" pivotButton="0" quotePrefix="0" xfId="0">
      <alignment horizontal="left" vertical="center"/>
    </xf>
    <xf numFmtId="0" fontId="22" fillId="7" borderId="8" applyAlignment="1" pivotButton="0" quotePrefix="0" xfId="0">
      <alignment horizontal="center" vertical="center"/>
    </xf>
    <xf numFmtId="0" fontId="23" fillId="0" borderId="0" pivotButton="0" quotePrefix="0" xfId="0"/>
    <xf numFmtId="0" fontId="10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0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0" fontId="22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25" fillId="0" borderId="5" pivotButton="0" quotePrefix="0" xfId="0"/>
    <xf numFmtId="0" fontId="25" fillId="0" borderId="6" pivotButton="0" quotePrefix="0" xfId="0"/>
    <xf numFmtId="0" fontId="9" fillId="0" borderId="2" applyAlignment="1" pivotButton="0" quotePrefix="0" xfId="0">
      <alignment vertical="center"/>
    </xf>
    <xf numFmtId="0" fontId="9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1" fontId="6" fillId="3" borderId="2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164" fontId="6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/>
    </xf>
    <xf numFmtId="0" fontId="24" fillId="0" borderId="0" pivotButton="0" quotePrefix="0" xfId="0"/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dxfs count="13">
    <dxf>
      <font>
        <b val="1"/>
        <color rgb="00FFFFFF"/>
      </font>
      <fill>
        <patternFill patternType="solid">
          <bgColor rgb="00C62F2F"/>
        </patternFill>
      </fill>
    </dxf>
    <dxf>
      <font>
        <b val="1"/>
        <color rgb="00141339"/>
      </font>
      <fill>
        <patternFill patternType="solid">
          <bgColor rgb="00F0A812"/>
        </patternFill>
      </fill>
    </dxf>
    <dxf>
      <font>
        <b val="1"/>
        <color rgb="00FFFFFF"/>
      </font>
      <fill>
        <patternFill patternType="solid">
          <bgColor rgb="0013A13D"/>
        </patternFill>
      </fill>
    </dxf>
    <dxf>
      <fill>
        <patternFill patternType="solid">
          <bgColor rgb="00FBDADA"/>
        </patternFill>
      </fill>
    </dxf>
    <dxf>
      <font>
        <b val="1"/>
        <color rgb="0013A13D"/>
      </font>
      <fill>
        <patternFill patternType="solid">
          <bgColor rgb="00E3F5E8"/>
        </patternFill>
      </fill>
    </dxf>
    <dxf>
      <font>
        <b val="1"/>
        <color rgb="00C62F2F"/>
      </font>
      <fill>
        <patternFill patternType="solid">
          <bgColor rgb="00FBE3E3"/>
        </patternFill>
      </fill>
    </dxf>
    <dxf>
      <font>
        <b val="1"/>
        <color rgb="0013A13D"/>
      </font>
      <fill>
        <patternFill patternType="solid">
          <bgColor rgb="00D3F0DB"/>
        </patternFill>
      </fill>
    </dxf>
    <dxf>
      <font>
        <b val="1"/>
        <color rgb="009A6700"/>
      </font>
      <fill>
        <patternFill patternType="solid">
          <bgColor rgb="00FCEBC2"/>
        </patternFill>
      </fill>
    </dxf>
    <dxf>
      <font>
        <b val="1"/>
        <color rgb="00C62F2F"/>
      </font>
    </dxf>
    <dxf>
      <font>
        <b val="1"/>
        <color rgb="0013A13D"/>
      </font>
    </dxf>
    <dxf>
      <font>
        <b val="1"/>
        <color rgb="005B6678"/>
      </font>
    </dxf>
    <dxf>
      <fill>
        <patternFill patternType="solid">
          <bgColor rgb="00D3F0DB"/>
        </patternFill>
      </fill>
    </dxf>
    <dxf>
      <fill>
        <patternFill patternType="solid">
          <bgColor rgb="00FCEB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3A13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0A812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62F2F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  <showPercent val="0"/>
          </dLbls>
          <cat>
            <numRef>
              <f>'Übersicht'!$T$8:$T$10</f>
            </numRef>
          </cat>
          <val>
            <numRef>
              <f>'Übersicht'!$U$8:$U$10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18</col>
      <colOff>0</colOff>
      <row>0</row>
      <rowOff>60000</rowOff>
    </from>
    <ext cx="1350465" cy="269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200000</colOff>
      <row>10</row>
      <rowOff>25000</rowOff>
    </from>
    <ext cx="299000" cy="376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6</row>
      <rowOff>0</rowOff>
    </from>
    <ext cx="3060000" cy="1655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0</row>
      <rowOff>60000</rowOff>
    </from>
    <ext cx="1350465" cy="269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00D9EC"/>
    <outlinePr summaryBelow="1" summaryRight="1"/>
    <pageSetUpPr fitToPage="1"/>
  </sheetPr>
  <dimension ref="A1:AC208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3" customWidth="1" min="3" max="3"/>
    <col width="20" customWidth="1" min="4" max="4"/>
    <col width="11" customWidth="1" min="5" max="5"/>
    <col width="11" customWidth="1" min="6" max="6"/>
    <col width="12" customWidth="1" min="7" max="7"/>
    <col width="12" customWidth="1" min="8" max="8"/>
    <col width="12" customWidth="1" min="9" max="9"/>
    <col width="9" customWidth="1" min="10" max="10"/>
    <col width="9" customWidth="1" min="11" max="11"/>
    <col width="9" customWidth="1" min="12" max="12"/>
    <col width="42" customWidth="1" min="13" max="13"/>
    <col width="11" customWidth="1" min="14" max="14"/>
    <col width="11" customWidth="1" min="15" max="15"/>
    <col width="12" customWidth="1" min="16" max="16"/>
    <col width="17" customWidth="1" min="17" max="17"/>
    <col width="13" customWidth="1" min="18" max="18"/>
    <col width="11" customWidth="1" min="19" max="19"/>
    <col width="13" customWidth="1" min="20" max="20"/>
    <col width="30" customWidth="1" min="21" max="21"/>
    <col width="3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</cols>
  <sheetData>
    <row r="1" ht="28" customHeight="1">
      <c r="A1" s="1" t="inlineStr">
        <is>
          <t>Bewertung Ersatzteilkritikalität / Spare part criticality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</row>
    <row r="2" ht="16" customHeight="1">
      <c r="A2" s="3" t="inlineStr">
        <is>
          <t>Je Teil 4 Eingaben (★): Ersatzteil, Kritikalität A/B/C und drei Fragen ja / nein. Risiko, Ampel und Maßnahme rechnen automatisch. Stückpreis eintragen, damit die Wirtschaftlichkeit rechnet. Foto: Einfügen › Bilder › In Zelle platzieren. / 4 inputs per part (★); everything else is calculated.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</row>
    <row r="3" ht="20" customHeight="1">
      <c r="A3" s="4" t="inlineStr">
        <is>
          <t>Werk / Plant</t>
        </is>
      </c>
      <c r="B3" s="2" t="n"/>
      <c r="C3" s="5" t="n"/>
      <c r="D3" s="5" t="n"/>
      <c r="E3" s="2" t="n"/>
      <c r="F3" s="4" t="inlineStr">
        <is>
          <t>Datum / Date</t>
        </is>
      </c>
      <c r="G3" s="6" t="n"/>
      <c r="H3" s="5" t="n"/>
      <c r="I3" s="2" t="n"/>
      <c r="J3" s="7" t="inlineStr">
        <is>
          <t>grün</t>
        </is>
      </c>
      <c r="K3" s="8" t="n"/>
      <c r="L3" s="2" t="n"/>
      <c r="M3" s="9">
        <f>"0 – "&amp;Gruen_bis</f>
        <v/>
      </c>
      <c r="N3" s="10" t="inlineStr">
        <is>
          <t>gelb</t>
        </is>
      </c>
      <c r="O3" s="11" t="n"/>
      <c r="P3" s="9">
        <f>(Gruen_bis+1)&amp;" – "&amp;Gelb_bis</f>
        <v/>
      </c>
      <c r="Q3" s="12" t="inlineStr">
        <is>
          <t>rot</t>
        </is>
      </c>
      <c r="R3" s="9">
        <f>(Gelb_bis+1)&amp;" – 9"</f>
        <v/>
      </c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 ht="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</row>
    <row r="5" ht="40" customHeight="1">
      <c r="A5" s="2" t="n"/>
      <c r="B5" s="13">
        <f>(COUNTIF($G$9:$G$208,"nein")+COUNTIF($G$9:$G$208,"no"))&amp;" von "&amp;COUNTIF($B$9:$B$208,"?*")</f>
        <v/>
      </c>
      <c r="C5" s="13">
        <f>(COUNTIF($H$9:$H$208,"nein")+COUNTIF($H$9:$H$208,"no"))&amp;" von "&amp;COUNTIF($B$9:$B$208,"?*")</f>
        <v/>
      </c>
      <c r="D5" s="14" t="n"/>
      <c r="E5" s="14" t="n"/>
      <c r="F5" s="13">
        <f>(COUNTIF($I$9:$I$208,"nein")+COUNTIF($I$9:$I$208,"no"))&amp;" von "&amp;COUNTIF($B$9:$B$208,"?*")</f>
        <v/>
      </c>
      <c r="G5" s="14" t="n"/>
      <c r="H5" s="14" t="n"/>
      <c r="I5" s="14" t="n"/>
      <c r="J5" s="13">
        <f>COUNTIF($L$9:$L$208,"rot")&amp;" von "&amp;COUNTIF($B$9:$B$208,"?*")</f>
        <v/>
      </c>
      <c r="K5" s="14" t="n"/>
      <c r="L5" s="14" t="n"/>
      <c r="M5" s="14" t="n"/>
      <c r="N5" s="15">
        <f>SUMPRODUCT(($L$9:$L$208="rot")*(($I$9:$I$208="nein")+($I$9:$I$208="no")),$N$9:$N$208)</f>
        <v/>
      </c>
      <c r="O5" s="14" t="n"/>
      <c r="P5" s="14" t="n"/>
      <c r="Q5" s="14" t="n"/>
      <c r="R5" s="16">
        <f>COUNT($K$9:$K$208)&amp;" von "&amp;COUNTIF($B$9:$B$208,"?*")</f>
        <v/>
      </c>
      <c r="S5" s="14" t="n"/>
      <c r="T5" s="14" t="n"/>
      <c r="U5" s="14" t="n"/>
      <c r="V5" s="2" t="n"/>
      <c r="W5" s="2" t="n"/>
      <c r="X5" s="2" t="n"/>
      <c r="Y5" s="2" t="n"/>
      <c r="Z5" s="2" t="n"/>
      <c r="AA5" s="2" t="n"/>
      <c r="AB5" s="2" t="n"/>
      <c r="AC5" s="2" t="n"/>
    </row>
    <row r="6" ht="18" customHeight="1">
      <c r="A6" s="2" t="n"/>
      <c r="B6" s="17" t="inlineStr">
        <is>
          <t>abgekündigt / nicht beschaffbar</t>
        </is>
      </c>
      <c r="C6" s="17" t="inlineStr">
        <is>
          <t>nicht reparierbar</t>
        </is>
      </c>
      <c r="D6" s="18" t="n"/>
      <c r="E6" s="18" t="n"/>
      <c r="F6" s="17" t="inlineStr">
        <is>
          <t>nicht vor Ort auf Lager</t>
        </is>
      </c>
      <c r="G6" s="18" t="n"/>
      <c r="H6" s="18" t="n"/>
      <c r="I6" s="18" t="n"/>
      <c r="J6" s="17" t="inlineStr">
        <is>
          <t>Ampel rot</t>
        </is>
      </c>
      <c r="K6" s="18" t="n"/>
      <c r="L6" s="18" t="n"/>
      <c r="M6" s="18" t="n"/>
      <c r="N6" s="19" t="inlineStr">
        <is>
          <t>Stückpreise rote Teile ohne Lager (1 Stk. je Teil)</t>
        </is>
      </c>
      <c r="O6" s="18" t="n"/>
      <c r="P6" s="18" t="n"/>
      <c r="Q6" s="18" t="n"/>
      <c r="R6" s="17" t="inlineStr">
        <is>
          <t>vollständig bewertet</t>
        </is>
      </c>
      <c r="S6" s="18" t="n"/>
      <c r="T6" s="18" t="n"/>
      <c r="U6" s="18" t="n"/>
      <c r="V6" s="2" t="n"/>
      <c r="W6" s="2" t="n"/>
      <c r="X6" s="2" t="n"/>
      <c r="Y6" s="2" t="n"/>
      <c r="Z6" s="2" t="n"/>
      <c r="AA6" s="2" t="n"/>
      <c r="AB6" s="2" t="n"/>
      <c r="AC6" s="2" t="n"/>
    </row>
    <row r="7" ht="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</row>
    <row r="8" ht="40" customHeight="1">
      <c r="A8" s="20" t="inlineStr">
        <is>
          <t>Nr.</t>
        </is>
      </c>
      <c r="B8" s="21" t="inlineStr">
        <is>
          <t>★ Ersatzteil
Spare part</t>
        </is>
      </c>
      <c r="C8" s="20" t="inlineStr">
        <is>
          <t>Material-Nr.
Material no.</t>
        </is>
      </c>
      <c r="D8" s="20" t="inlineStr">
        <is>
          <t>Maschine / Anlage
Machine</t>
        </is>
      </c>
      <c r="E8" s="20" t="inlineStr">
        <is>
          <t>Foto
Photo</t>
        </is>
      </c>
      <c r="F8" s="21" t="inlineStr">
        <is>
          <t>★ Kritikalität
Criticality</t>
        </is>
      </c>
      <c r="G8" s="21" t="inlineStr">
        <is>
          <t>★ Beschaffbar?
Available?</t>
        </is>
      </c>
      <c r="H8" s="21" t="inlineStr">
        <is>
          <t>★ Reparierbar?
Repairable?</t>
        </is>
      </c>
      <c r="I8" s="21" t="inlineStr">
        <is>
          <t>★ Lager vor Ort?
In stock?</t>
        </is>
      </c>
      <c r="J8" s="20" t="inlineStr">
        <is>
          <t>Anzahl Nein
No. of “no”</t>
        </is>
      </c>
      <c r="K8" s="20" t="inlineStr">
        <is>
          <t>Risiko
(0–9)</t>
        </is>
      </c>
      <c r="L8" s="20" t="inlineStr">
        <is>
          <t>Ampel
Status</t>
        </is>
      </c>
      <c r="M8" s="20" t="inlineStr">
        <is>
          <t>Empfohlene Maßnahme
Recommended action</t>
        </is>
      </c>
      <c r="N8" s="20" t="inlineStr">
        <is>
          <t>Stückpreis
Unit price</t>
        </is>
      </c>
      <c r="O8" s="20" t="inlineStr">
        <is>
          <t>Ausfallzeit ohne Teil (Tage) – optional</t>
        </is>
      </c>
      <c r="P8" s="20" t="inlineStr">
        <is>
          <t>Ausfallkosten
Downtime cost</t>
        </is>
      </c>
      <c r="Q8" s="20" t="inlineStr">
        <is>
          <t>Bevorratung lohnt?
Worth stocking?</t>
        </is>
      </c>
      <c r="R8" s="20" t="inlineStr">
        <is>
          <t>Verantwortlich
Owner</t>
        </is>
      </c>
      <c r="S8" s="20" t="inlineStr">
        <is>
          <t>Termin
Due</t>
        </is>
      </c>
      <c r="T8" s="20" t="inlineStr">
        <is>
          <t>Status</t>
        </is>
      </c>
      <c r="U8" s="20" t="inlineStr">
        <is>
          <t>Bemerkung
Remarks</t>
        </is>
      </c>
      <c r="V8" s="2" t="n"/>
      <c r="W8" s="22" t="inlineStr">
        <is>
          <t>Faktor</t>
        </is>
      </c>
      <c r="X8" s="22" t="inlineStr">
        <is>
          <t>nein Beschaff.</t>
        </is>
      </c>
      <c r="Y8" s="22" t="inlineStr">
        <is>
          <t>nein Repar.</t>
        </is>
      </c>
      <c r="Z8" s="22" t="inlineStr">
        <is>
          <t>nein Lager</t>
        </is>
      </c>
      <c r="AA8" s="22" t="inlineStr">
        <is>
          <t>beantwortet</t>
        </is>
      </c>
      <c r="AB8" s="22" t="inlineStr">
        <is>
          <t>Tage wirksam</t>
        </is>
      </c>
      <c r="AC8" s="22" t="inlineStr">
        <is>
          <t>Sortierschlüssel</t>
        </is>
      </c>
    </row>
    <row r="9" ht="34" customHeight="1">
      <c r="A9" s="23">
        <f>IF(B9="","",COUNTA($B$9:B9))</f>
        <v/>
      </c>
      <c r="B9" s="24" t="inlineStr">
        <is>
          <t>Antriebe / Antriebssoftware (Besäumschere SP 1406, SP7 SP 2402)</t>
        </is>
      </c>
      <c r="C9" s="25" t="n"/>
      <c r="D9" s="25" t="n"/>
      <c r="E9" s="25" t="n"/>
      <c r="F9" s="26" t="inlineStr">
        <is>
          <t>C</t>
        </is>
      </c>
      <c r="G9" s="26" t="inlineStr">
        <is>
          <t>ja</t>
        </is>
      </c>
      <c r="H9" s="26" t="inlineStr">
        <is>
          <t>ja</t>
        </is>
      </c>
      <c r="I9" s="26" t="inlineStr">
        <is>
          <t>nein</t>
        </is>
      </c>
      <c r="J9" s="23">
        <f>IF(AA9&lt;3,"",X9+Y9+Z9)</f>
        <v/>
      </c>
      <c r="K9" s="27">
        <f>IF(OR(J9="",W9=""),"",W9*J9)</f>
        <v/>
      </c>
      <c r="L9" s="28">
        <f>IF(K9="","",IF(K9&lt;=Gruen_bis,"grün",IF(K9&lt;=Gelb_bis,"gelb","rot")))</f>
        <v/>
      </c>
      <c r="M9" s="29">
        <f>IF(L9="",IF(B9="","","Bewertung unvollständig – ★-Felder ausfüllen"),IF(L9="grün","Keine aktive Maßnahme – jährlich prüfen",IF(AND(X9=1,Y9=1,Z9=1),"Sofort sichern: Restbestand / Gebrauchtteil kaufen und Ersatzlösung (Retrofit) planen",IF(AND(X9=1,Z9=1),"Reparaturweg absichern (Dienstleister, Tauschteil), Gebrauchtteil prüfen",IF(X9=1,"Abgekündigt: Lagerteil schützen, Ersatzlösung mittelfristig planen",IF(Z9=1,IF(LEFT(Q9,4)="nein","Bevorratung lohnt nicht – Lieferzeit und Reparaturweg absichern","Lagerbestand anlegen (mind. 1 Stk.)"),"Reparaturmöglichkeit klären"))))))</f>
        <v/>
      </c>
      <c r="N9" s="30" t="n"/>
      <c r="O9" s="31" t="n"/>
      <c r="P9" s="32">
        <f>IF(OR(AB9="",W9="",Z9=0),"",AB9*INDEX(Krit_Kosten,MATCH(F9,Krit_Liste,0)))</f>
        <v/>
      </c>
      <c r="Q9" s="33">
        <f>IF(L9="","",IF(L9="grün","–",IF(Z9=0,"am Lager / in stock",IF(N(N9)&lt;=0,"Stückpreis fehlt",IF(P9&gt;=Faktor_lohnt*N9,"ja – "&amp;FIXED(P9/N9,0)&amp;"-fach","nein – "&amp;FIXED(P9/N9,IF(P9/N9&lt;1,2,1))&amp;"-fach")))))</f>
        <v/>
      </c>
      <c r="R9" s="25" t="n"/>
      <c r="S9" s="34" t="n"/>
      <c r="T9" s="31" t="n"/>
      <c r="U9" s="25" t="inlineStr">
        <is>
          <t>Beispiel – bitte überschreiben</t>
        </is>
      </c>
      <c r="V9" s="2" t="n"/>
      <c r="W9" s="35">
        <f>IFERROR(INDEX(Krit_Faktor,MATCH(F9,Krit_Liste,0)),"")</f>
        <v/>
      </c>
      <c r="X9" s="35">
        <f>IF(OR(G9="nein",G9="no"),1,0)</f>
        <v/>
      </c>
      <c r="Y9" s="35">
        <f>IF(OR(H9="nein",H9="no"),1,0)</f>
        <v/>
      </c>
      <c r="Z9" s="35">
        <f>IF(OR(I9="nein",I9="no"),1,0)</f>
        <v/>
      </c>
      <c r="AA9" s="35">
        <f>(G9&lt;&gt;"")+(H9&lt;&gt;"")+(I9&lt;&gt;"")</f>
        <v/>
      </c>
      <c r="AB9" s="35">
        <f>IF(O9&lt;&gt;"",O9,IF(AA9&lt;3,"",IF(X9=1,Tage_nicht_beschaffbar,Tage_beschaffbar)))</f>
        <v/>
      </c>
      <c r="AC9" s="35">
        <f>IF(K9="","",K9*1000+W9*10+(1000-ROW())/100000)</f>
        <v/>
      </c>
    </row>
    <row r="10" ht="34" customHeight="1">
      <c r="A10" s="23">
        <f>IF(B10="","",COUNTA($B$9:B10))</f>
        <v/>
      </c>
      <c r="B10" s="24" t="inlineStr">
        <is>
          <t>HMI-Software Rohrtrennung</t>
        </is>
      </c>
      <c r="C10" s="25" t="n"/>
      <c r="D10" s="25" t="n"/>
      <c r="E10" s="25" t="n"/>
      <c r="F10" s="26" t="inlineStr">
        <is>
          <t>A</t>
        </is>
      </c>
      <c r="G10" s="26" t="inlineStr">
        <is>
          <t>ja</t>
        </is>
      </c>
      <c r="H10" s="26" t="inlineStr">
        <is>
          <t>nein</t>
        </is>
      </c>
      <c r="I10" s="26" t="inlineStr">
        <is>
          <t>nein</t>
        </is>
      </c>
      <c r="J10" s="23">
        <f>IF(AA10&lt;3,"",X10+Y10+Z10)</f>
        <v/>
      </c>
      <c r="K10" s="27">
        <f>IF(OR(J10="",W10=""),"",W10*J10)</f>
        <v/>
      </c>
      <c r="L10" s="28">
        <f>IF(K10="","",IF(K10&lt;=Gruen_bis,"grün",IF(K10&lt;=Gelb_bis,"gelb","rot")))</f>
        <v/>
      </c>
      <c r="M10" s="29">
        <f>IF(L10="",IF(B10="","","Bewertung unvollständig – ★-Felder ausfüllen"),IF(L10="grün","Keine aktive Maßnahme – jährlich prüfen",IF(AND(X10=1,Y10=1,Z10=1),"Sofort sichern: Restbestand / Gebrauchtteil kaufen und Ersatzlösung (Retrofit) planen",IF(AND(X10=1,Z10=1),"Reparaturweg absichern (Dienstleister, Tauschteil), Gebrauchtteil prüfen",IF(X10=1,"Abgekündigt: Lagerteil schützen, Ersatzlösung mittelfristig planen",IF(Z10=1,IF(LEFT(Q10,4)="nein","Bevorratung lohnt nicht – Lieferzeit und Reparaturweg absichern","Lagerbestand anlegen (mind. 1 Stk.)"),"Reparaturmöglichkeit klären"))))))</f>
        <v/>
      </c>
      <c r="N10" s="30" t="n"/>
      <c r="O10" s="31" t="n"/>
      <c r="P10" s="32">
        <f>IF(OR(AB10="",W10="",Z10=0),"",AB10*INDEX(Krit_Kosten,MATCH(F10,Krit_Liste,0)))</f>
        <v/>
      </c>
      <c r="Q10" s="33">
        <f>IF(L10="","",IF(L10="grün","–",IF(Z10=0,"am Lager / in stock",IF(N(N10)&lt;=0,"Stückpreis fehlt",IF(P10&gt;=Faktor_lohnt*N10,"ja – "&amp;FIXED(P10/N10,0)&amp;"-fach","nein – "&amp;FIXED(P10/N10,IF(P10/N10&lt;1,2,1))&amp;"-fach")))))</f>
        <v/>
      </c>
      <c r="R10" s="25" t="n"/>
      <c r="S10" s="34" t="n"/>
      <c r="T10" s="31" t="n"/>
      <c r="U10" s="25" t="inlineStr">
        <is>
          <t>Beispiel – bitte überschreiben</t>
        </is>
      </c>
      <c r="V10" s="2" t="n"/>
      <c r="W10" s="35">
        <f>IFERROR(INDEX(Krit_Faktor,MATCH(F10,Krit_Liste,0)),"")</f>
        <v/>
      </c>
      <c r="X10" s="35">
        <f>IF(OR(G10="nein",G10="no"),1,0)</f>
        <v/>
      </c>
      <c r="Y10" s="35">
        <f>IF(OR(H10="nein",H10="no"),1,0)</f>
        <v/>
      </c>
      <c r="Z10" s="35">
        <f>IF(OR(I10="nein",I10="no"),1,0)</f>
        <v/>
      </c>
      <c r="AA10" s="35">
        <f>(G10&lt;&gt;"")+(H10&lt;&gt;"")+(I10&lt;&gt;"")</f>
        <v/>
      </c>
      <c r="AB10" s="35">
        <f>IF(O10&lt;&gt;"",O10,IF(AA10&lt;3,"",IF(X10=1,Tage_nicht_beschaffbar,Tage_beschaffbar)))</f>
        <v/>
      </c>
      <c r="AC10" s="35">
        <f>IF(K10="","",K10*1000+W10*10+(1000-ROW())/100000)</f>
        <v/>
      </c>
    </row>
    <row r="11" ht="34" customHeight="1">
      <c r="A11" s="23">
        <f>IF(B11="","",COUNTA($B$9:B11))</f>
        <v/>
      </c>
      <c r="B11" s="24" t="inlineStr">
        <is>
          <t>Antriebe Rohrtrennung (Umrichter / CPU)</t>
        </is>
      </c>
      <c r="C11" s="25" t="n"/>
      <c r="D11" s="25" t="n"/>
      <c r="E11" s="25" t="n"/>
      <c r="F11" s="26" t="inlineStr">
        <is>
          <t>A</t>
        </is>
      </c>
      <c r="G11" s="26" t="inlineStr">
        <is>
          <t>ja</t>
        </is>
      </c>
      <c r="H11" s="26" t="inlineStr">
        <is>
          <t>nein</t>
        </is>
      </c>
      <c r="I11" s="26" t="inlineStr">
        <is>
          <t>nein</t>
        </is>
      </c>
      <c r="J11" s="23">
        <f>IF(AA11&lt;3,"",X11+Y11+Z11)</f>
        <v/>
      </c>
      <c r="K11" s="27">
        <f>IF(OR(J11="",W11=""),"",W11*J11)</f>
        <v/>
      </c>
      <c r="L11" s="28">
        <f>IF(K11="","",IF(K11&lt;=Gruen_bis,"grün",IF(K11&lt;=Gelb_bis,"gelb","rot")))</f>
        <v/>
      </c>
      <c r="M11" s="29">
        <f>IF(L11="",IF(B11="","","Bewertung unvollständig – ★-Felder ausfüllen"),IF(L11="grün","Keine aktive Maßnahme – jährlich prüfen",IF(AND(X11=1,Y11=1,Z11=1),"Sofort sichern: Restbestand / Gebrauchtteil kaufen und Ersatzlösung (Retrofit) planen",IF(AND(X11=1,Z11=1),"Reparaturweg absichern (Dienstleister, Tauschteil), Gebrauchtteil prüfen",IF(X11=1,"Abgekündigt: Lagerteil schützen, Ersatzlösung mittelfristig planen",IF(Z11=1,IF(LEFT(Q11,4)="nein","Bevorratung lohnt nicht – Lieferzeit und Reparaturweg absichern","Lagerbestand anlegen (mind. 1 Stk.)"),"Reparaturmöglichkeit klären"))))))</f>
        <v/>
      </c>
      <c r="N11" s="30" t="n"/>
      <c r="O11" s="31" t="n"/>
      <c r="P11" s="32">
        <f>IF(OR(AB11="",W11="",Z11=0),"",AB11*INDEX(Krit_Kosten,MATCH(F11,Krit_Liste,0)))</f>
        <v/>
      </c>
      <c r="Q11" s="33">
        <f>IF(L11="","",IF(L11="grün","–",IF(Z11=0,"am Lager / in stock",IF(N(N11)&lt;=0,"Stückpreis fehlt",IF(P11&gt;=Faktor_lohnt*N11,"ja – "&amp;FIXED(P11/N11,0)&amp;"-fach","nein – "&amp;FIXED(P11/N11,IF(P11/N11&lt;1,2,1))&amp;"-fach")))))</f>
        <v/>
      </c>
      <c r="R11" s="25" t="n"/>
      <c r="S11" s="34" t="n"/>
      <c r="T11" s="31" t="n"/>
      <c r="U11" s="25" t="inlineStr">
        <is>
          <t>Beispiel mit Foto – bitte überschreiben</t>
        </is>
      </c>
      <c r="V11" s="2" t="n"/>
      <c r="W11" s="35">
        <f>IFERROR(INDEX(Krit_Faktor,MATCH(F11,Krit_Liste,0)),"")</f>
        <v/>
      </c>
      <c r="X11" s="35">
        <f>IF(OR(G11="nein",G11="no"),1,0)</f>
        <v/>
      </c>
      <c r="Y11" s="35">
        <f>IF(OR(H11="nein",H11="no"),1,0)</f>
        <v/>
      </c>
      <c r="Z11" s="35">
        <f>IF(OR(I11="nein",I11="no"),1,0)</f>
        <v/>
      </c>
      <c r="AA11" s="35">
        <f>(G11&lt;&gt;"")+(H11&lt;&gt;"")+(I11&lt;&gt;"")</f>
        <v/>
      </c>
      <c r="AB11" s="35">
        <f>IF(O11&lt;&gt;"",O11,IF(AA11&lt;3,"",IF(X11=1,Tage_nicht_beschaffbar,Tage_beschaffbar)))</f>
        <v/>
      </c>
      <c r="AC11" s="35">
        <f>IF(K11="","",K11*1000+W11*10+(1000-ROW())/100000)</f>
        <v/>
      </c>
    </row>
    <row r="12" ht="34" customHeight="1">
      <c r="A12" s="23">
        <f>IF(B12="","",COUNTA($B$9:B12))</f>
        <v/>
      </c>
      <c r="B12" s="24" t="n"/>
      <c r="C12" s="25" t="n"/>
      <c r="D12" s="25" t="n"/>
      <c r="E12" s="25" t="n"/>
      <c r="F12" s="26" t="n"/>
      <c r="G12" s="26" t="n"/>
      <c r="H12" s="26" t="n"/>
      <c r="I12" s="26" t="n"/>
      <c r="J12" s="23">
        <f>IF(AA12&lt;3,"",X12+Y12+Z12)</f>
        <v/>
      </c>
      <c r="K12" s="27">
        <f>IF(OR(J12="",W12=""),"",W12*J12)</f>
        <v/>
      </c>
      <c r="L12" s="28">
        <f>IF(K12="","",IF(K12&lt;=Gruen_bis,"grün",IF(K12&lt;=Gelb_bis,"gelb","rot")))</f>
        <v/>
      </c>
      <c r="M12" s="29">
        <f>IF(L12="",IF(B12="","","Bewertung unvollständig – ★-Felder ausfüllen"),IF(L12="grün","Keine aktive Maßnahme – jährlich prüfen",IF(AND(X12=1,Y12=1,Z12=1),"Sofort sichern: Restbestand / Gebrauchtteil kaufen und Ersatzlösung (Retrofit) planen",IF(AND(X12=1,Z12=1),"Reparaturweg absichern (Dienstleister, Tauschteil), Gebrauchtteil prüfen",IF(X12=1,"Abgekündigt: Lagerteil schützen, Ersatzlösung mittelfristig planen",IF(Z12=1,IF(LEFT(Q12,4)="nein","Bevorratung lohnt nicht – Lieferzeit und Reparaturweg absichern","Lagerbestand anlegen (mind. 1 Stk.)"),"Reparaturmöglichkeit klären"))))))</f>
        <v/>
      </c>
      <c r="N12" s="30" t="n"/>
      <c r="O12" s="31" t="n"/>
      <c r="P12" s="32">
        <f>IF(OR(AB12="",W12="",Z12=0),"",AB12*INDEX(Krit_Kosten,MATCH(F12,Krit_Liste,0)))</f>
        <v/>
      </c>
      <c r="Q12" s="33">
        <f>IF(L12="","",IF(L12="grün","–",IF(Z12=0,"am Lager / in stock",IF(N(N12)&lt;=0,"Stückpreis fehlt",IF(P12&gt;=Faktor_lohnt*N12,"ja – "&amp;FIXED(P12/N12,0)&amp;"-fach","nein – "&amp;FIXED(P12/N12,IF(P12/N12&lt;1,2,1))&amp;"-fach")))))</f>
        <v/>
      </c>
      <c r="R12" s="25" t="n"/>
      <c r="S12" s="34" t="n"/>
      <c r="T12" s="31" t="n"/>
      <c r="U12" s="25" t="n"/>
      <c r="V12" s="2" t="n"/>
      <c r="W12" s="35">
        <f>IFERROR(INDEX(Krit_Faktor,MATCH(F12,Krit_Liste,0)),"")</f>
        <v/>
      </c>
      <c r="X12" s="35">
        <f>IF(OR(G12="nein",G12="no"),1,0)</f>
        <v/>
      </c>
      <c r="Y12" s="35">
        <f>IF(OR(H12="nein",H12="no"),1,0)</f>
        <v/>
      </c>
      <c r="Z12" s="35">
        <f>IF(OR(I12="nein",I12="no"),1,0)</f>
        <v/>
      </c>
      <c r="AA12" s="35">
        <f>(G12&lt;&gt;"")+(H12&lt;&gt;"")+(I12&lt;&gt;"")</f>
        <v/>
      </c>
      <c r="AB12" s="35">
        <f>IF(O12&lt;&gt;"",O12,IF(AA12&lt;3,"",IF(X12=1,Tage_nicht_beschaffbar,Tage_beschaffbar)))</f>
        <v/>
      </c>
      <c r="AC12" s="35">
        <f>IF(K12="","",K12*1000+W12*10+(1000-ROW())/100000)</f>
        <v/>
      </c>
    </row>
    <row r="13" ht="34" customHeight="1">
      <c r="A13" s="23">
        <f>IF(B13="","",COUNTA($B$9:B13))</f>
        <v/>
      </c>
      <c r="B13" s="24" t="n"/>
      <c r="C13" s="25" t="n"/>
      <c r="D13" s="25" t="n"/>
      <c r="E13" s="25" t="n"/>
      <c r="F13" s="26" t="n"/>
      <c r="G13" s="26" t="n"/>
      <c r="H13" s="26" t="n"/>
      <c r="I13" s="26" t="n"/>
      <c r="J13" s="23">
        <f>IF(AA13&lt;3,"",X13+Y13+Z13)</f>
        <v/>
      </c>
      <c r="K13" s="27">
        <f>IF(OR(J13="",W13=""),"",W13*J13)</f>
        <v/>
      </c>
      <c r="L13" s="28">
        <f>IF(K13="","",IF(K13&lt;=Gruen_bis,"grün",IF(K13&lt;=Gelb_bis,"gelb","rot")))</f>
        <v/>
      </c>
      <c r="M13" s="29">
        <f>IF(L13="",IF(B13="","","Bewertung unvollständig – ★-Felder ausfüllen"),IF(L13="grün","Keine aktive Maßnahme – jährlich prüfen",IF(AND(X13=1,Y13=1,Z13=1),"Sofort sichern: Restbestand / Gebrauchtteil kaufen und Ersatzlösung (Retrofit) planen",IF(AND(X13=1,Z13=1),"Reparaturweg absichern (Dienstleister, Tauschteil), Gebrauchtteil prüfen",IF(X13=1,"Abgekündigt: Lagerteil schützen, Ersatzlösung mittelfristig planen",IF(Z13=1,IF(LEFT(Q13,4)="nein","Bevorratung lohnt nicht – Lieferzeit und Reparaturweg absichern","Lagerbestand anlegen (mind. 1 Stk.)"),"Reparaturmöglichkeit klären"))))))</f>
        <v/>
      </c>
      <c r="N13" s="30" t="n"/>
      <c r="O13" s="31" t="n"/>
      <c r="P13" s="32">
        <f>IF(OR(AB13="",W13="",Z13=0),"",AB13*INDEX(Krit_Kosten,MATCH(F13,Krit_Liste,0)))</f>
        <v/>
      </c>
      <c r="Q13" s="33">
        <f>IF(L13="","",IF(L13="grün","–",IF(Z13=0,"am Lager / in stock",IF(N(N13)&lt;=0,"Stückpreis fehlt",IF(P13&gt;=Faktor_lohnt*N13,"ja – "&amp;FIXED(P13/N13,0)&amp;"-fach","nein – "&amp;FIXED(P13/N13,IF(P13/N13&lt;1,2,1))&amp;"-fach")))))</f>
        <v/>
      </c>
      <c r="R13" s="25" t="n"/>
      <c r="S13" s="34" t="n"/>
      <c r="T13" s="31" t="n"/>
      <c r="U13" s="25" t="n"/>
      <c r="V13" s="2" t="n"/>
      <c r="W13" s="35">
        <f>IFERROR(INDEX(Krit_Faktor,MATCH(F13,Krit_Liste,0)),"")</f>
        <v/>
      </c>
      <c r="X13" s="35">
        <f>IF(OR(G13="nein",G13="no"),1,0)</f>
        <v/>
      </c>
      <c r="Y13" s="35">
        <f>IF(OR(H13="nein",H13="no"),1,0)</f>
        <v/>
      </c>
      <c r="Z13" s="35">
        <f>IF(OR(I13="nein",I13="no"),1,0)</f>
        <v/>
      </c>
      <c r="AA13" s="35">
        <f>(G13&lt;&gt;"")+(H13&lt;&gt;"")+(I13&lt;&gt;"")</f>
        <v/>
      </c>
      <c r="AB13" s="35">
        <f>IF(O13&lt;&gt;"",O13,IF(AA13&lt;3,"",IF(X13=1,Tage_nicht_beschaffbar,Tage_beschaffbar)))</f>
        <v/>
      </c>
      <c r="AC13" s="35">
        <f>IF(K13="","",K13*1000+W13*10+(1000-ROW())/100000)</f>
        <v/>
      </c>
    </row>
    <row r="14" ht="34" customHeight="1">
      <c r="A14" s="23">
        <f>IF(B14="","",COUNTA($B$9:B14))</f>
        <v/>
      </c>
      <c r="B14" s="24" t="n"/>
      <c r="C14" s="25" t="n"/>
      <c r="D14" s="25" t="n"/>
      <c r="E14" s="25" t="n"/>
      <c r="F14" s="26" t="n"/>
      <c r="G14" s="26" t="n"/>
      <c r="H14" s="26" t="n"/>
      <c r="I14" s="26" t="n"/>
      <c r="J14" s="23">
        <f>IF(AA14&lt;3,"",X14+Y14+Z14)</f>
        <v/>
      </c>
      <c r="K14" s="27">
        <f>IF(OR(J14="",W14=""),"",W14*J14)</f>
        <v/>
      </c>
      <c r="L14" s="28">
        <f>IF(K14="","",IF(K14&lt;=Gruen_bis,"grün",IF(K14&lt;=Gelb_bis,"gelb","rot")))</f>
        <v/>
      </c>
      <c r="M14" s="29">
        <f>IF(L14="",IF(B14="","","Bewertung unvollständig – ★-Felder ausfüllen"),IF(L14="grün","Keine aktive Maßnahme – jährlich prüfen",IF(AND(X14=1,Y14=1,Z14=1),"Sofort sichern: Restbestand / Gebrauchtteil kaufen und Ersatzlösung (Retrofit) planen",IF(AND(X14=1,Z14=1),"Reparaturweg absichern (Dienstleister, Tauschteil), Gebrauchtteil prüfen",IF(X14=1,"Abgekündigt: Lagerteil schützen, Ersatzlösung mittelfristig planen",IF(Z14=1,IF(LEFT(Q14,4)="nein","Bevorratung lohnt nicht – Lieferzeit und Reparaturweg absichern","Lagerbestand anlegen (mind. 1 Stk.)"),"Reparaturmöglichkeit klären"))))))</f>
        <v/>
      </c>
      <c r="N14" s="30" t="n"/>
      <c r="O14" s="31" t="n"/>
      <c r="P14" s="32">
        <f>IF(OR(AB14="",W14="",Z14=0),"",AB14*INDEX(Krit_Kosten,MATCH(F14,Krit_Liste,0)))</f>
        <v/>
      </c>
      <c r="Q14" s="33">
        <f>IF(L14="","",IF(L14="grün","–",IF(Z14=0,"am Lager / in stock",IF(N(N14)&lt;=0,"Stückpreis fehlt",IF(P14&gt;=Faktor_lohnt*N14,"ja – "&amp;FIXED(P14/N14,0)&amp;"-fach","nein – "&amp;FIXED(P14/N14,IF(P14/N14&lt;1,2,1))&amp;"-fach")))))</f>
        <v/>
      </c>
      <c r="R14" s="25" t="n"/>
      <c r="S14" s="34" t="n"/>
      <c r="T14" s="31" t="n"/>
      <c r="U14" s="25" t="n"/>
      <c r="V14" s="2" t="n"/>
      <c r="W14" s="35">
        <f>IFERROR(INDEX(Krit_Faktor,MATCH(F14,Krit_Liste,0)),"")</f>
        <v/>
      </c>
      <c r="X14" s="35">
        <f>IF(OR(G14="nein",G14="no"),1,0)</f>
        <v/>
      </c>
      <c r="Y14" s="35">
        <f>IF(OR(H14="nein",H14="no"),1,0)</f>
        <v/>
      </c>
      <c r="Z14" s="35">
        <f>IF(OR(I14="nein",I14="no"),1,0)</f>
        <v/>
      </c>
      <c r="AA14" s="35">
        <f>(G14&lt;&gt;"")+(H14&lt;&gt;"")+(I14&lt;&gt;"")</f>
        <v/>
      </c>
      <c r="AB14" s="35">
        <f>IF(O14&lt;&gt;"",O14,IF(AA14&lt;3,"",IF(X14=1,Tage_nicht_beschaffbar,Tage_beschaffbar)))</f>
        <v/>
      </c>
      <c r="AC14" s="35">
        <f>IF(K14="","",K14*1000+W14*10+(1000-ROW())/100000)</f>
        <v/>
      </c>
    </row>
    <row r="15" ht="34" customHeight="1">
      <c r="A15" s="23">
        <f>IF(B15="","",COUNTA($B$9:B15))</f>
        <v/>
      </c>
      <c r="B15" s="24" t="n"/>
      <c r="C15" s="25" t="n"/>
      <c r="D15" s="25" t="n"/>
      <c r="E15" s="25" t="n"/>
      <c r="F15" s="26" t="n"/>
      <c r="G15" s="26" t="n"/>
      <c r="H15" s="26" t="n"/>
      <c r="I15" s="26" t="n"/>
      <c r="J15" s="23">
        <f>IF(AA15&lt;3,"",X15+Y15+Z15)</f>
        <v/>
      </c>
      <c r="K15" s="27">
        <f>IF(OR(J15="",W15=""),"",W15*J15)</f>
        <v/>
      </c>
      <c r="L15" s="28">
        <f>IF(K15="","",IF(K15&lt;=Gruen_bis,"grün",IF(K15&lt;=Gelb_bis,"gelb","rot")))</f>
        <v/>
      </c>
      <c r="M15" s="29">
        <f>IF(L15="",IF(B15="","","Bewertung unvollständig – ★-Felder ausfüllen"),IF(L15="grün","Keine aktive Maßnahme – jährlich prüfen",IF(AND(X15=1,Y15=1,Z15=1),"Sofort sichern: Restbestand / Gebrauchtteil kaufen und Ersatzlösung (Retrofit) planen",IF(AND(X15=1,Z15=1),"Reparaturweg absichern (Dienstleister, Tauschteil), Gebrauchtteil prüfen",IF(X15=1,"Abgekündigt: Lagerteil schützen, Ersatzlösung mittelfristig planen",IF(Z15=1,IF(LEFT(Q15,4)="nein","Bevorratung lohnt nicht – Lieferzeit und Reparaturweg absichern","Lagerbestand anlegen (mind. 1 Stk.)"),"Reparaturmöglichkeit klären"))))))</f>
        <v/>
      </c>
      <c r="N15" s="30" t="n"/>
      <c r="O15" s="31" t="n"/>
      <c r="P15" s="32">
        <f>IF(OR(AB15="",W15="",Z15=0),"",AB15*INDEX(Krit_Kosten,MATCH(F15,Krit_Liste,0)))</f>
        <v/>
      </c>
      <c r="Q15" s="33">
        <f>IF(L15="","",IF(L15="grün","–",IF(Z15=0,"am Lager / in stock",IF(N(N15)&lt;=0,"Stückpreis fehlt",IF(P15&gt;=Faktor_lohnt*N15,"ja – "&amp;FIXED(P15/N15,0)&amp;"-fach","nein – "&amp;FIXED(P15/N15,IF(P15/N15&lt;1,2,1))&amp;"-fach")))))</f>
        <v/>
      </c>
      <c r="R15" s="25" t="n"/>
      <c r="S15" s="34" t="n"/>
      <c r="T15" s="31" t="n"/>
      <c r="U15" s="25" t="n"/>
      <c r="V15" s="2" t="n"/>
      <c r="W15" s="35">
        <f>IFERROR(INDEX(Krit_Faktor,MATCH(F15,Krit_Liste,0)),"")</f>
        <v/>
      </c>
      <c r="X15" s="35">
        <f>IF(OR(G15="nein",G15="no"),1,0)</f>
        <v/>
      </c>
      <c r="Y15" s="35">
        <f>IF(OR(H15="nein",H15="no"),1,0)</f>
        <v/>
      </c>
      <c r="Z15" s="35">
        <f>IF(OR(I15="nein",I15="no"),1,0)</f>
        <v/>
      </c>
      <c r="AA15" s="35">
        <f>(G15&lt;&gt;"")+(H15&lt;&gt;"")+(I15&lt;&gt;"")</f>
        <v/>
      </c>
      <c r="AB15" s="35">
        <f>IF(O15&lt;&gt;"",O15,IF(AA15&lt;3,"",IF(X15=1,Tage_nicht_beschaffbar,Tage_beschaffbar)))</f>
        <v/>
      </c>
      <c r="AC15" s="35">
        <f>IF(K15="","",K15*1000+W15*10+(1000-ROW())/100000)</f>
        <v/>
      </c>
    </row>
    <row r="16" ht="34" customHeight="1">
      <c r="A16" s="23">
        <f>IF(B16="","",COUNTA($B$9:B16))</f>
        <v/>
      </c>
      <c r="B16" s="24" t="n"/>
      <c r="C16" s="25" t="n"/>
      <c r="D16" s="25" t="n"/>
      <c r="E16" s="25" t="n"/>
      <c r="F16" s="26" t="n"/>
      <c r="G16" s="26" t="n"/>
      <c r="H16" s="26" t="n"/>
      <c r="I16" s="26" t="n"/>
      <c r="J16" s="23">
        <f>IF(AA16&lt;3,"",X16+Y16+Z16)</f>
        <v/>
      </c>
      <c r="K16" s="27">
        <f>IF(OR(J16="",W16=""),"",W16*J16)</f>
        <v/>
      </c>
      <c r="L16" s="28">
        <f>IF(K16="","",IF(K16&lt;=Gruen_bis,"grün",IF(K16&lt;=Gelb_bis,"gelb","rot")))</f>
        <v/>
      </c>
      <c r="M16" s="29">
        <f>IF(L16="",IF(B16="","","Bewertung unvollständig – ★-Felder ausfüllen"),IF(L16="grün","Keine aktive Maßnahme – jährlich prüfen",IF(AND(X16=1,Y16=1,Z16=1),"Sofort sichern: Restbestand / Gebrauchtteil kaufen und Ersatzlösung (Retrofit) planen",IF(AND(X16=1,Z16=1),"Reparaturweg absichern (Dienstleister, Tauschteil), Gebrauchtteil prüfen",IF(X16=1,"Abgekündigt: Lagerteil schützen, Ersatzlösung mittelfristig planen",IF(Z16=1,IF(LEFT(Q16,4)="nein","Bevorratung lohnt nicht – Lieferzeit und Reparaturweg absichern","Lagerbestand anlegen (mind. 1 Stk.)"),"Reparaturmöglichkeit klären"))))))</f>
        <v/>
      </c>
      <c r="N16" s="30" t="n"/>
      <c r="O16" s="31" t="n"/>
      <c r="P16" s="32">
        <f>IF(OR(AB16="",W16="",Z16=0),"",AB16*INDEX(Krit_Kosten,MATCH(F16,Krit_Liste,0)))</f>
        <v/>
      </c>
      <c r="Q16" s="33">
        <f>IF(L16="","",IF(L16="grün","–",IF(Z16=0,"am Lager / in stock",IF(N(N16)&lt;=0,"Stückpreis fehlt",IF(P16&gt;=Faktor_lohnt*N16,"ja – "&amp;FIXED(P16/N16,0)&amp;"-fach","nein – "&amp;FIXED(P16/N16,IF(P16/N16&lt;1,2,1))&amp;"-fach")))))</f>
        <v/>
      </c>
      <c r="R16" s="25" t="n"/>
      <c r="S16" s="34" t="n"/>
      <c r="T16" s="31" t="n"/>
      <c r="U16" s="25" t="n"/>
      <c r="V16" s="2" t="n"/>
      <c r="W16" s="35">
        <f>IFERROR(INDEX(Krit_Faktor,MATCH(F16,Krit_Liste,0)),"")</f>
        <v/>
      </c>
      <c r="X16" s="35">
        <f>IF(OR(G16="nein",G16="no"),1,0)</f>
        <v/>
      </c>
      <c r="Y16" s="35">
        <f>IF(OR(H16="nein",H16="no"),1,0)</f>
        <v/>
      </c>
      <c r="Z16" s="35">
        <f>IF(OR(I16="nein",I16="no"),1,0)</f>
        <v/>
      </c>
      <c r="AA16" s="35">
        <f>(G16&lt;&gt;"")+(H16&lt;&gt;"")+(I16&lt;&gt;"")</f>
        <v/>
      </c>
      <c r="AB16" s="35">
        <f>IF(O16&lt;&gt;"",O16,IF(AA16&lt;3,"",IF(X16=1,Tage_nicht_beschaffbar,Tage_beschaffbar)))</f>
        <v/>
      </c>
      <c r="AC16" s="35">
        <f>IF(K16="","",K16*1000+W16*10+(1000-ROW())/100000)</f>
        <v/>
      </c>
    </row>
    <row r="17" ht="34" customHeight="1">
      <c r="A17" s="23">
        <f>IF(B17="","",COUNTA($B$9:B17))</f>
        <v/>
      </c>
      <c r="B17" s="24" t="n"/>
      <c r="C17" s="25" t="n"/>
      <c r="D17" s="25" t="n"/>
      <c r="E17" s="25" t="n"/>
      <c r="F17" s="26" t="n"/>
      <c r="G17" s="26" t="n"/>
      <c r="H17" s="26" t="n"/>
      <c r="I17" s="26" t="n"/>
      <c r="J17" s="23">
        <f>IF(AA17&lt;3,"",X17+Y17+Z17)</f>
        <v/>
      </c>
      <c r="K17" s="27">
        <f>IF(OR(J17="",W17=""),"",W17*J17)</f>
        <v/>
      </c>
      <c r="L17" s="28">
        <f>IF(K17="","",IF(K17&lt;=Gruen_bis,"grün",IF(K17&lt;=Gelb_bis,"gelb","rot")))</f>
        <v/>
      </c>
      <c r="M17" s="29">
        <f>IF(L17="",IF(B17="","","Bewertung unvollständig – ★-Felder ausfüllen"),IF(L17="grün","Keine aktive Maßnahme – jährlich prüfen",IF(AND(X17=1,Y17=1,Z17=1),"Sofort sichern: Restbestand / Gebrauchtteil kaufen und Ersatzlösung (Retrofit) planen",IF(AND(X17=1,Z17=1),"Reparaturweg absichern (Dienstleister, Tauschteil), Gebrauchtteil prüfen",IF(X17=1,"Abgekündigt: Lagerteil schützen, Ersatzlösung mittelfristig planen",IF(Z17=1,IF(LEFT(Q17,4)="nein","Bevorratung lohnt nicht – Lieferzeit und Reparaturweg absichern","Lagerbestand anlegen (mind. 1 Stk.)"),"Reparaturmöglichkeit klären"))))))</f>
        <v/>
      </c>
      <c r="N17" s="30" t="n"/>
      <c r="O17" s="31" t="n"/>
      <c r="P17" s="32">
        <f>IF(OR(AB17="",W17="",Z17=0),"",AB17*INDEX(Krit_Kosten,MATCH(F17,Krit_Liste,0)))</f>
        <v/>
      </c>
      <c r="Q17" s="33">
        <f>IF(L17="","",IF(L17="grün","–",IF(Z17=0,"am Lager / in stock",IF(N(N17)&lt;=0,"Stückpreis fehlt",IF(P17&gt;=Faktor_lohnt*N17,"ja – "&amp;FIXED(P17/N17,0)&amp;"-fach","nein – "&amp;FIXED(P17/N17,IF(P17/N17&lt;1,2,1))&amp;"-fach")))))</f>
        <v/>
      </c>
      <c r="R17" s="25" t="n"/>
      <c r="S17" s="34" t="n"/>
      <c r="T17" s="31" t="n"/>
      <c r="U17" s="25" t="n"/>
      <c r="V17" s="2" t="n"/>
      <c r="W17" s="35">
        <f>IFERROR(INDEX(Krit_Faktor,MATCH(F17,Krit_Liste,0)),"")</f>
        <v/>
      </c>
      <c r="X17" s="35">
        <f>IF(OR(G17="nein",G17="no"),1,0)</f>
        <v/>
      </c>
      <c r="Y17" s="35">
        <f>IF(OR(H17="nein",H17="no"),1,0)</f>
        <v/>
      </c>
      <c r="Z17" s="35">
        <f>IF(OR(I17="nein",I17="no"),1,0)</f>
        <v/>
      </c>
      <c r="AA17" s="35">
        <f>(G17&lt;&gt;"")+(H17&lt;&gt;"")+(I17&lt;&gt;"")</f>
        <v/>
      </c>
      <c r="AB17" s="35">
        <f>IF(O17&lt;&gt;"",O17,IF(AA17&lt;3,"",IF(X17=1,Tage_nicht_beschaffbar,Tage_beschaffbar)))</f>
        <v/>
      </c>
      <c r="AC17" s="35">
        <f>IF(K17="","",K17*1000+W17*10+(1000-ROW())/100000)</f>
        <v/>
      </c>
    </row>
    <row r="18" ht="34" customHeight="1">
      <c r="A18" s="23">
        <f>IF(B18="","",COUNTA($B$9:B18))</f>
        <v/>
      </c>
      <c r="B18" s="24" t="n"/>
      <c r="C18" s="25" t="n"/>
      <c r="D18" s="25" t="n"/>
      <c r="E18" s="25" t="n"/>
      <c r="F18" s="26" t="n"/>
      <c r="G18" s="26" t="n"/>
      <c r="H18" s="26" t="n"/>
      <c r="I18" s="26" t="n"/>
      <c r="J18" s="23">
        <f>IF(AA18&lt;3,"",X18+Y18+Z18)</f>
        <v/>
      </c>
      <c r="K18" s="27">
        <f>IF(OR(J18="",W18=""),"",W18*J18)</f>
        <v/>
      </c>
      <c r="L18" s="28">
        <f>IF(K18="","",IF(K18&lt;=Gruen_bis,"grün",IF(K18&lt;=Gelb_bis,"gelb","rot")))</f>
        <v/>
      </c>
      <c r="M18" s="29">
        <f>IF(L18="",IF(B18="","","Bewertung unvollständig – ★-Felder ausfüllen"),IF(L18="grün","Keine aktive Maßnahme – jährlich prüfen",IF(AND(X18=1,Y18=1,Z18=1),"Sofort sichern: Restbestand / Gebrauchtteil kaufen und Ersatzlösung (Retrofit) planen",IF(AND(X18=1,Z18=1),"Reparaturweg absichern (Dienstleister, Tauschteil), Gebrauchtteil prüfen",IF(X18=1,"Abgekündigt: Lagerteil schützen, Ersatzlösung mittelfristig planen",IF(Z18=1,IF(LEFT(Q18,4)="nein","Bevorratung lohnt nicht – Lieferzeit und Reparaturweg absichern","Lagerbestand anlegen (mind. 1 Stk.)"),"Reparaturmöglichkeit klären"))))))</f>
        <v/>
      </c>
      <c r="N18" s="30" t="n"/>
      <c r="O18" s="31" t="n"/>
      <c r="P18" s="32">
        <f>IF(OR(AB18="",W18="",Z18=0),"",AB18*INDEX(Krit_Kosten,MATCH(F18,Krit_Liste,0)))</f>
        <v/>
      </c>
      <c r="Q18" s="33">
        <f>IF(L18="","",IF(L18="grün","–",IF(Z18=0,"am Lager / in stock",IF(N(N18)&lt;=0,"Stückpreis fehlt",IF(P18&gt;=Faktor_lohnt*N18,"ja – "&amp;FIXED(P18/N18,0)&amp;"-fach","nein – "&amp;FIXED(P18/N18,IF(P18/N18&lt;1,2,1))&amp;"-fach")))))</f>
        <v/>
      </c>
      <c r="R18" s="25" t="n"/>
      <c r="S18" s="34" t="n"/>
      <c r="T18" s="31" t="n"/>
      <c r="U18" s="25" t="n"/>
      <c r="V18" s="2" t="n"/>
      <c r="W18" s="35">
        <f>IFERROR(INDEX(Krit_Faktor,MATCH(F18,Krit_Liste,0)),"")</f>
        <v/>
      </c>
      <c r="X18" s="35">
        <f>IF(OR(G18="nein",G18="no"),1,0)</f>
        <v/>
      </c>
      <c r="Y18" s="35">
        <f>IF(OR(H18="nein",H18="no"),1,0)</f>
        <v/>
      </c>
      <c r="Z18" s="35">
        <f>IF(OR(I18="nein",I18="no"),1,0)</f>
        <v/>
      </c>
      <c r="AA18" s="35">
        <f>(G18&lt;&gt;"")+(H18&lt;&gt;"")+(I18&lt;&gt;"")</f>
        <v/>
      </c>
      <c r="AB18" s="35">
        <f>IF(O18&lt;&gt;"",O18,IF(AA18&lt;3,"",IF(X18=1,Tage_nicht_beschaffbar,Tage_beschaffbar)))</f>
        <v/>
      </c>
      <c r="AC18" s="35">
        <f>IF(K18="","",K18*1000+W18*10+(1000-ROW())/100000)</f>
        <v/>
      </c>
    </row>
    <row r="19" ht="34" customHeight="1">
      <c r="A19" s="23">
        <f>IF(B19="","",COUNTA($B$9:B19))</f>
        <v/>
      </c>
      <c r="B19" s="24" t="n"/>
      <c r="C19" s="25" t="n"/>
      <c r="D19" s="25" t="n"/>
      <c r="E19" s="25" t="n"/>
      <c r="F19" s="26" t="n"/>
      <c r="G19" s="26" t="n"/>
      <c r="H19" s="26" t="n"/>
      <c r="I19" s="26" t="n"/>
      <c r="J19" s="23">
        <f>IF(AA19&lt;3,"",X19+Y19+Z19)</f>
        <v/>
      </c>
      <c r="K19" s="27">
        <f>IF(OR(J19="",W19=""),"",W19*J19)</f>
        <v/>
      </c>
      <c r="L19" s="28">
        <f>IF(K19="","",IF(K19&lt;=Gruen_bis,"grün",IF(K19&lt;=Gelb_bis,"gelb","rot")))</f>
        <v/>
      </c>
      <c r="M19" s="29">
        <f>IF(L19="",IF(B19="","","Bewertung unvollständig – ★-Felder ausfüllen"),IF(L19="grün","Keine aktive Maßnahme – jährlich prüfen",IF(AND(X19=1,Y19=1,Z19=1),"Sofort sichern: Restbestand / Gebrauchtteil kaufen und Ersatzlösung (Retrofit) planen",IF(AND(X19=1,Z19=1),"Reparaturweg absichern (Dienstleister, Tauschteil), Gebrauchtteil prüfen",IF(X19=1,"Abgekündigt: Lagerteil schützen, Ersatzlösung mittelfristig planen",IF(Z19=1,IF(LEFT(Q19,4)="nein","Bevorratung lohnt nicht – Lieferzeit und Reparaturweg absichern","Lagerbestand anlegen (mind. 1 Stk.)"),"Reparaturmöglichkeit klären"))))))</f>
        <v/>
      </c>
      <c r="N19" s="30" t="n"/>
      <c r="O19" s="31" t="n"/>
      <c r="P19" s="32">
        <f>IF(OR(AB19="",W19="",Z19=0),"",AB19*INDEX(Krit_Kosten,MATCH(F19,Krit_Liste,0)))</f>
        <v/>
      </c>
      <c r="Q19" s="33">
        <f>IF(L19="","",IF(L19="grün","–",IF(Z19=0,"am Lager / in stock",IF(N(N19)&lt;=0,"Stückpreis fehlt",IF(P19&gt;=Faktor_lohnt*N19,"ja – "&amp;FIXED(P19/N19,0)&amp;"-fach","nein – "&amp;FIXED(P19/N19,IF(P19/N19&lt;1,2,1))&amp;"-fach")))))</f>
        <v/>
      </c>
      <c r="R19" s="25" t="n"/>
      <c r="S19" s="34" t="n"/>
      <c r="T19" s="31" t="n"/>
      <c r="U19" s="25" t="n"/>
      <c r="V19" s="2" t="n"/>
      <c r="W19" s="35">
        <f>IFERROR(INDEX(Krit_Faktor,MATCH(F19,Krit_Liste,0)),"")</f>
        <v/>
      </c>
      <c r="X19" s="35">
        <f>IF(OR(G19="nein",G19="no"),1,0)</f>
        <v/>
      </c>
      <c r="Y19" s="35">
        <f>IF(OR(H19="nein",H19="no"),1,0)</f>
        <v/>
      </c>
      <c r="Z19" s="35">
        <f>IF(OR(I19="nein",I19="no"),1,0)</f>
        <v/>
      </c>
      <c r="AA19" s="35">
        <f>(G19&lt;&gt;"")+(H19&lt;&gt;"")+(I19&lt;&gt;"")</f>
        <v/>
      </c>
      <c r="AB19" s="35">
        <f>IF(O19&lt;&gt;"",O19,IF(AA19&lt;3,"",IF(X19=1,Tage_nicht_beschaffbar,Tage_beschaffbar)))</f>
        <v/>
      </c>
      <c r="AC19" s="35">
        <f>IF(K19="","",K19*1000+W19*10+(1000-ROW())/100000)</f>
        <v/>
      </c>
    </row>
    <row r="20" ht="34" customHeight="1">
      <c r="A20" s="23">
        <f>IF(B20="","",COUNTA($B$9:B20))</f>
        <v/>
      </c>
      <c r="B20" s="24" t="n"/>
      <c r="C20" s="25" t="n"/>
      <c r="D20" s="25" t="n"/>
      <c r="E20" s="25" t="n"/>
      <c r="F20" s="26" t="n"/>
      <c r="G20" s="26" t="n"/>
      <c r="H20" s="26" t="n"/>
      <c r="I20" s="26" t="n"/>
      <c r="J20" s="23">
        <f>IF(AA20&lt;3,"",X20+Y20+Z20)</f>
        <v/>
      </c>
      <c r="K20" s="27">
        <f>IF(OR(J20="",W20=""),"",W20*J20)</f>
        <v/>
      </c>
      <c r="L20" s="28">
        <f>IF(K20="","",IF(K20&lt;=Gruen_bis,"grün",IF(K20&lt;=Gelb_bis,"gelb","rot")))</f>
        <v/>
      </c>
      <c r="M20" s="29">
        <f>IF(L20="",IF(B20="","","Bewertung unvollständig – ★-Felder ausfüllen"),IF(L20="grün","Keine aktive Maßnahme – jährlich prüfen",IF(AND(X20=1,Y20=1,Z20=1),"Sofort sichern: Restbestand / Gebrauchtteil kaufen und Ersatzlösung (Retrofit) planen",IF(AND(X20=1,Z20=1),"Reparaturweg absichern (Dienstleister, Tauschteil), Gebrauchtteil prüfen",IF(X20=1,"Abgekündigt: Lagerteil schützen, Ersatzlösung mittelfristig planen",IF(Z20=1,IF(LEFT(Q20,4)="nein","Bevorratung lohnt nicht – Lieferzeit und Reparaturweg absichern","Lagerbestand anlegen (mind. 1 Stk.)"),"Reparaturmöglichkeit klären"))))))</f>
        <v/>
      </c>
      <c r="N20" s="30" t="n"/>
      <c r="O20" s="31" t="n"/>
      <c r="P20" s="32">
        <f>IF(OR(AB20="",W20="",Z20=0),"",AB20*INDEX(Krit_Kosten,MATCH(F20,Krit_Liste,0)))</f>
        <v/>
      </c>
      <c r="Q20" s="33">
        <f>IF(L20="","",IF(L20="grün","–",IF(Z20=0,"am Lager / in stock",IF(N(N20)&lt;=0,"Stückpreis fehlt",IF(P20&gt;=Faktor_lohnt*N20,"ja – "&amp;FIXED(P20/N20,0)&amp;"-fach","nein – "&amp;FIXED(P20/N20,IF(P20/N20&lt;1,2,1))&amp;"-fach")))))</f>
        <v/>
      </c>
      <c r="R20" s="25" t="n"/>
      <c r="S20" s="34" t="n"/>
      <c r="T20" s="31" t="n"/>
      <c r="U20" s="25" t="n"/>
      <c r="V20" s="2" t="n"/>
      <c r="W20" s="35">
        <f>IFERROR(INDEX(Krit_Faktor,MATCH(F20,Krit_Liste,0)),"")</f>
        <v/>
      </c>
      <c r="X20" s="35">
        <f>IF(OR(G20="nein",G20="no"),1,0)</f>
        <v/>
      </c>
      <c r="Y20" s="35">
        <f>IF(OR(H20="nein",H20="no"),1,0)</f>
        <v/>
      </c>
      <c r="Z20" s="35">
        <f>IF(OR(I20="nein",I20="no"),1,0)</f>
        <v/>
      </c>
      <c r="AA20" s="35">
        <f>(G20&lt;&gt;"")+(H20&lt;&gt;"")+(I20&lt;&gt;"")</f>
        <v/>
      </c>
      <c r="AB20" s="35">
        <f>IF(O20&lt;&gt;"",O20,IF(AA20&lt;3,"",IF(X20=1,Tage_nicht_beschaffbar,Tage_beschaffbar)))</f>
        <v/>
      </c>
      <c r="AC20" s="35">
        <f>IF(K20="","",K20*1000+W20*10+(1000-ROW())/100000)</f>
        <v/>
      </c>
    </row>
    <row r="21" ht="34" customHeight="1">
      <c r="A21" s="23">
        <f>IF(B21="","",COUNTA($B$9:B21))</f>
        <v/>
      </c>
      <c r="B21" s="24" t="n"/>
      <c r="C21" s="25" t="n"/>
      <c r="D21" s="25" t="n"/>
      <c r="E21" s="25" t="n"/>
      <c r="F21" s="26" t="n"/>
      <c r="G21" s="26" t="n"/>
      <c r="H21" s="26" t="n"/>
      <c r="I21" s="26" t="n"/>
      <c r="J21" s="23">
        <f>IF(AA21&lt;3,"",X21+Y21+Z21)</f>
        <v/>
      </c>
      <c r="K21" s="27">
        <f>IF(OR(J21="",W21=""),"",W21*J21)</f>
        <v/>
      </c>
      <c r="L21" s="28">
        <f>IF(K21="","",IF(K21&lt;=Gruen_bis,"grün",IF(K21&lt;=Gelb_bis,"gelb","rot")))</f>
        <v/>
      </c>
      <c r="M21" s="29">
        <f>IF(L21="",IF(B21="","","Bewertung unvollständig – ★-Felder ausfüllen"),IF(L21="grün","Keine aktive Maßnahme – jährlich prüfen",IF(AND(X21=1,Y21=1,Z21=1),"Sofort sichern: Restbestand / Gebrauchtteil kaufen und Ersatzlösung (Retrofit) planen",IF(AND(X21=1,Z21=1),"Reparaturweg absichern (Dienstleister, Tauschteil), Gebrauchtteil prüfen",IF(X21=1,"Abgekündigt: Lagerteil schützen, Ersatzlösung mittelfristig planen",IF(Z21=1,IF(LEFT(Q21,4)="nein","Bevorratung lohnt nicht – Lieferzeit und Reparaturweg absichern","Lagerbestand anlegen (mind. 1 Stk.)"),"Reparaturmöglichkeit klären"))))))</f>
        <v/>
      </c>
      <c r="N21" s="30" t="n"/>
      <c r="O21" s="31" t="n"/>
      <c r="P21" s="32">
        <f>IF(OR(AB21="",W21="",Z21=0),"",AB21*INDEX(Krit_Kosten,MATCH(F21,Krit_Liste,0)))</f>
        <v/>
      </c>
      <c r="Q21" s="33">
        <f>IF(L21="","",IF(L21="grün","–",IF(Z21=0,"am Lager / in stock",IF(N(N21)&lt;=0,"Stückpreis fehlt",IF(P21&gt;=Faktor_lohnt*N21,"ja – "&amp;FIXED(P21/N21,0)&amp;"-fach","nein – "&amp;FIXED(P21/N21,IF(P21/N21&lt;1,2,1))&amp;"-fach")))))</f>
        <v/>
      </c>
      <c r="R21" s="25" t="n"/>
      <c r="S21" s="34" t="n"/>
      <c r="T21" s="31" t="n"/>
      <c r="U21" s="25" t="n"/>
      <c r="V21" s="2" t="n"/>
      <c r="W21" s="35">
        <f>IFERROR(INDEX(Krit_Faktor,MATCH(F21,Krit_Liste,0)),"")</f>
        <v/>
      </c>
      <c r="X21" s="35">
        <f>IF(OR(G21="nein",G21="no"),1,0)</f>
        <v/>
      </c>
      <c r="Y21" s="35">
        <f>IF(OR(H21="nein",H21="no"),1,0)</f>
        <v/>
      </c>
      <c r="Z21" s="35">
        <f>IF(OR(I21="nein",I21="no"),1,0)</f>
        <v/>
      </c>
      <c r="AA21" s="35">
        <f>(G21&lt;&gt;"")+(H21&lt;&gt;"")+(I21&lt;&gt;"")</f>
        <v/>
      </c>
      <c r="AB21" s="35">
        <f>IF(O21&lt;&gt;"",O21,IF(AA21&lt;3,"",IF(X21=1,Tage_nicht_beschaffbar,Tage_beschaffbar)))</f>
        <v/>
      </c>
      <c r="AC21" s="35">
        <f>IF(K21="","",K21*1000+W21*10+(1000-ROW())/100000)</f>
        <v/>
      </c>
    </row>
    <row r="22" ht="34" customHeight="1">
      <c r="A22" s="23">
        <f>IF(B22="","",COUNTA($B$9:B22))</f>
        <v/>
      </c>
      <c r="B22" s="24" t="n"/>
      <c r="C22" s="25" t="n"/>
      <c r="D22" s="25" t="n"/>
      <c r="E22" s="25" t="n"/>
      <c r="F22" s="26" t="n"/>
      <c r="G22" s="26" t="n"/>
      <c r="H22" s="26" t="n"/>
      <c r="I22" s="26" t="n"/>
      <c r="J22" s="23">
        <f>IF(AA22&lt;3,"",X22+Y22+Z22)</f>
        <v/>
      </c>
      <c r="K22" s="27">
        <f>IF(OR(J22="",W22=""),"",W22*J22)</f>
        <v/>
      </c>
      <c r="L22" s="28">
        <f>IF(K22="","",IF(K22&lt;=Gruen_bis,"grün",IF(K22&lt;=Gelb_bis,"gelb","rot")))</f>
        <v/>
      </c>
      <c r="M22" s="29">
        <f>IF(L22="",IF(B22="","","Bewertung unvollständig – ★-Felder ausfüllen"),IF(L22="grün","Keine aktive Maßnahme – jährlich prüfen",IF(AND(X22=1,Y22=1,Z22=1),"Sofort sichern: Restbestand / Gebrauchtteil kaufen und Ersatzlösung (Retrofit) planen",IF(AND(X22=1,Z22=1),"Reparaturweg absichern (Dienstleister, Tauschteil), Gebrauchtteil prüfen",IF(X22=1,"Abgekündigt: Lagerteil schützen, Ersatzlösung mittelfristig planen",IF(Z22=1,IF(LEFT(Q22,4)="nein","Bevorratung lohnt nicht – Lieferzeit und Reparaturweg absichern","Lagerbestand anlegen (mind. 1 Stk.)"),"Reparaturmöglichkeit klären"))))))</f>
        <v/>
      </c>
      <c r="N22" s="30" t="n"/>
      <c r="O22" s="31" t="n"/>
      <c r="P22" s="32">
        <f>IF(OR(AB22="",W22="",Z22=0),"",AB22*INDEX(Krit_Kosten,MATCH(F22,Krit_Liste,0)))</f>
        <v/>
      </c>
      <c r="Q22" s="33">
        <f>IF(L22="","",IF(L22="grün","–",IF(Z22=0,"am Lager / in stock",IF(N(N22)&lt;=0,"Stückpreis fehlt",IF(P22&gt;=Faktor_lohnt*N22,"ja – "&amp;FIXED(P22/N22,0)&amp;"-fach","nein – "&amp;FIXED(P22/N22,IF(P22/N22&lt;1,2,1))&amp;"-fach")))))</f>
        <v/>
      </c>
      <c r="R22" s="25" t="n"/>
      <c r="S22" s="34" t="n"/>
      <c r="T22" s="31" t="n"/>
      <c r="U22" s="25" t="n"/>
      <c r="V22" s="2" t="n"/>
      <c r="W22" s="35">
        <f>IFERROR(INDEX(Krit_Faktor,MATCH(F22,Krit_Liste,0)),"")</f>
        <v/>
      </c>
      <c r="X22" s="35">
        <f>IF(OR(G22="nein",G22="no"),1,0)</f>
        <v/>
      </c>
      <c r="Y22" s="35">
        <f>IF(OR(H22="nein",H22="no"),1,0)</f>
        <v/>
      </c>
      <c r="Z22" s="35">
        <f>IF(OR(I22="nein",I22="no"),1,0)</f>
        <v/>
      </c>
      <c r="AA22" s="35">
        <f>(G22&lt;&gt;"")+(H22&lt;&gt;"")+(I22&lt;&gt;"")</f>
        <v/>
      </c>
      <c r="AB22" s="35">
        <f>IF(O22&lt;&gt;"",O22,IF(AA22&lt;3,"",IF(X22=1,Tage_nicht_beschaffbar,Tage_beschaffbar)))</f>
        <v/>
      </c>
      <c r="AC22" s="35">
        <f>IF(K22="","",K22*1000+W22*10+(1000-ROW())/100000)</f>
        <v/>
      </c>
    </row>
    <row r="23" ht="34" customHeight="1">
      <c r="A23" s="23">
        <f>IF(B23="","",COUNTA($B$9:B23))</f>
        <v/>
      </c>
      <c r="B23" s="24" t="n"/>
      <c r="C23" s="25" t="n"/>
      <c r="D23" s="25" t="n"/>
      <c r="E23" s="25" t="n"/>
      <c r="F23" s="26" t="n"/>
      <c r="G23" s="26" t="n"/>
      <c r="H23" s="26" t="n"/>
      <c r="I23" s="26" t="n"/>
      <c r="J23" s="23">
        <f>IF(AA23&lt;3,"",X23+Y23+Z23)</f>
        <v/>
      </c>
      <c r="K23" s="27">
        <f>IF(OR(J23="",W23=""),"",W23*J23)</f>
        <v/>
      </c>
      <c r="L23" s="28">
        <f>IF(K23="","",IF(K23&lt;=Gruen_bis,"grün",IF(K23&lt;=Gelb_bis,"gelb","rot")))</f>
        <v/>
      </c>
      <c r="M23" s="29">
        <f>IF(L23="",IF(B23="","","Bewertung unvollständig – ★-Felder ausfüllen"),IF(L23="grün","Keine aktive Maßnahme – jährlich prüfen",IF(AND(X23=1,Y23=1,Z23=1),"Sofort sichern: Restbestand / Gebrauchtteil kaufen und Ersatzlösung (Retrofit) planen",IF(AND(X23=1,Z23=1),"Reparaturweg absichern (Dienstleister, Tauschteil), Gebrauchtteil prüfen",IF(X23=1,"Abgekündigt: Lagerteil schützen, Ersatzlösung mittelfristig planen",IF(Z23=1,IF(LEFT(Q23,4)="nein","Bevorratung lohnt nicht – Lieferzeit und Reparaturweg absichern","Lagerbestand anlegen (mind. 1 Stk.)"),"Reparaturmöglichkeit klären"))))))</f>
        <v/>
      </c>
      <c r="N23" s="30" t="n"/>
      <c r="O23" s="31" t="n"/>
      <c r="P23" s="32">
        <f>IF(OR(AB23="",W23="",Z23=0),"",AB23*INDEX(Krit_Kosten,MATCH(F23,Krit_Liste,0)))</f>
        <v/>
      </c>
      <c r="Q23" s="33">
        <f>IF(L23="","",IF(L23="grün","–",IF(Z23=0,"am Lager / in stock",IF(N(N23)&lt;=0,"Stückpreis fehlt",IF(P23&gt;=Faktor_lohnt*N23,"ja – "&amp;FIXED(P23/N23,0)&amp;"-fach","nein – "&amp;FIXED(P23/N23,IF(P23/N23&lt;1,2,1))&amp;"-fach")))))</f>
        <v/>
      </c>
      <c r="R23" s="25" t="n"/>
      <c r="S23" s="34" t="n"/>
      <c r="T23" s="31" t="n"/>
      <c r="U23" s="25" t="n"/>
      <c r="V23" s="2" t="n"/>
      <c r="W23" s="35">
        <f>IFERROR(INDEX(Krit_Faktor,MATCH(F23,Krit_Liste,0)),"")</f>
        <v/>
      </c>
      <c r="X23" s="35">
        <f>IF(OR(G23="nein",G23="no"),1,0)</f>
        <v/>
      </c>
      <c r="Y23" s="35">
        <f>IF(OR(H23="nein",H23="no"),1,0)</f>
        <v/>
      </c>
      <c r="Z23" s="35">
        <f>IF(OR(I23="nein",I23="no"),1,0)</f>
        <v/>
      </c>
      <c r="AA23" s="35">
        <f>(G23&lt;&gt;"")+(H23&lt;&gt;"")+(I23&lt;&gt;"")</f>
        <v/>
      </c>
      <c r="AB23" s="35">
        <f>IF(O23&lt;&gt;"",O23,IF(AA23&lt;3,"",IF(X23=1,Tage_nicht_beschaffbar,Tage_beschaffbar)))</f>
        <v/>
      </c>
      <c r="AC23" s="35">
        <f>IF(K23="","",K23*1000+W23*10+(1000-ROW())/100000)</f>
        <v/>
      </c>
    </row>
    <row r="24" ht="34" customHeight="1">
      <c r="A24" s="23">
        <f>IF(B24="","",COUNTA($B$9:B24))</f>
        <v/>
      </c>
      <c r="B24" s="24" t="n"/>
      <c r="C24" s="25" t="n"/>
      <c r="D24" s="25" t="n"/>
      <c r="E24" s="25" t="n"/>
      <c r="F24" s="26" t="n"/>
      <c r="G24" s="26" t="n"/>
      <c r="H24" s="26" t="n"/>
      <c r="I24" s="26" t="n"/>
      <c r="J24" s="23">
        <f>IF(AA24&lt;3,"",X24+Y24+Z24)</f>
        <v/>
      </c>
      <c r="K24" s="27">
        <f>IF(OR(J24="",W24=""),"",W24*J24)</f>
        <v/>
      </c>
      <c r="L24" s="28">
        <f>IF(K24="","",IF(K24&lt;=Gruen_bis,"grün",IF(K24&lt;=Gelb_bis,"gelb","rot")))</f>
        <v/>
      </c>
      <c r="M24" s="29">
        <f>IF(L24="",IF(B24="","","Bewertung unvollständig – ★-Felder ausfüllen"),IF(L24="grün","Keine aktive Maßnahme – jährlich prüfen",IF(AND(X24=1,Y24=1,Z24=1),"Sofort sichern: Restbestand / Gebrauchtteil kaufen und Ersatzlösung (Retrofit) planen",IF(AND(X24=1,Z24=1),"Reparaturweg absichern (Dienstleister, Tauschteil), Gebrauchtteil prüfen",IF(X24=1,"Abgekündigt: Lagerteil schützen, Ersatzlösung mittelfristig planen",IF(Z24=1,IF(LEFT(Q24,4)="nein","Bevorratung lohnt nicht – Lieferzeit und Reparaturweg absichern","Lagerbestand anlegen (mind. 1 Stk.)"),"Reparaturmöglichkeit klären"))))))</f>
        <v/>
      </c>
      <c r="N24" s="30" t="n"/>
      <c r="O24" s="31" t="n"/>
      <c r="P24" s="32">
        <f>IF(OR(AB24="",W24="",Z24=0),"",AB24*INDEX(Krit_Kosten,MATCH(F24,Krit_Liste,0)))</f>
        <v/>
      </c>
      <c r="Q24" s="33">
        <f>IF(L24="","",IF(L24="grün","–",IF(Z24=0,"am Lager / in stock",IF(N(N24)&lt;=0,"Stückpreis fehlt",IF(P24&gt;=Faktor_lohnt*N24,"ja – "&amp;FIXED(P24/N24,0)&amp;"-fach","nein – "&amp;FIXED(P24/N24,IF(P24/N24&lt;1,2,1))&amp;"-fach")))))</f>
        <v/>
      </c>
      <c r="R24" s="25" t="n"/>
      <c r="S24" s="34" t="n"/>
      <c r="T24" s="31" t="n"/>
      <c r="U24" s="25" t="n"/>
      <c r="V24" s="2" t="n"/>
      <c r="W24" s="35">
        <f>IFERROR(INDEX(Krit_Faktor,MATCH(F24,Krit_Liste,0)),"")</f>
        <v/>
      </c>
      <c r="X24" s="35">
        <f>IF(OR(G24="nein",G24="no"),1,0)</f>
        <v/>
      </c>
      <c r="Y24" s="35">
        <f>IF(OR(H24="nein",H24="no"),1,0)</f>
        <v/>
      </c>
      <c r="Z24" s="35">
        <f>IF(OR(I24="nein",I24="no"),1,0)</f>
        <v/>
      </c>
      <c r="AA24" s="35">
        <f>(G24&lt;&gt;"")+(H24&lt;&gt;"")+(I24&lt;&gt;"")</f>
        <v/>
      </c>
      <c r="AB24" s="35">
        <f>IF(O24&lt;&gt;"",O24,IF(AA24&lt;3,"",IF(X24=1,Tage_nicht_beschaffbar,Tage_beschaffbar)))</f>
        <v/>
      </c>
      <c r="AC24" s="35">
        <f>IF(K24="","",K24*1000+W24*10+(1000-ROW())/100000)</f>
        <v/>
      </c>
    </row>
    <row r="25" ht="34" customHeight="1">
      <c r="A25" s="23">
        <f>IF(B25="","",COUNTA($B$9:B25))</f>
        <v/>
      </c>
      <c r="B25" s="24" t="n"/>
      <c r="C25" s="25" t="n"/>
      <c r="D25" s="25" t="n"/>
      <c r="E25" s="25" t="n"/>
      <c r="F25" s="26" t="n"/>
      <c r="G25" s="26" t="n"/>
      <c r="H25" s="26" t="n"/>
      <c r="I25" s="26" t="n"/>
      <c r="J25" s="23">
        <f>IF(AA25&lt;3,"",X25+Y25+Z25)</f>
        <v/>
      </c>
      <c r="K25" s="27">
        <f>IF(OR(J25="",W25=""),"",W25*J25)</f>
        <v/>
      </c>
      <c r="L25" s="28">
        <f>IF(K25="","",IF(K25&lt;=Gruen_bis,"grün",IF(K25&lt;=Gelb_bis,"gelb","rot")))</f>
        <v/>
      </c>
      <c r="M25" s="29">
        <f>IF(L25="",IF(B25="","","Bewertung unvollständig – ★-Felder ausfüllen"),IF(L25="grün","Keine aktive Maßnahme – jährlich prüfen",IF(AND(X25=1,Y25=1,Z25=1),"Sofort sichern: Restbestand / Gebrauchtteil kaufen und Ersatzlösung (Retrofit) planen",IF(AND(X25=1,Z25=1),"Reparaturweg absichern (Dienstleister, Tauschteil), Gebrauchtteil prüfen",IF(X25=1,"Abgekündigt: Lagerteil schützen, Ersatzlösung mittelfristig planen",IF(Z25=1,IF(LEFT(Q25,4)="nein","Bevorratung lohnt nicht – Lieferzeit und Reparaturweg absichern","Lagerbestand anlegen (mind. 1 Stk.)"),"Reparaturmöglichkeit klären"))))))</f>
        <v/>
      </c>
      <c r="N25" s="30" t="n"/>
      <c r="O25" s="31" t="n"/>
      <c r="P25" s="32">
        <f>IF(OR(AB25="",W25="",Z25=0),"",AB25*INDEX(Krit_Kosten,MATCH(F25,Krit_Liste,0)))</f>
        <v/>
      </c>
      <c r="Q25" s="33">
        <f>IF(L25="","",IF(L25="grün","–",IF(Z25=0,"am Lager / in stock",IF(N(N25)&lt;=0,"Stückpreis fehlt",IF(P25&gt;=Faktor_lohnt*N25,"ja – "&amp;FIXED(P25/N25,0)&amp;"-fach","nein – "&amp;FIXED(P25/N25,IF(P25/N25&lt;1,2,1))&amp;"-fach")))))</f>
        <v/>
      </c>
      <c r="R25" s="25" t="n"/>
      <c r="S25" s="34" t="n"/>
      <c r="T25" s="31" t="n"/>
      <c r="U25" s="25" t="n"/>
      <c r="V25" s="2" t="n"/>
      <c r="W25" s="35">
        <f>IFERROR(INDEX(Krit_Faktor,MATCH(F25,Krit_Liste,0)),"")</f>
        <v/>
      </c>
      <c r="X25" s="35">
        <f>IF(OR(G25="nein",G25="no"),1,0)</f>
        <v/>
      </c>
      <c r="Y25" s="35">
        <f>IF(OR(H25="nein",H25="no"),1,0)</f>
        <v/>
      </c>
      <c r="Z25" s="35">
        <f>IF(OR(I25="nein",I25="no"),1,0)</f>
        <v/>
      </c>
      <c r="AA25" s="35">
        <f>(G25&lt;&gt;"")+(H25&lt;&gt;"")+(I25&lt;&gt;"")</f>
        <v/>
      </c>
      <c r="AB25" s="35">
        <f>IF(O25&lt;&gt;"",O25,IF(AA25&lt;3,"",IF(X25=1,Tage_nicht_beschaffbar,Tage_beschaffbar)))</f>
        <v/>
      </c>
      <c r="AC25" s="35">
        <f>IF(K25="","",K25*1000+W25*10+(1000-ROW())/100000)</f>
        <v/>
      </c>
    </row>
    <row r="26" ht="34" customHeight="1">
      <c r="A26" s="23">
        <f>IF(B26="","",COUNTA($B$9:B26))</f>
        <v/>
      </c>
      <c r="B26" s="24" t="n"/>
      <c r="C26" s="25" t="n"/>
      <c r="D26" s="25" t="n"/>
      <c r="E26" s="25" t="n"/>
      <c r="F26" s="26" t="n"/>
      <c r="G26" s="26" t="n"/>
      <c r="H26" s="26" t="n"/>
      <c r="I26" s="26" t="n"/>
      <c r="J26" s="23">
        <f>IF(AA26&lt;3,"",X26+Y26+Z26)</f>
        <v/>
      </c>
      <c r="K26" s="27">
        <f>IF(OR(J26="",W26=""),"",W26*J26)</f>
        <v/>
      </c>
      <c r="L26" s="28">
        <f>IF(K26="","",IF(K26&lt;=Gruen_bis,"grün",IF(K26&lt;=Gelb_bis,"gelb","rot")))</f>
        <v/>
      </c>
      <c r="M26" s="29">
        <f>IF(L26="",IF(B26="","","Bewertung unvollständig – ★-Felder ausfüllen"),IF(L26="grün","Keine aktive Maßnahme – jährlich prüfen",IF(AND(X26=1,Y26=1,Z26=1),"Sofort sichern: Restbestand / Gebrauchtteil kaufen und Ersatzlösung (Retrofit) planen",IF(AND(X26=1,Z26=1),"Reparaturweg absichern (Dienstleister, Tauschteil), Gebrauchtteil prüfen",IF(X26=1,"Abgekündigt: Lagerteil schützen, Ersatzlösung mittelfristig planen",IF(Z26=1,IF(LEFT(Q26,4)="nein","Bevorratung lohnt nicht – Lieferzeit und Reparaturweg absichern","Lagerbestand anlegen (mind. 1 Stk.)"),"Reparaturmöglichkeit klären"))))))</f>
        <v/>
      </c>
      <c r="N26" s="30" t="n"/>
      <c r="O26" s="31" t="n"/>
      <c r="P26" s="32">
        <f>IF(OR(AB26="",W26="",Z26=0),"",AB26*INDEX(Krit_Kosten,MATCH(F26,Krit_Liste,0)))</f>
        <v/>
      </c>
      <c r="Q26" s="33">
        <f>IF(L26="","",IF(L26="grün","–",IF(Z26=0,"am Lager / in stock",IF(N(N26)&lt;=0,"Stückpreis fehlt",IF(P26&gt;=Faktor_lohnt*N26,"ja – "&amp;FIXED(P26/N26,0)&amp;"-fach","nein – "&amp;FIXED(P26/N26,IF(P26/N26&lt;1,2,1))&amp;"-fach")))))</f>
        <v/>
      </c>
      <c r="R26" s="25" t="n"/>
      <c r="S26" s="34" t="n"/>
      <c r="T26" s="31" t="n"/>
      <c r="U26" s="25" t="n"/>
      <c r="V26" s="2" t="n"/>
      <c r="W26" s="35">
        <f>IFERROR(INDEX(Krit_Faktor,MATCH(F26,Krit_Liste,0)),"")</f>
        <v/>
      </c>
      <c r="X26" s="35">
        <f>IF(OR(G26="nein",G26="no"),1,0)</f>
        <v/>
      </c>
      <c r="Y26" s="35">
        <f>IF(OR(H26="nein",H26="no"),1,0)</f>
        <v/>
      </c>
      <c r="Z26" s="35">
        <f>IF(OR(I26="nein",I26="no"),1,0)</f>
        <v/>
      </c>
      <c r="AA26" s="35">
        <f>(G26&lt;&gt;"")+(H26&lt;&gt;"")+(I26&lt;&gt;"")</f>
        <v/>
      </c>
      <c r="AB26" s="35">
        <f>IF(O26&lt;&gt;"",O26,IF(AA26&lt;3,"",IF(X26=1,Tage_nicht_beschaffbar,Tage_beschaffbar)))</f>
        <v/>
      </c>
      <c r="AC26" s="35">
        <f>IF(K26="","",K26*1000+W26*10+(1000-ROW())/100000)</f>
        <v/>
      </c>
    </row>
    <row r="27" ht="34" customHeight="1">
      <c r="A27" s="23">
        <f>IF(B27="","",COUNTA($B$9:B27))</f>
        <v/>
      </c>
      <c r="B27" s="24" t="n"/>
      <c r="C27" s="25" t="n"/>
      <c r="D27" s="25" t="n"/>
      <c r="E27" s="25" t="n"/>
      <c r="F27" s="26" t="n"/>
      <c r="G27" s="26" t="n"/>
      <c r="H27" s="26" t="n"/>
      <c r="I27" s="26" t="n"/>
      <c r="J27" s="23">
        <f>IF(AA27&lt;3,"",X27+Y27+Z27)</f>
        <v/>
      </c>
      <c r="K27" s="27">
        <f>IF(OR(J27="",W27=""),"",W27*J27)</f>
        <v/>
      </c>
      <c r="L27" s="28">
        <f>IF(K27="","",IF(K27&lt;=Gruen_bis,"grün",IF(K27&lt;=Gelb_bis,"gelb","rot")))</f>
        <v/>
      </c>
      <c r="M27" s="29">
        <f>IF(L27="",IF(B27="","","Bewertung unvollständig – ★-Felder ausfüllen"),IF(L27="grün","Keine aktive Maßnahme – jährlich prüfen",IF(AND(X27=1,Y27=1,Z27=1),"Sofort sichern: Restbestand / Gebrauchtteil kaufen und Ersatzlösung (Retrofit) planen",IF(AND(X27=1,Z27=1),"Reparaturweg absichern (Dienstleister, Tauschteil), Gebrauchtteil prüfen",IF(X27=1,"Abgekündigt: Lagerteil schützen, Ersatzlösung mittelfristig planen",IF(Z27=1,IF(LEFT(Q27,4)="nein","Bevorratung lohnt nicht – Lieferzeit und Reparaturweg absichern","Lagerbestand anlegen (mind. 1 Stk.)"),"Reparaturmöglichkeit klären"))))))</f>
        <v/>
      </c>
      <c r="N27" s="30" t="n"/>
      <c r="O27" s="31" t="n"/>
      <c r="P27" s="32">
        <f>IF(OR(AB27="",W27="",Z27=0),"",AB27*INDEX(Krit_Kosten,MATCH(F27,Krit_Liste,0)))</f>
        <v/>
      </c>
      <c r="Q27" s="33">
        <f>IF(L27="","",IF(L27="grün","–",IF(Z27=0,"am Lager / in stock",IF(N(N27)&lt;=0,"Stückpreis fehlt",IF(P27&gt;=Faktor_lohnt*N27,"ja – "&amp;FIXED(P27/N27,0)&amp;"-fach","nein – "&amp;FIXED(P27/N27,IF(P27/N27&lt;1,2,1))&amp;"-fach")))))</f>
        <v/>
      </c>
      <c r="R27" s="25" t="n"/>
      <c r="S27" s="34" t="n"/>
      <c r="T27" s="31" t="n"/>
      <c r="U27" s="25" t="n"/>
      <c r="V27" s="2" t="n"/>
      <c r="W27" s="35">
        <f>IFERROR(INDEX(Krit_Faktor,MATCH(F27,Krit_Liste,0)),"")</f>
        <v/>
      </c>
      <c r="X27" s="35">
        <f>IF(OR(G27="nein",G27="no"),1,0)</f>
        <v/>
      </c>
      <c r="Y27" s="35">
        <f>IF(OR(H27="nein",H27="no"),1,0)</f>
        <v/>
      </c>
      <c r="Z27" s="35">
        <f>IF(OR(I27="nein",I27="no"),1,0)</f>
        <v/>
      </c>
      <c r="AA27" s="35">
        <f>(G27&lt;&gt;"")+(H27&lt;&gt;"")+(I27&lt;&gt;"")</f>
        <v/>
      </c>
      <c r="AB27" s="35">
        <f>IF(O27&lt;&gt;"",O27,IF(AA27&lt;3,"",IF(X27=1,Tage_nicht_beschaffbar,Tage_beschaffbar)))</f>
        <v/>
      </c>
      <c r="AC27" s="35">
        <f>IF(K27="","",K27*1000+W27*10+(1000-ROW())/100000)</f>
        <v/>
      </c>
    </row>
    <row r="28" ht="34" customHeight="1">
      <c r="A28" s="23">
        <f>IF(B28="","",COUNTA($B$9:B28))</f>
        <v/>
      </c>
      <c r="B28" s="24" t="n"/>
      <c r="C28" s="25" t="n"/>
      <c r="D28" s="25" t="n"/>
      <c r="E28" s="25" t="n"/>
      <c r="F28" s="26" t="n"/>
      <c r="G28" s="26" t="n"/>
      <c r="H28" s="26" t="n"/>
      <c r="I28" s="26" t="n"/>
      <c r="J28" s="23">
        <f>IF(AA28&lt;3,"",X28+Y28+Z28)</f>
        <v/>
      </c>
      <c r="K28" s="27">
        <f>IF(OR(J28="",W28=""),"",W28*J28)</f>
        <v/>
      </c>
      <c r="L28" s="28">
        <f>IF(K28="","",IF(K28&lt;=Gruen_bis,"grün",IF(K28&lt;=Gelb_bis,"gelb","rot")))</f>
        <v/>
      </c>
      <c r="M28" s="29">
        <f>IF(L28="",IF(B28="","","Bewertung unvollständig – ★-Felder ausfüllen"),IF(L28="grün","Keine aktive Maßnahme – jährlich prüfen",IF(AND(X28=1,Y28=1,Z28=1),"Sofort sichern: Restbestand / Gebrauchtteil kaufen und Ersatzlösung (Retrofit) planen",IF(AND(X28=1,Z28=1),"Reparaturweg absichern (Dienstleister, Tauschteil), Gebrauchtteil prüfen",IF(X28=1,"Abgekündigt: Lagerteil schützen, Ersatzlösung mittelfristig planen",IF(Z28=1,IF(LEFT(Q28,4)="nein","Bevorratung lohnt nicht – Lieferzeit und Reparaturweg absichern","Lagerbestand anlegen (mind. 1 Stk.)"),"Reparaturmöglichkeit klären"))))))</f>
        <v/>
      </c>
      <c r="N28" s="30" t="n"/>
      <c r="O28" s="31" t="n"/>
      <c r="P28" s="32">
        <f>IF(OR(AB28="",W28="",Z28=0),"",AB28*INDEX(Krit_Kosten,MATCH(F28,Krit_Liste,0)))</f>
        <v/>
      </c>
      <c r="Q28" s="33">
        <f>IF(L28="","",IF(L28="grün","–",IF(Z28=0,"am Lager / in stock",IF(N(N28)&lt;=0,"Stückpreis fehlt",IF(P28&gt;=Faktor_lohnt*N28,"ja – "&amp;FIXED(P28/N28,0)&amp;"-fach","nein – "&amp;FIXED(P28/N28,IF(P28/N28&lt;1,2,1))&amp;"-fach")))))</f>
        <v/>
      </c>
      <c r="R28" s="25" t="n"/>
      <c r="S28" s="34" t="n"/>
      <c r="T28" s="31" t="n"/>
      <c r="U28" s="25" t="n"/>
      <c r="V28" s="2" t="n"/>
      <c r="W28" s="35">
        <f>IFERROR(INDEX(Krit_Faktor,MATCH(F28,Krit_Liste,0)),"")</f>
        <v/>
      </c>
      <c r="X28" s="35">
        <f>IF(OR(G28="nein",G28="no"),1,0)</f>
        <v/>
      </c>
      <c r="Y28" s="35">
        <f>IF(OR(H28="nein",H28="no"),1,0)</f>
        <v/>
      </c>
      <c r="Z28" s="35">
        <f>IF(OR(I28="nein",I28="no"),1,0)</f>
        <v/>
      </c>
      <c r="AA28" s="35">
        <f>(G28&lt;&gt;"")+(H28&lt;&gt;"")+(I28&lt;&gt;"")</f>
        <v/>
      </c>
      <c r="AB28" s="35">
        <f>IF(O28&lt;&gt;"",O28,IF(AA28&lt;3,"",IF(X28=1,Tage_nicht_beschaffbar,Tage_beschaffbar)))</f>
        <v/>
      </c>
      <c r="AC28" s="35">
        <f>IF(K28="","",K28*1000+W28*10+(1000-ROW())/100000)</f>
        <v/>
      </c>
    </row>
    <row r="29" ht="34" customHeight="1">
      <c r="A29" s="23">
        <f>IF(B29="","",COUNTA($B$9:B29))</f>
        <v/>
      </c>
      <c r="B29" s="24" t="n"/>
      <c r="C29" s="25" t="n"/>
      <c r="D29" s="25" t="n"/>
      <c r="E29" s="25" t="n"/>
      <c r="F29" s="26" t="n"/>
      <c r="G29" s="26" t="n"/>
      <c r="H29" s="26" t="n"/>
      <c r="I29" s="26" t="n"/>
      <c r="J29" s="23">
        <f>IF(AA29&lt;3,"",X29+Y29+Z29)</f>
        <v/>
      </c>
      <c r="K29" s="27">
        <f>IF(OR(J29="",W29=""),"",W29*J29)</f>
        <v/>
      </c>
      <c r="L29" s="28">
        <f>IF(K29="","",IF(K29&lt;=Gruen_bis,"grün",IF(K29&lt;=Gelb_bis,"gelb","rot")))</f>
        <v/>
      </c>
      <c r="M29" s="29">
        <f>IF(L29="",IF(B29="","","Bewertung unvollständig – ★-Felder ausfüllen"),IF(L29="grün","Keine aktive Maßnahme – jährlich prüfen",IF(AND(X29=1,Y29=1,Z29=1),"Sofort sichern: Restbestand / Gebrauchtteil kaufen und Ersatzlösung (Retrofit) planen",IF(AND(X29=1,Z29=1),"Reparaturweg absichern (Dienstleister, Tauschteil), Gebrauchtteil prüfen",IF(X29=1,"Abgekündigt: Lagerteil schützen, Ersatzlösung mittelfristig planen",IF(Z29=1,IF(LEFT(Q29,4)="nein","Bevorratung lohnt nicht – Lieferzeit und Reparaturweg absichern","Lagerbestand anlegen (mind. 1 Stk.)"),"Reparaturmöglichkeit klären"))))))</f>
        <v/>
      </c>
      <c r="N29" s="30" t="n"/>
      <c r="O29" s="31" t="n"/>
      <c r="P29" s="32">
        <f>IF(OR(AB29="",W29="",Z29=0),"",AB29*INDEX(Krit_Kosten,MATCH(F29,Krit_Liste,0)))</f>
        <v/>
      </c>
      <c r="Q29" s="33">
        <f>IF(L29="","",IF(L29="grün","–",IF(Z29=0,"am Lager / in stock",IF(N(N29)&lt;=0,"Stückpreis fehlt",IF(P29&gt;=Faktor_lohnt*N29,"ja – "&amp;FIXED(P29/N29,0)&amp;"-fach","nein – "&amp;FIXED(P29/N29,IF(P29/N29&lt;1,2,1))&amp;"-fach")))))</f>
        <v/>
      </c>
      <c r="R29" s="25" t="n"/>
      <c r="S29" s="34" t="n"/>
      <c r="T29" s="31" t="n"/>
      <c r="U29" s="25" t="n"/>
      <c r="V29" s="2" t="n"/>
      <c r="W29" s="35">
        <f>IFERROR(INDEX(Krit_Faktor,MATCH(F29,Krit_Liste,0)),"")</f>
        <v/>
      </c>
      <c r="X29" s="35">
        <f>IF(OR(G29="nein",G29="no"),1,0)</f>
        <v/>
      </c>
      <c r="Y29" s="35">
        <f>IF(OR(H29="nein",H29="no"),1,0)</f>
        <v/>
      </c>
      <c r="Z29" s="35">
        <f>IF(OR(I29="nein",I29="no"),1,0)</f>
        <v/>
      </c>
      <c r="AA29" s="35">
        <f>(G29&lt;&gt;"")+(H29&lt;&gt;"")+(I29&lt;&gt;"")</f>
        <v/>
      </c>
      <c r="AB29" s="35">
        <f>IF(O29&lt;&gt;"",O29,IF(AA29&lt;3,"",IF(X29=1,Tage_nicht_beschaffbar,Tage_beschaffbar)))</f>
        <v/>
      </c>
      <c r="AC29" s="35">
        <f>IF(K29="","",K29*1000+W29*10+(1000-ROW())/100000)</f>
        <v/>
      </c>
    </row>
    <row r="30" ht="34" customHeight="1">
      <c r="A30" s="23">
        <f>IF(B30="","",COUNTA($B$9:B30))</f>
        <v/>
      </c>
      <c r="B30" s="24" t="n"/>
      <c r="C30" s="25" t="n"/>
      <c r="D30" s="25" t="n"/>
      <c r="E30" s="25" t="n"/>
      <c r="F30" s="26" t="n"/>
      <c r="G30" s="26" t="n"/>
      <c r="H30" s="26" t="n"/>
      <c r="I30" s="26" t="n"/>
      <c r="J30" s="23">
        <f>IF(AA30&lt;3,"",X30+Y30+Z30)</f>
        <v/>
      </c>
      <c r="K30" s="27">
        <f>IF(OR(J30="",W30=""),"",W30*J30)</f>
        <v/>
      </c>
      <c r="L30" s="28">
        <f>IF(K30="","",IF(K30&lt;=Gruen_bis,"grün",IF(K30&lt;=Gelb_bis,"gelb","rot")))</f>
        <v/>
      </c>
      <c r="M30" s="29">
        <f>IF(L30="",IF(B30="","","Bewertung unvollständig – ★-Felder ausfüllen"),IF(L30="grün","Keine aktive Maßnahme – jährlich prüfen",IF(AND(X30=1,Y30=1,Z30=1),"Sofort sichern: Restbestand / Gebrauchtteil kaufen und Ersatzlösung (Retrofit) planen",IF(AND(X30=1,Z30=1),"Reparaturweg absichern (Dienstleister, Tauschteil), Gebrauchtteil prüfen",IF(X30=1,"Abgekündigt: Lagerteil schützen, Ersatzlösung mittelfristig planen",IF(Z30=1,IF(LEFT(Q30,4)="nein","Bevorratung lohnt nicht – Lieferzeit und Reparaturweg absichern","Lagerbestand anlegen (mind. 1 Stk.)"),"Reparaturmöglichkeit klären"))))))</f>
        <v/>
      </c>
      <c r="N30" s="30" t="n"/>
      <c r="O30" s="31" t="n"/>
      <c r="P30" s="32">
        <f>IF(OR(AB30="",W30="",Z30=0),"",AB30*INDEX(Krit_Kosten,MATCH(F30,Krit_Liste,0)))</f>
        <v/>
      </c>
      <c r="Q30" s="33">
        <f>IF(L30="","",IF(L30="grün","–",IF(Z30=0,"am Lager / in stock",IF(N(N30)&lt;=0,"Stückpreis fehlt",IF(P30&gt;=Faktor_lohnt*N30,"ja – "&amp;FIXED(P30/N30,0)&amp;"-fach","nein – "&amp;FIXED(P30/N30,IF(P30/N30&lt;1,2,1))&amp;"-fach")))))</f>
        <v/>
      </c>
      <c r="R30" s="25" t="n"/>
      <c r="S30" s="34" t="n"/>
      <c r="T30" s="31" t="n"/>
      <c r="U30" s="25" t="n"/>
      <c r="V30" s="2" t="n"/>
      <c r="W30" s="35">
        <f>IFERROR(INDEX(Krit_Faktor,MATCH(F30,Krit_Liste,0)),"")</f>
        <v/>
      </c>
      <c r="X30" s="35">
        <f>IF(OR(G30="nein",G30="no"),1,0)</f>
        <v/>
      </c>
      <c r="Y30" s="35">
        <f>IF(OR(H30="nein",H30="no"),1,0)</f>
        <v/>
      </c>
      <c r="Z30" s="35">
        <f>IF(OR(I30="nein",I30="no"),1,0)</f>
        <v/>
      </c>
      <c r="AA30" s="35">
        <f>(G30&lt;&gt;"")+(H30&lt;&gt;"")+(I30&lt;&gt;"")</f>
        <v/>
      </c>
      <c r="AB30" s="35">
        <f>IF(O30&lt;&gt;"",O30,IF(AA30&lt;3,"",IF(X30=1,Tage_nicht_beschaffbar,Tage_beschaffbar)))</f>
        <v/>
      </c>
      <c r="AC30" s="35">
        <f>IF(K30="","",K30*1000+W30*10+(1000-ROW())/100000)</f>
        <v/>
      </c>
    </row>
    <row r="31" ht="34" customHeight="1">
      <c r="A31" s="23">
        <f>IF(B31="","",COUNTA($B$9:B31))</f>
        <v/>
      </c>
      <c r="B31" s="24" t="n"/>
      <c r="C31" s="25" t="n"/>
      <c r="D31" s="25" t="n"/>
      <c r="E31" s="25" t="n"/>
      <c r="F31" s="26" t="n"/>
      <c r="G31" s="26" t="n"/>
      <c r="H31" s="26" t="n"/>
      <c r="I31" s="26" t="n"/>
      <c r="J31" s="23">
        <f>IF(AA31&lt;3,"",X31+Y31+Z31)</f>
        <v/>
      </c>
      <c r="K31" s="27">
        <f>IF(OR(J31="",W31=""),"",W31*J31)</f>
        <v/>
      </c>
      <c r="L31" s="28">
        <f>IF(K31="","",IF(K31&lt;=Gruen_bis,"grün",IF(K31&lt;=Gelb_bis,"gelb","rot")))</f>
        <v/>
      </c>
      <c r="M31" s="29">
        <f>IF(L31="",IF(B31="","","Bewertung unvollständig – ★-Felder ausfüllen"),IF(L31="grün","Keine aktive Maßnahme – jährlich prüfen",IF(AND(X31=1,Y31=1,Z31=1),"Sofort sichern: Restbestand / Gebrauchtteil kaufen und Ersatzlösung (Retrofit) planen",IF(AND(X31=1,Z31=1),"Reparaturweg absichern (Dienstleister, Tauschteil), Gebrauchtteil prüfen",IF(X31=1,"Abgekündigt: Lagerteil schützen, Ersatzlösung mittelfristig planen",IF(Z31=1,IF(LEFT(Q31,4)="nein","Bevorratung lohnt nicht – Lieferzeit und Reparaturweg absichern","Lagerbestand anlegen (mind. 1 Stk.)"),"Reparaturmöglichkeit klären"))))))</f>
        <v/>
      </c>
      <c r="N31" s="30" t="n"/>
      <c r="O31" s="31" t="n"/>
      <c r="P31" s="32">
        <f>IF(OR(AB31="",W31="",Z31=0),"",AB31*INDEX(Krit_Kosten,MATCH(F31,Krit_Liste,0)))</f>
        <v/>
      </c>
      <c r="Q31" s="33">
        <f>IF(L31="","",IF(L31="grün","–",IF(Z31=0,"am Lager / in stock",IF(N(N31)&lt;=0,"Stückpreis fehlt",IF(P31&gt;=Faktor_lohnt*N31,"ja – "&amp;FIXED(P31/N31,0)&amp;"-fach","nein – "&amp;FIXED(P31/N31,IF(P31/N31&lt;1,2,1))&amp;"-fach")))))</f>
        <v/>
      </c>
      <c r="R31" s="25" t="n"/>
      <c r="S31" s="34" t="n"/>
      <c r="T31" s="31" t="n"/>
      <c r="U31" s="25" t="n"/>
      <c r="V31" s="2" t="n"/>
      <c r="W31" s="35">
        <f>IFERROR(INDEX(Krit_Faktor,MATCH(F31,Krit_Liste,0)),"")</f>
        <v/>
      </c>
      <c r="X31" s="35">
        <f>IF(OR(G31="nein",G31="no"),1,0)</f>
        <v/>
      </c>
      <c r="Y31" s="35">
        <f>IF(OR(H31="nein",H31="no"),1,0)</f>
        <v/>
      </c>
      <c r="Z31" s="35">
        <f>IF(OR(I31="nein",I31="no"),1,0)</f>
        <v/>
      </c>
      <c r="AA31" s="35">
        <f>(G31&lt;&gt;"")+(H31&lt;&gt;"")+(I31&lt;&gt;"")</f>
        <v/>
      </c>
      <c r="AB31" s="35">
        <f>IF(O31&lt;&gt;"",O31,IF(AA31&lt;3,"",IF(X31=1,Tage_nicht_beschaffbar,Tage_beschaffbar)))</f>
        <v/>
      </c>
      <c r="AC31" s="35">
        <f>IF(K31="","",K31*1000+W31*10+(1000-ROW())/100000)</f>
        <v/>
      </c>
    </row>
    <row r="32" ht="34" customHeight="1">
      <c r="A32" s="23">
        <f>IF(B32="","",COUNTA($B$9:B32))</f>
        <v/>
      </c>
      <c r="B32" s="24" t="n"/>
      <c r="C32" s="25" t="n"/>
      <c r="D32" s="25" t="n"/>
      <c r="E32" s="25" t="n"/>
      <c r="F32" s="26" t="n"/>
      <c r="G32" s="26" t="n"/>
      <c r="H32" s="26" t="n"/>
      <c r="I32" s="26" t="n"/>
      <c r="J32" s="23">
        <f>IF(AA32&lt;3,"",X32+Y32+Z32)</f>
        <v/>
      </c>
      <c r="K32" s="27">
        <f>IF(OR(J32="",W32=""),"",W32*J32)</f>
        <v/>
      </c>
      <c r="L32" s="28">
        <f>IF(K32="","",IF(K32&lt;=Gruen_bis,"grün",IF(K32&lt;=Gelb_bis,"gelb","rot")))</f>
        <v/>
      </c>
      <c r="M32" s="29">
        <f>IF(L32="",IF(B32="","","Bewertung unvollständig – ★-Felder ausfüllen"),IF(L32="grün","Keine aktive Maßnahme – jährlich prüfen",IF(AND(X32=1,Y32=1,Z32=1),"Sofort sichern: Restbestand / Gebrauchtteil kaufen und Ersatzlösung (Retrofit) planen",IF(AND(X32=1,Z32=1),"Reparaturweg absichern (Dienstleister, Tauschteil), Gebrauchtteil prüfen",IF(X32=1,"Abgekündigt: Lagerteil schützen, Ersatzlösung mittelfristig planen",IF(Z32=1,IF(LEFT(Q32,4)="nein","Bevorratung lohnt nicht – Lieferzeit und Reparaturweg absichern","Lagerbestand anlegen (mind. 1 Stk.)"),"Reparaturmöglichkeit klären"))))))</f>
        <v/>
      </c>
      <c r="N32" s="30" t="n"/>
      <c r="O32" s="31" t="n"/>
      <c r="P32" s="32">
        <f>IF(OR(AB32="",W32="",Z32=0),"",AB32*INDEX(Krit_Kosten,MATCH(F32,Krit_Liste,0)))</f>
        <v/>
      </c>
      <c r="Q32" s="33">
        <f>IF(L32="","",IF(L32="grün","–",IF(Z32=0,"am Lager / in stock",IF(N(N32)&lt;=0,"Stückpreis fehlt",IF(P32&gt;=Faktor_lohnt*N32,"ja – "&amp;FIXED(P32/N32,0)&amp;"-fach","nein – "&amp;FIXED(P32/N32,IF(P32/N32&lt;1,2,1))&amp;"-fach")))))</f>
        <v/>
      </c>
      <c r="R32" s="25" t="n"/>
      <c r="S32" s="34" t="n"/>
      <c r="T32" s="31" t="n"/>
      <c r="U32" s="25" t="n"/>
      <c r="V32" s="2" t="n"/>
      <c r="W32" s="35">
        <f>IFERROR(INDEX(Krit_Faktor,MATCH(F32,Krit_Liste,0)),"")</f>
        <v/>
      </c>
      <c r="X32" s="35">
        <f>IF(OR(G32="nein",G32="no"),1,0)</f>
        <v/>
      </c>
      <c r="Y32" s="35">
        <f>IF(OR(H32="nein",H32="no"),1,0)</f>
        <v/>
      </c>
      <c r="Z32" s="35">
        <f>IF(OR(I32="nein",I32="no"),1,0)</f>
        <v/>
      </c>
      <c r="AA32" s="35">
        <f>(G32&lt;&gt;"")+(H32&lt;&gt;"")+(I32&lt;&gt;"")</f>
        <v/>
      </c>
      <c r="AB32" s="35">
        <f>IF(O32&lt;&gt;"",O32,IF(AA32&lt;3,"",IF(X32=1,Tage_nicht_beschaffbar,Tage_beschaffbar)))</f>
        <v/>
      </c>
      <c r="AC32" s="35">
        <f>IF(K32="","",K32*1000+W32*10+(1000-ROW())/100000)</f>
        <v/>
      </c>
    </row>
    <row r="33" ht="34" customHeight="1">
      <c r="A33" s="23">
        <f>IF(B33="","",COUNTA($B$9:B33))</f>
        <v/>
      </c>
      <c r="B33" s="24" t="n"/>
      <c r="C33" s="25" t="n"/>
      <c r="D33" s="25" t="n"/>
      <c r="E33" s="25" t="n"/>
      <c r="F33" s="26" t="n"/>
      <c r="G33" s="26" t="n"/>
      <c r="H33" s="26" t="n"/>
      <c r="I33" s="26" t="n"/>
      <c r="J33" s="23">
        <f>IF(AA33&lt;3,"",X33+Y33+Z33)</f>
        <v/>
      </c>
      <c r="K33" s="27">
        <f>IF(OR(J33="",W33=""),"",W33*J33)</f>
        <v/>
      </c>
      <c r="L33" s="28">
        <f>IF(K33="","",IF(K33&lt;=Gruen_bis,"grün",IF(K33&lt;=Gelb_bis,"gelb","rot")))</f>
        <v/>
      </c>
      <c r="M33" s="29">
        <f>IF(L33="",IF(B33="","","Bewertung unvollständig – ★-Felder ausfüllen"),IF(L33="grün","Keine aktive Maßnahme – jährlich prüfen",IF(AND(X33=1,Y33=1,Z33=1),"Sofort sichern: Restbestand / Gebrauchtteil kaufen und Ersatzlösung (Retrofit) planen",IF(AND(X33=1,Z33=1),"Reparaturweg absichern (Dienstleister, Tauschteil), Gebrauchtteil prüfen",IF(X33=1,"Abgekündigt: Lagerteil schützen, Ersatzlösung mittelfristig planen",IF(Z33=1,IF(LEFT(Q33,4)="nein","Bevorratung lohnt nicht – Lieferzeit und Reparaturweg absichern","Lagerbestand anlegen (mind. 1 Stk.)"),"Reparaturmöglichkeit klären"))))))</f>
        <v/>
      </c>
      <c r="N33" s="30" t="n"/>
      <c r="O33" s="31" t="n"/>
      <c r="P33" s="32">
        <f>IF(OR(AB33="",W33="",Z33=0),"",AB33*INDEX(Krit_Kosten,MATCH(F33,Krit_Liste,0)))</f>
        <v/>
      </c>
      <c r="Q33" s="33">
        <f>IF(L33="","",IF(L33="grün","–",IF(Z33=0,"am Lager / in stock",IF(N(N33)&lt;=0,"Stückpreis fehlt",IF(P33&gt;=Faktor_lohnt*N33,"ja – "&amp;FIXED(P33/N33,0)&amp;"-fach","nein – "&amp;FIXED(P33/N33,IF(P33/N33&lt;1,2,1))&amp;"-fach")))))</f>
        <v/>
      </c>
      <c r="R33" s="25" t="n"/>
      <c r="S33" s="34" t="n"/>
      <c r="T33" s="31" t="n"/>
      <c r="U33" s="25" t="n"/>
      <c r="V33" s="2" t="n"/>
      <c r="W33" s="35">
        <f>IFERROR(INDEX(Krit_Faktor,MATCH(F33,Krit_Liste,0)),"")</f>
        <v/>
      </c>
      <c r="X33" s="35">
        <f>IF(OR(G33="nein",G33="no"),1,0)</f>
        <v/>
      </c>
      <c r="Y33" s="35">
        <f>IF(OR(H33="nein",H33="no"),1,0)</f>
        <v/>
      </c>
      <c r="Z33" s="35">
        <f>IF(OR(I33="nein",I33="no"),1,0)</f>
        <v/>
      </c>
      <c r="AA33" s="35">
        <f>(G33&lt;&gt;"")+(H33&lt;&gt;"")+(I33&lt;&gt;"")</f>
        <v/>
      </c>
      <c r="AB33" s="35">
        <f>IF(O33&lt;&gt;"",O33,IF(AA33&lt;3,"",IF(X33=1,Tage_nicht_beschaffbar,Tage_beschaffbar)))</f>
        <v/>
      </c>
      <c r="AC33" s="35">
        <f>IF(K33="","",K33*1000+W33*10+(1000-ROW())/100000)</f>
        <v/>
      </c>
    </row>
    <row r="34" ht="34" customHeight="1">
      <c r="A34" s="23">
        <f>IF(B34="","",COUNTA($B$9:B34))</f>
        <v/>
      </c>
      <c r="B34" s="24" t="n"/>
      <c r="C34" s="25" t="n"/>
      <c r="D34" s="25" t="n"/>
      <c r="E34" s="25" t="n"/>
      <c r="F34" s="26" t="n"/>
      <c r="G34" s="26" t="n"/>
      <c r="H34" s="26" t="n"/>
      <c r="I34" s="26" t="n"/>
      <c r="J34" s="23">
        <f>IF(AA34&lt;3,"",X34+Y34+Z34)</f>
        <v/>
      </c>
      <c r="K34" s="27">
        <f>IF(OR(J34="",W34=""),"",W34*J34)</f>
        <v/>
      </c>
      <c r="L34" s="28">
        <f>IF(K34="","",IF(K34&lt;=Gruen_bis,"grün",IF(K34&lt;=Gelb_bis,"gelb","rot")))</f>
        <v/>
      </c>
      <c r="M34" s="29">
        <f>IF(L34="",IF(B34="","","Bewertung unvollständig – ★-Felder ausfüllen"),IF(L34="grün","Keine aktive Maßnahme – jährlich prüfen",IF(AND(X34=1,Y34=1,Z34=1),"Sofort sichern: Restbestand / Gebrauchtteil kaufen und Ersatzlösung (Retrofit) planen",IF(AND(X34=1,Z34=1),"Reparaturweg absichern (Dienstleister, Tauschteil), Gebrauchtteil prüfen",IF(X34=1,"Abgekündigt: Lagerteil schützen, Ersatzlösung mittelfristig planen",IF(Z34=1,IF(LEFT(Q34,4)="nein","Bevorratung lohnt nicht – Lieferzeit und Reparaturweg absichern","Lagerbestand anlegen (mind. 1 Stk.)"),"Reparaturmöglichkeit klären"))))))</f>
        <v/>
      </c>
      <c r="N34" s="30" t="n"/>
      <c r="O34" s="31" t="n"/>
      <c r="P34" s="32">
        <f>IF(OR(AB34="",W34="",Z34=0),"",AB34*INDEX(Krit_Kosten,MATCH(F34,Krit_Liste,0)))</f>
        <v/>
      </c>
      <c r="Q34" s="33">
        <f>IF(L34="","",IF(L34="grün","–",IF(Z34=0,"am Lager / in stock",IF(N(N34)&lt;=0,"Stückpreis fehlt",IF(P34&gt;=Faktor_lohnt*N34,"ja – "&amp;FIXED(P34/N34,0)&amp;"-fach","nein – "&amp;FIXED(P34/N34,IF(P34/N34&lt;1,2,1))&amp;"-fach")))))</f>
        <v/>
      </c>
      <c r="R34" s="25" t="n"/>
      <c r="S34" s="34" t="n"/>
      <c r="T34" s="31" t="n"/>
      <c r="U34" s="25" t="n"/>
      <c r="V34" s="2" t="n"/>
      <c r="W34" s="35">
        <f>IFERROR(INDEX(Krit_Faktor,MATCH(F34,Krit_Liste,0)),"")</f>
        <v/>
      </c>
      <c r="X34" s="35">
        <f>IF(OR(G34="nein",G34="no"),1,0)</f>
        <v/>
      </c>
      <c r="Y34" s="35">
        <f>IF(OR(H34="nein",H34="no"),1,0)</f>
        <v/>
      </c>
      <c r="Z34" s="35">
        <f>IF(OR(I34="nein",I34="no"),1,0)</f>
        <v/>
      </c>
      <c r="AA34" s="35">
        <f>(G34&lt;&gt;"")+(H34&lt;&gt;"")+(I34&lt;&gt;"")</f>
        <v/>
      </c>
      <c r="AB34" s="35">
        <f>IF(O34&lt;&gt;"",O34,IF(AA34&lt;3,"",IF(X34=1,Tage_nicht_beschaffbar,Tage_beschaffbar)))</f>
        <v/>
      </c>
      <c r="AC34" s="35">
        <f>IF(K34="","",K34*1000+W34*10+(1000-ROW())/100000)</f>
        <v/>
      </c>
    </row>
    <row r="35" ht="34" customHeight="1">
      <c r="A35" s="23">
        <f>IF(B35="","",COUNTA($B$9:B35))</f>
        <v/>
      </c>
      <c r="B35" s="24" t="n"/>
      <c r="C35" s="25" t="n"/>
      <c r="D35" s="25" t="n"/>
      <c r="E35" s="25" t="n"/>
      <c r="F35" s="26" t="n"/>
      <c r="G35" s="26" t="n"/>
      <c r="H35" s="26" t="n"/>
      <c r="I35" s="26" t="n"/>
      <c r="J35" s="23">
        <f>IF(AA35&lt;3,"",X35+Y35+Z35)</f>
        <v/>
      </c>
      <c r="K35" s="27">
        <f>IF(OR(J35="",W35=""),"",W35*J35)</f>
        <v/>
      </c>
      <c r="L35" s="28">
        <f>IF(K35="","",IF(K35&lt;=Gruen_bis,"grün",IF(K35&lt;=Gelb_bis,"gelb","rot")))</f>
        <v/>
      </c>
      <c r="M35" s="29">
        <f>IF(L35="",IF(B35="","","Bewertung unvollständig – ★-Felder ausfüllen"),IF(L35="grün","Keine aktive Maßnahme – jährlich prüfen",IF(AND(X35=1,Y35=1,Z35=1),"Sofort sichern: Restbestand / Gebrauchtteil kaufen und Ersatzlösung (Retrofit) planen",IF(AND(X35=1,Z35=1),"Reparaturweg absichern (Dienstleister, Tauschteil), Gebrauchtteil prüfen",IF(X35=1,"Abgekündigt: Lagerteil schützen, Ersatzlösung mittelfristig planen",IF(Z35=1,IF(LEFT(Q35,4)="nein","Bevorratung lohnt nicht – Lieferzeit und Reparaturweg absichern","Lagerbestand anlegen (mind. 1 Stk.)"),"Reparaturmöglichkeit klären"))))))</f>
        <v/>
      </c>
      <c r="N35" s="30" t="n"/>
      <c r="O35" s="31" t="n"/>
      <c r="P35" s="32">
        <f>IF(OR(AB35="",W35="",Z35=0),"",AB35*INDEX(Krit_Kosten,MATCH(F35,Krit_Liste,0)))</f>
        <v/>
      </c>
      <c r="Q35" s="33">
        <f>IF(L35="","",IF(L35="grün","–",IF(Z35=0,"am Lager / in stock",IF(N(N35)&lt;=0,"Stückpreis fehlt",IF(P35&gt;=Faktor_lohnt*N35,"ja – "&amp;FIXED(P35/N35,0)&amp;"-fach","nein – "&amp;FIXED(P35/N35,IF(P35/N35&lt;1,2,1))&amp;"-fach")))))</f>
        <v/>
      </c>
      <c r="R35" s="25" t="n"/>
      <c r="S35" s="34" t="n"/>
      <c r="T35" s="31" t="n"/>
      <c r="U35" s="25" t="n"/>
      <c r="V35" s="2" t="n"/>
      <c r="W35" s="35">
        <f>IFERROR(INDEX(Krit_Faktor,MATCH(F35,Krit_Liste,0)),"")</f>
        <v/>
      </c>
      <c r="X35" s="35">
        <f>IF(OR(G35="nein",G35="no"),1,0)</f>
        <v/>
      </c>
      <c r="Y35" s="35">
        <f>IF(OR(H35="nein",H35="no"),1,0)</f>
        <v/>
      </c>
      <c r="Z35" s="35">
        <f>IF(OR(I35="nein",I35="no"),1,0)</f>
        <v/>
      </c>
      <c r="AA35" s="35">
        <f>(G35&lt;&gt;"")+(H35&lt;&gt;"")+(I35&lt;&gt;"")</f>
        <v/>
      </c>
      <c r="AB35" s="35">
        <f>IF(O35&lt;&gt;"",O35,IF(AA35&lt;3,"",IF(X35=1,Tage_nicht_beschaffbar,Tage_beschaffbar)))</f>
        <v/>
      </c>
      <c r="AC35" s="35">
        <f>IF(K35="","",K35*1000+W35*10+(1000-ROW())/100000)</f>
        <v/>
      </c>
    </row>
    <row r="36" ht="34" customHeight="1">
      <c r="A36" s="23">
        <f>IF(B36="","",COUNTA($B$9:B36))</f>
        <v/>
      </c>
      <c r="B36" s="24" t="n"/>
      <c r="C36" s="25" t="n"/>
      <c r="D36" s="25" t="n"/>
      <c r="E36" s="25" t="n"/>
      <c r="F36" s="26" t="n"/>
      <c r="G36" s="26" t="n"/>
      <c r="H36" s="26" t="n"/>
      <c r="I36" s="26" t="n"/>
      <c r="J36" s="23">
        <f>IF(AA36&lt;3,"",X36+Y36+Z36)</f>
        <v/>
      </c>
      <c r="K36" s="27">
        <f>IF(OR(J36="",W36=""),"",W36*J36)</f>
        <v/>
      </c>
      <c r="L36" s="28">
        <f>IF(K36="","",IF(K36&lt;=Gruen_bis,"grün",IF(K36&lt;=Gelb_bis,"gelb","rot")))</f>
        <v/>
      </c>
      <c r="M36" s="29">
        <f>IF(L36="",IF(B36="","","Bewertung unvollständig – ★-Felder ausfüllen"),IF(L36="grün","Keine aktive Maßnahme – jährlich prüfen",IF(AND(X36=1,Y36=1,Z36=1),"Sofort sichern: Restbestand / Gebrauchtteil kaufen und Ersatzlösung (Retrofit) planen",IF(AND(X36=1,Z36=1),"Reparaturweg absichern (Dienstleister, Tauschteil), Gebrauchtteil prüfen",IF(X36=1,"Abgekündigt: Lagerteil schützen, Ersatzlösung mittelfristig planen",IF(Z36=1,IF(LEFT(Q36,4)="nein","Bevorratung lohnt nicht – Lieferzeit und Reparaturweg absichern","Lagerbestand anlegen (mind. 1 Stk.)"),"Reparaturmöglichkeit klären"))))))</f>
        <v/>
      </c>
      <c r="N36" s="30" t="n"/>
      <c r="O36" s="31" t="n"/>
      <c r="P36" s="32">
        <f>IF(OR(AB36="",W36="",Z36=0),"",AB36*INDEX(Krit_Kosten,MATCH(F36,Krit_Liste,0)))</f>
        <v/>
      </c>
      <c r="Q36" s="33">
        <f>IF(L36="","",IF(L36="grün","–",IF(Z36=0,"am Lager / in stock",IF(N(N36)&lt;=0,"Stückpreis fehlt",IF(P36&gt;=Faktor_lohnt*N36,"ja – "&amp;FIXED(P36/N36,0)&amp;"-fach","nein – "&amp;FIXED(P36/N36,IF(P36/N36&lt;1,2,1))&amp;"-fach")))))</f>
        <v/>
      </c>
      <c r="R36" s="25" t="n"/>
      <c r="S36" s="34" t="n"/>
      <c r="T36" s="31" t="n"/>
      <c r="U36" s="25" t="n"/>
      <c r="V36" s="2" t="n"/>
      <c r="W36" s="35">
        <f>IFERROR(INDEX(Krit_Faktor,MATCH(F36,Krit_Liste,0)),"")</f>
        <v/>
      </c>
      <c r="X36" s="35">
        <f>IF(OR(G36="nein",G36="no"),1,0)</f>
        <v/>
      </c>
      <c r="Y36" s="35">
        <f>IF(OR(H36="nein",H36="no"),1,0)</f>
        <v/>
      </c>
      <c r="Z36" s="35">
        <f>IF(OR(I36="nein",I36="no"),1,0)</f>
        <v/>
      </c>
      <c r="AA36" s="35">
        <f>(G36&lt;&gt;"")+(H36&lt;&gt;"")+(I36&lt;&gt;"")</f>
        <v/>
      </c>
      <c r="AB36" s="35">
        <f>IF(O36&lt;&gt;"",O36,IF(AA36&lt;3,"",IF(X36=1,Tage_nicht_beschaffbar,Tage_beschaffbar)))</f>
        <v/>
      </c>
      <c r="AC36" s="35">
        <f>IF(K36="","",K36*1000+W36*10+(1000-ROW())/100000)</f>
        <v/>
      </c>
    </row>
    <row r="37" ht="34" customHeight="1">
      <c r="A37" s="23">
        <f>IF(B37="","",COUNTA($B$9:B37))</f>
        <v/>
      </c>
      <c r="B37" s="24" t="n"/>
      <c r="C37" s="25" t="n"/>
      <c r="D37" s="25" t="n"/>
      <c r="E37" s="25" t="n"/>
      <c r="F37" s="26" t="n"/>
      <c r="G37" s="26" t="n"/>
      <c r="H37" s="26" t="n"/>
      <c r="I37" s="26" t="n"/>
      <c r="J37" s="23">
        <f>IF(AA37&lt;3,"",X37+Y37+Z37)</f>
        <v/>
      </c>
      <c r="K37" s="27">
        <f>IF(OR(J37="",W37=""),"",W37*J37)</f>
        <v/>
      </c>
      <c r="L37" s="28">
        <f>IF(K37="","",IF(K37&lt;=Gruen_bis,"grün",IF(K37&lt;=Gelb_bis,"gelb","rot")))</f>
        <v/>
      </c>
      <c r="M37" s="29">
        <f>IF(L37="",IF(B37="","","Bewertung unvollständig – ★-Felder ausfüllen"),IF(L37="grün","Keine aktive Maßnahme – jährlich prüfen",IF(AND(X37=1,Y37=1,Z37=1),"Sofort sichern: Restbestand / Gebrauchtteil kaufen und Ersatzlösung (Retrofit) planen",IF(AND(X37=1,Z37=1),"Reparaturweg absichern (Dienstleister, Tauschteil), Gebrauchtteil prüfen",IF(X37=1,"Abgekündigt: Lagerteil schützen, Ersatzlösung mittelfristig planen",IF(Z37=1,IF(LEFT(Q37,4)="nein","Bevorratung lohnt nicht – Lieferzeit und Reparaturweg absichern","Lagerbestand anlegen (mind. 1 Stk.)"),"Reparaturmöglichkeit klären"))))))</f>
        <v/>
      </c>
      <c r="N37" s="30" t="n"/>
      <c r="O37" s="31" t="n"/>
      <c r="P37" s="32">
        <f>IF(OR(AB37="",W37="",Z37=0),"",AB37*INDEX(Krit_Kosten,MATCH(F37,Krit_Liste,0)))</f>
        <v/>
      </c>
      <c r="Q37" s="33">
        <f>IF(L37="","",IF(L37="grün","–",IF(Z37=0,"am Lager / in stock",IF(N(N37)&lt;=0,"Stückpreis fehlt",IF(P37&gt;=Faktor_lohnt*N37,"ja – "&amp;FIXED(P37/N37,0)&amp;"-fach","nein – "&amp;FIXED(P37/N37,IF(P37/N37&lt;1,2,1))&amp;"-fach")))))</f>
        <v/>
      </c>
      <c r="R37" s="25" t="n"/>
      <c r="S37" s="34" t="n"/>
      <c r="T37" s="31" t="n"/>
      <c r="U37" s="25" t="n"/>
      <c r="V37" s="2" t="n"/>
      <c r="W37" s="35">
        <f>IFERROR(INDEX(Krit_Faktor,MATCH(F37,Krit_Liste,0)),"")</f>
        <v/>
      </c>
      <c r="X37" s="35">
        <f>IF(OR(G37="nein",G37="no"),1,0)</f>
        <v/>
      </c>
      <c r="Y37" s="35">
        <f>IF(OR(H37="nein",H37="no"),1,0)</f>
        <v/>
      </c>
      <c r="Z37" s="35">
        <f>IF(OR(I37="nein",I37="no"),1,0)</f>
        <v/>
      </c>
      <c r="AA37" s="35">
        <f>(G37&lt;&gt;"")+(H37&lt;&gt;"")+(I37&lt;&gt;"")</f>
        <v/>
      </c>
      <c r="AB37" s="35">
        <f>IF(O37&lt;&gt;"",O37,IF(AA37&lt;3,"",IF(X37=1,Tage_nicht_beschaffbar,Tage_beschaffbar)))</f>
        <v/>
      </c>
      <c r="AC37" s="35">
        <f>IF(K37="","",K37*1000+W37*10+(1000-ROW())/100000)</f>
        <v/>
      </c>
    </row>
    <row r="38" ht="34" customHeight="1">
      <c r="A38" s="23">
        <f>IF(B38="","",COUNTA($B$9:B38))</f>
        <v/>
      </c>
      <c r="B38" s="24" t="n"/>
      <c r="C38" s="25" t="n"/>
      <c r="D38" s="25" t="n"/>
      <c r="E38" s="25" t="n"/>
      <c r="F38" s="26" t="n"/>
      <c r="G38" s="26" t="n"/>
      <c r="H38" s="26" t="n"/>
      <c r="I38" s="26" t="n"/>
      <c r="J38" s="23">
        <f>IF(AA38&lt;3,"",X38+Y38+Z38)</f>
        <v/>
      </c>
      <c r="K38" s="27">
        <f>IF(OR(J38="",W38=""),"",W38*J38)</f>
        <v/>
      </c>
      <c r="L38" s="28">
        <f>IF(K38="","",IF(K38&lt;=Gruen_bis,"grün",IF(K38&lt;=Gelb_bis,"gelb","rot")))</f>
        <v/>
      </c>
      <c r="M38" s="29">
        <f>IF(L38="",IF(B38="","","Bewertung unvollständig – ★-Felder ausfüllen"),IF(L38="grün","Keine aktive Maßnahme – jährlich prüfen",IF(AND(X38=1,Y38=1,Z38=1),"Sofort sichern: Restbestand / Gebrauchtteil kaufen und Ersatzlösung (Retrofit) planen",IF(AND(X38=1,Z38=1),"Reparaturweg absichern (Dienstleister, Tauschteil), Gebrauchtteil prüfen",IF(X38=1,"Abgekündigt: Lagerteil schützen, Ersatzlösung mittelfristig planen",IF(Z38=1,IF(LEFT(Q38,4)="nein","Bevorratung lohnt nicht – Lieferzeit und Reparaturweg absichern","Lagerbestand anlegen (mind. 1 Stk.)"),"Reparaturmöglichkeit klären"))))))</f>
        <v/>
      </c>
      <c r="N38" s="30" t="n"/>
      <c r="O38" s="31" t="n"/>
      <c r="P38" s="32">
        <f>IF(OR(AB38="",W38="",Z38=0),"",AB38*INDEX(Krit_Kosten,MATCH(F38,Krit_Liste,0)))</f>
        <v/>
      </c>
      <c r="Q38" s="33">
        <f>IF(L38="","",IF(L38="grün","–",IF(Z38=0,"am Lager / in stock",IF(N(N38)&lt;=0,"Stückpreis fehlt",IF(P38&gt;=Faktor_lohnt*N38,"ja – "&amp;FIXED(P38/N38,0)&amp;"-fach","nein – "&amp;FIXED(P38/N38,IF(P38/N38&lt;1,2,1))&amp;"-fach")))))</f>
        <v/>
      </c>
      <c r="R38" s="25" t="n"/>
      <c r="S38" s="34" t="n"/>
      <c r="T38" s="31" t="n"/>
      <c r="U38" s="25" t="n"/>
      <c r="V38" s="2" t="n"/>
      <c r="W38" s="35">
        <f>IFERROR(INDEX(Krit_Faktor,MATCH(F38,Krit_Liste,0)),"")</f>
        <v/>
      </c>
      <c r="X38" s="35">
        <f>IF(OR(G38="nein",G38="no"),1,0)</f>
        <v/>
      </c>
      <c r="Y38" s="35">
        <f>IF(OR(H38="nein",H38="no"),1,0)</f>
        <v/>
      </c>
      <c r="Z38" s="35">
        <f>IF(OR(I38="nein",I38="no"),1,0)</f>
        <v/>
      </c>
      <c r="AA38" s="35">
        <f>(G38&lt;&gt;"")+(H38&lt;&gt;"")+(I38&lt;&gt;"")</f>
        <v/>
      </c>
      <c r="AB38" s="35">
        <f>IF(O38&lt;&gt;"",O38,IF(AA38&lt;3,"",IF(X38=1,Tage_nicht_beschaffbar,Tage_beschaffbar)))</f>
        <v/>
      </c>
      <c r="AC38" s="35">
        <f>IF(K38="","",K38*1000+W38*10+(1000-ROW())/100000)</f>
        <v/>
      </c>
    </row>
    <row r="39" ht="34" customHeight="1">
      <c r="A39" s="23">
        <f>IF(B39="","",COUNTA($B$9:B39))</f>
        <v/>
      </c>
      <c r="B39" s="24" t="n"/>
      <c r="C39" s="25" t="n"/>
      <c r="D39" s="25" t="n"/>
      <c r="E39" s="25" t="n"/>
      <c r="F39" s="26" t="n"/>
      <c r="G39" s="26" t="n"/>
      <c r="H39" s="26" t="n"/>
      <c r="I39" s="26" t="n"/>
      <c r="J39" s="23">
        <f>IF(AA39&lt;3,"",X39+Y39+Z39)</f>
        <v/>
      </c>
      <c r="K39" s="27">
        <f>IF(OR(J39="",W39=""),"",W39*J39)</f>
        <v/>
      </c>
      <c r="L39" s="28">
        <f>IF(K39="","",IF(K39&lt;=Gruen_bis,"grün",IF(K39&lt;=Gelb_bis,"gelb","rot")))</f>
        <v/>
      </c>
      <c r="M39" s="29">
        <f>IF(L39="",IF(B39="","","Bewertung unvollständig – ★-Felder ausfüllen"),IF(L39="grün","Keine aktive Maßnahme – jährlich prüfen",IF(AND(X39=1,Y39=1,Z39=1),"Sofort sichern: Restbestand / Gebrauchtteil kaufen und Ersatzlösung (Retrofit) planen",IF(AND(X39=1,Z39=1),"Reparaturweg absichern (Dienstleister, Tauschteil), Gebrauchtteil prüfen",IF(X39=1,"Abgekündigt: Lagerteil schützen, Ersatzlösung mittelfristig planen",IF(Z39=1,IF(LEFT(Q39,4)="nein","Bevorratung lohnt nicht – Lieferzeit und Reparaturweg absichern","Lagerbestand anlegen (mind. 1 Stk.)"),"Reparaturmöglichkeit klären"))))))</f>
        <v/>
      </c>
      <c r="N39" s="30" t="n"/>
      <c r="O39" s="31" t="n"/>
      <c r="P39" s="32">
        <f>IF(OR(AB39="",W39="",Z39=0),"",AB39*INDEX(Krit_Kosten,MATCH(F39,Krit_Liste,0)))</f>
        <v/>
      </c>
      <c r="Q39" s="33">
        <f>IF(L39="","",IF(L39="grün","–",IF(Z39=0,"am Lager / in stock",IF(N(N39)&lt;=0,"Stückpreis fehlt",IF(P39&gt;=Faktor_lohnt*N39,"ja – "&amp;FIXED(P39/N39,0)&amp;"-fach","nein – "&amp;FIXED(P39/N39,IF(P39/N39&lt;1,2,1))&amp;"-fach")))))</f>
        <v/>
      </c>
      <c r="R39" s="25" t="n"/>
      <c r="S39" s="34" t="n"/>
      <c r="T39" s="31" t="n"/>
      <c r="U39" s="25" t="n"/>
      <c r="V39" s="2" t="n"/>
      <c r="W39" s="35">
        <f>IFERROR(INDEX(Krit_Faktor,MATCH(F39,Krit_Liste,0)),"")</f>
        <v/>
      </c>
      <c r="X39" s="35">
        <f>IF(OR(G39="nein",G39="no"),1,0)</f>
        <v/>
      </c>
      <c r="Y39" s="35">
        <f>IF(OR(H39="nein",H39="no"),1,0)</f>
        <v/>
      </c>
      <c r="Z39" s="35">
        <f>IF(OR(I39="nein",I39="no"),1,0)</f>
        <v/>
      </c>
      <c r="AA39" s="35">
        <f>(G39&lt;&gt;"")+(H39&lt;&gt;"")+(I39&lt;&gt;"")</f>
        <v/>
      </c>
      <c r="AB39" s="35">
        <f>IF(O39&lt;&gt;"",O39,IF(AA39&lt;3,"",IF(X39=1,Tage_nicht_beschaffbar,Tage_beschaffbar)))</f>
        <v/>
      </c>
      <c r="AC39" s="35">
        <f>IF(K39="","",K39*1000+W39*10+(1000-ROW())/100000)</f>
        <v/>
      </c>
    </row>
    <row r="40" ht="34" customHeight="1">
      <c r="A40" s="23">
        <f>IF(B40="","",COUNTA($B$9:B40))</f>
        <v/>
      </c>
      <c r="B40" s="24" t="n"/>
      <c r="C40" s="25" t="n"/>
      <c r="D40" s="25" t="n"/>
      <c r="E40" s="25" t="n"/>
      <c r="F40" s="26" t="n"/>
      <c r="G40" s="26" t="n"/>
      <c r="H40" s="26" t="n"/>
      <c r="I40" s="26" t="n"/>
      <c r="J40" s="23">
        <f>IF(AA40&lt;3,"",X40+Y40+Z40)</f>
        <v/>
      </c>
      <c r="K40" s="27">
        <f>IF(OR(J40="",W40=""),"",W40*J40)</f>
        <v/>
      </c>
      <c r="L40" s="28">
        <f>IF(K40="","",IF(K40&lt;=Gruen_bis,"grün",IF(K40&lt;=Gelb_bis,"gelb","rot")))</f>
        <v/>
      </c>
      <c r="M40" s="29">
        <f>IF(L40="",IF(B40="","","Bewertung unvollständig – ★-Felder ausfüllen"),IF(L40="grün","Keine aktive Maßnahme – jährlich prüfen",IF(AND(X40=1,Y40=1,Z40=1),"Sofort sichern: Restbestand / Gebrauchtteil kaufen und Ersatzlösung (Retrofit) planen",IF(AND(X40=1,Z40=1),"Reparaturweg absichern (Dienstleister, Tauschteil), Gebrauchtteil prüfen",IF(X40=1,"Abgekündigt: Lagerteil schützen, Ersatzlösung mittelfristig planen",IF(Z40=1,IF(LEFT(Q40,4)="nein","Bevorratung lohnt nicht – Lieferzeit und Reparaturweg absichern","Lagerbestand anlegen (mind. 1 Stk.)"),"Reparaturmöglichkeit klären"))))))</f>
        <v/>
      </c>
      <c r="N40" s="30" t="n"/>
      <c r="O40" s="31" t="n"/>
      <c r="P40" s="32">
        <f>IF(OR(AB40="",W40="",Z40=0),"",AB40*INDEX(Krit_Kosten,MATCH(F40,Krit_Liste,0)))</f>
        <v/>
      </c>
      <c r="Q40" s="33">
        <f>IF(L40="","",IF(L40="grün","–",IF(Z40=0,"am Lager / in stock",IF(N(N40)&lt;=0,"Stückpreis fehlt",IF(P40&gt;=Faktor_lohnt*N40,"ja – "&amp;FIXED(P40/N40,0)&amp;"-fach","nein – "&amp;FIXED(P40/N40,IF(P40/N40&lt;1,2,1))&amp;"-fach")))))</f>
        <v/>
      </c>
      <c r="R40" s="25" t="n"/>
      <c r="S40" s="34" t="n"/>
      <c r="T40" s="31" t="n"/>
      <c r="U40" s="25" t="n"/>
      <c r="V40" s="2" t="n"/>
      <c r="W40" s="35">
        <f>IFERROR(INDEX(Krit_Faktor,MATCH(F40,Krit_Liste,0)),"")</f>
        <v/>
      </c>
      <c r="X40" s="35">
        <f>IF(OR(G40="nein",G40="no"),1,0)</f>
        <v/>
      </c>
      <c r="Y40" s="35">
        <f>IF(OR(H40="nein",H40="no"),1,0)</f>
        <v/>
      </c>
      <c r="Z40" s="35">
        <f>IF(OR(I40="nein",I40="no"),1,0)</f>
        <v/>
      </c>
      <c r="AA40" s="35">
        <f>(G40&lt;&gt;"")+(H40&lt;&gt;"")+(I40&lt;&gt;"")</f>
        <v/>
      </c>
      <c r="AB40" s="35">
        <f>IF(O40&lt;&gt;"",O40,IF(AA40&lt;3,"",IF(X40=1,Tage_nicht_beschaffbar,Tage_beschaffbar)))</f>
        <v/>
      </c>
      <c r="AC40" s="35">
        <f>IF(K40="","",K40*1000+W40*10+(1000-ROW())/100000)</f>
        <v/>
      </c>
    </row>
    <row r="41" ht="34" customHeight="1">
      <c r="A41" s="23">
        <f>IF(B41="","",COUNTA($B$9:B41))</f>
        <v/>
      </c>
      <c r="B41" s="24" t="n"/>
      <c r="C41" s="25" t="n"/>
      <c r="D41" s="25" t="n"/>
      <c r="E41" s="25" t="n"/>
      <c r="F41" s="26" t="n"/>
      <c r="G41" s="26" t="n"/>
      <c r="H41" s="26" t="n"/>
      <c r="I41" s="26" t="n"/>
      <c r="J41" s="23">
        <f>IF(AA41&lt;3,"",X41+Y41+Z41)</f>
        <v/>
      </c>
      <c r="K41" s="27">
        <f>IF(OR(J41="",W41=""),"",W41*J41)</f>
        <v/>
      </c>
      <c r="L41" s="28">
        <f>IF(K41="","",IF(K41&lt;=Gruen_bis,"grün",IF(K41&lt;=Gelb_bis,"gelb","rot")))</f>
        <v/>
      </c>
      <c r="M41" s="29">
        <f>IF(L41="",IF(B41="","","Bewertung unvollständig – ★-Felder ausfüllen"),IF(L41="grün","Keine aktive Maßnahme – jährlich prüfen",IF(AND(X41=1,Y41=1,Z41=1),"Sofort sichern: Restbestand / Gebrauchtteil kaufen und Ersatzlösung (Retrofit) planen",IF(AND(X41=1,Z41=1),"Reparaturweg absichern (Dienstleister, Tauschteil), Gebrauchtteil prüfen",IF(X41=1,"Abgekündigt: Lagerteil schützen, Ersatzlösung mittelfristig planen",IF(Z41=1,IF(LEFT(Q41,4)="nein","Bevorratung lohnt nicht – Lieferzeit und Reparaturweg absichern","Lagerbestand anlegen (mind. 1 Stk.)"),"Reparaturmöglichkeit klären"))))))</f>
        <v/>
      </c>
      <c r="N41" s="30" t="n"/>
      <c r="O41" s="31" t="n"/>
      <c r="P41" s="32">
        <f>IF(OR(AB41="",W41="",Z41=0),"",AB41*INDEX(Krit_Kosten,MATCH(F41,Krit_Liste,0)))</f>
        <v/>
      </c>
      <c r="Q41" s="33">
        <f>IF(L41="","",IF(L41="grün","–",IF(Z41=0,"am Lager / in stock",IF(N(N41)&lt;=0,"Stückpreis fehlt",IF(P41&gt;=Faktor_lohnt*N41,"ja – "&amp;FIXED(P41/N41,0)&amp;"-fach","nein – "&amp;FIXED(P41/N41,IF(P41/N41&lt;1,2,1))&amp;"-fach")))))</f>
        <v/>
      </c>
      <c r="R41" s="25" t="n"/>
      <c r="S41" s="34" t="n"/>
      <c r="T41" s="31" t="n"/>
      <c r="U41" s="25" t="n"/>
      <c r="V41" s="2" t="n"/>
      <c r="W41" s="35">
        <f>IFERROR(INDEX(Krit_Faktor,MATCH(F41,Krit_Liste,0)),"")</f>
        <v/>
      </c>
      <c r="X41" s="35">
        <f>IF(OR(G41="nein",G41="no"),1,0)</f>
        <v/>
      </c>
      <c r="Y41" s="35">
        <f>IF(OR(H41="nein",H41="no"),1,0)</f>
        <v/>
      </c>
      <c r="Z41" s="35">
        <f>IF(OR(I41="nein",I41="no"),1,0)</f>
        <v/>
      </c>
      <c r="AA41" s="35">
        <f>(G41&lt;&gt;"")+(H41&lt;&gt;"")+(I41&lt;&gt;"")</f>
        <v/>
      </c>
      <c r="AB41" s="35">
        <f>IF(O41&lt;&gt;"",O41,IF(AA41&lt;3,"",IF(X41=1,Tage_nicht_beschaffbar,Tage_beschaffbar)))</f>
        <v/>
      </c>
      <c r="AC41" s="35">
        <f>IF(K41="","",K41*1000+W41*10+(1000-ROW())/100000)</f>
        <v/>
      </c>
    </row>
    <row r="42" ht="34" customHeight="1">
      <c r="A42" s="23">
        <f>IF(B42="","",COUNTA($B$9:B42))</f>
        <v/>
      </c>
      <c r="B42" s="24" t="n"/>
      <c r="C42" s="25" t="n"/>
      <c r="D42" s="25" t="n"/>
      <c r="E42" s="25" t="n"/>
      <c r="F42" s="26" t="n"/>
      <c r="G42" s="26" t="n"/>
      <c r="H42" s="26" t="n"/>
      <c r="I42" s="26" t="n"/>
      <c r="J42" s="23">
        <f>IF(AA42&lt;3,"",X42+Y42+Z42)</f>
        <v/>
      </c>
      <c r="K42" s="27">
        <f>IF(OR(J42="",W42=""),"",W42*J42)</f>
        <v/>
      </c>
      <c r="L42" s="28">
        <f>IF(K42="","",IF(K42&lt;=Gruen_bis,"grün",IF(K42&lt;=Gelb_bis,"gelb","rot")))</f>
        <v/>
      </c>
      <c r="M42" s="29">
        <f>IF(L42="",IF(B42="","","Bewertung unvollständig – ★-Felder ausfüllen"),IF(L42="grün","Keine aktive Maßnahme – jährlich prüfen",IF(AND(X42=1,Y42=1,Z42=1),"Sofort sichern: Restbestand / Gebrauchtteil kaufen und Ersatzlösung (Retrofit) planen",IF(AND(X42=1,Z42=1),"Reparaturweg absichern (Dienstleister, Tauschteil), Gebrauchtteil prüfen",IF(X42=1,"Abgekündigt: Lagerteil schützen, Ersatzlösung mittelfristig planen",IF(Z42=1,IF(LEFT(Q42,4)="nein","Bevorratung lohnt nicht – Lieferzeit und Reparaturweg absichern","Lagerbestand anlegen (mind. 1 Stk.)"),"Reparaturmöglichkeit klären"))))))</f>
        <v/>
      </c>
      <c r="N42" s="30" t="n"/>
      <c r="O42" s="31" t="n"/>
      <c r="P42" s="32">
        <f>IF(OR(AB42="",W42="",Z42=0),"",AB42*INDEX(Krit_Kosten,MATCH(F42,Krit_Liste,0)))</f>
        <v/>
      </c>
      <c r="Q42" s="33">
        <f>IF(L42="","",IF(L42="grün","–",IF(Z42=0,"am Lager / in stock",IF(N(N42)&lt;=0,"Stückpreis fehlt",IF(P42&gt;=Faktor_lohnt*N42,"ja – "&amp;FIXED(P42/N42,0)&amp;"-fach","nein – "&amp;FIXED(P42/N42,IF(P42/N42&lt;1,2,1))&amp;"-fach")))))</f>
        <v/>
      </c>
      <c r="R42" s="25" t="n"/>
      <c r="S42" s="34" t="n"/>
      <c r="T42" s="31" t="n"/>
      <c r="U42" s="25" t="n"/>
      <c r="V42" s="2" t="n"/>
      <c r="W42" s="35">
        <f>IFERROR(INDEX(Krit_Faktor,MATCH(F42,Krit_Liste,0)),"")</f>
        <v/>
      </c>
      <c r="X42" s="35">
        <f>IF(OR(G42="nein",G42="no"),1,0)</f>
        <v/>
      </c>
      <c r="Y42" s="35">
        <f>IF(OR(H42="nein",H42="no"),1,0)</f>
        <v/>
      </c>
      <c r="Z42" s="35">
        <f>IF(OR(I42="nein",I42="no"),1,0)</f>
        <v/>
      </c>
      <c r="AA42" s="35">
        <f>(G42&lt;&gt;"")+(H42&lt;&gt;"")+(I42&lt;&gt;"")</f>
        <v/>
      </c>
      <c r="AB42" s="35">
        <f>IF(O42&lt;&gt;"",O42,IF(AA42&lt;3,"",IF(X42=1,Tage_nicht_beschaffbar,Tage_beschaffbar)))</f>
        <v/>
      </c>
      <c r="AC42" s="35">
        <f>IF(K42="","",K42*1000+W42*10+(1000-ROW())/100000)</f>
        <v/>
      </c>
    </row>
    <row r="43" ht="34" customHeight="1">
      <c r="A43" s="23">
        <f>IF(B43="","",COUNTA($B$9:B43))</f>
        <v/>
      </c>
      <c r="B43" s="24" t="n"/>
      <c r="C43" s="25" t="n"/>
      <c r="D43" s="25" t="n"/>
      <c r="E43" s="25" t="n"/>
      <c r="F43" s="26" t="n"/>
      <c r="G43" s="26" t="n"/>
      <c r="H43" s="26" t="n"/>
      <c r="I43" s="26" t="n"/>
      <c r="J43" s="23">
        <f>IF(AA43&lt;3,"",X43+Y43+Z43)</f>
        <v/>
      </c>
      <c r="K43" s="27">
        <f>IF(OR(J43="",W43=""),"",W43*J43)</f>
        <v/>
      </c>
      <c r="L43" s="28">
        <f>IF(K43="","",IF(K43&lt;=Gruen_bis,"grün",IF(K43&lt;=Gelb_bis,"gelb","rot")))</f>
        <v/>
      </c>
      <c r="M43" s="29">
        <f>IF(L43="",IF(B43="","","Bewertung unvollständig – ★-Felder ausfüllen"),IF(L43="grün","Keine aktive Maßnahme – jährlich prüfen",IF(AND(X43=1,Y43=1,Z43=1),"Sofort sichern: Restbestand / Gebrauchtteil kaufen und Ersatzlösung (Retrofit) planen",IF(AND(X43=1,Z43=1),"Reparaturweg absichern (Dienstleister, Tauschteil), Gebrauchtteil prüfen",IF(X43=1,"Abgekündigt: Lagerteil schützen, Ersatzlösung mittelfristig planen",IF(Z43=1,IF(LEFT(Q43,4)="nein","Bevorratung lohnt nicht – Lieferzeit und Reparaturweg absichern","Lagerbestand anlegen (mind. 1 Stk.)"),"Reparaturmöglichkeit klären"))))))</f>
        <v/>
      </c>
      <c r="N43" s="30" t="n"/>
      <c r="O43" s="31" t="n"/>
      <c r="P43" s="32">
        <f>IF(OR(AB43="",W43="",Z43=0),"",AB43*INDEX(Krit_Kosten,MATCH(F43,Krit_Liste,0)))</f>
        <v/>
      </c>
      <c r="Q43" s="33">
        <f>IF(L43="","",IF(L43="grün","–",IF(Z43=0,"am Lager / in stock",IF(N(N43)&lt;=0,"Stückpreis fehlt",IF(P43&gt;=Faktor_lohnt*N43,"ja – "&amp;FIXED(P43/N43,0)&amp;"-fach","nein – "&amp;FIXED(P43/N43,IF(P43/N43&lt;1,2,1))&amp;"-fach")))))</f>
        <v/>
      </c>
      <c r="R43" s="25" t="n"/>
      <c r="S43" s="34" t="n"/>
      <c r="T43" s="31" t="n"/>
      <c r="U43" s="25" t="n"/>
      <c r="V43" s="2" t="n"/>
      <c r="W43" s="35">
        <f>IFERROR(INDEX(Krit_Faktor,MATCH(F43,Krit_Liste,0)),"")</f>
        <v/>
      </c>
      <c r="X43" s="35">
        <f>IF(OR(G43="nein",G43="no"),1,0)</f>
        <v/>
      </c>
      <c r="Y43" s="35">
        <f>IF(OR(H43="nein",H43="no"),1,0)</f>
        <v/>
      </c>
      <c r="Z43" s="35">
        <f>IF(OR(I43="nein",I43="no"),1,0)</f>
        <v/>
      </c>
      <c r="AA43" s="35">
        <f>(G43&lt;&gt;"")+(H43&lt;&gt;"")+(I43&lt;&gt;"")</f>
        <v/>
      </c>
      <c r="AB43" s="35">
        <f>IF(O43&lt;&gt;"",O43,IF(AA43&lt;3,"",IF(X43=1,Tage_nicht_beschaffbar,Tage_beschaffbar)))</f>
        <v/>
      </c>
      <c r="AC43" s="35">
        <f>IF(K43="","",K43*1000+W43*10+(1000-ROW())/100000)</f>
        <v/>
      </c>
    </row>
    <row r="44" ht="34" customHeight="1">
      <c r="A44" s="23">
        <f>IF(B44="","",COUNTA($B$9:B44))</f>
        <v/>
      </c>
      <c r="B44" s="24" t="n"/>
      <c r="C44" s="25" t="n"/>
      <c r="D44" s="25" t="n"/>
      <c r="E44" s="25" t="n"/>
      <c r="F44" s="26" t="n"/>
      <c r="G44" s="26" t="n"/>
      <c r="H44" s="26" t="n"/>
      <c r="I44" s="26" t="n"/>
      <c r="J44" s="23">
        <f>IF(AA44&lt;3,"",X44+Y44+Z44)</f>
        <v/>
      </c>
      <c r="K44" s="27">
        <f>IF(OR(J44="",W44=""),"",W44*J44)</f>
        <v/>
      </c>
      <c r="L44" s="28">
        <f>IF(K44="","",IF(K44&lt;=Gruen_bis,"grün",IF(K44&lt;=Gelb_bis,"gelb","rot")))</f>
        <v/>
      </c>
      <c r="M44" s="29">
        <f>IF(L44="",IF(B44="","","Bewertung unvollständig – ★-Felder ausfüllen"),IF(L44="grün","Keine aktive Maßnahme – jährlich prüfen",IF(AND(X44=1,Y44=1,Z44=1),"Sofort sichern: Restbestand / Gebrauchtteil kaufen und Ersatzlösung (Retrofit) planen",IF(AND(X44=1,Z44=1),"Reparaturweg absichern (Dienstleister, Tauschteil), Gebrauchtteil prüfen",IF(X44=1,"Abgekündigt: Lagerteil schützen, Ersatzlösung mittelfristig planen",IF(Z44=1,IF(LEFT(Q44,4)="nein","Bevorratung lohnt nicht – Lieferzeit und Reparaturweg absichern","Lagerbestand anlegen (mind. 1 Stk.)"),"Reparaturmöglichkeit klären"))))))</f>
        <v/>
      </c>
      <c r="N44" s="30" t="n"/>
      <c r="O44" s="31" t="n"/>
      <c r="P44" s="32">
        <f>IF(OR(AB44="",W44="",Z44=0),"",AB44*INDEX(Krit_Kosten,MATCH(F44,Krit_Liste,0)))</f>
        <v/>
      </c>
      <c r="Q44" s="33">
        <f>IF(L44="","",IF(L44="grün","–",IF(Z44=0,"am Lager / in stock",IF(N(N44)&lt;=0,"Stückpreis fehlt",IF(P44&gt;=Faktor_lohnt*N44,"ja – "&amp;FIXED(P44/N44,0)&amp;"-fach","nein – "&amp;FIXED(P44/N44,IF(P44/N44&lt;1,2,1))&amp;"-fach")))))</f>
        <v/>
      </c>
      <c r="R44" s="25" t="n"/>
      <c r="S44" s="34" t="n"/>
      <c r="T44" s="31" t="n"/>
      <c r="U44" s="25" t="n"/>
      <c r="V44" s="2" t="n"/>
      <c r="W44" s="35">
        <f>IFERROR(INDEX(Krit_Faktor,MATCH(F44,Krit_Liste,0)),"")</f>
        <v/>
      </c>
      <c r="X44" s="35">
        <f>IF(OR(G44="nein",G44="no"),1,0)</f>
        <v/>
      </c>
      <c r="Y44" s="35">
        <f>IF(OR(H44="nein",H44="no"),1,0)</f>
        <v/>
      </c>
      <c r="Z44" s="35">
        <f>IF(OR(I44="nein",I44="no"),1,0)</f>
        <v/>
      </c>
      <c r="AA44" s="35">
        <f>(G44&lt;&gt;"")+(H44&lt;&gt;"")+(I44&lt;&gt;"")</f>
        <v/>
      </c>
      <c r="AB44" s="35">
        <f>IF(O44&lt;&gt;"",O44,IF(AA44&lt;3,"",IF(X44=1,Tage_nicht_beschaffbar,Tage_beschaffbar)))</f>
        <v/>
      </c>
      <c r="AC44" s="35">
        <f>IF(K44="","",K44*1000+W44*10+(1000-ROW())/100000)</f>
        <v/>
      </c>
    </row>
    <row r="45" ht="34" customHeight="1">
      <c r="A45" s="23">
        <f>IF(B45="","",COUNTA($B$9:B45))</f>
        <v/>
      </c>
      <c r="B45" s="24" t="n"/>
      <c r="C45" s="25" t="n"/>
      <c r="D45" s="25" t="n"/>
      <c r="E45" s="25" t="n"/>
      <c r="F45" s="26" t="n"/>
      <c r="G45" s="26" t="n"/>
      <c r="H45" s="26" t="n"/>
      <c r="I45" s="26" t="n"/>
      <c r="J45" s="23">
        <f>IF(AA45&lt;3,"",X45+Y45+Z45)</f>
        <v/>
      </c>
      <c r="K45" s="27">
        <f>IF(OR(J45="",W45=""),"",W45*J45)</f>
        <v/>
      </c>
      <c r="L45" s="28">
        <f>IF(K45="","",IF(K45&lt;=Gruen_bis,"grün",IF(K45&lt;=Gelb_bis,"gelb","rot")))</f>
        <v/>
      </c>
      <c r="M45" s="29">
        <f>IF(L45="",IF(B45="","","Bewertung unvollständig – ★-Felder ausfüllen"),IF(L45="grün","Keine aktive Maßnahme – jährlich prüfen",IF(AND(X45=1,Y45=1,Z45=1),"Sofort sichern: Restbestand / Gebrauchtteil kaufen und Ersatzlösung (Retrofit) planen",IF(AND(X45=1,Z45=1),"Reparaturweg absichern (Dienstleister, Tauschteil), Gebrauchtteil prüfen",IF(X45=1,"Abgekündigt: Lagerteil schützen, Ersatzlösung mittelfristig planen",IF(Z45=1,IF(LEFT(Q45,4)="nein","Bevorratung lohnt nicht – Lieferzeit und Reparaturweg absichern","Lagerbestand anlegen (mind. 1 Stk.)"),"Reparaturmöglichkeit klären"))))))</f>
        <v/>
      </c>
      <c r="N45" s="30" t="n"/>
      <c r="O45" s="31" t="n"/>
      <c r="P45" s="32">
        <f>IF(OR(AB45="",W45="",Z45=0),"",AB45*INDEX(Krit_Kosten,MATCH(F45,Krit_Liste,0)))</f>
        <v/>
      </c>
      <c r="Q45" s="33">
        <f>IF(L45="","",IF(L45="grün","–",IF(Z45=0,"am Lager / in stock",IF(N(N45)&lt;=0,"Stückpreis fehlt",IF(P45&gt;=Faktor_lohnt*N45,"ja – "&amp;FIXED(P45/N45,0)&amp;"-fach","nein – "&amp;FIXED(P45/N45,IF(P45/N45&lt;1,2,1))&amp;"-fach")))))</f>
        <v/>
      </c>
      <c r="R45" s="25" t="n"/>
      <c r="S45" s="34" t="n"/>
      <c r="T45" s="31" t="n"/>
      <c r="U45" s="25" t="n"/>
      <c r="V45" s="2" t="n"/>
      <c r="W45" s="35">
        <f>IFERROR(INDEX(Krit_Faktor,MATCH(F45,Krit_Liste,0)),"")</f>
        <v/>
      </c>
      <c r="X45" s="35">
        <f>IF(OR(G45="nein",G45="no"),1,0)</f>
        <v/>
      </c>
      <c r="Y45" s="35">
        <f>IF(OR(H45="nein",H45="no"),1,0)</f>
        <v/>
      </c>
      <c r="Z45" s="35">
        <f>IF(OR(I45="nein",I45="no"),1,0)</f>
        <v/>
      </c>
      <c r="AA45" s="35">
        <f>(G45&lt;&gt;"")+(H45&lt;&gt;"")+(I45&lt;&gt;"")</f>
        <v/>
      </c>
      <c r="AB45" s="35">
        <f>IF(O45&lt;&gt;"",O45,IF(AA45&lt;3,"",IF(X45=1,Tage_nicht_beschaffbar,Tage_beschaffbar)))</f>
        <v/>
      </c>
      <c r="AC45" s="35">
        <f>IF(K45="","",K45*1000+W45*10+(1000-ROW())/100000)</f>
        <v/>
      </c>
    </row>
    <row r="46" ht="34" customHeight="1">
      <c r="A46" s="23">
        <f>IF(B46="","",COUNTA($B$9:B46))</f>
        <v/>
      </c>
      <c r="B46" s="24" t="n"/>
      <c r="C46" s="25" t="n"/>
      <c r="D46" s="25" t="n"/>
      <c r="E46" s="25" t="n"/>
      <c r="F46" s="26" t="n"/>
      <c r="G46" s="26" t="n"/>
      <c r="H46" s="26" t="n"/>
      <c r="I46" s="26" t="n"/>
      <c r="J46" s="23">
        <f>IF(AA46&lt;3,"",X46+Y46+Z46)</f>
        <v/>
      </c>
      <c r="K46" s="27">
        <f>IF(OR(J46="",W46=""),"",W46*J46)</f>
        <v/>
      </c>
      <c r="L46" s="28">
        <f>IF(K46="","",IF(K46&lt;=Gruen_bis,"grün",IF(K46&lt;=Gelb_bis,"gelb","rot")))</f>
        <v/>
      </c>
      <c r="M46" s="29">
        <f>IF(L46="",IF(B46="","","Bewertung unvollständig – ★-Felder ausfüllen"),IF(L46="grün","Keine aktive Maßnahme – jährlich prüfen",IF(AND(X46=1,Y46=1,Z46=1),"Sofort sichern: Restbestand / Gebrauchtteil kaufen und Ersatzlösung (Retrofit) planen",IF(AND(X46=1,Z46=1),"Reparaturweg absichern (Dienstleister, Tauschteil), Gebrauchtteil prüfen",IF(X46=1,"Abgekündigt: Lagerteil schützen, Ersatzlösung mittelfristig planen",IF(Z46=1,IF(LEFT(Q46,4)="nein","Bevorratung lohnt nicht – Lieferzeit und Reparaturweg absichern","Lagerbestand anlegen (mind. 1 Stk.)"),"Reparaturmöglichkeit klären"))))))</f>
        <v/>
      </c>
      <c r="N46" s="30" t="n"/>
      <c r="O46" s="31" t="n"/>
      <c r="P46" s="32">
        <f>IF(OR(AB46="",W46="",Z46=0),"",AB46*INDEX(Krit_Kosten,MATCH(F46,Krit_Liste,0)))</f>
        <v/>
      </c>
      <c r="Q46" s="33">
        <f>IF(L46="","",IF(L46="grün","–",IF(Z46=0,"am Lager / in stock",IF(N(N46)&lt;=0,"Stückpreis fehlt",IF(P46&gt;=Faktor_lohnt*N46,"ja – "&amp;FIXED(P46/N46,0)&amp;"-fach","nein – "&amp;FIXED(P46/N46,IF(P46/N46&lt;1,2,1))&amp;"-fach")))))</f>
        <v/>
      </c>
      <c r="R46" s="25" t="n"/>
      <c r="S46" s="34" t="n"/>
      <c r="T46" s="31" t="n"/>
      <c r="U46" s="25" t="n"/>
      <c r="V46" s="2" t="n"/>
      <c r="W46" s="35">
        <f>IFERROR(INDEX(Krit_Faktor,MATCH(F46,Krit_Liste,0)),"")</f>
        <v/>
      </c>
      <c r="X46" s="35">
        <f>IF(OR(G46="nein",G46="no"),1,0)</f>
        <v/>
      </c>
      <c r="Y46" s="35">
        <f>IF(OR(H46="nein",H46="no"),1,0)</f>
        <v/>
      </c>
      <c r="Z46" s="35">
        <f>IF(OR(I46="nein",I46="no"),1,0)</f>
        <v/>
      </c>
      <c r="AA46" s="35">
        <f>(G46&lt;&gt;"")+(H46&lt;&gt;"")+(I46&lt;&gt;"")</f>
        <v/>
      </c>
      <c r="AB46" s="35">
        <f>IF(O46&lt;&gt;"",O46,IF(AA46&lt;3,"",IF(X46=1,Tage_nicht_beschaffbar,Tage_beschaffbar)))</f>
        <v/>
      </c>
      <c r="AC46" s="35">
        <f>IF(K46="","",K46*1000+W46*10+(1000-ROW())/100000)</f>
        <v/>
      </c>
    </row>
    <row r="47" ht="34" customHeight="1">
      <c r="A47" s="23">
        <f>IF(B47="","",COUNTA($B$9:B47))</f>
        <v/>
      </c>
      <c r="B47" s="24" t="n"/>
      <c r="C47" s="25" t="n"/>
      <c r="D47" s="25" t="n"/>
      <c r="E47" s="25" t="n"/>
      <c r="F47" s="26" t="n"/>
      <c r="G47" s="26" t="n"/>
      <c r="H47" s="26" t="n"/>
      <c r="I47" s="26" t="n"/>
      <c r="J47" s="23">
        <f>IF(AA47&lt;3,"",X47+Y47+Z47)</f>
        <v/>
      </c>
      <c r="K47" s="27">
        <f>IF(OR(J47="",W47=""),"",W47*J47)</f>
        <v/>
      </c>
      <c r="L47" s="28">
        <f>IF(K47="","",IF(K47&lt;=Gruen_bis,"grün",IF(K47&lt;=Gelb_bis,"gelb","rot")))</f>
        <v/>
      </c>
      <c r="M47" s="29">
        <f>IF(L47="",IF(B47="","","Bewertung unvollständig – ★-Felder ausfüllen"),IF(L47="grün","Keine aktive Maßnahme – jährlich prüfen",IF(AND(X47=1,Y47=1,Z47=1),"Sofort sichern: Restbestand / Gebrauchtteil kaufen und Ersatzlösung (Retrofit) planen",IF(AND(X47=1,Z47=1),"Reparaturweg absichern (Dienstleister, Tauschteil), Gebrauchtteil prüfen",IF(X47=1,"Abgekündigt: Lagerteil schützen, Ersatzlösung mittelfristig planen",IF(Z47=1,IF(LEFT(Q47,4)="nein","Bevorratung lohnt nicht – Lieferzeit und Reparaturweg absichern","Lagerbestand anlegen (mind. 1 Stk.)"),"Reparaturmöglichkeit klären"))))))</f>
        <v/>
      </c>
      <c r="N47" s="30" t="n"/>
      <c r="O47" s="31" t="n"/>
      <c r="P47" s="32">
        <f>IF(OR(AB47="",W47="",Z47=0),"",AB47*INDEX(Krit_Kosten,MATCH(F47,Krit_Liste,0)))</f>
        <v/>
      </c>
      <c r="Q47" s="33">
        <f>IF(L47="","",IF(L47="grün","–",IF(Z47=0,"am Lager / in stock",IF(N(N47)&lt;=0,"Stückpreis fehlt",IF(P47&gt;=Faktor_lohnt*N47,"ja – "&amp;FIXED(P47/N47,0)&amp;"-fach","nein – "&amp;FIXED(P47/N47,IF(P47/N47&lt;1,2,1))&amp;"-fach")))))</f>
        <v/>
      </c>
      <c r="R47" s="25" t="n"/>
      <c r="S47" s="34" t="n"/>
      <c r="T47" s="31" t="n"/>
      <c r="U47" s="25" t="n"/>
      <c r="V47" s="2" t="n"/>
      <c r="W47" s="35">
        <f>IFERROR(INDEX(Krit_Faktor,MATCH(F47,Krit_Liste,0)),"")</f>
        <v/>
      </c>
      <c r="X47" s="35">
        <f>IF(OR(G47="nein",G47="no"),1,0)</f>
        <v/>
      </c>
      <c r="Y47" s="35">
        <f>IF(OR(H47="nein",H47="no"),1,0)</f>
        <v/>
      </c>
      <c r="Z47" s="35">
        <f>IF(OR(I47="nein",I47="no"),1,0)</f>
        <v/>
      </c>
      <c r="AA47" s="35">
        <f>(G47&lt;&gt;"")+(H47&lt;&gt;"")+(I47&lt;&gt;"")</f>
        <v/>
      </c>
      <c r="AB47" s="35">
        <f>IF(O47&lt;&gt;"",O47,IF(AA47&lt;3,"",IF(X47=1,Tage_nicht_beschaffbar,Tage_beschaffbar)))</f>
        <v/>
      </c>
      <c r="AC47" s="35">
        <f>IF(K47="","",K47*1000+W47*10+(1000-ROW())/100000)</f>
        <v/>
      </c>
    </row>
    <row r="48" ht="34" customHeight="1">
      <c r="A48" s="23">
        <f>IF(B48="","",COUNTA($B$9:B48))</f>
        <v/>
      </c>
      <c r="B48" s="24" t="n"/>
      <c r="C48" s="25" t="n"/>
      <c r="D48" s="25" t="n"/>
      <c r="E48" s="25" t="n"/>
      <c r="F48" s="26" t="n"/>
      <c r="G48" s="26" t="n"/>
      <c r="H48" s="26" t="n"/>
      <c r="I48" s="26" t="n"/>
      <c r="J48" s="23">
        <f>IF(AA48&lt;3,"",X48+Y48+Z48)</f>
        <v/>
      </c>
      <c r="K48" s="27">
        <f>IF(OR(J48="",W48=""),"",W48*J48)</f>
        <v/>
      </c>
      <c r="L48" s="28">
        <f>IF(K48="","",IF(K48&lt;=Gruen_bis,"grün",IF(K48&lt;=Gelb_bis,"gelb","rot")))</f>
        <v/>
      </c>
      <c r="M48" s="29">
        <f>IF(L48="",IF(B48="","","Bewertung unvollständig – ★-Felder ausfüllen"),IF(L48="grün","Keine aktive Maßnahme – jährlich prüfen",IF(AND(X48=1,Y48=1,Z48=1),"Sofort sichern: Restbestand / Gebrauchtteil kaufen und Ersatzlösung (Retrofit) planen",IF(AND(X48=1,Z48=1),"Reparaturweg absichern (Dienstleister, Tauschteil), Gebrauchtteil prüfen",IF(X48=1,"Abgekündigt: Lagerteil schützen, Ersatzlösung mittelfristig planen",IF(Z48=1,IF(LEFT(Q48,4)="nein","Bevorratung lohnt nicht – Lieferzeit und Reparaturweg absichern","Lagerbestand anlegen (mind. 1 Stk.)"),"Reparaturmöglichkeit klären"))))))</f>
        <v/>
      </c>
      <c r="N48" s="30" t="n"/>
      <c r="O48" s="31" t="n"/>
      <c r="P48" s="32">
        <f>IF(OR(AB48="",W48="",Z48=0),"",AB48*INDEX(Krit_Kosten,MATCH(F48,Krit_Liste,0)))</f>
        <v/>
      </c>
      <c r="Q48" s="33">
        <f>IF(L48="","",IF(L48="grün","–",IF(Z48=0,"am Lager / in stock",IF(N(N48)&lt;=0,"Stückpreis fehlt",IF(P48&gt;=Faktor_lohnt*N48,"ja – "&amp;FIXED(P48/N48,0)&amp;"-fach","nein – "&amp;FIXED(P48/N48,IF(P48/N48&lt;1,2,1))&amp;"-fach")))))</f>
        <v/>
      </c>
      <c r="R48" s="25" t="n"/>
      <c r="S48" s="34" t="n"/>
      <c r="T48" s="31" t="n"/>
      <c r="U48" s="25" t="n"/>
      <c r="V48" s="2" t="n"/>
      <c r="W48" s="35">
        <f>IFERROR(INDEX(Krit_Faktor,MATCH(F48,Krit_Liste,0)),"")</f>
        <v/>
      </c>
      <c r="X48" s="35">
        <f>IF(OR(G48="nein",G48="no"),1,0)</f>
        <v/>
      </c>
      <c r="Y48" s="35">
        <f>IF(OR(H48="nein",H48="no"),1,0)</f>
        <v/>
      </c>
      <c r="Z48" s="35">
        <f>IF(OR(I48="nein",I48="no"),1,0)</f>
        <v/>
      </c>
      <c r="AA48" s="35">
        <f>(G48&lt;&gt;"")+(H48&lt;&gt;"")+(I48&lt;&gt;"")</f>
        <v/>
      </c>
      <c r="AB48" s="35">
        <f>IF(O48&lt;&gt;"",O48,IF(AA48&lt;3,"",IF(X48=1,Tage_nicht_beschaffbar,Tage_beschaffbar)))</f>
        <v/>
      </c>
      <c r="AC48" s="35">
        <f>IF(K48="","",K48*1000+W48*10+(1000-ROW())/100000)</f>
        <v/>
      </c>
    </row>
    <row r="49" ht="34" customHeight="1">
      <c r="A49" s="23">
        <f>IF(B49="","",COUNTA($B$9:B49))</f>
        <v/>
      </c>
      <c r="B49" s="24" t="n"/>
      <c r="C49" s="25" t="n"/>
      <c r="D49" s="25" t="n"/>
      <c r="E49" s="25" t="n"/>
      <c r="F49" s="26" t="n"/>
      <c r="G49" s="26" t="n"/>
      <c r="H49" s="26" t="n"/>
      <c r="I49" s="26" t="n"/>
      <c r="J49" s="23">
        <f>IF(AA49&lt;3,"",X49+Y49+Z49)</f>
        <v/>
      </c>
      <c r="K49" s="27">
        <f>IF(OR(J49="",W49=""),"",W49*J49)</f>
        <v/>
      </c>
      <c r="L49" s="28">
        <f>IF(K49="","",IF(K49&lt;=Gruen_bis,"grün",IF(K49&lt;=Gelb_bis,"gelb","rot")))</f>
        <v/>
      </c>
      <c r="M49" s="29">
        <f>IF(L49="",IF(B49="","","Bewertung unvollständig – ★-Felder ausfüllen"),IF(L49="grün","Keine aktive Maßnahme – jährlich prüfen",IF(AND(X49=1,Y49=1,Z49=1),"Sofort sichern: Restbestand / Gebrauchtteil kaufen und Ersatzlösung (Retrofit) planen",IF(AND(X49=1,Z49=1),"Reparaturweg absichern (Dienstleister, Tauschteil), Gebrauchtteil prüfen",IF(X49=1,"Abgekündigt: Lagerteil schützen, Ersatzlösung mittelfristig planen",IF(Z49=1,IF(LEFT(Q49,4)="nein","Bevorratung lohnt nicht – Lieferzeit und Reparaturweg absichern","Lagerbestand anlegen (mind. 1 Stk.)"),"Reparaturmöglichkeit klären"))))))</f>
        <v/>
      </c>
      <c r="N49" s="30" t="n"/>
      <c r="O49" s="31" t="n"/>
      <c r="P49" s="32">
        <f>IF(OR(AB49="",W49="",Z49=0),"",AB49*INDEX(Krit_Kosten,MATCH(F49,Krit_Liste,0)))</f>
        <v/>
      </c>
      <c r="Q49" s="33">
        <f>IF(L49="","",IF(L49="grün","–",IF(Z49=0,"am Lager / in stock",IF(N(N49)&lt;=0,"Stückpreis fehlt",IF(P49&gt;=Faktor_lohnt*N49,"ja – "&amp;FIXED(P49/N49,0)&amp;"-fach","nein – "&amp;FIXED(P49/N49,IF(P49/N49&lt;1,2,1))&amp;"-fach")))))</f>
        <v/>
      </c>
      <c r="R49" s="25" t="n"/>
      <c r="S49" s="34" t="n"/>
      <c r="T49" s="31" t="n"/>
      <c r="U49" s="25" t="n"/>
      <c r="V49" s="2" t="n"/>
      <c r="W49" s="35">
        <f>IFERROR(INDEX(Krit_Faktor,MATCH(F49,Krit_Liste,0)),"")</f>
        <v/>
      </c>
      <c r="X49" s="35">
        <f>IF(OR(G49="nein",G49="no"),1,0)</f>
        <v/>
      </c>
      <c r="Y49" s="35">
        <f>IF(OR(H49="nein",H49="no"),1,0)</f>
        <v/>
      </c>
      <c r="Z49" s="35">
        <f>IF(OR(I49="nein",I49="no"),1,0)</f>
        <v/>
      </c>
      <c r="AA49" s="35">
        <f>(G49&lt;&gt;"")+(H49&lt;&gt;"")+(I49&lt;&gt;"")</f>
        <v/>
      </c>
      <c r="AB49" s="35">
        <f>IF(O49&lt;&gt;"",O49,IF(AA49&lt;3,"",IF(X49=1,Tage_nicht_beschaffbar,Tage_beschaffbar)))</f>
        <v/>
      </c>
      <c r="AC49" s="35">
        <f>IF(K49="","",K49*1000+W49*10+(1000-ROW())/100000)</f>
        <v/>
      </c>
    </row>
    <row r="50" ht="34" customHeight="1">
      <c r="A50" s="23">
        <f>IF(B50="","",COUNTA($B$9:B50))</f>
        <v/>
      </c>
      <c r="B50" s="24" t="n"/>
      <c r="C50" s="25" t="n"/>
      <c r="D50" s="25" t="n"/>
      <c r="E50" s="25" t="n"/>
      <c r="F50" s="26" t="n"/>
      <c r="G50" s="26" t="n"/>
      <c r="H50" s="26" t="n"/>
      <c r="I50" s="26" t="n"/>
      <c r="J50" s="23">
        <f>IF(AA50&lt;3,"",X50+Y50+Z50)</f>
        <v/>
      </c>
      <c r="K50" s="27">
        <f>IF(OR(J50="",W50=""),"",W50*J50)</f>
        <v/>
      </c>
      <c r="L50" s="28">
        <f>IF(K50="","",IF(K50&lt;=Gruen_bis,"grün",IF(K50&lt;=Gelb_bis,"gelb","rot")))</f>
        <v/>
      </c>
      <c r="M50" s="29">
        <f>IF(L50="",IF(B50="","","Bewertung unvollständig – ★-Felder ausfüllen"),IF(L50="grün","Keine aktive Maßnahme – jährlich prüfen",IF(AND(X50=1,Y50=1,Z50=1),"Sofort sichern: Restbestand / Gebrauchtteil kaufen und Ersatzlösung (Retrofit) planen",IF(AND(X50=1,Z50=1),"Reparaturweg absichern (Dienstleister, Tauschteil), Gebrauchtteil prüfen",IF(X50=1,"Abgekündigt: Lagerteil schützen, Ersatzlösung mittelfristig planen",IF(Z50=1,IF(LEFT(Q50,4)="nein","Bevorratung lohnt nicht – Lieferzeit und Reparaturweg absichern","Lagerbestand anlegen (mind. 1 Stk.)"),"Reparaturmöglichkeit klären"))))))</f>
        <v/>
      </c>
      <c r="N50" s="30" t="n"/>
      <c r="O50" s="31" t="n"/>
      <c r="P50" s="32">
        <f>IF(OR(AB50="",W50="",Z50=0),"",AB50*INDEX(Krit_Kosten,MATCH(F50,Krit_Liste,0)))</f>
        <v/>
      </c>
      <c r="Q50" s="33">
        <f>IF(L50="","",IF(L50="grün","–",IF(Z50=0,"am Lager / in stock",IF(N(N50)&lt;=0,"Stückpreis fehlt",IF(P50&gt;=Faktor_lohnt*N50,"ja – "&amp;FIXED(P50/N50,0)&amp;"-fach","nein – "&amp;FIXED(P50/N50,IF(P50/N50&lt;1,2,1))&amp;"-fach")))))</f>
        <v/>
      </c>
      <c r="R50" s="25" t="n"/>
      <c r="S50" s="34" t="n"/>
      <c r="T50" s="31" t="n"/>
      <c r="U50" s="25" t="n"/>
      <c r="V50" s="2" t="n"/>
      <c r="W50" s="35">
        <f>IFERROR(INDEX(Krit_Faktor,MATCH(F50,Krit_Liste,0)),"")</f>
        <v/>
      </c>
      <c r="X50" s="35">
        <f>IF(OR(G50="nein",G50="no"),1,0)</f>
        <v/>
      </c>
      <c r="Y50" s="35">
        <f>IF(OR(H50="nein",H50="no"),1,0)</f>
        <v/>
      </c>
      <c r="Z50" s="35">
        <f>IF(OR(I50="nein",I50="no"),1,0)</f>
        <v/>
      </c>
      <c r="AA50" s="35">
        <f>(G50&lt;&gt;"")+(H50&lt;&gt;"")+(I50&lt;&gt;"")</f>
        <v/>
      </c>
      <c r="AB50" s="35">
        <f>IF(O50&lt;&gt;"",O50,IF(AA50&lt;3,"",IF(X50=1,Tage_nicht_beschaffbar,Tage_beschaffbar)))</f>
        <v/>
      </c>
      <c r="AC50" s="35">
        <f>IF(K50="","",K50*1000+W50*10+(1000-ROW())/100000)</f>
        <v/>
      </c>
    </row>
    <row r="51" ht="34" customHeight="1">
      <c r="A51" s="23">
        <f>IF(B51="","",COUNTA($B$9:B51))</f>
        <v/>
      </c>
      <c r="B51" s="24" t="n"/>
      <c r="C51" s="25" t="n"/>
      <c r="D51" s="25" t="n"/>
      <c r="E51" s="25" t="n"/>
      <c r="F51" s="26" t="n"/>
      <c r="G51" s="26" t="n"/>
      <c r="H51" s="26" t="n"/>
      <c r="I51" s="26" t="n"/>
      <c r="J51" s="23">
        <f>IF(AA51&lt;3,"",X51+Y51+Z51)</f>
        <v/>
      </c>
      <c r="K51" s="27">
        <f>IF(OR(J51="",W51=""),"",W51*J51)</f>
        <v/>
      </c>
      <c r="L51" s="28">
        <f>IF(K51="","",IF(K51&lt;=Gruen_bis,"grün",IF(K51&lt;=Gelb_bis,"gelb","rot")))</f>
        <v/>
      </c>
      <c r="M51" s="29">
        <f>IF(L51="",IF(B51="","","Bewertung unvollständig – ★-Felder ausfüllen"),IF(L51="grün","Keine aktive Maßnahme – jährlich prüfen",IF(AND(X51=1,Y51=1,Z51=1),"Sofort sichern: Restbestand / Gebrauchtteil kaufen und Ersatzlösung (Retrofit) planen",IF(AND(X51=1,Z51=1),"Reparaturweg absichern (Dienstleister, Tauschteil), Gebrauchtteil prüfen",IF(X51=1,"Abgekündigt: Lagerteil schützen, Ersatzlösung mittelfristig planen",IF(Z51=1,IF(LEFT(Q51,4)="nein","Bevorratung lohnt nicht – Lieferzeit und Reparaturweg absichern","Lagerbestand anlegen (mind. 1 Stk.)"),"Reparaturmöglichkeit klären"))))))</f>
        <v/>
      </c>
      <c r="N51" s="30" t="n"/>
      <c r="O51" s="31" t="n"/>
      <c r="P51" s="32">
        <f>IF(OR(AB51="",W51="",Z51=0),"",AB51*INDEX(Krit_Kosten,MATCH(F51,Krit_Liste,0)))</f>
        <v/>
      </c>
      <c r="Q51" s="33">
        <f>IF(L51="","",IF(L51="grün","–",IF(Z51=0,"am Lager / in stock",IF(N(N51)&lt;=0,"Stückpreis fehlt",IF(P51&gt;=Faktor_lohnt*N51,"ja – "&amp;FIXED(P51/N51,0)&amp;"-fach","nein – "&amp;FIXED(P51/N51,IF(P51/N51&lt;1,2,1))&amp;"-fach")))))</f>
        <v/>
      </c>
      <c r="R51" s="25" t="n"/>
      <c r="S51" s="34" t="n"/>
      <c r="T51" s="31" t="n"/>
      <c r="U51" s="25" t="n"/>
      <c r="V51" s="2" t="n"/>
      <c r="W51" s="35">
        <f>IFERROR(INDEX(Krit_Faktor,MATCH(F51,Krit_Liste,0)),"")</f>
        <v/>
      </c>
      <c r="X51" s="35">
        <f>IF(OR(G51="nein",G51="no"),1,0)</f>
        <v/>
      </c>
      <c r="Y51" s="35">
        <f>IF(OR(H51="nein",H51="no"),1,0)</f>
        <v/>
      </c>
      <c r="Z51" s="35">
        <f>IF(OR(I51="nein",I51="no"),1,0)</f>
        <v/>
      </c>
      <c r="AA51" s="35">
        <f>(G51&lt;&gt;"")+(H51&lt;&gt;"")+(I51&lt;&gt;"")</f>
        <v/>
      </c>
      <c r="AB51" s="35">
        <f>IF(O51&lt;&gt;"",O51,IF(AA51&lt;3,"",IF(X51=1,Tage_nicht_beschaffbar,Tage_beschaffbar)))</f>
        <v/>
      </c>
      <c r="AC51" s="35">
        <f>IF(K51="","",K51*1000+W51*10+(1000-ROW())/100000)</f>
        <v/>
      </c>
    </row>
    <row r="52" ht="34" customHeight="1">
      <c r="A52" s="23">
        <f>IF(B52="","",COUNTA($B$9:B52))</f>
        <v/>
      </c>
      <c r="B52" s="24" t="n"/>
      <c r="C52" s="25" t="n"/>
      <c r="D52" s="25" t="n"/>
      <c r="E52" s="25" t="n"/>
      <c r="F52" s="26" t="n"/>
      <c r="G52" s="26" t="n"/>
      <c r="H52" s="26" t="n"/>
      <c r="I52" s="26" t="n"/>
      <c r="J52" s="23">
        <f>IF(AA52&lt;3,"",X52+Y52+Z52)</f>
        <v/>
      </c>
      <c r="K52" s="27">
        <f>IF(OR(J52="",W52=""),"",W52*J52)</f>
        <v/>
      </c>
      <c r="L52" s="28">
        <f>IF(K52="","",IF(K52&lt;=Gruen_bis,"grün",IF(K52&lt;=Gelb_bis,"gelb","rot")))</f>
        <v/>
      </c>
      <c r="M52" s="29">
        <f>IF(L52="",IF(B52="","","Bewertung unvollständig – ★-Felder ausfüllen"),IF(L52="grün","Keine aktive Maßnahme – jährlich prüfen",IF(AND(X52=1,Y52=1,Z52=1),"Sofort sichern: Restbestand / Gebrauchtteil kaufen und Ersatzlösung (Retrofit) planen",IF(AND(X52=1,Z52=1),"Reparaturweg absichern (Dienstleister, Tauschteil), Gebrauchtteil prüfen",IF(X52=1,"Abgekündigt: Lagerteil schützen, Ersatzlösung mittelfristig planen",IF(Z52=1,IF(LEFT(Q52,4)="nein","Bevorratung lohnt nicht – Lieferzeit und Reparaturweg absichern","Lagerbestand anlegen (mind. 1 Stk.)"),"Reparaturmöglichkeit klären"))))))</f>
        <v/>
      </c>
      <c r="N52" s="30" t="n"/>
      <c r="O52" s="31" t="n"/>
      <c r="P52" s="32">
        <f>IF(OR(AB52="",W52="",Z52=0),"",AB52*INDEX(Krit_Kosten,MATCH(F52,Krit_Liste,0)))</f>
        <v/>
      </c>
      <c r="Q52" s="33">
        <f>IF(L52="","",IF(L52="grün","–",IF(Z52=0,"am Lager / in stock",IF(N(N52)&lt;=0,"Stückpreis fehlt",IF(P52&gt;=Faktor_lohnt*N52,"ja – "&amp;FIXED(P52/N52,0)&amp;"-fach","nein – "&amp;FIXED(P52/N52,IF(P52/N52&lt;1,2,1))&amp;"-fach")))))</f>
        <v/>
      </c>
      <c r="R52" s="25" t="n"/>
      <c r="S52" s="34" t="n"/>
      <c r="T52" s="31" t="n"/>
      <c r="U52" s="25" t="n"/>
      <c r="V52" s="2" t="n"/>
      <c r="W52" s="35">
        <f>IFERROR(INDEX(Krit_Faktor,MATCH(F52,Krit_Liste,0)),"")</f>
        <v/>
      </c>
      <c r="X52" s="35">
        <f>IF(OR(G52="nein",G52="no"),1,0)</f>
        <v/>
      </c>
      <c r="Y52" s="35">
        <f>IF(OR(H52="nein",H52="no"),1,0)</f>
        <v/>
      </c>
      <c r="Z52" s="35">
        <f>IF(OR(I52="nein",I52="no"),1,0)</f>
        <v/>
      </c>
      <c r="AA52" s="35">
        <f>(G52&lt;&gt;"")+(H52&lt;&gt;"")+(I52&lt;&gt;"")</f>
        <v/>
      </c>
      <c r="AB52" s="35">
        <f>IF(O52&lt;&gt;"",O52,IF(AA52&lt;3,"",IF(X52=1,Tage_nicht_beschaffbar,Tage_beschaffbar)))</f>
        <v/>
      </c>
      <c r="AC52" s="35">
        <f>IF(K52="","",K52*1000+W52*10+(1000-ROW())/100000)</f>
        <v/>
      </c>
    </row>
    <row r="53" ht="34" customHeight="1">
      <c r="A53" s="23">
        <f>IF(B53="","",COUNTA($B$9:B53))</f>
        <v/>
      </c>
      <c r="B53" s="24" t="n"/>
      <c r="C53" s="25" t="n"/>
      <c r="D53" s="25" t="n"/>
      <c r="E53" s="25" t="n"/>
      <c r="F53" s="26" t="n"/>
      <c r="G53" s="26" t="n"/>
      <c r="H53" s="26" t="n"/>
      <c r="I53" s="26" t="n"/>
      <c r="J53" s="23">
        <f>IF(AA53&lt;3,"",X53+Y53+Z53)</f>
        <v/>
      </c>
      <c r="K53" s="27">
        <f>IF(OR(J53="",W53=""),"",W53*J53)</f>
        <v/>
      </c>
      <c r="L53" s="28">
        <f>IF(K53="","",IF(K53&lt;=Gruen_bis,"grün",IF(K53&lt;=Gelb_bis,"gelb","rot")))</f>
        <v/>
      </c>
      <c r="M53" s="29">
        <f>IF(L53="",IF(B53="","","Bewertung unvollständig – ★-Felder ausfüllen"),IF(L53="grün","Keine aktive Maßnahme – jährlich prüfen",IF(AND(X53=1,Y53=1,Z53=1),"Sofort sichern: Restbestand / Gebrauchtteil kaufen und Ersatzlösung (Retrofit) planen",IF(AND(X53=1,Z53=1),"Reparaturweg absichern (Dienstleister, Tauschteil), Gebrauchtteil prüfen",IF(X53=1,"Abgekündigt: Lagerteil schützen, Ersatzlösung mittelfristig planen",IF(Z53=1,IF(LEFT(Q53,4)="nein","Bevorratung lohnt nicht – Lieferzeit und Reparaturweg absichern","Lagerbestand anlegen (mind. 1 Stk.)"),"Reparaturmöglichkeit klären"))))))</f>
        <v/>
      </c>
      <c r="N53" s="30" t="n"/>
      <c r="O53" s="31" t="n"/>
      <c r="P53" s="32">
        <f>IF(OR(AB53="",W53="",Z53=0),"",AB53*INDEX(Krit_Kosten,MATCH(F53,Krit_Liste,0)))</f>
        <v/>
      </c>
      <c r="Q53" s="33">
        <f>IF(L53="","",IF(L53="grün","–",IF(Z53=0,"am Lager / in stock",IF(N(N53)&lt;=0,"Stückpreis fehlt",IF(P53&gt;=Faktor_lohnt*N53,"ja – "&amp;FIXED(P53/N53,0)&amp;"-fach","nein – "&amp;FIXED(P53/N53,IF(P53/N53&lt;1,2,1))&amp;"-fach")))))</f>
        <v/>
      </c>
      <c r="R53" s="25" t="n"/>
      <c r="S53" s="34" t="n"/>
      <c r="T53" s="31" t="n"/>
      <c r="U53" s="25" t="n"/>
      <c r="V53" s="2" t="n"/>
      <c r="W53" s="35">
        <f>IFERROR(INDEX(Krit_Faktor,MATCH(F53,Krit_Liste,0)),"")</f>
        <v/>
      </c>
      <c r="X53" s="35">
        <f>IF(OR(G53="nein",G53="no"),1,0)</f>
        <v/>
      </c>
      <c r="Y53" s="35">
        <f>IF(OR(H53="nein",H53="no"),1,0)</f>
        <v/>
      </c>
      <c r="Z53" s="35">
        <f>IF(OR(I53="nein",I53="no"),1,0)</f>
        <v/>
      </c>
      <c r="AA53" s="35">
        <f>(G53&lt;&gt;"")+(H53&lt;&gt;"")+(I53&lt;&gt;"")</f>
        <v/>
      </c>
      <c r="AB53" s="35">
        <f>IF(O53&lt;&gt;"",O53,IF(AA53&lt;3,"",IF(X53=1,Tage_nicht_beschaffbar,Tage_beschaffbar)))</f>
        <v/>
      </c>
      <c r="AC53" s="35">
        <f>IF(K53="","",K53*1000+W53*10+(1000-ROW())/100000)</f>
        <v/>
      </c>
    </row>
    <row r="54" ht="34" customHeight="1">
      <c r="A54" s="23">
        <f>IF(B54="","",COUNTA($B$9:B54))</f>
        <v/>
      </c>
      <c r="B54" s="24" t="n"/>
      <c r="C54" s="25" t="n"/>
      <c r="D54" s="25" t="n"/>
      <c r="E54" s="25" t="n"/>
      <c r="F54" s="26" t="n"/>
      <c r="G54" s="26" t="n"/>
      <c r="H54" s="26" t="n"/>
      <c r="I54" s="26" t="n"/>
      <c r="J54" s="23">
        <f>IF(AA54&lt;3,"",X54+Y54+Z54)</f>
        <v/>
      </c>
      <c r="K54" s="27">
        <f>IF(OR(J54="",W54=""),"",W54*J54)</f>
        <v/>
      </c>
      <c r="L54" s="28">
        <f>IF(K54="","",IF(K54&lt;=Gruen_bis,"grün",IF(K54&lt;=Gelb_bis,"gelb","rot")))</f>
        <v/>
      </c>
      <c r="M54" s="29">
        <f>IF(L54="",IF(B54="","","Bewertung unvollständig – ★-Felder ausfüllen"),IF(L54="grün","Keine aktive Maßnahme – jährlich prüfen",IF(AND(X54=1,Y54=1,Z54=1),"Sofort sichern: Restbestand / Gebrauchtteil kaufen und Ersatzlösung (Retrofit) planen",IF(AND(X54=1,Z54=1),"Reparaturweg absichern (Dienstleister, Tauschteil), Gebrauchtteil prüfen",IF(X54=1,"Abgekündigt: Lagerteil schützen, Ersatzlösung mittelfristig planen",IF(Z54=1,IF(LEFT(Q54,4)="nein","Bevorratung lohnt nicht – Lieferzeit und Reparaturweg absichern","Lagerbestand anlegen (mind. 1 Stk.)"),"Reparaturmöglichkeit klären"))))))</f>
        <v/>
      </c>
      <c r="N54" s="30" t="n"/>
      <c r="O54" s="31" t="n"/>
      <c r="P54" s="32">
        <f>IF(OR(AB54="",W54="",Z54=0),"",AB54*INDEX(Krit_Kosten,MATCH(F54,Krit_Liste,0)))</f>
        <v/>
      </c>
      <c r="Q54" s="33">
        <f>IF(L54="","",IF(L54="grün","–",IF(Z54=0,"am Lager / in stock",IF(N(N54)&lt;=0,"Stückpreis fehlt",IF(P54&gt;=Faktor_lohnt*N54,"ja – "&amp;FIXED(P54/N54,0)&amp;"-fach","nein – "&amp;FIXED(P54/N54,IF(P54/N54&lt;1,2,1))&amp;"-fach")))))</f>
        <v/>
      </c>
      <c r="R54" s="25" t="n"/>
      <c r="S54" s="34" t="n"/>
      <c r="T54" s="31" t="n"/>
      <c r="U54" s="25" t="n"/>
      <c r="V54" s="2" t="n"/>
      <c r="W54" s="35">
        <f>IFERROR(INDEX(Krit_Faktor,MATCH(F54,Krit_Liste,0)),"")</f>
        <v/>
      </c>
      <c r="X54" s="35">
        <f>IF(OR(G54="nein",G54="no"),1,0)</f>
        <v/>
      </c>
      <c r="Y54" s="35">
        <f>IF(OR(H54="nein",H54="no"),1,0)</f>
        <v/>
      </c>
      <c r="Z54" s="35">
        <f>IF(OR(I54="nein",I54="no"),1,0)</f>
        <v/>
      </c>
      <c r="AA54" s="35">
        <f>(G54&lt;&gt;"")+(H54&lt;&gt;"")+(I54&lt;&gt;"")</f>
        <v/>
      </c>
      <c r="AB54" s="35">
        <f>IF(O54&lt;&gt;"",O54,IF(AA54&lt;3,"",IF(X54=1,Tage_nicht_beschaffbar,Tage_beschaffbar)))</f>
        <v/>
      </c>
      <c r="AC54" s="35">
        <f>IF(K54="","",K54*1000+W54*10+(1000-ROW())/100000)</f>
        <v/>
      </c>
    </row>
    <row r="55" ht="34" customHeight="1">
      <c r="A55" s="23">
        <f>IF(B55="","",COUNTA($B$9:B55))</f>
        <v/>
      </c>
      <c r="B55" s="24" t="n"/>
      <c r="C55" s="25" t="n"/>
      <c r="D55" s="25" t="n"/>
      <c r="E55" s="25" t="n"/>
      <c r="F55" s="26" t="n"/>
      <c r="G55" s="26" t="n"/>
      <c r="H55" s="26" t="n"/>
      <c r="I55" s="26" t="n"/>
      <c r="J55" s="23">
        <f>IF(AA55&lt;3,"",X55+Y55+Z55)</f>
        <v/>
      </c>
      <c r="K55" s="27">
        <f>IF(OR(J55="",W55=""),"",W55*J55)</f>
        <v/>
      </c>
      <c r="L55" s="28">
        <f>IF(K55="","",IF(K55&lt;=Gruen_bis,"grün",IF(K55&lt;=Gelb_bis,"gelb","rot")))</f>
        <v/>
      </c>
      <c r="M55" s="29">
        <f>IF(L55="",IF(B55="","","Bewertung unvollständig – ★-Felder ausfüllen"),IF(L55="grün","Keine aktive Maßnahme – jährlich prüfen",IF(AND(X55=1,Y55=1,Z55=1),"Sofort sichern: Restbestand / Gebrauchtteil kaufen und Ersatzlösung (Retrofit) planen",IF(AND(X55=1,Z55=1),"Reparaturweg absichern (Dienstleister, Tauschteil), Gebrauchtteil prüfen",IF(X55=1,"Abgekündigt: Lagerteil schützen, Ersatzlösung mittelfristig planen",IF(Z55=1,IF(LEFT(Q55,4)="nein","Bevorratung lohnt nicht – Lieferzeit und Reparaturweg absichern","Lagerbestand anlegen (mind. 1 Stk.)"),"Reparaturmöglichkeit klären"))))))</f>
        <v/>
      </c>
      <c r="N55" s="30" t="n"/>
      <c r="O55" s="31" t="n"/>
      <c r="P55" s="32">
        <f>IF(OR(AB55="",W55="",Z55=0),"",AB55*INDEX(Krit_Kosten,MATCH(F55,Krit_Liste,0)))</f>
        <v/>
      </c>
      <c r="Q55" s="33">
        <f>IF(L55="","",IF(L55="grün","–",IF(Z55=0,"am Lager / in stock",IF(N(N55)&lt;=0,"Stückpreis fehlt",IF(P55&gt;=Faktor_lohnt*N55,"ja – "&amp;FIXED(P55/N55,0)&amp;"-fach","nein – "&amp;FIXED(P55/N55,IF(P55/N55&lt;1,2,1))&amp;"-fach")))))</f>
        <v/>
      </c>
      <c r="R55" s="25" t="n"/>
      <c r="S55" s="34" t="n"/>
      <c r="T55" s="31" t="n"/>
      <c r="U55" s="25" t="n"/>
      <c r="V55" s="2" t="n"/>
      <c r="W55" s="35">
        <f>IFERROR(INDEX(Krit_Faktor,MATCH(F55,Krit_Liste,0)),"")</f>
        <v/>
      </c>
      <c r="X55" s="35">
        <f>IF(OR(G55="nein",G55="no"),1,0)</f>
        <v/>
      </c>
      <c r="Y55" s="35">
        <f>IF(OR(H55="nein",H55="no"),1,0)</f>
        <v/>
      </c>
      <c r="Z55" s="35">
        <f>IF(OR(I55="nein",I55="no"),1,0)</f>
        <v/>
      </c>
      <c r="AA55" s="35">
        <f>(G55&lt;&gt;"")+(H55&lt;&gt;"")+(I55&lt;&gt;"")</f>
        <v/>
      </c>
      <c r="AB55" s="35">
        <f>IF(O55&lt;&gt;"",O55,IF(AA55&lt;3,"",IF(X55=1,Tage_nicht_beschaffbar,Tage_beschaffbar)))</f>
        <v/>
      </c>
      <c r="AC55" s="35">
        <f>IF(K55="","",K55*1000+W55*10+(1000-ROW())/100000)</f>
        <v/>
      </c>
    </row>
    <row r="56" ht="34" customHeight="1">
      <c r="A56" s="23">
        <f>IF(B56="","",COUNTA($B$9:B56))</f>
        <v/>
      </c>
      <c r="B56" s="24" t="n"/>
      <c r="C56" s="25" t="n"/>
      <c r="D56" s="25" t="n"/>
      <c r="E56" s="25" t="n"/>
      <c r="F56" s="26" t="n"/>
      <c r="G56" s="26" t="n"/>
      <c r="H56" s="26" t="n"/>
      <c r="I56" s="26" t="n"/>
      <c r="J56" s="23">
        <f>IF(AA56&lt;3,"",X56+Y56+Z56)</f>
        <v/>
      </c>
      <c r="K56" s="27">
        <f>IF(OR(J56="",W56=""),"",W56*J56)</f>
        <v/>
      </c>
      <c r="L56" s="28">
        <f>IF(K56="","",IF(K56&lt;=Gruen_bis,"grün",IF(K56&lt;=Gelb_bis,"gelb","rot")))</f>
        <v/>
      </c>
      <c r="M56" s="29">
        <f>IF(L56="",IF(B56="","","Bewertung unvollständig – ★-Felder ausfüllen"),IF(L56="grün","Keine aktive Maßnahme – jährlich prüfen",IF(AND(X56=1,Y56=1,Z56=1),"Sofort sichern: Restbestand / Gebrauchtteil kaufen und Ersatzlösung (Retrofit) planen",IF(AND(X56=1,Z56=1),"Reparaturweg absichern (Dienstleister, Tauschteil), Gebrauchtteil prüfen",IF(X56=1,"Abgekündigt: Lagerteil schützen, Ersatzlösung mittelfristig planen",IF(Z56=1,IF(LEFT(Q56,4)="nein","Bevorratung lohnt nicht – Lieferzeit und Reparaturweg absichern","Lagerbestand anlegen (mind. 1 Stk.)"),"Reparaturmöglichkeit klären"))))))</f>
        <v/>
      </c>
      <c r="N56" s="30" t="n"/>
      <c r="O56" s="31" t="n"/>
      <c r="P56" s="32">
        <f>IF(OR(AB56="",W56="",Z56=0),"",AB56*INDEX(Krit_Kosten,MATCH(F56,Krit_Liste,0)))</f>
        <v/>
      </c>
      <c r="Q56" s="33">
        <f>IF(L56="","",IF(L56="grün","–",IF(Z56=0,"am Lager / in stock",IF(N(N56)&lt;=0,"Stückpreis fehlt",IF(P56&gt;=Faktor_lohnt*N56,"ja – "&amp;FIXED(P56/N56,0)&amp;"-fach","nein – "&amp;FIXED(P56/N56,IF(P56/N56&lt;1,2,1))&amp;"-fach")))))</f>
        <v/>
      </c>
      <c r="R56" s="25" t="n"/>
      <c r="S56" s="34" t="n"/>
      <c r="T56" s="31" t="n"/>
      <c r="U56" s="25" t="n"/>
      <c r="V56" s="2" t="n"/>
      <c r="W56" s="35">
        <f>IFERROR(INDEX(Krit_Faktor,MATCH(F56,Krit_Liste,0)),"")</f>
        <v/>
      </c>
      <c r="X56" s="35">
        <f>IF(OR(G56="nein",G56="no"),1,0)</f>
        <v/>
      </c>
      <c r="Y56" s="35">
        <f>IF(OR(H56="nein",H56="no"),1,0)</f>
        <v/>
      </c>
      <c r="Z56" s="35">
        <f>IF(OR(I56="nein",I56="no"),1,0)</f>
        <v/>
      </c>
      <c r="AA56" s="35">
        <f>(G56&lt;&gt;"")+(H56&lt;&gt;"")+(I56&lt;&gt;"")</f>
        <v/>
      </c>
      <c r="AB56" s="35">
        <f>IF(O56&lt;&gt;"",O56,IF(AA56&lt;3,"",IF(X56=1,Tage_nicht_beschaffbar,Tage_beschaffbar)))</f>
        <v/>
      </c>
      <c r="AC56" s="35">
        <f>IF(K56="","",K56*1000+W56*10+(1000-ROW())/100000)</f>
        <v/>
      </c>
    </row>
    <row r="57" ht="34" customHeight="1">
      <c r="A57" s="23">
        <f>IF(B57="","",COUNTA($B$9:B57))</f>
        <v/>
      </c>
      <c r="B57" s="24" t="n"/>
      <c r="C57" s="25" t="n"/>
      <c r="D57" s="25" t="n"/>
      <c r="E57" s="25" t="n"/>
      <c r="F57" s="26" t="n"/>
      <c r="G57" s="26" t="n"/>
      <c r="H57" s="26" t="n"/>
      <c r="I57" s="26" t="n"/>
      <c r="J57" s="23">
        <f>IF(AA57&lt;3,"",X57+Y57+Z57)</f>
        <v/>
      </c>
      <c r="K57" s="27">
        <f>IF(OR(J57="",W57=""),"",W57*J57)</f>
        <v/>
      </c>
      <c r="L57" s="28">
        <f>IF(K57="","",IF(K57&lt;=Gruen_bis,"grün",IF(K57&lt;=Gelb_bis,"gelb","rot")))</f>
        <v/>
      </c>
      <c r="M57" s="29">
        <f>IF(L57="",IF(B57="","","Bewertung unvollständig – ★-Felder ausfüllen"),IF(L57="grün","Keine aktive Maßnahme – jährlich prüfen",IF(AND(X57=1,Y57=1,Z57=1),"Sofort sichern: Restbestand / Gebrauchtteil kaufen und Ersatzlösung (Retrofit) planen",IF(AND(X57=1,Z57=1),"Reparaturweg absichern (Dienstleister, Tauschteil), Gebrauchtteil prüfen",IF(X57=1,"Abgekündigt: Lagerteil schützen, Ersatzlösung mittelfristig planen",IF(Z57=1,IF(LEFT(Q57,4)="nein","Bevorratung lohnt nicht – Lieferzeit und Reparaturweg absichern","Lagerbestand anlegen (mind. 1 Stk.)"),"Reparaturmöglichkeit klären"))))))</f>
        <v/>
      </c>
      <c r="N57" s="30" t="n"/>
      <c r="O57" s="31" t="n"/>
      <c r="P57" s="32">
        <f>IF(OR(AB57="",W57="",Z57=0),"",AB57*INDEX(Krit_Kosten,MATCH(F57,Krit_Liste,0)))</f>
        <v/>
      </c>
      <c r="Q57" s="33">
        <f>IF(L57="","",IF(L57="grün","–",IF(Z57=0,"am Lager / in stock",IF(N(N57)&lt;=0,"Stückpreis fehlt",IF(P57&gt;=Faktor_lohnt*N57,"ja – "&amp;FIXED(P57/N57,0)&amp;"-fach","nein – "&amp;FIXED(P57/N57,IF(P57/N57&lt;1,2,1))&amp;"-fach")))))</f>
        <v/>
      </c>
      <c r="R57" s="25" t="n"/>
      <c r="S57" s="34" t="n"/>
      <c r="T57" s="31" t="n"/>
      <c r="U57" s="25" t="n"/>
      <c r="V57" s="2" t="n"/>
      <c r="W57" s="35">
        <f>IFERROR(INDEX(Krit_Faktor,MATCH(F57,Krit_Liste,0)),"")</f>
        <v/>
      </c>
      <c r="X57" s="35">
        <f>IF(OR(G57="nein",G57="no"),1,0)</f>
        <v/>
      </c>
      <c r="Y57" s="35">
        <f>IF(OR(H57="nein",H57="no"),1,0)</f>
        <v/>
      </c>
      <c r="Z57" s="35">
        <f>IF(OR(I57="nein",I57="no"),1,0)</f>
        <v/>
      </c>
      <c r="AA57" s="35">
        <f>(G57&lt;&gt;"")+(H57&lt;&gt;"")+(I57&lt;&gt;"")</f>
        <v/>
      </c>
      <c r="AB57" s="35">
        <f>IF(O57&lt;&gt;"",O57,IF(AA57&lt;3,"",IF(X57=1,Tage_nicht_beschaffbar,Tage_beschaffbar)))</f>
        <v/>
      </c>
      <c r="AC57" s="35">
        <f>IF(K57="","",K57*1000+W57*10+(1000-ROW())/100000)</f>
        <v/>
      </c>
    </row>
    <row r="58" ht="34" customHeight="1">
      <c r="A58" s="23">
        <f>IF(B58="","",COUNTA($B$9:B58))</f>
        <v/>
      </c>
      <c r="B58" s="24" t="n"/>
      <c r="C58" s="25" t="n"/>
      <c r="D58" s="25" t="n"/>
      <c r="E58" s="25" t="n"/>
      <c r="F58" s="26" t="n"/>
      <c r="G58" s="26" t="n"/>
      <c r="H58" s="26" t="n"/>
      <c r="I58" s="26" t="n"/>
      <c r="J58" s="23">
        <f>IF(AA58&lt;3,"",X58+Y58+Z58)</f>
        <v/>
      </c>
      <c r="K58" s="27">
        <f>IF(OR(J58="",W58=""),"",W58*J58)</f>
        <v/>
      </c>
      <c r="L58" s="28">
        <f>IF(K58="","",IF(K58&lt;=Gruen_bis,"grün",IF(K58&lt;=Gelb_bis,"gelb","rot")))</f>
        <v/>
      </c>
      <c r="M58" s="29">
        <f>IF(L58="",IF(B58="","","Bewertung unvollständig – ★-Felder ausfüllen"),IF(L58="grün","Keine aktive Maßnahme – jährlich prüfen",IF(AND(X58=1,Y58=1,Z58=1),"Sofort sichern: Restbestand / Gebrauchtteil kaufen und Ersatzlösung (Retrofit) planen",IF(AND(X58=1,Z58=1),"Reparaturweg absichern (Dienstleister, Tauschteil), Gebrauchtteil prüfen",IF(X58=1,"Abgekündigt: Lagerteil schützen, Ersatzlösung mittelfristig planen",IF(Z58=1,IF(LEFT(Q58,4)="nein","Bevorratung lohnt nicht – Lieferzeit und Reparaturweg absichern","Lagerbestand anlegen (mind. 1 Stk.)"),"Reparaturmöglichkeit klären"))))))</f>
        <v/>
      </c>
      <c r="N58" s="30" t="n"/>
      <c r="O58" s="31" t="n"/>
      <c r="P58" s="32">
        <f>IF(OR(AB58="",W58="",Z58=0),"",AB58*INDEX(Krit_Kosten,MATCH(F58,Krit_Liste,0)))</f>
        <v/>
      </c>
      <c r="Q58" s="33">
        <f>IF(L58="","",IF(L58="grün","–",IF(Z58=0,"am Lager / in stock",IF(N(N58)&lt;=0,"Stückpreis fehlt",IF(P58&gt;=Faktor_lohnt*N58,"ja – "&amp;FIXED(P58/N58,0)&amp;"-fach","nein – "&amp;FIXED(P58/N58,IF(P58/N58&lt;1,2,1))&amp;"-fach")))))</f>
        <v/>
      </c>
      <c r="R58" s="25" t="n"/>
      <c r="S58" s="34" t="n"/>
      <c r="T58" s="31" t="n"/>
      <c r="U58" s="25" t="n"/>
      <c r="V58" s="2" t="n"/>
      <c r="W58" s="35">
        <f>IFERROR(INDEX(Krit_Faktor,MATCH(F58,Krit_Liste,0)),"")</f>
        <v/>
      </c>
      <c r="X58" s="35">
        <f>IF(OR(G58="nein",G58="no"),1,0)</f>
        <v/>
      </c>
      <c r="Y58" s="35">
        <f>IF(OR(H58="nein",H58="no"),1,0)</f>
        <v/>
      </c>
      <c r="Z58" s="35">
        <f>IF(OR(I58="nein",I58="no"),1,0)</f>
        <v/>
      </c>
      <c r="AA58" s="35">
        <f>(G58&lt;&gt;"")+(H58&lt;&gt;"")+(I58&lt;&gt;"")</f>
        <v/>
      </c>
      <c r="AB58" s="35">
        <f>IF(O58&lt;&gt;"",O58,IF(AA58&lt;3,"",IF(X58=1,Tage_nicht_beschaffbar,Tage_beschaffbar)))</f>
        <v/>
      </c>
      <c r="AC58" s="35">
        <f>IF(K58="","",K58*1000+W58*10+(1000-ROW())/100000)</f>
        <v/>
      </c>
    </row>
    <row r="59" ht="34" customHeight="1">
      <c r="A59" s="23">
        <f>IF(B59="","",COUNTA($B$9:B59))</f>
        <v/>
      </c>
      <c r="B59" s="24" t="n"/>
      <c r="C59" s="25" t="n"/>
      <c r="D59" s="25" t="n"/>
      <c r="E59" s="25" t="n"/>
      <c r="F59" s="26" t="n"/>
      <c r="G59" s="26" t="n"/>
      <c r="H59" s="26" t="n"/>
      <c r="I59" s="26" t="n"/>
      <c r="J59" s="23">
        <f>IF(AA59&lt;3,"",X59+Y59+Z59)</f>
        <v/>
      </c>
      <c r="K59" s="27">
        <f>IF(OR(J59="",W59=""),"",W59*J59)</f>
        <v/>
      </c>
      <c r="L59" s="28">
        <f>IF(K59="","",IF(K59&lt;=Gruen_bis,"grün",IF(K59&lt;=Gelb_bis,"gelb","rot")))</f>
        <v/>
      </c>
      <c r="M59" s="29">
        <f>IF(L59="",IF(B59="","","Bewertung unvollständig – ★-Felder ausfüllen"),IF(L59="grün","Keine aktive Maßnahme – jährlich prüfen",IF(AND(X59=1,Y59=1,Z59=1),"Sofort sichern: Restbestand / Gebrauchtteil kaufen und Ersatzlösung (Retrofit) planen",IF(AND(X59=1,Z59=1),"Reparaturweg absichern (Dienstleister, Tauschteil), Gebrauchtteil prüfen",IF(X59=1,"Abgekündigt: Lagerteil schützen, Ersatzlösung mittelfristig planen",IF(Z59=1,IF(LEFT(Q59,4)="nein","Bevorratung lohnt nicht – Lieferzeit und Reparaturweg absichern","Lagerbestand anlegen (mind. 1 Stk.)"),"Reparaturmöglichkeit klären"))))))</f>
        <v/>
      </c>
      <c r="N59" s="30" t="n"/>
      <c r="O59" s="31" t="n"/>
      <c r="P59" s="32">
        <f>IF(OR(AB59="",W59="",Z59=0),"",AB59*INDEX(Krit_Kosten,MATCH(F59,Krit_Liste,0)))</f>
        <v/>
      </c>
      <c r="Q59" s="33">
        <f>IF(L59="","",IF(L59="grün","–",IF(Z59=0,"am Lager / in stock",IF(N(N59)&lt;=0,"Stückpreis fehlt",IF(P59&gt;=Faktor_lohnt*N59,"ja – "&amp;FIXED(P59/N59,0)&amp;"-fach","nein – "&amp;FIXED(P59/N59,IF(P59/N59&lt;1,2,1))&amp;"-fach")))))</f>
        <v/>
      </c>
      <c r="R59" s="25" t="n"/>
      <c r="S59" s="34" t="n"/>
      <c r="T59" s="31" t="n"/>
      <c r="U59" s="25" t="n"/>
      <c r="V59" s="2" t="n"/>
      <c r="W59" s="35">
        <f>IFERROR(INDEX(Krit_Faktor,MATCH(F59,Krit_Liste,0)),"")</f>
        <v/>
      </c>
      <c r="X59" s="35">
        <f>IF(OR(G59="nein",G59="no"),1,0)</f>
        <v/>
      </c>
      <c r="Y59" s="35">
        <f>IF(OR(H59="nein",H59="no"),1,0)</f>
        <v/>
      </c>
      <c r="Z59" s="35">
        <f>IF(OR(I59="nein",I59="no"),1,0)</f>
        <v/>
      </c>
      <c r="AA59" s="35">
        <f>(G59&lt;&gt;"")+(H59&lt;&gt;"")+(I59&lt;&gt;"")</f>
        <v/>
      </c>
      <c r="AB59" s="35">
        <f>IF(O59&lt;&gt;"",O59,IF(AA59&lt;3,"",IF(X59=1,Tage_nicht_beschaffbar,Tage_beschaffbar)))</f>
        <v/>
      </c>
      <c r="AC59" s="35">
        <f>IF(K59="","",K59*1000+W59*10+(1000-ROW())/100000)</f>
        <v/>
      </c>
    </row>
    <row r="60" ht="34" customHeight="1">
      <c r="A60" s="23">
        <f>IF(B60="","",COUNTA($B$9:B60))</f>
        <v/>
      </c>
      <c r="B60" s="24" t="n"/>
      <c r="C60" s="25" t="n"/>
      <c r="D60" s="25" t="n"/>
      <c r="E60" s="25" t="n"/>
      <c r="F60" s="26" t="n"/>
      <c r="G60" s="26" t="n"/>
      <c r="H60" s="26" t="n"/>
      <c r="I60" s="26" t="n"/>
      <c r="J60" s="23">
        <f>IF(AA60&lt;3,"",X60+Y60+Z60)</f>
        <v/>
      </c>
      <c r="K60" s="27">
        <f>IF(OR(J60="",W60=""),"",W60*J60)</f>
        <v/>
      </c>
      <c r="L60" s="28">
        <f>IF(K60="","",IF(K60&lt;=Gruen_bis,"grün",IF(K60&lt;=Gelb_bis,"gelb","rot")))</f>
        <v/>
      </c>
      <c r="M60" s="29">
        <f>IF(L60="",IF(B60="","","Bewertung unvollständig – ★-Felder ausfüllen"),IF(L60="grün","Keine aktive Maßnahme – jährlich prüfen",IF(AND(X60=1,Y60=1,Z60=1),"Sofort sichern: Restbestand / Gebrauchtteil kaufen und Ersatzlösung (Retrofit) planen",IF(AND(X60=1,Z60=1),"Reparaturweg absichern (Dienstleister, Tauschteil), Gebrauchtteil prüfen",IF(X60=1,"Abgekündigt: Lagerteil schützen, Ersatzlösung mittelfristig planen",IF(Z60=1,IF(LEFT(Q60,4)="nein","Bevorratung lohnt nicht – Lieferzeit und Reparaturweg absichern","Lagerbestand anlegen (mind. 1 Stk.)"),"Reparaturmöglichkeit klären"))))))</f>
        <v/>
      </c>
      <c r="N60" s="30" t="n"/>
      <c r="O60" s="31" t="n"/>
      <c r="P60" s="32">
        <f>IF(OR(AB60="",W60="",Z60=0),"",AB60*INDEX(Krit_Kosten,MATCH(F60,Krit_Liste,0)))</f>
        <v/>
      </c>
      <c r="Q60" s="33">
        <f>IF(L60="","",IF(L60="grün","–",IF(Z60=0,"am Lager / in stock",IF(N(N60)&lt;=0,"Stückpreis fehlt",IF(P60&gt;=Faktor_lohnt*N60,"ja – "&amp;FIXED(P60/N60,0)&amp;"-fach","nein – "&amp;FIXED(P60/N60,IF(P60/N60&lt;1,2,1))&amp;"-fach")))))</f>
        <v/>
      </c>
      <c r="R60" s="25" t="n"/>
      <c r="S60" s="34" t="n"/>
      <c r="T60" s="31" t="n"/>
      <c r="U60" s="25" t="n"/>
      <c r="V60" s="2" t="n"/>
      <c r="W60" s="35">
        <f>IFERROR(INDEX(Krit_Faktor,MATCH(F60,Krit_Liste,0)),"")</f>
        <v/>
      </c>
      <c r="X60" s="35">
        <f>IF(OR(G60="nein",G60="no"),1,0)</f>
        <v/>
      </c>
      <c r="Y60" s="35">
        <f>IF(OR(H60="nein",H60="no"),1,0)</f>
        <v/>
      </c>
      <c r="Z60" s="35">
        <f>IF(OR(I60="nein",I60="no"),1,0)</f>
        <v/>
      </c>
      <c r="AA60" s="35">
        <f>(G60&lt;&gt;"")+(H60&lt;&gt;"")+(I60&lt;&gt;"")</f>
        <v/>
      </c>
      <c r="AB60" s="35">
        <f>IF(O60&lt;&gt;"",O60,IF(AA60&lt;3,"",IF(X60=1,Tage_nicht_beschaffbar,Tage_beschaffbar)))</f>
        <v/>
      </c>
      <c r="AC60" s="35">
        <f>IF(K60="","",K60*1000+W60*10+(1000-ROW())/100000)</f>
        <v/>
      </c>
    </row>
    <row r="61" ht="34" customHeight="1">
      <c r="A61" s="23">
        <f>IF(B61="","",COUNTA($B$9:B61))</f>
        <v/>
      </c>
      <c r="B61" s="24" t="n"/>
      <c r="C61" s="25" t="n"/>
      <c r="D61" s="25" t="n"/>
      <c r="E61" s="25" t="n"/>
      <c r="F61" s="26" t="n"/>
      <c r="G61" s="26" t="n"/>
      <c r="H61" s="26" t="n"/>
      <c r="I61" s="26" t="n"/>
      <c r="J61" s="23">
        <f>IF(AA61&lt;3,"",X61+Y61+Z61)</f>
        <v/>
      </c>
      <c r="K61" s="27">
        <f>IF(OR(J61="",W61=""),"",W61*J61)</f>
        <v/>
      </c>
      <c r="L61" s="28">
        <f>IF(K61="","",IF(K61&lt;=Gruen_bis,"grün",IF(K61&lt;=Gelb_bis,"gelb","rot")))</f>
        <v/>
      </c>
      <c r="M61" s="29">
        <f>IF(L61="",IF(B61="","","Bewertung unvollständig – ★-Felder ausfüllen"),IF(L61="grün","Keine aktive Maßnahme – jährlich prüfen",IF(AND(X61=1,Y61=1,Z61=1),"Sofort sichern: Restbestand / Gebrauchtteil kaufen und Ersatzlösung (Retrofit) planen",IF(AND(X61=1,Z61=1),"Reparaturweg absichern (Dienstleister, Tauschteil), Gebrauchtteil prüfen",IF(X61=1,"Abgekündigt: Lagerteil schützen, Ersatzlösung mittelfristig planen",IF(Z61=1,IF(LEFT(Q61,4)="nein","Bevorratung lohnt nicht – Lieferzeit und Reparaturweg absichern","Lagerbestand anlegen (mind. 1 Stk.)"),"Reparaturmöglichkeit klären"))))))</f>
        <v/>
      </c>
      <c r="N61" s="30" t="n"/>
      <c r="O61" s="31" t="n"/>
      <c r="P61" s="32">
        <f>IF(OR(AB61="",W61="",Z61=0),"",AB61*INDEX(Krit_Kosten,MATCH(F61,Krit_Liste,0)))</f>
        <v/>
      </c>
      <c r="Q61" s="33">
        <f>IF(L61="","",IF(L61="grün","–",IF(Z61=0,"am Lager / in stock",IF(N(N61)&lt;=0,"Stückpreis fehlt",IF(P61&gt;=Faktor_lohnt*N61,"ja – "&amp;FIXED(P61/N61,0)&amp;"-fach","nein – "&amp;FIXED(P61/N61,IF(P61/N61&lt;1,2,1))&amp;"-fach")))))</f>
        <v/>
      </c>
      <c r="R61" s="25" t="n"/>
      <c r="S61" s="34" t="n"/>
      <c r="T61" s="31" t="n"/>
      <c r="U61" s="25" t="n"/>
      <c r="V61" s="2" t="n"/>
      <c r="W61" s="35">
        <f>IFERROR(INDEX(Krit_Faktor,MATCH(F61,Krit_Liste,0)),"")</f>
        <v/>
      </c>
      <c r="X61" s="35">
        <f>IF(OR(G61="nein",G61="no"),1,0)</f>
        <v/>
      </c>
      <c r="Y61" s="35">
        <f>IF(OR(H61="nein",H61="no"),1,0)</f>
        <v/>
      </c>
      <c r="Z61" s="35">
        <f>IF(OR(I61="nein",I61="no"),1,0)</f>
        <v/>
      </c>
      <c r="AA61" s="35">
        <f>(G61&lt;&gt;"")+(H61&lt;&gt;"")+(I61&lt;&gt;"")</f>
        <v/>
      </c>
      <c r="AB61" s="35">
        <f>IF(O61&lt;&gt;"",O61,IF(AA61&lt;3,"",IF(X61=1,Tage_nicht_beschaffbar,Tage_beschaffbar)))</f>
        <v/>
      </c>
      <c r="AC61" s="35">
        <f>IF(K61="","",K61*1000+W61*10+(1000-ROW())/100000)</f>
        <v/>
      </c>
    </row>
    <row r="62" ht="34" customHeight="1">
      <c r="A62" s="23">
        <f>IF(B62="","",COUNTA($B$9:B62))</f>
        <v/>
      </c>
      <c r="B62" s="24" t="n"/>
      <c r="C62" s="25" t="n"/>
      <c r="D62" s="25" t="n"/>
      <c r="E62" s="25" t="n"/>
      <c r="F62" s="26" t="n"/>
      <c r="G62" s="26" t="n"/>
      <c r="H62" s="26" t="n"/>
      <c r="I62" s="26" t="n"/>
      <c r="J62" s="23">
        <f>IF(AA62&lt;3,"",X62+Y62+Z62)</f>
        <v/>
      </c>
      <c r="K62" s="27">
        <f>IF(OR(J62="",W62=""),"",W62*J62)</f>
        <v/>
      </c>
      <c r="L62" s="28">
        <f>IF(K62="","",IF(K62&lt;=Gruen_bis,"grün",IF(K62&lt;=Gelb_bis,"gelb","rot")))</f>
        <v/>
      </c>
      <c r="M62" s="29">
        <f>IF(L62="",IF(B62="","","Bewertung unvollständig – ★-Felder ausfüllen"),IF(L62="grün","Keine aktive Maßnahme – jährlich prüfen",IF(AND(X62=1,Y62=1,Z62=1),"Sofort sichern: Restbestand / Gebrauchtteil kaufen und Ersatzlösung (Retrofit) planen",IF(AND(X62=1,Z62=1),"Reparaturweg absichern (Dienstleister, Tauschteil), Gebrauchtteil prüfen",IF(X62=1,"Abgekündigt: Lagerteil schützen, Ersatzlösung mittelfristig planen",IF(Z62=1,IF(LEFT(Q62,4)="nein","Bevorratung lohnt nicht – Lieferzeit und Reparaturweg absichern","Lagerbestand anlegen (mind. 1 Stk.)"),"Reparaturmöglichkeit klären"))))))</f>
        <v/>
      </c>
      <c r="N62" s="30" t="n"/>
      <c r="O62" s="31" t="n"/>
      <c r="P62" s="32">
        <f>IF(OR(AB62="",W62="",Z62=0),"",AB62*INDEX(Krit_Kosten,MATCH(F62,Krit_Liste,0)))</f>
        <v/>
      </c>
      <c r="Q62" s="33">
        <f>IF(L62="","",IF(L62="grün","–",IF(Z62=0,"am Lager / in stock",IF(N(N62)&lt;=0,"Stückpreis fehlt",IF(P62&gt;=Faktor_lohnt*N62,"ja – "&amp;FIXED(P62/N62,0)&amp;"-fach","nein – "&amp;FIXED(P62/N62,IF(P62/N62&lt;1,2,1))&amp;"-fach")))))</f>
        <v/>
      </c>
      <c r="R62" s="25" t="n"/>
      <c r="S62" s="34" t="n"/>
      <c r="T62" s="31" t="n"/>
      <c r="U62" s="25" t="n"/>
      <c r="V62" s="2" t="n"/>
      <c r="W62" s="35">
        <f>IFERROR(INDEX(Krit_Faktor,MATCH(F62,Krit_Liste,0)),"")</f>
        <v/>
      </c>
      <c r="X62" s="35">
        <f>IF(OR(G62="nein",G62="no"),1,0)</f>
        <v/>
      </c>
      <c r="Y62" s="35">
        <f>IF(OR(H62="nein",H62="no"),1,0)</f>
        <v/>
      </c>
      <c r="Z62" s="35">
        <f>IF(OR(I62="nein",I62="no"),1,0)</f>
        <v/>
      </c>
      <c r="AA62" s="35">
        <f>(G62&lt;&gt;"")+(H62&lt;&gt;"")+(I62&lt;&gt;"")</f>
        <v/>
      </c>
      <c r="AB62" s="35">
        <f>IF(O62&lt;&gt;"",O62,IF(AA62&lt;3,"",IF(X62=1,Tage_nicht_beschaffbar,Tage_beschaffbar)))</f>
        <v/>
      </c>
      <c r="AC62" s="35">
        <f>IF(K62="","",K62*1000+W62*10+(1000-ROW())/100000)</f>
        <v/>
      </c>
    </row>
    <row r="63" ht="34" customHeight="1">
      <c r="A63" s="23">
        <f>IF(B63="","",COUNTA($B$9:B63))</f>
        <v/>
      </c>
      <c r="B63" s="24" t="n"/>
      <c r="C63" s="25" t="n"/>
      <c r="D63" s="25" t="n"/>
      <c r="E63" s="25" t="n"/>
      <c r="F63" s="26" t="n"/>
      <c r="G63" s="26" t="n"/>
      <c r="H63" s="26" t="n"/>
      <c r="I63" s="26" t="n"/>
      <c r="J63" s="23">
        <f>IF(AA63&lt;3,"",X63+Y63+Z63)</f>
        <v/>
      </c>
      <c r="K63" s="27">
        <f>IF(OR(J63="",W63=""),"",W63*J63)</f>
        <v/>
      </c>
      <c r="L63" s="28">
        <f>IF(K63="","",IF(K63&lt;=Gruen_bis,"grün",IF(K63&lt;=Gelb_bis,"gelb","rot")))</f>
        <v/>
      </c>
      <c r="M63" s="29">
        <f>IF(L63="",IF(B63="","","Bewertung unvollständig – ★-Felder ausfüllen"),IF(L63="grün","Keine aktive Maßnahme – jährlich prüfen",IF(AND(X63=1,Y63=1,Z63=1),"Sofort sichern: Restbestand / Gebrauchtteil kaufen und Ersatzlösung (Retrofit) planen",IF(AND(X63=1,Z63=1),"Reparaturweg absichern (Dienstleister, Tauschteil), Gebrauchtteil prüfen",IF(X63=1,"Abgekündigt: Lagerteil schützen, Ersatzlösung mittelfristig planen",IF(Z63=1,IF(LEFT(Q63,4)="nein","Bevorratung lohnt nicht – Lieferzeit und Reparaturweg absichern","Lagerbestand anlegen (mind. 1 Stk.)"),"Reparaturmöglichkeit klären"))))))</f>
        <v/>
      </c>
      <c r="N63" s="30" t="n"/>
      <c r="O63" s="31" t="n"/>
      <c r="P63" s="32">
        <f>IF(OR(AB63="",W63="",Z63=0),"",AB63*INDEX(Krit_Kosten,MATCH(F63,Krit_Liste,0)))</f>
        <v/>
      </c>
      <c r="Q63" s="33">
        <f>IF(L63="","",IF(L63="grün","–",IF(Z63=0,"am Lager / in stock",IF(N(N63)&lt;=0,"Stückpreis fehlt",IF(P63&gt;=Faktor_lohnt*N63,"ja – "&amp;FIXED(P63/N63,0)&amp;"-fach","nein – "&amp;FIXED(P63/N63,IF(P63/N63&lt;1,2,1))&amp;"-fach")))))</f>
        <v/>
      </c>
      <c r="R63" s="25" t="n"/>
      <c r="S63" s="34" t="n"/>
      <c r="T63" s="31" t="n"/>
      <c r="U63" s="25" t="n"/>
      <c r="V63" s="2" t="n"/>
      <c r="W63" s="35">
        <f>IFERROR(INDEX(Krit_Faktor,MATCH(F63,Krit_Liste,0)),"")</f>
        <v/>
      </c>
      <c r="X63" s="35">
        <f>IF(OR(G63="nein",G63="no"),1,0)</f>
        <v/>
      </c>
      <c r="Y63" s="35">
        <f>IF(OR(H63="nein",H63="no"),1,0)</f>
        <v/>
      </c>
      <c r="Z63" s="35">
        <f>IF(OR(I63="nein",I63="no"),1,0)</f>
        <v/>
      </c>
      <c r="AA63" s="35">
        <f>(G63&lt;&gt;"")+(H63&lt;&gt;"")+(I63&lt;&gt;"")</f>
        <v/>
      </c>
      <c r="AB63" s="35">
        <f>IF(O63&lt;&gt;"",O63,IF(AA63&lt;3,"",IF(X63=1,Tage_nicht_beschaffbar,Tage_beschaffbar)))</f>
        <v/>
      </c>
      <c r="AC63" s="35">
        <f>IF(K63="","",K63*1000+W63*10+(1000-ROW())/100000)</f>
        <v/>
      </c>
    </row>
    <row r="64" ht="34" customHeight="1">
      <c r="A64" s="23">
        <f>IF(B64="","",COUNTA($B$9:B64))</f>
        <v/>
      </c>
      <c r="B64" s="24" t="n"/>
      <c r="C64" s="25" t="n"/>
      <c r="D64" s="25" t="n"/>
      <c r="E64" s="25" t="n"/>
      <c r="F64" s="26" t="n"/>
      <c r="G64" s="26" t="n"/>
      <c r="H64" s="26" t="n"/>
      <c r="I64" s="26" t="n"/>
      <c r="J64" s="23">
        <f>IF(AA64&lt;3,"",X64+Y64+Z64)</f>
        <v/>
      </c>
      <c r="K64" s="27">
        <f>IF(OR(J64="",W64=""),"",W64*J64)</f>
        <v/>
      </c>
      <c r="L64" s="28">
        <f>IF(K64="","",IF(K64&lt;=Gruen_bis,"grün",IF(K64&lt;=Gelb_bis,"gelb","rot")))</f>
        <v/>
      </c>
      <c r="M64" s="29">
        <f>IF(L64="",IF(B64="","","Bewertung unvollständig – ★-Felder ausfüllen"),IF(L64="grün","Keine aktive Maßnahme – jährlich prüfen",IF(AND(X64=1,Y64=1,Z64=1),"Sofort sichern: Restbestand / Gebrauchtteil kaufen und Ersatzlösung (Retrofit) planen",IF(AND(X64=1,Z64=1),"Reparaturweg absichern (Dienstleister, Tauschteil), Gebrauchtteil prüfen",IF(X64=1,"Abgekündigt: Lagerteil schützen, Ersatzlösung mittelfristig planen",IF(Z64=1,IF(LEFT(Q64,4)="nein","Bevorratung lohnt nicht – Lieferzeit und Reparaturweg absichern","Lagerbestand anlegen (mind. 1 Stk.)"),"Reparaturmöglichkeit klären"))))))</f>
        <v/>
      </c>
      <c r="N64" s="30" t="n"/>
      <c r="O64" s="31" t="n"/>
      <c r="P64" s="32">
        <f>IF(OR(AB64="",W64="",Z64=0),"",AB64*INDEX(Krit_Kosten,MATCH(F64,Krit_Liste,0)))</f>
        <v/>
      </c>
      <c r="Q64" s="33">
        <f>IF(L64="","",IF(L64="grün","–",IF(Z64=0,"am Lager / in stock",IF(N(N64)&lt;=0,"Stückpreis fehlt",IF(P64&gt;=Faktor_lohnt*N64,"ja – "&amp;FIXED(P64/N64,0)&amp;"-fach","nein – "&amp;FIXED(P64/N64,IF(P64/N64&lt;1,2,1))&amp;"-fach")))))</f>
        <v/>
      </c>
      <c r="R64" s="25" t="n"/>
      <c r="S64" s="34" t="n"/>
      <c r="T64" s="31" t="n"/>
      <c r="U64" s="25" t="n"/>
      <c r="V64" s="2" t="n"/>
      <c r="W64" s="35">
        <f>IFERROR(INDEX(Krit_Faktor,MATCH(F64,Krit_Liste,0)),"")</f>
        <v/>
      </c>
      <c r="X64" s="35">
        <f>IF(OR(G64="nein",G64="no"),1,0)</f>
        <v/>
      </c>
      <c r="Y64" s="35">
        <f>IF(OR(H64="nein",H64="no"),1,0)</f>
        <v/>
      </c>
      <c r="Z64" s="35">
        <f>IF(OR(I64="nein",I64="no"),1,0)</f>
        <v/>
      </c>
      <c r="AA64" s="35">
        <f>(G64&lt;&gt;"")+(H64&lt;&gt;"")+(I64&lt;&gt;"")</f>
        <v/>
      </c>
      <c r="AB64" s="35">
        <f>IF(O64&lt;&gt;"",O64,IF(AA64&lt;3,"",IF(X64=1,Tage_nicht_beschaffbar,Tage_beschaffbar)))</f>
        <v/>
      </c>
      <c r="AC64" s="35">
        <f>IF(K64="","",K64*1000+W64*10+(1000-ROW())/100000)</f>
        <v/>
      </c>
    </row>
    <row r="65" ht="34" customHeight="1">
      <c r="A65" s="23">
        <f>IF(B65="","",COUNTA($B$9:B65))</f>
        <v/>
      </c>
      <c r="B65" s="24" t="n"/>
      <c r="C65" s="25" t="n"/>
      <c r="D65" s="25" t="n"/>
      <c r="E65" s="25" t="n"/>
      <c r="F65" s="26" t="n"/>
      <c r="G65" s="26" t="n"/>
      <c r="H65" s="26" t="n"/>
      <c r="I65" s="26" t="n"/>
      <c r="J65" s="23">
        <f>IF(AA65&lt;3,"",X65+Y65+Z65)</f>
        <v/>
      </c>
      <c r="K65" s="27">
        <f>IF(OR(J65="",W65=""),"",W65*J65)</f>
        <v/>
      </c>
      <c r="L65" s="28">
        <f>IF(K65="","",IF(K65&lt;=Gruen_bis,"grün",IF(K65&lt;=Gelb_bis,"gelb","rot")))</f>
        <v/>
      </c>
      <c r="M65" s="29">
        <f>IF(L65="",IF(B65="","","Bewertung unvollständig – ★-Felder ausfüllen"),IF(L65="grün","Keine aktive Maßnahme – jährlich prüfen",IF(AND(X65=1,Y65=1,Z65=1),"Sofort sichern: Restbestand / Gebrauchtteil kaufen und Ersatzlösung (Retrofit) planen",IF(AND(X65=1,Z65=1),"Reparaturweg absichern (Dienstleister, Tauschteil), Gebrauchtteil prüfen",IF(X65=1,"Abgekündigt: Lagerteil schützen, Ersatzlösung mittelfristig planen",IF(Z65=1,IF(LEFT(Q65,4)="nein","Bevorratung lohnt nicht – Lieferzeit und Reparaturweg absichern","Lagerbestand anlegen (mind. 1 Stk.)"),"Reparaturmöglichkeit klären"))))))</f>
        <v/>
      </c>
      <c r="N65" s="30" t="n"/>
      <c r="O65" s="31" t="n"/>
      <c r="P65" s="32">
        <f>IF(OR(AB65="",W65="",Z65=0),"",AB65*INDEX(Krit_Kosten,MATCH(F65,Krit_Liste,0)))</f>
        <v/>
      </c>
      <c r="Q65" s="33">
        <f>IF(L65="","",IF(L65="grün","–",IF(Z65=0,"am Lager / in stock",IF(N(N65)&lt;=0,"Stückpreis fehlt",IF(P65&gt;=Faktor_lohnt*N65,"ja – "&amp;FIXED(P65/N65,0)&amp;"-fach","nein – "&amp;FIXED(P65/N65,IF(P65/N65&lt;1,2,1))&amp;"-fach")))))</f>
        <v/>
      </c>
      <c r="R65" s="25" t="n"/>
      <c r="S65" s="34" t="n"/>
      <c r="T65" s="31" t="n"/>
      <c r="U65" s="25" t="n"/>
      <c r="V65" s="2" t="n"/>
      <c r="W65" s="35">
        <f>IFERROR(INDEX(Krit_Faktor,MATCH(F65,Krit_Liste,0)),"")</f>
        <v/>
      </c>
      <c r="X65" s="35">
        <f>IF(OR(G65="nein",G65="no"),1,0)</f>
        <v/>
      </c>
      <c r="Y65" s="35">
        <f>IF(OR(H65="nein",H65="no"),1,0)</f>
        <v/>
      </c>
      <c r="Z65" s="35">
        <f>IF(OR(I65="nein",I65="no"),1,0)</f>
        <v/>
      </c>
      <c r="AA65" s="35">
        <f>(G65&lt;&gt;"")+(H65&lt;&gt;"")+(I65&lt;&gt;"")</f>
        <v/>
      </c>
      <c r="AB65" s="35">
        <f>IF(O65&lt;&gt;"",O65,IF(AA65&lt;3,"",IF(X65=1,Tage_nicht_beschaffbar,Tage_beschaffbar)))</f>
        <v/>
      </c>
      <c r="AC65" s="35">
        <f>IF(K65="","",K65*1000+W65*10+(1000-ROW())/100000)</f>
        <v/>
      </c>
    </row>
    <row r="66" ht="34" customHeight="1">
      <c r="A66" s="23">
        <f>IF(B66="","",COUNTA($B$9:B66))</f>
        <v/>
      </c>
      <c r="B66" s="24" t="n"/>
      <c r="C66" s="25" t="n"/>
      <c r="D66" s="25" t="n"/>
      <c r="E66" s="25" t="n"/>
      <c r="F66" s="26" t="n"/>
      <c r="G66" s="26" t="n"/>
      <c r="H66" s="26" t="n"/>
      <c r="I66" s="26" t="n"/>
      <c r="J66" s="23">
        <f>IF(AA66&lt;3,"",X66+Y66+Z66)</f>
        <v/>
      </c>
      <c r="K66" s="27">
        <f>IF(OR(J66="",W66=""),"",W66*J66)</f>
        <v/>
      </c>
      <c r="L66" s="28">
        <f>IF(K66="","",IF(K66&lt;=Gruen_bis,"grün",IF(K66&lt;=Gelb_bis,"gelb","rot")))</f>
        <v/>
      </c>
      <c r="M66" s="29">
        <f>IF(L66="",IF(B66="","","Bewertung unvollständig – ★-Felder ausfüllen"),IF(L66="grün","Keine aktive Maßnahme – jährlich prüfen",IF(AND(X66=1,Y66=1,Z66=1),"Sofort sichern: Restbestand / Gebrauchtteil kaufen und Ersatzlösung (Retrofit) planen",IF(AND(X66=1,Z66=1),"Reparaturweg absichern (Dienstleister, Tauschteil), Gebrauchtteil prüfen",IF(X66=1,"Abgekündigt: Lagerteil schützen, Ersatzlösung mittelfristig planen",IF(Z66=1,IF(LEFT(Q66,4)="nein","Bevorratung lohnt nicht – Lieferzeit und Reparaturweg absichern","Lagerbestand anlegen (mind. 1 Stk.)"),"Reparaturmöglichkeit klären"))))))</f>
        <v/>
      </c>
      <c r="N66" s="30" t="n"/>
      <c r="O66" s="31" t="n"/>
      <c r="P66" s="32">
        <f>IF(OR(AB66="",W66="",Z66=0),"",AB66*INDEX(Krit_Kosten,MATCH(F66,Krit_Liste,0)))</f>
        <v/>
      </c>
      <c r="Q66" s="33">
        <f>IF(L66="","",IF(L66="grün","–",IF(Z66=0,"am Lager / in stock",IF(N(N66)&lt;=0,"Stückpreis fehlt",IF(P66&gt;=Faktor_lohnt*N66,"ja – "&amp;FIXED(P66/N66,0)&amp;"-fach","nein – "&amp;FIXED(P66/N66,IF(P66/N66&lt;1,2,1))&amp;"-fach")))))</f>
        <v/>
      </c>
      <c r="R66" s="25" t="n"/>
      <c r="S66" s="34" t="n"/>
      <c r="T66" s="31" t="n"/>
      <c r="U66" s="25" t="n"/>
      <c r="V66" s="2" t="n"/>
      <c r="W66" s="35">
        <f>IFERROR(INDEX(Krit_Faktor,MATCH(F66,Krit_Liste,0)),"")</f>
        <v/>
      </c>
      <c r="X66" s="35">
        <f>IF(OR(G66="nein",G66="no"),1,0)</f>
        <v/>
      </c>
      <c r="Y66" s="35">
        <f>IF(OR(H66="nein",H66="no"),1,0)</f>
        <v/>
      </c>
      <c r="Z66" s="35">
        <f>IF(OR(I66="nein",I66="no"),1,0)</f>
        <v/>
      </c>
      <c r="AA66" s="35">
        <f>(G66&lt;&gt;"")+(H66&lt;&gt;"")+(I66&lt;&gt;"")</f>
        <v/>
      </c>
      <c r="AB66" s="35">
        <f>IF(O66&lt;&gt;"",O66,IF(AA66&lt;3,"",IF(X66=1,Tage_nicht_beschaffbar,Tage_beschaffbar)))</f>
        <v/>
      </c>
      <c r="AC66" s="35">
        <f>IF(K66="","",K66*1000+W66*10+(1000-ROW())/100000)</f>
        <v/>
      </c>
    </row>
    <row r="67" ht="34" customHeight="1">
      <c r="A67" s="23">
        <f>IF(B67="","",COUNTA($B$9:B67))</f>
        <v/>
      </c>
      <c r="B67" s="24" t="n"/>
      <c r="C67" s="25" t="n"/>
      <c r="D67" s="25" t="n"/>
      <c r="E67" s="25" t="n"/>
      <c r="F67" s="26" t="n"/>
      <c r="G67" s="26" t="n"/>
      <c r="H67" s="26" t="n"/>
      <c r="I67" s="26" t="n"/>
      <c r="J67" s="23">
        <f>IF(AA67&lt;3,"",X67+Y67+Z67)</f>
        <v/>
      </c>
      <c r="K67" s="27">
        <f>IF(OR(J67="",W67=""),"",W67*J67)</f>
        <v/>
      </c>
      <c r="L67" s="28">
        <f>IF(K67="","",IF(K67&lt;=Gruen_bis,"grün",IF(K67&lt;=Gelb_bis,"gelb","rot")))</f>
        <v/>
      </c>
      <c r="M67" s="29">
        <f>IF(L67="",IF(B67="","","Bewertung unvollständig – ★-Felder ausfüllen"),IF(L67="grün","Keine aktive Maßnahme – jährlich prüfen",IF(AND(X67=1,Y67=1,Z67=1),"Sofort sichern: Restbestand / Gebrauchtteil kaufen und Ersatzlösung (Retrofit) planen",IF(AND(X67=1,Z67=1),"Reparaturweg absichern (Dienstleister, Tauschteil), Gebrauchtteil prüfen",IF(X67=1,"Abgekündigt: Lagerteil schützen, Ersatzlösung mittelfristig planen",IF(Z67=1,IF(LEFT(Q67,4)="nein","Bevorratung lohnt nicht – Lieferzeit und Reparaturweg absichern","Lagerbestand anlegen (mind. 1 Stk.)"),"Reparaturmöglichkeit klären"))))))</f>
        <v/>
      </c>
      <c r="N67" s="30" t="n"/>
      <c r="O67" s="31" t="n"/>
      <c r="P67" s="32">
        <f>IF(OR(AB67="",W67="",Z67=0),"",AB67*INDEX(Krit_Kosten,MATCH(F67,Krit_Liste,0)))</f>
        <v/>
      </c>
      <c r="Q67" s="33">
        <f>IF(L67="","",IF(L67="grün","–",IF(Z67=0,"am Lager / in stock",IF(N(N67)&lt;=0,"Stückpreis fehlt",IF(P67&gt;=Faktor_lohnt*N67,"ja – "&amp;FIXED(P67/N67,0)&amp;"-fach","nein – "&amp;FIXED(P67/N67,IF(P67/N67&lt;1,2,1))&amp;"-fach")))))</f>
        <v/>
      </c>
      <c r="R67" s="25" t="n"/>
      <c r="S67" s="34" t="n"/>
      <c r="T67" s="31" t="n"/>
      <c r="U67" s="25" t="n"/>
      <c r="V67" s="2" t="n"/>
      <c r="W67" s="35">
        <f>IFERROR(INDEX(Krit_Faktor,MATCH(F67,Krit_Liste,0)),"")</f>
        <v/>
      </c>
      <c r="X67" s="35">
        <f>IF(OR(G67="nein",G67="no"),1,0)</f>
        <v/>
      </c>
      <c r="Y67" s="35">
        <f>IF(OR(H67="nein",H67="no"),1,0)</f>
        <v/>
      </c>
      <c r="Z67" s="35">
        <f>IF(OR(I67="nein",I67="no"),1,0)</f>
        <v/>
      </c>
      <c r="AA67" s="35">
        <f>(G67&lt;&gt;"")+(H67&lt;&gt;"")+(I67&lt;&gt;"")</f>
        <v/>
      </c>
      <c r="AB67" s="35">
        <f>IF(O67&lt;&gt;"",O67,IF(AA67&lt;3,"",IF(X67=1,Tage_nicht_beschaffbar,Tage_beschaffbar)))</f>
        <v/>
      </c>
      <c r="AC67" s="35">
        <f>IF(K67="","",K67*1000+W67*10+(1000-ROW())/100000)</f>
        <v/>
      </c>
    </row>
    <row r="68" ht="34" customHeight="1">
      <c r="A68" s="23">
        <f>IF(B68="","",COUNTA($B$9:B68))</f>
        <v/>
      </c>
      <c r="B68" s="24" t="n"/>
      <c r="C68" s="25" t="n"/>
      <c r="D68" s="25" t="n"/>
      <c r="E68" s="25" t="n"/>
      <c r="F68" s="26" t="n"/>
      <c r="G68" s="26" t="n"/>
      <c r="H68" s="26" t="n"/>
      <c r="I68" s="26" t="n"/>
      <c r="J68" s="23">
        <f>IF(AA68&lt;3,"",X68+Y68+Z68)</f>
        <v/>
      </c>
      <c r="K68" s="27">
        <f>IF(OR(J68="",W68=""),"",W68*J68)</f>
        <v/>
      </c>
      <c r="L68" s="28">
        <f>IF(K68="","",IF(K68&lt;=Gruen_bis,"grün",IF(K68&lt;=Gelb_bis,"gelb","rot")))</f>
        <v/>
      </c>
      <c r="M68" s="29">
        <f>IF(L68="",IF(B68="","","Bewertung unvollständig – ★-Felder ausfüllen"),IF(L68="grün","Keine aktive Maßnahme – jährlich prüfen",IF(AND(X68=1,Y68=1,Z68=1),"Sofort sichern: Restbestand / Gebrauchtteil kaufen und Ersatzlösung (Retrofit) planen",IF(AND(X68=1,Z68=1),"Reparaturweg absichern (Dienstleister, Tauschteil), Gebrauchtteil prüfen",IF(X68=1,"Abgekündigt: Lagerteil schützen, Ersatzlösung mittelfristig planen",IF(Z68=1,IF(LEFT(Q68,4)="nein","Bevorratung lohnt nicht – Lieferzeit und Reparaturweg absichern","Lagerbestand anlegen (mind. 1 Stk.)"),"Reparaturmöglichkeit klären"))))))</f>
        <v/>
      </c>
      <c r="N68" s="30" t="n"/>
      <c r="O68" s="31" t="n"/>
      <c r="P68" s="32">
        <f>IF(OR(AB68="",W68="",Z68=0),"",AB68*INDEX(Krit_Kosten,MATCH(F68,Krit_Liste,0)))</f>
        <v/>
      </c>
      <c r="Q68" s="33">
        <f>IF(L68="","",IF(L68="grün","–",IF(Z68=0,"am Lager / in stock",IF(N(N68)&lt;=0,"Stückpreis fehlt",IF(P68&gt;=Faktor_lohnt*N68,"ja – "&amp;FIXED(P68/N68,0)&amp;"-fach","nein – "&amp;FIXED(P68/N68,IF(P68/N68&lt;1,2,1))&amp;"-fach")))))</f>
        <v/>
      </c>
      <c r="R68" s="25" t="n"/>
      <c r="S68" s="34" t="n"/>
      <c r="T68" s="31" t="n"/>
      <c r="U68" s="25" t="n"/>
      <c r="V68" s="2" t="n"/>
      <c r="W68" s="35">
        <f>IFERROR(INDEX(Krit_Faktor,MATCH(F68,Krit_Liste,0)),"")</f>
        <v/>
      </c>
      <c r="X68" s="35">
        <f>IF(OR(G68="nein",G68="no"),1,0)</f>
        <v/>
      </c>
      <c r="Y68" s="35">
        <f>IF(OR(H68="nein",H68="no"),1,0)</f>
        <v/>
      </c>
      <c r="Z68" s="35">
        <f>IF(OR(I68="nein",I68="no"),1,0)</f>
        <v/>
      </c>
      <c r="AA68" s="35">
        <f>(G68&lt;&gt;"")+(H68&lt;&gt;"")+(I68&lt;&gt;"")</f>
        <v/>
      </c>
      <c r="AB68" s="35">
        <f>IF(O68&lt;&gt;"",O68,IF(AA68&lt;3,"",IF(X68=1,Tage_nicht_beschaffbar,Tage_beschaffbar)))</f>
        <v/>
      </c>
      <c r="AC68" s="35">
        <f>IF(K68="","",K68*1000+W68*10+(1000-ROW())/100000)</f>
        <v/>
      </c>
    </row>
    <row r="69" ht="34" customHeight="1">
      <c r="A69" s="23">
        <f>IF(B69="","",COUNTA($B$9:B69))</f>
        <v/>
      </c>
      <c r="B69" s="24" t="n"/>
      <c r="C69" s="25" t="n"/>
      <c r="D69" s="25" t="n"/>
      <c r="E69" s="25" t="n"/>
      <c r="F69" s="26" t="n"/>
      <c r="G69" s="26" t="n"/>
      <c r="H69" s="26" t="n"/>
      <c r="I69" s="26" t="n"/>
      <c r="J69" s="23">
        <f>IF(AA69&lt;3,"",X69+Y69+Z69)</f>
        <v/>
      </c>
      <c r="K69" s="27">
        <f>IF(OR(J69="",W69=""),"",W69*J69)</f>
        <v/>
      </c>
      <c r="L69" s="28">
        <f>IF(K69="","",IF(K69&lt;=Gruen_bis,"grün",IF(K69&lt;=Gelb_bis,"gelb","rot")))</f>
        <v/>
      </c>
      <c r="M69" s="29">
        <f>IF(L69="",IF(B69="","","Bewertung unvollständig – ★-Felder ausfüllen"),IF(L69="grün","Keine aktive Maßnahme – jährlich prüfen",IF(AND(X69=1,Y69=1,Z69=1),"Sofort sichern: Restbestand / Gebrauchtteil kaufen und Ersatzlösung (Retrofit) planen",IF(AND(X69=1,Z69=1),"Reparaturweg absichern (Dienstleister, Tauschteil), Gebrauchtteil prüfen",IF(X69=1,"Abgekündigt: Lagerteil schützen, Ersatzlösung mittelfristig planen",IF(Z69=1,IF(LEFT(Q69,4)="nein","Bevorratung lohnt nicht – Lieferzeit und Reparaturweg absichern","Lagerbestand anlegen (mind. 1 Stk.)"),"Reparaturmöglichkeit klären"))))))</f>
        <v/>
      </c>
      <c r="N69" s="30" t="n"/>
      <c r="O69" s="31" t="n"/>
      <c r="P69" s="32">
        <f>IF(OR(AB69="",W69="",Z69=0),"",AB69*INDEX(Krit_Kosten,MATCH(F69,Krit_Liste,0)))</f>
        <v/>
      </c>
      <c r="Q69" s="33">
        <f>IF(L69="","",IF(L69="grün","–",IF(Z69=0,"am Lager / in stock",IF(N(N69)&lt;=0,"Stückpreis fehlt",IF(P69&gt;=Faktor_lohnt*N69,"ja – "&amp;FIXED(P69/N69,0)&amp;"-fach","nein – "&amp;FIXED(P69/N69,IF(P69/N69&lt;1,2,1))&amp;"-fach")))))</f>
        <v/>
      </c>
      <c r="R69" s="25" t="n"/>
      <c r="S69" s="34" t="n"/>
      <c r="T69" s="31" t="n"/>
      <c r="U69" s="25" t="n"/>
      <c r="V69" s="2" t="n"/>
      <c r="W69" s="35">
        <f>IFERROR(INDEX(Krit_Faktor,MATCH(F69,Krit_Liste,0)),"")</f>
        <v/>
      </c>
      <c r="X69" s="35">
        <f>IF(OR(G69="nein",G69="no"),1,0)</f>
        <v/>
      </c>
      <c r="Y69" s="35">
        <f>IF(OR(H69="nein",H69="no"),1,0)</f>
        <v/>
      </c>
      <c r="Z69" s="35">
        <f>IF(OR(I69="nein",I69="no"),1,0)</f>
        <v/>
      </c>
      <c r="AA69" s="35">
        <f>(G69&lt;&gt;"")+(H69&lt;&gt;"")+(I69&lt;&gt;"")</f>
        <v/>
      </c>
      <c r="AB69" s="35">
        <f>IF(O69&lt;&gt;"",O69,IF(AA69&lt;3,"",IF(X69=1,Tage_nicht_beschaffbar,Tage_beschaffbar)))</f>
        <v/>
      </c>
      <c r="AC69" s="35">
        <f>IF(K69="","",K69*1000+W69*10+(1000-ROW())/100000)</f>
        <v/>
      </c>
    </row>
    <row r="70" ht="34" customHeight="1">
      <c r="A70" s="23">
        <f>IF(B70="","",COUNTA($B$9:B70))</f>
        <v/>
      </c>
      <c r="B70" s="24" t="n"/>
      <c r="C70" s="25" t="n"/>
      <c r="D70" s="25" t="n"/>
      <c r="E70" s="25" t="n"/>
      <c r="F70" s="26" t="n"/>
      <c r="G70" s="26" t="n"/>
      <c r="H70" s="26" t="n"/>
      <c r="I70" s="26" t="n"/>
      <c r="J70" s="23">
        <f>IF(AA70&lt;3,"",X70+Y70+Z70)</f>
        <v/>
      </c>
      <c r="K70" s="27">
        <f>IF(OR(J70="",W70=""),"",W70*J70)</f>
        <v/>
      </c>
      <c r="L70" s="28">
        <f>IF(K70="","",IF(K70&lt;=Gruen_bis,"grün",IF(K70&lt;=Gelb_bis,"gelb","rot")))</f>
        <v/>
      </c>
      <c r="M70" s="29">
        <f>IF(L70="",IF(B70="","","Bewertung unvollständig – ★-Felder ausfüllen"),IF(L70="grün","Keine aktive Maßnahme – jährlich prüfen",IF(AND(X70=1,Y70=1,Z70=1),"Sofort sichern: Restbestand / Gebrauchtteil kaufen und Ersatzlösung (Retrofit) planen",IF(AND(X70=1,Z70=1),"Reparaturweg absichern (Dienstleister, Tauschteil), Gebrauchtteil prüfen",IF(X70=1,"Abgekündigt: Lagerteil schützen, Ersatzlösung mittelfristig planen",IF(Z70=1,IF(LEFT(Q70,4)="nein","Bevorratung lohnt nicht – Lieferzeit und Reparaturweg absichern","Lagerbestand anlegen (mind. 1 Stk.)"),"Reparaturmöglichkeit klären"))))))</f>
        <v/>
      </c>
      <c r="N70" s="30" t="n"/>
      <c r="O70" s="31" t="n"/>
      <c r="P70" s="32">
        <f>IF(OR(AB70="",W70="",Z70=0),"",AB70*INDEX(Krit_Kosten,MATCH(F70,Krit_Liste,0)))</f>
        <v/>
      </c>
      <c r="Q70" s="33">
        <f>IF(L70="","",IF(L70="grün","–",IF(Z70=0,"am Lager / in stock",IF(N(N70)&lt;=0,"Stückpreis fehlt",IF(P70&gt;=Faktor_lohnt*N70,"ja – "&amp;FIXED(P70/N70,0)&amp;"-fach","nein – "&amp;FIXED(P70/N70,IF(P70/N70&lt;1,2,1))&amp;"-fach")))))</f>
        <v/>
      </c>
      <c r="R70" s="25" t="n"/>
      <c r="S70" s="34" t="n"/>
      <c r="T70" s="31" t="n"/>
      <c r="U70" s="25" t="n"/>
      <c r="V70" s="2" t="n"/>
      <c r="W70" s="35">
        <f>IFERROR(INDEX(Krit_Faktor,MATCH(F70,Krit_Liste,0)),"")</f>
        <v/>
      </c>
      <c r="X70" s="35">
        <f>IF(OR(G70="nein",G70="no"),1,0)</f>
        <v/>
      </c>
      <c r="Y70" s="35">
        <f>IF(OR(H70="nein",H70="no"),1,0)</f>
        <v/>
      </c>
      <c r="Z70" s="35">
        <f>IF(OR(I70="nein",I70="no"),1,0)</f>
        <v/>
      </c>
      <c r="AA70" s="35">
        <f>(G70&lt;&gt;"")+(H70&lt;&gt;"")+(I70&lt;&gt;"")</f>
        <v/>
      </c>
      <c r="AB70" s="35">
        <f>IF(O70&lt;&gt;"",O70,IF(AA70&lt;3,"",IF(X70=1,Tage_nicht_beschaffbar,Tage_beschaffbar)))</f>
        <v/>
      </c>
      <c r="AC70" s="35">
        <f>IF(K70="","",K70*1000+W70*10+(1000-ROW())/100000)</f>
        <v/>
      </c>
    </row>
    <row r="71" ht="34" customHeight="1">
      <c r="A71" s="23">
        <f>IF(B71="","",COUNTA($B$9:B71))</f>
        <v/>
      </c>
      <c r="B71" s="24" t="n"/>
      <c r="C71" s="25" t="n"/>
      <c r="D71" s="25" t="n"/>
      <c r="E71" s="25" t="n"/>
      <c r="F71" s="26" t="n"/>
      <c r="G71" s="26" t="n"/>
      <c r="H71" s="26" t="n"/>
      <c r="I71" s="26" t="n"/>
      <c r="J71" s="23">
        <f>IF(AA71&lt;3,"",X71+Y71+Z71)</f>
        <v/>
      </c>
      <c r="K71" s="27">
        <f>IF(OR(J71="",W71=""),"",W71*J71)</f>
        <v/>
      </c>
      <c r="L71" s="28">
        <f>IF(K71="","",IF(K71&lt;=Gruen_bis,"grün",IF(K71&lt;=Gelb_bis,"gelb","rot")))</f>
        <v/>
      </c>
      <c r="M71" s="29">
        <f>IF(L71="",IF(B71="","","Bewertung unvollständig – ★-Felder ausfüllen"),IF(L71="grün","Keine aktive Maßnahme – jährlich prüfen",IF(AND(X71=1,Y71=1,Z71=1),"Sofort sichern: Restbestand / Gebrauchtteil kaufen und Ersatzlösung (Retrofit) planen",IF(AND(X71=1,Z71=1),"Reparaturweg absichern (Dienstleister, Tauschteil), Gebrauchtteil prüfen",IF(X71=1,"Abgekündigt: Lagerteil schützen, Ersatzlösung mittelfristig planen",IF(Z71=1,IF(LEFT(Q71,4)="nein","Bevorratung lohnt nicht – Lieferzeit und Reparaturweg absichern","Lagerbestand anlegen (mind. 1 Stk.)"),"Reparaturmöglichkeit klären"))))))</f>
        <v/>
      </c>
      <c r="N71" s="30" t="n"/>
      <c r="O71" s="31" t="n"/>
      <c r="P71" s="32">
        <f>IF(OR(AB71="",W71="",Z71=0),"",AB71*INDEX(Krit_Kosten,MATCH(F71,Krit_Liste,0)))</f>
        <v/>
      </c>
      <c r="Q71" s="33">
        <f>IF(L71="","",IF(L71="grün","–",IF(Z71=0,"am Lager / in stock",IF(N(N71)&lt;=0,"Stückpreis fehlt",IF(P71&gt;=Faktor_lohnt*N71,"ja – "&amp;FIXED(P71/N71,0)&amp;"-fach","nein – "&amp;FIXED(P71/N71,IF(P71/N71&lt;1,2,1))&amp;"-fach")))))</f>
        <v/>
      </c>
      <c r="R71" s="25" t="n"/>
      <c r="S71" s="34" t="n"/>
      <c r="T71" s="31" t="n"/>
      <c r="U71" s="25" t="n"/>
      <c r="V71" s="2" t="n"/>
      <c r="W71" s="35">
        <f>IFERROR(INDEX(Krit_Faktor,MATCH(F71,Krit_Liste,0)),"")</f>
        <v/>
      </c>
      <c r="X71" s="35">
        <f>IF(OR(G71="nein",G71="no"),1,0)</f>
        <v/>
      </c>
      <c r="Y71" s="35">
        <f>IF(OR(H71="nein",H71="no"),1,0)</f>
        <v/>
      </c>
      <c r="Z71" s="35">
        <f>IF(OR(I71="nein",I71="no"),1,0)</f>
        <v/>
      </c>
      <c r="AA71" s="35">
        <f>(G71&lt;&gt;"")+(H71&lt;&gt;"")+(I71&lt;&gt;"")</f>
        <v/>
      </c>
      <c r="AB71" s="35">
        <f>IF(O71&lt;&gt;"",O71,IF(AA71&lt;3,"",IF(X71=1,Tage_nicht_beschaffbar,Tage_beschaffbar)))</f>
        <v/>
      </c>
      <c r="AC71" s="35">
        <f>IF(K71="","",K71*1000+W71*10+(1000-ROW())/100000)</f>
        <v/>
      </c>
    </row>
    <row r="72" ht="34" customHeight="1">
      <c r="A72" s="23">
        <f>IF(B72="","",COUNTA($B$9:B72))</f>
        <v/>
      </c>
      <c r="B72" s="24" t="n"/>
      <c r="C72" s="25" t="n"/>
      <c r="D72" s="25" t="n"/>
      <c r="E72" s="25" t="n"/>
      <c r="F72" s="26" t="n"/>
      <c r="G72" s="26" t="n"/>
      <c r="H72" s="26" t="n"/>
      <c r="I72" s="26" t="n"/>
      <c r="J72" s="23">
        <f>IF(AA72&lt;3,"",X72+Y72+Z72)</f>
        <v/>
      </c>
      <c r="K72" s="27">
        <f>IF(OR(J72="",W72=""),"",W72*J72)</f>
        <v/>
      </c>
      <c r="L72" s="28">
        <f>IF(K72="","",IF(K72&lt;=Gruen_bis,"grün",IF(K72&lt;=Gelb_bis,"gelb","rot")))</f>
        <v/>
      </c>
      <c r="M72" s="29">
        <f>IF(L72="",IF(B72="","","Bewertung unvollständig – ★-Felder ausfüllen"),IF(L72="grün","Keine aktive Maßnahme – jährlich prüfen",IF(AND(X72=1,Y72=1,Z72=1),"Sofort sichern: Restbestand / Gebrauchtteil kaufen und Ersatzlösung (Retrofit) planen",IF(AND(X72=1,Z72=1),"Reparaturweg absichern (Dienstleister, Tauschteil), Gebrauchtteil prüfen",IF(X72=1,"Abgekündigt: Lagerteil schützen, Ersatzlösung mittelfristig planen",IF(Z72=1,IF(LEFT(Q72,4)="nein","Bevorratung lohnt nicht – Lieferzeit und Reparaturweg absichern","Lagerbestand anlegen (mind. 1 Stk.)"),"Reparaturmöglichkeit klären"))))))</f>
        <v/>
      </c>
      <c r="N72" s="30" t="n"/>
      <c r="O72" s="31" t="n"/>
      <c r="P72" s="32">
        <f>IF(OR(AB72="",W72="",Z72=0),"",AB72*INDEX(Krit_Kosten,MATCH(F72,Krit_Liste,0)))</f>
        <v/>
      </c>
      <c r="Q72" s="33">
        <f>IF(L72="","",IF(L72="grün","–",IF(Z72=0,"am Lager / in stock",IF(N(N72)&lt;=0,"Stückpreis fehlt",IF(P72&gt;=Faktor_lohnt*N72,"ja – "&amp;FIXED(P72/N72,0)&amp;"-fach","nein – "&amp;FIXED(P72/N72,IF(P72/N72&lt;1,2,1))&amp;"-fach")))))</f>
        <v/>
      </c>
      <c r="R72" s="25" t="n"/>
      <c r="S72" s="34" t="n"/>
      <c r="T72" s="31" t="n"/>
      <c r="U72" s="25" t="n"/>
      <c r="V72" s="2" t="n"/>
      <c r="W72" s="35">
        <f>IFERROR(INDEX(Krit_Faktor,MATCH(F72,Krit_Liste,0)),"")</f>
        <v/>
      </c>
      <c r="X72" s="35">
        <f>IF(OR(G72="nein",G72="no"),1,0)</f>
        <v/>
      </c>
      <c r="Y72" s="35">
        <f>IF(OR(H72="nein",H72="no"),1,0)</f>
        <v/>
      </c>
      <c r="Z72" s="35">
        <f>IF(OR(I72="nein",I72="no"),1,0)</f>
        <v/>
      </c>
      <c r="AA72" s="35">
        <f>(G72&lt;&gt;"")+(H72&lt;&gt;"")+(I72&lt;&gt;"")</f>
        <v/>
      </c>
      <c r="AB72" s="35">
        <f>IF(O72&lt;&gt;"",O72,IF(AA72&lt;3,"",IF(X72=1,Tage_nicht_beschaffbar,Tage_beschaffbar)))</f>
        <v/>
      </c>
      <c r="AC72" s="35">
        <f>IF(K72="","",K72*1000+W72*10+(1000-ROW())/100000)</f>
        <v/>
      </c>
    </row>
    <row r="73" ht="34" customHeight="1">
      <c r="A73" s="23">
        <f>IF(B73="","",COUNTA($B$9:B73))</f>
        <v/>
      </c>
      <c r="B73" s="24" t="n"/>
      <c r="C73" s="25" t="n"/>
      <c r="D73" s="25" t="n"/>
      <c r="E73" s="25" t="n"/>
      <c r="F73" s="26" t="n"/>
      <c r="G73" s="26" t="n"/>
      <c r="H73" s="26" t="n"/>
      <c r="I73" s="26" t="n"/>
      <c r="J73" s="23">
        <f>IF(AA73&lt;3,"",X73+Y73+Z73)</f>
        <v/>
      </c>
      <c r="K73" s="27">
        <f>IF(OR(J73="",W73=""),"",W73*J73)</f>
        <v/>
      </c>
      <c r="L73" s="28">
        <f>IF(K73="","",IF(K73&lt;=Gruen_bis,"grün",IF(K73&lt;=Gelb_bis,"gelb","rot")))</f>
        <v/>
      </c>
      <c r="M73" s="29">
        <f>IF(L73="",IF(B73="","","Bewertung unvollständig – ★-Felder ausfüllen"),IF(L73="grün","Keine aktive Maßnahme – jährlich prüfen",IF(AND(X73=1,Y73=1,Z73=1),"Sofort sichern: Restbestand / Gebrauchtteil kaufen und Ersatzlösung (Retrofit) planen",IF(AND(X73=1,Z73=1),"Reparaturweg absichern (Dienstleister, Tauschteil), Gebrauchtteil prüfen",IF(X73=1,"Abgekündigt: Lagerteil schützen, Ersatzlösung mittelfristig planen",IF(Z73=1,IF(LEFT(Q73,4)="nein","Bevorratung lohnt nicht – Lieferzeit und Reparaturweg absichern","Lagerbestand anlegen (mind. 1 Stk.)"),"Reparaturmöglichkeit klären"))))))</f>
        <v/>
      </c>
      <c r="N73" s="30" t="n"/>
      <c r="O73" s="31" t="n"/>
      <c r="P73" s="32">
        <f>IF(OR(AB73="",W73="",Z73=0),"",AB73*INDEX(Krit_Kosten,MATCH(F73,Krit_Liste,0)))</f>
        <v/>
      </c>
      <c r="Q73" s="33">
        <f>IF(L73="","",IF(L73="grün","–",IF(Z73=0,"am Lager / in stock",IF(N(N73)&lt;=0,"Stückpreis fehlt",IF(P73&gt;=Faktor_lohnt*N73,"ja – "&amp;FIXED(P73/N73,0)&amp;"-fach","nein – "&amp;FIXED(P73/N73,IF(P73/N73&lt;1,2,1))&amp;"-fach")))))</f>
        <v/>
      </c>
      <c r="R73" s="25" t="n"/>
      <c r="S73" s="34" t="n"/>
      <c r="T73" s="31" t="n"/>
      <c r="U73" s="25" t="n"/>
      <c r="V73" s="2" t="n"/>
      <c r="W73" s="35">
        <f>IFERROR(INDEX(Krit_Faktor,MATCH(F73,Krit_Liste,0)),"")</f>
        <v/>
      </c>
      <c r="X73" s="35">
        <f>IF(OR(G73="nein",G73="no"),1,0)</f>
        <v/>
      </c>
      <c r="Y73" s="35">
        <f>IF(OR(H73="nein",H73="no"),1,0)</f>
        <v/>
      </c>
      <c r="Z73" s="35">
        <f>IF(OR(I73="nein",I73="no"),1,0)</f>
        <v/>
      </c>
      <c r="AA73" s="35">
        <f>(G73&lt;&gt;"")+(H73&lt;&gt;"")+(I73&lt;&gt;"")</f>
        <v/>
      </c>
      <c r="AB73" s="35">
        <f>IF(O73&lt;&gt;"",O73,IF(AA73&lt;3,"",IF(X73=1,Tage_nicht_beschaffbar,Tage_beschaffbar)))</f>
        <v/>
      </c>
      <c r="AC73" s="35">
        <f>IF(K73="","",K73*1000+W73*10+(1000-ROW())/100000)</f>
        <v/>
      </c>
    </row>
    <row r="74" ht="34" customHeight="1">
      <c r="A74" s="23">
        <f>IF(B74="","",COUNTA($B$9:B74))</f>
        <v/>
      </c>
      <c r="B74" s="24" t="n"/>
      <c r="C74" s="25" t="n"/>
      <c r="D74" s="25" t="n"/>
      <c r="E74" s="25" t="n"/>
      <c r="F74" s="26" t="n"/>
      <c r="G74" s="26" t="n"/>
      <c r="H74" s="26" t="n"/>
      <c r="I74" s="26" t="n"/>
      <c r="J74" s="23">
        <f>IF(AA74&lt;3,"",X74+Y74+Z74)</f>
        <v/>
      </c>
      <c r="K74" s="27">
        <f>IF(OR(J74="",W74=""),"",W74*J74)</f>
        <v/>
      </c>
      <c r="L74" s="28">
        <f>IF(K74="","",IF(K74&lt;=Gruen_bis,"grün",IF(K74&lt;=Gelb_bis,"gelb","rot")))</f>
        <v/>
      </c>
      <c r="M74" s="29">
        <f>IF(L74="",IF(B74="","","Bewertung unvollständig – ★-Felder ausfüllen"),IF(L74="grün","Keine aktive Maßnahme – jährlich prüfen",IF(AND(X74=1,Y74=1,Z74=1),"Sofort sichern: Restbestand / Gebrauchtteil kaufen und Ersatzlösung (Retrofit) planen",IF(AND(X74=1,Z74=1),"Reparaturweg absichern (Dienstleister, Tauschteil), Gebrauchtteil prüfen",IF(X74=1,"Abgekündigt: Lagerteil schützen, Ersatzlösung mittelfristig planen",IF(Z74=1,IF(LEFT(Q74,4)="nein","Bevorratung lohnt nicht – Lieferzeit und Reparaturweg absichern","Lagerbestand anlegen (mind. 1 Stk.)"),"Reparaturmöglichkeit klären"))))))</f>
        <v/>
      </c>
      <c r="N74" s="30" t="n"/>
      <c r="O74" s="31" t="n"/>
      <c r="P74" s="32">
        <f>IF(OR(AB74="",W74="",Z74=0),"",AB74*INDEX(Krit_Kosten,MATCH(F74,Krit_Liste,0)))</f>
        <v/>
      </c>
      <c r="Q74" s="33">
        <f>IF(L74="","",IF(L74="grün","–",IF(Z74=0,"am Lager / in stock",IF(N(N74)&lt;=0,"Stückpreis fehlt",IF(P74&gt;=Faktor_lohnt*N74,"ja – "&amp;FIXED(P74/N74,0)&amp;"-fach","nein – "&amp;FIXED(P74/N74,IF(P74/N74&lt;1,2,1))&amp;"-fach")))))</f>
        <v/>
      </c>
      <c r="R74" s="25" t="n"/>
      <c r="S74" s="34" t="n"/>
      <c r="T74" s="31" t="n"/>
      <c r="U74" s="25" t="n"/>
      <c r="V74" s="2" t="n"/>
      <c r="W74" s="35">
        <f>IFERROR(INDEX(Krit_Faktor,MATCH(F74,Krit_Liste,0)),"")</f>
        <v/>
      </c>
      <c r="X74" s="35">
        <f>IF(OR(G74="nein",G74="no"),1,0)</f>
        <v/>
      </c>
      <c r="Y74" s="35">
        <f>IF(OR(H74="nein",H74="no"),1,0)</f>
        <v/>
      </c>
      <c r="Z74" s="35">
        <f>IF(OR(I74="nein",I74="no"),1,0)</f>
        <v/>
      </c>
      <c r="AA74" s="35">
        <f>(G74&lt;&gt;"")+(H74&lt;&gt;"")+(I74&lt;&gt;"")</f>
        <v/>
      </c>
      <c r="AB74" s="35">
        <f>IF(O74&lt;&gt;"",O74,IF(AA74&lt;3,"",IF(X74=1,Tage_nicht_beschaffbar,Tage_beschaffbar)))</f>
        <v/>
      </c>
      <c r="AC74" s="35">
        <f>IF(K74="","",K74*1000+W74*10+(1000-ROW())/100000)</f>
        <v/>
      </c>
    </row>
    <row r="75" ht="34" customHeight="1">
      <c r="A75" s="23">
        <f>IF(B75="","",COUNTA($B$9:B75))</f>
        <v/>
      </c>
      <c r="B75" s="24" t="n"/>
      <c r="C75" s="25" t="n"/>
      <c r="D75" s="25" t="n"/>
      <c r="E75" s="25" t="n"/>
      <c r="F75" s="26" t="n"/>
      <c r="G75" s="26" t="n"/>
      <c r="H75" s="26" t="n"/>
      <c r="I75" s="26" t="n"/>
      <c r="J75" s="23">
        <f>IF(AA75&lt;3,"",X75+Y75+Z75)</f>
        <v/>
      </c>
      <c r="K75" s="27">
        <f>IF(OR(J75="",W75=""),"",W75*J75)</f>
        <v/>
      </c>
      <c r="L75" s="28">
        <f>IF(K75="","",IF(K75&lt;=Gruen_bis,"grün",IF(K75&lt;=Gelb_bis,"gelb","rot")))</f>
        <v/>
      </c>
      <c r="M75" s="29">
        <f>IF(L75="",IF(B75="","","Bewertung unvollständig – ★-Felder ausfüllen"),IF(L75="grün","Keine aktive Maßnahme – jährlich prüfen",IF(AND(X75=1,Y75=1,Z75=1),"Sofort sichern: Restbestand / Gebrauchtteil kaufen und Ersatzlösung (Retrofit) planen",IF(AND(X75=1,Z75=1),"Reparaturweg absichern (Dienstleister, Tauschteil), Gebrauchtteil prüfen",IF(X75=1,"Abgekündigt: Lagerteil schützen, Ersatzlösung mittelfristig planen",IF(Z75=1,IF(LEFT(Q75,4)="nein","Bevorratung lohnt nicht – Lieferzeit und Reparaturweg absichern","Lagerbestand anlegen (mind. 1 Stk.)"),"Reparaturmöglichkeit klären"))))))</f>
        <v/>
      </c>
      <c r="N75" s="30" t="n"/>
      <c r="O75" s="31" t="n"/>
      <c r="P75" s="32">
        <f>IF(OR(AB75="",W75="",Z75=0),"",AB75*INDEX(Krit_Kosten,MATCH(F75,Krit_Liste,0)))</f>
        <v/>
      </c>
      <c r="Q75" s="33">
        <f>IF(L75="","",IF(L75="grün","–",IF(Z75=0,"am Lager / in stock",IF(N(N75)&lt;=0,"Stückpreis fehlt",IF(P75&gt;=Faktor_lohnt*N75,"ja – "&amp;FIXED(P75/N75,0)&amp;"-fach","nein – "&amp;FIXED(P75/N75,IF(P75/N75&lt;1,2,1))&amp;"-fach")))))</f>
        <v/>
      </c>
      <c r="R75" s="25" t="n"/>
      <c r="S75" s="34" t="n"/>
      <c r="T75" s="31" t="n"/>
      <c r="U75" s="25" t="n"/>
      <c r="V75" s="2" t="n"/>
      <c r="W75" s="35">
        <f>IFERROR(INDEX(Krit_Faktor,MATCH(F75,Krit_Liste,0)),"")</f>
        <v/>
      </c>
      <c r="X75" s="35">
        <f>IF(OR(G75="nein",G75="no"),1,0)</f>
        <v/>
      </c>
      <c r="Y75" s="35">
        <f>IF(OR(H75="nein",H75="no"),1,0)</f>
        <v/>
      </c>
      <c r="Z75" s="35">
        <f>IF(OR(I75="nein",I75="no"),1,0)</f>
        <v/>
      </c>
      <c r="AA75" s="35">
        <f>(G75&lt;&gt;"")+(H75&lt;&gt;"")+(I75&lt;&gt;"")</f>
        <v/>
      </c>
      <c r="AB75" s="35">
        <f>IF(O75&lt;&gt;"",O75,IF(AA75&lt;3,"",IF(X75=1,Tage_nicht_beschaffbar,Tage_beschaffbar)))</f>
        <v/>
      </c>
      <c r="AC75" s="35">
        <f>IF(K75="","",K75*1000+W75*10+(1000-ROW())/100000)</f>
        <v/>
      </c>
    </row>
    <row r="76" ht="34" customHeight="1">
      <c r="A76" s="23">
        <f>IF(B76="","",COUNTA($B$9:B76))</f>
        <v/>
      </c>
      <c r="B76" s="24" t="n"/>
      <c r="C76" s="25" t="n"/>
      <c r="D76" s="25" t="n"/>
      <c r="E76" s="25" t="n"/>
      <c r="F76" s="26" t="n"/>
      <c r="G76" s="26" t="n"/>
      <c r="H76" s="26" t="n"/>
      <c r="I76" s="26" t="n"/>
      <c r="J76" s="23">
        <f>IF(AA76&lt;3,"",X76+Y76+Z76)</f>
        <v/>
      </c>
      <c r="K76" s="27">
        <f>IF(OR(J76="",W76=""),"",W76*J76)</f>
        <v/>
      </c>
      <c r="L76" s="28">
        <f>IF(K76="","",IF(K76&lt;=Gruen_bis,"grün",IF(K76&lt;=Gelb_bis,"gelb","rot")))</f>
        <v/>
      </c>
      <c r="M76" s="29">
        <f>IF(L76="",IF(B76="","","Bewertung unvollständig – ★-Felder ausfüllen"),IF(L76="grün","Keine aktive Maßnahme – jährlich prüfen",IF(AND(X76=1,Y76=1,Z76=1),"Sofort sichern: Restbestand / Gebrauchtteil kaufen und Ersatzlösung (Retrofit) planen",IF(AND(X76=1,Z76=1),"Reparaturweg absichern (Dienstleister, Tauschteil), Gebrauchtteil prüfen",IF(X76=1,"Abgekündigt: Lagerteil schützen, Ersatzlösung mittelfristig planen",IF(Z76=1,IF(LEFT(Q76,4)="nein","Bevorratung lohnt nicht – Lieferzeit und Reparaturweg absichern","Lagerbestand anlegen (mind. 1 Stk.)"),"Reparaturmöglichkeit klären"))))))</f>
        <v/>
      </c>
      <c r="N76" s="30" t="n"/>
      <c r="O76" s="31" t="n"/>
      <c r="P76" s="32">
        <f>IF(OR(AB76="",W76="",Z76=0),"",AB76*INDEX(Krit_Kosten,MATCH(F76,Krit_Liste,0)))</f>
        <v/>
      </c>
      <c r="Q76" s="33">
        <f>IF(L76="","",IF(L76="grün","–",IF(Z76=0,"am Lager / in stock",IF(N(N76)&lt;=0,"Stückpreis fehlt",IF(P76&gt;=Faktor_lohnt*N76,"ja – "&amp;FIXED(P76/N76,0)&amp;"-fach","nein – "&amp;FIXED(P76/N76,IF(P76/N76&lt;1,2,1))&amp;"-fach")))))</f>
        <v/>
      </c>
      <c r="R76" s="25" t="n"/>
      <c r="S76" s="34" t="n"/>
      <c r="T76" s="31" t="n"/>
      <c r="U76" s="25" t="n"/>
      <c r="V76" s="2" t="n"/>
      <c r="W76" s="35">
        <f>IFERROR(INDEX(Krit_Faktor,MATCH(F76,Krit_Liste,0)),"")</f>
        <v/>
      </c>
      <c r="X76" s="35">
        <f>IF(OR(G76="nein",G76="no"),1,0)</f>
        <v/>
      </c>
      <c r="Y76" s="35">
        <f>IF(OR(H76="nein",H76="no"),1,0)</f>
        <v/>
      </c>
      <c r="Z76" s="35">
        <f>IF(OR(I76="nein",I76="no"),1,0)</f>
        <v/>
      </c>
      <c r="AA76" s="35">
        <f>(G76&lt;&gt;"")+(H76&lt;&gt;"")+(I76&lt;&gt;"")</f>
        <v/>
      </c>
      <c r="AB76" s="35">
        <f>IF(O76&lt;&gt;"",O76,IF(AA76&lt;3,"",IF(X76=1,Tage_nicht_beschaffbar,Tage_beschaffbar)))</f>
        <v/>
      </c>
      <c r="AC76" s="35">
        <f>IF(K76="","",K76*1000+W76*10+(1000-ROW())/100000)</f>
        <v/>
      </c>
    </row>
    <row r="77" ht="34" customHeight="1">
      <c r="A77" s="23">
        <f>IF(B77="","",COUNTA($B$9:B77))</f>
        <v/>
      </c>
      <c r="B77" s="24" t="n"/>
      <c r="C77" s="25" t="n"/>
      <c r="D77" s="25" t="n"/>
      <c r="E77" s="25" t="n"/>
      <c r="F77" s="26" t="n"/>
      <c r="G77" s="26" t="n"/>
      <c r="H77" s="26" t="n"/>
      <c r="I77" s="26" t="n"/>
      <c r="J77" s="23">
        <f>IF(AA77&lt;3,"",X77+Y77+Z77)</f>
        <v/>
      </c>
      <c r="K77" s="27">
        <f>IF(OR(J77="",W77=""),"",W77*J77)</f>
        <v/>
      </c>
      <c r="L77" s="28">
        <f>IF(K77="","",IF(K77&lt;=Gruen_bis,"grün",IF(K77&lt;=Gelb_bis,"gelb","rot")))</f>
        <v/>
      </c>
      <c r="M77" s="29">
        <f>IF(L77="",IF(B77="","","Bewertung unvollständig – ★-Felder ausfüllen"),IF(L77="grün","Keine aktive Maßnahme – jährlich prüfen",IF(AND(X77=1,Y77=1,Z77=1),"Sofort sichern: Restbestand / Gebrauchtteil kaufen und Ersatzlösung (Retrofit) planen",IF(AND(X77=1,Z77=1),"Reparaturweg absichern (Dienstleister, Tauschteil), Gebrauchtteil prüfen",IF(X77=1,"Abgekündigt: Lagerteil schützen, Ersatzlösung mittelfristig planen",IF(Z77=1,IF(LEFT(Q77,4)="nein","Bevorratung lohnt nicht – Lieferzeit und Reparaturweg absichern","Lagerbestand anlegen (mind. 1 Stk.)"),"Reparaturmöglichkeit klären"))))))</f>
        <v/>
      </c>
      <c r="N77" s="30" t="n"/>
      <c r="O77" s="31" t="n"/>
      <c r="P77" s="32">
        <f>IF(OR(AB77="",W77="",Z77=0),"",AB77*INDEX(Krit_Kosten,MATCH(F77,Krit_Liste,0)))</f>
        <v/>
      </c>
      <c r="Q77" s="33">
        <f>IF(L77="","",IF(L77="grün","–",IF(Z77=0,"am Lager / in stock",IF(N(N77)&lt;=0,"Stückpreis fehlt",IF(P77&gt;=Faktor_lohnt*N77,"ja – "&amp;FIXED(P77/N77,0)&amp;"-fach","nein – "&amp;FIXED(P77/N77,IF(P77/N77&lt;1,2,1))&amp;"-fach")))))</f>
        <v/>
      </c>
      <c r="R77" s="25" t="n"/>
      <c r="S77" s="34" t="n"/>
      <c r="T77" s="31" t="n"/>
      <c r="U77" s="25" t="n"/>
      <c r="V77" s="2" t="n"/>
      <c r="W77" s="35">
        <f>IFERROR(INDEX(Krit_Faktor,MATCH(F77,Krit_Liste,0)),"")</f>
        <v/>
      </c>
      <c r="X77" s="35">
        <f>IF(OR(G77="nein",G77="no"),1,0)</f>
        <v/>
      </c>
      <c r="Y77" s="35">
        <f>IF(OR(H77="nein",H77="no"),1,0)</f>
        <v/>
      </c>
      <c r="Z77" s="35">
        <f>IF(OR(I77="nein",I77="no"),1,0)</f>
        <v/>
      </c>
      <c r="AA77" s="35">
        <f>(G77&lt;&gt;"")+(H77&lt;&gt;"")+(I77&lt;&gt;"")</f>
        <v/>
      </c>
      <c r="AB77" s="35">
        <f>IF(O77&lt;&gt;"",O77,IF(AA77&lt;3,"",IF(X77=1,Tage_nicht_beschaffbar,Tage_beschaffbar)))</f>
        <v/>
      </c>
      <c r="AC77" s="35">
        <f>IF(K77="","",K77*1000+W77*10+(1000-ROW())/100000)</f>
        <v/>
      </c>
    </row>
    <row r="78" ht="34" customHeight="1">
      <c r="A78" s="23">
        <f>IF(B78="","",COUNTA($B$9:B78))</f>
        <v/>
      </c>
      <c r="B78" s="24" t="n"/>
      <c r="C78" s="25" t="n"/>
      <c r="D78" s="25" t="n"/>
      <c r="E78" s="25" t="n"/>
      <c r="F78" s="26" t="n"/>
      <c r="G78" s="26" t="n"/>
      <c r="H78" s="26" t="n"/>
      <c r="I78" s="26" t="n"/>
      <c r="J78" s="23">
        <f>IF(AA78&lt;3,"",X78+Y78+Z78)</f>
        <v/>
      </c>
      <c r="K78" s="27">
        <f>IF(OR(J78="",W78=""),"",W78*J78)</f>
        <v/>
      </c>
      <c r="L78" s="28">
        <f>IF(K78="","",IF(K78&lt;=Gruen_bis,"grün",IF(K78&lt;=Gelb_bis,"gelb","rot")))</f>
        <v/>
      </c>
      <c r="M78" s="29">
        <f>IF(L78="",IF(B78="","","Bewertung unvollständig – ★-Felder ausfüllen"),IF(L78="grün","Keine aktive Maßnahme – jährlich prüfen",IF(AND(X78=1,Y78=1,Z78=1),"Sofort sichern: Restbestand / Gebrauchtteil kaufen und Ersatzlösung (Retrofit) planen",IF(AND(X78=1,Z78=1),"Reparaturweg absichern (Dienstleister, Tauschteil), Gebrauchtteil prüfen",IF(X78=1,"Abgekündigt: Lagerteil schützen, Ersatzlösung mittelfristig planen",IF(Z78=1,IF(LEFT(Q78,4)="nein","Bevorratung lohnt nicht – Lieferzeit und Reparaturweg absichern","Lagerbestand anlegen (mind. 1 Stk.)"),"Reparaturmöglichkeit klären"))))))</f>
        <v/>
      </c>
      <c r="N78" s="30" t="n"/>
      <c r="O78" s="31" t="n"/>
      <c r="P78" s="32">
        <f>IF(OR(AB78="",W78="",Z78=0),"",AB78*INDEX(Krit_Kosten,MATCH(F78,Krit_Liste,0)))</f>
        <v/>
      </c>
      <c r="Q78" s="33">
        <f>IF(L78="","",IF(L78="grün","–",IF(Z78=0,"am Lager / in stock",IF(N(N78)&lt;=0,"Stückpreis fehlt",IF(P78&gt;=Faktor_lohnt*N78,"ja – "&amp;FIXED(P78/N78,0)&amp;"-fach","nein – "&amp;FIXED(P78/N78,IF(P78/N78&lt;1,2,1))&amp;"-fach")))))</f>
        <v/>
      </c>
      <c r="R78" s="25" t="n"/>
      <c r="S78" s="34" t="n"/>
      <c r="T78" s="31" t="n"/>
      <c r="U78" s="25" t="n"/>
      <c r="V78" s="2" t="n"/>
      <c r="W78" s="35">
        <f>IFERROR(INDEX(Krit_Faktor,MATCH(F78,Krit_Liste,0)),"")</f>
        <v/>
      </c>
      <c r="X78" s="35">
        <f>IF(OR(G78="nein",G78="no"),1,0)</f>
        <v/>
      </c>
      <c r="Y78" s="35">
        <f>IF(OR(H78="nein",H78="no"),1,0)</f>
        <v/>
      </c>
      <c r="Z78" s="35">
        <f>IF(OR(I78="nein",I78="no"),1,0)</f>
        <v/>
      </c>
      <c r="AA78" s="35">
        <f>(G78&lt;&gt;"")+(H78&lt;&gt;"")+(I78&lt;&gt;"")</f>
        <v/>
      </c>
      <c r="AB78" s="35">
        <f>IF(O78&lt;&gt;"",O78,IF(AA78&lt;3,"",IF(X78=1,Tage_nicht_beschaffbar,Tage_beschaffbar)))</f>
        <v/>
      </c>
      <c r="AC78" s="35">
        <f>IF(K78="","",K78*1000+W78*10+(1000-ROW())/100000)</f>
        <v/>
      </c>
    </row>
    <row r="79" ht="34" customHeight="1">
      <c r="A79" s="23">
        <f>IF(B79="","",COUNTA($B$9:B79))</f>
        <v/>
      </c>
      <c r="B79" s="24" t="n"/>
      <c r="C79" s="25" t="n"/>
      <c r="D79" s="25" t="n"/>
      <c r="E79" s="25" t="n"/>
      <c r="F79" s="26" t="n"/>
      <c r="G79" s="26" t="n"/>
      <c r="H79" s="26" t="n"/>
      <c r="I79" s="26" t="n"/>
      <c r="J79" s="23">
        <f>IF(AA79&lt;3,"",X79+Y79+Z79)</f>
        <v/>
      </c>
      <c r="K79" s="27">
        <f>IF(OR(J79="",W79=""),"",W79*J79)</f>
        <v/>
      </c>
      <c r="L79" s="28">
        <f>IF(K79="","",IF(K79&lt;=Gruen_bis,"grün",IF(K79&lt;=Gelb_bis,"gelb","rot")))</f>
        <v/>
      </c>
      <c r="M79" s="29">
        <f>IF(L79="",IF(B79="","","Bewertung unvollständig – ★-Felder ausfüllen"),IF(L79="grün","Keine aktive Maßnahme – jährlich prüfen",IF(AND(X79=1,Y79=1,Z79=1),"Sofort sichern: Restbestand / Gebrauchtteil kaufen und Ersatzlösung (Retrofit) planen",IF(AND(X79=1,Z79=1),"Reparaturweg absichern (Dienstleister, Tauschteil), Gebrauchtteil prüfen",IF(X79=1,"Abgekündigt: Lagerteil schützen, Ersatzlösung mittelfristig planen",IF(Z79=1,IF(LEFT(Q79,4)="nein","Bevorratung lohnt nicht – Lieferzeit und Reparaturweg absichern","Lagerbestand anlegen (mind. 1 Stk.)"),"Reparaturmöglichkeit klären"))))))</f>
        <v/>
      </c>
      <c r="N79" s="30" t="n"/>
      <c r="O79" s="31" t="n"/>
      <c r="P79" s="32">
        <f>IF(OR(AB79="",W79="",Z79=0),"",AB79*INDEX(Krit_Kosten,MATCH(F79,Krit_Liste,0)))</f>
        <v/>
      </c>
      <c r="Q79" s="33">
        <f>IF(L79="","",IF(L79="grün","–",IF(Z79=0,"am Lager / in stock",IF(N(N79)&lt;=0,"Stückpreis fehlt",IF(P79&gt;=Faktor_lohnt*N79,"ja – "&amp;FIXED(P79/N79,0)&amp;"-fach","nein – "&amp;FIXED(P79/N79,IF(P79/N79&lt;1,2,1))&amp;"-fach")))))</f>
        <v/>
      </c>
      <c r="R79" s="25" t="n"/>
      <c r="S79" s="34" t="n"/>
      <c r="T79" s="31" t="n"/>
      <c r="U79" s="25" t="n"/>
      <c r="V79" s="2" t="n"/>
      <c r="W79" s="35">
        <f>IFERROR(INDEX(Krit_Faktor,MATCH(F79,Krit_Liste,0)),"")</f>
        <v/>
      </c>
      <c r="X79" s="35">
        <f>IF(OR(G79="nein",G79="no"),1,0)</f>
        <v/>
      </c>
      <c r="Y79" s="35">
        <f>IF(OR(H79="nein",H79="no"),1,0)</f>
        <v/>
      </c>
      <c r="Z79" s="35">
        <f>IF(OR(I79="nein",I79="no"),1,0)</f>
        <v/>
      </c>
      <c r="AA79" s="35">
        <f>(G79&lt;&gt;"")+(H79&lt;&gt;"")+(I79&lt;&gt;"")</f>
        <v/>
      </c>
      <c r="AB79" s="35">
        <f>IF(O79&lt;&gt;"",O79,IF(AA79&lt;3,"",IF(X79=1,Tage_nicht_beschaffbar,Tage_beschaffbar)))</f>
        <v/>
      </c>
      <c r="AC79" s="35">
        <f>IF(K79="","",K79*1000+W79*10+(1000-ROW())/100000)</f>
        <v/>
      </c>
    </row>
    <row r="80" ht="34" customHeight="1">
      <c r="A80" s="23">
        <f>IF(B80="","",COUNTA($B$9:B80))</f>
        <v/>
      </c>
      <c r="B80" s="24" t="n"/>
      <c r="C80" s="25" t="n"/>
      <c r="D80" s="25" t="n"/>
      <c r="E80" s="25" t="n"/>
      <c r="F80" s="26" t="n"/>
      <c r="G80" s="26" t="n"/>
      <c r="H80" s="26" t="n"/>
      <c r="I80" s="26" t="n"/>
      <c r="J80" s="23">
        <f>IF(AA80&lt;3,"",X80+Y80+Z80)</f>
        <v/>
      </c>
      <c r="K80" s="27">
        <f>IF(OR(J80="",W80=""),"",W80*J80)</f>
        <v/>
      </c>
      <c r="L80" s="28">
        <f>IF(K80="","",IF(K80&lt;=Gruen_bis,"grün",IF(K80&lt;=Gelb_bis,"gelb","rot")))</f>
        <v/>
      </c>
      <c r="M80" s="29">
        <f>IF(L80="",IF(B80="","","Bewertung unvollständig – ★-Felder ausfüllen"),IF(L80="grün","Keine aktive Maßnahme – jährlich prüfen",IF(AND(X80=1,Y80=1,Z80=1),"Sofort sichern: Restbestand / Gebrauchtteil kaufen und Ersatzlösung (Retrofit) planen",IF(AND(X80=1,Z80=1),"Reparaturweg absichern (Dienstleister, Tauschteil), Gebrauchtteil prüfen",IF(X80=1,"Abgekündigt: Lagerteil schützen, Ersatzlösung mittelfristig planen",IF(Z80=1,IF(LEFT(Q80,4)="nein","Bevorratung lohnt nicht – Lieferzeit und Reparaturweg absichern","Lagerbestand anlegen (mind. 1 Stk.)"),"Reparaturmöglichkeit klären"))))))</f>
        <v/>
      </c>
      <c r="N80" s="30" t="n"/>
      <c r="O80" s="31" t="n"/>
      <c r="P80" s="32">
        <f>IF(OR(AB80="",W80="",Z80=0),"",AB80*INDEX(Krit_Kosten,MATCH(F80,Krit_Liste,0)))</f>
        <v/>
      </c>
      <c r="Q80" s="33">
        <f>IF(L80="","",IF(L80="grün","–",IF(Z80=0,"am Lager / in stock",IF(N(N80)&lt;=0,"Stückpreis fehlt",IF(P80&gt;=Faktor_lohnt*N80,"ja – "&amp;FIXED(P80/N80,0)&amp;"-fach","nein – "&amp;FIXED(P80/N80,IF(P80/N80&lt;1,2,1))&amp;"-fach")))))</f>
        <v/>
      </c>
      <c r="R80" s="25" t="n"/>
      <c r="S80" s="34" t="n"/>
      <c r="T80" s="31" t="n"/>
      <c r="U80" s="25" t="n"/>
      <c r="V80" s="2" t="n"/>
      <c r="W80" s="35">
        <f>IFERROR(INDEX(Krit_Faktor,MATCH(F80,Krit_Liste,0)),"")</f>
        <v/>
      </c>
      <c r="X80" s="35">
        <f>IF(OR(G80="nein",G80="no"),1,0)</f>
        <v/>
      </c>
      <c r="Y80" s="35">
        <f>IF(OR(H80="nein",H80="no"),1,0)</f>
        <v/>
      </c>
      <c r="Z80" s="35">
        <f>IF(OR(I80="nein",I80="no"),1,0)</f>
        <v/>
      </c>
      <c r="AA80" s="35">
        <f>(G80&lt;&gt;"")+(H80&lt;&gt;"")+(I80&lt;&gt;"")</f>
        <v/>
      </c>
      <c r="AB80" s="35">
        <f>IF(O80&lt;&gt;"",O80,IF(AA80&lt;3,"",IF(X80=1,Tage_nicht_beschaffbar,Tage_beschaffbar)))</f>
        <v/>
      </c>
      <c r="AC80" s="35">
        <f>IF(K80="","",K80*1000+W80*10+(1000-ROW())/100000)</f>
        <v/>
      </c>
    </row>
    <row r="81" ht="34" customHeight="1">
      <c r="A81" s="23">
        <f>IF(B81="","",COUNTA($B$9:B81))</f>
        <v/>
      </c>
      <c r="B81" s="24" t="n"/>
      <c r="C81" s="25" t="n"/>
      <c r="D81" s="25" t="n"/>
      <c r="E81" s="25" t="n"/>
      <c r="F81" s="26" t="n"/>
      <c r="G81" s="26" t="n"/>
      <c r="H81" s="26" t="n"/>
      <c r="I81" s="26" t="n"/>
      <c r="J81" s="23">
        <f>IF(AA81&lt;3,"",X81+Y81+Z81)</f>
        <v/>
      </c>
      <c r="K81" s="27">
        <f>IF(OR(J81="",W81=""),"",W81*J81)</f>
        <v/>
      </c>
      <c r="L81" s="28">
        <f>IF(K81="","",IF(K81&lt;=Gruen_bis,"grün",IF(K81&lt;=Gelb_bis,"gelb","rot")))</f>
        <v/>
      </c>
      <c r="M81" s="29">
        <f>IF(L81="",IF(B81="","","Bewertung unvollständig – ★-Felder ausfüllen"),IF(L81="grün","Keine aktive Maßnahme – jährlich prüfen",IF(AND(X81=1,Y81=1,Z81=1),"Sofort sichern: Restbestand / Gebrauchtteil kaufen und Ersatzlösung (Retrofit) planen",IF(AND(X81=1,Z81=1),"Reparaturweg absichern (Dienstleister, Tauschteil), Gebrauchtteil prüfen",IF(X81=1,"Abgekündigt: Lagerteil schützen, Ersatzlösung mittelfristig planen",IF(Z81=1,IF(LEFT(Q81,4)="nein","Bevorratung lohnt nicht – Lieferzeit und Reparaturweg absichern","Lagerbestand anlegen (mind. 1 Stk.)"),"Reparaturmöglichkeit klären"))))))</f>
        <v/>
      </c>
      <c r="N81" s="30" t="n"/>
      <c r="O81" s="31" t="n"/>
      <c r="P81" s="32">
        <f>IF(OR(AB81="",W81="",Z81=0),"",AB81*INDEX(Krit_Kosten,MATCH(F81,Krit_Liste,0)))</f>
        <v/>
      </c>
      <c r="Q81" s="33">
        <f>IF(L81="","",IF(L81="grün","–",IF(Z81=0,"am Lager / in stock",IF(N(N81)&lt;=0,"Stückpreis fehlt",IF(P81&gt;=Faktor_lohnt*N81,"ja – "&amp;FIXED(P81/N81,0)&amp;"-fach","nein – "&amp;FIXED(P81/N81,IF(P81/N81&lt;1,2,1))&amp;"-fach")))))</f>
        <v/>
      </c>
      <c r="R81" s="25" t="n"/>
      <c r="S81" s="34" t="n"/>
      <c r="T81" s="31" t="n"/>
      <c r="U81" s="25" t="n"/>
      <c r="V81" s="2" t="n"/>
      <c r="W81" s="35">
        <f>IFERROR(INDEX(Krit_Faktor,MATCH(F81,Krit_Liste,0)),"")</f>
        <v/>
      </c>
      <c r="X81" s="35">
        <f>IF(OR(G81="nein",G81="no"),1,0)</f>
        <v/>
      </c>
      <c r="Y81" s="35">
        <f>IF(OR(H81="nein",H81="no"),1,0)</f>
        <v/>
      </c>
      <c r="Z81" s="35">
        <f>IF(OR(I81="nein",I81="no"),1,0)</f>
        <v/>
      </c>
      <c r="AA81" s="35">
        <f>(G81&lt;&gt;"")+(H81&lt;&gt;"")+(I81&lt;&gt;"")</f>
        <v/>
      </c>
      <c r="AB81" s="35">
        <f>IF(O81&lt;&gt;"",O81,IF(AA81&lt;3,"",IF(X81=1,Tage_nicht_beschaffbar,Tage_beschaffbar)))</f>
        <v/>
      </c>
      <c r="AC81" s="35">
        <f>IF(K81="","",K81*1000+W81*10+(1000-ROW())/100000)</f>
        <v/>
      </c>
    </row>
    <row r="82" ht="34" customHeight="1">
      <c r="A82" s="23">
        <f>IF(B82="","",COUNTA($B$9:B82))</f>
        <v/>
      </c>
      <c r="B82" s="24" t="n"/>
      <c r="C82" s="25" t="n"/>
      <c r="D82" s="25" t="n"/>
      <c r="E82" s="25" t="n"/>
      <c r="F82" s="26" t="n"/>
      <c r="G82" s="26" t="n"/>
      <c r="H82" s="26" t="n"/>
      <c r="I82" s="26" t="n"/>
      <c r="J82" s="23">
        <f>IF(AA82&lt;3,"",X82+Y82+Z82)</f>
        <v/>
      </c>
      <c r="K82" s="27">
        <f>IF(OR(J82="",W82=""),"",W82*J82)</f>
        <v/>
      </c>
      <c r="L82" s="28">
        <f>IF(K82="","",IF(K82&lt;=Gruen_bis,"grün",IF(K82&lt;=Gelb_bis,"gelb","rot")))</f>
        <v/>
      </c>
      <c r="M82" s="29">
        <f>IF(L82="",IF(B82="","","Bewertung unvollständig – ★-Felder ausfüllen"),IF(L82="grün","Keine aktive Maßnahme – jährlich prüfen",IF(AND(X82=1,Y82=1,Z82=1),"Sofort sichern: Restbestand / Gebrauchtteil kaufen und Ersatzlösung (Retrofit) planen",IF(AND(X82=1,Z82=1),"Reparaturweg absichern (Dienstleister, Tauschteil), Gebrauchtteil prüfen",IF(X82=1,"Abgekündigt: Lagerteil schützen, Ersatzlösung mittelfristig planen",IF(Z82=1,IF(LEFT(Q82,4)="nein","Bevorratung lohnt nicht – Lieferzeit und Reparaturweg absichern","Lagerbestand anlegen (mind. 1 Stk.)"),"Reparaturmöglichkeit klären"))))))</f>
        <v/>
      </c>
      <c r="N82" s="30" t="n"/>
      <c r="O82" s="31" t="n"/>
      <c r="P82" s="32">
        <f>IF(OR(AB82="",W82="",Z82=0),"",AB82*INDEX(Krit_Kosten,MATCH(F82,Krit_Liste,0)))</f>
        <v/>
      </c>
      <c r="Q82" s="33">
        <f>IF(L82="","",IF(L82="grün","–",IF(Z82=0,"am Lager / in stock",IF(N(N82)&lt;=0,"Stückpreis fehlt",IF(P82&gt;=Faktor_lohnt*N82,"ja – "&amp;FIXED(P82/N82,0)&amp;"-fach","nein – "&amp;FIXED(P82/N82,IF(P82/N82&lt;1,2,1))&amp;"-fach")))))</f>
        <v/>
      </c>
      <c r="R82" s="25" t="n"/>
      <c r="S82" s="34" t="n"/>
      <c r="T82" s="31" t="n"/>
      <c r="U82" s="25" t="n"/>
      <c r="V82" s="2" t="n"/>
      <c r="W82" s="35">
        <f>IFERROR(INDEX(Krit_Faktor,MATCH(F82,Krit_Liste,0)),"")</f>
        <v/>
      </c>
      <c r="X82" s="35">
        <f>IF(OR(G82="nein",G82="no"),1,0)</f>
        <v/>
      </c>
      <c r="Y82" s="35">
        <f>IF(OR(H82="nein",H82="no"),1,0)</f>
        <v/>
      </c>
      <c r="Z82" s="35">
        <f>IF(OR(I82="nein",I82="no"),1,0)</f>
        <v/>
      </c>
      <c r="AA82" s="35">
        <f>(G82&lt;&gt;"")+(H82&lt;&gt;"")+(I82&lt;&gt;"")</f>
        <v/>
      </c>
      <c r="AB82" s="35">
        <f>IF(O82&lt;&gt;"",O82,IF(AA82&lt;3,"",IF(X82=1,Tage_nicht_beschaffbar,Tage_beschaffbar)))</f>
        <v/>
      </c>
      <c r="AC82" s="35">
        <f>IF(K82="","",K82*1000+W82*10+(1000-ROW())/100000)</f>
        <v/>
      </c>
    </row>
    <row r="83" ht="34" customHeight="1">
      <c r="A83" s="23">
        <f>IF(B83="","",COUNTA($B$9:B83))</f>
        <v/>
      </c>
      <c r="B83" s="24" t="n"/>
      <c r="C83" s="25" t="n"/>
      <c r="D83" s="25" t="n"/>
      <c r="E83" s="25" t="n"/>
      <c r="F83" s="26" t="n"/>
      <c r="G83" s="26" t="n"/>
      <c r="H83" s="26" t="n"/>
      <c r="I83" s="26" t="n"/>
      <c r="J83" s="23">
        <f>IF(AA83&lt;3,"",X83+Y83+Z83)</f>
        <v/>
      </c>
      <c r="K83" s="27">
        <f>IF(OR(J83="",W83=""),"",W83*J83)</f>
        <v/>
      </c>
      <c r="L83" s="28">
        <f>IF(K83="","",IF(K83&lt;=Gruen_bis,"grün",IF(K83&lt;=Gelb_bis,"gelb","rot")))</f>
        <v/>
      </c>
      <c r="M83" s="29">
        <f>IF(L83="",IF(B83="","","Bewertung unvollständig – ★-Felder ausfüllen"),IF(L83="grün","Keine aktive Maßnahme – jährlich prüfen",IF(AND(X83=1,Y83=1,Z83=1),"Sofort sichern: Restbestand / Gebrauchtteil kaufen und Ersatzlösung (Retrofit) planen",IF(AND(X83=1,Z83=1),"Reparaturweg absichern (Dienstleister, Tauschteil), Gebrauchtteil prüfen",IF(X83=1,"Abgekündigt: Lagerteil schützen, Ersatzlösung mittelfristig planen",IF(Z83=1,IF(LEFT(Q83,4)="nein","Bevorratung lohnt nicht – Lieferzeit und Reparaturweg absichern","Lagerbestand anlegen (mind. 1 Stk.)"),"Reparaturmöglichkeit klären"))))))</f>
        <v/>
      </c>
      <c r="N83" s="30" t="n"/>
      <c r="O83" s="31" t="n"/>
      <c r="P83" s="32">
        <f>IF(OR(AB83="",W83="",Z83=0),"",AB83*INDEX(Krit_Kosten,MATCH(F83,Krit_Liste,0)))</f>
        <v/>
      </c>
      <c r="Q83" s="33">
        <f>IF(L83="","",IF(L83="grün","–",IF(Z83=0,"am Lager / in stock",IF(N(N83)&lt;=0,"Stückpreis fehlt",IF(P83&gt;=Faktor_lohnt*N83,"ja – "&amp;FIXED(P83/N83,0)&amp;"-fach","nein – "&amp;FIXED(P83/N83,IF(P83/N83&lt;1,2,1))&amp;"-fach")))))</f>
        <v/>
      </c>
      <c r="R83" s="25" t="n"/>
      <c r="S83" s="34" t="n"/>
      <c r="T83" s="31" t="n"/>
      <c r="U83" s="25" t="n"/>
      <c r="V83" s="2" t="n"/>
      <c r="W83" s="35">
        <f>IFERROR(INDEX(Krit_Faktor,MATCH(F83,Krit_Liste,0)),"")</f>
        <v/>
      </c>
      <c r="X83" s="35">
        <f>IF(OR(G83="nein",G83="no"),1,0)</f>
        <v/>
      </c>
      <c r="Y83" s="35">
        <f>IF(OR(H83="nein",H83="no"),1,0)</f>
        <v/>
      </c>
      <c r="Z83" s="35">
        <f>IF(OR(I83="nein",I83="no"),1,0)</f>
        <v/>
      </c>
      <c r="AA83" s="35">
        <f>(G83&lt;&gt;"")+(H83&lt;&gt;"")+(I83&lt;&gt;"")</f>
        <v/>
      </c>
      <c r="AB83" s="35">
        <f>IF(O83&lt;&gt;"",O83,IF(AA83&lt;3,"",IF(X83=1,Tage_nicht_beschaffbar,Tage_beschaffbar)))</f>
        <v/>
      </c>
      <c r="AC83" s="35">
        <f>IF(K83="","",K83*1000+W83*10+(1000-ROW())/100000)</f>
        <v/>
      </c>
    </row>
    <row r="84" ht="34" customHeight="1">
      <c r="A84" s="23">
        <f>IF(B84="","",COUNTA($B$9:B84))</f>
        <v/>
      </c>
      <c r="B84" s="24" t="n"/>
      <c r="C84" s="25" t="n"/>
      <c r="D84" s="25" t="n"/>
      <c r="E84" s="25" t="n"/>
      <c r="F84" s="26" t="n"/>
      <c r="G84" s="26" t="n"/>
      <c r="H84" s="26" t="n"/>
      <c r="I84" s="26" t="n"/>
      <c r="J84" s="23">
        <f>IF(AA84&lt;3,"",X84+Y84+Z84)</f>
        <v/>
      </c>
      <c r="K84" s="27">
        <f>IF(OR(J84="",W84=""),"",W84*J84)</f>
        <v/>
      </c>
      <c r="L84" s="28">
        <f>IF(K84="","",IF(K84&lt;=Gruen_bis,"grün",IF(K84&lt;=Gelb_bis,"gelb","rot")))</f>
        <v/>
      </c>
      <c r="M84" s="29">
        <f>IF(L84="",IF(B84="","","Bewertung unvollständig – ★-Felder ausfüllen"),IF(L84="grün","Keine aktive Maßnahme – jährlich prüfen",IF(AND(X84=1,Y84=1,Z84=1),"Sofort sichern: Restbestand / Gebrauchtteil kaufen und Ersatzlösung (Retrofit) planen",IF(AND(X84=1,Z84=1),"Reparaturweg absichern (Dienstleister, Tauschteil), Gebrauchtteil prüfen",IF(X84=1,"Abgekündigt: Lagerteil schützen, Ersatzlösung mittelfristig planen",IF(Z84=1,IF(LEFT(Q84,4)="nein","Bevorratung lohnt nicht – Lieferzeit und Reparaturweg absichern","Lagerbestand anlegen (mind. 1 Stk.)"),"Reparaturmöglichkeit klären"))))))</f>
        <v/>
      </c>
      <c r="N84" s="30" t="n"/>
      <c r="O84" s="31" t="n"/>
      <c r="P84" s="32">
        <f>IF(OR(AB84="",W84="",Z84=0),"",AB84*INDEX(Krit_Kosten,MATCH(F84,Krit_Liste,0)))</f>
        <v/>
      </c>
      <c r="Q84" s="33">
        <f>IF(L84="","",IF(L84="grün","–",IF(Z84=0,"am Lager / in stock",IF(N(N84)&lt;=0,"Stückpreis fehlt",IF(P84&gt;=Faktor_lohnt*N84,"ja – "&amp;FIXED(P84/N84,0)&amp;"-fach","nein – "&amp;FIXED(P84/N84,IF(P84/N84&lt;1,2,1))&amp;"-fach")))))</f>
        <v/>
      </c>
      <c r="R84" s="25" t="n"/>
      <c r="S84" s="34" t="n"/>
      <c r="T84" s="31" t="n"/>
      <c r="U84" s="25" t="n"/>
      <c r="V84" s="2" t="n"/>
      <c r="W84" s="35">
        <f>IFERROR(INDEX(Krit_Faktor,MATCH(F84,Krit_Liste,0)),"")</f>
        <v/>
      </c>
      <c r="X84" s="35">
        <f>IF(OR(G84="nein",G84="no"),1,0)</f>
        <v/>
      </c>
      <c r="Y84" s="35">
        <f>IF(OR(H84="nein",H84="no"),1,0)</f>
        <v/>
      </c>
      <c r="Z84" s="35">
        <f>IF(OR(I84="nein",I84="no"),1,0)</f>
        <v/>
      </c>
      <c r="AA84" s="35">
        <f>(G84&lt;&gt;"")+(H84&lt;&gt;"")+(I84&lt;&gt;"")</f>
        <v/>
      </c>
      <c r="AB84" s="35">
        <f>IF(O84&lt;&gt;"",O84,IF(AA84&lt;3,"",IF(X84=1,Tage_nicht_beschaffbar,Tage_beschaffbar)))</f>
        <v/>
      </c>
      <c r="AC84" s="35">
        <f>IF(K84="","",K84*1000+W84*10+(1000-ROW())/100000)</f>
        <v/>
      </c>
    </row>
    <row r="85" ht="34" customHeight="1">
      <c r="A85" s="23">
        <f>IF(B85="","",COUNTA($B$9:B85))</f>
        <v/>
      </c>
      <c r="B85" s="24" t="n"/>
      <c r="C85" s="25" t="n"/>
      <c r="D85" s="25" t="n"/>
      <c r="E85" s="25" t="n"/>
      <c r="F85" s="26" t="n"/>
      <c r="G85" s="26" t="n"/>
      <c r="H85" s="26" t="n"/>
      <c r="I85" s="26" t="n"/>
      <c r="J85" s="23">
        <f>IF(AA85&lt;3,"",X85+Y85+Z85)</f>
        <v/>
      </c>
      <c r="K85" s="27">
        <f>IF(OR(J85="",W85=""),"",W85*J85)</f>
        <v/>
      </c>
      <c r="L85" s="28">
        <f>IF(K85="","",IF(K85&lt;=Gruen_bis,"grün",IF(K85&lt;=Gelb_bis,"gelb","rot")))</f>
        <v/>
      </c>
      <c r="M85" s="29">
        <f>IF(L85="",IF(B85="","","Bewertung unvollständig – ★-Felder ausfüllen"),IF(L85="grün","Keine aktive Maßnahme – jährlich prüfen",IF(AND(X85=1,Y85=1,Z85=1),"Sofort sichern: Restbestand / Gebrauchtteil kaufen und Ersatzlösung (Retrofit) planen",IF(AND(X85=1,Z85=1),"Reparaturweg absichern (Dienstleister, Tauschteil), Gebrauchtteil prüfen",IF(X85=1,"Abgekündigt: Lagerteil schützen, Ersatzlösung mittelfristig planen",IF(Z85=1,IF(LEFT(Q85,4)="nein","Bevorratung lohnt nicht – Lieferzeit und Reparaturweg absichern","Lagerbestand anlegen (mind. 1 Stk.)"),"Reparaturmöglichkeit klären"))))))</f>
        <v/>
      </c>
      <c r="N85" s="30" t="n"/>
      <c r="O85" s="31" t="n"/>
      <c r="P85" s="32">
        <f>IF(OR(AB85="",W85="",Z85=0),"",AB85*INDEX(Krit_Kosten,MATCH(F85,Krit_Liste,0)))</f>
        <v/>
      </c>
      <c r="Q85" s="33">
        <f>IF(L85="","",IF(L85="grün","–",IF(Z85=0,"am Lager / in stock",IF(N(N85)&lt;=0,"Stückpreis fehlt",IF(P85&gt;=Faktor_lohnt*N85,"ja – "&amp;FIXED(P85/N85,0)&amp;"-fach","nein – "&amp;FIXED(P85/N85,IF(P85/N85&lt;1,2,1))&amp;"-fach")))))</f>
        <v/>
      </c>
      <c r="R85" s="25" t="n"/>
      <c r="S85" s="34" t="n"/>
      <c r="T85" s="31" t="n"/>
      <c r="U85" s="25" t="n"/>
      <c r="V85" s="2" t="n"/>
      <c r="W85" s="35">
        <f>IFERROR(INDEX(Krit_Faktor,MATCH(F85,Krit_Liste,0)),"")</f>
        <v/>
      </c>
      <c r="X85" s="35">
        <f>IF(OR(G85="nein",G85="no"),1,0)</f>
        <v/>
      </c>
      <c r="Y85" s="35">
        <f>IF(OR(H85="nein",H85="no"),1,0)</f>
        <v/>
      </c>
      <c r="Z85" s="35">
        <f>IF(OR(I85="nein",I85="no"),1,0)</f>
        <v/>
      </c>
      <c r="AA85" s="35">
        <f>(G85&lt;&gt;"")+(H85&lt;&gt;"")+(I85&lt;&gt;"")</f>
        <v/>
      </c>
      <c r="AB85" s="35">
        <f>IF(O85&lt;&gt;"",O85,IF(AA85&lt;3,"",IF(X85=1,Tage_nicht_beschaffbar,Tage_beschaffbar)))</f>
        <v/>
      </c>
      <c r="AC85" s="35">
        <f>IF(K85="","",K85*1000+W85*10+(1000-ROW())/100000)</f>
        <v/>
      </c>
    </row>
    <row r="86" ht="34" customHeight="1">
      <c r="A86" s="23">
        <f>IF(B86="","",COUNTA($B$9:B86))</f>
        <v/>
      </c>
      <c r="B86" s="24" t="n"/>
      <c r="C86" s="25" t="n"/>
      <c r="D86" s="25" t="n"/>
      <c r="E86" s="25" t="n"/>
      <c r="F86" s="26" t="n"/>
      <c r="G86" s="26" t="n"/>
      <c r="H86" s="26" t="n"/>
      <c r="I86" s="26" t="n"/>
      <c r="J86" s="23">
        <f>IF(AA86&lt;3,"",X86+Y86+Z86)</f>
        <v/>
      </c>
      <c r="K86" s="27">
        <f>IF(OR(J86="",W86=""),"",W86*J86)</f>
        <v/>
      </c>
      <c r="L86" s="28">
        <f>IF(K86="","",IF(K86&lt;=Gruen_bis,"grün",IF(K86&lt;=Gelb_bis,"gelb","rot")))</f>
        <v/>
      </c>
      <c r="M86" s="29">
        <f>IF(L86="",IF(B86="","","Bewertung unvollständig – ★-Felder ausfüllen"),IF(L86="grün","Keine aktive Maßnahme – jährlich prüfen",IF(AND(X86=1,Y86=1,Z86=1),"Sofort sichern: Restbestand / Gebrauchtteil kaufen und Ersatzlösung (Retrofit) planen",IF(AND(X86=1,Z86=1),"Reparaturweg absichern (Dienstleister, Tauschteil), Gebrauchtteil prüfen",IF(X86=1,"Abgekündigt: Lagerteil schützen, Ersatzlösung mittelfristig planen",IF(Z86=1,IF(LEFT(Q86,4)="nein","Bevorratung lohnt nicht – Lieferzeit und Reparaturweg absichern","Lagerbestand anlegen (mind. 1 Stk.)"),"Reparaturmöglichkeit klären"))))))</f>
        <v/>
      </c>
      <c r="N86" s="30" t="n"/>
      <c r="O86" s="31" t="n"/>
      <c r="P86" s="32">
        <f>IF(OR(AB86="",W86="",Z86=0),"",AB86*INDEX(Krit_Kosten,MATCH(F86,Krit_Liste,0)))</f>
        <v/>
      </c>
      <c r="Q86" s="33">
        <f>IF(L86="","",IF(L86="grün","–",IF(Z86=0,"am Lager / in stock",IF(N(N86)&lt;=0,"Stückpreis fehlt",IF(P86&gt;=Faktor_lohnt*N86,"ja – "&amp;FIXED(P86/N86,0)&amp;"-fach","nein – "&amp;FIXED(P86/N86,IF(P86/N86&lt;1,2,1))&amp;"-fach")))))</f>
        <v/>
      </c>
      <c r="R86" s="25" t="n"/>
      <c r="S86" s="34" t="n"/>
      <c r="T86" s="31" t="n"/>
      <c r="U86" s="25" t="n"/>
      <c r="V86" s="2" t="n"/>
      <c r="W86" s="35">
        <f>IFERROR(INDEX(Krit_Faktor,MATCH(F86,Krit_Liste,0)),"")</f>
        <v/>
      </c>
      <c r="X86" s="35">
        <f>IF(OR(G86="nein",G86="no"),1,0)</f>
        <v/>
      </c>
      <c r="Y86" s="35">
        <f>IF(OR(H86="nein",H86="no"),1,0)</f>
        <v/>
      </c>
      <c r="Z86" s="35">
        <f>IF(OR(I86="nein",I86="no"),1,0)</f>
        <v/>
      </c>
      <c r="AA86" s="35">
        <f>(G86&lt;&gt;"")+(H86&lt;&gt;"")+(I86&lt;&gt;"")</f>
        <v/>
      </c>
      <c r="AB86" s="35">
        <f>IF(O86&lt;&gt;"",O86,IF(AA86&lt;3,"",IF(X86=1,Tage_nicht_beschaffbar,Tage_beschaffbar)))</f>
        <v/>
      </c>
      <c r="AC86" s="35">
        <f>IF(K86="","",K86*1000+W86*10+(1000-ROW())/100000)</f>
        <v/>
      </c>
    </row>
    <row r="87" ht="34" customHeight="1">
      <c r="A87" s="23">
        <f>IF(B87="","",COUNTA($B$9:B87))</f>
        <v/>
      </c>
      <c r="B87" s="24" t="n"/>
      <c r="C87" s="25" t="n"/>
      <c r="D87" s="25" t="n"/>
      <c r="E87" s="25" t="n"/>
      <c r="F87" s="26" t="n"/>
      <c r="G87" s="26" t="n"/>
      <c r="H87" s="26" t="n"/>
      <c r="I87" s="26" t="n"/>
      <c r="J87" s="23">
        <f>IF(AA87&lt;3,"",X87+Y87+Z87)</f>
        <v/>
      </c>
      <c r="K87" s="27">
        <f>IF(OR(J87="",W87=""),"",W87*J87)</f>
        <v/>
      </c>
      <c r="L87" s="28">
        <f>IF(K87="","",IF(K87&lt;=Gruen_bis,"grün",IF(K87&lt;=Gelb_bis,"gelb","rot")))</f>
        <v/>
      </c>
      <c r="M87" s="29">
        <f>IF(L87="",IF(B87="","","Bewertung unvollständig – ★-Felder ausfüllen"),IF(L87="grün","Keine aktive Maßnahme – jährlich prüfen",IF(AND(X87=1,Y87=1,Z87=1),"Sofort sichern: Restbestand / Gebrauchtteil kaufen und Ersatzlösung (Retrofit) planen",IF(AND(X87=1,Z87=1),"Reparaturweg absichern (Dienstleister, Tauschteil), Gebrauchtteil prüfen",IF(X87=1,"Abgekündigt: Lagerteil schützen, Ersatzlösung mittelfristig planen",IF(Z87=1,IF(LEFT(Q87,4)="nein","Bevorratung lohnt nicht – Lieferzeit und Reparaturweg absichern","Lagerbestand anlegen (mind. 1 Stk.)"),"Reparaturmöglichkeit klären"))))))</f>
        <v/>
      </c>
      <c r="N87" s="30" t="n"/>
      <c r="O87" s="31" t="n"/>
      <c r="P87" s="32">
        <f>IF(OR(AB87="",W87="",Z87=0),"",AB87*INDEX(Krit_Kosten,MATCH(F87,Krit_Liste,0)))</f>
        <v/>
      </c>
      <c r="Q87" s="33">
        <f>IF(L87="","",IF(L87="grün","–",IF(Z87=0,"am Lager / in stock",IF(N(N87)&lt;=0,"Stückpreis fehlt",IF(P87&gt;=Faktor_lohnt*N87,"ja – "&amp;FIXED(P87/N87,0)&amp;"-fach","nein – "&amp;FIXED(P87/N87,IF(P87/N87&lt;1,2,1))&amp;"-fach")))))</f>
        <v/>
      </c>
      <c r="R87" s="25" t="n"/>
      <c r="S87" s="34" t="n"/>
      <c r="T87" s="31" t="n"/>
      <c r="U87" s="25" t="n"/>
      <c r="V87" s="2" t="n"/>
      <c r="W87" s="35">
        <f>IFERROR(INDEX(Krit_Faktor,MATCH(F87,Krit_Liste,0)),"")</f>
        <v/>
      </c>
      <c r="X87" s="35">
        <f>IF(OR(G87="nein",G87="no"),1,0)</f>
        <v/>
      </c>
      <c r="Y87" s="35">
        <f>IF(OR(H87="nein",H87="no"),1,0)</f>
        <v/>
      </c>
      <c r="Z87" s="35">
        <f>IF(OR(I87="nein",I87="no"),1,0)</f>
        <v/>
      </c>
      <c r="AA87" s="35">
        <f>(G87&lt;&gt;"")+(H87&lt;&gt;"")+(I87&lt;&gt;"")</f>
        <v/>
      </c>
      <c r="AB87" s="35">
        <f>IF(O87&lt;&gt;"",O87,IF(AA87&lt;3,"",IF(X87=1,Tage_nicht_beschaffbar,Tage_beschaffbar)))</f>
        <v/>
      </c>
      <c r="AC87" s="35">
        <f>IF(K87="","",K87*1000+W87*10+(1000-ROW())/100000)</f>
        <v/>
      </c>
    </row>
    <row r="88" ht="34" customHeight="1">
      <c r="A88" s="23">
        <f>IF(B88="","",COUNTA($B$9:B88))</f>
        <v/>
      </c>
      <c r="B88" s="24" t="n"/>
      <c r="C88" s="25" t="n"/>
      <c r="D88" s="25" t="n"/>
      <c r="E88" s="25" t="n"/>
      <c r="F88" s="26" t="n"/>
      <c r="G88" s="26" t="n"/>
      <c r="H88" s="26" t="n"/>
      <c r="I88" s="26" t="n"/>
      <c r="J88" s="23">
        <f>IF(AA88&lt;3,"",X88+Y88+Z88)</f>
        <v/>
      </c>
      <c r="K88" s="27">
        <f>IF(OR(J88="",W88=""),"",W88*J88)</f>
        <v/>
      </c>
      <c r="L88" s="28">
        <f>IF(K88="","",IF(K88&lt;=Gruen_bis,"grün",IF(K88&lt;=Gelb_bis,"gelb","rot")))</f>
        <v/>
      </c>
      <c r="M88" s="29">
        <f>IF(L88="",IF(B88="","","Bewertung unvollständig – ★-Felder ausfüllen"),IF(L88="grün","Keine aktive Maßnahme – jährlich prüfen",IF(AND(X88=1,Y88=1,Z88=1),"Sofort sichern: Restbestand / Gebrauchtteil kaufen und Ersatzlösung (Retrofit) planen",IF(AND(X88=1,Z88=1),"Reparaturweg absichern (Dienstleister, Tauschteil), Gebrauchtteil prüfen",IF(X88=1,"Abgekündigt: Lagerteil schützen, Ersatzlösung mittelfristig planen",IF(Z88=1,IF(LEFT(Q88,4)="nein","Bevorratung lohnt nicht – Lieferzeit und Reparaturweg absichern","Lagerbestand anlegen (mind. 1 Stk.)"),"Reparaturmöglichkeit klären"))))))</f>
        <v/>
      </c>
      <c r="N88" s="30" t="n"/>
      <c r="O88" s="31" t="n"/>
      <c r="P88" s="32">
        <f>IF(OR(AB88="",W88="",Z88=0),"",AB88*INDEX(Krit_Kosten,MATCH(F88,Krit_Liste,0)))</f>
        <v/>
      </c>
      <c r="Q88" s="33">
        <f>IF(L88="","",IF(L88="grün","–",IF(Z88=0,"am Lager / in stock",IF(N(N88)&lt;=0,"Stückpreis fehlt",IF(P88&gt;=Faktor_lohnt*N88,"ja – "&amp;FIXED(P88/N88,0)&amp;"-fach","nein – "&amp;FIXED(P88/N88,IF(P88/N88&lt;1,2,1))&amp;"-fach")))))</f>
        <v/>
      </c>
      <c r="R88" s="25" t="n"/>
      <c r="S88" s="34" t="n"/>
      <c r="T88" s="31" t="n"/>
      <c r="U88" s="25" t="n"/>
      <c r="V88" s="2" t="n"/>
      <c r="W88" s="35">
        <f>IFERROR(INDEX(Krit_Faktor,MATCH(F88,Krit_Liste,0)),"")</f>
        <v/>
      </c>
      <c r="X88" s="35">
        <f>IF(OR(G88="nein",G88="no"),1,0)</f>
        <v/>
      </c>
      <c r="Y88" s="35">
        <f>IF(OR(H88="nein",H88="no"),1,0)</f>
        <v/>
      </c>
      <c r="Z88" s="35">
        <f>IF(OR(I88="nein",I88="no"),1,0)</f>
        <v/>
      </c>
      <c r="AA88" s="35">
        <f>(G88&lt;&gt;"")+(H88&lt;&gt;"")+(I88&lt;&gt;"")</f>
        <v/>
      </c>
      <c r="AB88" s="35">
        <f>IF(O88&lt;&gt;"",O88,IF(AA88&lt;3,"",IF(X88=1,Tage_nicht_beschaffbar,Tage_beschaffbar)))</f>
        <v/>
      </c>
      <c r="AC88" s="35">
        <f>IF(K88="","",K88*1000+W88*10+(1000-ROW())/100000)</f>
        <v/>
      </c>
    </row>
    <row r="89" ht="34" customHeight="1">
      <c r="A89" s="23">
        <f>IF(B89="","",COUNTA($B$9:B89))</f>
        <v/>
      </c>
      <c r="B89" s="24" t="n"/>
      <c r="C89" s="25" t="n"/>
      <c r="D89" s="25" t="n"/>
      <c r="E89" s="25" t="n"/>
      <c r="F89" s="26" t="n"/>
      <c r="G89" s="26" t="n"/>
      <c r="H89" s="26" t="n"/>
      <c r="I89" s="26" t="n"/>
      <c r="J89" s="23">
        <f>IF(AA89&lt;3,"",X89+Y89+Z89)</f>
        <v/>
      </c>
      <c r="K89" s="27">
        <f>IF(OR(J89="",W89=""),"",W89*J89)</f>
        <v/>
      </c>
      <c r="L89" s="28">
        <f>IF(K89="","",IF(K89&lt;=Gruen_bis,"grün",IF(K89&lt;=Gelb_bis,"gelb","rot")))</f>
        <v/>
      </c>
      <c r="M89" s="29">
        <f>IF(L89="",IF(B89="","","Bewertung unvollständig – ★-Felder ausfüllen"),IF(L89="grün","Keine aktive Maßnahme – jährlich prüfen",IF(AND(X89=1,Y89=1,Z89=1),"Sofort sichern: Restbestand / Gebrauchtteil kaufen und Ersatzlösung (Retrofit) planen",IF(AND(X89=1,Z89=1),"Reparaturweg absichern (Dienstleister, Tauschteil), Gebrauchtteil prüfen",IF(X89=1,"Abgekündigt: Lagerteil schützen, Ersatzlösung mittelfristig planen",IF(Z89=1,IF(LEFT(Q89,4)="nein","Bevorratung lohnt nicht – Lieferzeit und Reparaturweg absichern","Lagerbestand anlegen (mind. 1 Stk.)"),"Reparaturmöglichkeit klären"))))))</f>
        <v/>
      </c>
      <c r="N89" s="30" t="n"/>
      <c r="O89" s="31" t="n"/>
      <c r="P89" s="32">
        <f>IF(OR(AB89="",W89="",Z89=0),"",AB89*INDEX(Krit_Kosten,MATCH(F89,Krit_Liste,0)))</f>
        <v/>
      </c>
      <c r="Q89" s="33">
        <f>IF(L89="","",IF(L89="grün","–",IF(Z89=0,"am Lager / in stock",IF(N(N89)&lt;=0,"Stückpreis fehlt",IF(P89&gt;=Faktor_lohnt*N89,"ja – "&amp;FIXED(P89/N89,0)&amp;"-fach","nein – "&amp;FIXED(P89/N89,IF(P89/N89&lt;1,2,1))&amp;"-fach")))))</f>
        <v/>
      </c>
      <c r="R89" s="25" t="n"/>
      <c r="S89" s="34" t="n"/>
      <c r="T89" s="31" t="n"/>
      <c r="U89" s="25" t="n"/>
      <c r="V89" s="2" t="n"/>
      <c r="W89" s="35">
        <f>IFERROR(INDEX(Krit_Faktor,MATCH(F89,Krit_Liste,0)),"")</f>
        <v/>
      </c>
      <c r="X89" s="35">
        <f>IF(OR(G89="nein",G89="no"),1,0)</f>
        <v/>
      </c>
      <c r="Y89" s="35">
        <f>IF(OR(H89="nein",H89="no"),1,0)</f>
        <v/>
      </c>
      <c r="Z89" s="35">
        <f>IF(OR(I89="nein",I89="no"),1,0)</f>
        <v/>
      </c>
      <c r="AA89" s="35">
        <f>(G89&lt;&gt;"")+(H89&lt;&gt;"")+(I89&lt;&gt;"")</f>
        <v/>
      </c>
      <c r="AB89" s="35">
        <f>IF(O89&lt;&gt;"",O89,IF(AA89&lt;3,"",IF(X89=1,Tage_nicht_beschaffbar,Tage_beschaffbar)))</f>
        <v/>
      </c>
      <c r="AC89" s="35">
        <f>IF(K89="","",K89*1000+W89*10+(1000-ROW())/100000)</f>
        <v/>
      </c>
    </row>
    <row r="90" ht="34" customHeight="1">
      <c r="A90" s="23">
        <f>IF(B90="","",COUNTA($B$9:B90))</f>
        <v/>
      </c>
      <c r="B90" s="24" t="n"/>
      <c r="C90" s="25" t="n"/>
      <c r="D90" s="25" t="n"/>
      <c r="E90" s="25" t="n"/>
      <c r="F90" s="26" t="n"/>
      <c r="G90" s="26" t="n"/>
      <c r="H90" s="26" t="n"/>
      <c r="I90" s="26" t="n"/>
      <c r="J90" s="23">
        <f>IF(AA90&lt;3,"",X90+Y90+Z90)</f>
        <v/>
      </c>
      <c r="K90" s="27">
        <f>IF(OR(J90="",W90=""),"",W90*J90)</f>
        <v/>
      </c>
      <c r="L90" s="28">
        <f>IF(K90="","",IF(K90&lt;=Gruen_bis,"grün",IF(K90&lt;=Gelb_bis,"gelb","rot")))</f>
        <v/>
      </c>
      <c r="M90" s="29">
        <f>IF(L90="",IF(B90="","","Bewertung unvollständig – ★-Felder ausfüllen"),IF(L90="grün","Keine aktive Maßnahme – jährlich prüfen",IF(AND(X90=1,Y90=1,Z90=1),"Sofort sichern: Restbestand / Gebrauchtteil kaufen und Ersatzlösung (Retrofit) planen",IF(AND(X90=1,Z90=1),"Reparaturweg absichern (Dienstleister, Tauschteil), Gebrauchtteil prüfen",IF(X90=1,"Abgekündigt: Lagerteil schützen, Ersatzlösung mittelfristig planen",IF(Z90=1,IF(LEFT(Q90,4)="nein","Bevorratung lohnt nicht – Lieferzeit und Reparaturweg absichern","Lagerbestand anlegen (mind. 1 Stk.)"),"Reparaturmöglichkeit klären"))))))</f>
        <v/>
      </c>
      <c r="N90" s="30" t="n"/>
      <c r="O90" s="31" t="n"/>
      <c r="P90" s="32">
        <f>IF(OR(AB90="",W90="",Z90=0),"",AB90*INDEX(Krit_Kosten,MATCH(F90,Krit_Liste,0)))</f>
        <v/>
      </c>
      <c r="Q90" s="33">
        <f>IF(L90="","",IF(L90="grün","–",IF(Z90=0,"am Lager / in stock",IF(N(N90)&lt;=0,"Stückpreis fehlt",IF(P90&gt;=Faktor_lohnt*N90,"ja – "&amp;FIXED(P90/N90,0)&amp;"-fach","nein – "&amp;FIXED(P90/N90,IF(P90/N90&lt;1,2,1))&amp;"-fach")))))</f>
        <v/>
      </c>
      <c r="R90" s="25" t="n"/>
      <c r="S90" s="34" t="n"/>
      <c r="T90" s="31" t="n"/>
      <c r="U90" s="25" t="n"/>
      <c r="V90" s="2" t="n"/>
      <c r="W90" s="35">
        <f>IFERROR(INDEX(Krit_Faktor,MATCH(F90,Krit_Liste,0)),"")</f>
        <v/>
      </c>
      <c r="X90" s="35">
        <f>IF(OR(G90="nein",G90="no"),1,0)</f>
        <v/>
      </c>
      <c r="Y90" s="35">
        <f>IF(OR(H90="nein",H90="no"),1,0)</f>
        <v/>
      </c>
      <c r="Z90" s="35">
        <f>IF(OR(I90="nein",I90="no"),1,0)</f>
        <v/>
      </c>
      <c r="AA90" s="35">
        <f>(G90&lt;&gt;"")+(H90&lt;&gt;"")+(I90&lt;&gt;"")</f>
        <v/>
      </c>
      <c r="AB90" s="35">
        <f>IF(O90&lt;&gt;"",O90,IF(AA90&lt;3,"",IF(X90=1,Tage_nicht_beschaffbar,Tage_beschaffbar)))</f>
        <v/>
      </c>
      <c r="AC90" s="35">
        <f>IF(K90="","",K90*1000+W90*10+(1000-ROW())/100000)</f>
        <v/>
      </c>
    </row>
    <row r="91" ht="34" customHeight="1">
      <c r="A91" s="23">
        <f>IF(B91="","",COUNTA($B$9:B91))</f>
        <v/>
      </c>
      <c r="B91" s="24" t="n"/>
      <c r="C91" s="25" t="n"/>
      <c r="D91" s="25" t="n"/>
      <c r="E91" s="25" t="n"/>
      <c r="F91" s="26" t="n"/>
      <c r="G91" s="26" t="n"/>
      <c r="H91" s="26" t="n"/>
      <c r="I91" s="26" t="n"/>
      <c r="J91" s="23">
        <f>IF(AA91&lt;3,"",X91+Y91+Z91)</f>
        <v/>
      </c>
      <c r="K91" s="27">
        <f>IF(OR(J91="",W91=""),"",W91*J91)</f>
        <v/>
      </c>
      <c r="L91" s="28">
        <f>IF(K91="","",IF(K91&lt;=Gruen_bis,"grün",IF(K91&lt;=Gelb_bis,"gelb","rot")))</f>
        <v/>
      </c>
      <c r="M91" s="29">
        <f>IF(L91="",IF(B91="","","Bewertung unvollständig – ★-Felder ausfüllen"),IF(L91="grün","Keine aktive Maßnahme – jährlich prüfen",IF(AND(X91=1,Y91=1,Z91=1),"Sofort sichern: Restbestand / Gebrauchtteil kaufen und Ersatzlösung (Retrofit) planen",IF(AND(X91=1,Z91=1),"Reparaturweg absichern (Dienstleister, Tauschteil), Gebrauchtteil prüfen",IF(X91=1,"Abgekündigt: Lagerteil schützen, Ersatzlösung mittelfristig planen",IF(Z91=1,IF(LEFT(Q91,4)="nein","Bevorratung lohnt nicht – Lieferzeit und Reparaturweg absichern","Lagerbestand anlegen (mind. 1 Stk.)"),"Reparaturmöglichkeit klären"))))))</f>
        <v/>
      </c>
      <c r="N91" s="30" t="n"/>
      <c r="O91" s="31" t="n"/>
      <c r="P91" s="32">
        <f>IF(OR(AB91="",W91="",Z91=0),"",AB91*INDEX(Krit_Kosten,MATCH(F91,Krit_Liste,0)))</f>
        <v/>
      </c>
      <c r="Q91" s="33">
        <f>IF(L91="","",IF(L91="grün","–",IF(Z91=0,"am Lager / in stock",IF(N(N91)&lt;=0,"Stückpreis fehlt",IF(P91&gt;=Faktor_lohnt*N91,"ja – "&amp;FIXED(P91/N91,0)&amp;"-fach","nein – "&amp;FIXED(P91/N91,IF(P91/N91&lt;1,2,1))&amp;"-fach")))))</f>
        <v/>
      </c>
      <c r="R91" s="25" t="n"/>
      <c r="S91" s="34" t="n"/>
      <c r="T91" s="31" t="n"/>
      <c r="U91" s="25" t="n"/>
      <c r="V91" s="2" t="n"/>
      <c r="W91" s="35">
        <f>IFERROR(INDEX(Krit_Faktor,MATCH(F91,Krit_Liste,0)),"")</f>
        <v/>
      </c>
      <c r="X91" s="35">
        <f>IF(OR(G91="nein",G91="no"),1,0)</f>
        <v/>
      </c>
      <c r="Y91" s="35">
        <f>IF(OR(H91="nein",H91="no"),1,0)</f>
        <v/>
      </c>
      <c r="Z91" s="35">
        <f>IF(OR(I91="nein",I91="no"),1,0)</f>
        <v/>
      </c>
      <c r="AA91" s="35">
        <f>(G91&lt;&gt;"")+(H91&lt;&gt;"")+(I91&lt;&gt;"")</f>
        <v/>
      </c>
      <c r="AB91" s="35">
        <f>IF(O91&lt;&gt;"",O91,IF(AA91&lt;3,"",IF(X91=1,Tage_nicht_beschaffbar,Tage_beschaffbar)))</f>
        <v/>
      </c>
      <c r="AC91" s="35">
        <f>IF(K91="","",K91*1000+W91*10+(1000-ROW())/100000)</f>
        <v/>
      </c>
    </row>
    <row r="92" ht="34" customHeight="1">
      <c r="A92" s="23">
        <f>IF(B92="","",COUNTA($B$9:B92))</f>
        <v/>
      </c>
      <c r="B92" s="24" t="n"/>
      <c r="C92" s="25" t="n"/>
      <c r="D92" s="25" t="n"/>
      <c r="E92" s="25" t="n"/>
      <c r="F92" s="26" t="n"/>
      <c r="G92" s="26" t="n"/>
      <c r="H92" s="26" t="n"/>
      <c r="I92" s="26" t="n"/>
      <c r="J92" s="23">
        <f>IF(AA92&lt;3,"",X92+Y92+Z92)</f>
        <v/>
      </c>
      <c r="K92" s="27">
        <f>IF(OR(J92="",W92=""),"",W92*J92)</f>
        <v/>
      </c>
      <c r="L92" s="28">
        <f>IF(K92="","",IF(K92&lt;=Gruen_bis,"grün",IF(K92&lt;=Gelb_bis,"gelb","rot")))</f>
        <v/>
      </c>
      <c r="M92" s="29">
        <f>IF(L92="",IF(B92="","","Bewertung unvollständig – ★-Felder ausfüllen"),IF(L92="grün","Keine aktive Maßnahme – jährlich prüfen",IF(AND(X92=1,Y92=1,Z92=1),"Sofort sichern: Restbestand / Gebrauchtteil kaufen und Ersatzlösung (Retrofit) planen",IF(AND(X92=1,Z92=1),"Reparaturweg absichern (Dienstleister, Tauschteil), Gebrauchtteil prüfen",IF(X92=1,"Abgekündigt: Lagerteil schützen, Ersatzlösung mittelfristig planen",IF(Z92=1,IF(LEFT(Q92,4)="nein","Bevorratung lohnt nicht – Lieferzeit und Reparaturweg absichern","Lagerbestand anlegen (mind. 1 Stk.)"),"Reparaturmöglichkeit klären"))))))</f>
        <v/>
      </c>
      <c r="N92" s="30" t="n"/>
      <c r="O92" s="31" t="n"/>
      <c r="P92" s="32">
        <f>IF(OR(AB92="",W92="",Z92=0),"",AB92*INDEX(Krit_Kosten,MATCH(F92,Krit_Liste,0)))</f>
        <v/>
      </c>
      <c r="Q92" s="33">
        <f>IF(L92="","",IF(L92="grün","–",IF(Z92=0,"am Lager / in stock",IF(N(N92)&lt;=0,"Stückpreis fehlt",IF(P92&gt;=Faktor_lohnt*N92,"ja – "&amp;FIXED(P92/N92,0)&amp;"-fach","nein – "&amp;FIXED(P92/N92,IF(P92/N92&lt;1,2,1))&amp;"-fach")))))</f>
        <v/>
      </c>
      <c r="R92" s="25" t="n"/>
      <c r="S92" s="34" t="n"/>
      <c r="T92" s="31" t="n"/>
      <c r="U92" s="25" t="n"/>
      <c r="V92" s="2" t="n"/>
      <c r="W92" s="35">
        <f>IFERROR(INDEX(Krit_Faktor,MATCH(F92,Krit_Liste,0)),"")</f>
        <v/>
      </c>
      <c r="X92" s="35">
        <f>IF(OR(G92="nein",G92="no"),1,0)</f>
        <v/>
      </c>
      <c r="Y92" s="35">
        <f>IF(OR(H92="nein",H92="no"),1,0)</f>
        <v/>
      </c>
      <c r="Z92" s="35">
        <f>IF(OR(I92="nein",I92="no"),1,0)</f>
        <v/>
      </c>
      <c r="AA92" s="35">
        <f>(G92&lt;&gt;"")+(H92&lt;&gt;"")+(I92&lt;&gt;"")</f>
        <v/>
      </c>
      <c r="AB92" s="35">
        <f>IF(O92&lt;&gt;"",O92,IF(AA92&lt;3,"",IF(X92=1,Tage_nicht_beschaffbar,Tage_beschaffbar)))</f>
        <v/>
      </c>
      <c r="AC92" s="35">
        <f>IF(K92="","",K92*1000+W92*10+(1000-ROW())/100000)</f>
        <v/>
      </c>
    </row>
    <row r="93" ht="34" customHeight="1">
      <c r="A93" s="23">
        <f>IF(B93="","",COUNTA($B$9:B93))</f>
        <v/>
      </c>
      <c r="B93" s="24" t="n"/>
      <c r="C93" s="25" t="n"/>
      <c r="D93" s="25" t="n"/>
      <c r="E93" s="25" t="n"/>
      <c r="F93" s="26" t="n"/>
      <c r="G93" s="26" t="n"/>
      <c r="H93" s="26" t="n"/>
      <c r="I93" s="26" t="n"/>
      <c r="J93" s="23">
        <f>IF(AA93&lt;3,"",X93+Y93+Z93)</f>
        <v/>
      </c>
      <c r="K93" s="27">
        <f>IF(OR(J93="",W93=""),"",W93*J93)</f>
        <v/>
      </c>
      <c r="L93" s="28">
        <f>IF(K93="","",IF(K93&lt;=Gruen_bis,"grün",IF(K93&lt;=Gelb_bis,"gelb","rot")))</f>
        <v/>
      </c>
      <c r="M93" s="29">
        <f>IF(L93="",IF(B93="","","Bewertung unvollständig – ★-Felder ausfüllen"),IF(L93="grün","Keine aktive Maßnahme – jährlich prüfen",IF(AND(X93=1,Y93=1,Z93=1),"Sofort sichern: Restbestand / Gebrauchtteil kaufen und Ersatzlösung (Retrofit) planen",IF(AND(X93=1,Z93=1),"Reparaturweg absichern (Dienstleister, Tauschteil), Gebrauchtteil prüfen",IF(X93=1,"Abgekündigt: Lagerteil schützen, Ersatzlösung mittelfristig planen",IF(Z93=1,IF(LEFT(Q93,4)="nein","Bevorratung lohnt nicht – Lieferzeit und Reparaturweg absichern","Lagerbestand anlegen (mind. 1 Stk.)"),"Reparaturmöglichkeit klären"))))))</f>
        <v/>
      </c>
      <c r="N93" s="30" t="n"/>
      <c r="O93" s="31" t="n"/>
      <c r="P93" s="32">
        <f>IF(OR(AB93="",W93="",Z93=0),"",AB93*INDEX(Krit_Kosten,MATCH(F93,Krit_Liste,0)))</f>
        <v/>
      </c>
      <c r="Q93" s="33">
        <f>IF(L93="","",IF(L93="grün","–",IF(Z93=0,"am Lager / in stock",IF(N(N93)&lt;=0,"Stückpreis fehlt",IF(P93&gt;=Faktor_lohnt*N93,"ja – "&amp;FIXED(P93/N93,0)&amp;"-fach","nein – "&amp;FIXED(P93/N93,IF(P93/N93&lt;1,2,1))&amp;"-fach")))))</f>
        <v/>
      </c>
      <c r="R93" s="25" t="n"/>
      <c r="S93" s="34" t="n"/>
      <c r="T93" s="31" t="n"/>
      <c r="U93" s="25" t="n"/>
      <c r="V93" s="2" t="n"/>
      <c r="W93" s="35">
        <f>IFERROR(INDEX(Krit_Faktor,MATCH(F93,Krit_Liste,0)),"")</f>
        <v/>
      </c>
      <c r="X93" s="35">
        <f>IF(OR(G93="nein",G93="no"),1,0)</f>
        <v/>
      </c>
      <c r="Y93" s="35">
        <f>IF(OR(H93="nein",H93="no"),1,0)</f>
        <v/>
      </c>
      <c r="Z93" s="35">
        <f>IF(OR(I93="nein",I93="no"),1,0)</f>
        <v/>
      </c>
      <c r="AA93" s="35">
        <f>(G93&lt;&gt;"")+(H93&lt;&gt;"")+(I93&lt;&gt;"")</f>
        <v/>
      </c>
      <c r="AB93" s="35">
        <f>IF(O93&lt;&gt;"",O93,IF(AA93&lt;3,"",IF(X93=1,Tage_nicht_beschaffbar,Tage_beschaffbar)))</f>
        <v/>
      </c>
      <c r="AC93" s="35">
        <f>IF(K93="","",K93*1000+W93*10+(1000-ROW())/100000)</f>
        <v/>
      </c>
    </row>
    <row r="94" ht="34" customHeight="1">
      <c r="A94" s="23">
        <f>IF(B94="","",COUNTA($B$9:B94))</f>
        <v/>
      </c>
      <c r="B94" s="24" t="n"/>
      <c r="C94" s="25" t="n"/>
      <c r="D94" s="25" t="n"/>
      <c r="E94" s="25" t="n"/>
      <c r="F94" s="26" t="n"/>
      <c r="G94" s="26" t="n"/>
      <c r="H94" s="26" t="n"/>
      <c r="I94" s="26" t="n"/>
      <c r="J94" s="23">
        <f>IF(AA94&lt;3,"",X94+Y94+Z94)</f>
        <v/>
      </c>
      <c r="K94" s="27">
        <f>IF(OR(J94="",W94=""),"",W94*J94)</f>
        <v/>
      </c>
      <c r="L94" s="28">
        <f>IF(K94="","",IF(K94&lt;=Gruen_bis,"grün",IF(K94&lt;=Gelb_bis,"gelb","rot")))</f>
        <v/>
      </c>
      <c r="M94" s="29">
        <f>IF(L94="",IF(B94="","","Bewertung unvollständig – ★-Felder ausfüllen"),IF(L94="grün","Keine aktive Maßnahme – jährlich prüfen",IF(AND(X94=1,Y94=1,Z94=1),"Sofort sichern: Restbestand / Gebrauchtteil kaufen und Ersatzlösung (Retrofit) planen",IF(AND(X94=1,Z94=1),"Reparaturweg absichern (Dienstleister, Tauschteil), Gebrauchtteil prüfen",IF(X94=1,"Abgekündigt: Lagerteil schützen, Ersatzlösung mittelfristig planen",IF(Z94=1,IF(LEFT(Q94,4)="nein","Bevorratung lohnt nicht – Lieferzeit und Reparaturweg absichern","Lagerbestand anlegen (mind. 1 Stk.)"),"Reparaturmöglichkeit klären"))))))</f>
        <v/>
      </c>
      <c r="N94" s="30" t="n"/>
      <c r="O94" s="31" t="n"/>
      <c r="P94" s="32">
        <f>IF(OR(AB94="",W94="",Z94=0),"",AB94*INDEX(Krit_Kosten,MATCH(F94,Krit_Liste,0)))</f>
        <v/>
      </c>
      <c r="Q94" s="33">
        <f>IF(L94="","",IF(L94="grün","–",IF(Z94=0,"am Lager / in stock",IF(N(N94)&lt;=0,"Stückpreis fehlt",IF(P94&gt;=Faktor_lohnt*N94,"ja – "&amp;FIXED(P94/N94,0)&amp;"-fach","nein – "&amp;FIXED(P94/N94,IF(P94/N94&lt;1,2,1))&amp;"-fach")))))</f>
        <v/>
      </c>
      <c r="R94" s="25" t="n"/>
      <c r="S94" s="34" t="n"/>
      <c r="T94" s="31" t="n"/>
      <c r="U94" s="25" t="n"/>
      <c r="V94" s="2" t="n"/>
      <c r="W94" s="35">
        <f>IFERROR(INDEX(Krit_Faktor,MATCH(F94,Krit_Liste,0)),"")</f>
        <v/>
      </c>
      <c r="X94" s="35">
        <f>IF(OR(G94="nein",G94="no"),1,0)</f>
        <v/>
      </c>
      <c r="Y94" s="35">
        <f>IF(OR(H94="nein",H94="no"),1,0)</f>
        <v/>
      </c>
      <c r="Z94" s="35">
        <f>IF(OR(I94="nein",I94="no"),1,0)</f>
        <v/>
      </c>
      <c r="AA94" s="35">
        <f>(G94&lt;&gt;"")+(H94&lt;&gt;"")+(I94&lt;&gt;"")</f>
        <v/>
      </c>
      <c r="AB94" s="35">
        <f>IF(O94&lt;&gt;"",O94,IF(AA94&lt;3,"",IF(X94=1,Tage_nicht_beschaffbar,Tage_beschaffbar)))</f>
        <v/>
      </c>
      <c r="AC94" s="35">
        <f>IF(K94="","",K94*1000+W94*10+(1000-ROW())/100000)</f>
        <v/>
      </c>
    </row>
    <row r="95" ht="34" customHeight="1">
      <c r="A95" s="23">
        <f>IF(B95="","",COUNTA($B$9:B95))</f>
        <v/>
      </c>
      <c r="B95" s="24" t="n"/>
      <c r="C95" s="25" t="n"/>
      <c r="D95" s="25" t="n"/>
      <c r="E95" s="25" t="n"/>
      <c r="F95" s="26" t="n"/>
      <c r="G95" s="26" t="n"/>
      <c r="H95" s="26" t="n"/>
      <c r="I95" s="26" t="n"/>
      <c r="J95" s="23">
        <f>IF(AA95&lt;3,"",X95+Y95+Z95)</f>
        <v/>
      </c>
      <c r="K95" s="27">
        <f>IF(OR(J95="",W95=""),"",W95*J95)</f>
        <v/>
      </c>
      <c r="L95" s="28">
        <f>IF(K95="","",IF(K95&lt;=Gruen_bis,"grün",IF(K95&lt;=Gelb_bis,"gelb","rot")))</f>
        <v/>
      </c>
      <c r="M95" s="29">
        <f>IF(L95="",IF(B95="","","Bewertung unvollständig – ★-Felder ausfüllen"),IF(L95="grün","Keine aktive Maßnahme – jährlich prüfen",IF(AND(X95=1,Y95=1,Z95=1),"Sofort sichern: Restbestand / Gebrauchtteil kaufen und Ersatzlösung (Retrofit) planen",IF(AND(X95=1,Z95=1),"Reparaturweg absichern (Dienstleister, Tauschteil), Gebrauchtteil prüfen",IF(X95=1,"Abgekündigt: Lagerteil schützen, Ersatzlösung mittelfristig planen",IF(Z95=1,IF(LEFT(Q95,4)="nein","Bevorratung lohnt nicht – Lieferzeit und Reparaturweg absichern","Lagerbestand anlegen (mind. 1 Stk.)"),"Reparaturmöglichkeit klären"))))))</f>
        <v/>
      </c>
      <c r="N95" s="30" t="n"/>
      <c r="O95" s="31" t="n"/>
      <c r="P95" s="32">
        <f>IF(OR(AB95="",W95="",Z95=0),"",AB95*INDEX(Krit_Kosten,MATCH(F95,Krit_Liste,0)))</f>
        <v/>
      </c>
      <c r="Q95" s="33">
        <f>IF(L95="","",IF(L95="grün","–",IF(Z95=0,"am Lager / in stock",IF(N(N95)&lt;=0,"Stückpreis fehlt",IF(P95&gt;=Faktor_lohnt*N95,"ja – "&amp;FIXED(P95/N95,0)&amp;"-fach","nein – "&amp;FIXED(P95/N95,IF(P95/N95&lt;1,2,1))&amp;"-fach")))))</f>
        <v/>
      </c>
      <c r="R95" s="25" t="n"/>
      <c r="S95" s="34" t="n"/>
      <c r="T95" s="31" t="n"/>
      <c r="U95" s="25" t="n"/>
      <c r="V95" s="2" t="n"/>
      <c r="W95" s="35">
        <f>IFERROR(INDEX(Krit_Faktor,MATCH(F95,Krit_Liste,0)),"")</f>
        <v/>
      </c>
      <c r="X95" s="35">
        <f>IF(OR(G95="nein",G95="no"),1,0)</f>
        <v/>
      </c>
      <c r="Y95" s="35">
        <f>IF(OR(H95="nein",H95="no"),1,0)</f>
        <v/>
      </c>
      <c r="Z95" s="35">
        <f>IF(OR(I95="nein",I95="no"),1,0)</f>
        <v/>
      </c>
      <c r="AA95" s="35">
        <f>(G95&lt;&gt;"")+(H95&lt;&gt;"")+(I95&lt;&gt;"")</f>
        <v/>
      </c>
      <c r="AB95" s="35">
        <f>IF(O95&lt;&gt;"",O95,IF(AA95&lt;3,"",IF(X95=1,Tage_nicht_beschaffbar,Tage_beschaffbar)))</f>
        <v/>
      </c>
      <c r="AC95" s="35">
        <f>IF(K95="","",K95*1000+W95*10+(1000-ROW())/100000)</f>
        <v/>
      </c>
    </row>
    <row r="96" ht="34" customHeight="1">
      <c r="A96" s="23">
        <f>IF(B96="","",COUNTA($B$9:B96))</f>
        <v/>
      </c>
      <c r="B96" s="24" t="n"/>
      <c r="C96" s="25" t="n"/>
      <c r="D96" s="25" t="n"/>
      <c r="E96" s="25" t="n"/>
      <c r="F96" s="26" t="n"/>
      <c r="G96" s="26" t="n"/>
      <c r="H96" s="26" t="n"/>
      <c r="I96" s="26" t="n"/>
      <c r="J96" s="23">
        <f>IF(AA96&lt;3,"",X96+Y96+Z96)</f>
        <v/>
      </c>
      <c r="K96" s="27">
        <f>IF(OR(J96="",W96=""),"",W96*J96)</f>
        <v/>
      </c>
      <c r="L96" s="28">
        <f>IF(K96="","",IF(K96&lt;=Gruen_bis,"grün",IF(K96&lt;=Gelb_bis,"gelb","rot")))</f>
        <v/>
      </c>
      <c r="M96" s="29">
        <f>IF(L96="",IF(B96="","","Bewertung unvollständig – ★-Felder ausfüllen"),IF(L96="grün","Keine aktive Maßnahme – jährlich prüfen",IF(AND(X96=1,Y96=1,Z96=1),"Sofort sichern: Restbestand / Gebrauchtteil kaufen und Ersatzlösung (Retrofit) planen",IF(AND(X96=1,Z96=1),"Reparaturweg absichern (Dienstleister, Tauschteil), Gebrauchtteil prüfen",IF(X96=1,"Abgekündigt: Lagerteil schützen, Ersatzlösung mittelfristig planen",IF(Z96=1,IF(LEFT(Q96,4)="nein","Bevorratung lohnt nicht – Lieferzeit und Reparaturweg absichern","Lagerbestand anlegen (mind. 1 Stk.)"),"Reparaturmöglichkeit klären"))))))</f>
        <v/>
      </c>
      <c r="N96" s="30" t="n"/>
      <c r="O96" s="31" t="n"/>
      <c r="P96" s="32">
        <f>IF(OR(AB96="",W96="",Z96=0),"",AB96*INDEX(Krit_Kosten,MATCH(F96,Krit_Liste,0)))</f>
        <v/>
      </c>
      <c r="Q96" s="33">
        <f>IF(L96="","",IF(L96="grün","–",IF(Z96=0,"am Lager / in stock",IF(N(N96)&lt;=0,"Stückpreis fehlt",IF(P96&gt;=Faktor_lohnt*N96,"ja – "&amp;FIXED(P96/N96,0)&amp;"-fach","nein – "&amp;FIXED(P96/N96,IF(P96/N96&lt;1,2,1))&amp;"-fach")))))</f>
        <v/>
      </c>
      <c r="R96" s="25" t="n"/>
      <c r="S96" s="34" t="n"/>
      <c r="T96" s="31" t="n"/>
      <c r="U96" s="25" t="n"/>
      <c r="V96" s="2" t="n"/>
      <c r="W96" s="35">
        <f>IFERROR(INDEX(Krit_Faktor,MATCH(F96,Krit_Liste,0)),"")</f>
        <v/>
      </c>
      <c r="X96" s="35">
        <f>IF(OR(G96="nein",G96="no"),1,0)</f>
        <v/>
      </c>
      <c r="Y96" s="35">
        <f>IF(OR(H96="nein",H96="no"),1,0)</f>
        <v/>
      </c>
      <c r="Z96" s="35">
        <f>IF(OR(I96="nein",I96="no"),1,0)</f>
        <v/>
      </c>
      <c r="AA96" s="35">
        <f>(G96&lt;&gt;"")+(H96&lt;&gt;"")+(I96&lt;&gt;"")</f>
        <v/>
      </c>
      <c r="AB96" s="35">
        <f>IF(O96&lt;&gt;"",O96,IF(AA96&lt;3,"",IF(X96=1,Tage_nicht_beschaffbar,Tage_beschaffbar)))</f>
        <v/>
      </c>
      <c r="AC96" s="35">
        <f>IF(K96="","",K96*1000+W96*10+(1000-ROW())/100000)</f>
        <v/>
      </c>
    </row>
    <row r="97" ht="34" customHeight="1">
      <c r="A97" s="23">
        <f>IF(B97="","",COUNTA($B$9:B97))</f>
        <v/>
      </c>
      <c r="B97" s="24" t="n"/>
      <c r="C97" s="25" t="n"/>
      <c r="D97" s="25" t="n"/>
      <c r="E97" s="25" t="n"/>
      <c r="F97" s="26" t="n"/>
      <c r="G97" s="26" t="n"/>
      <c r="H97" s="26" t="n"/>
      <c r="I97" s="26" t="n"/>
      <c r="J97" s="23">
        <f>IF(AA97&lt;3,"",X97+Y97+Z97)</f>
        <v/>
      </c>
      <c r="K97" s="27">
        <f>IF(OR(J97="",W97=""),"",W97*J97)</f>
        <v/>
      </c>
      <c r="L97" s="28">
        <f>IF(K97="","",IF(K97&lt;=Gruen_bis,"grün",IF(K97&lt;=Gelb_bis,"gelb","rot")))</f>
        <v/>
      </c>
      <c r="M97" s="29">
        <f>IF(L97="",IF(B97="","","Bewertung unvollständig – ★-Felder ausfüllen"),IF(L97="grün","Keine aktive Maßnahme – jährlich prüfen",IF(AND(X97=1,Y97=1,Z97=1),"Sofort sichern: Restbestand / Gebrauchtteil kaufen und Ersatzlösung (Retrofit) planen",IF(AND(X97=1,Z97=1),"Reparaturweg absichern (Dienstleister, Tauschteil), Gebrauchtteil prüfen",IF(X97=1,"Abgekündigt: Lagerteil schützen, Ersatzlösung mittelfristig planen",IF(Z97=1,IF(LEFT(Q97,4)="nein","Bevorratung lohnt nicht – Lieferzeit und Reparaturweg absichern","Lagerbestand anlegen (mind. 1 Stk.)"),"Reparaturmöglichkeit klären"))))))</f>
        <v/>
      </c>
      <c r="N97" s="30" t="n"/>
      <c r="O97" s="31" t="n"/>
      <c r="P97" s="32">
        <f>IF(OR(AB97="",W97="",Z97=0),"",AB97*INDEX(Krit_Kosten,MATCH(F97,Krit_Liste,0)))</f>
        <v/>
      </c>
      <c r="Q97" s="33">
        <f>IF(L97="","",IF(L97="grün","–",IF(Z97=0,"am Lager / in stock",IF(N(N97)&lt;=0,"Stückpreis fehlt",IF(P97&gt;=Faktor_lohnt*N97,"ja – "&amp;FIXED(P97/N97,0)&amp;"-fach","nein – "&amp;FIXED(P97/N97,IF(P97/N97&lt;1,2,1))&amp;"-fach")))))</f>
        <v/>
      </c>
      <c r="R97" s="25" t="n"/>
      <c r="S97" s="34" t="n"/>
      <c r="T97" s="31" t="n"/>
      <c r="U97" s="25" t="n"/>
      <c r="V97" s="2" t="n"/>
      <c r="W97" s="35">
        <f>IFERROR(INDEX(Krit_Faktor,MATCH(F97,Krit_Liste,0)),"")</f>
        <v/>
      </c>
      <c r="X97" s="35">
        <f>IF(OR(G97="nein",G97="no"),1,0)</f>
        <v/>
      </c>
      <c r="Y97" s="35">
        <f>IF(OR(H97="nein",H97="no"),1,0)</f>
        <v/>
      </c>
      <c r="Z97" s="35">
        <f>IF(OR(I97="nein",I97="no"),1,0)</f>
        <v/>
      </c>
      <c r="AA97" s="35">
        <f>(G97&lt;&gt;"")+(H97&lt;&gt;"")+(I97&lt;&gt;"")</f>
        <v/>
      </c>
      <c r="AB97" s="35">
        <f>IF(O97&lt;&gt;"",O97,IF(AA97&lt;3,"",IF(X97=1,Tage_nicht_beschaffbar,Tage_beschaffbar)))</f>
        <v/>
      </c>
      <c r="AC97" s="35">
        <f>IF(K97="","",K97*1000+W97*10+(1000-ROW())/100000)</f>
        <v/>
      </c>
    </row>
    <row r="98" ht="34" customHeight="1">
      <c r="A98" s="23">
        <f>IF(B98="","",COUNTA($B$9:B98))</f>
        <v/>
      </c>
      <c r="B98" s="24" t="n"/>
      <c r="C98" s="25" t="n"/>
      <c r="D98" s="25" t="n"/>
      <c r="E98" s="25" t="n"/>
      <c r="F98" s="26" t="n"/>
      <c r="G98" s="26" t="n"/>
      <c r="H98" s="26" t="n"/>
      <c r="I98" s="26" t="n"/>
      <c r="J98" s="23">
        <f>IF(AA98&lt;3,"",X98+Y98+Z98)</f>
        <v/>
      </c>
      <c r="K98" s="27">
        <f>IF(OR(J98="",W98=""),"",W98*J98)</f>
        <v/>
      </c>
      <c r="L98" s="28">
        <f>IF(K98="","",IF(K98&lt;=Gruen_bis,"grün",IF(K98&lt;=Gelb_bis,"gelb","rot")))</f>
        <v/>
      </c>
      <c r="M98" s="29">
        <f>IF(L98="",IF(B98="","","Bewertung unvollständig – ★-Felder ausfüllen"),IF(L98="grün","Keine aktive Maßnahme – jährlich prüfen",IF(AND(X98=1,Y98=1,Z98=1),"Sofort sichern: Restbestand / Gebrauchtteil kaufen und Ersatzlösung (Retrofit) planen",IF(AND(X98=1,Z98=1),"Reparaturweg absichern (Dienstleister, Tauschteil), Gebrauchtteil prüfen",IF(X98=1,"Abgekündigt: Lagerteil schützen, Ersatzlösung mittelfristig planen",IF(Z98=1,IF(LEFT(Q98,4)="nein","Bevorratung lohnt nicht – Lieferzeit und Reparaturweg absichern","Lagerbestand anlegen (mind. 1 Stk.)"),"Reparaturmöglichkeit klären"))))))</f>
        <v/>
      </c>
      <c r="N98" s="30" t="n"/>
      <c r="O98" s="31" t="n"/>
      <c r="P98" s="32">
        <f>IF(OR(AB98="",W98="",Z98=0),"",AB98*INDEX(Krit_Kosten,MATCH(F98,Krit_Liste,0)))</f>
        <v/>
      </c>
      <c r="Q98" s="33">
        <f>IF(L98="","",IF(L98="grün","–",IF(Z98=0,"am Lager / in stock",IF(N(N98)&lt;=0,"Stückpreis fehlt",IF(P98&gt;=Faktor_lohnt*N98,"ja – "&amp;FIXED(P98/N98,0)&amp;"-fach","nein – "&amp;FIXED(P98/N98,IF(P98/N98&lt;1,2,1))&amp;"-fach")))))</f>
        <v/>
      </c>
      <c r="R98" s="25" t="n"/>
      <c r="S98" s="34" t="n"/>
      <c r="T98" s="31" t="n"/>
      <c r="U98" s="25" t="n"/>
      <c r="V98" s="2" t="n"/>
      <c r="W98" s="35">
        <f>IFERROR(INDEX(Krit_Faktor,MATCH(F98,Krit_Liste,0)),"")</f>
        <v/>
      </c>
      <c r="X98" s="35">
        <f>IF(OR(G98="nein",G98="no"),1,0)</f>
        <v/>
      </c>
      <c r="Y98" s="35">
        <f>IF(OR(H98="nein",H98="no"),1,0)</f>
        <v/>
      </c>
      <c r="Z98" s="35">
        <f>IF(OR(I98="nein",I98="no"),1,0)</f>
        <v/>
      </c>
      <c r="AA98" s="35">
        <f>(G98&lt;&gt;"")+(H98&lt;&gt;"")+(I98&lt;&gt;"")</f>
        <v/>
      </c>
      <c r="AB98" s="35">
        <f>IF(O98&lt;&gt;"",O98,IF(AA98&lt;3,"",IF(X98=1,Tage_nicht_beschaffbar,Tage_beschaffbar)))</f>
        <v/>
      </c>
      <c r="AC98" s="35">
        <f>IF(K98="","",K98*1000+W98*10+(1000-ROW())/100000)</f>
        <v/>
      </c>
    </row>
    <row r="99" ht="34" customHeight="1">
      <c r="A99" s="23">
        <f>IF(B99="","",COUNTA($B$9:B99))</f>
        <v/>
      </c>
      <c r="B99" s="24" t="n"/>
      <c r="C99" s="25" t="n"/>
      <c r="D99" s="25" t="n"/>
      <c r="E99" s="25" t="n"/>
      <c r="F99" s="26" t="n"/>
      <c r="G99" s="26" t="n"/>
      <c r="H99" s="26" t="n"/>
      <c r="I99" s="26" t="n"/>
      <c r="J99" s="23">
        <f>IF(AA99&lt;3,"",X99+Y99+Z99)</f>
        <v/>
      </c>
      <c r="K99" s="27">
        <f>IF(OR(J99="",W99=""),"",W99*J99)</f>
        <v/>
      </c>
      <c r="L99" s="28">
        <f>IF(K99="","",IF(K99&lt;=Gruen_bis,"grün",IF(K99&lt;=Gelb_bis,"gelb","rot")))</f>
        <v/>
      </c>
      <c r="M99" s="29">
        <f>IF(L99="",IF(B99="","","Bewertung unvollständig – ★-Felder ausfüllen"),IF(L99="grün","Keine aktive Maßnahme – jährlich prüfen",IF(AND(X99=1,Y99=1,Z99=1),"Sofort sichern: Restbestand / Gebrauchtteil kaufen und Ersatzlösung (Retrofit) planen",IF(AND(X99=1,Z99=1),"Reparaturweg absichern (Dienstleister, Tauschteil), Gebrauchtteil prüfen",IF(X99=1,"Abgekündigt: Lagerteil schützen, Ersatzlösung mittelfristig planen",IF(Z99=1,IF(LEFT(Q99,4)="nein","Bevorratung lohnt nicht – Lieferzeit und Reparaturweg absichern","Lagerbestand anlegen (mind. 1 Stk.)"),"Reparaturmöglichkeit klären"))))))</f>
        <v/>
      </c>
      <c r="N99" s="30" t="n"/>
      <c r="O99" s="31" t="n"/>
      <c r="P99" s="32">
        <f>IF(OR(AB99="",W99="",Z99=0),"",AB99*INDEX(Krit_Kosten,MATCH(F99,Krit_Liste,0)))</f>
        <v/>
      </c>
      <c r="Q99" s="33">
        <f>IF(L99="","",IF(L99="grün","–",IF(Z99=0,"am Lager / in stock",IF(N(N99)&lt;=0,"Stückpreis fehlt",IF(P99&gt;=Faktor_lohnt*N99,"ja – "&amp;FIXED(P99/N99,0)&amp;"-fach","nein – "&amp;FIXED(P99/N99,IF(P99/N99&lt;1,2,1))&amp;"-fach")))))</f>
        <v/>
      </c>
      <c r="R99" s="25" t="n"/>
      <c r="S99" s="34" t="n"/>
      <c r="T99" s="31" t="n"/>
      <c r="U99" s="25" t="n"/>
      <c r="V99" s="2" t="n"/>
      <c r="W99" s="35">
        <f>IFERROR(INDEX(Krit_Faktor,MATCH(F99,Krit_Liste,0)),"")</f>
        <v/>
      </c>
      <c r="X99" s="35">
        <f>IF(OR(G99="nein",G99="no"),1,0)</f>
        <v/>
      </c>
      <c r="Y99" s="35">
        <f>IF(OR(H99="nein",H99="no"),1,0)</f>
        <v/>
      </c>
      <c r="Z99" s="35">
        <f>IF(OR(I99="nein",I99="no"),1,0)</f>
        <v/>
      </c>
      <c r="AA99" s="35">
        <f>(G99&lt;&gt;"")+(H99&lt;&gt;"")+(I99&lt;&gt;"")</f>
        <v/>
      </c>
      <c r="AB99" s="35">
        <f>IF(O99&lt;&gt;"",O99,IF(AA99&lt;3,"",IF(X99=1,Tage_nicht_beschaffbar,Tage_beschaffbar)))</f>
        <v/>
      </c>
      <c r="AC99" s="35">
        <f>IF(K99="","",K99*1000+W99*10+(1000-ROW())/100000)</f>
        <v/>
      </c>
    </row>
    <row r="100" ht="34" customHeight="1">
      <c r="A100" s="23">
        <f>IF(B100="","",COUNTA($B$9:B100))</f>
        <v/>
      </c>
      <c r="B100" s="24" t="n"/>
      <c r="C100" s="25" t="n"/>
      <c r="D100" s="25" t="n"/>
      <c r="E100" s="25" t="n"/>
      <c r="F100" s="26" t="n"/>
      <c r="G100" s="26" t="n"/>
      <c r="H100" s="26" t="n"/>
      <c r="I100" s="26" t="n"/>
      <c r="J100" s="23">
        <f>IF(AA100&lt;3,"",X100+Y100+Z100)</f>
        <v/>
      </c>
      <c r="K100" s="27">
        <f>IF(OR(J100="",W100=""),"",W100*J100)</f>
        <v/>
      </c>
      <c r="L100" s="28">
        <f>IF(K100="","",IF(K100&lt;=Gruen_bis,"grün",IF(K100&lt;=Gelb_bis,"gelb","rot")))</f>
        <v/>
      </c>
      <c r="M100" s="29">
        <f>IF(L100="",IF(B100="","","Bewertung unvollständig – ★-Felder ausfüllen"),IF(L100="grün","Keine aktive Maßnahme – jährlich prüfen",IF(AND(X100=1,Y100=1,Z100=1),"Sofort sichern: Restbestand / Gebrauchtteil kaufen und Ersatzlösung (Retrofit) planen",IF(AND(X100=1,Z100=1),"Reparaturweg absichern (Dienstleister, Tauschteil), Gebrauchtteil prüfen",IF(X100=1,"Abgekündigt: Lagerteil schützen, Ersatzlösung mittelfristig planen",IF(Z100=1,IF(LEFT(Q100,4)="nein","Bevorratung lohnt nicht – Lieferzeit und Reparaturweg absichern","Lagerbestand anlegen (mind. 1 Stk.)"),"Reparaturmöglichkeit klären"))))))</f>
        <v/>
      </c>
      <c r="N100" s="30" t="n"/>
      <c r="O100" s="31" t="n"/>
      <c r="P100" s="32">
        <f>IF(OR(AB100="",W100="",Z100=0),"",AB100*INDEX(Krit_Kosten,MATCH(F100,Krit_Liste,0)))</f>
        <v/>
      </c>
      <c r="Q100" s="33">
        <f>IF(L100="","",IF(L100="grün","–",IF(Z100=0,"am Lager / in stock",IF(N(N100)&lt;=0,"Stückpreis fehlt",IF(P100&gt;=Faktor_lohnt*N100,"ja – "&amp;FIXED(P100/N100,0)&amp;"-fach","nein – "&amp;FIXED(P100/N100,IF(P100/N100&lt;1,2,1))&amp;"-fach")))))</f>
        <v/>
      </c>
      <c r="R100" s="25" t="n"/>
      <c r="S100" s="34" t="n"/>
      <c r="T100" s="31" t="n"/>
      <c r="U100" s="25" t="n"/>
      <c r="V100" s="2" t="n"/>
      <c r="W100" s="35">
        <f>IFERROR(INDEX(Krit_Faktor,MATCH(F100,Krit_Liste,0)),"")</f>
        <v/>
      </c>
      <c r="X100" s="35">
        <f>IF(OR(G100="nein",G100="no"),1,0)</f>
        <v/>
      </c>
      <c r="Y100" s="35">
        <f>IF(OR(H100="nein",H100="no"),1,0)</f>
        <v/>
      </c>
      <c r="Z100" s="35">
        <f>IF(OR(I100="nein",I100="no"),1,0)</f>
        <v/>
      </c>
      <c r="AA100" s="35">
        <f>(G100&lt;&gt;"")+(H100&lt;&gt;"")+(I100&lt;&gt;"")</f>
        <v/>
      </c>
      <c r="AB100" s="35">
        <f>IF(O100&lt;&gt;"",O100,IF(AA100&lt;3,"",IF(X100=1,Tage_nicht_beschaffbar,Tage_beschaffbar)))</f>
        <v/>
      </c>
      <c r="AC100" s="35">
        <f>IF(K100="","",K100*1000+W100*10+(1000-ROW())/100000)</f>
        <v/>
      </c>
    </row>
    <row r="101" ht="34" customHeight="1">
      <c r="A101" s="23">
        <f>IF(B101="","",COUNTA($B$9:B101))</f>
        <v/>
      </c>
      <c r="B101" s="24" t="n"/>
      <c r="C101" s="25" t="n"/>
      <c r="D101" s="25" t="n"/>
      <c r="E101" s="25" t="n"/>
      <c r="F101" s="26" t="n"/>
      <c r="G101" s="26" t="n"/>
      <c r="H101" s="26" t="n"/>
      <c r="I101" s="26" t="n"/>
      <c r="J101" s="23">
        <f>IF(AA101&lt;3,"",X101+Y101+Z101)</f>
        <v/>
      </c>
      <c r="K101" s="27">
        <f>IF(OR(J101="",W101=""),"",W101*J101)</f>
        <v/>
      </c>
      <c r="L101" s="28">
        <f>IF(K101="","",IF(K101&lt;=Gruen_bis,"grün",IF(K101&lt;=Gelb_bis,"gelb","rot")))</f>
        <v/>
      </c>
      <c r="M101" s="29">
        <f>IF(L101="",IF(B101="","","Bewertung unvollständig – ★-Felder ausfüllen"),IF(L101="grün","Keine aktive Maßnahme – jährlich prüfen",IF(AND(X101=1,Y101=1,Z101=1),"Sofort sichern: Restbestand / Gebrauchtteil kaufen und Ersatzlösung (Retrofit) planen",IF(AND(X101=1,Z101=1),"Reparaturweg absichern (Dienstleister, Tauschteil), Gebrauchtteil prüfen",IF(X101=1,"Abgekündigt: Lagerteil schützen, Ersatzlösung mittelfristig planen",IF(Z101=1,IF(LEFT(Q101,4)="nein","Bevorratung lohnt nicht – Lieferzeit und Reparaturweg absichern","Lagerbestand anlegen (mind. 1 Stk.)"),"Reparaturmöglichkeit klären"))))))</f>
        <v/>
      </c>
      <c r="N101" s="30" t="n"/>
      <c r="O101" s="31" t="n"/>
      <c r="P101" s="32">
        <f>IF(OR(AB101="",W101="",Z101=0),"",AB101*INDEX(Krit_Kosten,MATCH(F101,Krit_Liste,0)))</f>
        <v/>
      </c>
      <c r="Q101" s="33">
        <f>IF(L101="","",IF(L101="grün","–",IF(Z101=0,"am Lager / in stock",IF(N(N101)&lt;=0,"Stückpreis fehlt",IF(P101&gt;=Faktor_lohnt*N101,"ja – "&amp;FIXED(P101/N101,0)&amp;"-fach","nein – "&amp;FIXED(P101/N101,IF(P101/N101&lt;1,2,1))&amp;"-fach")))))</f>
        <v/>
      </c>
      <c r="R101" s="25" t="n"/>
      <c r="S101" s="34" t="n"/>
      <c r="T101" s="31" t="n"/>
      <c r="U101" s="25" t="n"/>
      <c r="V101" s="2" t="n"/>
      <c r="W101" s="35">
        <f>IFERROR(INDEX(Krit_Faktor,MATCH(F101,Krit_Liste,0)),"")</f>
        <v/>
      </c>
      <c r="X101" s="35">
        <f>IF(OR(G101="nein",G101="no"),1,0)</f>
        <v/>
      </c>
      <c r="Y101" s="35">
        <f>IF(OR(H101="nein",H101="no"),1,0)</f>
        <v/>
      </c>
      <c r="Z101" s="35">
        <f>IF(OR(I101="nein",I101="no"),1,0)</f>
        <v/>
      </c>
      <c r="AA101" s="35">
        <f>(G101&lt;&gt;"")+(H101&lt;&gt;"")+(I101&lt;&gt;"")</f>
        <v/>
      </c>
      <c r="AB101" s="35">
        <f>IF(O101&lt;&gt;"",O101,IF(AA101&lt;3,"",IF(X101=1,Tage_nicht_beschaffbar,Tage_beschaffbar)))</f>
        <v/>
      </c>
      <c r="AC101" s="35">
        <f>IF(K101="","",K101*1000+W101*10+(1000-ROW())/100000)</f>
        <v/>
      </c>
    </row>
    <row r="102" ht="34" customHeight="1">
      <c r="A102" s="23">
        <f>IF(B102="","",COUNTA($B$9:B102))</f>
        <v/>
      </c>
      <c r="B102" s="24" t="n"/>
      <c r="C102" s="25" t="n"/>
      <c r="D102" s="25" t="n"/>
      <c r="E102" s="25" t="n"/>
      <c r="F102" s="26" t="n"/>
      <c r="G102" s="26" t="n"/>
      <c r="H102" s="26" t="n"/>
      <c r="I102" s="26" t="n"/>
      <c r="J102" s="23">
        <f>IF(AA102&lt;3,"",X102+Y102+Z102)</f>
        <v/>
      </c>
      <c r="K102" s="27">
        <f>IF(OR(J102="",W102=""),"",W102*J102)</f>
        <v/>
      </c>
      <c r="L102" s="28">
        <f>IF(K102="","",IF(K102&lt;=Gruen_bis,"grün",IF(K102&lt;=Gelb_bis,"gelb","rot")))</f>
        <v/>
      </c>
      <c r="M102" s="29">
        <f>IF(L102="",IF(B102="","","Bewertung unvollständig – ★-Felder ausfüllen"),IF(L102="grün","Keine aktive Maßnahme – jährlich prüfen",IF(AND(X102=1,Y102=1,Z102=1),"Sofort sichern: Restbestand / Gebrauchtteil kaufen und Ersatzlösung (Retrofit) planen",IF(AND(X102=1,Z102=1),"Reparaturweg absichern (Dienstleister, Tauschteil), Gebrauchtteil prüfen",IF(X102=1,"Abgekündigt: Lagerteil schützen, Ersatzlösung mittelfristig planen",IF(Z102=1,IF(LEFT(Q102,4)="nein","Bevorratung lohnt nicht – Lieferzeit und Reparaturweg absichern","Lagerbestand anlegen (mind. 1 Stk.)"),"Reparaturmöglichkeit klären"))))))</f>
        <v/>
      </c>
      <c r="N102" s="30" t="n"/>
      <c r="O102" s="31" t="n"/>
      <c r="P102" s="32">
        <f>IF(OR(AB102="",W102="",Z102=0),"",AB102*INDEX(Krit_Kosten,MATCH(F102,Krit_Liste,0)))</f>
        <v/>
      </c>
      <c r="Q102" s="33">
        <f>IF(L102="","",IF(L102="grün","–",IF(Z102=0,"am Lager / in stock",IF(N(N102)&lt;=0,"Stückpreis fehlt",IF(P102&gt;=Faktor_lohnt*N102,"ja – "&amp;FIXED(P102/N102,0)&amp;"-fach","nein – "&amp;FIXED(P102/N102,IF(P102/N102&lt;1,2,1))&amp;"-fach")))))</f>
        <v/>
      </c>
      <c r="R102" s="25" t="n"/>
      <c r="S102" s="34" t="n"/>
      <c r="T102" s="31" t="n"/>
      <c r="U102" s="25" t="n"/>
      <c r="V102" s="2" t="n"/>
      <c r="W102" s="35">
        <f>IFERROR(INDEX(Krit_Faktor,MATCH(F102,Krit_Liste,0)),"")</f>
        <v/>
      </c>
      <c r="X102" s="35">
        <f>IF(OR(G102="nein",G102="no"),1,0)</f>
        <v/>
      </c>
      <c r="Y102" s="35">
        <f>IF(OR(H102="nein",H102="no"),1,0)</f>
        <v/>
      </c>
      <c r="Z102" s="35">
        <f>IF(OR(I102="nein",I102="no"),1,0)</f>
        <v/>
      </c>
      <c r="AA102" s="35">
        <f>(G102&lt;&gt;"")+(H102&lt;&gt;"")+(I102&lt;&gt;"")</f>
        <v/>
      </c>
      <c r="AB102" s="35">
        <f>IF(O102&lt;&gt;"",O102,IF(AA102&lt;3,"",IF(X102=1,Tage_nicht_beschaffbar,Tage_beschaffbar)))</f>
        <v/>
      </c>
      <c r="AC102" s="35">
        <f>IF(K102="","",K102*1000+W102*10+(1000-ROW())/100000)</f>
        <v/>
      </c>
    </row>
    <row r="103" ht="34" customHeight="1">
      <c r="A103" s="23">
        <f>IF(B103="","",COUNTA($B$9:B103))</f>
        <v/>
      </c>
      <c r="B103" s="24" t="n"/>
      <c r="C103" s="25" t="n"/>
      <c r="D103" s="25" t="n"/>
      <c r="E103" s="25" t="n"/>
      <c r="F103" s="26" t="n"/>
      <c r="G103" s="26" t="n"/>
      <c r="H103" s="26" t="n"/>
      <c r="I103" s="26" t="n"/>
      <c r="J103" s="23">
        <f>IF(AA103&lt;3,"",X103+Y103+Z103)</f>
        <v/>
      </c>
      <c r="K103" s="27">
        <f>IF(OR(J103="",W103=""),"",W103*J103)</f>
        <v/>
      </c>
      <c r="L103" s="28">
        <f>IF(K103="","",IF(K103&lt;=Gruen_bis,"grün",IF(K103&lt;=Gelb_bis,"gelb","rot")))</f>
        <v/>
      </c>
      <c r="M103" s="29">
        <f>IF(L103="",IF(B103="","","Bewertung unvollständig – ★-Felder ausfüllen"),IF(L103="grün","Keine aktive Maßnahme – jährlich prüfen",IF(AND(X103=1,Y103=1,Z103=1),"Sofort sichern: Restbestand / Gebrauchtteil kaufen und Ersatzlösung (Retrofit) planen",IF(AND(X103=1,Z103=1),"Reparaturweg absichern (Dienstleister, Tauschteil), Gebrauchtteil prüfen",IF(X103=1,"Abgekündigt: Lagerteil schützen, Ersatzlösung mittelfristig planen",IF(Z103=1,IF(LEFT(Q103,4)="nein","Bevorratung lohnt nicht – Lieferzeit und Reparaturweg absichern","Lagerbestand anlegen (mind. 1 Stk.)"),"Reparaturmöglichkeit klären"))))))</f>
        <v/>
      </c>
      <c r="N103" s="30" t="n"/>
      <c r="O103" s="31" t="n"/>
      <c r="P103" s="32">
        <f>IF(OR(AB103="",W103="",Z103=0),"",AB103*INDEX(Krit_Kosten,MATCH(F103,Krit_Liste,0)))</f>
        <v/>
      </c>
      <c r="Q103" s="33">
        <f>IF(L103="","",IF(L103="grün","–",IF(Z103=0,"am Lager / in stock",IF(N(N103)&lt;=0,"Stückpreis fehlt",IF(P103&gt;=Faktor_lohnt*N103,"ja – "&amp;FIXED(P103/N103,0)&amp;"-fach","nein – "&amp;FIXED(P103/N103,IF(P103/N103&lt;1,2,1))&amp;"-fach")))))</f>
        <v/>
      </c>
      <c r="R103" s="25" t="n"/>
      <c r="S103" s="34" t="n"/>
      <c r="T103" s="31" t="n"/>
      <c r="U103" s="25" t="n"/>
      <c r="V103" s="2" t="n"/>
      <c r="W103" s="35">
        <f>IFERROR(INDEX(Krit_Faktor,MATCH(F103,Krit_Liste,0)),"")</f>
        <v/>
      </c>
      <c r="X103" s="35">
        <f>IF(OR(G103="nein",G103="no"),1,0)</f>
        <v/>
      </c>
      <c r="Y103" s="35">
        <f>IF(OR(H103="nein",H103="no"),1,0)</f>
        <v/>
      </c>
      <c r="Z103" s="35">
        <f>IF(OR(I103="nein",I103="no"),1,0)</f>
        <v/>
      </c>
      <c r="AA103" s="35">
        <f>(G103&lt;&gt;"")+(H103&lt;&gt;"")+(I103&lt;&gt;"")</f>
        <v/>
      </c>
      <c r="AB103" s="35">
        <f>IF(O103&lt;&gt;"",O103,IF(AA103&lt;3,"",IF(X103=1,Tage_nicht_beschaffbar,Tage_beschaffbar)))</f>
        <v/>
      </c>
      <c r="AC103" s="35">
        <f>IF(K103="","",K103*1000+W103*10+(1000-ROW())/100000)</f>
        <v/>
      </c>
    </row>
    <row r="104" ht="34" customHeight="1">
      <c r="A104" s="23">
        <f>IF(B104="","",COUNTA($B$9:B104))</f>
        <v/>
      </c>
      <c r="B104" s="24" t="n"/>
      <c r="C104" s="25" t="n"/>
      <c r="D104" s="25" t="n"/>
      <c r="E104" s="25" t="n"/>
      <c r="F104" s="26" t="n"/>
      <c r="G104" s="26" t="n"/>
      <c r="H104" s="26" t="n"/>
      <c r="I104" s="26" t="n"/>
      <c r="J104" s="23">
        <f>IF(AA104&lt;3,"",X104+Y104+Z104)</f>
        <v/>
      </c>
      <c r="K104" s="27">
        <f>IF(OR(J104="",W104=""),"",W104*J104)</f>
        <v/>
      </c>
      <c r="L104" s="28">
        <f>IF(K104="","",IF(K104&lt;=Gruen_bis,"grün",IF(K104&lt;=Gelb_bis,"gelb","rot")))</f>
        <v/>
      </c>
      <c r="M104" s="29">
        <f>IF(L104="",IF(B104="","","Bewertung unvollständig – ★-Felder ausfüllen"),IF(L104="grün","Keine aktive Maßnahme – jährlich prüfen",IF(AND(X104=1,Y104=1,Z104=1),"Sofort sichern: Restbestand / Gebrauchtteil kaufen und Ersatzlösung (Retrofit) planen",IF(AND(X104=1,Z104=1),"Reparaturweg absichern (Dienstleister, Tauschteil), Gebrauchtteil prüfen",IF(X104=1,"Abgekündigt: Lagerteil schützen, Ersatzlösung mittelfristig planen",IF(Z104=1,IF(LEFT(Q104,4)="nein","Bevorratung lohnt nicht – Lieferzeit und Reparaturweg absichern","Lagerbestand anlegen (mind. 1 Stk.)"),"Reparaturmöglichkeit klären"))))))</f>
        <v/>
      </c>
      <c r="N104" s="30" t="n"/>
      <c r="O104" s="31" t="n"/>
      <c r="P104" s="32">
        <f>IF(OR(AB104="",W104="",Z104=0),"",AB104*INDEX(Krit_Kosten,MATCH(F104,Krit_Liste,0)))</f>
        <v/>
      </c>
      <c r="Q104" s="33">
        <f>IF(L104="","",IF(L104="grün","–",IF(Z104=0,"am Lager / in stock",IF(N(N104)&lt;=0,"Stückpreis fehlt",IF(P104&gt;=Faktor_lohnt*N104,"ja – "&amp;FIXED(P104/N104,0)&amp;"-fach","nein – "&amp;FIXED(P104/N104,IF(P104/N104&lt;1,2,1))&amp;"-fach")))))</f>
        <v/>
      </c>
      <c r="R104" s="25" t="n"/>
      <c r="S104" s="34" t="n"/>
      <c r="T104" s="31" t="n"/>
      <c r="U104" s="25" t="n"/>
      <c r="V104" s="2" t="n"/>
      <c r="W104" s="35">
        <f>IFERROR(INDEX(Krit_Faktor,MATCH(F104,Krit_Liste,0)),"")</f>
        <v/>
      </c>
      <c r="X104" s="35">
        <f>IF(OR(G104="nein",G104="no"),1,0)</f>
        <v/>
      </c>
      <c r="Y104" s="35">
        <f>IF(OR(H104="nein",H104="no"),1,0)</f>
        <v/>
      </c>
      <c r="Z104" s="35">
        <f>IF(OR(I104="nein",I104="no"),1,0)</f>
        <v/>
      </c>
      <c r="AA104" s="35">
        <f>(G104&lt;&gt;"")+(H104&lt;&gt;"")+(I104&lt;&gt;"")</f>
        <v/>
      </c>
      <c r="AB104" s="35">
        <f>IF(O104&lt;&gt;"",O104,IF(AA104&lt;3,"",IF(X104=1,Tage_nicht_beschaffbar,Tage_beschaffbar)))</f>
        <v/>
      </c>
      <c r="AC104" s="35">
        <f>IF(K104="","",K104*1000+W104*10+(1000-ROW())/100000)</f>
        <v/>
      </c>
    </row>
    <row r="105" ht="34" customHeight="1">
      <c r="A105" s="23">
        <f>IF(B105="","",COUNTA($B$9:B105))</f>
        <v/>
      </c>
      <c r="B105" s="24" t="n"/>
      <c r="C105" s="25" t="n"/>
      <c r="D105" s="25" t="n"/>
      <c r="E105" s="25" t="n"/>
      <c r="F105" s="26" t="n"/>
      <c r="G105" s="26" t="n"/>
      <c r="H105" s="26" t="n"/>
      <c r="I105" s="26" t="n"/>
      <c r="J105" s="23">
        <f>IF(AA105&lt;3,"",X105+Y105+Z105)</f>
        <v/>
      </c>
      <c r="K105" s="27">
        <f>IF(OR(J105="",W105=""),"",W105*J105)</f>
        <v/>
      </c>
      <c r="L105" s="28">
        <f>IF(K105="","",IF(K105&lt;=Gruen_bis,"grün",IF(K105&lt;=Gelb_bis,"gelb","rot")))</f>
        <v/>
      </c>
      <c r="M105" s="29">
        <f>IF(L105="",IF(B105="","","Bewertung unvollständig – ★-Felder ausfüllen"),IF(L105="grün","Keine aktive Maßnahme – jährlich prüfen",IF(AND(X105=1,Y105=1,Z105=1),"Sofort sichern: Restbestand / Gebrauchtteil kaufen und Ersatzlösung (Retrofit) planen",IF(AND(X105=1,Z105=1),"Reparaturweg absichern (Dienstleister, Tauschteil), Gebrauchtteil prüfen",IF(X105=1,"Abgekündigt: Lagerteil schützen, Ersatzlösung mittelfristig planen",IF(Z105=1,IF(LEFT(Q105,4)="nein","Bevorratung lohnt nicht – Lieferzeit und Reparaturweg absichern","Lagerbestand anlegen (mind. 1 Stk.)"),"Reparaturmöglichkeit klären"))))))</f>
        <v/>
      </c>
      <c r="N105" s="30" t="n"/>
      <c r="O105" s="31" t="n"/>
      <c r="P105" s="32">
        <f>IF(OR(AB105="",W105="",Z105=0),"",AB105*INDEX(Krit_Kosten,MATCH(F105,Krit_Liste,0)))</f>
        <v/>
      </c>
      <c r="Q105" s="33">
        <f>IF(L105="","",IF(L105="grün","–",IF(Z105=0,"am Lager / in stock",IF(N(N105)&lt;=0,"Stückpreis fehlt",IF(P105&gt;=Faktor_lohnt*N105,"ja – "&amp;FIXED(P105/N105,0)&amp;"-fach","nein – "&amp;FIXED(P105/N105,IF(P105/N105&lt;1,2,1))&amp;"-fach")))))</f>
        <v/>
      </c>
      <c r="R105" s="25" t="n"/>
      <c r="S105" s="34" t="n"/>
      <c r="T105" s="31" t="n"/>
      <c r="U105" s="25" t="n"/>
      <c r="V105" s="2" t="n"/>
      <c r="W105" s="35">
        <f>IFERROR(INDEX(Krit_Faktor,MATCH(F105,Krit_Liste,0)),"")</f>
        <v/>
      </c>
      <c r="X105" s="35">
        <f>IF(OR(G105="nein",G105="no"),1,0)</f>
        <v/>
      </c>
      <c r="Y105" s="35">
        <f>IF(OR(H105="nein",H105="no"),1,0)</f>
        <v/>
      </c>
      <c r="Z105" s="35">
        <f>IF(OR(I105="nein",I105="no"),1,0)</f>
        <v/>
      </c>
      <c r="AA105" s="35">
        <f>(G105&lt;&gt;"")+(H105&lt;&gt;"")+(I105&lt;&gt;"")</f>
        <v/>
      </c>
      <c r="AB105" s="35">
        <f>IF(O105&lt;&gt;"",O105,IF(AA105&lt;3,"",IF(X105=1,Tage_nicht_beschaffbar,Tage_beschaffbar)))</f>
        <v/>
      </c>
      <c r="AC105" s="35">
        <f>IF(K105="","",K105*1000+W105*10+(1000-ROW())/100000)</f>
        <v/>
      </c>
    </row>
    <row r="106" ht="34" customHeight="1">
      <c r="A106" s="23">
        <f>IF(B106="","",COUNTA($B$9:B106))</f>
        <v/>
      </c>
      <c r="B106" s="24" t="n"/>
      <c r="C106" s="25" t="n"/>
      <c r="D106" s="25" t="n"/>
      <c r="E106" s="25" t="n"/>
      <c r="F106" s="26" t="n"/>
      <c r="G106" s="26" t="n"/>
      <c r="H106" s="26" t="n"/>
      <c r="I106" s="26" t="n"/>
      <c r="J106" s="23">
        <f>IF(AA106&lt;3,"",X106+Y106+Z106)</f>
        <v/>
      </c>
      <c r="K106" s="27">
        <f>IF(OR(J106="",W106=""),"",W106*J106)</f>
        <v/>
      </c>
      <c r="L106" s="28">
        <f>IF(K106="","",IF(K106&lt;=Gruen_bis,"grün",IF(K106&lt;=Gelb_bis,"gelb","rot")))</f>
        <v/>
      </c>
      <c r="M106" s="29">
        <f>IF(L106="",IF(B106="","","Bewertung unvollständig – ★-Felder ausfüllen"),IF(L106="grün","Keine aktive Maßnahme – jährlich prüfen",IF(AND(X106=1,Y106=1,Z106=1),"Sofort sichern: Restbestand / Gebrauchtteil kaufen und Ersatzlösung (Retrofit) planen",IF(AND(X106=1,Z106=1),"Reparaturweg absichern (Dienstleister, Tauschteil), Gebrauchtteil prüfen",IF(X106=1,"Abgekündigt: Lagerteil schützen, Ersatzlösung mittelfristig planen",IF(Z106=1,IF(LEFT(Q106,4)="nein","Bevorratung lohnt nicht – Lieferzeit und Reparaturweg absichern","Lagerbestand anlegen (mind. 1 Stk.)"),"Reparaturmöglichkeit klären"))))))</f>
        <v/>
      </c>
      <c r="N106" s="30" t="n"/>
      <c r="O106" s="31" t="n"/>
      <c r="P106" s="32">
        <f>IF(OR(AB106="",W106="",Z106=0),"",AB106*INDEX(Krit_Kosten,MATCH(F106,Krit_Liste,0)))</f>
        <v/>
      </c>
      <c r="Q106" s="33">
        <f>IF(L106="","",IF(L106="grün","–",IF(Z106=0,"am Lager / in stock",IF(N(N106)&lt;=0,"Stückpreis fehlt",IF(P106&gt;=Faktor_lohnt*N106,"ja – "&amp;FIXED(P106/N106,0)&amp;"-fach","nein – "&amp;FIXED(P106/N106,IF(P106/N106&lt;1,2,1))&amp;"-fach")))))</f>
        <v/>
      </c>
      <c r="R106" s="25" t="n"/>
      <c r="S106" s="34" t="n"/>
      <c r="T106" s="31" t="n"/>
      <c r="U106" s="25" t="n"/>
      <c r="V106" s="2" t="n"/>
      <c r="W106" s="35">
        <f>IFERROR(INDEX(Krit_Faktor,MATCH(F106,Krit_Liste,0)),"")</f>
        <v/>
      </c>
      <c r="X106" s="35">
        <f>IF(OR(G106="nein",G106="no"),1,0)</f>
        <v/>
      </c>
      <c r="Y106" s="35">
        <f>IF(OR(H106="nein",H106="no"),1,0)</f>
        <v/>
      </c>
      <c r="Z106" s="35">
        <f>IF(OR(I106="nein",I106="no"),1,0)</f>
        <v/>
      </c>
      <c r="AA106" s="35">
        <f>(G106&lt;&gt;"")+(H106&lt;&gt;"")+(I106&lt;&gt;"")</f>
        <v/>
      </c>
      <c r="AB106" s="35">
        <f>IF(O106&lt;&gt;"",O106,IF(AA106&lt;3,"",IF(X106=1,Tage_nicht_beschaffbar,Tage_beschaffbar)))</f>
        <v/>
      </c>
      <c r="AC106" s="35">
        <f>IF(K106="","",K106*1000+W106*10+(1000-ROW())/100000)</f>
        <v/>
      </c>
    </row>
    <row r="107" ht="34" customHeight="1">
      <c r="A107" s="23">
        <f>IF(B107="","",COUNTA($B$9:B107))</f>
        <v/>
      </c>
      <c r="B107" s="24" t="n"/>
      <c r="C107" s="25" t="n"/>
      <c r="D107" s="25" t="n"/>
      <c r="E107" s="25" t="n"/>
      <c r="F107" s="26" t="n"/>
      <c r="G107" s="26" t="n"/>
      <c r="H107" s="26" t="n"/>
      <c r="I107" s="26" t="n"/>
      <c r="J107" s="23">
        <f>IF(AA107&lt;3,"",X107+Y107+Z107)</f>
        <v/>
      </c>
      <c r="K107" s="27">
        <f>IF(OR(J107="",W107=""),"",W107*J107)</f>
        <v/>
      </c>
      <c r="L107" s="28">
        <f>IF(K107="","",IF(K107&lt;=Gruen_bis,"grün",IF(K107&lt;=Gelb_bis,"gelb","rot")))</f>
        <v/>
      </c>
      <c r="M107" s="29">
        <f>IF(L107="",IF(B107="","","Bewertung unvollständig – ★-Felder ausfüllen"),IF(L107="grün","Keine aktive Maßnahme – jährlich prüfen",IF(AND(X107=1,Y107=1,Z107=1),"Sofort sichern: Restbestand / Gebrauchtteil kaufen und Ersatzlösung (Retrofit) planen",IF(AND(X107=1,Z107=1),"Reparaturweg absichern (Dienstleister, Tauschteil), Gebrauchtteil prüfen",IF(X107=1,"Abgekündigt: Lagerteil schützen, Ersatzlösung mittelfristig planen",IF(Z107=1,IF(LEFT(Q107,4)="nein","Bevorratung lohnt nicht – Lieferzeit und Reparaturweg absichern","Lagerbestand anlegen (mind. 1 Stk.)"),"Reparaturmöglichkeit klären"))))))</f>
        <v/>
      </c>
      <c r="N107" s="30" t="n"/>
      <c r="O107" s="31" t="n"/>
      <c r="P107" s="32">
        <f>IF(OR(AB107="",W107="",Z107=0),"",AB107*INDEX(Krit_Kosten,MATCH(F107,Krit_Liste,0)))</f>
        <v/>
      </c>
      <c r="Q107" s="33">
        <f>IF(L107="","",IF(L107="grün","–",IF(Z107=0,"am Lager / in stock",IF(N(N107)&lt;=0,"Stückpreis fehlt",IF(P107&gt;=Faktor_lohnt*N107,"ja – "&amp;FIXED(P107/N107,0)&amp;"-fach","nein – "&amp;FIXED(P107/N107,IF(P107/N107&lt;1,2,1))&amp;"-fach")))))</f>
        <v/>
      </c>
      <c r="R107" s="25" t="n"/>
      <c r="S107" s="34" t="n"/>
      <c r="T107" s="31" t="n"/>
      <c r="U107" s="25" t="n"/>
      <c r="V107" s="2" t="n"/>
      <c r="W107" s="35">
        <f>IFERROR(INDEX(Krit_Faktor,MATCH(F107,Krit_Liste,0)),"")</f>
        <v/>
      </c>
      <c r="X107" s="35">
        <f>IF(OR(G107="nein",G107="no"),1,0)</f>
        <v/>
      </c>
      <c r="Y107" s="35">
        <f>IF(OR(H107="nein",H107="no"),1,0)</f>
        <v/>
      </c>
      <c r="Z107" s="35">
        <f>IF(OR(I107="nein",I107="no"),1,0)</f>
        <v/>
      </c>
      <c r="AA107" s="35">
        <f>(G107&lt;&gt;"")+(H107&lt;&gt;"")+(I107&lt;&gt;"")</f>
        <v/>
      </c>
      <c r="AB107" s="35">
        <f>IF(O107&lt;&gt;"",O107,IF(AA107&lt;3,"",IF(X107=1,Tage_nicht_beschaffbar,Tage_beschaffbar)))</f>
        <v/>
      </c>
      <c r="AC107" s="35">
        <f>IF(K107="","",K107*1000+W107*10+(1000-ROW())/100000)</f>
        <v/>
      </c>
    </row>
    <row r="108" ht="34" customHeight="1">
      <c r="A108" s="23">
        <f>IF(B108="","",COUNTA($B$9:B108))</f>
        <v/>
      </c>
      <c r="B108" s="24" t="n"/>
      <c r="C108" s="25" t="n"/>
      <c r="D108" s="25" t="n"/>
      <c r="E108" s="25" t="n"/>
      <c r="F108" s="26" t="n"/>
      <c r="G108" s="26" t="n"/>
      <c r="H108" s="26" t="n"/>
      <c r="I108" s="26" t="n"/>
      <c r="J108" s="23">
        <f>IF(AA108&lt;3,"",X108+Y108+Z108)</f>
        <v/>
      </c>
      <c r="K108" s="27">
        <f>IF(OR(J108="",W108=""),"",W108*J108)</f>
        <v/>
      </c>
      <c r="L108" s="28">
        <f>IF(K108="","",IF(K108&lt;=Gruen_bis,"grün",IF(K108&lt;=Gelb_bis,"gelb","rot")))</f>
        <v/>
      </c>
      <c r="M108" s="29">
        <f>IF(L108="",IF(B108="","","Bewertung unvollständig – ★-Felder ausfüllen"),IF(L108="grün","Keine aktive Maßnahme – jährlich prüfen",IF(AND(X108=1,Y108=1,Z108=1),"Sofort sichern: Restbestand / Gebrauchtteil kaufen und Ersatzlösung (Retrofit) planen",IF(AND(X108=1,Z108=1),"Reparaturweg absichern (Dienstleister, Tauschteil), Gebrauchtteil prüfen",IF(X108=1,"Abgekündigt: Lagerteil schützen, Ersatzlösung mittelfristig planen",IF(Z108=1,IF(LEFT(Q108,4)="nein","Bevorratung lohnt nicht – Lieferzeit und Reparaturweg absichern","Lagerbestand anlegen (mind. 1 Stk.)"),"Reparaturmöglichkeit klären"))))))</f>
        <v/>
      </c>
      <c r="N108" s="30" t="n"/>
      <c r="O108" s="31" t="n"/>
      <c r="P108" s="32">
        <f>IF(OR(AB108="",W108="",Z108=0),"",AB108*INDEX(Krit_Kosten,MATCH(F108,Krit_Liste,0)))</f>
        <v/>
      </c>
      <c r="Q108" s="33">
        <f>IF(L108="","",IF(L108="grün","–",IF(Z108=0,"am Lager / in stock",IF(N(N108)&lt;=0,"Stückpreis fehlt",IF(P108&gt;=Faktor_lohnt*N108,"ja – "&amp;FIXED(P108/N108,0)&amp;"-fach","nein – "&amp;FIXED(P108/N108,IF(P108/N108&lt;1,2,1))&amp;"-fach")))))</f>
        <v/>
      </c>
      <c r="R108" s="25" t="n"/>
      <c r="S108" s="34" t="n"/>
      <c r="T108" s="31" t="n"/>
      <c r="U108" s="25" t="n"/>
      <c r="V108" s="2" t="n"/>
      <c r="W108" s="35">
        <f>IFERROR(INDEX(Krit_Faktor,MATCH(F108,Krit_Liste,0)),"")</f>
        <v/>
      </c>
      <c r="X108" s="35">
        <f>IF(OR(G108="nein",G108="no"),1,0)</f>
        <v/>
      </c>
      <c r="Y108" s="35">
        <f>IF(OR(H108="nein",H108="no"),1,0)</f>
        <v/>
      </c>
      <c r="Z108" s="35">
        <f>IF(OR(I108="nein",I108="no"),1,0)</f>
        <v/>
      </c>
      <c r="AA108" s="35">
        <f>(G108&lt;&gt;"")+(H108&lt;&gt;"")+(I108&lt;&gt;"")</f>
        <v/>
      </c>
      <c r="AB108" s="35">
        <f>IF(O108&lt;&gt;"",O108,IF(AA108&lt;3,"",IF(X108=1,Tage_nicht_beschaffbar,Tage_beschaffbar)))</f>
        <v/>
      </c>
      <c r="AC108" s="35">
        <f>IF(K108="","",K108*1000+W108*10+(1000-ROW())/100000)</f>
        <v/>
      </c>
    </row>
    <row r="109" ht="34" customHeight="1">
      <c r="A109" s="23">
        <f>IF(B109="","",COUNTA($B$9:B109))</f>
        <v/>
      </c>
      <c r="B109" s="24" t="n"/>
      <c r="C109" s="25" t="n"/>
      <c r="D109" s="25" t="n"/>
      <c r="E109" s="25" t="n"/>
      <c r="F109" s="26" t="n"/>
      <c r="G109" s="26" t="n"/>
      <c r="H109" s="26" t="n"/>
      <c r="I109" s="26" t="n"/>
      <c r="J109" s="23">
        <f>IF(AA109&lt;3,"",X109+Y109+Z109)</f>
        <v/>
      </c>
      <c r="K109" s="27">
        <f>IF(OR(J109="",W109=""),"",W109*J109)</f>
        <v/>
      </c>
      <c r="L109" s="28">
        <f>IF(K109="","",IF(K109&lt;=Gruen_bis,"grün",IF(K109&lt;=Gelb_bis,"gelb","rot")))</f>
        <v/>
      </c>
      <c r="M109" s="29">
        <f>IF(L109="",IF(B109="","","Bewertung unvollständig – ★-Felder ausfüllen"),IF(L109="grün","Keine aktive Maßnahme – jährlich prüfen",IF(AND(X109=1,Y109=1,Z109=1),"Sofort sichern: Restbestand / Gebrauchtteil kaufen und Ersatzlösung (Retrofit) planen",IF(AND(X109=1,Z109=1),"Reparaturweg absichern (Dienstleister, Tauschteil), Gebrauchtteil prüfen",IF(X109=1,"Abgekündigt: Lagerteil schützen, Ersatzlösung mittelfristig planen",IF(Z109=1,IF(LEFT(Q109,4)="nein","Bevorratung lohnt nicht – Lieferzeit und Reparaturweg absichern","Lagerbestand anlegen (mind. 1 Stk.)"),"Reparaturmöglichkeit klären"))))))</f>
        <v/>
      </c>
      <c r="N109" s="30" t="n"/>
      <c r="O109" s="31" t="n"/>
      <c r="P109" s="32">
        <f>IF(OR(AB109="",W109="",Z109=0),"",AB109*INDEX(Krit_Kosten,MATCH(F109,Krit_Liste,0)))</f>
        <v/>
      </c>
      <c r="Q109" s="33">
        <f>IF(L109="","",IF(L109="grün","–",IF(Z109=0,"am Lager / in stock",IF(N(N109)&lt;=0,"Stückpreis fehlt",IF(P109&gt;=Faktor_lohnt*N109,"ja – "&amp;FIXED(P109/N109,0)&amp;"-fach","nein – "&amp;FIXED(P109/N109,IF(P109/N109&lt;1,2,1))&amp;"-fach")))))</f>
        <v/>
      </c>
      <c r="R109" s="25" t="n"/>
      <c r="S109" s="34" t="n"/>
      <c r="T109" s="31" t="n"/>
      <c r="U109" s="25" t="n"/>
      <c r="V109" s="2" t="n"/>
      <c r="W109" s="35">
        <f>IFERROR(INDEX(Krit_Faktor,MATCH(F109,Krit_Liste,0)),"")</f>
        <v/>
      </c>
      <c r="X109" s="35">
        <f>IF(OR(G109="nein",G109="no"),1,0)</f>
        <v/>
      </c>
      <c r="Y109" s="35">
        <f>IF(OR(H109="nein",H109="no"),1,0)</f>
        <v/>
      </c>
      <c r="Z109" s="35">
        <f>IF(OR(I109="nein",I109="no"),1,0)</f>
        <v/>
      </c>
      <c r="AA109" s="35">
        <f>(G109&lt;&gt;"")+(H109&lt;&gt;"")+(I109&lt;&gt;"")</f>
        <v/>
      </c>
      <c r="AB109" s="35">
        <f>IF(O109&lt;&gt;"",O109,IF(AA109&lt;3,"",IF(X109=1,Tage_nicht_beschaffbar,Tage_beschaffbar)))</f>
        <v/>
      </c>
      <c r="AC109" s="35">
        <f>IF(K109="","",K109*1000+W109*10+(1000-ROW())/100000)</f>
        <v/>
      </c>
    </row>
    <row r="110" ht="34" customHeight="1">
      <c r="A110" s="23">
        <f>IF(B110="","",COUNTA($B$9:B110))</f>
        <v/>
      </c>
      <c r="B110" s="24" t="n"/>
      <c r="C110" s="25" t="n"/>
      <c r="D110" s="25" t="n"/>
      <c r="E110" s="25" t="n"/>
      <c r="F110" s="26" t="n"/>
      <c r="G110" s="26" t="n"/>
      <c r="H110" s="26" t="n"/>
      <c r="I110" s="26" t="n"/>
      <c r="J110" s="23">
        <f>IF(AA110&lt;3,"",X110+Y110+Z110)</f>
        <v/>
      </c>
      <c r="K110" s="27">
        <f>IF(OR(J110="",W110=""),"",W110*J110)</f>
        <v/>
      </c>
      <c r="L110" s="28">
        <f>IF(K110="","",IF(K110&lt;=Gruen_bis,"grün",IF(K110&lt;=Gelb_bis,"gelb","rot")))</f>
        <v/>
      </c>
      <c r="M110" s="29">
        <f>IF(L110="",IF(B110="","","Bewertung unvollständig – ★-Felder ausfüllen"),IF(L110="grün","Keine aktive Maßnahme – jährlich prüfen",IF(AND(X110=1,Y110=1,Z110=1),"Sofort sichern: Restbestand / Gebrauchtteil kaufen und Ersatzlösung (Retrofit) planen",IF(AND(X110=1,Z110=1),"Reparaturweg absichern (Dienstleister, Tauschteil), Gebrauchtteil prüfen",IF(X110=1,"Abgekündigt: Lagerteil schützen, Ersatzlösung mittelfristig planen",IF(Z110=1,IF(LEFT(Q110,4)="nein","Bevorratung lohnt nicht – Lieferzeit und Reparaturweg absichern","Lagerbestand anlegen (mind. 1 Stk.)"),"Reparaturmöglichkeit klären"))))))</f>
        <v/>
      </c>
      <c r="N110" s="30" t="n"/>
      <c r="O110" s="31" t="n"/>
      <c r="P110" s="32">
        <f>IF(OR(AB110="",W110="",Z110=0),"",AB110*INDEX(Krit_Kosten,MATCH(F110,Krit_Liste,0)))</f>
        <v/>
      </c>
      <c r="Q110" s="33">
        <f>IF(L110="","",IF(L110="grün","–",IF(Z110=0,"am Lager / in stock",IF(N(N110)&lt;=0,"Stückpreis fehlt",IF(P110&gt;=Faktor_lohnt*N110,"ja – "&amp;FIXED(P110/N110,0)&amp;"-fach","nein – "&amp;FIXED(P110/N110,IF(P110/N110&lt;1,2,1))&amp;"-fach")))))</f>
        <v/>
      </c>
      <c r="R110" s="25" t="n"/>
      <c r="S110" s="34" t="n"/>
      <c r="T110" s="31" t="n"/>
      <c r="U110" s="25" t="n"/>
      <c r="V110" s="2" t="n"/>
      <c r="W110" s="35">
        <f>IFERROR(INDEX(Krit_Faktor,MATCH(F110,Krit_Liste,0)),"")</f>
        <v/>
      </c>
      <c r="X110" s="35">
        <f>IF(OR(G110="nein",G110="no"),1,0)</f>
        <v/>
      </c>
      <c r="Y110" s="35">
        <f>IF(OR(H110="nein",H110="no"),1,0)</f>
        <v/>
      </c>
      <c r="Z110" s="35">
        <f>IF(OR(I110="nein",I110="no"),1,0)</f>
        <v/>
      </c>
      <c r="AA110" s="35">
        <f>(G110&lt;&gt;"")+(H110&lt;&gt;"")+(I110&lt;&gt;"")</f>
        <v/>
      </c>
      <c r="AB110" s="35">
        <f>IF(O110&lt;&gt;"",O110,IF(AA110&lt;3,"",IF(X110=1,Tage_nicht_beschaffbar,Tage_beschaffbar)))</f>
        <v/>
      </c>
      <c r="AC110" s="35">
        <f>IF(K110="","",K110*1000+W110*10+(1000-ROW())/100000)</f>
        <v/>
      </c>
    </row>
    <row r="111" ht="34" customHeight="1">
      <c r="A111" s="23">
        <f>IF(B111="","",COUNTA($B$9:B111))</f>
        <v/>
      </c>
      <c r="B111" s="24" t="n"/>
      <c r="C111" s="25" t="n"/>
      <c r="D111" s="25" t="n"/>
      <c r="E111" s="25" t="n"/>
      <c r="F111" s="26" t="n"/>
      <c r="G111" s="26" t="n"/>
      <c r="H111" s="26" t="n"/>
      <c r="I111" s="26" t="n"/>
      <c r="J111" s="23">
        <f>IF(AA111&lt;3,"",X111+Y111+Z111)</f>
        <v/>
      </c>
      <c r="K111" s="27">
        <f>IF(OR(J111="",W111=""),"",W111*J111)</f>
        <v/>
      </c>
      <c r="L111" s="28">
        <f>IF(K111="","",IF(K111&lt;=Gruen_bis,"grün",IF(K111&lt;=Gelb_bis,"gelb","rot")))</f>
        <v/>
      </c>
      <c r="M111" s="29">
        <f>IF(L111="",IF(B111="","","Bewertung unvollständig – ★-Felder ausfüllen"),IF(L111="grün","Keine aktive Maßnahme – jährlich prüfen",IF(AND(X111=1,Y111=1,Z111=1),"Sofort sichern: Restbestand / Gebrauchtteil kaufen und Ersatzlösung (Retrofit) planen",IF(AND(X111=1,Z111=1),"Reparaturweg absichern (Dienstleister, Tauschteil), Gebrauchtteil prüfen",IF(X111=1,"Abgekündigt: Lagerteil schützen, Ersatzlösung mittelfristig planen",IF(Z111=1,IF(LEFT(Q111,4)="nein","Bevorratung lohnt nicht – Lieferzeit und Reparaturweg absichern","Lagerbestand anlegen (mind. 1 Stk.)"),"Reparaturmöglichkeit klären"))))))</f>
        <v/>
      </c>
      <c r="N111" s="30" t="n"/>
      <c r="O111" s="31" t="n"/>
      <c r="P111" s="32">
        <f>IF(OR(AB111="",W111="",Z111=0),"",AB111*INDEX(Krit_Kosten,MATCH(F111,Krit_Liste,0)))</f>
        <v/>
      </c>
      <c r="Q111" s="33">
        <f>IF(L111="","",IF(L111="grün","–",IF(Z111=0,"am Lager / in stock",IF(N(N111)&lt;=0,"Stückpreis fehlt",IF(P111&gt;=Faktor_lohnt*N111,"ja – "&amp;FIXED(P111/N111,0)&amp;"-fach","nein – "&amp;FIXED(P111/N111,IF(P111/N111&lt;1,2,1))&amp;"-fach")))))</f>
        <v/>
      </c>
      <c r="R111" s="25" t="n"/>
      <c r="S111" s="34" t="n"/>
      <c r="T111" s="31" t="n"/>
      <c r="U111" s="25" t="n"/>
      <c r="V111" s="2" t="n"/>
      <c r="W111" s="35">
        <f>IFERROR(INDEX(Krit_Faktor,MATCH(F111,Krit_Liste,0)),"")</f>
        <v/>
      </c>
      <c r="X111" s="35">
        <f>IF(OR(G111="nein",G111="no"),1,0)</f>
        <v/>
      </c>
      <c r="Y111" s="35">
        <f>IF(OR(H111="nein",H111="no"),1,0)</f>
        <v/>
      </c>
      <c r="Z111" s="35">
        <f>IF(OR(I111="nein",I111="no"),1,0)</f>
        <v/>
      </c>
      <c r="AA111" s="35">
        <f>(G111&lt;&gt;"")+(H111&lt;&gt;"")+(I111&lt;&gt;"")</f>
        <v/>
      </c>
      <c r="AB111" s="35">
        <f>IF(O111&lt;&gt;"",O111,IF(AA111&lt;3,"",IF(X111=1,Tage_nicht_beschaffbar,Tage_beschaffbar)))</f>
        <v/>
      </c>
      <c r="AC111" s="35">
        <f>IF(K111="","",K111*1000+W111*10+(1000-ROW())/100000)</f>
        <v/>
      </c>
    </row>
    <row r="112" ht="34" customHeight="1">
      <c r="A112" s="23">
        <f>IF(B112="","",COUNTA($B$9:B112))</f>
        <v/>
      </c>
      <c r="B112" s="24" t="n"/>
      <c r="C112" s="25" t="n"/>
      <c r="D112" s="25" t="n"/>
      <c r="E112" s="25" t="n"/>
      <c r="F112" s="26" t="n"/>
      <c r="G112" s="26" t="n"/>
      <c r="H112" s="26" t="n"/>
      <c r="I112" s="26" t="n"/>
      <c r="J112" s="23">
        <f>IF(AA112&lt;3,"",X112+Y112+Z112)</f>
        <v/>
      </c>
      <c r="K112" s="27">
        <f>IF(OR(J112="",W112=""),"",W112*J112)</f>
        <v/>
      </c>
      <c r="L112" s="28">
        <f>IF(K112="","",IF(K112&lt;=Gruen_bis,"grün",IF(K112&lt;=Gelb_bis,"gelb","rot")))</f>
        <v/>
      </c>
      <c r="M112" s="29">
        <f>IF(L112="",IF(B112="","","Bewertung unvollständig – ★-Felder ausfüllen"),IF(L112="grün","Keine aktive Maßnahme – jährlich prüfen",IF(AND(X112=1,Y112=1,Z112=1),"Sofort sichern: Restbestand / Gebrauchtteil kaufen und Ersatzlösung (Retrofit) planen",IF(AND(X112=1,Z112=1),"Reparaturweg absichern (Dienstleister, Tauschteil), Gebrauchtteil prüfen",IF(X112=1,"Abgekündigt: Lagerteil schützen, Ersatzlösung mittelfristig planen",IF(Z112=1,IF(LEFT(Q112,4)="nein","Bevorratung lohnt nicht – Lieferzeit und Reparaturweg absichern","Lagerbestand anlegen (mind. 1 Stk.)"),"Reparaturmöglichkeit klären"))))))</f>
        <v/>
      </c>
      <c r="N112" s="30" t="n"/>
      <c r="O112" s="31" t="n"/>
      <c r="P112" s="32">
        <f>IF(OR(AB112="",W112="",Z112=0),"",AB112*INDEX(Krit_Kosten,MATCH(F112,Krit_Liste,0)))</f>
        <v/>
      </c>
      <c r="Q112" s="33">
        <f>IF(L112="","",IF(L112="grün","–",IF(Z112=0,"am Lager / in stock",IF(N(N112)&lt;=0,"Stückpreis fehlt",IF(P112&gt;=Faktor_lohnt*N112,"ja – "&amp;FIXED(P112/N112,0)&amp;"-fach","nein – "&amp;FIXED(P112/N112,IF(P112/N112&lt;1,2,1))&amp;"-fach")))))</f>
        <v/>
      </c>
      <c r="R112" s="25" t="n"/>
      <c r="S112" s="34" t="n"/>
      <c r="T112" s="31" t="n"/>
      <c r="U112" s="25" t="n"/>
      <c r="V112" s="2" t="n"/>
      <c r="W112" s="35">
        <f>IFERROR(INDEX(Krit_Faktor,MATCH(F112,Krit_Liste,0)),"")</f>
        <v/>
      </c>
      <c r="X112" s="35">
        <f>IF(OR(G112="nein",G112="no"),1,0)</f>
        <v/>
      </c>
      <c r="Y112" s="35">
        <f>IF(OR(H112="nein",H112="no"),1,0)</f>
        <v/>
      </c>
      <c r="Z112" s="35">
        <f>IF(OR(I112="nein",I112="no"),1,0)</f>
        <v/>
      </c>
      <c r="AA112" s="35">
        <f>(G112&lt;&gt;"")+(H112&lt;&gt;"")+(I112&lt;&gt;"")</f>
        <v/>
      </c>
      <c r="AB112" s="35">
        <f>IF(O112&lt;&gt;"",O112,IF(AA112&lt;3,"",IF(X112=1,Tage_nicht_beschaffbar,Tage_beschaffbar)))</f>
        <v/>
      </c>
      <c r="AC112" s="35">
        <f>IF(K112="","",K112*1000+W112*10+(1000-ROW())/100000)</f>
        <v/>
      </c>
    </row>
    <row r="113" ht="34" customHeight="1">
      <c r="A113" s="23">
        <f>IF(B113="","",COUNTA($B$9:B113))</f>
        <v/>
      </c>
      <c r="B113" s="24" t="n"/>
      <c r="C113" s="25" t="n"/>
      <c r="D113" s="25" t="n"/>
      <c r="E113" s="25" t="n"/>
      <c r="F113" s="26" t="n"/>
      <c r="G113" s="26" t="n"/>
      <c r="H113" s="26" t="n"/>
      <c r="I113" s="26" t="n"/>
      <c r="J113" s="23">
        <f>IF(AA113&lt;3,"",X113+Y113+Z113)</f>
        <v/>
      </c>
      <c r="K113" s="27">
        <f>IF(OR(J113="",W113=""),"",W113*J113)</f>
        <v/>
      </c>
      <c r="L113" s="28">
        <f>IF(K113="","",IF(K113&lt;=Gruen_bis,"grün",IF(K113&lt;=Gelb_bis,"gelb","rot")))</f>
        <v/>
      </c>
      <c r="M113" s="29">
        <f>IF(L113="",IF(B113="","","Bewertung unvollständig – ★-Felder ausfüllen"),IF(L113="grün","Keine aktive Maßnahme – jährlich prüfen",IF(AND(X113=1,Y113=1,Z113=1),"Sofort sichern: Restbestand / Gebrauchtteil kaufen und Ersatzlösung (Retrofit) planen",IF(AND(X113=1,Z113=1),"Reparaturweg absichern (Dienstleister, Tauschteil), Gebrauchtteil prüfen",IF(X113=1,"Abgekündigt: Lagerteil schützen, Ersatzlösung mittelfristig planen",IF(Z113=1,IF(LEFT(Q113,4)="nein","Bevorratung lohnt nicht – Lieferzeit und Reparaturweg absichern","Lagerbestand anlegen (mind. 1 Stk.)"),"Reparaturmöglichkeit klären"))))))</f>
        <v/>
      </c>
      <c r="N113" s="30" t="n"/>
      <c r="O113" s="31" t="n"/>
      <c r="P113" s="32">
        <f>IF(OR(AB113="",W113="",Z113=0),"",AB113*INDEX(Krit_Kosten,MATCH(F113,Krit_Liste,0)))</f>
        <v/>
      </c>
      <c r="Q113" s="33">
        <f>IF(L113="","",IF(L113="grün","–",IF(Z113=0,"am Lager / in stock",IF(N(N113)&lt;=0,"Stückpreis fehlt",IF(P113&gt;=Faktor_lohnt*N113,"ja – "&amp;FIXED(P113/N113,0)&amp;"-fach","nein – "&amp;FIXED(P113/N113,IF(P113/N113&lt;1,2,1))&amp;"-fach")))))</f>
        <v/>
      </c>
      <c r="R113" s="25" t="n"/>
      <c r="S113" s="34" t="n"/>
      <c r="T113" s="31" t="n"/>
      <c r="U113" s="25" t="n"/>
      <c r="V113" s="2" t="n"/>
      <c r="W113" s="35">
        <f>IFERROR(INDEX(Krit_Faktor,MATCH(F113,Krit_Liste,0)),"")</f>
        <v/>
      </c>
      <c r="X113" s="35">
        <f>IF(OR(G113="nein",G113="no"),1,0)</f>
        <v/>
      </c>
      <c r="Y113" s="35">
        <f>IF(OR(H113="nein",H113="no"),1,0)</f>
        <v/>
      </c>
      <c r="Z113" s="35">
        <f>IF(OR(I113="nein",I113="no"),1,0)</f>
        <v/>
      </c>
      <c r="AA113" s="35">
        <f>(G113&lt;&gt;"")+(H113&lt;&gt;"")+(I113&lt;&gt;"")</f>
        <v/>
      </c>
      <c r="AB113" s="35">
        <f>IF(O113&lt;&gt;"",O113,IF(AA113&lt;3,"",IF(X113=1,Tage_nicht_beschaffbar,Tage_beschaffbar)))</f>
        <v/>
      </c>
      <c r="AC113" s="35">
        <f>IF(K113="","",K113*1000+W113*10+(1000-ROW())/100000)</f>
        <v/>
      </c>
    </row>
    <row r="114" ht="34" customHeight="1">
      <c r="A114" s="23">
        <f>IF(B114="","",COUNTA($B$9:B114))</f>
        <v/>
      </c>
      <c r="B114" s="24" t="n"/>
      <c r="C114" s="25" t="n"/>
      <c r="D114" s="25" t="n"/>
      <c r="E114" s="25" t="n"/>
      <c r="F114" s="26" t="n"/>
      <c r="G114" s="26" t="n"/>
      <c r="H114" s="26" t="n"/>
      <c r="I114" s="26" t="n"/>
      <c r="J114" s="23">
        <f>IF(AA114&lt;3,"",X114+Y114+Z114)</f>
        <v/>
      </c>
      <c r="K114" s="27">
        <f>IF(OR(J114="",W114=""),"",W114*J114)</f>
        <v/>
      </c>
      <c r="L114" s="28">
        <f>IF(K114="","",IF(K114&lt;=Gruen_bis,"grün",IF(K114&lt;=Gelb_bis,"gelb","rot")))</f>
        <v/>
      </c>
      <c r="M114" s="29">
        <f>IF(L114="",IF(B114="","","Bewertung unvollständig – ★-Felder ausfüllen"),IF(L114="grün","Keine aktive Maßnahme – jährlich prüfen",IF(AND(X114=1,Y114=1,Z114=1),"Sofort sichern: Restbestand / Gebrauchtteil kaufen und Ersatzlösung (Retrofit) planen",IF(AND(X114=1,Z114=1),"Reparaturweg absichern (Dienstleister, Tauschteil), Gebrauchtteil prüfen",IF(X114=1,"Abgekündigt: Lagerteil schützen, Ersatzlösung mittelfristig planen",IF(Z114=1,IF(LEFT(Q114,4)="nein","Bevorratung lohnt nicht – Lieferzeit und Reparaturweg absichern","Lagerbestand anlegen (mind. 1 Stk.)"),"Reparaturmöglichkeit klären"))))))</f>
        <v/>
      </c>
      <c r="N114" s="30" t="n"/>
      <c r="O114" s="31" t="n"/>
      <c r="P114" s="32">
        <f>IF(OR(AB114="",W114="",Z114=0),"",AB114*INDEX(Krit_Kosten,MATCH(F114,Krit_Liste,0)))</f>
        <v/>
      </c>
      <c r="Q114" s="33">
        <f>IF(L114="","",IF(L114="grün","–",IF(Z114=0,"am Lager / in stock",IF(N(N114)&lt;=0,"Stückpreis fehlt",IF(P114&gt;=Faktor_lohnt*N114,"ja – "&amp;FIXED(P114/N114,0)&amp;"-fach","nein – "&amp;FIXED(P114/N114,IF(P114/N114&lt;1,2,1))&amp;"-fach")))))</f>
        <v/>
      </c>
      <c r="R114" s="25" t="n"/>
      <c r="S114" s="34" t="n"/>
      <c r="T114" s="31" t="n"/>
      <c r="U114" s="25" t="n"/>
      <c r="V114" s="2" t="n"/>
      <c r="W114" s="35">
        <f>IFERROR(INDEX(Krit_Faktor,MATCH(F114,Krit_Liste,0)),"")</f>
        <v/>
      </c>
      <c r="X114" s="35">
        <f>IF(OR(G114="nein",G114="no"),1,0)</f>
        <v/>
      </c>
      <c r="Y114" s="35">
        <f>IF(OR(H114="nein",H114="no"),1,0)</f>
        <v/>
      </c>
      <c r="Z114" s="35">
        <f>IF(OR(I114="nein",I114="no"),1,0)</f>
        <v/>
      </c>
      <c r="AA114" s="35">
        <f>(G114&lt;&gt;"")+(H114&lt;&gt;"")+(I114&lt;&gt;"")</f>
        <v/>
      </c>
      <c r="AB114" s="35">
        <f>IF(O114&lt;&gt;"",O114,IF(AA114&lt;3,"",IF(X114=1,Tage_nicht_beschaffbar,Tage_beschaffbar)))</f>
        <v/>
      </c>
      <c r="AC114" s="35">
        <f>IF(K114="","",K114*1000+W114*10+(1000-ROW())/100000)</f>
        <v/>
      </c>
    </row>
    <row r="115" ht="34" customHeight="1">
      <c r="A115" s="23">
        <f>IF(B115="","",COUNTA($B$9:B115))</f>
        <v/>
      </c>
      <c r="B115" s="24" t="n"/>
      <c r="C115" s="25" t="n"/>
      <c r="D115" s="25" t="n"/>
      <c r="E115" s="25" t="n"/>
      <c r="F115" s="26" t="n"/>
      <c r="G115" s="26" t="n"/>
      <c r="H115" s="26" t="n"/>
      <c r="I115" s="26" t="n"/>
      <c r="J115" s="23">
        <f>IF(AA115&lt;3,"",X115+Y115+Z115)</f>
        <v/>
      </c>
      <c r="K115" s="27">
        <f>IF(OR(J115="",W115=""),"",W115*J115)</f>
        <v/>
      </c>
      <c r="L115" s="28">
        <f>IF(K115="","",IF(K115&lt;=Gruen_bis,"grün",IF(K115&lt;=Gelb_bis,"gelb","rot")))</f>
        <v/>
      </c>
      <c r="M115" s="29">
        <f>IF(L115="",IF(B115="","","Bewertung unvollständig – ★-Felder ausfüllen"),IF(L115="grün","Keine aktive Maßnahme – jährlich prüfen",IF(AND(X115=1,Y115=1,Z115=1),"Sofort sichern: Restbestand / Gebrauchtteil kaufen und Ersatzlösung (Retrofit) planen",IF(AND(X115=1,Z115=1),"Reparaturweg absichern (Dienstleister, Tauschteil), Gebrauchtteil prüfen",IF(X115=1,"Abgekündigt: Lagerteil schützen, Ersatzlösung mittelfristig planen",IF(Z115=1,IF(LEFT(Q115,4)="nein","Bevorratung lohnt nicht – Lieferzeit und Reparaturweg absichern","Lagerbestand anlegen (mind. 1 Stk.)"),"Reparaturmöglichkeit klären"))))))</f>
        <v/>
      </c>
      <c r="N115" s="30" t="n"/>
      <c r="O115" s="31" t="n"/>
      <c r="P115" s="32">
        <f>IF(OR(AB115="",W115="",Z115=0),"",AB115*INDEX(Krit_Kosten,MATCH(F115,Krit_Liste,0)))</f>
        <v/>
      </c>
      <c r="Q115" s="33">
        <f>IF(L115="","",IF(L115="grün","–",IF(Z115=0,"am Lager / in stock",IF(N(N115)&lt;=0,"Stückpreis fehlt",IF(P115&gt;=Faktor_lohnt*N115,"ja – "&amp;FIXED(P115/N115,0)&amp;"-fach","nein – "&amp;FIXED(P115/N115,IF(P115/N115&lt;1,2,1))&amp;"-fach")))))</f>
        <v/>
      </c>
      <c r="R115" s="25" t="n"/>
      <c r="S115" s="34" t="n"/>
      <c r="T115" s="31" t="n"/>
      <c r="U115" s="25" t="n"/>
      <c r="V115" s="2" t="n"/>
      <c r="W115" s="35">
        <f>IFERROR(INDEX(Krit_Faktor,MATCH(F115,Krit_Liste,0)),"")</f>
        <v/>
      </c>
      <c r="X115" s="35">
        <f>IF(OR(G115="nein",G115="no"),1,0)</f>
        <v/>
      </c>
      <c r="Y115" s="35">
        <f>IF(OR(H115="nein",H115="no"),1,0)</f>
        <v/>
      </c>
      <c r="Z115" s="35">
        <f>IF(OR(I115="nein",I115="no"),1,0)</f>
        <v/>
      </c>
      <c r="AA115" s="35">
        <f>(G115&lt;&gt;"")+(H115&lt;&gt;"")+(I115&lt;&gt;"")</f>
        <v/>
      </c>
      <c r="AB115" s="35">
        <f>IF(O115&lt;&gt;"",O115,IF(AA115&lt;3,"",IF(X115=1,Tage_nicht_beschaffbar,Tage_beschaffbar)))</f>
        <v/>
      </c>
      <c r="AC115" s="35">
        <f>IF(K115="","",K115*1000+W115*10+(1000-ROW())/100000)</f>
        <v/>
      </c>
    </row>
    <row r="116" ht="34" customHeight="1">
      <c r="A116" s="23">
        <f>IF(B116="","",COUNTA($B$9:B116))</f>
        <v/>
      </c>
      <c r="B116" s="24" t="n"/>
      <c r="C116" s="25" t="n"/>
      <c r="D116" s="25" t="n"/>
      <c r="E116" s="25" t="n"/>
      <c r="F116" s="26" t="n"/>
      <c r="G116" s="26" t="n"/>
      <c r="H116" s="26" t="n"/>
      <c r="I116" s="26" t="n"/>
      <c r="J116" s="23">
        <f>IF(AA116&lt;3,"",X116+Y116+Z116)</f>
        <v/>
      </c>
      <c r="K116" s="27">
        <f>IF(OR(J116="",W116=""),"",W116*J116)</f>
        <v/>
      </c>
      <c r="L116" s="28">
        <f>IF(K116="","",IF(K116&lt;=Gruen_bis,"grün",IF(K116&lt;=Gelb_bis,"gelb","rot")))</f>
        <v/>
      </c>
      <c r="M116" s="29">
        <f>IF(L116="",IF(B116="","","Bewertung unvollständig – ★-Felder ausfüllen"),IF(L116="grün","Keine aktive Maßnahme – jährlich prüfen",IF(AND(X116=1,Y116=1,Z116=1),"Sofort sichern: Restbestand / Gebrauchtteil kaufen und Ersatzlösung (Retrofit) planen",IF(AND(X116=1,Z116=1),"Reparaturweg absichern (Dienstleister, Tauschteil), Gebrauchtteil prüfen",IF(X116=1,"Abgekündigt: Lagerteil schützen, Ersatzlösung mittelfristig planen",IF(Z116=1,IF(LEFT(Q116,4)="nein","Bevorratung lohnt nicht – Lieferzeit und Reparaturweg absichern","Lagerbestand anlegen (mind. 1 Stk.)"),"Reparaturmöglichkeit klären"))))))</f>
        <v/>
      </c>
      <c r="N116" s="30" t="n"/>
      <c r="O116" s="31" t="n"/>
      <c r="P116" s="32">
        <f>IF(OR(AB116="",W116="",Z116=0),"",AB116*INDEX(Krit_Kosten,MATCH(F116,Krit_Liste,0)))</f>
        <v/>
      </c>
      <c r="Q116" s="33">
        <f>IF(L116="","",IF(L116="grün","–",IF(Z116=0,"am Lager / in stock",IF(N(N116)&lt;=0,"Stückpreis fehlt",IF(P116&gt;=Faktor_lohnt*N116,"ja – "&amp;FIXED(P116/N116,0)&amp;"-fach","nein – "&amp;FIXED(P116/N116,IF(P116/N116&lt;1,2,1))&amp;"-fach")))))</f>
        <v/>
      </c>
      <c r="R116" s="25" t="n"/>
      <c r="S116" s="34" t="n"/>
      <c r="T116" s="31" t="n"/>
      <c r="U116" s="25" t="n"/>
      <c r="V116" s="2" t="n"/>
      <c r="W116" s="35">
        <f>IFERROR(INDEX(Krit_Faktor,MATCH(F116,Krit_Liste,0)),"")</f>
        <v/>
      </c>
      <c r="X116" s="35">
        <f>IF(OR(G116="nein",G116="no"),1,0)</f>
        <v/>
      </c>
      <c r="Y116" s="35">
        <f>IF(OR(H116="nein",H116="no"),1,0)</f>
        <v/>
      </c>
      <c r="Z116" s="35">
        <f>IF(OR(I116="nein",I116="no"),1,0)</f>
        <v/>
      </c>
      <c r="AA116" s="35">
        <f>(G116&lt;&gt;"")+(H116&lt;&gt;"")+(I116&lt;&gt;"")</f>
        <v/>
      </c>
      <c r="AB116" s="35">
        <f>IF(O116&lt;&gt;"",O116,IF(AA116&lt;3,"",IF(X116=1,Tage_nicht_beschaffbar,Tage_beschaffbar)))</f>
        <v/>
      </c>
      <c r="AC116" s="35">
        <f>IF(K116="","",K116*1000+W116*10+(1000-ROW())/100000)</f>
        <v/>
      </c>
    </row>
    <row r="117" ht="34" customHeight="1">
      <c r="A117" s="23">
        <f>IF(B117="","",COUNTA($B$9:B117))</f>
        <v/>
      </c>
      <c r="B117" s="24" t="n"/>
      <c r="C117" s="25" t="n"/>
      <c r="D117" s="25" t="n"/>
      <c r="E117" s="25" t="n"/>
      <c r="F117" s="26" t="n"/>
      <c r="G117" s="26" t="n"/>
      <c r="H117" s="26" t="n"/>
      <c r="I117" s="26" t="n"/>
      <c r="J117" s="23">
        <f>IF(AA117&lt;3,"",X117+Y117+Z117)</f>
        <v/>
      </c>
      <c r="K117" s="27">
        <f>IF(OR(J117="",W117=""),"",W117*J117)</f>
        <v/>
      </c>
      <c r="L117" s="28">
        <f>IF(K117="","",IF(K117&lt;=Gruen_bis,"grün",IF(K117&lt;=Gelb_bis,"gelb","rot")))</f>
        <v/>
      </c>
      <c r="M117" s="29">
        <f>IF(L117="",IF(B117="","","Bewertung unvollständig – ★-Felder ausfüllen"),IF(L117="grün","Keine aktive Maßnahme – jährlich prüfen",IF(AND(X117=1,Y117=1,Z117=1),"Sofort sichern: Restbestand / Gebrauchtteil kaufen und Ersatzlösung (Retrofit) planen",IF(AND(X117=1,Z117=1),"Reparaturweg absichern (Dienstleister, Tauschteil), Gebrauchtteil prüfen",IF(X117=1,"Abgekündigt: Lagerteil schützen, Ersatzlösung mittelfristig planen",IF(Z117=1,IF(LEFT(Q117,4)="nein","Bevorratung lohnt nicht – Lieferzeit und Reparaturweg absichern","Lagerbestand anlegen (mind. 1 Stk.)"),"Reparaturmöglichkeit klären"))))))</f>
        <v/>
      </c>
      <c r="N117" s="30" t="n"/>
      <c r="O117" s="31" t="n"/>
      <c r="P117" s="32">
        <f>IF(OR(AB117="",W117="",Z117=0),"",AB117*INDEX(Krit_Kosten,MATCH(F117,Krit_Liste,0)))</f>
        <v/>
      </c>
      <c r="Q117" s="33">
        <f>IF(L117="","",IF(L117="grün","–",IF(Z117=0,"am Lager / in stock",IF(N(N117)&lt;=0,"Stückpreis fehlt",IF(P117&gt;=Faktor_lohnt*N117,"ja – "&amp;FIXED(P117/N117,0)&amp;"-fach","nein – "&amp;FIXED(P117/N117,IF(P117/N117&lt;1,2,1))&amp;"-fach")))))</f>
        <v/>
      </c>
      <c r="R117" s="25" t="n"/>
      <c r="S117" s="34" t="n"/>
      <c r="T117" s="31" t="n"/>
      <c r="U117" s="25" t="n"/>
      <c r="V117" s="2" t="n"/>
      <c r="W117" s="35">
        <f>IFERROR(INDEX(Krit_Faktor,MATCH(F117,Krit_Liste,0)),"")</f>
        <v/>
      </c>
      <c r="X117" s="35">
        <f>IF(OR(G117="nein",G117="no"),1,0)</f>
        <v/>
      </c>
      <c r="Y117" s="35">
        <f>IF(OR(H117="nein",H117="no"),1,0)</f>
        <v/>
      </c>
      <c r="Z117" s="35">
        <f>IF(OR(I117="nein",I117="no"),1,0)</f>
        <v/>
      </c>
      <c r="AA117" s="35">
        <f>(G117&lt;&gt;"")+(H117&lt;&gt;"")+(I117&lt;&gt;"")</f>
        <v/>
      </c>
      <c r="AB117" s="35">
        <f>IF(O117&lt;&gt;"",O117,IF(AA117&lt;3,"",IF(X117=1,Tage_nicht_beschaffbar,Tage_beschaffbar)))</f>
        <v/>
      </c>
      <c r="AC117" s="35">
        <f>IF(K117="","",K117*1000+W117*10+(1000-ROW())/100000)</f>
        <v/>
      </c>
    </row>
    <row r="118" ht="34" customHeight="1">
      <c r="A118" s="23">
        <f>IF(B118="","",COUNTA($B$9:B118))</f>
        <v/>
      </c>
      <c r="B118" s="24" t="n"/>
      <c r="C118" s="25" t="n"/>
      <c r="D118" s="25" t="n"/>
      <c r="E118" s="25" t="n"/>
      <c r="F118" s="26" t="n"/>
      <c r="G118" s="26" t="n"/>
      <c r="H118" s="26" t="n"/>
      <c r="I118" s="26" t="n"/>
      <c r="J118" s="23">
        <f>IF(AA118&lt;3,"",X118+Y118+Z118)</f>
        <v/>
      </c>
      <c r="K118" s="27">
        <f>IF(OR(J118="",W118=""),"",W118*J118)</f>
        <v/>
      </c>
      <c r="L118" s="28">
        <f>IF(K118="","",IF(K118&lt;=Gruen_bis,"grün",IF(K118&lt;=Gelb_bis,"gelb","rot")))</f>
        <v/>
      </c>
      <c r="M118" s="29">
        <f>IF(L118="",IF(B118="","","Bewertung unvollständig – ★-Felder ausfüllen"),IF(L118="grün","Keine aktive Maßnahme – jährlich prüfen",IF(AND(X118=1,Y118=1,Z118=1),"Sofort sichern: Restbestand / Gebrauchtteil kaufen und Ersatzlösung (Retrofit) planen",IF(AND(X118=1,Z118=1),"Reparaturweg absichern (Dienstleister, Tauschteil), Gebrauchtteil prüfen",IF(X118=1,"Abgekündigt: Lagerteil schützen, Ersatzlösung mittelfristig planen",IF(Z118=1,IF(LEFT(Q118,4)="nein","Bevorratung lohnt nicht – Lieferzeit und Reparaturweg absichern","Lagerbestand anlegen (mind. 1 Stk.)"),"Reparaturmöglichkeit klären"))))))</f>
        <v/>
      </c>
      <c r="N118" s="30" t="n"/>
      <c r="O118" s="31" t="n"/>
      <c r="P118" s="32">
        <f>IF(OR(AB118="",W118="",Z118=0),"",AB118*INDEX(Krit_Kosten,MATCH(F118,Krit_Liste,0)))</f>
        <v/>
      </c>
      <c r="Q118" s="33">
        <f>IF(L118="","",IF(L118="grün","–",IF(Z118=0,"am Lager / in stock",IF(N(N118)&lt;=0,"Stückpreis fehlt",IF(P118&gt;=Faktor_lohnt*N118,"ja – "&amp;FIXED(P118/N118,0)&amp;"-fach","nein – "&amp;FIXED(P118/N118,IF(P118/N118&lt;1,2,1))&amp;"-fach")))))</f>
        <v/>
      </c>
      <c r="R118" s="25" t="n"/>
      <c r="S118" s="34" t="n"/>
      <c r="T118" s="31" t="n"/>
      <c r="U118" s="25" t="n"/>
      <c r="V118" s="2" t="n"/>
      <c r="W118" s="35">
        <f>IFERROR(INDEX(Krit_Faktor,MATCH(F118,Krit_Liste,0)),"")</f>
        <v/>
      </c>
      <c r="X118" s="35">
        <f>IF(OR(G118="nein",G118="no"),1,0)</f>
        <v/>
      </c>
      <c r="Y118" s="35">
        <f>IF(OR(H118="nein",H118="no"),1,0)</f>
        <v/>
      </c>
      <c r="Z118" s="35">
        <f>IF(OR(I118="nein",I118="no"),1,0)</f>
        <v/>
      </c>
      <c r="AA118" s="35">
        <f>(G118&lt;&gt;"")+(H118&lt;&gt;"")+(I118&lt;&gt;"")</f>
        <v/>
      </c>
      <c r="AB118" s="35">
        <f>IF(O118&lt;&gt;"",O118,IF(AA118&lt;3,"",IF(X118=1,Tage_nicht_beschaffbar,Tage_beschaffbar)))</f>
        <v/>
      </c>
      <c r="AC118" s="35">
        <f>IF(K118="","",K118*1000+W118*10+(1000-ROW())/100000)</f>
        <v/>
      </c>
    </row>
    <row r="119" ht="34" customHeight="1">
      <c r="A119" s="23">
        <f>IF(B119="","",COUNTA($B$9:B119))</f>
        <v/>
      </c>
      <c r="B119" s="24" t="n"/>
      <c r="C119" s="25" t="n"/>
      <c r="D119" s="25" t="n"/>
      <c r="E119" s="25" t="n"/>
      <c r="F119" s="26" t="n"/>
      <c r="G119" s="26" t="n"/>
      <c r="H119" s="26" t="n"/>
      <c r="I119" s="26" t="n"/>
      <c r="J119" s="23">
        <f>IF(AA119&lt;3,"",X119+Y119+Z119)</f>
        <v/>
      </c>
      <c r="K119" s="27">
        <f>IF(OR(J119="",W119=""),"",W119*J119)</f>
        <v/>
      </c>
      <c r="L119" s="28">
        <f>IF(K119="","",IF(K119&lt;=Gruen_bis,"grün",IF(K119&lt;=Gelb_bis,"gelb","rot")))</f>
        <v/>
      </c>
      <c r="M119" s="29">
        <f>IF(L119="",IF(B119="","","Bewertung unvollständig – ★-Felder ausfüllen"),IF(L119="grün","Keine aktive Maßnahme – jährlich prüfen",IF(AND(X119=1,Y119=1,Z119=1),"Sofort sichern: Restbestand / Gebrauchtteil kaufen und Ersatzlösung (Retrofit) planen",IF(AND(X119=1,Z119=1),"Reparaturweg absichern (Dienstleister, Tauschteil), Gebrauchtteil prüfen",IF(X119=1,"Abgekündigt: Lagerteil schützen, Ersatzlösung mittelfristig planen",IF(Z119=1,IF(LEFT(Q119,4)="nein","Bevorratung lohnt nicht – Lieferzeit und Reparaturweg absichern","Lagerbestand anlegen (mind. 1 Stk.)"),"Reparaturmöglichkeit klären"))))))</f>
        <v/>
      </c>
      <c r="N119" s="30" t="n"/>
      <c r="O119" s="31" t="n"/>
      <c r="P119" s="32">
        <f>IF(OR(AB119="",W119="",Z119=0),"",AB119*INDEX(Krit_Kosten,MATCH(F119,Krit_Liste,0)))</f>
        <v/>
      </c>
      <c r="Q119" s="33">
        <f>IF(L119="","",IF(L119="grün","–",IF(Z119=0,"am Lager / in stock",IF(N(N119)&lt;=0,"Stückpreis fehlt",IF(P119&gt;=Faktor_lohnt*N119,"ja – "&amp;FIXED(P119/N119,0)&amp;"-fach","nein – "&amp;FIXED(P119/N119,IF(P119/N119&lt;1,2,1))&amp;"-fach")))))</f>
        <v/>
      </c>
      <c r="R119" s="25" t="n"/>
      <c r="S119" s="34" t="n"/>
      <c r="T119" s="31" t="n"/>
      <c r="U119" s="25" t="n"/>
      <c r="V119" s="2" t="n"/>
      <c r="W119" s="35">
        <f>IFERROR(INDEX(Krit_Faktor,MATCH(F119,Krit_Liste,0)),"")</f>
        <v/>
      </c>
      <c r="X119" s="35">
        <f>IF(OR(G119="nein",G119="no"),1,0)</f>
        <v/>
      </c>
      <c r="Y119" s="35">
        <f>IF(OR(H119="nein",H119="no"),1,0)</f>
        <v/>
      </c>
      <c r="Z119" s="35">
        <f>IF(OR(I119="nein",I119="no"),1,0)</f>
        <v/>
      </c>
      <c r="AA119" s="35">
        <f>(G119&lt;&gt;"")+(H119&lt;&gt;"")+(I119&lt;&gt;"")</f>
        <v/>
      </c>
      <c r="AB119" s="35">
        <f>IF(O119&lt;&gt;"",O119,IF(AA119&lt;3,"",IF(X119=1,Tage_nicht_beschaffbar,Tage_beschaffbar)))</f>
        <v/>
      </c>
      <c r="AC119" s="35">
        <f>IF(K119="","",K119*1000+W119*10+(1000-ROW())/100000)</f>
        <v/>
      </c>
    </row>
    <row r="120" ht="34" customHeight="1">
      <c r="A120" s="23">
        <f>IF(B120="","",COUNTA($B$9:B120))</f>
        <v/>
      </c>
      <c r="B120" s="24" t="n"/>
      <c r="C120" s="25" t="n"/>
      <c r="D120" s="25" t="n"/>
      <c r="E120" s="25" t="n"/>
      <c r="F120" s="26" t="n"/>
      <c r="G120" s="26" t="n"/>
      <c r="H120" s="26" t="n"/>
      <c r="I120" s="26" t="n"/>
      <c r="J120" s="23">
        <f>IF(AA120&lt;3,"",X120+Y120+Z120)</f>
        <v/>
      </c>
      <c r="K120" s="27">
        <f>IF(OR(J120="",W120=""),"",W120*J120)</f>
        <v/>
      </c>
      <c r="L120" s="28">
        <f>IF(K120="","",IF(K120&lt;=Gruen_bis,"grün",IF(K120&lt;=Gelb_bis,"gelb","rot")))</f>
        <v/>
      </c>
      <c r="M120" s="29">
        <f>IF(L120="",IF(B120="","","Bewertung unvollständig – ★-Felder ausfüllen"),IF(L120="grün","Keine aktive Maßnahme – jährlich prüfen",IF(AND(X120=1,Y120=1,Z120=1),"Sofort sichern: Restbestand / Gebrauchtteil kaufen und Ersatzlösung (Retrofit) planen",IF(AND(X120=1,Z120=1),"Reparaturweg absichern (Dienstleister, Tauschteil), Gebrauchtteil prüfen",IF(X120=1,"Abgekündigt: Lagerteil schützen, Ersatzlösung mittelfristig planen",IF(Z120=1,IF(LEFT(Q120,4)="nein","Bevorratung lohnt nicht – Lieferzeit und Reparaturweg absichern","Lagerbestand anlegen (mind. 1 Stk.)"),"Reparaturmöglichkeit klären"))))))</f>
        <v/>
      </c>
      <c r="N120" s="30" t="n"/>
      <c r="O120" s="31" t="n"/>
      <c r="P120" s="32">
        <f>IF(OR(AB120="",W120="",Z120=0),"",AB120*INDEX(Krit_Kosten,MATCH(F120,Krit_Liste,0)))</f>
        <v/>
      </c>
      <c r="Q120" s="33">
        <f>IF(L120="","",IF(L120="grün","–",IF(Z120=0,"am Lager / in stock",IF(N(N120)&lt;=0,"Stückpreis fehlt",IF(P120&gt;=Faktor_lohnt*N120,"ja – "&amp;FIXED(P120/N120,0)&amp;"-fach","nein – "&amp;FIXED(P120/N120,IF(P120/N120&lt;1,2,1))&amp;"-fach")))))</f>
        <v/>
      </c>
      <c r="R120" s="25" t="n"/>
      <c r="S120" s="34" t="n"/>
      <c r="T120" s="31" t="n"/>
      <c r="U120" s="25" t="n"/>
      <c r="V120" s="2" t="n"/>
      <c r="W120" s="35">
        <f>IFERROR(INDEX(Krit_Faktor,MATCH(F120,Krit_Liste,0)),"")</f>
        <v/>
      </c>
      <c r="X120" s="35">
        <f>IF(OR(G120="nein",G120="no"),1,0)</f>
        <v/>
      </c>
      <c r="Y120" s="35">
        <f>IF(OR(H120="nein",H120="no"),1,0)</f>
        <v/>
      </c>
      <c r="Z120" s="35">
        <f>IF(OR(I120="nein",I120="no"),1,0)</f>
        <v/>
      </c>
      <c r="AA120" s="35">
        <f>(G120&lt;&gt;"")+(H120&lt;&gt;"")+(I120&lt;&gt;"")</f>
        <v/>
      </c>
      <c r="AB120" s="35">
        <f>IF(O120&lt;&gt;"",O120,IF(AA120&lt;3,"",IF(X120=1,Tage_nicht_beschaffbar,Tage_beschaffbar)))</f>
        <v/>
      </c>
      <c r="AC120" s="35">
        <f>IF(K120="","",K120*1000+W120*10+(1000-ROW())/100000)</f>
        <v/>
      </c>
    </row>
    <row r="121" ht="34" customHeight="1">
      <c r="A121" s="23">
        <f>IF(B121="","",COUNTA($B$9:B121))</f>
        <v/>
      </c>
      <c r="B121" s="24" t="n"/>
      <c r="C121" s="25" t="n"/>
      <c r="D121" s="25" t="n"/>
      <c r="E121" s="25" t="n"/>
      <c r="F121" s="26" t="n"/>
      <c r="G121" s="26" t="n"/>
      <c r="H121" s="26" t="n"/>
      <c r="I121" s="26" t="n"/>
      <c r="J121" s="23">
        <f>IF(AA121&lt;3,"",X121+Y121+Z121)</f>
        <v/>
      </c>
      <c r="K121" s="27">
        <f>IF(OR(J121="",W121=""),"",W121*J121)</f>
        <v/>
      </c>
      <c r="L121" s="28">
        <f>IF(K121="","",IF(K121&lt;=Gruen_bis,"grün",IF(K121&lt;=Gelb_bis,"gelb","rot")))</f>
        <v/>
      </c>
      <c r="M121" s="29">
        <f>IF(L121="",IF(B121="","","Bewertung unvollständig – ★-Felder ausfüllen"),IF(L121="grün","Keine aktive Maßnahme – jährlich prüfen",IF(AND(X121=1,Y121=1,Z121=1),"Sofort sichern: Restbestand / Gebrauchtteil kaufen und Ersatzlösung (Retrofit) planen",IF(AND(X121=1,Z121=1),"Reparaturweg absichern (Dienstleister, Tauschteil), Gebrauchtteil prüfen",IF(X121=1,"Abgekündigt: Lagerteil schützen, Ersatzlösung mittelfristig planen",IF(Z121=1,IF(LEFT(Q121,4)="nein","Bevorratung lohnt nicht – Lieferzeit und Reparaturweg absichern","Lagerbestand anlegen (mind. 1 Stk.)"),"Reparaturmöglichkeit klären"))))))</f>
        <v/>
      </c>
      <c r="N121" s="30" t="n"/>
      <c r="O121" s="31" t="n"/>
      <c r="P121" s="32">
        <f>IF(OR(AB121="",W121="",Z121=0),"",AB121*INDEX(Krit_Kosten,MATCH(F121,Krit_Liste,0)))</f>
        <v/>
      </c>
      <c r="Q121" s="33">
        <f>IF(L121="","",IF(L121="grün","–",IF(Z121=0,"am Lager / in stock",IF(N(N121)&lt;=0,"Stückpreis fehlt",IF(P121&gt;=Faktor_lohnt*N121,"ja – "&amp;FIXED(P121/N121,0)&amp;"-fach","nein – "&amp;FIXED(P121/N121,IF(P121/N121&lt;1,2,1))&amp;"-fach")))))</f>
        <v/>
      </c>
      <c r="R121" s="25" t="n"/>
      <c r="S121" s="34" t="n"/>
      <c r="T121" s="31" t="n"/>
      <c r="U121" s="25" t="n"/>
      <c r="V121" s="2" t="n"/>
      <c r="W121" s="35">
        <f>IFERROR(INDEX(Krit_Faktor,MATCH(F121,Krit_Liste,0)),"")</f>
        <v/>
      </c>
      <c r="X121" s="35">
        <f>IF(OR(G121="nein",G121="no"),1,0)</f>
        <v/>
      </c>
      <c r="Y121" s="35">
        <f>IF(OR(H121="nein",H121="no"),1,0)</f>
        <v/>
      </c>
      <c r="Z121" s="35">
        <f>IF(OR(I121="nein",I121="no"),1,0)</f>
        <v/>
      </c>
      <c r="AA121" s="35">
        <f>(G121&lt;&gt;"")+(H121&lt;&gt;"")+(I121&lt;&gt;"")</f>
        <v/>
      </c>
      <c r="AB121" s="35">
        <f>IF(O121&lt;&gt;"",O121,IF(AA121&lt;3,"",IF(X121=1,Tage_nicht_beschaffbar,Tage_beschaffbar)))</f>
        <v/>
      </c>
      <c r="AC121" s="35">
        <f>IF(K121="","",K121*1000+W121*10+(1000-ROW())/100000)</f>
        <v/>
      </c>
    </row>
    <row r="122" ht="34" customHeight="1">
      <c r="A122" s="23">
        <f>IF(B122="","",COUNTA($B$9:B122))</f>
        <v/>
      </c>
      <c r="B122" s="24" t="n"/>
      <c r="C122" s="25" t="n"/>
      <c r="D122" s="25" t="n"/>
      <c r="E122" s="25" t="n"/>
      <c r="F122" s="26" t="n"/>
      <c r="G122" s="26" t="n"/>
      <c r="H122" s="26" t="n"/>
      <c r="I122" s="26" t="n"/>
      <c r="J122" s="23">
        <f>IF(AA122&lt;3,"",X122+Y122+Z122)</f>
        <v/>
      </c>
      <c r="K122" s="27">
        <f>IF(OR(J122="",W122=""),"",W122*J122)</f>
        <v/>
      </c>
      <c r="L122" s="28">
        <f>IF(K122="","",IF(K122&lt;=Gruen_bis,"grün",IF(K122&lt;=Gelb_bis,"gelb","rot")))</f>
        <v/>
      </c>
      <c r="M122" s="29">
        <f>IF(L122="",IF(B122="","","Bewertung unvollständig – ★-Felder ausfüllen"),IF(L122="grün","Keine aktive Maßnahme – jährlich prüfen",IF(AND(X122=1,Y122=1,Z122=1),"Sofort sichern: Restbestand / Gebrauchtteil kaufen und Ersatzlösung (Retrofit) planen",IF(AND(X122=1,Z122=1),"Reparaturweg absichern (Dienstleister, Tauschteil), Gebrauchtteil prüfen",IF(X122=1,"Abgekündigt: Lagerteil schützen, Ersatzlösung mittelfristig planen",IF(Z122=1,IF(LEFT(Q122,4)="nein","Bevorratung lohnt nicht – Lieferzeit und Reparaturweg absichern","Lagerbestand anlegen (mind. 1 Stk.)"),"Reparaturmöglichkeit klären"))))))</f>
        <v/>
      </c>
      <c r="N122" s="30" t="n"/>
      <c r="O122" s="31" t="n"/>
      <c r="P122" s="32">
        <f>IF(OR(AB122="",W122="",Z122=0),"",AB122*INDEX(Krit_Kosten,MATCH(F122,Krit_Liste,0)))</f>
        <v/>
      </c>
      <c r="Q122" s="33">
        <f>IF(L122="","",IF(L122="grün","–",IF(Z122=0,"am Lager / in stock",IF(N(N122)&lt;=0,"Stückpreis fehlt",IF(P122&gt;=Faktor_lohnt*N122,"ja – "&amp;FIXED(P122/N122,0)&amp;"-fach","nein – "&amp;FIXED(P122/N122,IF(P122/N122&lt;1,2,1))&amp;"-fach")))))</f>
        <v/>
      </c>
      <c r="R122" s="25" t="n"/>
      <c r="S122" s="34" t="n"/>
      <c r="T122" s="31" t="n"/>
      <c r="U122" s="25" t="n"/>
      <c r="V122" s="2" t="n"/>
      <c r="W122" s="35">
        <f>IFERROR(INDEX(Krit_Faktor,MATCH(F122,Krit_Liste,0)),"")</f>
        <v/>
      </c>
      <c r="X122" s="35">
        <f>IF(OR(G122="nein",G122="no"),1,0)</f>
        <v/>
      </c>
      <c r="Y122" s="35">
        <f>IF(OR(H122="nein",H122="no"),1,0)</f>
        <v/>
      </c>
      <c r="Z122" s="35">
        <f>IF(OR(I122="nein",I122="no"),1,0)</f>
        <v/>
      </c>
      <c r="AA122" s="35">
        <f>(G122&lt;&gt;"")+(H122&lt;&gt;"")+(I122&lt;&gt;"")</f>
        <v/>
      </c>
      <c r="AB122" s="35">
        <f>IF(O122&lt;&gt;"",O122,IF(AA122&lt;3,"",IF(X122=1,Tage_nicht_beschaffbar,Tage_beschaffbar)))</f>
        <v/>
      </c>
      <c r="AC122" s="35">
        <f>IF(K122="","",K122*1000+W122*10+(1000-ROW())/100000)</f>
        <v/>
      </c>
    </row>
    <row r="123" ht="34" customHeight="1">
      <c r="A123" s="23">
        <f>IF(B123="","",COUNTA($B$9:B123))</f>
        <v/>
      </c>
      <c r="B123" s="24" t="n"/>
      <c r="C123" s="25" t="n"/>
      <c r="D123" s="25" t="n"/>
      <c r="E123" s="25" t="n"/>
      <c r="F123" s="26" t="n"/>
      <c r="G123" s="26" t="n"/>
      <c r="H123" s="26" t="n"/>
      <c r="I123" s="26" t="n"/>
      <c r="J123" s="23">
        <f>IF(AA123&lt;3,"",X123+Y123+Z123)</f>
        <v/>
      </c>
      <c r="K123" s="27">
        <f>IF(OR(J123="",W123=""),"",W123*J123)</f>
        <v/>
      </c>
      <c r="L123" s="28">
        <f>IF(K123="","",IF(K123&lt;=Gruen_bis,"grün",IF(K123&lt;=Gelb_bis,"gelb","rot")))</f>
        <v/>
      </c>
      <c r="M123" s="29">
        <f>IF(L123="",IF(B123="","","Bewertung unvollständig – ★-Felder ausfüllen"),IF(L123="grün","Keine aktive Maßnahme – jährlich prüfen",IF(AND(X123=1,Y123=1,Z123=1),"Sofort sichern: Restbestand / Gebrauchtteil kaufen und Ersatzlösung (Retrofit) planen",IF(AND(X123=1,Z123=1),"Reparaturweg absichern (Dienstleister, Tauschteil), Gebrauchtteil prüfen",IF(X123=1,"Abgekündigt: Lagerteil schützen, Ersatzlösung mittelfristig planen",IF(Z123=1,IF(LEFT(Q123,4)="nein","Bevorratung lohnt nicht – Lieferzeit und Reparaturweg absichern","Lagerbestand anlegen (mind. 1 Stk.)"),"Reparaturmöglichkeit klären"))))))</f>
        <v/>
      </c>
      <c r="N123" s="30" t="n"/>
      <c r="O123" s="31" t="n"/>
      <c r="P123" s="32">
        <f>IF(OR(AB123="",W123="",Z123=0),"",AB123*INDEX(Krit_Kosten,MATCH(F123,Krit_Liste,0)))</f>
        <v/>
      </c>
      <c r="Q123" s="33">
        <f>IF(L123="","",IF(L123="grün","–",IF(Z123=0,"am Lager / in stock",IF(N(N123)&lt;=0,"Stückpreis fehlt",IF(P123&gt;=Faktor_lohnt*N123,"ja – "&amp;FIXED(P123/N123,0)&amp;"-fach","nein – "&amp;FIXED(P123/N123,IF(P123/N123&lt;1,2,1))&amp;"-fach")))))</f>
        <v/>
      </c>
      <c r="R123" s="25" t="n"/>
      <c r="S123" s="34" t="n"/>
      <c r="T123" s="31" t="n"/>
      <c r="U123" s="25" t="n"/>
      <c r="V123" s="2" t="n"/>
      <c r="W123" s="35">
        <f>IFERROR(INDEX(Krit_Faktor,MATCH(F123,Krit_Liste,0)),"")</f>
        <v/>
      </c>
      <c r="X123" s="35">
        <f>IF(OR(G123="nein",G123="no"),1,0)</f>
        <v/>
      </c>
      <c r="Y123" s="35">
        <f>IF(OR(H123="nein",H123="no"),1,0)</f>
        <v/>
      </c>
      <c r="Z123" s="35">
        <f>IF(OR(I123="nein",I123="no"),1,0)</f>
        <v/>
      </c>
      <c r="AA123" s="35">
        <f>(G123&lt;&gt;"")+(H123&lt;&gt;"")+(I123&lt;&gt;"")</f>
        <v/>
      </c>
      <c r="AB123" s="35">
        <f>IF(O123&lt;&gt;"",O123,IF(AA123&lt;3,"",IF(X123=1,Tage_nicht_beschaffbar,Tage_beschaffbar)))</f>
        <v/>
      </c>
      <c r="AC123" s="35">
        <f>IF(K123="","",K123*1000+W123*10+(1000-ROW())/100000)</f>
        <v/>
      </c>
    </row>
    <row r="124" ht="34" customHeight="1">
      <c r="A124" s="23">
        <f>IF(B124="","",COUNTA($B$9:B124))</f>
        <v/>
      </c>
      <c r="B124" s="24" t="n"/>
      <c r="C124" s="25" t="n"/>
      <c r="D124" s="25" t="n"/>
      <c r="E124" s="25" t="n"/>
      <c r="F124" s="26" t="n"/>
      <c r="G124" s="26" t="n"/>
      <c r="H124" s="26" t="n"/>
      <c r="I124" s="26" t="n"/>
      <c r="J124" s="23">
        <f>IF(AA124&lt;3,"",X124+Y124+Z124)</f>
        <v/>
      </c>
      <c r="K124" s="27">
        <f>IF(OR(J124="",W124=""),"",W124*J124)</f>
        <v/>
      </c>
      <c r="L124" s="28">
        <f>IF(K124="","",IF(K124&lt;=Gruen_bis,"grün",IF(K124&lt;=Gelb_bis,"gelb","rot")))</f>
        <v/>
      </c>
      <c r="M124" s="29">
        <f>IF(L124="",IF(B124="","","Bewertung unvollständig – ★-Felder ausfüllen"),IF(L124="grün","Keine aktive Maßnahme – jährlich prüfen",IF(AND(X124=1,Y124=1,Z124=1),"Sofort sichern: Restbestand / Gebrauchtteil kaufen und Ersatzlösung (Retrofit) planen",IF(AND(X124=1,Z124=1),"Reparaturweg absichern (Dienstleister, Tauschteil), Gebrauchtteil prüfen",IF(X124=1,"Abgekündigt: Lagerteil schützen, Ersatzlösung mittelfristig planen",IF(Z124=1,IF(LEFT(Q124,4)="nein","Bevorratung lohnt nicht – Lieferzeit und Reparaturweg absichern","Lagerbestand anlegen (mind. 1 Stk.)"),"Reparaturmöglichkeit klären"))))))</f>
        <v/>
      </c>
      <c r="N124" s="30" t="n"/>
      <c r="O124" s="31" t="n"/>
      <c r="P124" s="32">
        <f>IF(OR(AB124="",W124="",Z124=0),"",AB124*INDEX(Krit_Kosten,MATCH(F124,Krit_Liste,0)))</f>
        <v/>
      </c>
      <c r="Q124" s="33">
        <f>IF(L124="","",IF(L124="grün","–",IF(Z124=0,"am Lager / in stock",IF(N(N124)&lt;=0,"Stückpreis fehlt",IF(P124&gt;=Faktor_lohnt*N124,"ja – "&amp;FIXED(P124/N124,0)&amp;"-fach","nein – "&amp;FIXED(P124/N124,IF(P124/N124&lt;1,2,1))&amp;"-fach")))))</f>
        <v/>
      </c>
      <c r="R124" s="25" t="n"/>
      <c r="S124" s="34" t="n"/>
      <c r="T124" s="31" t="n"/>
      <c r="U124" s="25" t="n"/>
      <c r="V124" s="2" t="n"/>
      <c r="W124" s="35">
        <f>IFERROR(INDEX(Krit_Faktor,MATCH(F124,Krit_Liste,0)),"")</f>
        <v/>
      </c>
      <c r="X124" s="35">
        <f>IF(OR(G124="nein",G124="no"),1,0)</f>
        <v/>
      </c>
      <c r="Y124" s="35">
        <f>IF(OR(H124="nein",H124="no"),1,0)</f>
        <v/>
      </c>
      <c r="Z124" s="35">
        <f>IF(OR(I124="nein",I124="no"),1,0)</f>
        <v/>
      </c>
      <c r="AA124" s="35">
        <f>(G124&lt;&gt;"")+(H124&lt;&gt;"")+(I124&lt;&gt;"")</f>
        <v/>
      </c>
      <c r="AB124" s="35">
        <f>IF(O124&lt;&gt;"",O124,IF(AA124&lt;3,"",IF(X124=1,Tage_nicht_beschaffbar,Tage_beschaffbar)))</f>
        <v/>
      </c>
      <c r="AC124" s="35">
        <f>IF(K124="","",K124*1000+W124*10+(1000-ROW())/100000)</f>
        <v/>
      </c>
    </row>
    <row r="125" ht="34" customHeight="1">
      <c r="A125" s="23">
        <f>IF(B125="","",COUNTA($B$9:B125))</f>
        <v/>
      </c>
      <c r="B125" s="24" t="n"/>
      <c r="C125" s="25" t="n"/>
      <c r="D125" s="25" t="n"/>
      <c r="E125" s="25" t="n"/>
      <c r="F125" s="26" t="n"/>
      <c r="G125" s="26" t="n"/>
      <c r="H125" s="26" t="n"/>
      <c r="I125" s="26" t="n"/>
      <c r="J125" s="23">
        <f>IF(AA125&lt;3,"",X125+Y125+Z125)</f>
        <v/>
      </c>
      <c r="K125" s="27">
        <f>IF(OR(J125="",W125=""),"",W125*J125)</f>
        <v/>
      </c>
      <c r="L125" s="28">
        <f>IF(K125="","",IF(K125&lt;=Gruen_bis,"grün",IF(K125&lt;=Gelb_bis,"gelb","rot")))</f>
        <v/>
      </c>
      <c r="M125" s="29">
        <f>IF(L125="",IF(B125="","","Bewertung unvollständig – ★-Felder ausfüllen"),IF(L125="grün","Keine aktive Maßnahme – jährlich prüfen",IF(AND(X125=1,Y125=1,Z125=1),"Sofort sichern: Restbestand / Gebrauchtteil kaufen und Ersatzlösung (Retrofit) planen",IF(AND(X125=1,Z125=1),"Reparaturweg absichern (Dienstleister, Tauschteil), Gebrauchtteil prüfen",IF(X125=1,"Abgekündigt: Lagerteil schützen, Ersatzlösung mittelfristig planen",IF(Z125=1,IF(LEFT(Q125,4)="nein","Bevorratung lohnt nicht – Lieferzeit und Reparaturweg absichern","Lagerbestand anlegen (mind. 1 Stk.)"),"Reparaturmöglichkeit klären"))))))</f>
        <v/>
      </c>
      <c r="N125" s="30" t="n"/>
      <c r="O125" s="31" t="n"/>
      <c r="P125" s="32">
        <f>IF(OR(AB125="",W125="",Z125=0),"",AB125*INDEX(Krit_Kosten,MATCH(F125,Krit_Liste,0)))</f>
        <v/>
      </c>
      <c r="Q125" s="33">
        <f>IF(L125="","",IF(L125="grün","–",IF(Z125=0,"am Lager / in stock",IF(N(N125)&lt;=0,"Stückpreis fehlt",IF(P125&gt;=Faktor_lohnt*N125,"ja – "&amp;FIXED(P125/N125,0)&amp;"-fach","nein – "&amp;FIXED(P125/N125,IF(P125/N125&lt;1,2,1))&amp;"-fach")))))</f>
        <v/>
      </c>
      <c r="R125" s="25" t="n"/>
      <c r="S125" s="34" t="n"/>
      <c r="T125" s="31" t="n"/>
      <c r="U125" s="25" t="n"/>
      <c r="V125" s="2" t="n"/>
      <c r="W125" s="35">
        <f>IFERROR(INDEX(Krit_Faktor,MATCH(F125,Krit_Liste,0)),"")</f>
        <v/>
      </c>
      <c r="X125" s="35">
        <f>IF(OR(G125="nein",G125="no"),1,0)</f>
        <v/>
      </c>
      <c r="Y125" s="35">
        <f>IF(OR(H125="nein",H125="no"),1,0)</f>
        <v/>
      </c>
      <c r="Z125" s="35">
        <f>IF(OR(I125="nein",I125="no"),1,0)</f>
        <v/>
      </c>
      <c r="AA125" s="35">
        <f>(G125&lt;&gt;"")+(H125&lt;&gt;"")+(I125&lt;&gt;"")</f>
        <v/>
      </c>
      <c r="AB125" s="35">
        <f>IF(O125&lt;&gt;"",O125,IF(AA125&lt;3,"",IF(X125=1,Tage_nicht_beschaffbar,Tage_beschaffbar)))</f>
        <v/>
      </c>
      <c r="AC125" s="35">
        <f>IF(K125="","",K125*1000+W125*10+(1000-ROW())/100000)</f>
        <v/>
      </c>
    </row>
    <row r="126" ht="34" customHeight="1">
      <c r="A126" s="23">
        <f>IF(B126="","",COUNTA($B$9:B126))</f>
        <v/>
      </c>
      <c r="B126" s="24" t="n"/>
      <c r="C126" s="25" t="n"/>
      <c r="D126" s="25" t="n"/>
      <c r="E126" s="25" t="n"/>
      <c r="F126" s="26" t="n"/>
      <c r="G126" s="26" t="n"/>
      <c r="H126" s="26" t="n"/>
      <c r="I126" s="26" t="n"/>
      <c r="J126" s="23">
        <f>IF(AA126&lt;3,"",X126+Y126+Z126)</f>
        <v/>
      </c>
      <c r="K126" s="27">
        <f>IF(OR(J126="",W126=""),"",W126*J126)</f>
        <v/>
      </c>
      <c r="L126" s="28">
        <f>IF(K126="","",IF(K126&lt;=Gruen_bis,"grün",IF(K126&lt;=Gelb_bis,"gelb","rot")))</f>
        <v/>
      </c>
      <c r="M126" s="29">
        <f>IF(L126="",IF(B126="","","Bewertung unvollständig – ★-Felder ausfüllen"),IF(L126="grün","Keine aktive Maßnahme – jährlich prüfen",IF(AND(X126=1,Y126=1,Z126=1),"Sofort sichern: Restbestand / Gebrauchtteil kaufen und Ersatzlösung (Retrofit) planen",IF(AND(X126=1,Z126=1),"Reparaturweg absichern (Dienstleister, Tauschteil), Gebrauchtteil prüfen",IF(X126=1,"Abgekündigt: Lagerteil schützen, Ersatzlösung mittelfristig planen",IF(Z126=1,IF(LEFT(Q126,4)="nein","Bevorratung lohnt nicht – Lieferzeit und Reparaturweg absichern","Lagerbestand anlegen (mind. 1 Stk.)"),"Reparaturmöglichkeit klären"))))))</f>
        <v/>
      </c>
      <c r="N126" s="30" t="n"/>
      <c r="O126" s="31" t="n"/>
      <c r="P126" s="32">
        <f>IF(OR(AB126="",W126="",Z126=0),"",AB126*INDEX(Krit_Kosten,MATCH(F126,Krit_Liste,0)))</f>
        <v/>
      </c>
      <c r="Q126" s="33">
        <f>IF(L126="","",IF(L126="grün","–",IF(Z126=0,"am Lager / in stock",IF(N(N126)&lt;=0,"Stückpreis fehlt",IF(P126&gt;=Faktor_lohnt*N126,"ja – "&amp;FIXED(P126/N126,0)&amp;"-fach","nein – "&amp;FIXED(P126/N126,IF(P126/N126&lt;1,2,1))&amp;"-fach")))))</f>
        <v/>
      </c>
      <c r="R126" s="25" t="n"/>
      <c r="S126" s="34" t="n"/>
      <c r="T126" s="31" t="n"/>
      <c r="U126" s="25" t="n"/>
      <c r="V126" s="2" t="n"/>
      <c r="W126" s="35">
        <f>IFERROR(INDEX(Krit_Faktor,MATCH(F126,Krit_Liste,0)),"")</f>
        <v/>
      </c>
      <c r="X126" s="35">
        <f>IF(OR(G126="nein",G126="no"),1,0)</f>
        <v/>
      </c>
      <c r="Y126" s="35">
        <f>IF(OR(H126="nein",H126="no"),1,0)</f>
        <v/>
      </c>
      <c r="Z126" s="35">
        <f>IF(OR(I126="nein",I126="no"),1,0)</f>
        <v/>
      </c>
      <c r="AA126" s="35">
        <f>(G126&lt;&gt;"")+(H126&lt;&gt;"")+(I126&lt;&gt;"")</f>
        <v/>
      </c>
      <c r="AB126" s="35">
        <f>IF(O126&lt;&gt;"",O126,IF(AA126&lt;3,"",IF(X126=1,Tage_nicht_beschaffbar,Tage_beschaffbar)))</f>
        <v/>
      </c>
      <c r="AC126" s="35">
        <f>IF(K126="","",K126*1000+W126*10+(1000-ROW())/100000)</f>
        <v/>
      </c>
    </row>
    <row r="127" ht="34" customHeight="1">
      <c r="A127" s="23">
        <f>IF(B127="","",COUNTA($B$9:B127))</f>
        <v/>
      </c>
      <c r="B127" s="24" t="n"/>
      <c r="C127" s="25" t="n"/>
      <c r="D127" s="25" t="n"/>
      <c r="E127" s="25" t="n"/>
      <c r="F127" s="26" t="n"/>
      <c r="G127" s="26" t="n"/>
      <c r="H127" s="26" t="n"/>
      <c r="I127" s="26" t="n"/>
      <c r="J127" s="23">
        <f>IF(AA127&lt;3,"",X127+Y127+Z127)</f>
        <v/>
      </c>
      <c r="K127" s="27">
        <f>IF(OR(J127="",W127=""),"",W127*J127)</f>
        <v/>
      </c>
      <c r="L127" s="28">
        <f>IF(K127="","",IF(K127&lt;=Gruen_bis,"grün",IF(K127&lt;=Gelb_bis,"gelb","rot")))</f>
        <v/>
      </c>
      <c r="M127" s="29">
        <f>IF(L127="",IF(B127="","","Bewertung unvollständig – ★-Felder ausfüllen"),IF(L127="grün","Keine aktive Maßnahme – jährlich prüfen",IF(AND(X127=1,Y127=1,Z127=1),"Sofort sichern: Restbestand / Gebrauchtteil kaufen und Ersatzlösung (Retrofit) planen",IF(AND(X127=1,Z127=1),"Reparaturweg absichern (Dienstleister, Tauschteil), Gebrauchtteil prüfen",IF(X127=1,"Abgekündigt: Lagerteil schützen, Ersatzlösung mittelfristig planen",IF(Z127=1,IF(LEFT(Q127,4)="nein","Bevorratung lohnt nicht – Lieferzeit und Reparaturweg absichern","Lagerbestand anlegen (mind. 1 Stk.)"),"Reparaturmöglichkeit klären"))))))</f>
        <v/>
      </c>
      <c r="N127" s="30" t="n"/>
      <c r="O127" s="31" t="n"/>
      <c r="P127" s="32">
        <f>IF(OR(AB127="",W127="",Z127=0),"",AB127*INDEX(Krit_Kosten,MATCH(F127,Krit_Liste,0)))</f>
        <v/>
      </c>
      <c r="Q127" s="33">
        <f>IF(L127="","",IF(L127="grün","–",IF(Z127=0,"am Lager / in stock",IF(N(N127)&lt;=0,"Stückpreis fehlt",IF(P127&gt;=Faktor_lohnt*N127,"ja – "&amp;FIXED(P127/N127,0)&amp;"-fach","nein – "&amp;FIXED(P127/N127,IF(P127/N127&lt;1,2,1))&amp;"-fach")))))</f>
        <v/>
      </c>
      <c r="R127" s="25" t="n"/>
      <c r="S127" s="34" t="n"/>
      <c r="T127" s="31" t="n"/>
      <c r="U127" s="25" t="n"/>
      <c r="V127" s="2" t="n"/>
      <c r="W127" s="35">
        <f>IFERROR(INDEX(Krit_Faktor,MATCH(F127,Krit_Liste,0)),"")</f>
        <v/>
      </c>
      <c r="X127" s="35">
        <f>IF(OR(G127="nein",G127="no"),1,0)</f>
        <v/>
      </c>
      <c r="Y127" s="35">
        <f>IF(OR(H127="nein",H127="no"),1,0)</f>
        <v/>
      </c>
      <c r="Z127" s="35">
        <f>IF(OR(I127="nein",I127="no"),1,0)</f>
        <v/>
      </c>
      <c r="AA127" s="35">
        <f>(G127&lt;&gt;"")+(H127&lt;&gt;"")+(I127&lt;&gt;"")</f>
        <v/>
      </c>
      <c r="AB127" s="35">
        <f>IF(O127&lt;&gt;"",O127,IF(AA127&lt;3,"",IF(X127=1,Tage_nicht_beschaffbar,Tage_beschaffbar)))</f>
        <v/>
      </c>
      <c r="AC127" s="35">
        <f>IF(K127="","",K127*1000+W127*10+(1000-ROW())/100000)</f>
        <v/>
      </c>
    </row>
    <row r="128" ht="34" customHeight="1">
      <c r="A128" s="23">
        <f>IF(B128="","",COUNTA($B$9:B128))</f>
        <v/>
      </c>
      <c r="B128" s="24" t="n"/>
      <c r="C128" s="25" t="n"/>
      <c r="D128" s="25" t="n"/>
      <c r="E128" s="25" t="n"/>
      <c r="F128" s="26" t="n"/>
      <c r="G128" s="26" t="n"/>
      <c r="H128" s="26" t="n"/>
      <c r="I128" s="26" t="n"/>
      <c r="J128" s="23">
        <f>IF(AA128&lt;3,"",X128+Y128+Z128)</f>
        <v/>
      </c>
      <c r="K128" s="27">
        <f>IF(OR(J128="",W128=""),"",W128*J128)</f>
        <v/>
      </c>
      <c r="L128" s="28">
        <f>IF(K128="","",IF(K128&lt;=Gruen_bis,"grün",IF(K128&lt;=Gelb_bis,"gelb","rot")))</f>
        <v/>
      </c>
      <c r="M128" s="29">
        <f>IF(L128="",IF(B128="","","Bewertung unvollständig – ★-Felder ausfüllen"),IF(L128="grün","Keine aktive Maßnahme – jährlich prüfen",IF(AND(X128=1,Y128=1,Z128=1),"Sofort sichern: Restbestand / Gebrauchtteil kaufen und Ersatzlösung (Retrofit) planen",IF(AND(X128=1,Z128=1),"Reparaturweg absichern (Dienstleister, Tauschteil), Gebrauchtteil prüfen",IF(X128=1,"Abgekündigt: Lagerteil schützen, Ersatzlösung mittelfristig planen",IF(Z128=1,IF(LEFT(Q128,4)="nein","Bevorratung lohnt nicht – Lieferzeit und Reparaturweg absichern","Lagerbestand anlegen (mind. 1 Stk.)"),"Reparaturmöglichkeit klären"))))))</f>
        <v/>
      </c>
      <c r="N128" s="30" t="n"/>
      <c r="O128" s="31" t="n"/>
      <c r="P128" s="32">
        <f>IF(OR(AB128="",W128="",Z128=0),"",AB128*INDEX(Krit_Kosten,MATCH(F128,Krit_Liste,0)))</f>
        <v/>
      </c>
      <c r="Q128" s="33">
        <f>IF(L128="","",IF(L128="grün","–",IF(Z128=0,"am Lager / in stock",IF(N(N128)&lt;=0,"Stückpreis fehlt",IF(P128&gt;=Faktor_lohnt*N128,"ja – "&amp;FIXED(P128/N128,0)&amp;"-fach","nein – "&amp;FIXED(P128/N128,IF(P128/N128&lt;1,2,1))&amp;"-fach")))))</f>
        <v/>
      </c>
      <c r="R128" s="25" t="n"/>
      <c r="S128" s="34" t="n"/>
      <c r="T128" s="31" t="n"/>
      <c r="U128" s="25" t="n"/>
      <c r="V128" s="2" t="n"/>
      <c r="W128" s="35">
        <f>IFERROR(INDEX(Krit_Faktor,MATCH(F128,Krit_Liste,0)),"")</f>
        <v/>
      </c>
      <c r="X128" s="35">
        <f>IF(OR(G128="nein",G128="no"),1,0)</f>
        <v/>
      </c>
      <c r="Y128" s="35">
        <f>IF(OR(H128="nein",H128="no"),1,0)</f>
        <v/>
      </c>
      <c r="Z128" s="35">
        <f>IF(OR(I128="nein",I128="no"),1,0)</f>
        <v/>
      </c>
      <c r="AA128" s="35">
        <f>(G128&lt;&gt;"")+(H128&lt;&gt;"")+(I128&lt;&gt;"")</f>
        <v/>
      </c>
      <c r="AB128" s="35">
        <f>IF(O128&lt;&gt;"",O128,IF(AA128&lt;3,"",IF(X128=1,Tage_nicht_beschaffbar,Tage_beschaffbar)))</f>
        <v/>
      </c>
      <c r="AC128" s="35">
        <f>IF(K128="","",K128*1000+W128*10+(1000-ROW())/100000)</f>
        <v/>
      </c>
    </row>
    <row r="129" ht="34" customHeight="1">
      <c r="A129" s="23">
        <f>IF(B129="","",COUNTA($B$9:B129))</f>
        <v/>
      </c>
      <c r="B129" s="24" t="n"/>
      <c r="C129" s="25" t="n"/>
      <c r="D129" s="25" t="n"/>
      <c r="E129" s="25" t="n"/>
      <c r="F129" s="26" t="n"/>
      <c r="G129" s="26" t="n"/>
      <c r="H129" s="26" t="n"/>
      <c r="I129" s="26" t="n"/>
      <c r="J129" s="23">
        <f>IF(AA129&lt;3,"",X129+Y129+Z129)</f>
        <v/>
      </c>
      <c r="K129" s="27">
        <f>IF(OR(J129="",W129=""),"",W129*J129)</f>
        <v/>
      </c>
      <c r="L129" s="28">
        <f>IF(K129="","",IF(K129&lt;=Gruen_bis,"grün",IF(K129&lt;=Gelb_bis,"gelb","rot")))</f>
        <v/>
      </c>
      <c r="M129" s="29">
        <f>IF(L129="",IF(B129="","","Bewertung unvollständig – ★-Felder ausfüllen"),IF(L129="grün","Keine aktive Maßnahme – jährlich prüfen",IF(AND(X129=1,Y129=1,Z129=1),"Sofort sichern: Restbestand / Gebrauchtteil kaufen und Ersatzlösung (Retrofit) planen",IF(AND(X129=1,Z129=1),"Reparaturweg absichern (Dienstleister, Tauschteil), Gebrauchtteil prüfen",IF(X129=1,"Abgekündigt: Lagerteil schützen, Ersatzlösung mittelfristig planen",IF(Z129=1,IF(LEFT(Q129,4)="nein","Bevorratung lohnt nicht – Lieferzeit und Reparaturweg absichern","Lagerbestand anlegen (mind. 1 Stk.)"),"Reparaturmöglichkeit klären"))))))</f>
        <v/>
      </c>
      <c r="N129" s="30" t="n"/>
      <c r="O129" s="31" t="n"/>
      <c r="P129" s="32">
        <f>IF(OR(AB129="",W129="",Z129=0),"",AB129*INDEX(Krit_Kosten,MATCH(F129,Krit_Liste,0)))</f>
        <v/>
      </c>
      <c r="Q129" s="33">
        <f>IF(L129="","",IF(L129="grün","–",IF(Z129=0,"am Lager / in stock",IF(N(N129)&lt;=0,"Stückpreis fehlt",IF(P129&gt;=Faktor_lohnt*N129,"ja – "&amp;FIXED(P129/N129,0)&amp;"-fach","nein – "&amp;FIXED(P129/N129,IF(P129/N129&lt;1,2,1))&amp;"-fach")))))</f>
        <v/>
      </c>
      <c r="R129" s="25" t="n"/>
      <c r="S129" s="34" t="n"/>
      <c r="T129" s="31" t="n"/>
      <c r="U129" s="25" t="n"/>
      <c r="V129" s="2" t="n"/>
      <c r="W129" s="35">
        <f>IFERROR(INDEX(Krit_Faktor,MATCH(F129,Krit_Liste,0)),"")</f>
        <v/>
      </c>
      <c r="X129" s="35">
        <f>IF(OR(G129="nein",G129="no"),1,0)</f>
        <v/>
      </c>
      <c r="Y129" s="35">
        <f>IF(OR(H129="nein",H129="no"),1,0)</f>
        <v/>
      </c>
      <c r="Z129" s="35">
        <f>IF(OR(I129="nein",I129="no"),1,0)</f>
        <v/>
      </c>
      <c r="AA129" s="35">
        <f>(G129&lt;&gt;"")+(H129&lt;&gt;"")+(I129&lt;&gt;"")</f>
        <v/>
      </c>
      <c r="AB129" s="35">
        <f>IF(O129&lt;&gt;"",O129,IF(AA129&lt;3,"",IF(X129=1,Tage_nicht_beschaffbar,Tage_beschaffbar)))</f>
        <v/>
      </c>
      <c r="AC129" s="35">
        <f>IF(K129="","",K129*1000+W129*10+(1000-ROW())/100000)</f>
        <v/>
      </c>
    </row>
    <row r="130" ht="34" customHeight="1">
      <c r="A130" s="23">
        <f>IF(B130="","",COUNTA($B$9:B130))</f>
        <v/>
      </c>
      <c r="B130" s="24" t="n"/>
      <c r="C130" s="25" t="n"/>
      <c r="D130" s="25" t="n"/>
      <c r="E130" s="25" t="n"/>
      <c r="F130" s="26" t="n"/>
      <c r="G130" s="26" t="n"/>
      <c r="H130" s="26" t="n"/>
      <c r="I130" s="26" t="n"/>
      <c r="J130" s="23">
        <f>IF(AA130&lt;3,"",X130+Y130+Z130)</f>
        <v/>
      </c>
      <c r="K130" s="27">
        <f>IF(OR(J130="",W130=""),"",W130*J130)</f>
        <v/>
      </c>
      <c r="L130" s="28">
        <f>IF(K130="","",IF(K130&lt;=Gruen_bis,"grün",IF(K130&lt;=Gelb_bis,"gelb","rot")))</f>
        <v/>
      </c>
      <c r="M130" s="29">
        <f>IF(L130="",IF(B130="","","Bewertung unvollständig – ★-Felder ausfüllen"),IF(L130="grün","Keine aktive Maßnahme – jährlich prüfen",IF(AND(X130=1,Y130=1,Z130=1),"Sofort sichern: Restbestand / Gebrauchtteil kaufen und Ersatzlösung (Retrofit) planen",IF(AND(X130=1,Z130=1),"Reparaturweg absichern (Dienstleister, Tauschteil), Gebrauchtteil prüfen",IF(X130=1,"Abgekündigt: Lagerteil schützen, Ersatzlösung mittelfristig planen",IF(Z130=1,IF(LEFT(Q130,4)="nein","Bevorratung lohnt nicht – Lieferzeit und Reparaturweg absichern","Lagerbestand anlegen (mind. 1 Stk.)"),"Reparaturmöglichkeit klären"))))))</f>
        <v/>
      </c>
      <c r="N130" s="30" t="n"/>
      <c r="O130" s="31" t="n"/>
      <c r="P130" s="32">
        <f>IF(OR(AB130="",W130="",Z130=0),"",AB130*INDEX(Krit_Kosten,MATCH(F130,Krit_Liste,0)))</f>
        <v/>
      </c>
      <c r="Q130" s="33">
        <f>IF(L130="","",IF(L130="grün","–",IF(Z130=0,"am Lager / in stock",IF(N(N130)&lt;=0,"Stückpreis fehlt",IF(P130&gt;=Faktor_lohnt*N130,"ja – "&amp;FIXED(P130/N130,0)&amp;"-fach","nein – "&amp;FIXED(P130/N130,IF(P130/N130&lt;1,2,1))&amp;"-fach")))))</f>
        <v/>
      </c>
      <c r="R130" s="25" t="n"/>
      <c r="S130" s="34" t="n"/>
      <c r="T130" s="31" t="n"/>
      <c r="U130" s="25" t="n"/>
      <c r="V130" s="2" t="n"/>
      <c r="W130" s="35">
        <f>IFERROR(INDEX(Krit_Faktor,MATCH(F130,Krit_Liste,0)),"")</f>
        <v/>
      </c>
      <c r="X130" s="35">
        <f>IF(OR(G130="nein",G130="no"),1,0)</f>
        <v/>
      </c>
      <c r="Y130" s="35">
        <f>IF(OR(H130="nein",H130="no"),1,0)</f>
        <v/>
      </c>
      <c r="Z130" s="35">
        <f>IF(OR(I130="nein",I130="no"),1,0)</f>
        <v/>
      </c>
      <c r="AA130" s="35">
        <f>(G130&lt;&gt;"")+(H130&lt;&gt;"")+(I130&lt;&gt;"")</f>
        <v/>
      </c>
      <c r="AB130" s="35">
        <f>IF(O130&lt;&gt;"",O130,IF(AA130&lt;3,"",IF(X130=1,Tage_nicht_beschaffbar,Tage_beschaffbar)))</f>
        <v/>
      </c>
      <c r="AC130" s="35">
        <f>IF(K130="","",K130*1000+W130*10+(1000-ROW())/100000)</f>
        <v/>
      </c>
    </row>
    <row r="131" ht="34" customHeight="1">
      <c r="A131" s="23">
        <f>IF(B131="","",COUNTA($B$9:B131))</f>
        <v/>
      </c>
      <c r="B131" s="24" t="n"/>
      <c r="C131" s="25" t="n"/>
      <c r="D131" s="25" t="n"/>
      <c r="E131" s="25" t="n"/>
      <c r="F131" s="26" t="n"/>
      <c r="G131" s="26" t="n"/>
      <c r="H131" s="26" t="n"/>
      <c r="I131" s="26" t="n"/>
      <c r="J131" s="23">
        <f>IF(AA131&lt;3,"",X131+Y131+Z131)</f>
        <v/>
      </c>
      <c r="K131" s="27">
        <f>IF(OR(J131="",W131=""),"",W131*J131)</f>
        <v/>
      </c>
      <c r="L131" s="28">
        <f>IF(K131="","",IF(K131&lt;=Gruen_bis,"grün",IF(K131&lt;=Gelb_bis,"gelb","rot")))</f>
        <v/>
      </c>
      <c r="M131" s="29">
        <f>IF(L131="",IF(B131="","","Bewertung unvollständig – ★-Felder ausfüllen"),IF(L131="grün","Keine aktive Maßnahme – jährlich prüfen",IF(AND(X131=1,Y131=1,Z131=1),"Sofort sichern: Restbestand / Gebrauchtteil kaufen und Ersatzlösung (Retrofit) planen",IF(AND(X131=1,Z131=1),"Reparaturweg absichern (Dienstleister, Tauschteil), Gebrauchtteil prüfen",IF(X131=1,"Abgekündigt: Lagerteil schützen, Ersatzlösung mittelfristig planen",IF(Z131=1,IF(LEFT(Q131,4)="nein","Bevorratung lohnt nicht – Lieferzeit und Reparaturweg absichern","Lagerbestand anlegen (mind. 1 Stk.)"),"Reparaturmöglichkeit klären"))))))</f>
        <v/>
      </c>
      <c r="N131" s="30" t="n"/>
      <c r="O131" s="31" t="n"/>
      <c r="P131" s="32">
        <f>IF(OR(AB131="",W131="",Z131=0),"",AB131*INDEX(Krit_Kosten,MATCH(F131,Krit_Liste,0)))</f>
        <v/>
      </c>
      <c r="Q131" s="33">
        <f>IF(L131="","",IF(L131="grün","–",IF(Z131=0,"am Lager / in stock",IF(N(N131)&lt;=0,"Stückpreis fehlt",IF(P131&gt;=Faktor_lohnt*N131,"ja – "&amp;FIXED(P131/N131,0)&amp;"-fach","nein – "&amp;FIXED(P131/N131,IF(P131/N131&lt;1,2,1))&amp;"-fach")))))</f>
        <v/>
      </c>
      <c r="R131" s="25" t="n"/>
      <c r="S131" s="34" t="n"/>
      <c r="T131" s="31" t="n"/>
      <c r="U131" s="25" t="n"/>
      <c r="V131" s="2" t="n"/>
      <c r="W131" s="35">
        <f>IFERROR(INDEX(Krit_Faktor,MATCH(F131,Krit_Liste,0)),"")</f>
        <v/>
      </c>
      <c r="X131" s="35">
        <f>IF(OR(G131="nein",G131="no"),1,0)</f>
        <v/>
      </c>
      <c r="Y131" s="35">
        <f>IF(OR(H131="nein",H131="no"),1,0)</f>
        <v/>
      </c>
      <c r="Z131" s="35">
        <f>IF(OR(I131="nein",I131="no"),1,0)</f>
        <v/>
      </c>
      <c r="AA131" s="35">
        <f>(G131&lt;&gt;"")+(H131&lt;&gt;"")+(I131&lt;&gt;"")</f>
        <v/>
      </c>
      <c r="AB131" s="35">
        <f>IF(O131&lt;&gt;"",O131,IF(AA131&lt;3,"",IF(X131=1,Tage_nicht_beschaffbar,Tage_beschaffbar)))</f>
        <v/>
      </c>
      <c r="AC131" s="35">
        <f>IF(K131="","",K131*1000+W131*10+(1000-ROW())/100000)</f>
        <v/>
      </c>
    </row>
    <row r="132" ht="34" customHeight="1">
      <c r="A132" s="23">
        <f>IF(B132="","",COUNTA($B$9:B132))</f>
        <v/>
      </c>
      <c r="B132" s="24" t="n"/>
      <c r="C132" s="25" t="n"/>
      <c r="D132" s="25" t="n"/>
      <c r="E132" s="25" t="n"/>
      <c r="F132" s="26" t="n"/>
      <c r="G132" s="26" t="n"/>
      <c r="H132" s="26" t="n"/>
      <c r="I132" s="26" t="n"/>
      <c r="J132" s="23">
        <f>IF(AA132&lt;3,"",X132+Y132+Z132)</f>
        <v/>
      </c>
      <c r="K132" s="27">
        <f>IF(OR(J132="",W132=""),"",W132*J132)</f>
        <v/>
      </c>
      <c r="L132" s="28">
        <f>IF(K132="","",IF(K132&lt;=Gruen_bis,"grün",IF(K132&lt;=Gelb_bis,"gelb","rot")))</f>
        <v/>
      </c>
      <c r="M132" s="29">
        <f>IF(L132="",IF(B132="","","Bewertung unvollständig – ★-Felder ausfüllen"),IF(L132="grün","Keine aktive Maßnahme – jährlich prüfen",IF(AND(X132=1,Y132=1,Z132=1),"Sofort sichern: Restbestand / Gebrauchtteil kaufen und Ersatzlösung (Retrofit) planen",IF(AND(X132=1,Z132=1),"Reparaturweg absichern (Dienstleister, Tauschteil), Gebrauchtteil prüfen",IF(X132=1,"Abgekündigt: Lagerteil schützen, Ersatzlösung mittelfristig planen",IF(Z132=1,IF(LEFT(Q132,4)="nein","Bevorratung lohnt nicht – Lieferzeit und Reparaturweg absichern","Lagerbestand anlegen (mind. 1 Stk.)"),"Reparaturmöglichkeit klären"))))))</f>
        <v/>
      </c>
      <c r="N132" s="30" t="n"/>
      <c r="O132" s="31" t="n"/>
      <c r="P132" s="32">
        <f>IF(OR(AB132="",W132="",Z132=0),"",AB132*INDEX(Krit_Kosten,MATCH(F132,Krit_Liste,0)))</f>
        <v/>
      </c>
      <c r="Q132" s="33">
        <f>IF(L132="","",IF(L132="grün","–",IF(Z132=0,"am Lager / in stock",IF(N(N132)&lt;=0,"Stückpreis fehlt",IF(P132&gt;=Faktor_lohnt*N132,"ja – "&amp;FIXED(P132/N132,0)&amp;"-fach","nein – "&amp;FIXED(P132/N132,IF(P132/N132&lt;1,2,1))&amp;"-fach")))))</f>
        <v/>
      </c>
      <c r="R132" s="25" t="n"/>
      <c r="S132" s="34" t="n"/>
      <c r="T132" s="31" t="n"/>
      <c r="U132" s="25" t="n"/>
      <c r="V132" s="2" t="n"/>
      <c r="W132" s="35">
        <f>IFERROR(INDEX(Krit_Faktor,MATCH(F132,Krit_Liste,0)),"")</f>
        <v/>
      </c>
      <c r="X132" s="35">
        <f>IF(OR(G132="nein",G132="no"),1,0)</f>
        <v/>
      </c>
      <c r="Y132" s="35">
        <f>IF(OR(H132="nein",H132="no"),1,0)</f>
        <v/>
      </c>
      <c r="Z132" s="35">
        <f>IF(OR(I132="nein",I132="no"),1,0)</f>
        <v/>
      </c>
      <c r="AA132" s="35">
        <f>(G132&lt;&gt;"")+(H132&lt;&gt;"")+(I132&lt;&gt;"")</f>
        <v/>
      </c>
      <c r="AB132" s="35">
        <f>IF(O132&lt;&gt;"",O132,IF(AA132&lt;3,"",IF(X132=1,Tage_nicht_beschaffbar,Tage_beschaffbar)))</f>
        <v/>
      </c>
      <c r="AC132" s="35">
        <f>IF(K132="","",K132*1000+W132*10+(1000-ROW())/100000)</f>
        <v/>
      </c>
    </row>
    <row r="133" ht="34" customHeight="1">
      <c r="A133" s="23">
        <f>IF(B133="","",COUNTA($B$9:B133))</f>
        <v/>
      </c>
      <c r="B133" s="24" t="n"/>
      <c r="C133" s="25" t="n"/>
      <c r="D133" s="25" t="n"/>
      <c r="E133" s="25" t="n"/>
      <c r="F133" s="26" t="n"/>
      <c r="G133" s="26" t="n"/>
      <c r="H133" s="26" t="n"/>
      <c r="I133" s="26" t="n"/>
      <c r="J133" s="23">
        <f>IF(AA133&lt;3,"",X133+Y133+Z133)</f>
        <v/>
      </c>
      <c r="K133" s="27">
        <f>IF(OR(J133="",W133=""),"",W133*J133)</f>
        <v/>
      </c>
      <c r="L133" s="28">
        <f>IF(K133="","",IF(K133&lt;=Gruen_bis,"grün",IF(K133&lt;=Gelb_bis,"gelb","rot")))</f>
        <v/>
      </c>
      <c r="M133" s="29">
        <f>IF(L133="",IF(B133="","","Bewertung unvollständig – ★-Felder ausfüllen"),IF(L133="grün","Keine aktive Maßnahme – jährlich prüfen",IF(AND(X133=1,Y133=1,Z133=1),"Sofort sichern: Restbestand / Gebrauchtteil kaufen und Ersatzlösung (Retrofit) planen",IF(AND(X133=1,Z133=1),"Reparaturweg absichern (Dienstleister, Tauschteil), Gebrauchtteil prüfen",IF(X133=1,"Abgekündigt: Lagerteil schützen, Ersatzlösung mittelfristig planen",IF(Z133=1,IF(LEFT(Q133,4)="nein","Bevorratung lohnt nicht – Lieferzeit und Reparaturweg absichern","Lagerbestand anlegen (mind. 1 Stk.)"),"Reparaturmöglichkeit klären"))))))</f>
        <v/>
      </c>
      <c r="N133" s="30" t="n"/>
      <c r="O133" s="31" t="n"/>
      <c r="P133" s="32">
        <f>IF(OR(AB133="",W133="",Z133=0),"",AB133*INDEX(Krit_Kosten,MATCH(F133,Krit_Liste,0)))</f>
        <v/>
      </c>
      <c r="Q133" s="33">
        <f>IF(L133="","",IF(L133="grün","–",IF(Z133=0,"am Lager / in stock",IF(N(N133)&lt;=0,"Stückpreis fehlt",IF(P133&gt;=Faktor_lohnt*N133,"ja – "&amp;FIXED(P133/N133,0)&amp;"-fach","nein – "&amp;FIXED(P133/N133,IF(P133/N133&lt;1,2,1))&amp;"-fach")))))</f>
        <v/>
      </c>
      <c r="R133" s="25" t="n"/>
      <c r="S133" s="34" t="n"/>
      <c r="T133" s="31" t="n"/>
      <c r="U133" s="25" t="n"/>
      <c r="V133" s="2" t="n"/>
      <c r="W133" s="35">
        <f>IFERROR(INDEX(Krit_Faktor,MATCH(F133,Krit_Liste,0)),"")</f>
        <v/>
      </c>
      <c r="X133" s="35">
        <f>IF(OR(G133="nein",G133="no"),1,0)</f>
        <v/>
      </c>
      <c r="Y133" s="35">
        <f>IF(OR(H133="nein",H133="no"),1,0)</f>
        <v/>
      </c>
      <c r="Z133" s="35">
        <f>IF(OR(I133="nein",I133="no"),1,0)</f>
        <v/>
      </c>
      <c r="AA133" s="35">
        <f>(G133&lt;&gt;"")+(H133&lt;&gt;"")+(I133&lt;&gt;"")</f>
        <v/>
      </c>
      <c r="AB133" s="35">
        <f>IF(O133&lt;&gt;"",O133,IF(AA133&lt;3,"",IF(X133=1,Tage_nicht_beschaffbar,Tage_beschaffbar)))</f>
        <v/>
      </c>
      <c r="AC133" s="35">
        <f>IF(K133="","",K133*1000+W133*10+(1000-ROW())/100000)</f>
        <v/>
      </c>
    </row>
    <row r="134" ht="34" customHeight="1">
      <c r="A134" s="23">
        <f>IF(B134="","",COUNTA($B$9:B134))</f>
        <v/>
      </c>
      <c r="B134" s="24" t="n"/>
      <c r="C134" s="25" t="n"/>
      <c r="D134" s="25" t="n"/>
      <c r="E134" s="25" t="n"/>
      <c r="F134" s="26" t="n"/>
      <c r="G134" s="26" t="n"/>
      <c r="H134" s="26" t="n"/>
      <c r="I134" s="26" t="n"/>
      <c r="J134" s="23">
        <f>IF(AA134&lt;3,"",X134+Y134+Z134)</f>
        <v/>
      </c>
      <c r="K134" s="27">
        <f>IF(OR(J134="",W134=""),"",W134*J134)</f>
        <v/>
      </c>
      <c r="L134" s="28">
        <f>IF(K134="","",IF(K134&lt;=Gruen_bis,"grün",IF(K134&lt;=Gelb_bis,"gelb","rot")))</f>
        <v/>
      </c>
      <c r="M134" s="29">
        <f>IF(L134="",IF(B134="","","Bewertung unvollständig – ★-Felder ausfüllen"),IF(L134="grün","Keine aktive Maßnahme – jährlich prüfen",IF(AND(X134=1,Y134=1,Z134=1),"Sofort sichern: Restbestand / Gebrauchtteil kaufen und Ersatzlösung (Retrofit) planen",IF(AND(X134=1,Z134=1),"Reparaturweg absichern (Dienstleister, Tauschteil), Gebrauchtteil prüfen",IF(X134=1,"Abgekündigt: Lagerteil schützen, Ersatzlösung mittelfristig planen",IF(Z134=1,IF(LEFT(Q134,4)="nein","Bevorratung lohnt nicht – Lieferzeit und Reparaturweg absichern","Lagerbestand anlegen (mind. 1 Stk.)"),"Reparaturmöglichkeit klären"))))))</f>
        <v/>
      </c>
      <c r="N134" s="30" t="n"/>
      <c r="O134" s="31" t="n"/>
      <c r="P134" s="32">
        <f>IF(OR(AB134="",W134="",Z134=0),"",AB134*INDEX(Krit_Kosten,MATCH(F134,Krit_Liste,0)))</f>
        <v/>
      </c>
      <c r="Q134" s="33">
        <f>IF(L134="","",IF(L134="grün","–",IF(Z134=0,"am Lager / in stock",IF(N(N134)&lt;=0,"Stückpreis fehlt",IF(P134&gt;=Faktor_lohnt*N134,"ja – "&amp;FIXED(P134/N134,0)&amp;"-fach","nein – "&amp;FIXED(P134/N134,IF(P134/N134&lt;1,2,1))&amp;"-fach")))))</f>
        <v/>
      </c>
      <c r="R134" s="25" t="n"/>
      <c r="S134" s="34" t="n"/>
      <c r="T134" s="31" t="n"/>
      <c r="U134" s="25" t="n"/>
      <c r="V134" s="2" t="n"/>
      <c r="W134" s="35">
        <f>IFERROR(INDEX(Krit_Faktor,MATCH(F134,Krit_Liste,0)),"")</f>
        <v/>
      </c>
      <c r="X134" s="35">
        <f>IF(OR(G134="nein",G134="no"),1,0)</f>
        <v/>
      </c>
      <c r="Y134" s="35">
        <f>IF(OR(H134="nein",H134="no"),1,0)</f>
        <v/>
      </c>
      <c r="Z134" s="35">
        <f>IF(OR(I134="nein",I134="no"),1,0)</f>
        <v/>
      </c>
      <c r="AA134" s="35">
        <f>(G134&lt;&gt;"")+(H134&lt;&gt;"")+(I134&lt;&gt;"")</f>
        <v/>
      </c>
      <c r="AB134" s="35">
        <f>IF(O134&lt;&gt;"",O134,IF(AA134&lt;3,"",IF(X134=1,Tage_nicht_beschaffbar,Tage_beschaffbar)))</f>
        <v/>
      </c>
      <c r="AC134" s="35">
        <f>IF(K134="","",K134*1000+W134*10+(1000-ROW())/100000)</f>
        <v/>
      </c>
    </row>
    <row r="135" ht="34" customHeight="1">
      <c r="A135" s="23">
        <f>IF(B135="","",COUNTA($B$9:B135))</f>
        <v/>
      </c>
      <c r="B135" s="24" t="n"/>
      <c r="C135" s="25" t="n"/>
      <c r="D135" s="25" t="n"/>
      <c r="E135" s="25" t="n"/>
      <c r="F135" s="26" t="n"/>
      <c r="G135" s="26" t="n"/>
      <c r="H135" s="26" t="n"/>
      <c r="I135" s="26" t="n"/>
      <c r="J135" s="23">
        <f>IF(AA135&lt;3,"",X135+Y135+Z135)</f>
        <v/>
      </c>
      <c r="K135" s="27">
        <f>IF(OR(J135="",W135=""),"",W135*J135)</f>
        <v/>
      </c>
      <c r="L135" s="28">
        <f>IF(K135="","",IF(K135&lt;=Gruen_bis,"grün",IF(K135&lt;=Gelb_bis,"gelb","rot")))</f>
        <v/>
      </c>
      <c r="M135" s="29">
        <f>IF(L135="",IF(B135="","","Bewertung unvollständig – ★-Felder ausfüllen"),IF(L135="grün","Keine aktive Maßnahme – jährlich prüfen",IF(AND(X135=1,Y135=1,Z135=1),"Sofort sichern: Restbestand / Gebrauchtteil kaufen und Ersatzlösung (Retrofit) planen",IF(AND(X135=1,Z135=1),"Reparaturweg absichern (Dienstleister, Tauschteil), Gebrauchtteil prüfen",IF(X135=1,"Abgekündigt: Lagerteil schützen, Ersatzlösung mittelfristig planen",IF(Z135=1,IF(LEFT(Q135,4)="nein","Bevorratung lohnt nicht – Lieferzeit und Reparaturweg absichern","Lagerbestand anlegen (mind. 1 Stk.)"),"Reparaturmöglichkeit klären"))))))</f>
        <v/>
      </c>
      <c r="N135" s="30" t="n"/>
      <c r="O135" s="31" t="n"/>
      <c r="P135" s="32">
        <f>IF(OR(AB135="",W135="",Z135=0),"",AB135*INDEX(Krit_Kosten,MATCH(F135,Krit_Liste,0)))</f>
        <v/>
      </c>
      <c r="Q135" s="33">
        <f>IF(L135="","",IF(L135="grün","–",IF(Z135=0,"am Lager / in stock",IF(N(N135)&lt;=0,"Stückpreis fehlt",IF(P135&gt;=Faktor_lohnt*N135,"ja – "&amp;FIXED(P135/N135,0)&amp;"-fach","nein – "&amp;FIXED(P135/N135,IF(P135/N135&lt;1,2,1))&amp;"-fach")))))</f>
        <v/>
      </c>
      <c r="R135" s="25" t="n"/>
      <c r="S135" s="34" t="n"/>
      <c r="T135" s="31" t="n"/>
      <c r="U135" s="25" t="n"/>
      <c r="V135" s="2" t="n"/>
      <c r="W135" s="35">
        <f>IFERROR(INDEX(Krit_Faktor,MATCH(F135,Krit_Liste,0)),"")</f>
        <v/>
      </c>
      <c r="X135" s="35">
        <f>IF(OR(G135="nein",G135="no"),1,0)</f>
        <v/>
      </c>
      <c r="Y135" s="35">
        <f>IF(OR(H135="nein",H135="no"),1,0)</f>
        <v/>
      </c>
      <c r="Z135" s="35">
        <f>IF(OR(I135="nein",I135="no"),1,0)</f>
        <v/>
      </c>
      <c r="AA135" s="35">
        <f>(G135&lt;&gt;"")+(H135&lt;&gt;"")+(I135&lt;&gt;"")</f>
        <v/>
      </c>
      <c r="AB135" s="35">
        <f>IF(O135&lt;&gt;"",O135,IF(AA135&lt;3,"",IF(X135=1,Tage_nicht_beschaffbar,Tage_beschaffbar)))</f>
        <v/>
      </c>
      <c r="AC135" s="35">
        <f>IF(K135="","",K135*1000+W135*10+(1000-ROW())/100000)</f>
        <v/>
      </c>
    </row>
    <row r="136" ht="34" customHeight="1">
      <c r="A136" s="23">
        <f>IF(B136="","",COUNTA($B$9:B136))</f>
        <v/>
      </c>
      <c r="B136" s="24" t="n"/>
      <c r="C136" s="25" t="n"/>
      <c r="D136" s="25" t="n"/>
      <c r="E136" s="25" t="n"/>
      <c r="F136" s="26" t="n"/>
      <c r="G136" s="26" t="n"/>
      <c r="H136" s="26" t="n"/>
      <c r="I136" s="26" t="n"/>
      <c r="J136" s="23">
        <f>IF(AA136&lt;3,"",X136+Y136+Z136)</f>
        <v/>
      </c>
      <c r="K136" s="27">
        <f>IF(OR(J136="",W136=""),"",W136*J136)</f>
        <v/>
      </c>
      <c r="L136" s="28">
        <f>IF(K136="","",IF(K136&lt;=Gruen_bis,"grün",IF(K136&lt;=Gelb_bis,"gelb","rot")))</f>
        <v/>
      </c>
      <c r="M136" s="29">
        <f>IF(L136="",IF(B136="","","Bewertung unvollständig – ★-Felder ausfüllen"),IF(L136="grün","Keine aktive Maßnahme – jährlich prüfen",IF(AND(X136=1,Y136=1,Z136=1),"Sofort sichern: Restbestand / Gebrauchtteil kaufen und Ersatzlösung (Retrofit) planen",IF(AND(X136=1,Z136=1),"Reparaturweg absichern (Dienstleister, Tauschteil), Gebrauchtteil prüfen",IF(X136=1,"Abgekündigt: Lagerteil schützen, Ersatzlösung mittelfristig planen",IF(Z136=1,IF(LEFT(Q136,4)="nein","Bevorratung lohnt nicht – Lieferzeit und Reparaturweg absichern","Lagerbestand anlegen (mind. 1 Stk.)"),"Reparaturmöglichkeit klären"))))))</f>
        <v/>
      </c>
      <c r="N136" s="30" t="n"/>
      <c r="O136" s="31" t="n"/>
      <c r="P136" s="32">
        <f>IF(OR(AB136="",W136="",Z136=0),"",AB136*INDEX(Krit_Kosten,MATCH(F136,Krit_Liste,0)))</f>
        <v/>
      </c>
      <c r="Q136" s="33">
        <f>IF(L136="","",IF(L136="grün","–",IF(Z136=0,"am Lager / in stock",IF(N(N136)&lt;=0,"Stückpreis fehlt",IF(P136&gt;=Faktor_lohnt*N136,"ja – "&amp;FIXED(P136/N136,0)&amp;"-fach","nein – "&amp;FIXED(P136/N136,IF(P136/N136&lt;1,2,1))&amp;"-fach")))))</f>
        <v/>
      </c>
      <c r="R136" s="25" t="n"/>
      <c r="S136" s="34" t="n"/>
      <c r="T136" s="31" t="n"/>
      <c r="U136" s="25" t="n"/>
      <c r="V136" s="2" t="n"/>
      <c r="W136" s="35">
        <f>IFERROR(INDEX(Krit_Faktor,MATCH(F136,Krit_Liste,0)),"")</f>
        <v/>
      </c>
      <c r="X136" s="35">
        <f>IF(OR(G136="nein",G136="no"),1,0)</f>
        <v/>
      </c>
      <c r="Y136" s="35">
        <f>IF(OR(H136="nein",H136="no"),1,0)</f>
        <v/>
      </c>
      <c r="Z136" s="35">
        <f>IF(OR(I136="nein",I136="no"),1,0)</f>
        <v/>
      </c>
      <c r="AA136" s="35">
        <f>(G136&lt;&gt;"")+(H136&lt;&gt;"")+(I136&lt;&gt;"")</f>
        <v/>
      </c>
      <c r="AB136" s="35">
        <f>IF(O136&lt;&gt;"",O136,IF(AA136&lt;3,"",IF(X136=1,Tage_nicht_beschaffbar,Tage_beschaffbar)))</f>
        <v/>
      </c>
      <c r="AC136" s="35">
        <f>IF(K136="","",K136*1000+W136*10+(1000-ROW())/100000)</f>
        <v/>
      </c>
    </row>
    <row r="137" ht="34" customHeight="1">
      <c r="A137" s="23">
        <f>IF(B137="","",COUNTA($B$9:B137))</f>
        <v/>
      </c>
      <c r="B137" s="24" t="n"/>
      <c r="C137" s="25" t="n"/>
      <c r="D137" s="25" t="n"/>
      <c r="E137" s="25" t="n"/>
      <c r="F137" s="26" t="n"/>
      <c r="G137" s="26" t="n"/>
      <c r="H137" s="26" t="n"/>
      <c r="I137" s="26" t="n"/>
      <c r="J137" s="23">
        <f>IF(AA137&lt;3,"",X137+Y137+Z137)</f>
        <v/>
      </c>
      <c r="K137" s="27">
        <f>IF(OR(J137="",W137=""),"",W137*J137)</f>
        <v/>
      </c>
      <c r="L137" s="28">
        <f>IF(K137="","",IF(K137&lt;=Gruen_bis,"grün",IF(K137&lt;=Gelb_bis,"gelb","rot")))</f>
        <v/>
      </c>
      <c r="M137" s="29">
        <f>IF(L137="",IF(B137="","","Bewertung unvollständig – ★-Felder ausfüllen"),IF(L137="grün","Keine aktive Maßnahme – jährlich prüfen",IF(AND(X137=1,Y137=1,Z137=1),"Sofort sichern: Restbestand / Gebrauchtteil kaufen und Ersatzlösung (Retrofit) planen",IF(AND(X137=1,Z137=1),"Reparaturweg absichern (Dienstleister, Tauschteil), Gebrauchtteil prüfen",IF(X137=1,"Abgekündigt: Lagerteil schützen, Ersatzlösung mittelfristig planen",IF(Z137=1,IF(LEFT(Q137,4)="nein","Bevorratung lohnt nicht – Lieferzeit und Reparaturweg absichern","Lagerbestand anlegen (mind. 1 Stk.)"),"Reparaturmöglichkeit klären"))))))</f>
        <v/>
      </c>
      <c r="N137" s="30" t="n"/>
      <c r="O137" s="31" t="n"/>
      <c r="P137" s="32">
        <f>IF(OR(AB137="",W137="",Z137=0),"",AB137*INDEX(Krit_Kosten,MATCH(F137,Krit_Liste,0)))</f>
        <v/>
      </c>
      <c r="Q137" s="33">
        <f>IF(L137="","",IF(L137="grün","–",IF(Z137=0,"am Lager / in stock",IF(N(N137)&lt;=0,"Stückpreis fehlt",IF(P137&gt;=Faktor_lohnt*N137,"ja – "&amp;FIXED(P137/N137,0)&amp;"-fach","nein – "&amp;FIXED(P137/N137,IF(P137/N137&lt;1,2,1))&amp;"-fach")))))</f>
        <v/>
      </c>
      <c r="R137" s="25" t="n"/>
      <c r="S137" s="34" t="n"/>
      <c r="T137" s="31" t="n"/>
      <c r="U137" s="25" t="n"/>
      <c r="V137" s="2" t="n"/>
      <c r="W137" s="35">
        <f>IFERROR(INDEX(Krit_Faktor,MATCH(F137,Krit_Liste,0)),"")</f>
        <v/>
      </c>
      <c r="X137" s="35">
        <f>IF(OR(G137="nein",G137="no"),1,0)</f>
        <v/>
      </c>
      <c r="Y137" s="35">
        <f>IF(OR(H137="nein",H137="no"),1,0)</f>
        <v/>
      </c>
      <c r="Z137" s="35">
        <f>IF(OR(I137="nein",I137="no"),1,0)</f>
        <v/>
      </c>
      <c r="AA137" s="35">
        <f>(G137&lt;&gt;"")+(H137&lt;&gt;"")+(I137&lt;&gt;"")</f>
        <v/>
      </c>
      <c r="AB137" s="35">
        <f>IF(O137&lt;&gt;"",O137,IF(AA137&lt;3,"",IF(X137=1,Tage_nicht_beschaffbar,Tage_beschaffbar)))</f>
        <v/>
      </c>
      <c r="AC137" s="35">
        <f>IF(K137="","",K137*1000+W137*10+(1000-ROW())/100000)</f>
        <v/>
      </c>
    </row>
    <row r="138" ht="34" customHeight="1">
      <c r="A138" s="23">
        <f>IF(B138="","",COUNTA($B$9:B138))</f>
        <v/>
      </c>
      <c r="B138" s="24" t="n"/>
      <c r="C138" s="25" t="n"/>
      <c r="D138" s="25" t="n"/>
      <c r="E138" s="25" t="n"/>
      <c r="F138" s="26" t="n"/>
      <c r="G138" s="26" t="n"/>
      <c r="H138" s="26" t="n"/>
      <c r="I138" s="26" t="n"/>
      <c r="J138" s="23">
        <f>IF(AA138&lt;3,"",X138+Y138+Z138)</f>
        <v/>
      </c>
      <c r="K138" s="27">
        <f>IF(OR(J138="",W138=""),"",W138*J138)</f>
        <v/>
      </c>
      <c r="L138" s="28">
        <f>IF(K138="","",IF(K138&lt;=Gruen_bis,"grün",IF(K138&lt;=Gelb_bis,"gelb","rot")))</f>
        <v/>
      </c>
      <c r="M138" s="29">
        <f>IF(L138="",IF(B138="","","Bewertung unvollständig – ★-Felder ausfüllen"),IF(L138="grün","Keine aktive Maßnahme – jährlich prüfen",IF(AND(X138=1,Y138=1,Z138=1),"Sofort sichern: Restbestand / Gebrauchtteil kaufen und Ersatzlösung (Retrofit) planen",IF(AND(X138=1,Z138=1),"Reparaturweg absichern (Dienstleister, Tauschteil), Gebrauchtteil prüfen",IF(X138=1,"Abgekündigt: Lagerteil schützen, Ersatzlösung mittelfristig planen",IF(Z138=1,IF(LEFT(Q138,4)="nein","Bevorratung lohnt nicht – Lieferzeit und Reparaturweg absichern","Lagerbestand anlegen (mind. 1 Stk.)"),"Reparaturmöglichkeit klären"))))))</f>
        <v/>
      </c>
      <c r="N138" s="30" t="n"/>
      <c r="O138" s="31" t="n"/>
      <c r="P138" s="32">
        <f>IF(OR(AB138="",W138="",Z138=0),"",AB138*INDEX(Krit_Kosten,MATCH(F138,Krit_Liste,0)))</f>
        <v/>
      </c>
      <c r="Q138" s="33">
        <f>IF(L138="","",IF(L138="grün","–",IF(Z138=0,"am Lager / in stock",IF(N(N138)&lt;=0,"Stückpreis fehlt",IF(P138&gt;=Faktor_lohnt*N138,"ja – "&amp;FIXED(P138/N138,0)&amp;"-fach","nein – "&amp;FIXED(P138/N138,IF(P138/N138&lt;1,2,1))&amp;"-fach")))))</f>
        <v/>
      </c>
      <c r="R138" s="25" t="n"/>
      <c r="S138" s="34" t="n"/>
      <c r="T138" s="31" t="n"/>
      <c r="U138" s="25" t="n"/>
      <c r="V138" s="2" t="n"/>
      <c r="W138" s="35">
        <f>IFERROR(INDEX(Krit_Faktor,MATCH(F138,Krit_Liste,0)),"")</f>
        <v/>
      </c>
      <c r="X138" s="35">
        <f>IF(OR(G138="nein",G138="no"),1,0)</f>
        <v/>
      </c>
      <c r="Y138" s="35">
        <f>IF(OR(H138="nein",H138="no"),1,0)</f>
        <v/>
      </c>
      <c r="Z138" s="35">
        <f>IF(OR(I138="nein",I138="no"),1,0)</f>
        <v/>
      </c>
      <c r="AA138" s="35">
        <f>(G138&lt;&gt;"")+(H138&lt;&gt;"")+(I138&lt;&gt;"")</f>
        <v/>
      </c>
      <c r="AB138" s="35">
        <f>IF(O138&lt;&gt;"",O138,IF(AA138&lt;3,"",IF(X138=1,Tage_nicht_beschaffbar,Tage_beschaffbar)))</f>
        <v/>
      </c>
      <c r="AC138" s="35">
        <f>IF(K138="","",K138*1000+W138*10+(1000-ROW())/100000)</f>
        <v/>
      </c>
    </row>
    <row r="139" ht="34" customHeight="1">
      <c r="A139" s="23">
        <f>IF(B139="","",COUNTA($B$9:B139))</f>
        <v/>
      </c>
      <c r="B139" s="24" t="n"/>
      <c r="C139" s="25" t="n"/>
      <c r="D139" s="25" t="n"/>
      <c r="E139" s="25" t="n"/>
      <c r="F139" s="26" t="n"/>
      <c r="G139" s="26" t="n"/>
      <c r="H139" s="26" t="n"/>
      <c r="I139" s="26" t="n"/>
      <c r="J139" s="23">
        <f>IF(AA139&lt;3,"",X139+Y139+Z139)</f>
        <v/>
      </c>
      <c r="K139" s="27">
        <f>IF(OR(J139="",W139=""),"",W139*J139)</f>
        <v/>
      </c>
      <c r="L139" s="28">
        <f>IF(K139="","",IF(K139&lt;=Gruen_bis,"grün",IF(K139&lt;=Gelb_bis,"gelb","rot")))</f>
        <v/>
      </c>
      <c r="M139" s="29">
        <f>IF(L139="",IF(B139="","","Bewertung unvollständig – ★-Felder ausfüllen"),IF(L139="grün","Keine aktive Maßnahme – jährlich prüfen",IF(AND(X139=1,Y139=1,Z139=1),"Sofort sichern: Restbestand / Gebrauchtteil kaufen und Ersatzlösung (Retrofit) planen",IF(AND(X139=1,Z139=1),"Reparaturweg absichern (Dienstleister, Tauschteil), Gebrauchtteil prüfen",IF(X139=1,"Abgekündigt: Lagerteil schützen, Ersatzlösung mittelfristig planen",IF(Z139=1,IF(LEFT(Q139,4)="nein","Bevorratung lohnt nicht – Lieferzeit und Reparaturweg absichern","Lagerbestand anlegen (mind. 1 Stk.)"),"Reparaturmöglichkeit klären"))))))</f>
        <v/>
      </c>
      <c r="N139" s="30" t="n"/>
      <c r="O139" s="31" t="n"/>
      <c r="P139" s="32">
        <f>IF(OR(AB139="",W139="",Z139=0),"",AB139*INDEX(Krit_Kosten,MATCH(F139,Krit_Liste,0)))</f>
        <v/>
      </c>
      <c r="Q139" s="33">
        <f>IF(L139="","",IF(L139="grün","–",IF(Z139=0,"am Lager / in stock",IF(N(N139)&lt;=0,"Stückpreis fehlt",IF(P139&gt;=Faktor_lohnt*N139,"ja – "&amp;FIXED(P139/N139,0)&amp;"-fach","nein – "&amp;FIXED(P139/N139,IF(P139/N139&lt;1,2,1))&amp;"-fach")))))</f>
        <v/>
      </c>
      <c r="R139" s="25" t="n"/>
      <c r="S139" s="34" t="n"/>
      <c r="T139" s="31" t="n"/>
      <c r="U139" s="25" t="n"/>
      <c r="V139" s="2" t="n"/>
      <c r="W139" s="35">
        <f>IFERROR(INDEX(Krit_Faktor,MATCH(F139,Krit_Liste,0)),"")</f>
        <v/>
      </c>
      <c r="X139" s="35">
        <f>IF(OR(G139="nein",G139="no"),1,0)</f>
        <v/>
      </c>
      <c r="Y139" s="35">
        <f>IF(OR(H139="nein",H139="no"),1,0)</f>
        <v/>
      </c>
      <c r="Z139" s="35">
        <f>IF(OR(I139="nein",I139="no"),1,0)</f>
        <v/>
      </c>
      <c r="AA139" s="35">
        <f>(G139&lt;&gt;"")+(H139&lt;&gt;"")+(I139&lt;&gt;"")</f>
        <v/>
      </c>
      <c r="AB139" s="35">
        <f>IF(O139&lt;&gt;"",O139,IF(AA139&lt;3,"",IF(X139=1,Tage_nicht_beschaffbar,Tage_beschaffbar)))</f>
        <v/>
      </c>
      <c r="AC139" s="35">
        <f>IF(K139="","",K139*1000+W139*10+(1000-ROW())/100000)</f>
        <v/>
      </c>
    </row>
    <row r="140" ht="34" customHeight="1">
      <c r="A140" s="23">
        <f>IF(B140="","",COUNTA($B$9:B140))</f>
        <v/>
      </c>
      <c r="B140" s="24" t="n"/>
      <c r="C140" s="25" t="n"/>
      <c r="D140" s="25" t="n"/>
      <c r="E140" s="25" t="n"/>
      <c r="F140" s="26" t="n"/>
      <c r="G140" s="26" t="n"/>
      <c r="H140" s="26" t="n"/>
      <c r="I140" s="26" t="n"/>
      <c r="J140" s="23">
        <f>IF(AA140&lt;3,"",X140+Y140+Z140)</f>
        <v/>
      </c>
      <c r="K140" s="27">
        <f>IF(OR(J140="",W140=""),"",W140*J140)</f>
        <v/>
      </c>
      <c r="L140" s="28">
        <f>IF(K140="","",IF(K140&lt;=Gruen_bis,"grün",IF(K140&lt;=Gelb_bis,"gelb","rot")))</f>
        <v/>
      </c>
      <c r="M140" s="29">
        <f>IF(L140="",IF(B140="","","Bewertung unvollständig – ★-Felder ausfüllen"),IF(L140="grün","Keine aktive Maßnahme – jährlich prüfen",IF(AND(X140=1,Y140=1,Z140=1),"Sofort sichern: Restbestand / Gebrauchtteil kaufen und Ersatzlösung (Retrofit) planen",IF(AND(X140=1,Z140=1),"Reparaturweg absichern (Dienstleister, Tauschteil), Gebrauchtteil prüfen",IF(X140=1,"Abgekündigt: Lagerteil schützen, Ersatzlösung mittelfristig planen",IF(Z140=1,IF(LEFT(Q140,4)="nein","Bevorratung lohnt nicht – Lieferzeit und Reparaturweg absichern","Lagerbestand anlegen (mind. 1 Stk.)"),"Reparaturmöglichkeit klären"))))))</f>
        <v/>
      </c>
      <c r="N140" s="30" t="n"/>
      <c r="O140" s="31" t="n"/>
      <c r="P140" s="32">
        <f>IF(OR(AB140="",W140="",Z140=0),"",AB140*INDEX(Krit_Kosten,MATCH(F140,Krit_Liste,0)))</f>
        <v/>
      </c>
      <c r="Q140" s="33">
        <f>IF(L140="","",IF(L140="grün","–",IF(Z140=0,"am Lager / in stock",IF(N(N140)&lt;=0,"Stückpreis fehlt",IF(P140&gt;=Faktor_lohnt*N140,"ja – "&amp;FIXED(P140/N140,0)&amp;"-fach","nein – "&amp;FIXED(P140/N140,IF(P140/N140&lt;1,2,1))&amp;"-fach")))))</f>
        <v/>
      </c>
      <c r="R140" s="25" t="n"/>
      <c r="S140" s="34" t="n"/>
      <c r="T140" s="31" t="n"/>
      <c r="U140" s="25" t="n"/>
      <c r="V140" s="2" t="n"/>
      <c r="W140" s="35">
        <f>IFERROR(INDEX(Krit_Faktor,MATCH(F140,Krit_Liste,0)),"")</f>
        <v/>
      </c>
      <c r="X140" s="35">
        <f>IF(OR(G140="nein",G140="no"),1,0)</f>
        <v/>
      </c>
      <c r="Y140" s="35">
        <f>IF(OR(H140="nein",H140="no"),1,0)</f>
        <v/>
      </c>
      <c r="Z140" s="35">
        <f>IF(OR(I140="nein",I140="no"),1,0)</f>
        <v/>
      </c>
      <c r="AA140" s="35">
        <f>(G140&lt;&gt;"")+(H140&lt;&gt;"")+(I140&lt;&gt;"")</f>
        <v/>
      </c>
      <c r="AB140" s="35">
        <f>IF(O140&lt;&gt;"",O140,IF(AA140&lt;3,"",IF(X140=1,Tage_nicht_beschaffbar,Tage_beschaffbar)))</f>
        <v/>
      </c>
      <c r="AC140" s="35">
        <f>IF(K140="","",K140*1000+W140*10+(1000-ROW())/100000)</f>
        <v/>
      </c>
    </row>
    <row r="141" ht="34" customHeight="1">
      <c r="A141" s="23">
        <f>IF(B141="","",COUNTA($B$9:B141))</f>
        <v/>
      </c>
      <c r="B141" s="24" t="n"/>
      <c r="C141" s="25" t="n"/>
      <c r="D141" s="25" t="n"/>
      <c r="E141" s="25" t="n"/>
      <c r="F141" s="26" t="n"/>
      <c r="G141" s="26" t="n"/>
      <c r="H141" s="26" t="n"/>
      <c r="I141" s="26" t="n"/>
      <c r="J141" s="23">
        <f>IF(AA141&lt;3,"",X141+Y141+Z141)</f>
        <v/>
      </c>
      <c r="K141" s="27">
        <f>IF(OR(J141="",W141=""),"",W141*J141)</f>
        <v/>
      </c>
      <c r="L141" s="28">
        <f>IF(K141="","",IF(K141&lt;=Gruen_bis,"grün",IF(K141&lt;=Gelb_bis,"gelb","rot")))</f>
        <v/>
      </c>
      <c r="M141" s="29">
        <f>IF(L141="",IF(B141="","","Bewertung unvollständig – ★-Felder ausfüllen"),IF(L141="grün","Keine aktive Maßnahme – jährlich prüfen",IF(AND(X141=1,Y141=1,Z141=1),"Sofort sichern: Restbestand / Gebrauchtteil kaufen und Ersatzlösung (Retrofit) planen",IF(AND(X141=1,Z141=1),"Reparaturweg absichern (Dienstleister, Tauschteil), Gebrauchtteil prüfen",IF(X141=1,"Abgekündigt: Lagerteil schützen, Ersatzlösung mittelfristig planen",IF(Z141=1,IF(LEFT(Q141,4)="nein","Bevorratung lohnt nicht – Lieferzeit und Reparaturweg absichern","Lagerbestand anlegen (mind. 1 Stk.)"),"Reparaturmöglichkeit klären"))))))</f>
        <v/>
      </c>
      <c r="N141" s="30" t="n"/>
      <c r="O141" s="31" t="n"/>
      <c r="P141" s="32">
        <f>IF(OR(AB141="",W141="",Z141=0),"",AB141*INDEX(Krit_Kosten,MATCH(F141,Krit_Liste,0)))</f>
        <v/>
      </c>
      <c r="Q141" s="33">
        <f>IF(L141="","",IF(L141="grün","–",IF(Z141=0,"am Lager / in stock",IF(N(N141)&lt;=0,"Stückpreis fehlt",IF(P141&gt;=Faktor_lohnt*N141,"ja – "&amp;FIXED(P141/N141,0)&amp;"-fach","nein – "&amp;FIXED(P141/N141,IF(P141/N141&lt;1,2,1))&amp;"-fach")))))</f>
        <v/>
      </c>
      <c r="R141" s="25" t="n"/>
      <c r="S141" s="34" t="n"/>
      <c r="T141" s="31" t="n"/>
      <c r="U141" s="25" t="n"/>
      <c r="V141" s="2" t="n"/>
      <c r="W141" s="35">
        <f>IFERROR(INDEX(Krit_Faktor,MATCH(F141,Krit_Liste,0)),"")</f>
        <v/>
      </c>
      <c r="X141" s="35">
        <f>IF(OR(G141="nein",G141="no"),1,0)</f>
        <v/>
      </c>
      <c r="Y141" s="35">
        <f>IF(OR(H141="nein",H141="no"),1,0)</f>
        <v/>
      </c>
      <c r="Z141" s="35">
        <f>IF(OR(I141="nein",I141="no"),1,0)</f>
        <v/>
      </c>
      <c r="AA141" s="35">
        <f>(G141&lt;&gt;"")+(H141&lt;&gt;"")+(I141&lt;&gt;"")</f>
        <v/>
      </c>
      <c r="AB141" s="35">
        <f>IF(O141&lt;&gt;"",O141,IF(AA141&lt;3,"",IF(X141=1,Tage_nicht_beschaffbar,Tage_beschaffbar)))</f>
        <v/>
      </c>
      <c r="AC141" s="35">
        <f>IF(K141="","",K141*1000+W141*10+(1000-ROW())/100000)</f>
        <v/>
      </c>
    </row>
    <row r="142" ht="34" customHeight="1">
      <c r="A142" s="23">
        <f>IF(B142="","",COUNTA($B$9:B142))</f>
        <v/>
      </c>
      <c r="B142" s="24" t="n"/>
      <c r="C142" s="25" t="n"/>
      <c r="D142" s="25" t="n"/>
      <c r="E142" s="25" t="n"/>
      <c r="F142" s="26" t="n"/>
      <c r="G142" s="26" t="n"/>
      <c r="H142" s="26" t="n"/>
      <c r="I142" s="26" t="n"/>
      <c r="J142" s="23">
        <f>IF(AA142&lt;3,"",X142+Y142+Z142)</f>
        <v/>
      </c>
      <c r="K142" s="27">
        <f>IF(OR(J142="",W142=""),"",W142*J142)</f>
        <v/>
      </c>
      <c r="L142" s="28">
        <f>IF(K142="","",IF(K142&lt;=Gruen_bis,"grün",IF(K142&lt;=Gelb_bis,"gelb","rot")))</f>
        <v/>
      </c>
      <c r="M142" s="29">
        <f>IF(L142="",IF(B142="","","Bewertung unvollständig – ★-Felder ausfüllen"),IF(L142="grün","Keine aktive Maßnahme – jährlich prüfen",IF(AND(X142=1,Y142=1,Z142=1),"Sofort sichern: Restbestand / Gebrauchtteil kaufen und Ersatzlösung (Retrofit) planen",IF(AND(X142=1,Z142=1),"Reparaturweg absichern (Dienstleister, Tauschteil), Gebrauchtteil prüfen",IF(X142=1,"Abgekündigt: Lagerteil schützen, Ersatzlösung mittelfristig planen",IF(Z142=1,IF(LEFT(Q142,4)="nein","Bevorratung lohnt nicht – Lieferzeit und Reparaturweg absichern","Lagerbestand anlegen (mind. 1 Stk.)"),"Reparaturmöglichkeit klären"))))))</f>
        <v/>
      </c>
      <c r="N142" s="30" t="n"/>
      <c r="O142" s="31" t="n"/>
      <c r="P142" s="32">
        <f>IF(OR(AB142="",W142="",Z142=0),"",AB142*INDEX(Krit_Kosten,MATCH(F142,Krit_Liste,0)))</f>
        <v/>
      </c>
      <c r="Q142" s="33">
        <f>IF(L142="","",IF(L142="grün","–",IF(Z142=0,"am Lager / in stock",IF(N(N142)&lt;=0,"Stückpreis fehlt",IF(P142&gt;=Faktor_lohnt*N142,"ja – "&amp;FIXED(P142/N142,0)&amp;"-fach","nein – "&amp;FIXED(P142/N142,IF(P142/N142&lt;1,2,1))&amp;"-fach")))))</f>
        <v/>
      </c>
      <c r="R142" s="25" t="n"/>
      <c r="S142" s="34" t="n"/>
      <c r="T142" s="31" t="n"/>
      <c r="U142" s="25" t="n"/>
      <c r="V142" s="2" t="n"/>
      <c r="W142" s="35">
        <f>IFERROR(INDEX(Krit_Faktor,MATCH(F142,Krit_Liste,0)),"")</f>
        <v/>
      </c>
      <c r="X142" s="35">
        <f>IF(OR(G142="nein",G142="no"),1,0)</f>
        <v/>
      </c>
      <c r="Y142" s="35">
        <f>IF(OR(H142="nein",H142="no"),1,0)</f>
        <v/>
      </c>
      <c r="Z142" s="35">
        <f>IF(OR(I142="nein",I142="no"),1,0)</f>
        <v/>
      </c>
      <c r="AA142" s="35">
        <f>(G142&lt;&gt;"")+(H142&lt;&gt;"")+(I142&lt;&gt;"")</f>
        <v/>
      </c>
      <c r="AB142" s="35">
        <f>IF(O142&lt;&gt;"",O142,IF(AA142&lt;3,"",IF(X142=1,Tage_nicht_beschaffbar,Tage_beschaffbar)))</f>
        <v/>
      </c>
      <c r="AC142" s="35">
        <f>IF(K142="","",K142*1000+W142*10+(1000-ROW())/100000)</f>
        <v/>
      </c>
    </row>
    <row r="143" ht="34" customHeight="1">
      <c r="A143" s="23">
        <f>IF(B143="","",COUNTA($B$9:B143))</f>
        <v/>
      </c>
      <c r="B143" s="24" t="n"/>
      <c r="C143" s="25" t="n"/>
      <c r="D143" s="25" t="n"/>
      <c r="E143" s="25" t="n"/>
      <c r="F143" s="26" t="n"/>
      <c r="G143" s="26" t="n"/>
      <c r="H143" s="26" t="n"/>
      <c r="I143" s="26" t="n"/>
      <c r="J143" s="23">
        <f>IF(AA143&lt;3,"",X143+Y143+Z143)</f>
        <v/>
      </c>
      <c r="K143" s="27">
        <f>IF(OR(J143="",W143=""),"",W143*J143)</f>
        <v/>
      </c>
      <c r="L143" s="28">
        <f>IF(K143="","",IF(K143&lt;=Gruen_bis,"grün",IF(K143&lt;=Gelb_bis,"gelb","rot")))</f>
        <v/>
      </c>
      <c r="M143" s="29">
        <f>IF(L143="",IF(B143="","","Bewertung unvollständig – ★-Felder ausfüllen"),IF(L143="grün","Keine aktive Maßnahme – jährlich prüfen",IF(AND(X143=1,Y143=1,Z143=1),"Sofort sichern: Restbestand / Gebrauchtteil kaufen und Ersatzlösung (Retrofit) planen",IF(AND(X143=1,Z143=1),"Reparaturweg absichern (Dienstleister, Tauschteil), Gebrauchtteil prüfen",IF(X143=1,"Abgekündigt: Lagerteil schützen, Ersatzlösung mittelfristig planen",IF(Z143=1,IF(LEFT(Q143,4)="nein","Bevorratung lohnt nicht – Lieferzeit und Reparaturweg absichern","Lagerbestand anlegen (mind. 1 Stk.)"),"Reparaturmöglichkeit klären"))))))</f>
        <v/>
      </c>
      <c r="N143" s="30" t="n"/>
      <c r="O143" s="31" t="n"/>
      <c r="P143" s="32">
        <f>IF(OR(AB143="",W143="",Z143=0),"",AB143*INDEX(Krit_Kosten,MATCH(F143,Krit_Liste,0)))</f>
        <v/>
      </c>
      <c r="Q143" s="33">
        <f>IF(L143="","",IF(L143="grün","–",IF(Z143=0,"am Lager / in stock",IF(N(N143)&lt;=0,"Stückpreis fehlt",IF(P143&gt;=Faktor_lohnt*N143,"ja – "&amp;FIXED(P143/N143,0)&amp;"-fach","nein – "&amp;FIXED(P143/N143,IF(P143/N143&lt;1,2,1))&amp;"-fach")))))</f>
        <v/>
      </c>
      <c r="R143" s="25" t="n"/>
      <c r="S143" s="34" t="n"/>
      <c r="T143" s="31" t="n"/>
      <c r="U143" s="25" t="n"/>
      <c r="V143" s="2" t="n"/>
      <c r="W143" s="35">
        <f>IFERROR(INDEX(Krit_Faktor,MATCH(F143,Krit_Liste,0)),"")</f>
        <v/>
      </c>
      <c r="X143" s="35">
        <f>IF(OR(G143="nein",G143="no"),1,0)</f>
        <v/>
      </c>
      <c r="Y143" s="35">
        <f>IF(OR(H143="nein",H143="no"),1,0)</f>
        <v/>
      </c>
      <c r="Z143" s="35">
        <f>IF(OR(I143="nein",I143="no"),1,0)</f>
        <v/>
      </c>
      <c r="AA143" s="35">
        <f>(G143&lt;&gt;"")+(H143&lt;&gt;"")+(I143&lt;&gt;"")</f>
        <v/>
      </c>
      <c r="AB143" s="35">
        <f>IF(O143&lt;&gt;"",O143,IF(AA143&lt;3,"",IF(X143=1,Tage_nicht_beschaffbar,Tage_beschaffbar)))</f>
        <v/>
      </c>
      <c r="AC143" s="35">
        <f>IF(K143="","",K143*1000+W143*10+(1000-ROW())/100000)</f>
        <v/>
      </c>
    </row>
    <row r="144" ht="34" customHeight="1">
      <c r="A144" s="23">
        <f>IF(B144="","",COUNTA($B$9:B144))</f>
        <v/>
      </c>
      <c r="B144" s="24" t="n"/>
      <c r="C144" s="25" t="n"/>
      <c r="D144" s="25" t="n"/>
      <c r="E144" s="25" t="n"/>
      <c r="F144" s="26" t="n"/>
      <c r="G144" s="26" t="n"/>
      <c r="H144" s="26" t="n"/>
      <c r="I144" s="26" t="n"/>
      <c r="J144" s="23">
        <f>IF(AA144&lt;3,"",X144+Y144+Z144)</f>
        <v/>
      </c>
      <c r="K144" s="27">
        <f>IF(OR(J144="",W144=""),"",W144*J144)</f>
        <v/>
      </c>
      <c r="L144" s="28">
        <f>IF(K144="","",IF(K144&lt;=Gruen_bis,"grün",IF(K144&lt;=Gelb_bis,"gelb","rot")))</f>
        <v/>
      </c>
      <c r="M144" s="29">
        <f>IF(L144="",IF(B144="","","Bewertung unvollständig – ★-Felder ausfüllen"),IF(L144="grün","Keine aktive Maßnahme – jährlich prüfen",IF(AND(X144=1,Y144=1,Z144=1),"Sofort sichern: Restbestand / Gebrauchtteil kaufen und Ersatzlösung (Retrofit) planen",IF(AND(X144=1,Z144=1),"Reparaturweg absichern (Dienstleister, Tauschteil), Gebrauchtteil prüfen",IF(X144=1,"Abgekündigt: Lagerteil schützen, Ersatzlösung mittelfristig planen",IF(Z144=1,IF(LEFT(Q144,4)="nein","Bevorratung lohnt nicht – Lieferzeit und Reparaturweg absichern","Lagerbestand anlegen (mind. 1 Stk.)"),"Reparaturmöglichkeit klären"))))))</f>
        <v/>
      </c>
      <c r="N144" s="30" t="n"/>
      <c r="O144" s="31" t="n"/>
      <c r="P144" s="32">
        <f>IF(OR(AB144="",W144="",Z144=0),"",AB144*INDEX(Krit_Kosten,MATCH(F144,Krit_Liste,0)))</f>
        <v/>
      </c>
      <c r="Q144" s="33">
        <f>IF(L144="","",IF(L144="grün","–",IF(Z144=0,"am Lager / in stock",IF(N(N144)&lt;=0,"Stückpreis fehlt",IF(P144&gt;=Faktor_lohnt*N144,"ja – "&amp;FIXED(P144/N144,0)&amp;"-fach","nein – "&amp;FIXED(P144/N144,IF(P144/N144&lt;1,2,1))&amp;"-fach")))))</f>
        <v/>
      </c>
      <c r="R144" s="25" t="n"/>
      <c r="S144" s="34" t="n"/>
      <c r="T144" s="31" t="n"/>
      <c r="U144" s="25" t="n"/>
      <c r="V144" s="2" t="n"/>
      <c r="W144" s="35">
        <f>IFERROR(INDEX(Krit_Faktor,MATCH(F144,Krit_Liste,0)),"")</f>
        <v/>
      </c>
      <c r="X144" s="35">
        <f>IF(OR(G144="nein",G144="no"),1,0)</f>
        <v/>
      </c>
      <c r="Y144" s="35">
        <f>IF(OR(H144="nein",H144="no"),1,0)</f>
        <v/>
      </c>
      <c r="Z144" s="35">
        <f>IF(OR(I144="nein",I144="no"),1,0)</f>
        <v/>
      </c>
      <c r="AA144" s="35">
        <f>(G144&lt;&gt;"")+(H144&lt;&gt;"")+(I144&lt;&gt;"")</f>
        <v/>
      </c>
      <c r="AB144" s="35">
        <f>IF(O144&lt;&gt;"",O144,IF(AA144&lt;3,"",IF(X144=1,Tage_nicht_beschaffbar,Tage_beschaffbar)))</f>
        <v/>
      </c>
      <c r="AC144" s="35">
        <f>IF(K144="","",K144*1000+W144*10+(1000-ROW())/100000)</f>
        <v/>
      </c>
    </row>
    <row r="145" ht="34" customHeight="1">
      <c r="A145" s="23">
        <f>IF(B145="","",COUNTA($B$9:B145))</f>
        <v/>
      </c>
      <c r="B145" s="24" t="n"/>
      <c r="C145" s="25" t="n"/>
      <c r="D145" s="25" t="n"/>
      <c r="E145" s="25" t="n"/>
      <c r="F145" s="26" t="n"/>
      <c r="G145" s="26" t="n"/>
      <c r="H145" s="26" t="n"/>
      <c r="I145" s="26" t="n"/>
      <c r="J145" s="23">
        <f>IF(AA145&lt;3,"",X145+Y145+Z145)</f>
        <v/>
      </c>
      <c r="K145" s="27">
        <f>IF(OR(J145="",W145=""),"",W145*J145)</f>
        <v/>
      </c>
      <c r="L145" s="28">
        <f>IF(K145="","",IF(K145&lt;=Gruen_bis,"grün",IF(K145&lt;=Gelb_bis,"gelb","rot")))</f>
        <v/>
      </c>
      <c r="M145" s="29">
        <f>IF(L145="",IF(B145="","","Bewertung unvollständig – ★-Felder ausfüllen"),IF(L145="grün","Keine aktive Maßnahme – jährlich prüfen",IF(AND(X145=1,Y145=1,Z145=1),"Sofort sichern: Restbestand / Gebrauchtteil kaufen und Ersatzlösung (Retrofit) planen",IF(AND(X145=1,Z145=1),"Reparaturweg absichern (Dienstleister, Tauschteil), Gebrauchtteil prüfen",IF(X145=1,"Abgekündigt: Lagerteil schützen, Ersatzlösung mittelfristig planen",IF(Z145=1,IF(LEFT(Q145,4)="nein","Bevorratung lohnt nicht – Lieferzeit und Reparaturweg absichern","Lagerbestand anlegen (mind. 1 Stk.)"),"Reparaturmöglichkeit klären"))))))</f>
        <v/>
      </c>
      <c r="N145" s="30" t="n"/>
      <c r="O145" s="31" t="n"/>
      <c r="P145" s="32">
        <f>IF(OR(AB145="",W145="",Z145=0),"",AB145*INDEX(Krit_Kosten,MATCH(F145,Krit_Liste,0)))</f>
        <v/>
      </c>
      <c r="Q145" s="33">
        <f>IF(L145="","",IF(L145="grün","–",IF(Z145=0,"am Lager / in stock",IF(N(N145)&lt;=0,"Stückpreis fehlt",IF(P145&gt;=Faktor_lohnt*N145,"ja – "&amp;FIXED(P145/N145,0)&amp;"-fach","nein – "&amp;FIXED(P145/N145,IF(P145/N145&lt;1,2,1))&amp;"-fach")))))</f>
        <v/>
      </c>
      <c r="R145" s="25" t="n"/>
      <c r="S145" s="34" t="n"/>
      <c r="T145" s="31" t="n"/>
      <c r="U145" s="25" t="n"/>
      <c r="V145" s="2" t="n"/>
      <c r="W145" s="35">
        <f>IFERROR(INDEX(Krit_Faktor,MATCH(F145,Krit_Liste,0)),"")</f>
        <v/>
      </c>
      <c r="X145" s="35">
        <f>IF(OR(G145="nein",G145="no"),1,0)</f>
        <v/>
      </c>
      <c r="Y145" s="35">
        <f>IF(OR(H145="nein",H145="no"),1,0)</f>
        <v/>
      </c>
      <c r="Z145" s="35">
        <f>IF(OR(I145="nein",I145="no"),1,0)</f>
        <v/>
      </c>
      <c r="AA145" s="35">
        <f>(G145&lt;&gt;"")+(H145&lt;&gt;"")+(I145&lt;&gt;"")</f>
        <v/>
      </c>
      <c r="AB145" s="35">
        <f>IF(O145&lt;&gt;"",O145,IF(AA145&lt;3,"",IF(X145=1,Tage_nicht_beschaffbar,Tage_beschaffbar)))</f>
        <v/>
      </c>
      <c r="AC145" s="35">
        <f>IF(K145="","",K145*1000+W145*10+(1000-ROW())/100000)</f>
        <v/>
      </c>
    </row>
    <row r="146" ht="34" customHeight="1">
      <c r="A146" s="23">
        <f>IF(B146="","",COUNTA($B$9:B146))</f>
        <v/>
      </c>
      <c r="B146" s="24" t="n"/>
      <c r="C146" s="25" t="n"/>
      <c r="D146" s="25" t="n"/>
      <c r="E146" s="25" t="n"/>
      <c r="F146" s="26" t="n"/>
      <c r="G146" s="26" t="n"/>
      <c r="H146" s="26" t="n"/>
      <c r="I146" s="26" t="n"/>
      <c r="J146" s="23">
        <f>IF(AA146&lt;3,"",X146+Y146+Z146)</f>
        <v/>
      </c>
      <c r="K146" s="27">
        <f>IF(OR(J146="",W146=""),"",W146*J146)</f>
        <v/>
      </c>
      <c r="L146" s="28">
        <f>IF(K146="","",IF(K146&lt;=Gruen_bis,"grün",IF(K146&lt;=Gelb_bis,"gelb","rot")))</f>
        <v/>
      </c>
      <c r="M146" s="29">
        <f>IF(L146="",IF(B146="","","Bewertung unvollständig – ★-Felder ausfüllen"),IF(L146="grün","Keine aktive Maßnahme – jährlich prüfen",IF(AND(X146=1,Y146=1,Z146=1),"Sofort sichern: Restbestand / Gebrauchtteil kaufen und Ersatzlösung (Retrofit) planen",IF(AND(X146=1,Z146=1),"Reparaturweg absichern (Dienstleister, Tauschteil), Gebrauchtteil prüfen",IF(X146=1,"Abgekündigt: Lagerteil schützen, Ersatzlösung mittelfristig planen",IF(Z146=1,IF(LEFT(Q146,4)="nein","Bevorratung lohnt nicht – Lieferzeit und Reparaturweg absichern","Lagerbestand anlegen (mind. 1 Stk.)"),"Reparaturmöglichkeit klären"))))))</f>
        <v/>
      </c>
      <c r="N146" s="30" t="n"/>
      <c r="O146" s="31" t="n"/>
      <c r="P146" s="32">
        <f>IF(OR(AB146="",W146="",Z146=0),"",AB146*INDEX(Krit_Kosten,MATCH(F146,Krit_Liste,0)))</f>
        <v/>
      </c>
      <c r="Q146" s="33">
        <f>IF(L146="","",IF(L146="grün","–",IF(Z146=0,"am Lager / in stock",IF(N(N146)&lt;=0,"Stückpreis fehlt",IF(P146&gt;=Faktor_lohnt*N146,"ja – "&amp;FIXED(P146/N146,0)&amp;"-fach","nein – "&amp;FIXED(P146/N146,IF(P146/N146&lt;1,2,1))&amp;"-fach")))))</f>
        <v/>
      </c>
      <c r="R146" s="25" t="n"/>
      <c r="S146" s="34" t="n"/>
      <c r="T146" s="31" t="n"/>
      <c r="U146" s="25" t="n"/>
      <c r="V146" s="2" t="n"/>
      <c r="W146" s="35">
        <f>IFERROR(INDEX(Krit_Faktor,MATCH(F146,Krit_Liste,0)),"")</f>
        <v/>
      </c>
      <c r="X146" s="35">
        <f>IF(OR(G146="nein",G146="no"),1,0)</f>
        <v/>
      </c>
      <c r="Y146" s="35">
        <f>IF(OR(H146="nein",H146="no"),1,0)</f>
        <v/>
      </c>
      <c r="Z146" s="35">
        <f>IF(OR(I146="nein",I146="no"),1,0)</f>
        <v/>
      </c>
      <c r="AA146" s="35">
        <f>(G146&lt;&gt;"")+(H146&lt;&gt;"")+(I146&lt;&gt;"")</f>
        <v/>
      </c>
      <c r="AB146" s="35">
        <f>IF(O146&lt;&gt;"",O146,IF(AA146&lt;3,"",IF(X146=1,Tage_nicht_beschaffbar,Tage_beschaffbar)))</f>
        <v/>
      </c>
      <c r="AC146" s="35">
        <f>IF(K146="","",K146*1000+W146*10+(1000-ROW())/100000)</f>
        <v/>
      </c>
    </row>
    <row r="147" ht="34" customHeight="1">
      <c r="A147" s="23">
        <f>IF(B147="","",COUNTA($B$9:B147))</f>
        <v/>
      </c>
      <c r="B147" s="24" t="n"/>
      <c r="C147" s="25" t="n"/>
      <c r="D147" s="25" t="n"/>
      <c r="E147" s="25" t="n"/>
      <c r="F147" s="26" t="n"/>
      <c r="G147" s="26" t="n"/>
      <c r="H147" s="26" t="n"/>
      <c r="I147" s="26" t="n"/>
      <c r="J147" s="23">
        <f>IF(AA147&lt;3,"",X147+Y147+Z147)</f>
        <v/>
      </c>
      <c r="K147" s="27">
        <f>IF(OR(J147="",W147=""),"",W147*J147)</f>
        <v/>
      </c>
      <c r="L147" s="28">
        <f>IF(K147="","",IF(K147&lt;=Gruen_bis,"grün",IF(K147&lt;=Gelb_bis,"gelb","rot")))</f>
        <v/>
      </c>
      <c r="M147" s="29">
        <f>IF(L147="",IF(B147="","","Bewertung unvollständig – ★-Felder ausfüllen"),IF(L147="grün","Keine aktive Maßnahme – jährlich prüfen",IF(AND(X147=1,Y147=1,Z147=1),"Sofort sichern: Restbestand / Gebrauchtteil kaufen und Ersatzlösung (Retrofit) planen",IF(AND(X147=1,Z147=1),"Reparaturweg absichern (Dienstleister, Tauschteil), Gebrauchtteil prüfen",IF(X147=1,"Abgekündigt: Lagerteil schützen, Ersatzlösung mittelfristig planen",IF(Z147=1,IF(LEFT(Q147,4)="nein","Bevorratung lohnt nicht – Lieferzeit und Reparaturweg absichern","Lagerbestand anlegen (mind. 1 Stk.)"),"Reparaturmöglichkeit klären"))))))</f>
        <v/>
      </c>
      <c r="N147" s="30" t="n"/>
      <c r="O147" s="31" t="n"/>
      <c r="P147" s="32">
        <f>IF(OR(AB147="",W147="",Z147=0),"",AB147*INDEX(Krit_Kosten,MATCH(F147,Krit_Liste,0)))</f>
        <v/>
      </c>
      <c r="Q147" s="33">
        <f>IF(L147="","",IF(L147="grün","–",IF(Z147=0,"am Lager / in stock",IF(N(N147)&lt;=0,"Stückpreis fehlt",IF(P147&gt;=Faktor_lohnt*N147,"ja – "&amp;FIXED(P147/N147,0)&amp;"-fach","nein – "&amp;FIXED(P147/N147,IF(P147/N147&lt;1,2,1))&amp;"-fach")))))</f>
        <v/>
      </c>
      <c r="R147" s="25" t="n"/>
      <c r="S147" s="34" t="n"/>
      <c r="T147" s="31" t="n"/>
      <c r="U147" s="25" t="n"/>
      <c r="V147" s="2" t="n"/>
      <c r="W147" s="35">
        <f>IFERROR(INDEX(Krit_Faktor,MATCH(F147,Krit_Liste,0)),"")</f>
        <v/>
      </c>
      <c r="X147" s="35">
        <f>IF(OR(G147="nein",G147="no"),1,0)</f>
        <v/>
      </c>
      <c r="Y147" s="35">
        <f>IF(OR(H147="nein",H147="no"),1,0)</f>
        <v/>
      </c>
      <c r="Z147" s="35">
        <f>IF(OR(I147="nein",I147="no"),1,0)</f>
        <v/>
      </c>
      <c r="AA147" s="35">
        <f>(G147&lt;&gt;"")+(H147&lt;&gt;"")+(I147&lt;&gt;"")</f>
        <v/>
      </c>
      <c r="AB147" s="35">
        <f>IF(O147&lt;&gt;"",O147,IF(AA147&lt;3,"",IF(X147=1,Tage_nicht_beschaffbar,Tage_beschaffbar)))</f>
        <v/>
      </c>
      <c r="AC147" s="35">
        <f>IF(K147="","",K147*1000+W147*10+(1000-ROW())/100000)</f>
        <v/>
      </c>
    </row>
    <row r="148" ht="34" customHeight="1">
      <c r="A148" s="23">
        <f>IF(B148="","",COUNTA($B$9:B148))</f>
        <v/>
      </c>
      <c r="B148" s="24" t="n"/>
      <c r="C148" s="25" t="n"/>
      <c r="D148" s="25" t="n"/>
      <c r="E148" s="25" t="n"/>
      <c r="F148" s="26" t="n"/>
      <c r="G148" s="26" t="n"/>
      <c r="H148" s="26" t="n"/>
      <c r="I148" s="26" t="n"/>
      <c r="J148" s="23">
        <f>IF(AA148&lt;3,"",X148+Y148+Z148)</f>
        <v/>
      </c>
      <c r="K148" s="27">
        <f>IF(OR(J148="",W148=""),"",W148*J148)</f>
        <v/>
      </c>
      <c r="L148" s="28">
        <f>IF(K148="","",IF(K148&lt;=Gruen_bis,"grün",IF(K148&lt;=Gelb_bis,"gelb","rot")))</f>
        <v/>
      </c>
      <c r="M148" s="29">
        <f>IF(L148="",IF(B148="","","Bewertung unvollständig – ★-Felder ausfüllen"),IF(L148="grün","Keine aktive Maßnahme – jährlich prüfen",IF(AND(X148=1,Y148=1,Z148=1),"Sofort sichern: Restbestand / Gebrauchtteil kaufen und Ersatzlösung (Retrofit) planen",IF(AND(X148=1,Z148=1),"Reparaturweg absichern (Dienstleister, Tauschteil), Gebrauchtteil prüfen",IF(X148=1,"Abgekündigt: Lagerteil schützen, Ersatzlösung mittelfristig planen",IF(Z148=1,IF(LEFT(Q148,4)="nein","Bevorratung lohnt nicht – Lieferzeit und Reparaturweg absichern","Lagerbestand anlegen (mind. 1 Stk.)"),"Reparaturmöglichkeit klären"))))))</f>
        <v/>
      </c>
      <c r="N148" s="30" t="n"/>
      <c r="O148" s="31" t="n"/>
      <c r="P148" s="32">
        <f>IF(OR(AB148="",W148="",Z148=0),"",AB148*INDEX(Krit_Kosten,MATCH(F148,Krit_Liste,0)))</f>
        <v/>
      </c>
      <c r="Q148" s="33">
        <f>IF(L148="","",IF(L148="grün","–",IF(Z148=0,"am Lager / in stock",IF(N(N148)&lt;=0,"Stückpreis fehlt",IF(P148&gt;=Faktor_lohnt*N148,"ja – "&amp;FIXED(P148/N148,0)&amp;"-fach","nein – "&amp;FIXED(P148/N148,IF(P148/N148&lt;1,2,1))&amp;"-fach")))))</f>
        <v/>
      </c>
      <c r="R148" s="25" t="n"/>
      <c r="S148" s="34" t="n"/>
      <c r="T148" s="31" t="n"/>
      <c r="U148" s="25" t="n"/>
      <c r="V148" s="2" t="n"/>
      <c r="W148" s="35">
        <f>IFERROR(INDEX(Krit_Faktor,MATCH(F148,Krit_Liste,0)),"")</f>
        <v/>
      </c>
      <c r="X148" s="35">
        <f>IF(OR(G148="nein",G148="no"),1,0)</f>
        <v/>
      </c>
      <c r="Y148" s="35">
        <f>IF(OR(H148="nein",H148="no"),1,0)</f>
        <v/>
      </c>
      <c r="Z148" s="35">
        <f>IF(OR(I148="nein",I148="no"),1,0)</f>
        <v/>
      </c>
      <c r="AA148" s="35">
        <f>(G148&lt;&gt;"")+(H148&lt;&gt;"")+(I148&lt;&gt;"")</f>
        <v/>
      </c>
      <c r="AB148" s="35">
        <f>IF(O148&lt;&gt;"",O148,IF(AA148&lt;3,"",IF(X148=1,Tage_nicht_beschaffbar,Tage_beschaffbar)))</f>
        <v/>
      </c>
      <c r="AC148" s="35">
        <f>IF(K148="","",K148*1000+W148*10+(1000-ROW())/100000)</f>
        <v/>
      </c>
    </row>
    <row r="149" ht="34" customHeight="1">
      <c r="A149" s="23">
        <f>IF(B149="","",COUNTA($B$9:B149))</f>
        <v/>
      </c>
      <c r="B149" s="24" t="n"/>
      <c r="C149" s="25" t="n"/>
      <c r="D149" s="25" t="n"/>
      <c r="E149" s="25" t="n"/>
      <c r="F149" s="26" t="n"/>
      <c r="G149" s="26" t="n"/>
      <c r="H149" s="26" t="n"/>
      <c r="I149" s="26" t="n"/>
      <c r="J149" s="23">
        <f>IF(AA149&lt;3,"",X149+Y149+Z149)</f>
        <v/>
      </c>
      <c r="K149" s="27">
        <f>IF(OR(J149="",W149=""),"",W149*J149)</f>
        <v/>
      </c>
      <c r="L149" s="28">
        <f>IF(K149="","",IF(K149&lt;=Gruen_bis,"grün",IF(K149&lt;=Gelb_bis,"gelb","rot")))</f>
        <v/>
      </c>
      <c r="M149" s="29">
        <f>IF(L149="",IF(B149="","","Bewertung unvollständig – ★-Felder ausfüllen"),IF(L149="grün","Keine aktive Maßnahme – jährlich prüfen",IF(AND(X149=1,Y149=1,Z149=1),"Sofort sichern: Restbestand / Gebrauchtteil kaufen und Ersatzlösung (Retrofit) planen",IF(AND(X149=1,Z149=1),"Reparaturweg absichern (Dienstleister, Tauschteil), Gebrauchtteil prüfen",IF(X149=1,"Abgekündigt: Lagerteil schützen, Ersatzlösung mittelfristig planen",IF(Z149=1,IF(LEFT(Q149,4)="nein","Bevorratung lohnt nicht – Lieferzeit und Reparaturweg absichern","Lagerbestand anlegen (mind. 1 Stk.)"),"Reparaturmöglichkeit klären"))))))</f>
        <v/>
      </c>
      <c r="N149" s="30" t="n"/>
      <c r="O149" s="31" t="n"/>
      <c r="P149" s="32">
        <f>IF(OR(AB149="",W149="",Z149=0),"",AB149*INDEX(Krit_Kosten,MATCH(F149,Krit_Liste,0)))</f>
        <v/>
      </c>
      <c r="Q149" s="33">
        <f>IF(L149="","",IF(L149="grün","–",IF(Z149=0,"am Lager / in stock",IF(N(N149)&lt;=0,"Stückpreis fehlt",IF(P149&gt;=Faktor_lohnt*N149,"ja – "&amp;FIXED(P149/N149,0)&amp;"-fach","nein – "&amp;FIXED(P149/N149,IF(P149/N149&lt;1,2,1))&amp;"-fach")))))</f>
        <v/>
      </c>
      <c r="R149" s="25" t="n"/>
      <c r="S149" s="34" t="n"/>
      <c r="T149" s="31" t="n"/>
      <c r="U149" s="25" t="n"/>
      <c r="V149" s="2" t="n"/>
      <c r="W149" s="35">
        <f>IFERROR(INDEX(Krit_Faktor,MATCH(F149,Krit_Liste,0)),"")</f>
        <v/>
      </c>
      <c r="X149" s="35">
        <f>IF(OR(G149="nein",G149="no"),1,0)</f>
        <v/>
      </c>
      <c r="Y149" s="35">
        <f>IF(OR(H149="nein",H149="no"),1,0)</f>
        <v/>
      </c>
      <c r="Z149" s="35">
        <f>IF(OR(I149="nein",I149="no"),1,0)</f>
        <v/>
      </c>
      <c r="AA149" s="35">
        <f>(G149&lt;&gt;"")+(H149&lt;&gt;"")+(I149&lt;&gt;"")</f>
        <v/>
      </c>
      <c r="AB149" s="35">
        <f>IF(O149&lt;&gt;"",O149,IF(AA149&lt;3,"",IF(X149=1,Tage_nicht_beschaffbar,Tage_beschaffbar)))</f>
        <v/>
      </c>
      <c r="AC149" s="35">
        <f>IF(K149="","",K149*1000+W149*10+(1000-ROW())/100000)</f>
        <v/>
      </c>
    </row>
    <row r="150" ht="34" customHeight="1">
      <c r="A150" s="23">
        <f>IF(B150="","",COUNTA($B$9:B150))</f>
        <v/>
      </c>
      <c r="B150" s="24" t="n"/>
      <c r="C150" s="25" t="n"/>
      <c r="D150" s="25" t="n"/>
      <c r="E150" s="25" t="n"/>
      <c r="F150" s="26" t="n"/>
      <c r="G150" s="26" t="n"/>
      <c r="H150" s="26" t="n"/>
      <c r="I150" s="26" t="n"/>
      <c r="J150" s="23">
        <f>IF(AA150&lt;3,"",X150+Y150+Z150)</f>
        <v/>
      </c>
      <c r="K150" s="27">
        <f>IF(OR(J150="",W150=""),"",W150*J150)</f>
        <v/>
      </c>
      <c r="L150" s="28">
        <f>IF(K150="","",IF(K150&lt;=Gruen_bis,"grün",IF(K150&lt;=Gelb_bis,"gelb","rot")))</f>
        <v/>
      </c>
      <c r="M150" s="29">
        <f>IF(L150="",IF(B150="","","Bewertung unvollständig – ★-Felder ausfüllen"),IF(L150="grün","Keine aktive Maßnahme – jährlich prüfen",IF(AND(X150=1,Y150=1,Z150=1),"Sofort sichern: Restbestand / Gebrauchtteil kaufen und Ersatzlösung (Retrofit) planen",IF(AND(X150=1,Z150=1),"Reparaturweg absichern (Dienstleister, Tauschteil), Gebrauchtteil prüfen",IF(X150=1,"Abgekündigt: Lagerteil schützen, Ersatzlösung mittelfristig planen",IF(Z150=1,IF(LEFT(Q150,4)="nein","Bevorratung lohnt nicht – Lieferzeit und Reparaturweg absichern","Lagerbestand anlegen (mind. 1 Stk.)"),"Reparaturmöglichkeit klären"))))))</f>
        <v/>
      </c>
      <c r="N150" s="30" t="n"/>
      <c r="O150" s="31" t="n"/>
      <c r="P150" s="32">
        <f>IF(OR(AB150="",W150="",Z150=0),"",AB150*INDEX(Krit_Kosten,MATCH(F150,Krit_Liste,0)))</f>
        <v/>
      </c>
      <c r="Q150" s="33">
        <f>IF(L150="","",IF(L150="grün","–",IF(Z150=0,"am Lager / in stock",IF(N(N150)&lt;=0,"Stückpreis fehlt",IF(P150&gt;=Faktor_lohnt*N150,"ja – "&amp;FIXED(P150/N150,0)&amp;"-fach","nein – "&amp;FIXED(P150/N150,IF(P150/N150&lt;1,2,1))&amp;"-fach")))))</f>
        <v/>
      </c>
      <c r="R150" s="25" t="n"/>
      <c r="S150" s="34" t="n"/>
      <c r="T150" s="31" t="n"/>
      <c r="U150" s="25" t="n"/>
      <c r="V150" s="2" t="n"/>
      <c r="W150" s="35">
        <f>IFERROR(INDEX(Krit_Faktor,MATCH(F150,Krit_Liste,0)),"")</f>
        <v/>
      </c>
      <c r="X150" s="35">
        <f>IF(OR(G150="nein",G150="no"),1,0)</f>
        <v/>
      </c>
      <c r="Y150" s="35">
        <f>IF(OR(H150="nein",H150="no"),1,0)</f>
        <v/>
      </c>
      <c r="Z150" s="35">
        <f>IF(OR(I150="nein",I150="no"),1,0)</f>
        <v/>
      </c>
      <c r="AA150" s="35">
        <f>(G150&lt;&gt;"")+(H150&lt;&gt;"")+(I150&lt;&gt;"")</f>
        <v/>
      </c>
      <c r="AB150" s="35">
        <f>IF(O150&lt;&gt;"",O150,IF(AA150&lt;3,"",IF(X150=1,Tage_nicht_beschaffbar,Tage_beschaffbar)))</f>
        <v/>
      </c>
      <c r="AC150" s="35">
        <f>IF(K150="","",K150*1000+W150*10+(1000-ROW())/100000)</f>
        <v/>
      </c>
    </row>
    <row r="151" ht="34" customHeight="1">
      <c r="A151" s="23">
        <f>IF(B151="","",COUNTA($B$9:B151))</f>
        <v/>
      </c>
      <c r="B151" s="24" t="n"/>
      <c r="C151" s="25" t="n"/>
      <c r="D151" s="25" t="n"/>
      <c r="E151" s="25" t="n"/>
      <c r="F151" s="26" t="n"/>
      <c r="G151" s="26" t="n"/>
      <c r="H151" s="26" t="n"/>
      <c r="I151" s="26" t="n"/>
      <c r="J151" s="23">
        <f>IF(AA151&lt;3,"",X151+Y151+Z151)</f>
        <v/>
      </c>
      <c r="K151" s="27">
        <f>IF(OR(J151="",W151=""),"",W151*J151)</f>
        <v/>
      </c>
      <c r="L151" s="28">
        <f>IF(K151="","",IF(K151&lt;=Gruen_bis,"grün",IF(K151&lt;=Gelb_bis,"gelb","rot")))</f>
        <v/>
      </c>
      <c r="M151" s="29">
        <f>IF(L151="",IF(B151="","","Bewertung unvollständig – ★-Felder ausfüllen"),IF(L151="grün","Keine aktive Maßnahme – jährlich prüfen",IF(AND(X151=1,Y151=1,Z151=1),"Sofort sichern: Restbestand / Gebrauchtteil kaufen und Ersatzlösung (Retrofit) planen",IF(AND(X151=1,Z151=1),"Reparaturweg absichern (Dienstleister, Tauschteil), Gebrauchtteil prüfen",IF(X151=1,"Abgekündigt: Lagerteil schützen, Ersatzlösung mittelfristig planen",IF(Z151=1,IF(LEFT(Q151,4)="nein","Bevorratung lohnt nicht – Lieferzeit und Reparaturweg absichern","Lagerbestand anlegen (mind. 1 Stk.)"),"Reparaturmöglichkeit klären"))))))</f>
        <v/>
      </c>
      <c r="N151" s="30" t="n"/>
      <c r="O151" s="31" t="n"/>
      <c r="P151" s="32">
        <f>IF(OR(AB151="",W151="",Z151=0),"",AB151*INDEX(Krit_Kosten,MATCH(F151,Krit_Liste,0)))</f>
        <v/>
      </c>
      <c r="Q151" s="33">
        <f>IF(L151="","",IF(L151="grün","–",IF(Z151=0,"am Lager / in stock",IF(N(N151)&lt;=0,"Stückpreis fehlt",IF(P151&gt;=Faktor_lohnt*N151,"ja – "&amp;FIXED(P151/N151,0)&amp;"-fach","nein – "&amp;FIXED(P151/N151,IF(P151/N151&lt;1,2,1))&amp;"-fach")))))</f>
        <v/>
      </c>
      <c r="R151" s="25" t="n"/>
      <c r="S151" s="34" t="n"/>
      <c r="T151" s="31" t="n"/>
      <c r="U151" s="25" t="n"/>
      <c r="V151" s="2" t="n"/>
      <c r="W151" s="35">
        <f>IFERROR(INDEX(Krit_Faktor,MATCH(F151,Krit_Liste,0)),"")</f>
        <v/>
      </c>
      <c r="X151" s="35">
        <f>IF(OR(G151="nein",G151="no"),1,0)</f>
        <v/>
      </c>
      <c r="Y151" s="35">
        <f>IF(OR(H151="nein",H151="no"),1,0)</f>
        <v/>
      </c>
      <c r="Z151" s="35">
        <f>IF(OR(I151="nein",I151="no"),1,0)</f>
        <v/>
      </c>
      <c r="AA151" s="35">
        <f>(G151&lt;&gt;"")+(H151&lt;&gt;"")+(I151&lt;&gt;"")</f>
        <v/>
      </c>
      <c r="AB151" s="35">
        <f>IF(O151&lt;&gt;"",O151,IF(AA151&lt;3,"",IF(X151=1,Tage_nicht_beschaffbar,Tage_beschaffbar)))</f>
        <v/>
      </c>
      <c r="AC151" s="35">
        <f>IF(K151="","",K151*1000+W151*10+(1000-ROW())/100000)</f>
        <v/>
      </c>
    </row>
    <row r="152" ht="34" customHeight="1">
      <c r="A152" s="23">
        <f>IF(B152="","",COUNTA($B$9:B152))</f>
        <v/>
      </c>
      <c r="B152" s="24" t="n"/>
      <c r="C152" s="25" t="n"/>
      <c r="D152" s="25" t="n"/>
      <c r="E152" s="25" t="n"/>
      <c r="F152" s="26" t="n"/>
      <c r="G152" s="26" t="n"/>
      <c r="H152" s="26" t="n"/>
      <c r="I152" s="26" t="n"/>
      <c r="J152" s="23">
        <f>IF(AA152&lt;3,"",X152+Y152+Z152)</f>
        <v/>
      </c>
      <c r="K152" s="27">
        <f>IF(OR(J152="",W152=""),"",W152*J152)</f>
        <v/>
      </c>
      <c r="L152" s="28">
        <f>IF(K152="","",IF(K152&lt;=Gruen_bis,"grün",IF(K152&lt;=Gelb_bis,"gelb","rot")))</f>
        <v/>
      </c>
      <c r="M152" s="29">
        <f>IF(L152="",IF(B152="","","Bewertung unvollständig – ★-Felder ausfüllen"),IF(L152="grün","Keine aktive Maßnahme – jährlich prüfen",IF(AND(X152=1,Y152=1,Z152=1),"Sofort sichern: Restbestand / Gebrauchtteil kaufen und Ersatzlösung (Retrofit) planen",IF(AND(X152=1,Z152=1),"Reparaturweg absichern (Dienstleister, Tauschteil), Gebrauchtteil prüfen",IF(X152=1,"Abgekündigt: Lagerteil schützen, Ersatzlösung mittelfristig planen",IF(Z152=1,IF(LEFT(Q152,4)="nein","Bevorratung lohnt nicht – Lieferzeit und Reparaturweg absichern","Lagerbestand anlegen (mind. 1 Stk.)"),"Reparaturmöglichkeit klären"))))))</f>
        <v/>
      </c>
      <c r="N152" s="30" t="n"/>
      <c r="O152" s="31" t="n"/>
      <c r="P152" s="32">
        <f>IF(OR(AB152="",W152="",Z152=0),"",AB152*INDEX(Krit_Kosten,MATCH(F152,Krit_Liste,0)))</f>
        <v/>
      </c>
      <c r="Q152" s="33">
        <f>IF(L152="","",IF(L152="grün","–",IF(Z152=0,"am Lager / in stock",IF(N(N152)&lt;=0,"Stückpreis fehlt",IF(P152&gt;=Faktor_lohnt*N152,"ja – "&amp;FIXED(P152/N152,0)&amp;"-fach","nein – "&amp;FIXED(P152/N152,IF(P152/N152&lt;1,2,1))&amp;"-fach")))))</f>
        <v/>
      </c>
      <c r="R152" s="25" t="n"/>
      <c r="S152" s="34" t="n"/>
      <c r="T152" s="31" t="n"/>
      <c r="U152" s="25" t="n"/>
      <c r="V152" s="2" t="n"/>
      <c r="W152" s="35">
        <f>IFERROR(INDEX(Krit_Faktor,MATCH(F152,Krit_Liste,0)),"")</f>
        <v/>
      </c>
      <c r="X152" s="35">
        <f>IF(OR(G152="nein",G152="no"),1,0)</f>
        <v/>
      </c>
      <c r="Y152" s="35">
        <f>IF(OR(H152="nein",H152="no"),1,0)</f>
        <v/>
      </c>
      <c r="Z152" s="35">
        <f>IF(OR(I152="nein",I152="no"),1,0)</f>
        <v/>
      </c>
      <c r="AA152" s="35">
        <f>(G152&lt;&gt;"")+(H152&lt;&gt;"")+(I152&lt;&gt;"")</f>
        <v/>
      </c>
      <c r="AB152" s="35">
        <f>IF(O152&lt;&gt;"",O152,IF(AA152&lt;3,"",IF(X152=1,Tage_nicht_beschaffbar,Tage_beschaffbar)))</f>
        <v/>
      </c>
      <c r="AC152" s="35">
        <f>IF(K152="","",K152*1000+W152*10+(1000-ROW())/100000)</f>
        <v/>
      </c>
    </row>
    <row r="153" ht="34" customHeight="1">
      <c r="A153" s="23">
        <f>IF(B153="","",COUNTA($B$9:B153))</f>
        <v/>
      </c>
      <c r="B153" s="24" t="n"/>
      <c r="C153" s="25" t="n"/>
      <c r="D153" s="25" t="n"/>
      <c r="E153" s="25" t="n"/>
      <c r="F153" s="26" t="n"/>
      <c r="G153" s="26" t="n"/>
      <c r="H153" s="26" t="n"/>
      <c r="I153" s="26" t="n"/>
      <c r="J153" s="23">
        <f>IF(AA153&lt;3,"",X153+Y153+Z153)</f>
        <v/>
      </c>
      <c r="K153" s="27">
        <f>IF(OR(J153="",W153=""),"",W153*J153)</f>
        <v/>
      </c>
      <c r="L153" s="28">
        <f>IF(K153="","",IF(K153&lt;=Gruen_bis,"grün",IF(K153&lt;=Gelb_bis,"gelb","rot")))</f>
        <v/>
      </c>
      <c r="M153" s="29">
        <f>IF(L153="",IF(B153="","","Bewertung unvollständig – ★-Felder ausfüllen"),IF(L153="grün","Keine aktive Maßnahme – jährlich prüfen",IF(AND(X153=1,Y153=1,Z153=1),"Sofort sichern: Restbestand / Gebrauchtteil kaufen und Ersatzlösung (Retrofit) planen",IF(AND(X153=1,Z153=1),"Reparaturweg absichern (Dienstleister, Tauschteil), Gebrauchtteil prüfen",IF(X153=1,"Abgekündigt: Lagerteil schützen, Ersatzlösung mittelfristig planen",IF(Z153=1,IF(LEFT(Q153,4)="nein","Bevorratung lohnt nicht – Lieferzeit und Reparaturweg absichern","Lagerbestand anlegen (mind. 1 Stk.)"),"Reparaturmöglichkeit klären"))))))</f>
        <v/>
      </c>
      <c r="N153" s="30" t="n"/>
      <c r="O153" s="31" t="n"/>
      <c r="P153" s="32">
        <f>IF(OR(AB153="",W153="",Z153=0),"",AB153*INDEX(Krit_Kosten,MATCH(F153,Krit_Liste,0)))</f>
        <v/>
      </c>
      <c r="Q153" s="33">
        <f>IF(L153="","",IF(L153="grün","–",IF(Z153=0,"am Lager / in stock",IF(N(N153)&lt;=0,"Stückpreis fehlt",IF(P153&gt;=Faktor_lohnt*N153,"ja – "&amp;FIXED(P153/N153,0)&amp;"-fach","nein – "&amp;FIXED(P153/N153,IF(P153/N153&lt;1,2,1))&amp;"-fach")))))</f>
        <v/>
      </c>
      <c r="R153" s="25" t="n"/>
      <c r="S153" s="34" t="n"/>
      <c r="T153" s="31" t="n"/>
      <c r="U153" s="25" t="n"/>
      <c r="V153" s="2" t="n"/>
      <c r="W153" s="35">
        <f>IFERROR(INDEX(Krit_Faktor,MATCH(F153,Krit_Liste,0)),"")</f>
        <v/>
      </c>
      <c r="X153" s="35">
        <f>IF(OR(G153="nein",G153="no"),1,0)</f>
        <v/>
      </c>
      <c r="Y153" s="35">
        <f>IF(OR(H153="nein",H153="no"),1,0)</f>
        <v/>
      </c>
      <c r="Z153" s="35">
        <f>IF(OR(I153="nein",I153="no"),1,0)</f>
        <v/>
      </c>
      <c r="AA153" s="35">
        <f>(G153&lt;&gt;"")+(H153&lt;&gt;"")+(I153&lt;&gt;"")</f>
        <v/>
      </c>
      <c r="AB153" s="35">
        <f>IF(O153&lt;&gt;"",O153,IF(AA153&lt;3,"",IF(X153=1,Tage_nicht_beschaffbar,Tage_beschaffbar)))</f>
        <v/>
      </c>
      <c r="AC153" s="35">
        <f>IF(K153="","",K153*1000+W153*10+(1000-ROW())/100000)</f>
        <v/>
      </c>
    </row>
    <row r="154" ht="34" customHeight="1">
      <c r="A154" s="23">
        <f>IF(B154="","",COUNTA($B$9:B154))</f>
        <v/>
      </c>
      <c r="B154" s="24" t="n"/>
      <c r="C154" s="25" t="n"/>
      <c r="D154" s="25" t="n"/>
      <c r="E154" s="25" t="n"/>
      <c r="F154" s="26" t="n"/>
      <c r="G154" s="26" t="n"/>
      <c r="H154" s="26" t="n"/>
      <c r="I154" s="26" t="n"/>
      <c r="J154" s="23">
        <f>IF(AA154&lt;3,"",X154+Y154+Z154)</f>
        <v/>
      </c>
      <c r="K154" s="27">
        <f>IF(OR(J154="",W154=""),"",W154*J154)</f>
        <v/>
      </c>
      <c r="L154" s="28">
        <f>IF(K154="","",IF(K154&lt;=Gruen_bis,"grün",IF(K154&lt;=Gelb_bis,"gelb","rot")))</f>
        <v/>
      </c>
      <c r="M154" s="29">
        <f>IF(L154="",IF(B154="","","Bewertung unvollständig – ★-Felder ausfüllen"),IF(L154="grün","Keine aktive Maßnahme – jährlich prüfen",IF(AND(X154=1,Y154=1,Z154=1),"Sofort sichern: Restbestand / Gebrauchtteil kaufen und Ersatzlösung (Retrofit) planen",IF(AND(X154=1,Z154=1),"Reparaturweg absichern (Dienstleister, Tauschteil), Gebrauchtteil prüfen",IF(X154=1,"Abgekündigt: Lagerteil schützen, Ersatzlösung mittelfristig planen",IF(Z154=1,IF(LEFT(Q154,4)="nein","Bevorratung lohnt nicht – Lieferzeit und Reparaturweg absichern","Lagerbestand anlegen (mind. 1 Stk.)"),"Reparaturmöglichkeit klären"))))))</f>
        <v/>
      </c>
      <c r="N154" s="30" t="n"/>
      <c r="O154" s="31" t="n"/>
      <c r="P154" s="32">
        <f>IF(OR(AB154="",W154="",Z154=0),"",AB154*INDEX(Krit_Kosten,MATCH(F154,Krit_Liste,0)))</f>
        <v/>
      </c>
      <c r="Q154" s="33">
        <f>IF(L154="","",IF(L154="grün","–",IF(Z154=0,"am Lager / in stock",IF(N(N154)&lt;=0,"Stückpreis fehlt",IF(P154&gt;=Faktor_lohnt*N154,"ja – "&amp;FIXED(P154/N154,0)&amp;"-fach","nein – "&amp;FIXED(P154/N154,IF(P154/N154&lt;1,2,1))&amp;"-fach")))))</f>
        <v/>
      </c>
      <c r="R154" s="25" t="n"/>
      <c r="S154" s="34" t="n"/>
      <c r="T154" s="31" t="n"/>
      <c r="U154" s="25" t="n"/>
      <c r="V154" s="2" t="n"/>
      <c r="W154" s="35">
        <f>IFERROR(INDEX(Krit_Faktor,MATCH(F154,Krit_Liste,0)),"")</f>
        <v/>
      </c>
      <c r="X154" s="35">
        <f>IF(OR(G154="nein",G154="no"),1,0)</f>
        <v/>
      </c>
      <c r="Y154" s="35">
        <f>IF(OR(H154="nein",H154="no"),1,0)</f>
        <v/>
      </c>
      <c r="Z154" s="35">
        <f>IF(OR(I154="nein",I154="no"),1,0)</f>
        <v/>
      </c>
      <c r="AA154" s="35">
        <f>(G154&lt;&gt;"")+(H154&lt;&gt;"")+(I154&lt;&gt;"")</f>
        <v/>
      </c>
      <c r="AB154" s="35">
        <f>IF(O154&lt;&gt;"",O154,IF(AA154&lt;3,"",IF(X154=1,Tage_nicht_beschaffbar,Tage_beschaffbar)))</f>
        <v/>
      </c>
      <c r="AC154" s="35">
        <f>IF(K154="","",K154*1000+W154*10+(1000-ROW())/100000)</f>
        <v/>
      </c>
    </row>
    <row r="155" ht="34" customHeight="1">
      <c r="A155" s="23">
        <f>IF(B155="","",COUNTA($B$9:B155))</f>
        <v/>
      </c>
      <c r="B155" s="24" t="n"/>
      <c r="C155" s="25" t="n"/>
      <c r="D155" s="25" t="n"/>
      <c r="E155" s="25" t="n"/>
      <c r="F155" s="26" t="n"/>
      <c r="G155" s="26" t="n"/>
      <c r="H155" s="26" t="n"/>
      <c r="I155" s="26" t="n"/>
      <c r="J155" s="23">
        <f>IF(AA155&lt;3,"",X155+Y155+Z155)</f>
        <v/>
      </c>
      <c r="K155" s="27">
        <f>IF(OR(J155="",W155=""),"",W155*J155)</f>
        <v/>
      </c>
      <c r="L155" s="28">
        <f>IF(K155="","",IF(K155&lt;=Gruen_bis,"grün",IF(K155&lt;=Gelb_bis,"gelb","rot")))</f>
        <v/>
      </c>
      <c r="M155" s="29">
        <f>IF(L155="",IF(B155="","","Bewertung unvollständig – ★-Felder ausfüllen"),IF(L155="grün","Keine aktive Maßnahme – jährlich prüfen",IF(AND(X155=1,Y155=1,Z155=1),"Sofort sichern: Restbestand / Gebrauchtteil kaufen und Ersatzlösung (Retrofit) planen",IF(AND(X155=1,Z155=1),"Reparaturweg absichern (Dienstleister, Tauschteil), Gebrauchtteil prüfen",IF(X155=1,"Abgekündigt: Lagerteil schützen, Ersatzlösung mittelfristig planen",IF(Z155=1,IF(LEFT(Q155,4)="nein","Bevorratung lohnt nicht – Lieferzeit und Reparaturweg absichern","Lagerbestand anlegen (mind. 1 Stk.)"),"Reparaturmöglichkeit klären"))))))</f>
        <v/>
      </c>
      <c r="N155" s="30" t="n"/>
      <c r="O155" s="31" t="n"/>
      <c r="P155" s="32">
        <f>IF(OR(AB155="",W155="",Z155=0),"",AB155*INDEX(Krit_Kosten,MATCH(F155,Krit_Liste,0)))</f>
        <v/>
      </c>
      <c r="Q155" s="33">
        <f>IF(L155="","",IF(L155="grün","–",IF(Z155=0,"am Lager / in stock",IF(N(N155)&lt;=0,"Stückpreis fehlt",IF(P155&gt;=Faktor_lohnt*N155,"ja – "&amp;FIXED(P155/N155,0)&amp;"-fach","nein – "&amp;FIXED(P155/N155,IF(P155/N155&lt;1,2,1))&amp;"-fach")))))</f>
        <v/>
      </c>
      <c r="R155" s="25" t="n"/>
      <c r="S155" s="34" t="n"/>
      <c r="T155" s="31" t="n"/>
      <c r="U155" s="25" t="n"/>
      <c r="V155" s="2" t="n"/>
      <c r="W155" s="35">
        <f>IFERROR(INDEX(Krit_Faktor,MATCH(F155,Krit_Liste,0)),"")</f>
        <v/>
      </c>
      <c r="X155" s="35">
        <f>IF(OR(G155="nein",G155="no"),1,0)</f>
        <v/>
      </c>
      <c r="Y155" s="35">
        <f>IF(OR(H155="nein",H155="no"),1,0)</f>
        <v/>
      </c>
      <c r="Z155" s="35">
        <f>IF(OR(I155="nein",I155="no"),1,0)</f>
        <v/>
      </c>
      <c r="AA155" s="35">
        <f>(G155&lt;&gt;"")+(H155&lt;&gt;"")+(I155&lt;&gt;"")</f>
        <v/>
      </c>
      <c r="AB155" s="35">
        <f>IF(O155&lt;&gt;"",O155,IF(AA155&lt;3,"",IF(X155=1,Tage_nicht_beschaffbar,Tage_beschaffbar)))</f>
        <v/>
      </c>
      <c r="AC155" s="35">
        <f>IF(K155="","",K155*1000+W155*10+(1000-ROW())/100000)</f>
        <v/>
      </c>
    </row>
    <row r="156" ht="34" customHeight="1">
      <c r="A156" s="23">
        <f>IF(B156="","",COUNTA($B$9:B156))</f>
        <v/>
      </c>
      <c r="B156" s="24" t="n"/>
      <c r="C156" s="25" t="n"/>
      <c r="D156" s="25" t="n"/>
      <c r="E156" s="25" t="n"/>
      <c r="F156" s="26" t="n"/>
      <c r="G156" s="26" t="n"/>
      <c r="H156" s="26" t="n"/>
      <c r="I156" s="26" t="n"/>
      <c r="J156" s="23">
        <f>IF(AA156&lt;3,"",X156+Y156+Z156)</f>
        <v/>
      </c>
      <c r="K156" s="27">
        <f>IF(OR(J156="",W156=""),"",W156*J156)</f>
        <v/>
      </c>
      <c r="L156" s="28">
        <f>IF(K156="","",IF(K156&lt;=Gruen_bis,"grün",IF(K156&lt;=Gelb_bis,"gelb","rot")))</f>
        <v/>
      </c>
      <c r="M156" s="29">
        <f>IF(L156="",IF(B156="","","Bewertung unvollständig – ★-Felder ausfüllen"),IF(L156="grün","Keine aktive Maßnahme – jährlich prüfen",IF(AND(X156=1,Y156=1,Z156=1),"Sofort sichern: Restbestand / Gebrauchtteil kaufen und Ersatzlösung (Retrofit) planen",IF(AND(X156=1,Z156=1),"Reparaturweg absichern (Dienstleister, Tauschteil), Gebrauchtteil prüfen",IF(X156=1,"Abgekündigt: Lagerteil schützen, Ersatzlösung mittelfristig planen",IF(Z156=1,IF(LEFT(Q156,4)="nein","Bevorratung lohnt nicht – Lieferzeit und Reparaturweg absichern","Lagerbestand anlegen (mind. 1 Stk.)"),"Reparaturmöglichkeit klären"))))))</f>
        <v/>
      </c>
      <c r="N156" s="30" t="n"/>
      <c r="O156" s="31" t="n"/>
      <c r="P156" s="32">
        <f>IF(OR(AB156="",W156="",Z156=0),"",AB156*INDEX(Krit_Kosten,MATCH(F156,Krit_Liste,0)))</f>
        <v/>
      </c>
      <c r="Q156" s="33">
        <f>IF(L156="","",IF(L156="grün","–",IF(Z156=0,"am Lager / in stock",IF(N(N156)&lt;=0,"Stückpreis fehlt",IF(P156&gt;=Faktor_lohnt*N156,"ja – "&amp;FIXED(P156/N156,0)&amp;"-fach","nein – "&amp;FIXED(P156/N156,IF(P156/N156&lt;1,2,1))&amp;"-fach")))))</f>
        <v/>
      </c>
      <c r="R156" s="25" t="n"/>
      <c r="S156" s="34" t="n"/>
      <c r="T156" s="31" t="n"/>
      <c r="U156" s="25" t="n"/>
      <c r="V156" s="2" t="n"/>
      <c r="W156" s="35">
        <f>IFERROR(INDEX(Krit_Faktor,MATCH(F156,Krit_Liste,0)),"")</f>
        <v/>
      </c>
      <c r="X156" s="35">
        <f>IF(OR(G156="nein",G156="no"),1,0)</f>
        <v/>
      </c>
      <c r="Y156" s="35">
        <f>IF(OR(H156="nein",H156="no"),1,0)</f>
        <v/>
      </c>
      <c r="Z156" s="35">
        <f>IF(OR(I156="nein",I156="no"),1,0)</f>
        <v/>
      </c>
      <c r="AA156" s="35">
        <f>(G156&lt;&gt;"")+(H156&lt;&gt;"")+(I156&lt;&gt;"")</f>
        <v/>
      </c>
      <c r="AB156" s="35">
        <f>IF(O156&lt;&gt;"",O156,IF(AA156&lt;3,"",IF(X156=1,Tage_nicht_beschaffbar,Tage_beschaffbar)))</f>
        <v/>
      </c>
      <c r="AC156" s="35">
        <f>IF(K156="","",K156*1000+W156*10+(1000-ROW())/100000)</f>
        <v/>
      </c>
    </row>
    <row r="157" ht="34" customHeight="1">
      <c r="A157" s="23">
        <f>IF(B157="","",COUNTA($B$9:B157))</f>
        <v/>
      </c>
      <c r="B157" s="24" t="n"/>
      <c r="C157" s="25" t="n"/>
      <c r="D157" s="25" t="n"/>
      <c r="E157" s="25" t="n"/>
      <c r="F157" s="26" t="n"/>
      <c r="G157" s="26" t="n"/>
      <c r="H157" s="26" t="n"/>
      <c r="I157" s="26" t="n"/>
      <c r="J157" s="23">
        <f>IF(AA157&lt;3,"",X157+Y157+Z157)</f>
        <v/>
      </c>
      <c r="K157" s="27">
        <f>IF(OR(J157="",W157=""),"",W157*J157)</f>
        <v/>
      </c>
      <c r="L157" s="28">
        <f>IF(K157="","",IF(K157&lt;=Gruen_bis,"grün",IF(K157&lt;=Gelb_bis,"gelb","rot")))</f>
        <v/>
      </c>
      <c r="M157" s="29">
        <f>IF(L157="",IF(B157="","","Bewertung unvollständig – ★-Felder ausfüllen"),IF(L157="grün","Keine aktive Maßnahme – jährlich prüfen",IF(AND(X157=1,Y157=1,Z157=1),"Sofort sichern: Restbestand / Gebrauchtteil kaufen und Ersatzlösung (Retrofit) planen",IF(AND(X157=1,Z157=1),"Reparaturweg absichern (Dienstleister, Tauschteil), Gebrauchtteil prüfen",IF(X157=1,"Abgekündigt: Lagerteil schützen, Ersatzlösung mittelfristig planen",IF(Z157=1,IF(LEFT(Q157,4)="nein","Bevorratung lohnt nicht – Lieferzeit und Reparaturweg absichern","Lagerbestand anlegen (mind. 1 Stk.)"),"Reparaturmöglichkeit klären"))))))</f>
        <v/>
      </c>
      <c r="N157" s="30" t="n"/>
      <c r="O157" s="31" t="n"/>
      <c r="P157" s="32">
        <f>IF(OR(AB157="",W157="",Z157=0),"",AB157*INDEX(Krit_Kosten,MATCH(F157,Krit_Liste,0)))</f>
        <v/>
      </c>
      <c r="Q157" s="33">
        <f>IF(L157="","",IF(L157="grün","–",IF(Z157=0,"am Lager / in stock",IF(N(N157)&lt;=0,"Stückpreis fehlt",IF(P157&gt;=Faktor_lohnt*N157,"ja – "&amp;FIXED(P157/N157,0)&amp;"-fach","nein – "&amp;FIXED(P157/N157,IF(P157/N157&lt;1,2,1))&amp;"-fach")))))</f>
        <v/>
      </c>
      <c r="R157" s="25" t="n"/>
      <c r="S157" s="34" t="n"/>
      <c r="T157" s="31" t="n"/>
      <c r="U157" s="25" t="n"/>
      <c r="V157" s="2" t="n"/>
      <c r="W157" s="35">
        <f>IFERROR(INDEX(Krit_Faktor,MATCH(F157,Krit_Liste,0)),"")</f>
        <v/>
      </c>
      <c r="X157" s="35">
        <f>IF(OR(G157="nein",G157="no"),1,0)</f>
        <v/>
      </c>
      <c r="Y157" s="35">
        <f>IF(OR(H157="nein",H157="no"),1,0)</f>
        <v/>
      </c>
      <c r="Z157" s="35">
        <f>IF(OR(I157="nein",I157="no"),1,0)</f>
        <v/>
      </c>
      <c r="AA157" s="35">
        <f>(G157&lt;&gt;"")+(H157&lt;&gt;"")+(I157&lt;&gt;"")</f>
        <v/>
      </c>
      <c r="AB157" s="35">
        <f>IF(O157&lt;&gt;"",O157,IF(AA157&lt;3,"",IF(X157=1,Tage_nicht_beschaffbar,Tage_beschaffbar)))</f>
        <v/>
      </c>
      <c r="AC157" s="35">
        <f>IF(K157="","",K157*1000+W157*10+(1000-ROW())/100000)</f>
        <v/>
      </c>
    </row>
    <row r="158" ht="34" customHeight="1">
      <c r="A158" s="23">
        <f>IF(B158="","",COUNTA($B$9:B158))</f>
        <v/>
      </c>
      <c r="B158" s="24" t="n"/>
      <c r="C158" s="25" t="n"/>
      <c r="D158" s="25" t="n"/>
      <c r="E158" s="25" t="n"/>
      <c r="F158" s="26" t="n"/>
      <c r="G158" s="26" t="n"/>
      <c r="H158" s="26" t="n"/>
      <c r="I158" s="26" t="n"/>
      <c r="J158" s="23">
        <f>IF(AA158&lt;3,"",X158+Y158+Z158)</f>
        <v/>
      </c>
      <c r="K158" s="27">
        <f>IF(OR(J158="",W158=""),"",W158*J158)</f>
        <v/>
      </c>
      <c r="L158" s="28">
        <f>IF(K158="","",IF(K158&lt;=Gruen_bis,"grün",IF(K158&lt;=Gelb_bis,"gelb","rot")))</f>
        <v/>
      </c>
      <c r="M158" s="29">
        <f>IF(L158="",IF(B158="","","Bewertung unvollständig – ★-Felder ausfüllen"),IF(L158="grün","Keine aktive Maßnahme – jährlich prüfen",IF(AND(X158=1,Y158=1,Z158=1),"Sofort sichern: Restbestand / Gebrauchtteil kaufen und Ersatzlösung (Retrofit) planen",IF(AND(X158=1,Z158=1),"Reparaturweg absichern (Dienstleister, Tauschteil), Gebrauchtteil prüfen",IF(X158=1,"Abgekündigt: Lagerteil schützen, Ersatzlösung mittelfristig planen",IF(Z158=1,IF(LEFT(Q158,4)="nein","Bevorratung lohnt nicht – Lieferzeit und Reparaturweg absichern","Lagerbestand anlegen (mind. 1 Stk.)"),"Reparaturmöglichkeit klären"))))))</f>
        <v/>
      </c>
      <c r="N158" s="30" t="n"/>
      <c r="O158" s="31" t="n"/>
      <c r="P158" s="32">
        <f>IF(OR(AB158="",W158="",Z158=0),"",AB158*INDEX(Krit_Kosten,MATCH(F158,Krit_Liste,0)))</f>
        <v/>
      </c>
      <c r="Q158" s="33">
        <f>IF(L158="","",IF(L158="grün","–",IF(Z158=0,"am Lager / in stock",IF(N(N158)&lt;=0,"Stückpreis fehlt",IF(P158&gt;=Faktor_lohnt*N158,"ja – "&amp;FIXED(P158/N158,0)&amp;"-fach","nein – "&amp;FIXED(P158/N158,IF(P158/N158&lt;1,2,1))&amp;"-fach")))))</f>
        <v/>
      </c>
      <c r="R158" s="25" t="n"/>
      <c r="S158" s="34" t="n"/>
      <c r="T158" s="31" t="n"/>
      <c r="U158" s="25" t="n"/>
      <c r="V158" s="2" t="n"/>
      <c r="W158" s="35">
        <f>IFERROR(INDEX(Krit_Faktor,MATCH(F158,Krit_Liste,0)),"")</f>
        <v/>
      </c>
      <c r="X158" s="35">
        <f>IF(OR(G158="nein",G158="no"),1,0)</f>
        <v/>
      </c>
      <c r="Y158" s="35">
        <f>IF(OR(H158="nein",H158="no"),1,0)</f>
        <v/>
      </c>
      <c r="Z158" s="35">
        <f>IF(OR(I158="nein",I158="no"),1,0)</f>
        <v/>
      </c>
      <c r="AA158" s="35">
        <f>(G158&lt;&gt;"")+(H158&lt;&gt;"")+(I158&lt;&gt;"")</f>
        <v/>
      </c>
      <c r="AB158" s="35">
        <f>IF(O158&lt;&gt;"",O158,IF(AA158&lt;3,"",IF(X158=1,Tage_nicht_beschaffbar,Tage_beschaffbar)))</f>
        <v/>
      </c>
      <c r="AC158" s="35">
        <f>IF(K158="","",K158*1000+W158*10+(1000-ROW())/100000)</f>
        <v/>
      </c>
    </row>
    <row r="159" ht="34" customHeight="1">
      <c r="A159" s="23">
        <f>IF(B159="","",COUNTA($B$9:B159))</f>
        <v/>
      </c>
      <c r="B159" s="24" t="n"/>
      <c r="C159" s="25" t="n"/>
      <c r="D159" s="25" t="n"/>
      <c r="E159" s="25" t="n"/>
      <c r="F159" s="26" t="n"/>
      <c r="G159" s="26" t="n"/>
      <c r="H159" s="26" t="n"/>
      <c r="I159" s="26" t="n"/>
      <c r="J159" s="23">
        <f>IF(AA159&lt;3,"",X159+Y159+Z159)</f>
        <v/>
      </c>
      <c r="K159" s="27">
        <f>IF(OR(J159="",W159=""),"",W159*J159)</f>
        <v/>
      </c>
      <c r="L159" s="28">
        <f>IF(K159="","",IF(K159&lt;=Gruen_bis,"grün",IF(K159&lt;=Gelb_bis,"gelb","rot")))</f>
        <v/>
      </c>
      <c r="M159" s="29">
        <f>IF(L159="",IF(B159="","","Bewertung unvollständig – ★-Felder ausfüllen"),IF(L159="grün","Keine aktive Maßnahme – jährlich prüfen",IF(AND(X159=1,Y159=1,Z159=1),"Sofort sichern: Restbestand / Gebrauchtteil kaufen und Ersatzlösung (Retrofit) planen",IF(AND(X159=1,Z159=1),"Reparaturweg absichern (Dienstleister, Tauschteil), Gebrauchtteil prüfen",IF(X159=1,"Abgekündigt: Lagerteil schützen, Ersatzlösung mittelfristig planen",IF(Z159=1,IF(LEFT(Q159,4)="nein","Bevorratung lohnt nicht – Lieferzeit und Reparaturweg absichern","Lagerbestand anlegen (mind. 1 Stk.)"),"Reparaturmöglichkeit klären"))))))</f>
        <v/>
      </c>
      <c r="N159" s="30" t="n"/>
      <c r="O159" s="31" t="n"/>
      <c r="P159" s="32">
        <f>IF(OR(AB159="",W159="",Z159=0),"",AB159*INDEX(Krit_Kosten,MATCH(F159,Krit_Liste,0)))</f>
        <v/>
      </c>
      <c r="Q159" s="33">
        <f>IF(L159="","",IF(L159="grün","–",IF(Z159=0,"am Lager / in stock",IF(N(N159)&lt;=0,"Stückpreis fehlt",IF(P159&gt;=Faktor_lohnt*N159,"ja – "&amp;FIXED(P159/N159,0)&amp;"-fach","nein – "&amp;FIXED(P159/N159,IF(P159/N159&lt;1,2,1))&amp;"-fach")))))</f>
        <v/>
      </c>
      <c r="R159" s="25" t="n"/>
      <c r="S159" s="34" t="n"/>
      <c r="T159" s="31" t="n"/>
      <c r="U159" s="25" t="n"/>
      <c r="V159" s="2" t="n"/>
      <c r="W159" s="35">
        <f>IFERROR(INDEX(Krit_Faktor,MATCH(F159,Krit_Liste,0)),"")</f>
        <v/>
      </c>
      <c r="X159" s="35">
        <f>IF(OR(G159="nein",G159="no"),1,0)</f>
        <v/>
      </c>
      <c r="Y159" s="35">
        <f>IF(OR(H159="nein",H159="no"),1,0)</f>
        <v/>
      </c>
      <c r="Z159" s="35">
        <f>IF(OR(I159="nein",I159="no"),1,0)</f>
        <v/>
      </c>
      <c r="AA159" s="35">
        <f>(G159&lt;&gt;"")+(H159&lt;&gt;"")+(I159&lt;&gt;"")</f>
        <v/>
      </c>
      <c r="AB159" s="35">
        <f>IF(O159&lt;&gt;"",O159,IF(AA159&lt;3,"",IF(X159=1,Tage_nicht_beschaffbar,Tage_beschaffbar)))</f>
        <v/>
      </c>
      <c r="AC159" s="35">
        <f>IF(K159="","",K159*1000+W159*10+(1000-ROW())/100000)</f>
        <v/>
      </c>
    </row>
    <row r="160" ht="34" customHeight="1">
      <c r="A160" s="23">
        <f>IF(B160="","",COUNTA($B$9:B160))</f>
        <v/>
      </c>
      <c r="B160" s="24" t="n"/>
      <c r="C160" s="25" t="n"/>
      <c r="D160" s="25" t="n"/>
      <c r="E160" s="25" t="n"/>
      <c r="F160" s="26" t="n"/>
      <c r="G160" s="26" t="n"/>
      <c r="H160" s="26" t="n"/>
      <c r="I160" s="26" t="n"/>
      <c r="J160" s="23">
        <f>IF(AA160&lt;3,"",X160+Y160+Z160)</f>
        <v/>
      </c>
      <c r="K160" s="27">
        <f>IF(OR(J160="",W160=""),"",W160*J160)</f>
        <v/>
      </c>
      <c r="L160" s="28">
        <f>IF(K160="","",IF(K160&lt;=Gruen_bis,"grün",IF(K160&lt;=Gelb_bis,"gelb","rot")))</f>
        <v/>
      </c>
      <c r="M160" s="29">
        <f>IF(L160="",IF(B160="","","Bewertung unvollständig – ★-Felder ausfüllen"),IF(L160="grün","Keine aktive Maßnahme – jährlich prüfen",IF(AND(X160=1,Y160=1,Z160=1),"Sofort sichern: Restbestand / Gebrauchtteil kaufen und Ersatzlösung (Retrofit) planen",IF(AND(X160=1,Z160=1),"Reparaturweg absichern (Dienstleister, Tauschteil), Gebrauchtteil prüfen",IF(X160=1,"Abgekündigt: Lagerteil schützen, Ersatzlösung mittelfristig planen",IF(Z160=1,IF(LEFT(Q160,4)="nein","Bevorratung lohnt nicht – Lieferzeit und Reparaturweg absichern","Lagerbestand anlegen (mind. 1 Stk.)"),"Reparaturmöglichkeit klären"))))))</f>
        <v/>
      </c>
      <c r="N160" s="30" t="n"/>
      <c r="O160" s="31" t="n"/>
      <c r="P160" s="32">
        <f>IF(OR(AB160="",W160="",Z160=0),"",AB160*INDEX(Krit_Kosten,MATCH(F160,Krit_Liste,0)))</f>
        <v/>
      </c>
      <c r="Q160" s="33">
        <f>IF(L160="","",IF(L160="grün","–",IF(Z160=0,"am Lager / in stock",IF(N(N160)&lt;=0,"Stückpreis fehlt",IF(P160&gt;=Faktor_lohnt*N160,"ja – "&amp;FIXED(P160/N160,0)&amp;"-fach","nein – "&amp;FIXED(P160/N160,IF(P160/N160&lt;1,2,1))&amp;"-fach")))))</f>
        <v/>
      </c>
      <c r="R160" s="25" t="n"/>
      <c r="S160" s="34" t="n"/>
      <c r="T160" s="31" t="n"/>
      <c r="U160" s="25" t="n"/>
      <c r="V160" s="2" t="n"/>
      <c r="W160" s="35">
        <f>IFERROR(INDEX(Krit_Faktor,MATCH(F160,Krit_Liste,0)),"")</f>
        <v/>
      </c>
      <c r="X160" s="35">
        <f>IF(OR(G160="nein",G160="no"),1,0)</f>
        <v/>
      </c>
      <c r="Y160" s="35">
        <f>IF(OR(H160="nein",H160="no"),1,0)</f>
        <v/>
      </c>
      <c r="Z160" s="35">
        <f>IF(OR(I160="nein",I160="no"),1,0)</f>
        <v/>
      </c>
      <c r="AA160" s="35">
        <f>(G160&lt;&gt;"")+(H160&lt;&gt;"")+(I160&lt;&gt;"")</f>
        <v/>
      </c>
      <c r="AB160" s="35">
        <f>IF(O160&lt;&gt;"",O160,IF(AA160&lt;3,"",IF(X160=1,Tage_nicht_beschaffbar,Tage_beschaffbar)))</f>
        <v/>
      </c>
      <c r="AC160" s="35">
        <f>IF(K160="","",K160*1000+W160*10+(1000-ROW())/100000)</f>
        <v/>
      </c>
    </row>
    <row r="161" ht="34" customHeight="1">
      <c r="A161" s="23">
        <f>IF(B161="","",COUNTA($B$9:B161))</f>
        <v/>
      </c>
      <c r="B161" s="24" t="n"/>
      <c r="C161" s="25" t="n"/>
      <c r="D161" s="25" t="n"/>
      <c r="E161" s="25" t="n"/>
      <c r="F161" s="26" t="n"/>
      <c r="G161" s="26" t="n"/>
      <c r="H161" s="26" t="n"/>
      <c r="I161" s="26" t="n"/>
      <c r="J161" s="23">
        <f>IF(AA161&lt;3,"",X161+Y161+Z161)</f>
        <v/>
      </c>
      <c r="K161" s="27">
        <f>IF(OR(J161="",W161=""),"",W161*J161)</f>
        <v/>
      </c>
      <c r="L161" s="28">
        <f>IF(K161="","",IF(K161&lt;=Gruen_bis,"grün",IF(K161&lt;=Gelb_bis,"gelb","rot")))</f>
        <v/>
      </c>
      <c r="M161" s="29">
        <f>IF(L161="",IF(B161="","","Bewertung unvollständig – ★-Felder ausfüllen"),IF(L161="grün","Keine aktive Maßnahme – jährlich prüfen",IF(AND(X161=1,Y161=1,Z161=1),"Sofort sichern: Restbestand / Gebrauchtteil kaufen und Ersatzlösung (Retrofit) planen",IF(AND(X161=1,Z161=1),"Reparaturweg absichern (Dienstleister, Tauschteil), Gebrauchtteil prüfen",IF(X161=1,"Abgekündigt: Lagerteil schützen, Ersatzlösung mittelfristig planen",IF(Z161=1,IF(LEFT(Q161,4)="nein","Bevorratung lohnt nicht – Lieferzeit und Reparaturweg absichern","Lagerbestand anlegen (mind. 1 Stk.)"),"Reparaturmöglichkeit klären"))))))</f>
        <v/>
      </c>
      <c r="N161" s="30" t="n"/>
      <c r="O161" s="31" t="n"/>
      <c r="P161" s="32">
        <f>IF(OR(AB161="",W161="",Z161=0),"",AB161*INDEX(Krit_Kosten,MATCH(F161,Krit_Liste,0)))</f>
        <v/>
      </c>
      <c r="Q161" s="33">
        <f>IF(L161="","",IF(L161="grün","–",IF(Z161=0,"am Lager / in stock",IF(N(N161)&lt;=0,"Stückpreis fehlt",IF(P161&gt;=Faktor_lohnt*N161,"ja – "&amp;FIXED(P161/N161,0)&amp;"-fach","nein – "&amp;FIXED(P161/N161,IF(P161/N161&lt;1,2,1))&amp;"-fach")))))</f>
        <v/>
      </c>
      <c r="R161" s="25" t="n"/>
      <c r="S161" s="34" t="n"/>
      <c r="T161" s="31" t="n"/>
      <c r="U161" s="25" t="n"/>
      <c r="V161" s="2" t="n"/>
      <c r="W161" s="35">
        <f>IFERROR(INDEX(Krit_Faktor,MATCH(F161,Krit_Liste,0)),"")</f>
        <v/>
      </c>
      <c r="X161" s="35">
        <f>IF(OR(G161="nein",G161="no"),1,0)</f>
        <v/>
      </c>
      <c r="Y161" s="35">
        <f>IF(OR(H161="nein",H161="no"),1,0)</f>
        <v/>
      </c>
      <c r="Z161" s="35">
        <f>IF(OR(I161="nein",I161="no"),1,0)</f>
        <v/>
      </c>
      <c r="AA161" s="35">
        <f>(G161&lt;&gt;"")+(H161&lt;&gt;"")+(I161&lt;&gt;"")</f>
        <v/>
      </c>
      <c r="AB161" s="35">
        <f>IF(O161&lt;&gt;"",O161,IF(AA161&lt;3,"",IF(X161=1,Tage_nicht_beschaffbar,Tage_beschaffbar)))</f>
        <v/>
      </c>
      <c r="AC161" s="35">
        <f>IF(K161="","",K161*1000+W161*10+(1000-ROW())/100000)</f>
        <v/>
      </c>
    </row>
    <row r="162" ht="34" customHeight="1">
      <c r="A162" s="23">
        <f>IF(B162="","",COUNTA($B$9:B162))</f>
        <v/>
      </c>
      <c r="B162" s="24" t="n"/>
      <c r="C162" s="25" t="n"/>
      <c r="D162" s="25" t="n"/>
      <c r="E162" s="25" t="n"/>
      <c r="F162" s="26" t="n"/>
      <c r="G162" s="26" t="n"/>
      <c r="H162" s="26" t="n"/>
      <c r="I162" s="26" t="n"/>
      <c r="J162" s="23">
        <f>IF(AA162&lt;3,"",X162+Y162+Z162)</f>
        <v/>
      </c>
      <c r="K162" s="27">
        <f>IF(OR(J162="",W162=""),"",W162*J162)</f>
        <v/>
      </c>
      <c r="L162" s="28">
        <f>IF(K162="","",IF(K162&lt;=Gruen_bis,"grün",IF(K162&lt;=Gelb_bis,"gelb","rot")))</f>
        <v/>
      </c>
      <c r="M162" s="29">
        <f>IF(L162="",IF(B162="","","Bewertung unvollständig – ★-Felder ausfüllen"),IF(L162="grün","Keine aktive Maßnahme – jährlich prüfen",IF(AND(X162=1,Y162=1,Z162=1),"Sofort sichern: Restbestand / Gebrauchtteil kaufen und Ersatzlösung (Retrofit) planen",IF(AND(X162=1,Z162=1),"Reparaturweg absichern (Dienstleister, Tauschteil), Gebrauchtteil prüfen",IF(X162=1,"Abgekündigt: Lagerteil schützen, Ersatzlösung mittelfristig planen",IF(Z162=1,IF(LEFT(Q162,4)="nein","Bevorratung lohnt nicht – Lieferzeit und Reparaturweg absichern","Lagerbestand anlegen (mind. 1 Stk.)"),"Reparaturmöglichkeit klären"))))))</f>
        <v/>
      </c>
      <c r="N162" s="30" t="n"/>
      <c r="O162" s="31" t="n"/>
      <c r="P162" s="32">
        <f>IF(OR(AB162="",W162="",Z162=0),"",AB162*INDEX(Krit_Kosten,MATCH(F162,Krit_Liste,0)))</f>
        <v/>
      </c>
      <c r="Q162" s="33">
        <f>IF(L162="","",IF(L162="grün","–",IF(Z162=0,"am Lager / in stock",IF(N(N162)&lt;=0,"Stückpreis fehlt",IF(P162&gt;=Faktor_lohnt*N162,"ja – "&amp;FIXED(P162/N162,0)&amp;"-fach","nein – "&amp;FIXED(P162/N162,IF(P162/N162&lt;1,2,1))&amp;"-fach")))))</f>
        <v/>
      </c>
      <c r="R162" s="25" t="n"/>
      <c r="S162" s="34" t="n"/>
      <c r="T162" s="31" t="n"/>
      <c r="U162" s="25" t="n"/>
      <c r="V162" s="2" t="n"/>
      <c r="W162" s="35">
        <f>IFERROR(INDEX(Krit_Faktor,MATCH(F162,Krit_Liste,0)),"")</f>
        <v/>
      </c>
      <c r="X162" s="35">
        <f>IF(OR(G162="nein",G162="no"),1,0)</f>
        <v/>
      </c>
      <c r="Y162" s="35">
        <f>IF(OR(H162="nein",H162="no"),1,0)</f>
        <v/>
      </c>
      <c r="Z162" s="35">
        <f>IF(OR(I162="nein",I162="no"),1,0)</f>
        <v/>
      </c>
      <c r="AA162" s="35">
        <f>(G162&lt;&gt;"")+(H162&lt;&gt;"")+(I162&lt;&gt;"")</f>
        <v/>
      </c>
      <c r="AB162" s="35">
        <f>IF(O162&lt;&gt;"",O162,IF(AA162&lt;3,"",IF(X162=1,Tage_nicht_beschaffbar,Tage_beschaffbar)))</f>
        <v/>
      </c>
      <c r="AC162" s="35">
        <f>IF(K162="","",K162*1000+W162*10+(1000-ROW())/100000)</f>
        <v/>
      </c>
    </row>
    <row r="163" ht="34" customHeight="1">
      <c r="A163" s="23">
        <f>IF(B163="","",COUNTA($B$9:B163))</f>
        <v/>
      </c>
      <c r="B163" s="24" t="n"/>
      <c r="C163" s="25" t="n"/>
      <c r="D163" s="25" t="n"/>
      <c r="E163" s="25" t="n"/>
      <c r="F163" s="26" t="n"/>
      <c r="G163" s="26" t="n"/>
      <c r="H163" s="26" t="n"/>
      <c r="I163" s="26" t="n"/>
      <c r="J163" s="23">
        <f>IF(AA163&lt;3,"",X163+Y163+Z163)</f>
        <v/>
      </c>
      <c r="K163" s="27">
        <f>IF(OR(J163="",W163=""),"",W163*J163)</f>
        <v/>
      </c>
      <c r="L163" s="28">
        <f>IF(K163="","",IF(K163&lt;=Gruen_bis,"grün",IF(K163&lt;=Gelb_bis,"gelb","rot")))</f>
        <v/>
      </c>
      <c r="M163" s="29">
        <f>IF(L163="",IF(B163="","","Bewertung unvollständig – ★-Felder ausfüllen"),IF(L163="grün","Keine aktive Maßnahme – jährlich prüfen",IF(AND(X163=1,Y163=1,Z163=1),"Sofort sichern: Restbestand / Gebrauchtteil kaufen und Ersatzlösung (Retrofit) planen",IF(AND(X163=1,Z163=1),"Reparaturweg absichern (Dienstleister, Tauschteil), Gebrauchtteil prüfen",IF(X163=1,"Abgekündigt: Lagerteil schützen, Ersatzlösung mittelfristig planen",IF(Z163=1,IF(LEFT(Q163,4)="nein","Bevorratung lohnt nicht – Lieferzeit und Reparaturweg absichern","Lagerbestand anlegen (mind. 1 Stk.)"),"Reparaturmöglichkeit klären"))))))</f>
        <v/>
      </c>
      <c r="N163" s="30" t="n"/>
      <c r="O163" s="31" t="n"/>
      <c r="P163" s="32">
        <f>IF(OR(AB163="",W163="",Z163=0),"",AB163*INDEX(Krit_Kosten,MATCH(F163,Krit_Liste,0)))</f>
        <v/>
      </c>
      <c r="Q163" s="33">
        <f>IF(L163="","",IF(L163="grün","–",IF(Z163=0,"am Lager / in stock",IF(N(N163)&lt;=0,"Stückpreis fehlt",IF(P163&gt;=Faktor_lohnt*N163,"ja – "&amp;FIXED(P163/N163,0)&amp;"-fach","nein – "&amp;FIXED(P163/N163,IF(P163/N163&lt;1,2,1))&amp;"-fach")))))</f>
        <v/>
      </c>
      <c r="R163" s="25" t="n"/>
      <c r="S163" s="34" t="n"/>
      <c r="T163" s="31" t="n"/>
      <c r="U163" s="25" t="n"/>
      <c r="V163" s="2" t="n"/>
      <c r="W163" s="35">
        <f>IFERROR(INDEX(Krit_Faktor,MATCH(F163,Krit_Liste,0)),"")</f>
        <v/>
      </c>
      <c r="X163" s="35">
        <f>IF(OR(G163="nein",G163="no"),1,0)</f>
        <v/>
      </c>
      <c r="Y163" s="35">
        <f>IF(OR(H163="nein",H163="no"),1,0)</f>
        <v/>
      </c>
      <c r="Z163" s="35">
        <f>IF(OR(I163="nein",I163="no"),1,0)</f>
        <v/>
      </c>
      <c r="AA163" s="35">
        <f>(G163&lt;&gt;"")+(H163&lt;&gt;"")+(I163&lt;&gt;"")</f>
        <v/>
      </c>
      <c r="AB163" s="35">
        <f>IF(O163&lt;&gt;"",O163,IF(AA163&lt;3,"",IF(X163=1,Tage_nicht_beschaffbar,Tage_beschaffbar)))</f>
        <v/>
      </c>
      <c r="AC163" s="35">
        <f>IF(K163="","",K163*1000+W163*10+(1000-ROW())/100000)</f>
        <v/>
      </c>
    </row>
    <row r="164" ht="34" customHeight="1">
      <c r="A164" s="23">
        <f>IF(B164="","",COUNTA($B$9:B164))</f>
        <v/>
      </c>
      <c r="B164" s="24" t="n"/>
      <c r="C164" s="25" t="n"/>
      <c r="D164" s="25" t="n"/>
      <c r="E164" s="25" t="n"/>
      <c r="F164" s="26" t="n"/>
      <c r="G164" s="26" t="n"/>
      <c r="H164" s="26" t="n"/>
      <c r="I164" s="26" t="n"/>
      <c r="J164" s="23">
        <f>IF(AA164&lt;3,"",X164+Y164+Z164)</f>
        <v/>
      </c>
      <c r="K164" s="27">
        <f>IF(OR(J164="",W164=""),"",W164*J164)</f>
        <v/>
      </c>
      <c r="L164" s="28">
        <f>IF(K164="","",IF(K164&lt;=Gruen_bis,"grün",IF(K164&lt;=Gelb_bis,"gelb","rot")))</f>
        <v/>
      </c>
      <c r="M164" s="29">
        <f>IF(L164="",IF(B164="","","Bewertung unvollständig – ★-Felder ausfüllen"),IF(L164="grün","Keine aktive Maßnahme – jährlich prüfen",IF(AND(X164=1,Y164=1,Z164=1),"Sofort sichern: Restbestand / Gebrauchtteil kaufen und Ersatzlösung (Retrofit) planen",IF(AND(X164=1,Z164=1),"Reparaturweg absichern (Dienstleister, Tauschteil), Gebrauchtteil prüfen",IF(X164=1,"Abgekündigt: Lagerteil schützen, Ersatzlösung mittelfristig planen",IF(Z164=1,IF(LEFT(Q164,4)="nein","Bevorratung lohnt nicht – Lieferzeit und Reparaturweg absichern","Lagerbestand anlegen (mind. 1 Stk.)"),"Reparaturmöglichkeit klären"))))))</f>
        <v/>
      </c>
      <c r="N164" s="30" t="n"/>
      <c r="O164" s="31" t="n"/>
      <c r="P164" s="32">
        <f>IF(OR(AB164="",W164="",Z164=0),"",AB164*INDEX(Krit_Kosten,MATCH(F164,Krit_Liste,0)))</f>
        <v/>
      </c>
      <c r="Q164" s="33">
        <f>IF(L164="","",IF(L164="grün","–",IF(Z164=0,"am Lager / in stock",IF(N(N164)&lt;=0,"Stückpreis fehlt",IF(P164&gt;=Faktor_lohnt*N164,"ja – "&amp;FIXED(P164/N164,0)&amp;"-fach","nein – "&amp;FIXED(P164/N164,IF(P164/N164&lt;1,2,1))&amp;"-fach")))))</f>
        <v/>
      </c>
      <c r="R164" s="25" t="n"/>
      <c r="S164" s="34" t="n"/>
      <c r="T164" s="31" t="n"/>
      <c r="U164" s="25" t="n"/>
      <c r="V164" s="2" t="n"/>
      <c r="W164" s="35">
        <f>IFERROR(INDEX(Krit_Faktor,MATCH(F164,Krit_Liste,0)),"")</f>
        <v/>
      </c>
      <c r="X164" s="35">
        <f>IF(OR(G164="nein",G164="no"),1,0)</f>
        <v/>
      </c>
      <c r="Y164" s="35">
        <f>IF(OR(H164="nein",H164="no"),1,0)</f>
        <v/>
      </c>
      <c r="Z164" s="35">
        <f>IF(OR(I164="nein",I164="no"),1,0)</f>
        <v/>
      </c>
      <c r="AA164" s="35">
        <f>(G164&lt;&gt;"")+(H164&lt;&gt;"")+(I164&lt;&gt;"")</f>
        <v/>
      </c>
      <c r="AB164" s="35">
        <f>IF(O164&lt;&gt;"",O164,IF(AA164&lt;3,"",IF(X164=1,Tage_nicht_beschaffbar,Tage_beschaffbar)))</f>
        <v/>
      </c>
      <c r="AC164" s="35">
        <f>IF(K164="","",K164*1000+W164*10+(1000-ROW())/100000)</f>
        <v/>
      </c>
    </row>
    <row r="165" ht="34" customHeight="1">
      <c r="A165" s="23">
        <f>IF(B165="","",COUNTA($B$9:B165))</f>
        <v/>
      </c>
      <c r="B165" s="24" t="n"/>
      <c r="C165" s="25" t="n"/>
      <c r="D165" s="25" t="n"/>
      <c r="E165" s="25" t="n"/>
      <c r="F165" s="26" t="n"/>
      <c r="G165" s="26" t="n"/>
      <c r="H165" s="26" t="n"/>
      <c r="I165" s="26" t="n"/>
      <c r="J165" s="23">
        <f>IF(AA165&lt;3,"",X165+Y165+Z165)</f>
        <v/>
      </c>
      <c r="K165" s="27">
        <f>IF(OR(J165="",W165=""),"",W165*J165)</f>
        <v/>
      </c>
      <c r="L165" s="28">
        <f>IF(K165="","",IF(K165&lt;=Gruen_bis,"grün",IF(K165&lt;=Gelb_bis,"gelb","rot")))</f>
        <v/>
      </c>
      <c r="M165" s="29">
        <f>IF(L165="",IF(B165="","","Bewertung unvollständig – ★-Felder ausfüllen"),IF(L165="grün","Keine aktive Maßnahme – jährlich prüfen",IF(AND(X165=1,Y165=1,Z165=1),"Sofort sichern: Restbestand / Gebrauchtteil kaufen und Ersatzlösung (Retrofit) planen",IF(AND(X165=1,Z165=1),"Reparaturweg absichern (Dienstleister, Tauschteil), Gebrauchtteil prüfen",IF(X165=1,"Abgekündigt: Lagerteil schützen, Ersatzlösung mittelfristig planen",IF(Z165=1,IF(LEFT(Q165,4)="nein","Bevorratung lohnt nicht – Lieferzeit und Reparaturweg absichern","Lagerbestand anlegen (mind. 1 Stk.)"),"Reparaturmöglichkeit klären"))))))</f>
        <v/>
      </c>
      <c r="N165" s="30" t="n"/>
      <c r="O165" s="31" t="n"/>
      <c r="P165" s="32">
        <f>IF(OR(AB165="",W165="",Z165=0),"",AB165*INDEX(Krit_Kosten,MATCH(F165,Krit_Liste,0)))</f>
        <v/>
      </c>
      <c r="Q165" s="33">
        <f>IF(L165="","",IF(L165="grün","–",IF(Z165=0,"am Lager / in stock",IF(N(N165)&lt;=0,"Stückpreis fehlt",IF(P165&gt;=Faktor_lohnt*N165,"ja – "&amp;FIXED(P165/N165,0)&amp;"-fach","nein – "&amp;FIXED(P165/N165,IF(P165/N165&lt;1,2,1))&amp;"-fach")))))</f>
        <v/>
      </c>
      <c r="R165" s="25" t="n"/>
      <c r="S165" s="34" t="n"/>
      <c r="T165" s="31" t="n"/>
      <c r="U165" s="25" t="n"/>
      <c r="V165" s="2" t="n"/>
      <c r="W165" s="35">
        <f>IFERROR(INDEX(Krit_Faktor,MATCH(F165,Krit_Liste,0)),"")</f>
        <v/>
      </c>
      <c r="X165" s="35">
        <f>IF(OR(G165="nein",G165="no"),1,0)</f>
        <v/>
      </c>
      <c r="Y165" s="35">
        <f>IF(OR(H165="nein",H165="no"),1,0)</f>
        <v/>
      </c>
      <c r="Z165" s="35">
        <f>IF(OR(I165="nein",I165="no"),1,0)</f>
        <v/>
      </c>
      <c r="AA165" s="35">
        <f>(G165&lt;&gt;"")+(H165&lt;&gt;"")+(I165&lt;&gt;"")</f>
        <v/>
      </c>
      <c r="AB165" s="35">
        <f>IF(O165&lt;&gt;"",O165,IF(AA165&lt;3,"",IF(X165=1,Tage_nicht_beschaffbar,Tage_beschaffbar)))</f>
        <v/>
      </c>
      <c r="AC165" s="35">
        <f>IF(K165="","",K165*1000+W165*10+(1000-ROW())/100000)</f>
        <v/>
      </c>
    </row>
    <row r="166" ht="34" customHeight="1">
      <c r="A166" s="23">
        <f>IF(B166="","",COUNTA($B$9:B166))</f>
        <v/>
      </c>
      <c r="B166" s="24" t="n"/>
      <c r="C166" s="25" t="n"/>
      <c r="D166" s="25" t="n"/>
      <c r="E166" s="25" t="n"/>
      <c r="F166" s="26" t="n"/>
      <c r="G166" s="26" t="n"/>
      <c r="H166" s="26" t="n"/>
      <c r="I166" s="26" t="n"/>
      <c r="J166" s="23">
        <f>IF(AA166&lt;3,"",X166+Y166+Z166)</f>
        <v/>
      </c>
      <c r="K166" s="27">
        <f>IF(OR(J166="",W166=""),"",W166*J166)</f>
        <v/>
      </c>
      <c r="L166" s="28">
        <f>IF(K166="","",IF(K166&lt;=Gruen_bis,"grün",IF(K166&lt;=Gelb_bis,"gelb","rot")))</f>
        <v/>
      </c>
      <c r="M166" s="29">
        <f>IF(L166="",IF(B166="","","Bewertung unvollständig – ★-Felder ausfüllen"),IF(L166="grün","Keine aktive Maßnahme – jährlich prüfen",IF(AND(X166=1,Y166=1,Z166=1),"Sofort sichern: Restbestand / Gebrauchtteil kaufen und Ersatzlösung (Retrofit) planen",IF(AND(X166=1,Z166=1),"Reparaturweg absichern (Dienstleister, Tauschteil), Gebrauchtteil prüfen",IF(X166=1,"Abgekündigt: Lagerteil schützen, Ersatzlösung mittelfristig planen",IF(Z166=1,IF(LEFT(Q166,4)="nein","Bevorratung lohnt nicht – Lieferzeit und Reparaturweg absichern","Lagerbestand anlegen (mind. 1 Stk.)"),"Reparaturmöglichkeit klären"))))))</f>
        <v/>
      </c>
      <c r="N166" s="30" t="n"/>
      <c r="O166" s="31" t="n"/>
      <c r="P166" s="32">
        <f>IF(OR(AB166="",W166="",Z166=0),"",AB166*INDEX(Krit_Kosten,MATCH(F166,Krit_Liste,0)))</f>
        <v/>
      </c>
      <c r="Q166" s="33">
        <f>IF(L166="","",IF(L166="grün","–",IF(Z166=0,"am Lager / in stock",IF(N(N166)&lt;=0,"Stückpreis fehlt",IF(P166&gt;=Faktor_lohnt*N166,"ja – "&amp;FIXED(P166/N166,0)&amp;"-fach","nein – "&amp;FIXED(P166/N166,IF(P166/N166&lt;1,2,1))&amp;"-fach")))))</f>
        <v/>
      </c>
      <c r="R166" s="25" t="n"/>
      <c r="S166" s="34" t="n"/>
      <c r="T166" s="31" t="n"/>
      <c r="U166" s="25" t="n"/>
      <c r="V166" s="2" t="n"/>
      <c r="W166" s="35">
        <f>IFERROR(INDEX(Krit_Faktor,MATCH(F166,Krit_Liste,0)),"")</f>
        <v/>
      </c>
      <c r="X166" s="35">
        <f>IF(OR(G166="nein",G166="no"),1,0)</f>
        <v/>
      </c>
      <c r="Y166" s="35">
        <f>IF(OR(H166="nein",H166="no"),1,0)</f>
        <v/>
      </c>
      <c r="Z166" s="35">
        <f>IF(OR(I166="nein",I166="no"),1,0)</f>
        <v/>
      </c>
      <c r="AA166" s="35">
        <f>(G166&lt;&gt;"")+(H166&lt;&gt;"")+(I166&lt;&gt;"")</f>
        <v/>
      </c>
      <c r="AB166" s="35">
        <f>IF(O166&lt;&gt;"",O166,IF(AA166&lt;3,"",IF(X166=1,Tage_nicht_beschaffbar,Tage_beschaffbar)))</f>
        <v/>
      </c>
      <c r="AC166" s="35">
        <f>IF(K166="","",K166*1000+W166*10+(1000-ROW())/100000)</f>
        <v/>
      </c>
    </row>
    <row r="167" ht="34" customHeight="1">
      <c r="A167" s="23">
        <f>IF(B167="","",COUNTA($B$9:B167))</f>
        <v/>
      </c>
      <c r="B167" s="24" t="n"/>
      <c r="C167" s="25" t="n"/>
      <c r="D167" s="25" t="n"/>
      <c r="E167" s="25" t="n"/>
      <c r="F167" s="26" t="n"/>
      <c r="G167" s="26" t="n"/>
      <c r="H167" s="26" t="n"/>
      <c r="I167" s="26" t="n"/>
      <c r="J167" s="23">
        <f>IF(AA167&lt;3,"",X167+Y167+Z167)</f>
        <v/>
      </c>
      <c r="K167" s="27">
        <f>IF(OR(J167="",W167=""),"",W167*J167)</f>
        <v/>
      </c>
      <c r="L167" s="28">
        <f>IF(K167="","",IF(K167&lt;=Gruen_bis,"grün",IF(K167&lt;=Gelb_bis,"gelb","rot")))</f>
        <v/>
      </c>
      <c r="M167" s="29">
        <f>IF(L167="",IF(B167="","","Bewertung unvollständig – ★-Felder ausfüllen"),IF(L167="grün","Keine aktive Maßnahme – jährlich prüfen",IF(AND(X167=1,Y167=1,Z167=1),"Sofort sichern: Restbestand / Gebrauchtteil kaufen und Ersatzlösung (Retrofit) planen",IF(AND(X167=1,Z167=1),"Reparaturweg absichern (Dienstleister, Tauschteil), Gebrauchtteil prüfen",IF(X167=1,"Abgekündigt: Lagerteil schützen, Ersatzlösung mittelfristig planen",IF(Z167=1,IF(LEFT(Q167,4)="nein","Bevorratung lohnt nicht – Lieferzeit und Reparaturweg absichern","Lagerbestand anlegen (mind. 1 Stk.)"),"Reparaturmöglichkeit klären"))))))</f>
        <v/>
      </c>
      <c r="N167" s="30" t="n"/>
      <c r="O167" s="31" t="n"/>
      <c r="P167" s="32">
        <f>IF(OR(AB167="",W167="",Z167=0),"",AB167*INDEX(Krit_Kosten,MATCH(F167,Krit_Liste,0)))</f>
        <v/>
      </c>
      <c r="Q167" s="33">
        <f>IF(L167="","",IF(L167="grün","–",IF(Z167=0,"am Lager / in stock",IF(N(N167)&lt;=0,"Stückpreis fehlt",IF(P167&gt;=Faktor_lohnt*N167,"ja – "&amp;FIXED(P167/N167,0)&amp;"-fach","nein – "&amp;FIXED(P167/N167,IF(P167/N167&lt;1,2,1))&amp;"-fach")))))</f>
        <v/>
      </c>
      <c r="R167" s="25" t="n"/>
      <c r="S167" s="34" t="n"/>
      <c r="T167" s="31" t="n"/>
      <c r="U167" s="25" t="n"/>
      <c r="V167" s="2" t="n"/>
      <c r="W167" s="35">
        <f>IFERROR(INDEX(Krit_Faktor,MATCH(F167,Krit_Liste,0)),"")</f>
        <v/>
      </c>
      <c r="X167" s="35">
        <f>IF(OR(G167="nein",G167="no"),1,0)</f>
        <v/>
      </c>
      <c r="Y167" s="35">
        <f>IF(OR(H167="nein",H167="no"),1,0)</f>
        <v/>
      </c>
      <c r="Z167" s="35">
        <f>IF(OR(I167="nein",I167="no"),1,0)</f>
        <v/>
      </c>
      <c r="AA167" s="35">
        <f>(G167&lt;&gt;"")+(H167&lt;&gt;"")+(I167&lt;&gt;"")</f>
        <v/>
      </c>
      <c r="AB167" s="35">
        <f>IF(O167&lt;&gt;"",O167,IF(AA167&lt;3,"",IF(X167=1,Tage_nicht_beschaffbar,Tage_beschaffbar)))</f>
        <v/>
      </c>
      <c r="AC167" s="35">
        <f>IF(K167="","",K167*1000+W167*10+(1000-ROW())/100000)</f>
        <v/>
      </c>
    </row>
    <row r="168" ht="34" customHeight="1">
      <c r="A168" s="23">
        <f>IF(B168="","",COUNTA($B$9:B168))</f>
        <v/>
      </c>
      <c r="B168" s="24" t="n"/>
      <c r="C168" s="25" t="n"/>
      <c r="D168" s="25" t="n"/>
      <c r="E168" s="25" t="n"/>
      <c r="F168" s="26" t="n"/>
      <c r="G168" s="26" t="n"/>
      <c r="H168" s="26" t="n"/>
      <c r="I168" s="26" t="n"/>
      <c r="J168" s="23">
        <f>IF(AA168&lt;3,"",X168+Y168+Z168)</f>
        <v/>
      </c>
      <c r="K168" s="27">
        <f>IF(OR(J168="",W168=""),"",W168*J168)</f>
        <v/>
      </c>
      <c r="L168" s="28">
        <f>IF(K168="","",IF(K168&lt;=Gruen_bis,"grün",IF(K168&lt;=Gelb_bis,"gelb","rot")))</f>
        <v/>
      </c>
      <c r="M168" s="29">
        <f>IF(L168="",IF(B168="","","Bewertung unvollständig – ★-Felder ausfüllen"),IF(L168="grün","Keine aktive Maßnahme – jährlich prüfen",IF(AND(X168=1,Y168=1,Z168=1),"Sofort sichern: Restbestand / Gebrauchtteil kaufen und Ersatzlösung (Retrofit) planen",IF(AND(X168=1,Z168=1),"Reparaturweg absichern (Dienstleister, Tauschteil), Gebrauchtteil prüfen",IF(X168=1,"Abgekündigt: Lagerteil schützen, Ersatzlösung mittelfristig planen",IF(Z168=1,IF(LEFT(Q168,4)="nein","Bevorratung lohnt nicht – Lieferzeit und Reparaturweg absichern","Lagerbestand anlegen (mind. 1 Stk.)"),"Reparaturmöglichkeit klären"))))))</f>
        <v/>
      </c>
      <c r="N168" s="30" t="n"/>
      <c r="O168" s="31" t="n"/>
      <c r="P168" s="32">
        <f>IF(OR(AB168="",W168="",Z168=0),"",AB168*INDEX(Krit_Kosten,MATCH(F168,Krit_Liste,0)))</f>
        <v/>
      </c>
      <c r="Q168" s="33">
        <f>IF(L168="","",IF(L168="grün","–",IF(Z168=0,"am Lager / in stock",IF(N(N168)&lt;=0,"Stückpreis fehlt",IF(P168&gt;=Faktor_lohnt*N168,"ja – "&amp;FIXED(P168/N168,0)&amp;"-fach","nein – "&amp;FIXED(P168/N168,IF(P168/N168&lt;1,2,1))&amp;"-fach")))))</f>
        <v/>
      </c>
      <c r="R168" s="25" t="n"/>
      <c r="S168" s="34" t="n"/>
      <c r="T168" s="31" t="n"/>
      <c r="U168" s="25" t="n"/>
      <c r="V168" s="2" t="n"/>
      <c r="W168" s="35">
        <f>IFERROR(INDEX(Krit_Faktor,MATCH(F168,Krit_Liste,0)),"")</f>
        <v/>
      </c>
      <c r="X168" s="35">
        <f>IF(OR(G168="nein",G168="no"),1,0)</f>
        <v/>
      </c>
      <c r="Y168" s="35">
        <f>IF(OR(H168="nein",H168="no"),1,0)</f>
        <v/>
      </c>
      <c r="Z168" s="35">
        <f>IF(OR(I168="nein",I168="no"),1,0)</f>
        <v/>
      </c>
      <c r="AA168" s="35">
        <f>(G168&lt;&gt;"")+(H168&lt;&gt;"")+(I168&lt;&gt;"")</f>
        <v/>
      </c>
      <c r="AB168" s="35">
        <f>IF(O168&lt;&gt;"",O168,IF(AA168&lt;3,"",IF(X168=1,Tage_nicht_beschaffbar,Tage_beschaffbar)))</f>
        <v/>
      </c>
      <c r="AC168" s="35">
        <f>IF(K168="","",K168*1000+W168*10+(1000-ROW())/100000)</f>
        <v/>
      </c>
    </row>
    <row r="169" ht="34" customHeight="1">
      <c r="A169" s="23">
        <f>IF(B169="","",COUNTA($B$9:B169))</f>
        <v/>
      </c>
      <c r="B169" s="24" t="n"/>
      <c r="C169" s="25" t="n"/>
      <c r="D169" s="25" t="n"/>
      <c r="E169" s="25" t="n"/>
      <c r="F169" s="26" t="n"/>
      <c r="G169" s="26" t="n"/>
      <c r="H169" s="26" t="n"/>
      <c r="I169" s="26" t="n"/>
      <c r="J169" s="23">
        <f>IF(AA169&lt;3,"",X169+Y169+Z169)</f>
        <v/>
      </c>
      <c r="K169" s="27">
        <f>IF(OR(J169="",W169=""),"",W169*J169)</f>
        <v/>
      </c>
      <c r="L169" s="28">
        <f>IF(K169="","",IF(K169&lt;=Gruen_bis,"grün",IF(K169&lt;=Gelb_bis,"gelb","rot")))</f>
        <v/>
      </c>
      <c r="M169" s="29">
        <f>IF(L169="",IF(B169="","","Bewertung unvollständig – ★-Felder ausfüllen"),IF(L169="grün","Keine aktive Maßnahme – jährlich prüfen",IF(AND(X169=1,Y169=1,Z169=1),"Sofort sichern: Restbestand / Gebrauchtteil kaufen und Ersatzlösung (Retrofit) planen",IF(AND(X169=1,Z169=1),"Reparaturweg absichern (Dienstleister, Tauschteil), Gebrauchtteil prüfen",IF(X169=1,"Abgekündigt: Lagerteil schützen, Ersatzlösung mittelfristig planen",IF(Z169=1,IF(LEFT(Q169,4)="nein","Bevorratung lohnt nicht – Lieferzeit und Reparaturweg absichern","Lagerbestand anlegen (mind. 1 Stk.)"),"Reparaturmöglichkeit klären"))))))</f>
        <v/>
      </c>
      <c r="N169" s="30" t="n"/>
      <c r="O169" s="31" t="n"/>
      <c r="P169" s="32">
        <f>IF(OR(AB169="",W169="",Z169=0),"",AB169*INDEX(Krit_Kosten,MATCH(F169,Krit_Liste,0)))</f>
        <v/>
      </c>
      <c r="Q169" s="33">
        <f>IF(L169="","",IF(L169="grün","–",IF(Z169=0,"am Lager / in stock",IF(N(N169)&lt;=0,"Stückpreis fehlt",IF(P169&gt;=Faktor_lohnt*N169,"ja – "&amp;FIXED(P169/N169,0)&amp;"-fach","nein – "&amp;FIXED(P169/N169,IF(P169/N169&lt;1,2,1))&amp;"-fach")))))</f>
        <v/>
      </c>
      <c r="R169" s="25" t="n"/>
      <c r="S169" s="34" t="n"/>
      <c r="T169" s="31" t="n"/>
      <c r="U169" s="25" t="n"/>
      <c r="V169" s="2" t="n"/>
      <c r="W169" s="35">
        <f>IFERROR(INDEX(Krit_Faktor,MATCH(F169,Krit_Liste,0)),"")</f>
        <v/>
      </c>
      <c r="X169" s="35">
        <f>IF(OR(G169="nein",G169="no"),1,0)</f>
        <v/>
      </c>
      <c r="Y169" s="35">
        <f>IF(OR(H169="nein",H169="no"),1,0)</f>
        <v/>
      </c>
      <c r="Z169" s="35">
        <f>IF(OR(I169="nein",I169="no"),1,0)</f>
        <v/>
      </c>
      <c r="AA169" s="35">
        <f>(G169&lt;&gt;"")+(H169&lt;&gt;"")+(I169&lt;&gt;"")</f>
        <v/>
      </c>
      <c r="AB169" s="35">
        <f>IF(O169&lt;&gt;"",O169,IF(AA169&lt;3,"",IF(X169=1,Tage_nicht_beschaffbar,Tage_beschaffbar)))</f>
        <v/>
      </c>
      <c r="AC169" s="35">
        <f>IF(K169="","",K169*1000+W169*10+(1000-ROW())/100000)</f>
        <v/>
      </c>
    </row>
    <row r="170" ht="34" customHeight="1">
      <c r="A170" s="23">
        <f>IF(B170="","",COUNTA($B$9:B170))</f>
        <v/>
      </c>
      <c r="B170" s="24" t="n"/>
      <c r="C170" s="25" t="n"/>
      <c r="D170" s="25" t="n"/>
      <c r="E170" s="25" t="n"/>
      <c r="F170" s="26" t="n"/>
      <c r="G170" s="26" t="n"/>
      <c r="H170" s="26" t="n"/>
      <c r="I170" s="26" t="n"/>
      <c r="J170" s="23">
        <f>IF(AA170&lt;3,"",X170+Y170+Z170)</f>
        <v/>
      </c>
      <c r="K170" s="27">
        <f>IF(OR(J170="",W170=""),"",W170*J170)</f>
        <v/>
      </c>
      <c r="L170" s="28">
        <f>IF(K170="","",IF(K170&lt;=Gruen_bis,"grün",IF(K170&lt;=Gelb_bis,"gelb","rot")))</f>
        <v/>
      </c>
      <c r="M170" s="29">
        <f>IF(L170="",IF(B170="","","Bewertung unvollständig – ★-Felder ausfüllen"),IF(L170="grün","Keine aktive Maßnahme – jährlich prüfen",IF(AND(X170=1,Y170=1,Z170=1),"Sofort sichern: Restbestand / Gebrauchtteil kaufen und Ersatzlösung (Retrofit) planen",IF(AND(X170=1,Z170=1),"Reparaturweg absichern (Dienstleister, Tauschteil), Gebrauchtteil prüfen",IF(X170=1,"Abgekündigt: Lagerteil schützen, Ersatzlösung mittelfristig planen",IF(Z170=1,IF(LEFT(Q170,4)="nein","Bevorratung lohnt nicht – Lieferzeit und Reparaturweg absichern","Lagerbestand anlegen (mind. 1 Stk.)"),"Reparaturmöglichkeit klären"))))))</f>
        <v/>
      </c>
      <c r="N170" s="30" t="n"/>
      <c r="O170" s="31" t="n"/>
      <c r="P170" s="32">
        <f>IF(OR(AB170="",W170="",Z170=0),"",AB170*INDEX(Krit_Kosten,MATCH(F170,Krit_Liste,0)))</f>
        <v/>
      </c>
      <c r="Q170" s="33">
        <f>IF(L170="","",IF(L170="grün","–",IF(Z170=0,"am Lager / in stock",IF(N(N170)&lt;=0,"Stückpreis fehlt",IF(P170&gt;=Faktor_lohnt*N170,"ja – "&amp;FIXED(P170/N170,0)&amp;"-fach","nein – "&amp;FIXED(P170/N170,IF(P170/N170&lt;1,2,1))&amp;"-fach")))))</f>
        <v/>
      </c>
      <c r="R170" s="25" t="n"/>
      <c r="S170" s="34" t="n"/>
      <c r="T170" s="31" t="n"/>
      <c r="U170" s="25" t="n"/>
      <c r="V170" s="2" t="n"/>
      <c r="W170" s="35">
        <f>IFERROR(INDEX(Krit_Faktor,MATCH(F170,Krit_Liste,0)),"")</f>
        <v/>
      </c>
      <c r="X170" s="35">
        <f>IF(OR(G170="nein",G170="no"),1,0)</f>
        <v/>
      </c>
      <c r="Y170" s="35">
        <f>IF(OR(H170="nein",H170="no"),1,0)</f>
        <v/>
      </c>
      <c r="Z170" s="35">
        <f>IF(OR(I170="nein",I170="no"),1,0)</f>
        <v/>
      </c>
      <c r="AA170" s="35">
        <f>(G170&lt;&gt;"")+(H170&lt;&gt;"")+(I170&lt;&gt;"")</f>
        <v/>
      </c>
      <c r="AB170" s="35">
        <f>IF(O170&lt;&gt;"",O170,IF(AA170&lt;3,"",IF(X170=1,Tage_nicht_beschaffbar,Tage_beschaffbar)))</f>
        <v/>
      </c>
      <c r="AC170" s="35">
        <f>IF(K170="","",K170*1000+W170*10+(1000-ROW())/100000)</f>
        <v/>
      </c>
    </row>
    <row r="171" ht="34" customHeight="1">
      <c r="A171" s="23">
        <f>IF(B171="","",COUNTA($B$9:B171))</f>
        <v/>
      </c>
      <c r="B171" s="24" t="n"/>
      <c r="C171" s="25" t="n"/>
      <c r="D171" s="25" t="n"/>
      <c r="E171" s="25" t="n"/>
      <c r="F171" s="26" t="n"/>
      <c r="G171" s="26" t="n"/>
      <c r="H171" s="26" t="n"/>
      <c r="I171" s="26" t="n"/>
      <c r="J171" s="23">
        <f>IF(AA171&lt;3,"",X171+Y171+Z171)</f>
        <v/>
      </c>
      <c r="K171" s="27">
        <f>IF(OR(J171="",W171=""),"",W171*J171)</f>
        <v/>
      </c>
      <c r="L171" s="28">
        <f>IF(K171="","",IF(K171&lt;=Gruen_bis,"grün",IF(K171&lt;=Gelb_bis,"gelb","rot")))</f>
        <v/>
      </c>
      <c r="M171" s="29">
        <f>IF(L171="",IF(B171="","","Bewertung unvollständig – ★-Felder ausfüllen"),IF(L171="grün","Keine aktive Maßnahme – jährlich prüfen",IF(AND(X171=1,Y171=1,Z171=1),"Sofort sichern: Restbestand / Gebrauchtteil kaufen und Ersatzlösung (Retrofit) planen",IF(AND(X171=1,Z171=1),"Reparaturweg absichern (Dienstleister, Tauschteil), Gebrauchtteil prüfen",IF(X171=1,"Abgekündigt: Lagerteil schützen, Ersatzlösung mittelfristig planen",IF(Z171=1,IF(LEFT(Q171,4)="nein","Bevorratung lohnt nicht – Lieferzeit und Reparaturweg absichern","Lagerbestand anlegen (mind. 1 Stk.)"),"Reparaturmöglichkeit klären"))))))</f>
        <v/>
      </c>
      <c r="N171" s="30" t="n"/>
      <c r="O171" s="31" t="n"/>
      <c r="P171" s="32">
        <f>IF(OR(AB171="",W171="",Z171=0),"",AB171*INDEX(Krit_Kosten,MATCH(F171,Krit_Liste,0)))</f>
        <v/>
      </c>
      <c r="Q171" s="33">
        <f>IF(L171="","",IF(L171="grün","–",IF(Z171=0,"am Lager / in stock",IF(N(N171)&lt;=0,"Stückpreis fehlt",IF(P171&gt;=Faktor_lohnt*N171,"ja – "&amp;FIXED(P171/N171,0)&amp;"-fach","nein – "&amp;FIXED(P171/N171,IF(P171/N171&lt;1,2,1))&amp;"-fach")))))</f>
        <v/>
      </c>
      <c r="R171" s="25" t="n"/>
      <c r="S171" s="34" t="n"/>
      <c r="T171" s="31" t="n"/>
      <c r="U171" s="25" t="n"/>
      <c r="V171" s="2" t="n"/>
      <c r="W171" s="35">
        <f>IFERROR(INDEX(Krit_Faktor,MATCH(F171,Krit_Liste,0)),"")</f>
        <v/>
      </c>
      <c r="X171" s="35">
        <f>IF(OR(G171="nein",G171="no"),1,0)</f>
        <v/>
      </c>
      <c r="Y171" s="35">
        <f>IF(OR(H171="nein",H171="no"),1,0)</f>
        <v/>
      </c>
      <c r="Z171" s="35">
        <f>IF(OR(I171="nein",I171="no"),1,0)</f>
        <v/>
      </c>
      <c r="AA171" s="35">
        <f>(G171&lt;&gt;"")+(H171&lt;&gt;"")+(I171&lt;&gt;"")</f>
        <v/>
      </c>
      <c r="AB171" s="35">
        <f>IF(O171&lt;&gt;"",O171,IF(AA171&lt;3,"",IF(X171=1,Tage_nicht_beschaffbar,Tage_beschaffbar)))</f>
        <v/>
      </c>
      <c r="AC171" s="35">
        <f>IF(K171="","",K171*1000+W171*10+(1000-ROW())/100000)</f>
        <v/>
      </c>
    </row>
    <row r="172" ht="34" customHeight="1">
      <c r="A172" s="23">
        <f>IF(B172="","",COUNTA($B$9:B172))</f>
        <v/>
      </c>
      <c r="B172" s="24" t="n"/>
      <c r="C172" s="25" t="n"/>
      <c r="D172" s="25" t="n"/>
      <c r="E172" s="25" t="n"/>
      <c r="F172" s="26" t="n"/>
      <c r="G172" s="26" t="n"/>
      <c r="H172" s="26" t="n"/>
      <c r="I172" s="26" t="n"/>
      <c r="J172" s="23">
        <f>IF(AA172&lt;3,"",X172+Y172+Z172)</f>
        <v/>
      </c>
      <c r="K172" s="27">
        <f>IF(OR(J172="",W172=""),"",W172*J172)</f>
        <v/>
      </c>
      <c r="L172" s="28">
        <f>IF(K172="","",IF(K172&lt;=Gruen_bis,"grün",IF(K172&lt;=Gelb_bis,"gelb","rot")))</f>
        <v/>
      </c>
      <c r="M172" s="29">
        <f>IF(L172="",IF(B172="","","Bewertung unvollständig – ★-Felder ausfüllen"),IF(L172="grün","Keine aktive Maßnahme – jährlich prüfen",IF(AND(X172=1,Y172=1,Z172=1),"Sofort sichern: Restbestand / Gebrauchtteil kaufen und Ersatzlösung (Retrofit) planen",IF(AND(X172=1,Z172=1),"Reparaturweg absichern (Dienstleister, Tauschteil), Gebrauchtteil prüfen",IF(X172=1,"Abgekündigt: Lagerteil schützen, Ersatzlösung mittelfristig planen",IF(Z172=1,IF(LEFT(Q172,4)="nein","Bevorratung lohnt nicht – Lieferzeit und Reparaturweg absichern","Lagerbestand anlegen (mind. 1 Stk.)"),"Reparaturmöglichkeit klären"))))))</f>
        <v/>
      </c>
      <c r="N172" s="30" t="n"/>
      <c r="O172" s="31" t="n"/>
      <c r="P172" s="32">
        <f>IF(OR(AB172="",W172="",Z172=0),"",AB172*INDEX(Krit_Kosten,MATCH(F172,Krit_Liste,0)))</f>
        <v/>
      </c>
      <c r="Q172" s="33">
        <f>IF(L172="","",IF(L172="grün","–",IF(Z172=0,"am Lager / in stock",IF(N(N172)&lt;=0,"Stückpreis fehlt",IF(P172&gt;=Faktor_lohnt*N172,"ja – "&amp;FIXED(P172/N172,0)&amp;"-fach","nein – "&amp;FIXED(P172/N172,IF(P172/N172&lt;1,2,1))&amp;"-fach")))))</f>
        <v/>
      </c>
      <c r="R172" s="25" t="n"/>
      <c r="S172" s="34" t="n"/>
      <c r="T172" s="31" t="n"/>
      <c r="U172" s="25" t="n"/>
      <c r="V172" s="2" t="n"/>
      <c r="W172" s="35">
        <f>IFERROR(INDEX(Krit_Faktor,MATCH(F172,Krit_Liste,0)),"")</f>
        <v/>
      </c>
      <c r="X172" s="35">
        <f>IF(OR(G172="nein",G172="no"),1,0)</f>
        <v/>
      </c>
      <c r="Y172" s="35">
        <f>IF(OR(H172="nein",H172="no"),1,0)</f>
        <v/>
      </c>
      <c r="Z172" s="35">
        <f>IF(OR(I172="nein",I172="no"),1,0)</f>
        <v/>
      </c>
      <c r="AA172" s="35">
        <f>(G172&lt;&gt;"")+(H172&lt;&gt;"")+(I172&lt;&gt;"")</f>
        <v/>
      </c>
      <c r="AB172" s="35">
        <f>IF(O172&lt;&gt;"",O172,IF(AA172&lt;3,"",IF(X172=1,Tage_nicht_beschaffbar,Tage_beschaffbar)))</f>
        <v/>
      </c>
      <c r="AC172" s="35">
        <f>IF(K172="","",K172*1000+W172*10+(1000-ROW())/100000)</f>
        <v/>
      </c>
    </row>
    <row r="173" ht="34" customHeight="1">
      <c r="A173" s="23">
        <f>IF(B173="","",COUNTA($B$9:B173))</f>
        <v/>
      </c>
      <c r="B173" s="24" t="n"/>
      <c r="C173" s="25" t="n"/>
      <c r="D173" s="25" t="n"/>
      <c r="E173" s="25" t="n"/>
      <c r="F173" s="26" t="n"/>
      <c r="G173" s="26" t="n"/>
      <c r="H173" s="26" t="n"/>
      <c r="I173" s="26" t="n"/>
      <c r="J173" s="23">
        <f>IF(AA173&lt;3,"",X173+Y173+Z173)</f>
        <v/>
      </c>
      <c r="K173" s="27">
        <f>IF(OR(J173="",W173=""),"",W173*J173)</f>
        <v/>
      </c>
      <c r="L173" s="28">
        <f>IF(K173="","",IF(K173&lt;=Gruen_bis,"grün",IF(K173&lt;=Gelb_bis,"gelb","rot")))</f>
        <v/>
      </c>
      <c r="M173" s="29">
        <f>IF(L173="",IF(B173="","","Bewertung unvollständig – ★-Felder ausfüllen"),IF(L173="grün","Keine aktive Maßnahme – jährlich prüfen",IF(AND(X173=1,Y173=1,Z173=1),"Sofort sichern: Restbestand / Gebrauchtteil kaufen und Ersatzlösung (Retrofit) planen",IF(AND(X173=1,Z173=1),"Reparaturweg absichern (Dienstleister, Tauschteil), Gebrauchtteil prüfen",IF(X173=1,"Abgekündigt: Lagerteil schützen, Ersatzlösung mittelfristig planen",IF(Z173=1,IF(LEFT(Q173,4)="nein","Bevorratung lohnt nicht – Lieferzeit und Reparaturweg absichern","Lagerbestand anlegen (mind. 1 Stk.)"),"Reparaturmöglichkeit klären"))))))</f>
        <v/>
      </c>
      <c r="N173" s="30" t="n"/>
      <c r="O173" s="31" t="n"/>
      <c r="P173" s="32">
        <f>IF(OR(AB173="",W173="",Z173=0),"",AB173*INDEX(Krit_Kosten,MATCH(F173,Krit_Liste,0)))</f>
        <v/>
      </c>
      <c r="Q173" s="33">
        <f>IF(L173="","",IF(L173="grün","–",IF(Z173=0,"am Lager / in stock",IF(N(N173)&lt;=0,"Stückpreis fehlt",IF(P173&gt;=Faktor_lohnt*N173,"ja – "&amp;FIXED(P173/N173,0)&amp;"-fach","nein – "&amp;FIXED(P173/N173,IF(P173/N173&lt;1,2,1))&amp;"-fach")))))</f>
        <v/>
      </c>
      <c r="R173" s="25" t="n"/>
      <c r="S173" s="34" t="n"/>
      <c r="T173" s="31" t="n"/>
      <c r="U173" s="25" t="n"/>
      <c r="V173" s="2" t="n"/>
      <c r="W173" s="35">
        <f>IFERROR(INDEX(Krit_Faktor,MATCH(F173,Krit_Liste,0)),"")</f>
        <v/>
      </c>
      <c r="X173" s="35">
        <f>IF(OR(G173="nein",G173="no"),1,0)</f>
        <v/>
      </c>
      <c r="Y173" s="35">
        <f>IF(OR(H173="nein",H173="no"),1,0)</f>
        <v/>
      </c>
      <c r="Z173" s="35">
        <f>IF(OR(I173="nein",I173="no"),1,0)</f>
        <v/>
      </c>
      <c r="AA173" s="35">
        <f>(G173&lt;&gt;"")+(H173&lt;&gt;"")+(I173&lt;&gt;"")</f>
        <v/>
      </c>
      <c r="AB173" s="35">
        <f>IF(O173&lt;&gt;"",O173,IF(AA173&lt;3,"",IF(X173=1,Tage_nicht_beschaffbar,Tage_beschaffbar)))</f>
        <v/>
      </c>
      <c r="AC173" s="35">
        <f>IF(K173="","",K173*1000+W173*10+(1000-ROW())/100000)</f>
        <v/>
      </c>
    </row>
    <row r="174" ht="34" customHeight="1">
      <c r="A174" s="23">
        <f>IF(B174="","",COUNTA($B$9:B174))</f>
        <v/>
      </c>
      <c r="B174" s="24" t="n"/>
      <c r="C174" s="25" t="n"/>
      <c r="D174" s="25" t="n"/>
      <c r="E174" s="25" t="n"/>
      <c r="F174" s="26" t="n"/>
      <c r="G174" s="26" t="n"/>
      <c r="H174" s="26" t="n"/>
      <c r="I174" s="26" t="n"/>
      <c r="J174" s="23">
        <f>IF(AA174&lt;3,"",X174+Y174+Z174)</f>
        <v/>
      </c>
      <c r="K174" s="27">
        <f>IF(OR(J174="",W174=""),"",W174*J174)</f>
        <v/>
      </c>
      <c r="L174" s="28">
        <f>IF(K174="","",IF(K174&lt;=Gruen_bis,"grün",IF(K174&lt;=Gelb_bis,"gelb","rot")))</f>
        <v/>
      </c>
      <c r="M174" s="29">
        <f>IF(L174="",IF(B174="","","Bewertung unvollständig – ★-Felder ausfüllen"),IF(L174="grün","Keine aktive Maßnahme – jährlich prüfen",IF(AND(X174=1,Y174=1,Z174=1),"Sofort sichern: Restbestand / Gebrauchtteil kaufen und Ersatzlösung (Retrofit) planen",IF(AND(X174=1,Z174=1),"Reparaturweg absichern (Dienstleister, Tauschteil), Gebrauchtteil prüfen",IF(X174=1,"Abgekündigt: Lagerteil schützen, Ersatzlösung mittelfristig planen",IF(Z174=1,IF(LEFT(Q174,4)="nein","Bevorratung lohnt nicht – Lieferzeit und Reparaturweg absichern","Lagerbestand anlegen (mind. 1 Stk.)"),"Reparaturmöglichkeit klären"))))))</f>
        <v/>
      </c>
      <c r="N174" s="30" t="n"/>
      <c r="O174" s="31" t="n"/>
      <c r="P174" s="32">
        <f>IF(OR(AB174="",W174="",Z174=0),"",AB174*INDEX(Krit_Kosten,MATCH(F174,Krit_Liste,0)))</f>
        <v/>
      </c>
      <c r="Q174" s="33">
        <f>IF(L174="","",IF(L174="grün","–",IF(Z174=0,"am Lager / in stock",IF(N(N174)&lt;=0,"Stückpreis fehlt",IF(P174&gt;=Faktor_lohnt*N174,"ja – "&amp;FIXED(P174/N174,0)&amp;"-fach","nein – "&amp;FIXED(P174/N174,IF(P174/N174&lt;1,2,1))&amp;"-fach")))))</f>
        <v/>
      </c>
      <c r="R174" s="25" t="n"/>
      <c r="S174" s="34" t="n"/>
      <c r="T174" s="31" t="n"/>
      <c r="U174" s="25" t="n"/>
      <c r="V174" s="2" t="n"/>
      <c r="W174" s="35">
        <f>IFERROR(INDEX(Krit_Faktor,MATCH(F174,Krit_Liste,0)),"")</f>
        <v/>
      </c>
      <c r="X174" s="35">
        <f>IF(OR(G174="nein",G174="no"),1,0)</f>
        <v/>
      </c>
      <c r="Y174" s="35">
        <f>IF(OR(H174="nein",H174="no"),1,0)</f>
        <v/>
      </c>
      <c r="Z174" s="35">
        <f>IF(OR(I174="nein",I174="no"),1,0)</f>
        <v/>
      </c>
      <c r="AA174" s="35">
        <f>(G174&lt;&gt;"")+(H174&lt;&gt;"")+(I174&lt;&gt;"")</f>
        <v/>
      </c>
      <c r="AB174" s="35">
        <f>IF(O174&lt;&gt;"",O174,IF(AA174&lt;3,"",IF(X174=1,Tage_nicht_beschaffbar,Tage_beschaffbar)))</f>
        <v/>
      </c>
      <c r="AC174" s="35">
        <f>IF(K174="","",K174*1000+W174*10+(1000-ROW())/100000)</f>
        <v/>
      </c>
    </row>
    <row r="175" ht="34" customHeight="1">
      <c r="A175" s="23">
        <f>IF(B175="","",COUNTA($B$9:B175))</f>
        <v/>
      </c>
      <c r="B175" s="24" t="n"/>
      <c r="C175" s="25" t="n"/>
      <c r="D175" s="25" t="n"/>
      <c r="E175" s="25" t="n"/>
      <c r="F175" s="26" t="n"/>
      <c r="G175" s="26" t="n"/>
      <c r="H175" s="26" t="n"/>
      <c r="I175" s="26" t="n"/>
      <c r="J175" s="23">
        <f>IF(AA175&lt;3,"",X175+Y175+Z175)</f>
        <v/>
      </c>
      <c r="K175" s="27">
        <f>IF(OR(J175="",W175=""),"",W175*J175)</f>
        <v/>
      </c>
      <c r="L175" s="28">
        <f>IF(K175="","",IF(K175&lt;=Gruen_bis,"grün",IF(K175&lt;=Gelb_bis,"gelb","rot")))</f>
        <v/>
      </c>
      <c r="M175" s="29">
        <f>IF(L175="",IF(B175="","","Bewertung unvollständig – ★-Felder ausfüllen"),IF(L175="grün","Keine aktive Maßnahme – jährlich prüfen",IF(AND(X175=1,Y175=1,Z175=1),"Sofort sichern: Restbestand / Gebrauchtteil kaufen und Ersatzlösung (Retrofit) planen",IF(AND(X175=1,Z175=1),"Reparaturweg absichern (Dienstleister, Tauschteil), Gebrauchtteil prüfen",IF(X175=1,"Abgekündigt: Lagerteil schützen, Ersatzlösung mittelfristig planen",IF(Z175=1,IF(LEFT(Q175,4)="nein","Bevorratung lohnt nicht – Lieferzeit und Reparaturweg absichern","Lagerbestand anlegen (mind. 1 Stk.)"),"Reparaturmöglichkeit klären"))))))</f>
        <v/>
      </c>
      <c r="N175" s="30" t="n"/>
      <c r="O175" s="31" t="n"/>
      <c r="P175" s="32">
        <f>IF(OR(AB175="",W175="",Z175=0),"",AB175*INDEX(Krit_Kosten,MATCH(F175,Krit_Liste,0)))</f>
        <v/>
      </c>
      <c r="Q175" s="33">
        <f>IF(L175="","",IF(L175="grün","–",IF(Z175=0,"am Lager / in stock",IF(N(N175)&lt;=0,"Stückpreis fehlt",IF(P175&gt;=Faktor_lohnt*N175,"ja – "&amp;FIXED(P175/N175,0)&amp;"-fach","nein – "&amp;FIXED(P175/N175,IF(P175/N175&lt;1,2,1))&amp;"-fach")))))</f>
        <v/>
      </c>
      <c r="R175" s="25" t="n"/>
      <c r="S175" s="34" t="n"/>
      <c r="T175" s="31" t="n"/>
      <c r="U175" s="25" t="n"/>
      <c r="V175" s="2" t="n"/>
      <c r="W175" s="35">
        <f>IFERROR(INDEX(Krit_Faktor,MATCH(F175,Krit_Liste,0)),"")</f>
        <v/>
      </c>
      <c r="X175" s="35">
        <f>IF(OR(G175="nein",G175="no"),1,0)</f>
        <v/>
      </c>
      <c r="Y175" s="35">
        <f>IF(OR(H175="nein",H175="no"),1,0)</f>
        <v/>
      </c>
      <c r="Z175" s="35">
        <f>IF(OR(I175="nein",I175="no"),1,0)</f>
        <v/>
      </c>
      <c r="AA175" s="35">
        <f>(G175&lt;&gt;"")+(H175&lt;&gt;"")+(I175&lt;&gt;"")</f>
        <v/>
      </c>
      <c r="AB175" s="35">
        <f>IF(O175&lt;&gt;"",O175,IF(AA175&lt;3,"",IF(X175=1,Tage_nicht_beschaffbar,Tage_beschaffbar)))</f>
        <v/>
      </c>
      <c r="AC175" s="35">
        <f>IF(K175="","",K175*1000+W175*10+(1000-ROW())/100000)</f>
        <v/>
      </c>
    </row>
    <row r="176" ht="34" customHeight="1">
      <c r="A176" s="23">
        <f>IF(B176="","",COUNTA($B$9:B176))</f>
        <v/>
      </c>
      <c r="B176" s="24" t="n"/>
      <c r="C176" s="25" t="n"/>
      <c r="D176" s="25" t="n"/>
      <c r="E176" s="25" t="n"/>
      <c r="F176" s="26" t="n"/>
      <c r="G176" s="26" t="n"/>
      <c r="H176" s="26" t="n"/>
      <c r="I176" s="26" t="n"/>
      <c r="J176" s="23">
        <f>IF(AA176&lt;3,"",X176+Y176+Z176)</f>
        <v/>
      </c>
      <c r="K176" s="27">
        <f>IF(OR(J176="",W176=""),"",W176*J176)</f>
        <v/>
      </c>
      <c r="L176" s="28">
        <f>IF(K176="","",IF(K176&lt;=Gruen_bis,"grün",IF(K176&lt;=Gelb_bis,"gelb","rot")))</f>
        <v/>
      </c>
      <c r="M176" s="29">
        <f>IF(L176="",IF(B176="","","Bewertung unvollständig – ★-Felder ausfüllen"),IF(L176="grün","Keine aktive Maßnahme – jährlich prüfen",IF(AND(X176=1,Y176=1,Z176=1),"Sofort sichern: Restbestand / Gebrauchtteil kaufen und Ersatzlösung (Retrofit) planen",IF(AND(X176=1,Z176=1),"Reparaturweg absichern (Dienstleister, Tauschteil), Gebrauchtteil prüfen",IF(X176=1,"Abgekündigt: Lagerteil schützen, Ersatzlösung mittelfristig planen",IF(Z176=1,IF(LEFT(Q176,4)="nein","Bevorratung lohnt nicht – Lieferzeit und Reparaturweg absichern","Lagerbestand anlegen (mind. 1 Stk.)"),"Reparaturmöglichkeit klären"))))))</f>
        <v/>
      </c>
      <c r="N176" s="30" t="n"/>
      <c r="O176" s="31" t="n"/>
      <c r="P176" s="32">
        <f>IF(OR(AB176="",W176="",Z176=0),"",AB176*INDEX(Krit_Kosten,MATCH(F176,Krit_Liste,0)))</f>
        <v/>
      </c>
      <c r="Q176" s="33">
        <f>IF(L176="","",IF(L176="grün","–",IF(Z176=0,"am Lager / in stock",IF(N(N176)&lt;=0,"Stückpreis fehlt",IF(P176&gt;=Faktor_lohnt*N176,"ja – "&amp;FIXED(P176/N176,0)&amp;"-fach","nein – "&amp;FIXED(P176/N176,IF(P176/N176&lt;1,2,1))&amp;"-fach")))))</f>
        <v/>
      </c>
      <c r="R176" s="25" t="n"/>
      <c r="S176" s="34" t="n"/>
      <c r="T176" s="31" t="n"/>
      <c r="U176" s="25" t="n"/>
      <c r="V176" s="2" t="n"/>
      <c r="W176" s="35">
        <f>IFERROR(INDEX(Krit_Faktor,MATCH(F176,Krit_Liste,0)),"")</f>
        <v/>
      </c>
      <c r="X176" s="35">
        <f>IF(OR(G176="nein",G176="no"),1,0)</f>
        <v/>
      </c>
      <c r="Y176" s="35">
        <f>IF(OR(H176="nein",H176="no"),1,0)</f>
        <v/>
      </c>
      <c r="Z176" s="35">
        <f>IF(OR(I176="nein",I176="no"),1,0)</f>
        <v/>
      </c>
      <c r="AA176" s="35">
        <f>(G176&lt;&gt;"")+(H176&lt;&gt;"")+(I176&lt;&gt;"")</f>
        <v/>
      </c>
      <c r="AB176" s="35">
        <f>IF(O176&lt;&gt;"",O176,IF(AA176&lt;3,"",IF(X176=1,Tage_nicht_beschaffbar,Tage_beschaffbar)))</f>
        <v/>
      </c>
      <c r="AC176" s="35">
        <f>IF(K176="","",K176*1000+W176*10+(1000-ROW())/100000)</f>
        <v/>
      </c>
    </row>
    <row r="177" ht="34" customHeight="1">
      <c r="A177" s="23">
        <f>IF(B177="","",COUNTA($B$9:B177))</f>
        <v/>
      </c>
      <c r="B177" s="24" t="n"/>
      <c r="C177" s="25" t="n"/>
      <c r="D177" s="25" t="n"/>
      <c r="E177" s="25" t="n"/>
      <c r="F177" s="26" t="n"/>
      <c r="G177" s="26" t="n"/>
      <c r="H177" s="26" t="n"/>
      <c r="I177" s="26" t="n"/>
      <c r="J177" s="23">
        <f>IF(AA177&lt;3,"",X177+Y177+Z177)</f>
        <v/>
      </c>
      <c r="K177" s="27">
        <f>IF(OR(J177="",W177=""),"",W177*J177)</f>
        <v/>
      </c>
      <c r="L177" s="28">
        <f>IF(K177="","",IF(K177&lt;=Gruen_bis,"grün",IF(K177&lt;=Gelb_bis,"gelb","rot")))</f>
        <v/>
      </c>
      <c r="M177" s="29">
        <f>IF(L177="",IF(B177="","","Bewertung unvollständig – ★-Felder ausfüllen"),IF(L177="grün","Keine aktive Maßnahme – jährlich prüfen",IF(AND(X177=1,Y177=1,Z177=1),"Sofort sichern: Restbestand / Gebrauchtteil kaufen und Ersatzlösung (Retrofit) planen",IF(AND(X177=1,Z177=1),"Reparaturweg absichern (Dienstleister, Tauschteil), Gebrauchtteil prüfen",IF(X177=1,"Abgekündigt: Lagerteil schützen, Ersatzlösung mittelfristig planen",IF(Z177=1,IF(LEFT(Q177,4)="nein","Bevorratung lohnt nicht – Lieferzeit und Reparaturweg absichern","Lagerbestand anlegen (mind. 1 Stk.)"),"Reparaturmöglichkeit klären"))))))</f>
        <v/>
      </c>
      <c r="N177" s="30" t="n"/>
      <c r="O177" s="31" t="n"/>
      <c r="P177" s="32">
        <f>IF(OR(AB177="",W177="",Z177=0),"",AB177*INDEX(Krit_Kosten,MATCH(F177,Krit_Liste,0)))</f>
        <v/>
      </c>
      <c r="Q177" s="33">
        <f>IF(L177="","",IF(L177="grün","–",IF(Z177=0,"am Lager / in stock",IF(N(N177)&lt;=0,"Stückpreis fehlt",IF(P177&gt;=Faktor_lohnt*N177,"ja – "&amp;FIXED(P177/N177,0)&amp;"-fach","nein – "&amp;FIXED(P177/N177,IF(P177/N177&lt;1,2,1))&amp;"-fach")))))</f>
        <v/>
      </c>
      <c r="R177" s="25" t="n"/>
      <c r="S177" s="34" t="n"/>
      <c r="T177" s="31" t="n"/>
      <c r="U177" s="25" t="n"/>
      <c r="V177" s="2" t="n"/>
      <c r="W177" s="35">
        <f>IFERROR(INDEX(Krit_Faktor,MATCH(F177,Krit_Liste,0)),"")</f>
        <v/>
      </c>
      <c r="X177" s="35">
        <f>IF(OR(G177="nein",G177="no"),1,0)</f>
        <v/>
      </c>
      <c r="Y177" s="35">
        <f>IF(OR(H177="nein",H177="no"),1,0)</f>
        <v/>
      </c>
      <c r="Z177" s="35">
        <f>IF(OR(I177="nein",I177="no"),1,0)</f>
        <v/>
      </c>
      <c r="AA177" s="35">
        <f>(G177&lt;&gt;"")+(H177&lt;&gt;"")+(I177&lt;&gt;"")</f>
        <v/>
      </c>
      <c r="AB177" s="35">
        <f>IF(O177&lt;&gt;"",O177,IF(AA177&lt;3,"",IF(X177=1,Tage_nicht_beschaffbar,Tage_beschaffbar)))</f>
        <v/>
      </c>
      <c r="AC177" s="35">
        <f>IF(K177="","",K177*1000+W177*10+(1000-ROW())/100000)</f>
        <v/>
      </c>
    </row>
    <row r="178" ht="34" customHeight="1">
      <c r="A178" s="23">
        <f>IF(B178="","",COUNTA($B$9:B178))</f>
        <v/>
      </c>
      <c r="B178" s="24" t="n"/>
      <c r="C178" s="25" t="n"/>
      <c r="D178" s="25" t="n"/>
      <c r="E178" s="25" t="n"/>
      <c r="F178" s="26" t="n"/>
      <c r="G178" s="26" t="n"/>
      <c r="H178" s="26" t="n"/>
      <c r="I178" s="26" t="n"/>
      <c r="J178" s="23">
        <f>IF(AA178&lt;3,"",X178+Y178+Z178)</f>
        <v/>
      </c>
      <c r="K178" s="27">
        <f>IF(OR(J178="",W178=""),"",W178*J178)</f>
        <v/>
      </c>
      <c r="L178" s="28">
        <f>IF(K178="","",IF(K178&lt;=Gruen_bis,"grün",IF(K178&lt;=Gelb_bis,"gelb","rot")))</f>
        <v/>
      </c>
      <c r="M178" s="29">
        <f>IF(L178="",IF(B178="","","Bewertung unvollständig – ★-Felder ausfüllen"),IF(L178="grün","Keine aktive Maßnahme – jährlich prüfen",IF(AND(X178=1,Y178=1,Z178=1),"Sofort sichern: Restbestand / Gebrauchtteil kaufen und Ersatzlösung (Retrofit) planen",IF(AND(X178=1,Z178=1),"Reparaturweg absichern (Dienstleister, Tauschteil), Gebrauchtteil prüfen",IF(X178=1,"Abgekündigt: Lagerteil schützen, Ersatzlösung mittelfristig planen",IF(Z178=1,IF(LEFT(Q178,4)="nein","Bevorratung lohnt nicht – Lieferzeit und Reparaturweg absichern","Lagerbestand anlegen (mind. 1 Stk.)"),"Reparaturmöglichkeit klären"))))))</f>
        <v/>
      </c>
      <c r="N178" s="30" t="n"/>
      <c r="O178" s="31" t="n"/>
      <c r="P178" s="32">
        <f>IF(OR(AB178="",W178="",Z178=0),"",AB178*INDEX(Krit_Kosten,MATCH(F178,Krit_Liste,0)))</f>
        <v/>
      </c>
      <c r="Q178" s="33">
        <f>IF(L178="","",IF(L178="grün","–",IF(Z178=0,"am Lager / in stock",IF(N(N178)&lt;=0,"Stückpreis fehlt",IF(P178&gt;=Faktor_lohnt*N178,"ja – "&amp;FIXED(P178/N178,0)&amp;"-fach","nein – "&amp;FIXED(P178/N178,IF(P178/N178&lt;1,2,1))&amp;"-fach")))))</f>
        <v/>
      </c>
      <c r="R178" s="25" t="n"/>
      <c r="S178" s="34" t="n"/>
      <c r="T178" s="31" t="n"/>
      <c r="U178" s="25" t="n"/>
      <c r="V178" s="2" t="n"/>
      <c r="W178" s="35">
        <f>IFERROR(INDEX(Krit_Faktor,MATCH(F178,Krit_Liste,0)),"")</f>
        <v/>
      </c>
      <c r="X178" s="35">
        <f>IF(OR(G178="nein",G178="no"),1,0)</f>
        <v/>
      </c>
      <c r="Y178" s="35">
        <f>IF(OR(H178="nein",H178="no"),1,0)</f>
        <v/>
      </c>
      <c r="Z178" s="35">
        <f>IF(OR(I178="nein",I178="no"),1,0)</f>
        <v/>
      </c>
      <c r="AA178" s="35">
        <f>(G178&lt;&gt;"")+(H178&lt;&gt;"")+(I178&lt;&gt;"")</f>
        <v/>
      </c>
      <c r="AB178" s="35">
        <f>IF(O178&lt;&gt;"",O178,IF(AA178&lt;3,"",IF(X178=1,Tage_nicht_beschaffbar,Tage_beschaffbar)))</f>
        <v/>
      </c>
      <c r="AC178" s="35">
        <f>IF(K178="","",K178*1000+W178*10+(1000-ROW())/100000)</f>
        <v/>
      </c>
    </row>
    <row r="179" ht="34" customHeight="1">
      <c r="A179" s="23">
        <f>IF(B179="","",COUNTA($B$9:B179))</f>
        <v/>
      </c>
      <c r="B179" s="24" t="n"/>
      <c r="C179" s="25" t="n"/>
      <c r="D179" s="25" t="n"/>
      <c r="E179" s="25" t="n"/>
      <c r="F179" s="26" t="n"/>
      <c r="G179" s="26" t="n"/>
      <c r="H179" s="26" t="n"/>
      <c r="I179" s="26" t="n"/>
      <c r="J179" s="23">
        <f>IF(AA179&lt;3,"",X179+Y179+Z179)</f>
        <v/>
      </c>
      <c r="K179" s="27">
        <f>IF(OR(J179="",W179=""),"",W179*J179)</f>
        <v/>
      </c>
      <c r="L179" s="28">
        <f>IF(K179="","",IF(K179&lt;=Gruen_bis,"grün",IF(K179&lt;=Gelb_bis,"gelb","rot")))</f>
        <v/>
      </c>
      <c r="M179" s="29">
        <f>IF(L179="",IF(B179="","","Bewertung unvollständig – ★-Felder ausfüllen"),IF(L179="grün","Keine aktive Maßnahme – jährlich prüfen",IF(AND(X179=1,Y179=1,Z179=1),"Sofort sichern: Restbestand / Gebrauchtteil kaufen und Ersatzlösung (Retrofit) planen",IF(AND(X179=1,Z179=1),"Reparaturweg absichern (Dienstleister, Tauschteil), Gebrauchtteil prüfen",IF(X179=1,"Abgekündigt: Lagerteil schützen, Ersatzlösung mittelfristig planen",IF(Z179=1,IF(LEFT(Q179,4)="nein","Bevorratung lohnt nicht – Lieferzeit und Reparaturweg absichern","Lagerbestand anlegen (mind. 1 Stk.)"),"Reparaturmöglichkeit klären"))))))</f>
        <v/>
      </c>
      <c r="N179" s="30" t="n"/>
      <c r="O179" s="31" t="n"/>
      <c r="P179" s="32">
        <f>IF(OR(AB179="",W179="",Z179=0),"",AB179*INDEX(Krit_Kosten,MATCH(F179,Krit_Liste,0)))</f>
        <v/>
      </c>
      <c r="Q179" s="33">
        <f>IF(L179="","",IF(L179="grün","–",IF(Z179=0,"am Lager / in stock",IF(N(N179)&lt;=0,"Stückpreis fehlt",IF(P179&gt;=Faktor_lohnt*N179,"ja – "&amp;FIXED(P179/N179,0)&amp;"-fach","nein – "&amp;FIXED(P179/N179,IF(P179/N179&lt;1,2,1))&amp;"-fach")))))</f>
        <v/>
      </c>
      <c r="R179" s="25" t="n"/>
      <c r="S179" s="34" t="n"/>
      <c r="T179" s="31" t="n"/>
      <c r="U179" s="25" t="n"/>
      <c r="V179" s="2" t="n"/>
      <c r="W179" s="35">
        <f>IFERROR(INDEX(Krit_Faktor,MATCH(F179,Krit_Liste,0)),"")</f>
        <v/>
      </c>
      <c r="X179" s="35">
        <f>IF(OR(G179="nein",G179="no"),1,0)</f>
        <v/>
      </c>
      <c r="Y179" s="35">
        <f>IF(OR(H179="nein",H179="no"),1,0)</f>
        <v/>
      </c>
      <c r="Z179" s="35">
        <f>IF(OR(I179="nein",I179="no"),1,0)</f>
        <v/>
      </c>
      <c r="AA179" s="35">
        <f>(G179&lt;&gt;"")+(H179&lt;&gt;"")+(I179&lt;&gt;"")</f>
        <v/>
      </c>
      <c r="AB179" s="35">
        <f>IF(O179&lt;&gt;"",O179,IF(AA179&lt;3,"",IF(X179=1,Tage_nicht_beschaffbar,Tage_beschaffbar)))</f>
        <v/>
      </c>
      <c r="AC179" s="35">
        <f>IF(K179="","",K179*1000+W179*10+(1000-ROW())/100000)</f>
        <v/>
      </c>
    </row>
    <row r="180" ht="34" customHeight="1">
      <c r="A180" s="23">
        <f>IF(B180="","",COUNTA($B$9:B180))</f>
        <v/>
      </c>
      <c r="B180" s="24" t="n"/>
      <c r="C180" s="25" t="n"/>
      <c r="D180" s="25" t="n"/>
      <c r="E180" s="25" t="n"/>
      <c r="F180" s="26" t="n"/>
      <c r="G180" s="26" t="n"/>
      <c r="H180" s="26" t="n"/>
      <c r="I180" s="26" t="n"/>
      <c r="J180" s="23">
        <f>IF(AA180&lt;3,"",X180+Y180+Z180)</f>
        <v/>
      </c>
      <c r="K180" s="27">
        <f>IF(OR(J180="",W180=""),"",W180*J180)</f>
        <v/>
      </c>
      <c r="L180" s="28">
        <f>IF(K180="","",IF(K180&lt;=Gruen_bis,"grün",IF(K180&lt;=Gelb_bis,"gelb","rot")))</f>
        <v/>
      </c>
      <c r="M180" s="29">
        <f>IF(L180="",IF(B180="","","Bewertung unvollständig – ★-Felder ausfüllen"),IF(L180="grün","Keine aktive Maßnahme – jährlich prüfen",IF(AND(X180=1,Y180=1,Z180=1),"Sofort sichern: Restbestand / Gebrauchtteil kaufen und Ersatzlösung (Retrofit) planen",IF(AND(X180=1,Z180=1),"Reparaturweg absichern (Dienstleister, Tauschteil), Gebrauchtteil prüfen",IF(X180=1,"Abgekündigt: Lagerteil schützen, Ersatzlösung mittelfristig planen",IF(Z180=1,IF(LEFT(Q180,4)="nein","Bevorratung lohnt nicht – Lieferzeit und Reparaturweg absichern","Lagerbestand anlegen (mind. 1 Stk.)"),"Reparaturmöglichkeit klären"))))))</f>
        <v/>
      </c>
      <c r="N180" s="30" t="n"/>
      <c r="O180" s="31" t="n"/>
      <c r="P180" s="32">
        <f>IF(OR(AB180="",W180="",Z180=0),"",AB180*INDEX(Krit_Kosten,MATCH(F180,Krit_Liste,0)))</f>
        <v/>
      </c>
      <c r="Q180" s="33">
        <f>IF(L180="","",IF(L180="grün","–",IF(Z180=0,"am Lager / in stock",IF(N(N180)&lt;=0,"Stückpreis fehlt",IF(P180&gt;=Faktor_lohnt*N180,"ja – "&amp;FIXED(P180/N180,0)&amp;"-fach","nein – "&amp;FIXED(P180/N180,IF(P180/N180&lt;1,2,1))&amp;"-fach")))))</f>
        <v/>
      </c>
      <c r="R180" s="25" t="n"/>
      <c r="S180" s="34" t="n"/>
      <c r="T180" s="31" t="n"/>
      <c r="U180" s="25" t="n"/>
      <c r="V180" s="2" t="n"/>
      <c r="W180" s="35">
        <f>IFERROR(INDEX(Krit_Faktor,MATCH(F180,Krit_Liste,0)),"")</f>
        <v/>
      </c>
      <c r="X180" s="35">
        <f>IF(OR(G180="nein",G180="no"),1,0)</f>
        <v/>
      </c>
      <c r="Y180" s="35">
        <f>IF(OR(H180="nein",H180="no"),1,0)</f>
        <v/>
      </c>
      <c r="Z180" s="35">
        <f>IF(OR(I180="nein",I180="no"),1,0)</f>
        <v/>
      </c>
      <c r="AA180" s="35">
        <f>(G180&lt;&gt;"")+(H180&lt;&gt;"")+(I180&lt;&gt;"")</f>
        <v/>
      </c>
      <c r="AB180" s="35">
        <f>IF(O180&lt;&gt;"",O180,IF(AA180&lt;3,"",IF(X180=1,Tage_nicht_beschaffbar,Tage_beschaffbar)))</f>
        <v/>
      </c>
      <c r="AC180" s="35">
        <f>IF(K180="","",K180*1000+W180*10+(1000-ROW())/100000)</f>
        <v/>
      </c>
    </row>
    <row r="181" ht="34" customHeight="1">
      <c r="A181" s="23">
        <f>IF(B181="","",COUNTA($B$9:B181))</f>
        <v/>
      </c>
      <c r="B181" s="24" t="n"/>
      <c r="C181" s="25" t="n"/>
      <c r="D181" s="25" t="n"/>
      <c r="E181" s="25" t="n"/>
      <c r="F181" s="26" t="n"/>
      <c r="G181" s="26" t="n"/>
      <c r="H181" s="26" t="n"/>
      <c r="I181" s="26" t="n"/>
      <c r="J181" s="23">
        <f>IF(AA181&lt;3,"",X181+Y181+Z181)</f>
        <v/>
      </c>
      <c r="K181" s="27">
        <f>IF(OR(J181="",W181=""),"",W181*J181)</f>
        <v/>
      </c>
      <c r="L181" s="28">
        <f>IF(K181="","",IF(K181&lt;=Gruen_bis,"grün",IF(K181&lt;=Gelb_bis,"gelb","rot")))</f>
        <v/>
      </c>
      <c r="M181" s="29">
        <f>IF(L181="",IF(B181="","","Bewertung unvollständig – ★-Felder ausfüllen"),IF(L181="grün","Keine aktive Maßnahme – jährlich prüfen",IF(AND(X181=1,Y181=1,Z181=1),"Sofort sichern: Restbestand / Gebrauchtteil kaufen und Ersatzlösung (Retrofit) planen",IF(AND(X181=1,Z181=1),"Reparaturweg absichern (Dienstleister, Tauschteil), Gebrauchtteil prüfen",IF(X181=1,"Abgekündigt: Lagerteil schützen, Ersatzlösung mittelfristig planen",IF(Z181=1,IF(LEFT(Q181,4)="nein","Bevorratung lohnt nicht – Lieferzeit und Reparaturweg absichern","Lagerbestand anlegen (mind. 1 Stk.)"),"Reparaturmöglichkeit klären"))))))</f>
        <v/>
      </c>
      <c r="N181" s="30" t="n"/>
      <c r="O181" s="31" t="n"/>
      <c r="P181" s="32">
        <f>IF(OR(AB181="",W181="",Z181=0),"",AB181*INDEX(Krit_Kosten,MATCH(F181,Krit_Liste,0)))</f>
        <v/>
      </c>
      <c r="Q181" s="33">
        <f>IF(L181="","",IF(L181="grün","–",IF(Z181=0,"am Lager / in stock",IF(N(N181)&lt;=0,"Stückpreis fehlt",IF(P181&gt;=Faktor_lohnt*N181,"ja – "&amp;FIXED(P181/N181,0)&amp;"-fach","nein – "&amp;FIXED(P181/N181,IF(P181/N181&lt;1,2,1))&amp;"-fach")))))</f>
        <v/>
      </c>
      <c r="R181" s="25" t="n"/>
      <c r="S181" s="34" t="n"/>
      <c r="T181" s="31" t="n"/>
      <c r="U181" s="25" t="n"/>
      <c r="V181" s="2" t="n"/>
      <c r="W181" s="35">
        <f>IFERROR(INDEX(Krit_Faktor,MATCH(F181,Krit_Liste,0)),"")</f>
        <v/>
      </c>
      <c r="X181" s="35">
        <f>IF(OR(G181="nein",G181="no"),1,0)</f>
        <v/>
      </c>
      <c r="Y181" s="35">
        <f>IF(OR(H181="nein",H181="no"),1,0)</f>
        <v/>
      </c>
      <c r="Z181" s="35">
        <f>IF(OR(I181="nein",I181="no"),1,0)</f>
        <v/>
      </c>
      <c r="AA181" s="35">
        <f>(G181&lt;&gt;"")+(H181&lt;&gt;"")+(I181&lt;&gt;"")</f>
        <v/>
      </c>
      <c r="AB181" s="35">
        <f>IF(O181&lt;&gt;"",O181,IF(AA181&lt;3,"",IF(X181=1,Tage_nicht_beschaffbar,Tage_beschaffbar)))</f>
        <v/>
      </c>
      <c r="AC181" s="35">
        <f>IF(K181="","",K181*1000+W181*10+(1000-ROW())/100000)</f>
        <v/>
      </c>
    </row>
    <row r="182" ht="34" customHeight="1">
      <c r="A182" s="23">
        <f>IF(B182="","",COUNTA($B$9:B182))</f>
        <v/>
      </c>
      <c r="B182" s="24" t="n"/>
      <c r="C182" s="25" t="n"/>
      <c r="D182" s="25" t="n"/>
      <c r="E182" s="25" t="n"/>
      <c r="F182" s="26" t="n"/>
      <c r="G182" s="26" t="n"/>
      <c r="H182" s="26" t="n"/>
      <c r="I182" s="26" t="n"/>
      <c r="J182" s="23">
        <f>IF(AA182&lt;3,"",X182+Y182+Z182)</f>
        <v/>
      </c>
      <c r="K182" s="27">
        <f>IF(OR(J182="",W182=""),"",W182*J182)</f>
        <v/>
      </c>
      <c r="L182" s="28">
        <f>IF(K182="","",IF(K182&lt;=Gruen_bis,"grün",IF(K182&lt;=Gelb_bis,"gelb","rot")))</f>
        <v/>
      </c>
      <c r="M182" s="29">
        <f>IF(L182="",IF(B182="","","Bewertung unvollständig – ★-Felder ausfüllen"),IF(L182="grün","Keine aktive Maßnahme – jährlich prüfen",IF(AND(X182=1,Y182=1,Z182=1),"Sofort sichern: Restbestand / Gebrauchtteil kaufen und Ersatzlösung (Retrofit) planen",IF(AND(X182=1,Z182=1),"Reparaturweg absichern (Dienstleister, Tauschteil), Gebrauchtteil prüfen",IF(X182=1,"Abgekündigt: Lagerteil schützen, Ersatzlösung mittelfristig planen",IF(Z182=1,IF(LEFT(Q182,4)="nein","Bevorratung lohnt nicht – Lieferzeit und Reparaturweg absichern","Lagerbestand anlegen (mind. 1 Stk.)"),"Reparaturmöglichkeit klären"))))))</f>
        <v/>
      </c>
      <c r="N182" s="30" t="n"/>
      <c r="O182" s="31" t="n"/>
      <c r="P182" s="32">
        <f>IF(OR(AB182="",W182="",Z182=0),"",AB182*INDEX(Krit_Kosten,MATCH(F182,Krit_Liste,0)))</f>
        <v/>
      </c>
      <c r="Q182" s="33">
        <f>IF(L182="","",IF(L182="grün","–",IF(Z182=0,"am Lager / in stock",IF(N(N182)&lt;=0,"Stückpreis fehlt",IF(P182&gt;=Faktor_lohnt*N182,"ja – "&amp;FIXED(P182/N182,0)&amp;"-fach","nein – "&amp;FIXED(P182/N182,IF(P182/N182&lt;1,2,1))&amp;"-fach")))))</f>
        <v/>
      </c>
      <c r="R182" s="25" t="n"/>
      <c r="S182" s="34" t="n"/>
      <c r="T182" s="31" t="n"/>
      <c r="U182" s="25" t="n"/>
      <c r="V182" s="2" t="n"/>
      <c r="W182" s="35">
        <f>IFERROR(INDEX(Krit_Faktor,MATCH(F182,Krit_Liste,0)),"")</f>
        <v/>
      </c>
      <c r="X182" s="35">
        <f>IF(OR(G182="nein",G182="no"),1,0)</f>
        <v/>
      </c>
      <c r="Y182" s="35">
        <f>IF(OR(H182="nein",H182="no"),1,0)</f>
        <v/>
      </c>
      <c r="Z182" s="35">
        <f>IF(OR(I182="nein",I182="no"),1,0)</f>
        <v/>
      </c>
      <c r="AA182" s="35">
        <f>(G182&lt;&gt;"")+(H182&lt;&gt;"")+(I182&lt;&gt;"")</f>
        <v/>
      </c>
      <c r="AB182" s="35">
        <f>IF(O182&lt;&gt;"",O182,IF(AA182&lt;3,"",IF(X182=1,Tage_nicht_beschaffbar,Tage_beschaffbar)))</f>
        <v/>
      </c>
      <c r="AC182" s="35">
        <f>IF(K182="","",K182*1000+W182*10+(1000-ROW())/100000)</f>
        <v/>
      </c>
    </row>
    <row r="183" ht="34" customHeight="1">
      <c r="A183" s="23">
        <f>IF(B183="","",COUNTA($B$9:B183))</f>
        <v/>
      </c>
      <c r="B183" s="24" t="n"/>
      <c r="C183" s="25" t="n"/>
      <c r="D183" s="25" t="n"/>
      <c r="E183" s="25" t="n"/>
      <c r="F183" s="26" t="n"/>
      <c r="G183" s="26" t="n"/>
      <c r="H183" s="26" t="n"/>
      <c r="I183" s="26" t="n"/>
      <c r="J183" s="23">
        <f>IF(AA183&lt;3,"",X183+Y183+Z183)</f>
        <v/>
      </c>
      <c r="K183" s="27">
        <f>IF(OR(J183="",W183=""),"",W183*J183)</f>
        <v/>
      </c>
      <c r="L183" s="28">
        <f>IF(K183="","",IF(K183&lt;=Gruen_bis,"grün",IF(K183&lt;=Gelb_bis,"gelb","rot")))</f>
        <v/>
      </c>
      <c r="M183" s="29">
        <f>IF(L183="",IF(B183="","","Bewertung unvollständig – ★-Felder ausfüllen"),IF(L183="grün","Keine aktive Maßnahme – jährlich prüfen",IF(AND(X183=1,Y183=1,Z183=1),"Sofort sichern: Restbestand / Gebrauchtteil kaufen und Ersatzlösung (Retrofit) planen",IF(AND(X183=1,Z183=1),"Reparaturweg absichern (Dienstleister, Tauschteil), Gebrauchtteil prüfen",IF(X183=1,"Abgekündigt: Lagerteil schützen, Ersatzlösung mittelfristig planen",IF(Z183=1,IF(LEFT(Q183,4)="nein","Bevorratung lohnt nicht – Lieferzeit und Reparaturweg absichern","Lagerbestand anlegen (mind. 1 Stk.)"),"Reparaturmöglichkeit klären"))))))</f>
        <v/>
      </c>
      <c r="N183" s="30" t="n"/>
      <c r="O183" s="31" t="n"/>
      <c r="P183" s="32">
        <f>IF(OR(AB183="",W183="",Z183=0),"",AB183*INDEX(Krit_Kosten,MATCH(F183,Krit_Liste,0)))</f>
        <v/>
      </c>
      <c r="Q183" s="33">
        <f>IF(L183="","",IF(L183="grün","–",IF(Z183=0,"am Lager / in stock",IF(N(N183)&lt;=0,"Stückpreis fehlt",IF(P183&gt;=Faktor_lohnt*N183,"ja – "&amp;FIXED(P183/N183,0)&amp;"-fach","nein – "&amp;FIXED(P183/N183,IF(P183/N183&lt;1,2,1))&amp;"-fach")))))</f>
        <v/>
      </c>
      <c r="R183" s="25" t="n"/>
      <c r="S183" s="34" t="n"/>
      <c r="T183" s="31" t="n"/>
      <c r="U183" s="25" t="n"/>
      <c r="V183" s="2" t="n"/>
      <c r="W183" s="35">
        <f>IFERROR(INDEX(Krit_Faktor,MATCH(F183,Krit_Liste,0)),"")</f>
        <v/>
      </c>
      <c r="X183" s="35">
        <f>IF(OR(G183="nein",G183="no"),1,0)</f>
        <v/>
      </c>
      <c r="Y183" s="35">
        <f>IF(OR(H183="nein",H183="no"),1,0)</f>
        <v/>
      </c>
      <c r="Z183" s="35">
        <f>IF(OR(I183="nein",I183="no"),1,0)</f>
        <v/>
      </c>
      <c r="AA183" s="35">
        <f>(G183&lt;&gt;"")+(H183&lt;&gt;"")+(I183&lt;&gt;"")</f>
        <v/>
      </c>
      <c r="AB183" s="35">
        <f>IF(O183&lt;&gt;"",O183,IF(AA183&lt;3,"",IF(X183=1,Tage_nicht_beschaffbar,Tage_beschaffbar)))</f>
        <v/>
      </c>
      <c r="AC183" s="35">
        <f>IF(K183="","",K183*1000+W183*10+(1000-ROW())/100000)</f>
        <v/>
      </c>
    </row>
    <row r="184" ht="34" customHeight="1">
      <c r="A184" s="23">
        <f>IF(B184="","",COUNTA($B$9:B184))</f>
        <v/>
      </c>
      <c r="B184" s="24" t="n"/>
      <c r="C184" s="25" t="n"/>
      <c r="D184" s="25" t="n"/>
      <c r="E184" s="25" t="n"/>
      <c r="F184" s="26" t="n"/>
      <c r="G184" s="26" t="n"/>
      <c r="H184" s="26" t="n"/>
      <c r="I184" s="26" t="n"/>
      <c r="J184" s="23">
        <f>IF(AA184&lt;3,"",X184+Y184+Z184)</f>
        <v/>
      </c>
      <c r="K184" s="27">
        <f>IF(OR(J184="",W184=""),"",W184*J184)</f>
        <v/>
      </c>
      <c r="L184" s="28">
        <f>IF(K184="","",IF(K184&lt;=Gruen_bis,"grün",IF(K184&lt;=Gelb_bis,"gelb","rot")))</f>
        <v/>
      </c>
      <c r="M184" s="29">
        <f>IF(L184="",IF(B184="","","Bewertung unvollständig – ★-Felder ausfüllen"),IF(L184="grün","Keine aktive Maßnahme – jährlich prüfen",IF(AND(X184=1,Y184=1,Z184=1),"Sofort sichern: Restbestand / Gebrauchtteil kaufen und Ersatzlösung (Retrofit) planen",IF(AND(X184=1,Z184=1),"Reparaturweg absichern (Dienstleister, Tauschteil), Gebrauchtteil prüfen",IF(X184=1,"Abgekündigt: Lagerteil schützen, Ersatzlösung mittelfristig planen",IF(Z184=1,IF(LEFT(Q184,4)="nein","Bevorratung lohnt nicht – Lieferzeit und Reparaturweg absichern","Lagerbestand anlegen (mind. 1 Stk.)"),"Reparaturmöglichkeit klären"))))))</f>
        <v/>
      </c>
      <c r="N184" s="30" t="n"/>
      <c r="O184" s="31" t="n"/>
      <c r="P184" s="32">
        <f>IF(OR(AB184="",W184="",Z184=0),"",AB184*INDEX(Krit_Kosten,MATCH(F184,Krit_Liste,0)))</f>
        <v/>
      </c>
      <c r="Q184" s="33">
        <f>IF(L184="","",IF(L184="grün","–",IF(Z184=0,"am Lager / in stock",IF(N(N184)&lt;=0,"Stückpreis fehlt",IF(P184&gt;=Faktor_lohnt*N184,"ja – "&amp;FIXED(P184/N184,0)&amp;"-fach","nein – "&amp;FIXED(P184/N184,IF(P184/N184&lt;1,2,1))&amp;"-fach")))))</f>
        <v/>
      </c>
      <c r="R184" s="25" t="n"/>
      <c r="S184" s="34" t="n"/>
      <c r="T184" s="31" t="n"/>
      <c r="U184" s="25" t="n"/>
      <c r="V184" s="2" t="n"/>
      <c r="W184" s="35">
        <f>IFERROR(INDEX(Krit_Faktor,MATCH(F184,Krit_Liste,0)),"")</f>
        <v/>
      </c>
      <c r="X184" s="35">
        <f>IF(OR(G184="nein",G184="no"),1,0)</f>
        <v/>
      </c>
      <c r="Y184" s="35">
        <f>IF(OR(H184="nein",H184="no"),1,0)</f>
        <v/>
      </c>
      <c r="Z184" s="35">
        <f>IF(OR(I184="nein",I184="no"),1,0)</f>
        <v/>
      </c>
      <c r="AA184" s="35">
        <f>(G184&lt;&gt;"")+(H184&lt;&gt;"")+(I184&lt;&gt;"")</f>
        <v/>
      </c>
      <c r="AB184" s="35">
        <f>IF(O184&lt;&gt;"",O184,IF(AA184&lt;3,"",IF(X184=1,Tage_nicht_beschaffbar,Tage_beschaffbar)))</f>
        <v/>
      </c>
      <c r="AC184" s="35">
        <f>IF(K184="","",K184*1000+W184*10+(1000-ROW())/100000)</f>
        <v/>
      </c>
    </row>
    <row r="185" ht="34" customHeight="1">
      <c r="A185" s="23">
        <f>IF(B185="","",COUNTA($B$9:B185))</f>
        <v/>
      </c>
      <c r="B185" s="24" t="n"/>
      <c r="C185" s="25" t="n"/>
      <c r="D185" s="25" t="n"/>
      <c r="E185" s="25" t="n"/>
      <c r="F185" s="26" t="n"/>
      <c r="G185" s="26" t="n"/>
      <c r="H185" s="26" t="n"/>
      <c r="I185" s="26" t="n"/>
      <c r="J185" s="23">
        <f>IF(AA185&lt;3,"",X185+Y185+Z185)</f>
        <v/>
      </c>
      <c r="K185" s="27">
        <f>IF(OR(J185="",W185=""),"",W185*J185)</f>
        <v/>
      </c>
      <c r="L185" s="28">
        <f>IF(K185="","",IF(K185&lt;=Gruen_bis,"grün",IF(K185&lt;=Gelb_bis,"gelb","rot")))</f>
        <v/>
      </c>
      <c r="M185" s="29">
        <f>IF(L185="",IF(B185="","","Bewertung unvollständig – ★-Felder ausfüllen"),IF(L185="grün","Keine aktive Maßnahme – jährlich prüfen",IF(AND(X185=1,Y185=1,Z185=1),"Sofort sichern: Restbestand / Gebrauchtteil kaufen und Ersatzlösung (Retrofit) planen",IF(AND(X185=1,Z185=1),"Reparaturweg absichern (Dienstleister, Tauschteil), Gebrauchtteil prüfen",IF(X185=1,"Abgekündigt: Lagerteil schützen, Ersatzlösung mittelfristig planen",IF(Z185=1,IF(LEFT(Q185,4)="nein","Bevorratung lohnt nicht – Lieferzeit und Reparaturweg absichern","Lagerbestand anlegen (mind. 1 Stk.)"),"Reparaturmöglichkeit klären"))))))</f>
        <v/>
      </c>
      <c r="N185" s="30" t="n"/>
      <c r="O185" s="31" t="n"/>
      <c r="P185" s="32">
        <f>IF(OR(AB185="",W185="",Z185=0),"",AB185*INDEX(Krit_Kosten,MATCH(F185,Krit_Liste,0)))</f>
        <v/>
      </c>
      <c r="Q185" s="33">
        <f>IF(L185="","",IF(L185="grün","–",IF(Z185=0,"am Lager / in stock",IF(N(N185)&lt;=0,"Stückpreis fehlt",IF(P185&gt;=Faktor_lohnt*N185,"ja – "&amp;FIXED(P185/N185,0)&amp;"-fach","nein – "&amp;FIXED(P185/N185,IF(P185/N185&lt;1,2,1))&amp;"-fach")))))</f>
        <v/>
      </c>
      <c r="R185" s="25" t="n"/>
      <c r="S185" s="34" t="n"/>
      <c r="T185" s="31" t="n"/>
      <c r="U185" s="25" t="n"/>
      <c r="V185" s="2" t="n"/>
      <c r="W185" s="35">
        <f>IFERROR(INDEX(Krit_Faktor,MATCH(F185,Krit_Liste,0)),"")</f>
        <v/>
      </c>
      <c r="X185" s="35">
        <f>IF(OR(G185="nein",G185="no"),1,0)</f>
        <v/>
      </c>
      <c r="Y185" s="35">
        <f>IF(OR(H185="nein",H185="no"),1,0)</f>
        <v/>
      </c>
      <c r="Z185" s="35">
        <f>IF(OR(I185="nein",I185="no"),1,0)</f>
        <v/>
      </c>
      <c r="AA185" s="35">
        <f>(G185&lt;&gt;"")+(H185&lt;&gt;"")+(I185&lt;&gt;"")</f>
        <v/>
      </c>
      <c r="AB185" s="35">
        <f>IF(O185&lt;&gt;"",O185,IF(AA185&lt;3,"",IF(X185=1,Tage_nicht_beschaffbar,Tage_beschaffbar)))</f>
        <v/>
      </c>
      <c r="AC185" s="35">
        <f>IF(K185="","",K185*1000+W185*10+(1000-ROW())/100000)</f>
        <v/>
      </c>
    </row>
    <row r="186" ht="34" customHeight="1">
      <c r="A186" s="23">
        <f>IF(B186="","",COUNTA($B$9:B186))</f>
        <v/>
      </c>
      <c r="B186" s="24" t="n"/>
      <c r="C186" s="25" t="n"/>
      <c r="D186" s="25" t="n"/>
      <c r="E186" s="25" t="n"/>
      <c r="F186" s="26" t="n"/>
      <c r="G186" s="26" t="n"/>
      <c r="H186" s="26" t="n"/>
      <c r="I186" s="26" t="n"/>
      <c r="J186" s="23">
        <f>IF(AA186&lt;3,"",X186+Y186+Z186)</f>
        <v/>
      </c>
      <c r="K186" s="27">
        <f>IF(OR(J186="",W186=""),"",W186*J186)</f>
        <v/>
      </c>
      <c r="L186" s="28">
        <f>IF(K186="","",IF(K186&lt;=Gruen_bis,"grün",IF(K186&lt;=Gelb_bis,"gelb","rot")))</f>
        <v/>
      </c>
      <c r="M186" s="29">
        <f>IF(L186="",IF(B186="","","Bewertung unvollständig – ★-Felder ausfüllen"),IF(L186="grün","Keine aktive Maßnahme – jährlich prüfen",IF(AND(X186=1,Y186=1,Z186=1),"Sofort sichern: Restbestand / Gebrauchtteil kaufen und Ersatzlösung (Retrofit) planen",IF(AND(X186=1,Z186=1),"Reparaturweg absichern (Dienstleister, Tauschteil), Gebrauchtteil prüfen",IF(X186=1,"Abgekündigt: Lagerteil schützen, Ersatzlösung mittelfristig planen",IF(Z186=1,IF(LEFT(Q186,4)="nein","Bevorratung lohnt nicht – Lieferzeit und Reparaturweg absichern","Lagerbestand anlegen (mind. 1 Stk.)"),"Reparaturmöglichkeit klären"))))))</f>
        <v/>
      </c>
      <c r="N186" s="30" t="n"/>
      <c r="O186" s="31" t="n"/>
      <c r="P186" s="32">
        <f>IF(OR(AB186="",W186="",Z186=0),"",AB186*INDEX(Krit_Kosten,MATCH(F186,Krit_Liste,0)))</f>
        <v/>
      </c>
      <c r="Q186" s="33">
        <f>IF(L186="","",IF(L186="grün","–",IF(Z186=0,"am Lager / in stock",IF(N(N186)&lt;=0,"Stückpreis fehlt",IF(P186&gt;=Faktor_lohnt*N186,"ja – "&amp;FIXED(P186/N186,0)&amp;"-fach","nein – "&amp;FIXED(P186/N186,IF(P186/N186&lt;1,2,1))&amp;"-fach")))))</f>
        <v/>
      </c>
      <c r="R186" s="25" t="n"/>
      <c r="S186" s="34" t="n"/>
      <c r="T186" s="31" t="n"/>
      <c r="U186" s="25" t="n"/>
      <c r="V186" s="2" t="n"/>
      <c r="W186" s="35">
        <f>IFERROR(INDEX(Krit_Faktor,MATCH(F186,Krit_Liste,0)),"")</f>
        <v/>
      </c>
      <c r="X186" s="35">
        <f>IF(OR(G186="nein",G186="no"),1,0)</f>
        <v/>
      </c>
      <c r="Y186" s="35">
        <f>IF(OR(H186="nein",H186="no"),1,0)</f>
        <v/>
      </c>
      <c r="Z186" s="35">
        <f>IF(OR(I186="nein",I186="no"),1,0)</f>
        <v/>
      </c>
      <c r="AA186" s="35">
        <f>(G186&lt;&gt;"")+(H186&lt;&gt;"")+(I186&lt;&gt;"")</f>
        <v/>
      </c>
      <c r="AB186" s="35">
        <f>IF(O186&lt;&gt;"",O186,IF(AA186&lt;3,"",IF(X186=1,Tage_nicht_beschaffbar,Tage_beschaffbar)))</f>
        <v/>
      </c>
      <c r="AC186" s="35">
        <f>IF(K186="","",K186*1000+W186*10+(1000-ROW())/100000)</f>
        <v/>
      </c>
    </row>
    <row r="187" ht="34" customHeight="1">
      <c r="A187" s="23">
        <f>IF(B187="","",COUNTA($B$9:B187))</f>
        <v/>
      </c>
      <c r="B187" s="24" t="n"/>
      <c r="C187" s="25" t="n"/>
      <c r="D187" s="25" t="n"/>
      <c r="E187" s="25" t="n"/>
      <c r="F187" s="26" t="n"/>
      <c r="G187" s="26" t="n"/>
      <c r="H187" s="26" t="n"/>
      <c r="I187" s="26" t="n"/>
      <c r="J187" s="23">
        <f>IF(AA187&lt;3,"",X187+Y187+Z187)</f>
        <v/>
      </c>
      <c r="K187" s="27">
        <f>IF(OR(J187="",W187=""),"",W187*J187)</f>
        <v/>
      </c>
      <c r="L187" s="28">
        <f>IF(K187="","",IF(K187&lt;=Gruen_bis,"grün",IF(K187&lt;=Gelb_bis,"gelb","rot")))</f>
        <v/>
      </c>
      <c r="M187" s="29">
        <f>IF(L187="",IF(B187="","","Bewertung unvollständig – ★-Felder ausfüllen"),IF(L187="grün","Keine aktive Maßnahme – jährlich prüfen",IF(AND(X187=1,Y187=1,Z187=1),"Sofort sichern: Restbestand / Gebrauchtteil kaufen und Ersatzlösung (Retrofit) planen",IF(AND(X187=1,Z187=1),"Reparaturweg absichern (Dienstleister, Tauschteil), Gebrauchtteil prüfen",IF(X187=1,"Abgekündigt: Lagerteil schützen, Ersatzlösung mittelfristig planen",IF(Z187=1,IF(LEFT(Q187,4)="nein","Bevorratung lohnt nicht – Lieferzeit und Reparaturweg absichern","Lagerbestand anlegen (mind. 1 Stk.)"),"Reparaturmöglichkeit klären"))))))</f>
        <v/>
      </c>
      <c r="N187" s="30" t="n"/>
      <c r="O187" s="31" t="n"/>
      <c r="P187" s="32">
        <f>IF(OR(AB187="",W187="",Z187=0),"",AB187*INDEX(Krit_Kosten,MATCH(F187,Krit_Liste,0)))</f>
        <v/>
      </c>
      <c r="Q187" s="33">
        <f>IF(L187="","",IF(L187="grün","–",IF(Z187=0,"am Lager / in stock",IF(N(N187)&lt;=0,"Stückpreis fehlt",IF(P187&gt;=Faktor_lohnt*N187,"ja – "&amp;FIXED(P187/N187,0)&amp;"-fach","nein – "&amp;FIXED(P187/N187,IF(P187/N187&lt;1,2,1))&amp;"-fach")))))</f>
        <v/>
      </c>
      <c r="R187" s="25" t="n"/>
      <c r="S187" s="34" t="n"/>
      <c r="T187" s="31" t="n"/>
      <c r="U187" s="25" t="n"/>
      <c r="V187" s="2" t="n"/>
      <c r="W187" s="35">
        <f>IFERROR(INDEX(Krit_Faktor,MATCH(F187,Krit_Liste,0)),"")</f>
        <v/>
      </c>
      <c r="X187" s="35">
        <f>IF(OR(G187="nein",G187="no"),1,0)</f>
        <v/>
      </c>
      <c r="Y187" s="35">
        <f>IF(OR(H187="nein",H187="no"),1,0)</f>
        <v/>
      </c>
      <c r="Z187" s="35">
        <f>IF(OR(I187="nein",I187="no"),1,0)</f>
        <v/>
      </c>
      <c r="AA187" s="35">
        <f>(G187&lt;&gt;"")+(H187&lt;&gt;"")+(I187&lt;&gt;"")</f>
        <v/>
      </c>
      <c r="AB187" s="35">
        <f>IF(O187&lt;&gt;"",O187,IF(AA187&lt;3,"",IF(X187=1,Tage_nicht_beschaffbar,Tage_beschaffbar)))</f>
        <v/>
      </c>
      <c r="AC187" s="35">
        <f>IF(K187="","",K187*1000+W187*10+(1000-ROW())/100000)</f>
        <v/>
      </c>
    </row>
    <row r="188" ht="34" customHeight="1">
      <c r="A188" s="23">
        <f>IF(B188="","",COUNTA($B$9:B188))</f>
        <v/>
      </c>
      <c r="B188" s="24" t="n"/>
      <c r="C188" s="25" t="n"/>
      <c r="D188" s="25" t="n"/>
      <c r="E188" s="25" t="n"/>
      <c r="F188" s="26" t="n"/>
      <c r="G188" s="26" t="n"/>
      <c r="H188" s="26" t="n"/>
      <c r="I188" s="26" t="n"/>
      <c r="J188" s="23">
        <f>IF(AA188&lt;3,"",X188+Y188+Z188)</f>
        <v/>
      </c>
      <c r="K188" s="27">
        <f>IF(OR(J188="",W188=""),"",W188*J188)</f>
        <v/>
      </c>
      <c r="L188" s="28">
        <f>IF(K188="","",IF(K188&lt;=Gruen_bis,"grün",IF(K188&lt;=Gelb_bis,"gelb","rot")))</f>
        <v/>
      </c>
      <c r="M188" s="29">
        <f>IF(L188="",IF(B188="","","Bewertung unvollständig – ★-Felder ausfüllen"),IF(L188="grün","Keine aktive Maßnahme – jährlich prüfen",IF(AND(X188=1,Y188=1,Z188=1),"Sofort sichern: Restbestand / Gebrauchtteil kaufen und Ersatzlösung (Retrofit) planen",IF(AND(X188=1,Z188=1),"Reparaturweg absichern (Dienstleister, Tauschteil), Gebrauchtteil prüfen",IF(X188=1,"Abgekündigt: Lagerteil schützen, Ersatzlösung mittelfristig planen",IF(Z188=1,IF(LEFT(Q188,4)="nein","Bevorratung lohnt nicht – Lieferzeit und Reparaturweg absichern","Lagerbestand anlegen (mind. 1 Stk.)"),"Reparaturmöglichkeit klären"))))))</f>
        <v/>
      </c>
      <c r="N188" s="30" t="n"/>
      <c r="O188" s="31" t="n"/>
      <c r="P188" s="32">
        <f>IF(OR(AB188="",W188="",Z188=0),"",AB188*INDEX(Krit_Kosten,MATCH(F188,Krit_Liste,0)))</f>
        <v/>
      </c>
      <c r="Q188" s="33">
        <f>IF(L188="","",IF(L188="grün","–",IF(Z188=0,"am Lager / in stock",IF(N(N188)&lt;=0,"Stückpreis fehlt",IF(P188&gt;=Faktor_lohnt*N188,"ja – "&amp;FIXED(P188/N188,0)&amp;"-fach","nein – "&amp;FIXED(P188/N188,IF(P188/N188&lt;1,2,1))&amp;"-fach")))))</f>
        <v/>
      </c>
      <c r="R188" s="25" t="n"/>
      <c r="S188" s="34" t="n"/>
      <c r="T188" s="31" t="n"/>
      <c r="U188" s="25" t="n"/>
      <c r="V188" s="2" t="n"/>
      <c r="W188" s="35">
        <f>IFERROR(INDEX(Krit_Faktor,MATCH(F188,Krit_Liste,0)),"")</f>
        <v/>
      </c>
      <c r="X188" s="35">
        <f>IF(OR(G188="nein",G188="no"),1,0)</f>
        <v/>
      </c>
      <c r="Y188" s="35">
        <f>IF(OR(H188="nein",H188="no"),1,0)</f>
        <v/>
      </c>
      <c r="Z188" s="35">
        <f>IF(OR(I188="nein",I188="no"),1,0)</f>
        <v/>
      </c>
      <c r="AA188" s="35">
        <f>(G188&lt;&gt;"")+(H188&lt;&gt;"")+(I188&lt;&gt;"")</f>
        <v/>
      </c>
      <c r="AB188" s="35">
        <f>IF(O188&lt;&gt;"",O188,IF(AA188&lt;3,"",IF(X188=1,Tage_nicht_beschaffbar,Tage_beschaffbar)))</f>
        <v/>
      </c>
      <c r="AC188" s="35">
        <f>IF(K188="","",K188*1000+W188*10+(1000-ROW())/100000)</f>
        <v/>
      </c>
    </row>
    <row r="189" ht="34" customHeight="1">
      <c r="A189" s="23">
        <f>IF(B189="","",COUNTA($B$9:B189))</f>
        <v/>
      </c>
      <c r="B189" s="24" t="n"/>
      <c r="C189" s="25" t="n"/>
      <c r="D189" s="25" t="n"/>
      <c r="E189" s="25" t="n"/>
      <c r="F189" s="26" t="n"/>
      <c r="G189" s="26" t="n"/>
      <c r="H189" s="26" t="n"/>
      <c r="I189" s="26" t="n"/>
      <c r="J189" s="23">
        <f>IF(AA189&lt;3,"",X189+Y189+Z189)</f>
        <v/>
      </c>
      <c r="K189" s="27">
        <f>IF(OR(J189="",W189=""),"",W189*J189)</f>
        <v/>
      </c>
      <c r="L189" s="28">
        <f>IF(K189="","",IF(K189&lt;=Gruen_bis,"grün",IF(K189&lt;=Gelb_bis,"gelb","rot")))</f>
        <v/>
      </c>
      <c r="M189" s="29">
        <f>IF(L189="",IF(B189="","","Bewertung unvollständig – ★-Felder ausfüllen"),IF(L189="grün","Keine aktive Maßnahme – jährlich prüfen",IF(AND(X189=1,Y189=1,Z189=1),"Sofort sichern: Restbestand / Gebrauchtteil kaufen und Ersatzlösung (Retrofit) planen",IF(AND(X189=1,Z189=1),"Reparaturweg absichern (Dienstleister, Tauschteil), Gebrauchtteil prüfen",IF(X189=1,"Abgekündigt: Lagerteil schützen, Ersatzlösung mittelfristig planen",IF(Z189=1,IF(LEFT(Q189,4)="nein","Bevorratung lohnt nicht – Lieferzeit und Reparaturweg absichern","Lagerbestand anlegen (mind. 1 Stk.)"),"Reparaturmöglichkeit klären"))))))</f>
        <v/>
      </c>
      <c r="N189" s="30" t="n"/>
      <c r="O189" s="31" t="n"/>
      <c r="P189" s="32">
        <f>IF(OR(AB189="",W189="",Z189=0),"",AB189*INDEX(Krit_Kosten,MATCH(F189,Krit_Liste,0)))</f>
        <v/>
      </c>
      <c r="Q189" s="33">
        <f>IF(L189="","",IF(L189="grün","–",IF(Z189=0,"am Lager / in stock",IF(N(N189)&lt;=0,"Stückpreis fehlt",IF(P189&gt;=Faktor_lohnt*N189,"ja – "&amp;FIXED(P189/N189,0)&amp;"-fach","nein – "&amp;FIXED(P189/N189,IF(P189/N189&lt;1,2,1))&amp;"-fach")))))</f>
        <v/>
      </c>
      <c r="R189" s="25" t="n"/>
      <c r="S189" s="34" t="n"/>
      <c r="T189" s="31" t="n"/>
      <c r="U189" s="25" t="n"/>
      <c r="V189" s="2" t="n"/>
      <c r="W189" s="35">
        <f>IFERROR(INDEX(Krit_Faktor,MATCH(F189,Krit_Liste,0)),"")</f>
        <v/>
      </c>
      <c r="X189" s="35">
        <f>IF(OR(G189="nein",G189="no"),1,0)</f>
        <v/>
      </c>
      <c r="Y189" s="35">
        <f>IF(OR(H189="nein",H189="no"),1,0)</f>
        <v/>
      </c>
      <c r="Z189" s="35">
        <f>IF(OR(I189="nein",I189="no"),1,0)</f>
        <v/>
      </c>
      <c r="AA189" s="35">
        <f>(G189&lt;&gt;"")+(H189&lt;&gt;"")+(I189&lt;&gt;"")</f>
        <v/>
      </c>
      <c r="AB189" s="35">
        <f>IF(O189&lt;&gt;"",O189,IF(AA189&lt;3,"",IF(X189=1,Tage_nicht_beschaffbar,Tage_beschaffbar)))</f>
        <v/>
      </c>
      <c r="AC189" s="35">
        <f>IF(K189="","",K189*1000+W189*10+(1000-ROW())/100000)</f>
        <v/>
      </c>
    </row>
    <row r="190" ht="34" customHeight="1">
      <c r="A190" s="23">
        <f>IF(B190="","",COUNTA($B$9:B190))</f>
        <v/>
      </c>
      <c r="B190" s="24" t="n"/>
      <c r="C190" s="25" t="n"/>
      <c r="D190" s="25" t="n"/>
      <c r="E190" s="25" t="n"/>
      <c r="F190" s="26" t="n"/>
      <c r="G190" s="26" t="n"/>
      <c r="H190" s="26" t="n"/>
      <c r="I190" s="26" t="n"/>
      <c r="J190" s="23">
        <f>IF(AA190&lt;3,"",X190+Y190+Z190)</f>
        <v/>
      </c>
      <c r="K190" s="27">
        <f>IF(OR(J190="",W190=""),"",W190*J190)</f>
        <v/>
      </c>
      <c r="L190" s="28">
        <f>IF(K190="","",IF(K190&lt;=Gruen_bis,"grün",IF(K190&lt;=Gelb_bis,"gelb","rot")))</f>
        <v/>
      </c>
      <c r="M190" s="29">
        <f>IF(L190="",IF(B190="","","Bewertung unvollständig – ★-Felder ausfüllen"),IF(L190="grün","Keine aktive Maßnahme – jährlich prüfen",IF(AND(X190=1,Y190=1,Z190=1),"Sofort sichern: Restbestand / Gebrauchtteil kaufen und Ersatzlösung (Retrofit) planen",IF(AND(X190=1,Z190=1),"Reparaturweg absichern (Dienstleister, Tauschteil), Gebrauchtteil prüfen",IF(X190=1,"Abgekündigt: Lagerteil schützen, Ersatzlösung mittelfristig planen",IF(Z190=1,IF(LEFT(Q190,4)="nein","Bevorratung lohnt nicht – Lieferzeit und Reparaturweg absichern","Lagerbestand anlegen (mind. 1 Stk.)"),"Reparaturmöglichkeit klären"))))))</f>
        <v/>
      </c>
      <c r="N190" s="30" t="n"/>
      <c r="O190" s="31" t="n"/>
      <c r="P190" s="32">
        <f>IF(OR(AB190="",W190="",Z190=0),"",AB190*INDEX(Krit_Kosten,MATCH(F190,Krit_Liste,0)))</f>
        <v/>
      </c>
      <c r="Q190" s="33">
        <f>IF(L190="","",IF(L190="grün","–",IF(Z190=0,"am Lager / in stock",IF(N(N190)&lt;=0,"Stückpreis fehlt",IF(P190&gt;=Faktor_lohnt*N190,"ja – "&amp;FIXED(P190/N190,0)&amp;"-fach","nein – "&amp;FIXED(P190/N190,IF(P190/N190&lt;1,2,1))&amp;"-fach")))))</f>
        <v/>
      </c>
      <c r="R190" s="25" t="n"/>
      <c r="S190" s="34" t="n"/>
      <c r="T190" s="31" t="n"/>
      <c r="U190" s="25" t="n"/>
      <c r="V190" s="2" t="n"/>
      <c r="W190" s="35">
        <f>IFERROR(INDEX(Krit_Faktor,MATCH(F190,Krit_Liste,0)),"")</f>
        <v/>
      </c>
      <c r="X190" s="35">
        <f>IF(OR(G190="nein",G190="no"),1,0)</f>
        <v/>
      </c>
      <c r="Y190" s="35">
        <f>IF(OR(H190="nein",H190="no"),1,0)</f>
        <v/>
      </c>
      <c r="Z190" s="35">
        <f>IF(OR(I190="nein",I190="no"),1,0)</f>
        <v/>
      </c>
      <c r="AA190" s="35">
        <f>(G190&lt;&gt;"")+(H190&lt;&gt;"")+(I190&lt;&gt;"")</f>
        <v/>
      </c>
      <c r="AB190" s="35">
        <f>IF(O190&lt;&gt;"",O190,IF(AA190&lt;3,"",IF(X190=1,Tage_nicht_beschaffbar,Tage_beschaffbar)))</f>
        <v/>
      </c>
      <c r="AC190" s="35">
        <f>IF(K190="","",K190*1000+W190*10+(1000-ROW())/100000)</f>
        <v/>
      </c>
    </row>
    <row r="191" ht="34" customHeight="1">
      <c r="A191" s="23">
        <f>IF(B191="","",COUNTA($B$9:B191))</f>
        <v/>
      </c>
      <c r="B191" s="24" t="n"/>
      <c r="C191" s="25" t="n"/>
      <c r="D191" s="25" t="n"/>
      <c r="E191" s="25" t="n"/>
      <c r="F191" s="26" t="n"/>
      <c r="G191" s="26" t="n"/>
      <c r="H191" s="26" t="n"/>
      <c r="I191" s="26" t="n"/>
      <c r="J191" s="23">
        <f>IF(AA191&lt;3,"",X191+Y191+Z191)</f>
        <v/>
      </c>
      <c r="K191" s="27">
        <f>IF(OR(J191="",W191=""),"",W191*J191)</f>
        <v/>
      </c>
      <c r="L191" s="28">
        <f>IF(K191="","",IF(K191&lt;=Gruen_bis,"grün",IF(K191&lt;=Gelb_bis,"gelb","rot")))</f>
        <v/>
      </c>
      <c r="M191" s="29">
        <f>IF(L191="",IF(B191="","","Bewertung unvollständig – ★-Felder ausfüllen"),IF(L191="grün","Keine aktive Maßnahme – jährlich prüfen",IF(AND(X191=1,Y191=1,Z191=1),"Sofort sichern: Restbestand / Gebrauchtteil kaufen und Ersatzlösung (Retrofit) planen",IF(AND(X191=1,Z191=1),"Reparaturweg absichern (Dienstleister, Tauschteil), Gebrauchtteil prüfen",IF(X191=1,"Abgekündigt: Lagerteil schützen, Ersatzlösung mittelfristig planen",IF(Z191=1,IF(LEFT(Q191,4)="nein","Bevorratung lohnt nicht – Lieferzeit und Reparaturweg absichern","Lagerbestand anlegen (mind. 1 Stk.)"),"Reparaturmöglichkeit klären"))))))</f>
        <v/>
      </c>
      <c r="N191" s="30" t="n"/>
      <c r="O191" s="31" t="n"/>
      <c r="P191" s="32">
        <f>IF(OR(AB191="",W191="",Z191=0),"",AB191*INDEX(Krit_Kosten,MATCH(F191,Krit_Liste,0)))</f>
        <v/>
      </c>
      <c r="Q191" s="33">
        <f>IF(L191="","",IF(L191="grün","–",IF(Z191=0,"am Lager / in stock",IF(N(N191)&lt;=0,"Stückpreis fehlt",IF(P191&gt;=Faktor_lohnt*N191,"ja – "&amp;FIXED(P191/N191,0)&amp;"-fach","nein – "&amp;FIXED(P191/N191,IF(P191/N191&lt;1,2,1))&amp;"-fach")))))</f>
        <v/>
      </c>
      <c r="R191" s="25" t="n"/>
      <c r="S191" s="34" t="n"/>
      <c r="T191" s="31" t="n"/>
      <c r="U191" s="25" t="n"/>
      <c r="V191" s="2" t="n"/>
      <c r="W191" s="35">
        <f>IFERROR(INDEX(Krit_Faktor,MATCH(F191,Krit_Liste,0)),"")</f>
        <v/>
      </c>
      <c r="X191" s="35">
        <f>IF(OR(G191="nein",G191="no"),1,0)</f>
        <v/>
      </c>
      <c r="Y191" s="35">
        <f>IF(OR(H191="nein",H191="no"),1,0)</f>
        <v/>
      </c>
      <c r="Z191" s="35">
        <f>IF(OR(I191="nein",I191="no"),1,0)</f>
        <v/>
      </c>
      <c r="AA191" s="35">
        <f>(G191&lt;&gt;"")+(H191&lt;&gt;"")+(I191&lt;&gt;"")</f>
        <v/>
      </c>
      <c r="AB191" s="35">
        <f>IF(O191&lt;&gt;"",O191,IF(AA191&lt;3,"",IF(X191=1,Tage_nicht_beschaffbar,Tage_beschaffbar)))</f>
        <v/>
      </c>
      <c r="AC191" s="35">
        <f>IF(K191="","",K191*1000+W191*10+(1000-ROW())/100000)</f>
        <v/>
      </c>
    </row>
    <row r="192" ht="34" customHeight="1">
      <c r="A192" s="23">
        <f>IF(B192="","",COUNTA($B$9:B192))</f>
        <v/>
      </c>
      <c r="B192" s="24" t="n"/>
      <c r="C192" s="25" t="n"/>
      <c r="D192" s="25" t="n"/>
      <c r="E192" s="25" t="n"/>
      <c r="F192" s="26" t="n"/>
      <c r="G192" s="26" t="n"/>
      <c r="H192" s="26" t="n"/>
      <c r="I192" s="26" t="n"/>
      <c r="J192" s="23">
        <f>IF(AA192&lt;3,"",X192+Y192+Z192)</f>
        <v/>
      </c>
      <c r="K192" s="27">
        <f>IF(OR(J192="",W192=""),"",W192*J192)</f>
        <v/>
      </c>
      <c r="L192" s="28">
        <f>IF(K192="","",IF(K192&lt;=Gruen_bis,"grün",IF(K192&lt;=Gelb_bis,"gelb","rot")))</f>
        <v/>
      </c>
      <c r="M192" s="29">
        <f>IF(L192="",IF(B192="","","Bewertung unvollständig – ★-Felder ausfüllen"),IF(L192="grün","Keine aktive Maßnahme – jährlich prüfen",IF(AND(X192=1,Y192=1,Z192=1),"Sofort sichern: Restbestand / Gebrauchtteil kaufen und Ersatzlösung (Retrofit) planen",IF(AND(X192=1,Z192=1),"Reparaturweg absichern (Dienstleister, Tauschteil), Gebrauchtteil prüfen",IF(X192=1,"Abgekündigt: Lagerteil schützen, Ersatzlösung mittelfristig planen",IF(Z192=1,IF(LEFT(Q192,4)="nein","Bevorratung lohnt nicht – Lieferzeit und Reparaturweg absichern","Lagerbestand anlegen (mind. 1 Stk.)"),"Reparaturmöglichkeit klären"))))))</f>
        <v/>
      </c>
      <c r="N192" s="30" t="n"/>
      <c r="O192" s="31" t="n"/>
      <c r="P192" s="32">
        <f>IF(OR(AB192="",W192="",Z192=0),"",AB192*INDEX(Krit_Kosten,MATCH(F192,Krit_Liste,0)))</f>
        <v/>
      </c>
      <c r="Q192" s="33">
        <f>IF(L192="","",IF(L192="grün","–",IF(Z192=0,"am Lager / in stock",IF(N(N192)&lt;=0,"Stückpreis fehlt",IF(P192&gt;=Faktor_lohnt*N192,"ja – "&amp;FIXED(P192/N192,0)&amp;"-fach","nein – "&amp;FIXED(P192/N192,IF(P192/N192&lt;1,2,1))&amp;"-fach")))))</f>
        <v/>
      </c>
      <c r="R192" s="25" t="n"/>
      <c r="S192" s="34" t="n"/>
      <c r="T192" s="31" t="n"/>
      <c r="U192" s="25" t="n"/>
      <c r="V192" s="2" t="n"/>
      <c r="W192" s="35">
        <f>IFERROR(INDEX(Krit_Faktor,MATCH(F192,Krit_Liste,0)),"")</f>
        <v/>
      </c>
      <c r="X192" s="35">
        <f>IF(OR(G192="nein",G192="no"),1,0)</f>
        <v/>
      </c>
      <c r="Y192" s="35">
        <f>IF(OR(H192="nein",H192="no"),1,0)</f>
        <v/>
      </c>
      <c r="Z192" s="35">
        <f>IF(OR(I192="nein",I192="no"),1,0)</f>
        <v/>
      </c>
      <c r="AA192" s="35">
        <f>(G192&lt;&gt;"")+(H192&lt;&gt;"")+(I192&lt;&gt;"")</f>
        <v/>
      </c>
      <c r="AB192" s="35">
        <f>IF(O192&lt;&gt;"",O192,IF(AA192&lt;3,"",IF(X192=1,Tage_nicht_beschaffbar,Tage_beschaffbar)))</f>
        <v/>
      </c>
      <c r="AC192" s="35">
        <f>IF(K192="","",K192*1000+W192*10+(1000-ROW())/100000)</f>
        <v/>
      </c>
    </row>
    <row r="193" ht="34" customHeight="1">
      <c r="A193" s="23">
        <f>IF(B193="","",COUNTA($B$9:B193))</f>
        <v/>
      </c>
      <c r="B193" s="24" t="n"/>
      <c r="C193" s="25" t="n"/>
      <c r="D193" s="25" t="n"/>
      <c r="E193" s="25" t="n"/>
      <c r="F193" s="26" t="n"/>
      <c r="G193" s="26" t="n"/>
      <c r="H193" s="26" t="n"/>
      <c r="I193" s="26" t="n"/>
      <c r="J193" s="23">
        <f>IF(AA193&lt;3,"",X193+Y193+Z193)</f>
        <v/>
      </c>
      <c r="K193" s="27">
        <f>IF(OR(J193="",W193=""),"",W193*J193)</f>
        <v/>
      </c>
      <c r="L193" s="28">
        <f>IF(K193="","",IF(K193&lt;=Gruen_bis,"grün",IF(K193&lt;=Gelb_bis,"gelb","rot")))</f>
        <v/>
      </c>
      <c r="M193" s="29">
        <f>IF(L193="",IF(B193="","","Bewertung unvollständig – ★-Felder ausfüllen"),IF(L193="grün","Keine aktive Maßnahme – jährlich prüfen",IF(AND(X193=1,Y193=1,Z193=1),"Sofort sichern: Restbestand / Gebrauchtteil kaufen und Ersatzlösung (Retrofit) planen",IF(AND(X193=1,Z193=1),"Reparaturweg absichern (Dienstleister, Tauschteil), Gebrauchtteil prüfen",IF(X193=1,"Abgekündigt: Lagerteil schützen, Ersatzlösung mittelfristig planen",IF(Z193=1,IF(LEFT(Q193,4)="nein","Bevorratung lohnt nicht – Lieferzeit und Reparaturweg absichern","Lagerbestand anlegen (mind. 1 Stk.)"),"Reparaturmöglichkeit klären"))))))</f>
        <v/>
      </c>
      <c r="N193" s="30" t="n"/>
      <c r="O193" s="31" t="n"/>
      <c r="P193" s="32">
        <f>IF(OR(AB193="",W193="",Z193=0),"",AB193*INDEX(Krit_Kosten,MATCH(F193,Krit_Liste,0)))</f>
        <v/>
      </c>
      <c r="Q193" s="33">
        <f>IF(L193="","",IF(L193="grün","–",IF(Z193=0,"am Lager / in stock",IF(N(N193)&lt;=0,"Stückpreis fehlt",IF(P193&gt;=Faktor_lohnt*N193,"ja – "&amp;FIXED(P193/N193,0)&amp;"-fach","nein – "&amp;FIXED(P193/N193,IF(P193/N193&lt;1,2,1))&amp;"-fach")))))</f>
        <v/>
      </c>
      <c r="R193" s="25" t="n"/>
      <c r="S193" s="34" t="n"/>
      <c r="T193" s="31" t="n"/>
      <c r="U193" s="25" t="n"/>
      <c r="V193" s="2" t="n"/>
      <c r="W193" s="35">
        <f>IFERROR(INDEX(Krit_Faktor,MATCH(F193,Krit_Liste,0)),"")</f>
        <v/>
      </c>
      <c r="X193" s="35">
        <f>IF(OR(G193="nein",G193="no"),1,0)</f>
        <v/>
      </c>
      <c r="Y193" s="35">
        <f>IF(OR(H193="nein",H193="no"),1,0)</f>
        <v/>
      </c>
      <c r="Z193" s="35">
        <f>IF(OR(I193="nein",I193="no"),1,0)</f>
        <v/>
      </c>
      <c r="AA193" s="35">
        <f>(G193&lt;&gt;"")+(H193&lt;&gt;"")+(I193&lt;&gt;"")</f>
        <v/>
      </c>
      <c r="AB193" s="35">
        <f>IF(O193&lt;&gt;"",O193,IF(AA193&lt;3,"",IF(X193=1,Tage_nicht_beschaffbar,Tage_beschaffbar)))</f>
        <v/>
      </c>
      <c r="AC193" s="35">
        <f>IF(K193="","",K193*1000+W193*10+(1000-ROW())/100000)</f>
        <v/>
      </c>
    </row>
    <row r="194" ht="34" customHeight="1">
      <c r="A194" s="23">
        <f>IF(B194="","",COUNTA($B$9:B194))</f>
        <v/>
      </c>
      <c r="B194" s="24" t="n"/>
      <c r="C194" s="25" t="n"/>
      <c r="D194" s="25" t="n"/>
      <c r="E194" s="25" t="n"/>
      <c r="F194" s="26" t="n"/>
      <c r="G194" s="26" t="n"/>
      <c r="H194" s="26" t="n"/>
      <c r="I194" s="26" t="n"/>
      <c r="J194" s="23">
        <f>IF(AA194&lt;3,"",X194+Y194+Z194)</f>
        <v/>
      </c>
      <c r="K194" s="27">
        <f>IF(OR(J194="",W194=""),"",W194*J194)</f>
        <v/>
      </c>
      <c r="L194" s="28">
        <f>IF(K194="","",IF(K194&lt;=Gruen_bis,"grün",IF(K194&lt;=Gelb_bis,"gelb","rot")))</f>
        <v/>
      </c>
      <c r="M194" s="29">
        <f>IF(L194="",IF(B194="","","Bewertung unvollständig – ★-Felder ausfüllen"),IF(L194="grün","Keine aktive Maßnahme – jährlich prüfen",IF(AND(X194=1,Y194=1,Z194=1),"Sofort sichern: Restbestand / Gebrauchtteil kaufen und Ersatzlösung (Retrofit) planen",IF(AND(X194=1,Z194=1),"Reparaturweg absichern (Dienstleister, Tauschteil), Gebrauchtteil prüfen",IF(X194=1,"Abgekündigt: Lagerteil schützen, Ersatzlösung mittelfristig planen",IF(Z194=1,IF(LEFT(Q194,4)="nein","Bevorratung lohnt nicht – Lieferzeit und Reparaturweg absichern","Lagerbestand anlegen (mind. 1 Stk.)"),"Reparaturmöglichkeit klären"))))))</f>
        <v/>
      </c>
      <c r="N194" s="30" t="n"/>
      <c r="O194" s="31" t="n"/>
      <c r="P194" s="32">
        <f>IF(OR(AB194="",W194="",Z194=0),"",AB194*INDEX(Krit_Kosten,MATCH(F194,Krit_Liste,0)))</f>
        <v/>
      </c>
      <c r="Q194" s="33">
        <f>IF(L194="","",IF(L194="grün","–",IF(Z194=0,"am Lager / in stock",IF(N(N194)&lt;=0,"Stückpreis fehlt",IF(P194&gt;=Faktor_lohnt*N194,"ja – "&amp;FIXED(P194/N194,0)&amp;"-fach","nein – "&amp;FIXED(P194/N194,IF(P194/N194&lt;1,2,1))&amp;"-fach")))))</f>
        <v/>
      </c>
      <c r="R194" s="25" t="n"/>
      <c r="S194" s="34" t="n"/>
      <c r="T194" s="31" t="n"/>
      <c r="U194" s="25" t="n"/>
      <c r="V194" s="2" t="n"/>
      <c r="W194" s="35">
        <f>IFERROR(INDEX(Krit_Faktor,MATCH(F194,Krit_Liste,0)),"")</f>
        <v/>
      </c>
      <c r="X194" s="35">
        <f>IF(OR(G194="nein",G194="no"),1,0)</f>
        <v/>
      </c>
      <c r="Y194" s="35">
        <f>IF(OR(H194="nein",H194="no"),1,0)</f>
        <v/>
      </c>
      <c r="Z194" s="35">
        <f>IF(OR(I194="nein",I194="no"),1,0)</f>
        <v/>
      </c>
      <c r="AA194" s="35">
        <f>(G194&lt;&gt;"")+(H194&lt;&gt;"")+(I194&lt;&gt;"")</f>
        <v/>
      </c>
      <c r="AB194" s="35">
        <f>IF(O194&lt;&gt;"",O194,IF(AA194&lt;3,"",IF(X194=1,Tage_nicht_beschaffbar,Tage_beschaffbar)))</f>
        <v/>
      </c>
      <c r="AC194" s="35">
        <f>IF(K194="","",K194*1000+W194*10+(1000-ROW())/100000)</f>
        <v/>
      </c>
    </row>
    <row r="195" ht="34" customHeight="1">
      <c r="A195" s="23">
        <f>IF(B195="","",COUNTA($B$9:B195))</f>
        <v/>
      </c>
      <c r="B195" s="24" t="n"/>
      <c r="C195" s="25" t="n"/>
      <c r="D195" s="25" t="n"/>
      <c r="E195" s="25" t="n"/>
      <c r="F195" s="26" t="n"/>
      <c r="G195" s="26" t="n"/>
      <c r="H195" s="26" t="n"/>
      <c r="I195" s="26" t="n"/>
      <c r="J195" s="23">
        <f>IF(AA195&lt;3,"",X195+Y195+Z195)</f>
        <v/>
      </c>
      <c r="K195" s="27">
        <f>IF(OR(J195="",W195=""),"",W195*J195)</f>
        <v/>
      </c>
      <c r="L195" s="28">
        <f>IF(K195="","",IF(K195&lt;=Gruen_bis,"grün",IF(K195&lt;=Gelb_bis,"gelb","rot")))</f>
        <v/>
      </c>
      <c r="M195" s="29">
        <f>IF(L195="",IF(B195="","","Bewertung unvollständig – ★-Felder ausfüllen"),IF(L195="grün","Keine aktive Maßnahme – jährlich prüfen",IF(AND(X195=1,Y195=1,Z195=1),"Sofort sichern: Restbestand / Gebrauchtteil kaufen und Ersatzlösung (Retrofit) planen",IF(AND(X195=1,Z195=1),"Reparaturweg absichern (Dienstleister, Tauschteil), Gebrauchtteil prüfen",IF(X195=1,"Abgekündigt: Lagerteil schützen, Ersatzlösung mittelfristig planen",IF(Z195=1,IF(LEFT(Q195,4)="nein","Bevorratung lohnt nicht – Lieferzeit und Reparaturweg absichern","Lagerbestand anlegen (mind. 1 Stk.)"),"Reparaturmöglichkeit klären"))))))</f>
        <v/>
      </c>
      <c r="N195" s="30" t="n"/>
      <c r="O195" s="31" t="n"/>
      <c r="P195" s="32">
        <f>IF(OR(AB195="",W195="",Z195=0),"",AB195*INDEX(Krit_Kosten,MATCH(F195,Krit_Liste,0)))</f>
        <v/>
      </c>
      <c r="Q195" s="33">
        <f>IF(L195="","",IF(L195="grün","–",IF(Z195=0,"am Lager / in stock",IF(N(N195)&lt;=0,"Stückpreis fehlt",IF(P195&gt;=Faktor_lohnt*N195,"ja – "&amp;FIXED(P195/N195,0)&amp;"-fach","nein – "&amp;FIXED(P195/N195,IF(P195/N195&lt;1,2,1))&amp;"-fach")))))</f>
        <v/>
      </c>
      <c r="R195" s="25" t="n"/>
      <c r="S195" s="34" t="n"/>
      <c r="T195" s="31" t="n"/>
      <c r="U195" s="25" t="n"/>
      <c r="V195" s="2" t="n"/>
      <c r="W195" s="35">
        <f>IFERROR(INDEX(Krit_Faktor,MATCH(F195,Krit_Liste,0)),"")</f>
        <v/>
      </c>
      <c r="X195" s="35">
        <f>IF(OR(G195="nein",G195="no"),1,0)</f>
        <v/>
      </c>
      <c r="Y195" s="35">
        <f>IF(OR(H195="nein",H195="no"),1,0)</f>
        <v/>
      </c>
      <c r="Z195" s="35">
        <f>IF(OR(I195="nein",I195="no"),1,0)</f>
        <v/>
      </c>
      <c r="AA195" s="35">
        <f>(G195&lt;&gt;"")+(H195&lt;&gt;"")+(I195&lt;&gt;"")</f>
        <v/>
      </c>
      <c r="AB195" s="35">
        <f>IF(O195&lt;&gt;"",O195,IF(AA195&lt;3,"",IF(X195=1,Tage_nicht_beschaffbar,Tage_beschaffbar)))</f>
        <v/>
      </c>
      <c r="AC195" s="35">
        <f>IF(K195="","",K195*1000+W195*10+(1000-ROW())/100000)</f>
        <v/>
      </c>
    </row>
    <row r="196" ht="34" customHeight="1">
      <c r="A196" s="23">
        <f>IF(B196="","",COUNTA($B$9:B196))</f>
        <v/>
      </c>
      <c r="B196" s="24" t="n"/>
      <c r="C196" s="25" t="n"/>
      <c r="D196" s="25" t="n"/>
      <c r="E196" s="25" t="n"/>
      <c r="F196" s="26" t="n"/>
      <c r="G196" s="26" t="n"/>
      <c r="H196" s="26" t="n"/>
      <c r="I196" s="26" t="n"/>
      <c r="J196" s="23">
        <f>IF(AA196&lt;3,"",X196+Y196+Z196)</f>
        <v/>
      </c>
      <c r="K196" s="27">
        <f>IF(OR(J196="",W196=""),"",W196*J196)</f>
        <v/>
      </c>
      <c r="L196" s="28">
        <f>IF(K196="","",IF(K196&lt;=Gruen_bis,"grün",IF(K196&lt;=Gelb_bis,"gelb","rot")))</f>
        <v/>
      </c>
      <c r="M196" s="29">
        <f>IF(L196="",IF(B196="","","Bewertung unvollständig – ★-Felder ausfüllen"),IF(L196="grün","Keine aktive Maßnahme – jährlich prüfen",IF(AND(X196=1,Y196=1,Z196=1),"Sofort sichern: Restbestand / Gebrauchtteil kaufen und Ersatzlösung (Retrofit) planen",IF(AND(X196=1,Z196=1),"Reparaturweg absichern (Dienstleister, Tauschteil), Gebrauchtteil prüfen",IF(X196=1,"Abgekündigt: Lagerteil schützen, Ersatzlösung mittelfristig planen",IF(Z196=1,IF(LEFT(Q196,4)="nein","Bevorratung lohnt nicht – Lieferzeit und Reparaturweg absichern","Lagerbestand anlegen (mind. 1 Stk.)"),"Reparaturmöglichkeit klären"))))))</f>
        <v/>
      </c>
      <c r="N196" s="30" t="n"/>
      <c r="O196" s="31" t="n"/>
      <c r="P196" s="32">
        <f>IF(OR(AB196="",W196="",Z196=0),"",AB196*INDEX(Krit_Kosten,MATCH(F196,Krit_Liste,0)))</f>
        <v/>
      </c>
      <c r="Q196" s="33">
        <f>IF(L196="","",IF(L196="grün","–",IF(Z196=0,"am Lager / in stock",IF(N(N196)&lt;=0,"Stückpreis fehlt",IF(P196&gt;=Faktor_lohnt*N196,"ja – "&amp;FIXED(P196/N196,0)&amp;"-fach","nein – "&amp;FIXED(P196/N196,IF(P196/N196&lt;1,2,1))&amp;"-fach")))))</f>
        <v/>
      </c>
      <c r="R196" s="25" t="n"/>
      <c r="S196" s="34" t="n"/>
      <c r="T196" s="31" t="n"/>
      <c r="U196" s="25" t="n"/>
      <c r="V196" s="2" t="n"/>
      <c r="W196" s="35">
        <f>IFERROR(INDEX(Krit_Faktor,MATCH(F196,Krit_Liste,0)),"")</f>
        <v/>
      </c>
      <c r="X196" s="35">
        <f>IF(OR(G196="nein",G196="no"),1,0)</f>
        <v/>
      </c>
      <c r="Y196" s="35">
        <f>IF(OR(H196="nein",H196="no"),1,0)</f>
        <v/>
      </c>
      <c r="Z196" s="35">
        <f>IF(OR(I196="nein",I196="no"),1,0)</f>
        <v/>
      </c>
      <c r="AA196" s="35">
        <f>(G196&lt;&gt;"")+(H196&lt;&gt;"")+(I196&lt;&gt;"")</f>
        <v/>
      </c>
      <c r="AB196" s="35">
        <f>IF(O196&lt;&gt;"",O196,IF(AA196&lt;3,"",IF(X196=1,Tage_nicht_beschaffbar,Tage_beschaffbar)))</f>
        <v/>
      </c>
      <c r="AC196" s="35">
        <f>IF(K196="","",K196*1000+W196*10+(1000-ROW())/100000)</f>
        <v/>
      </c>
    </row>
    <row r="197" ht="34" customHeight="1">
      <c r="A197" s="23">
        <f>IF(B197="","",COUNTA($B$9:B197))</f>
        <v/>
      </c>
      <c r="B197" s="24" t="n"/>
      <c r="C197" s="25" t="n"/>
      <c r="D197" s="25" t="n"/>
      <c r="E197" s="25" t="n"/>
      <c r="F197" s="26" t="n"/>
      <c r="G197" s="26" t="n"/>
      <c r="H197" s="26" t="n"/>
      <c r="I197" s="26" t="n"/>
      <c r="J197" s="23">
        <f>IF(AA197&lt;3,"",X197+Y197+Z197)</f>
        <v/>
      </c>
      <c r="K197" s="27">
        <f>IF(OR(J197="",W197=""),"",W197*J197)</f>
        <v/>
      </c>
      <c r="L197" s="28">
        <f>IF(K197="","",IF(K197&lt;=Gruen_bis,"grün",IF(K197&lt;=Gelb_bis,"gelb","rot")))</f>
        <v/>
      </c>
      <c r="M197" s="29">
        <f>IF(L197="",IF(B197="","","Bewertung unvollständig – ★-Felder ausfüllen"),IF(L197="grün","Keine aktive Maßnahme – jährlich prüfen",IF(AND(X197=1,Y197=1,Z197=1),"Sofort sichern: Restbestand / Gebrauchtteil kaufen und Ersatzlösung (Retrofit) planen",IF(AND(X197=1,Z197=1),"Reparaturweg absichern (Dienstleister, Tauschteil), Gebrauchtteil prüfen",IF(X197=1,"Abgekündigt: Lagerteil schützen, Ersatzlösung mittelfristig planen",IF(Z197=1,IF(LEFT(Q197,4)="nein","Bevorratung lohnt nicht – Lieferzeit und Reparaturweg absichern","Lagerbestand anlegen (mind. 1 Stk.)"),"Reparaturmöglichkeit klären"))))))</f>
        <v/>
      </c>
      <c r="N197" s="30" t="n"/>
      <c r="O197" s="31" t="n"/>
      <c r="P197" s="32">
        <f>IF(OR(AB197="",W197="",Z197=0),"",AB197*INDEX(Krit_Kosten,MATCH(F197,Krit_Liste,0)))</f>
        <v/>
      </c>
      <c r="Q197" s="33">
        <f>IF(L197="","",IF(L197="grün","–",IF(Z197=0,"am Lager / in stock",IF(N(N197)&lt;=0,"Stückpreis fehlt",IF(P197&gt;=Faktor_lohnt*N197,"ja – "&amp;FIXED(P197/N197,0)&amp;"-fach","nein – "&amp;FIXED(P197/N197,IF(P197/N197&lt;1,2,1))&amp;"-fach")))))</f>
        <v/>
      </c>
      <c r="R197" s="25" t="n"/>
      <c r="S197" s="34" t="n"/>
      <c r="T197" s="31" t="n"/>
      <c r="U197" s="25" t="n"/>
      <c r="V197" s="2" t="n"/>
      <c r="W197" s="35">
        <f>IFERROR(INDEX(Krit_Faktor,MATCH(F197,Krit_Liste,0)),"")</f>
        <v/>
      </c>
      <c r="X197" s="35">
        <f>IF(OR(G197="nein",G197="no"),1,0)</f>
        <v/>
      </c>
      <c r="Y197" s="35">
        <f>IF(OR(H197="nein",H197="no"),1,0)</f>
        <v/>
      </c>
      <c r="Z197" s="35">
        <f>IF(OR(I197="nein",I197="no"),1,0)</f>
        <v/>
      </c>
      <c r="AA197" s="35">
        <f>(G197&lt;&gt;"")+(H197&lt;&gt;"")+(I197&lt;&gt;"")</f>
        <v/>
      </c>
      <c r="AB197" s="35">
        <f>IF(O197&lt;&gt;"",O197,IF(AA197&lt;3,"",IF(X197=1,Tage_nicht_beschaffbar,Tage_beschaffbar)))</f>
        <v/>
      </c>
      <c r="AC197" s="35">
        <f>IF(K197="","",K197*1000+W197*10+(1000-ROW())/100000)</f>
        <v/>
      </c>
    </row>
    <row r="198" ht="34" customHeight="1">
      <c r="A198" s="23">
        <f>IF(B198="","",COUNTA($B$9:B198))</f>
        <v/>
      </c>
      <c r="B198" s="24" t="n"/>
      <c r="C198" s="25" t="n"/>
      <c r="D198" s="25" t="n"/>
      <c r="E198" s="25" t="n"/>
      <c r="F198" s="26" t="n"/>
      <c r="G198" s="26" t="n"/>
      <c r="H198" s="26" t="n"/>
      <c r="I198" s="26" t="n"/>
      <c r="J198" s="23">
        <f>IF(AA198&lt;3,"",X198+Y198+Z198)</f>
        <v/>
      </c>
      <c r="K198" s="27">
        <f>IF(OR(J198="",W198=""),"",W198*J198)</f>
        <v/>
      </c>
      <c r="L198" s="28">
        <f>IF(K198="","",IF(K198&lt;=Gruen_bis,"grün",IF(K198&lt;=Gelb_bis,"gelb","rot")))</f>
        <v/>
      </c>
      <c r="M198" s="29">
        <f>IF(L198="",IF(B198="","","Bewertung unvollständig – ★-Felder ausfüllen"),IF(L198="grün","Keine aktive Maßnahme – jährlich prüfen",IF(AND(X198=1,Y198=1,Z198=1),"Sofort sichern: Restbestand / Gebrauchtteil kaufen und Ersatzlösung (Retrofit) planen",IF(AND(X198=1,Z198=1),"Reparaturweg absichern (Dienstleister, Tauschteil), Gebrauchtteil prüfen",IF(X198=1,"Abgekündigt: Lagerteil schützen, Ersatzlösung mittelfristig planen",IF(Z198=1,IF(LEFT(Q198,4)="nein","Bevorratung lohnt nicht – Lieferzeit und Reparaturweg absichern","Lagerbestand anlegen (mind. 1 Stk.)"),"Reparaturmöglichkeit klären"))))))</f>
        <v/>
      </c>
      <c r="N198" s="30" t="n"/>
      <c r="O198" s="31" t="n"/>
      <c r="P198" s="32">
        <f>IF(OR(AB198="",W198="",Z198=0),"",AB198*INDEX(Krit_Kosten,MATCH(F198,Krit_Liste,0)))</f>
        <v/>
      </c>
      <c r="Q198" s="33">
        <f>IF(L198="","",IF(L198="grün","–",IF(Z198=0,"am Lager / in stock",IF(N(N198)&lt;=0,"Stückpreis fehlt",IF(P198&gt;=Faktor_lohnt*N198,"ja – "&amp;FIXED(P198/N198,0)&amp;"-fach","nein – "&amp;FIXED(P198/N198,IF(P198/N198&lt;1,2,1))&amp;"-fach")))))</f>
        <v/>
      </c>
      <c r="R198" s="25" t="n"/>
      <c r="S198" s="34" t="n"/>
      <c r="T198" s="31" t="n"/>
      <c r="U198" s="25" t="n"/>
      <c r="V198" s="2" t="n"/>
      <c r="W198" s="35">
        <f>IFERROR(INDEX(Krit_Faktor,MATCH(F198,Krit_Liste,0)),"")</f>
        <v/>
      </c>
      <c r="X198" s="35">
        <f>IF(OR(G198="nein",G198="no"),1,0)</f>
        <v/>
      </c>
      <c r="Y198" s="35">
        <f>IF(OR(H198="nein",H198="no"),1,0)</f>
        <v/>
      </c>
      <c r="Z198" s="35">
        <f>IF(OR(I198="nein",I198="no"),1,0)</f>
        <v/>
      </c>
      <c r="AA198" s="35">
        <f>(G198&lt;&gt;"")+(H198&lt;&gt;"")+(I198&lt;&gt;"")</f>
        <v/>
      </c>
      <c r="AB198" s="35">
        <f>IF(O198&lt;&gt;"",O198,IF(AA198&lt;3,"",IF(X198=1,Tage_nicht_beschaffbar,Tage_beschaffbar)))</f>
        <v/>
      </c>
      <c r="AC198" s="35">
        <f>IF(K198="","",K198*1000+W198*10+(1000-ROW())/100000)</f>
        <v/>
      </c>
    </row>
    <row r="199" ht="34" customHeight="1">
      <c r="A199" s="23">
        <f>IF(B199="","",COUNTA($B$9:B199))</f>
        <v/>
      </c>
      <c r="B199" s="24" t="n"/>
      <c r="C199" s="25" t="n"/>
      <c r="D199" s="25" t="n"/>
      <c r="E199" s="25" t="n"/>
      <c r="F199" s="26" t="n"/>
      <c r="G199" s="26" t="n"/>
      <c r="H199" s="26" t="n"/>
      <c r="I199" s="26" t="n"/>
      <c r="J199" s="23">
        <f>IF(AA199&lt;3,"",X199+Y199+Z199)</f>
        <v/>
      </c>
      <c r="K199" s="27">
        <f>IF(OR(J199="",W199=""),"",W199*J199)</f>
        <v/>
      </c>
      <c r="L199" s="28">
        <f>IF(K199="","",IF(K199&lt;=Gruen_bis,"grün",IF(K199&lt;=Gelb_bis,"gelb","rot")))</f>
        <v/>
      </c>
      <c r="M199" s="29">
        <f>IF(L199="",IF(B199="","","Bewertung unvollständig – ★-Felder ausfüllen"),IF(L199="grün","Keine aktive Maßnahme – jährlich prüfen",IF(AND(X199=1,Y199=1,Z199=1),"Sofort sichern: Restbestand / Gebrauchtteil kaufen und Ersatzlösung (Retrofit) planen",IF(AND(X199=1,Z199=1),"Reparaturweg absichern (Dienstleister, Tauschteil), Gebrauchtteil prüfen",IF(X199=1,"Abgekündigt: Lagerteil schützen, Ersatzlösung mittelfristig planen",IF(Z199=1,IF(LEFT(Q199,4)="nein","Bevorratung lohnt nicht – Lieferzeit und Reparaturweg absichern","Lagerbestand anlegen (mind. 1 Stk.)"),"Reparaturmöglichkeit klären"))))))</f>
        <v/>
      </c>
      <c r="N199" s="30" t="n"/>
      <c r="O199" s="31" t="n"/>
      <c r="P199" s="32">
        <f>IF(OR(AB199="",W199="",Z199=0),"",AB199*INDEX(Krit_Kosten,MATCH(F199,Krit_Liste,0)))</f>
        <v/>
      </c>
      <c r="Q199" s="33">
        <f>IF(L199="","",IF(L199="grün","–",IF(Z199=0,"am Lager / in stock",IF(N(N199)&lt;=0,"Stückpreis fehlt",IF(P199&gt;=Faktor_lohnt*N199,"ja – "&amp;FIXED(P199/N199,0)&amp;"-fach","nein – "&amp;FIXED(P199/N199,IF(P199/N199&lt;1,2,1))&amp;"-fach")))))</f>
        <v/>
      </c>
      <c r="R199" s="25" t="n"/>
      <c r="S199" s="34" t="n"/>
      <c r="T199" s="31" t="n"/>
      <c r="U199" s="25" t="n"/>
      <c r="V199" s="2" t="n"/>
      <c r="W199" s="35">
        <f>IFERROR(INDEX(Krit_Faktor,MATCH(F199,Krit_Liste,0)),"")</f>
        <v/>
      </c>
      <c r="X199" s="35">
        <f>IF(OR(G199="nein",G199="no"),1,0)</f>
        <v/>
      </c>
      <c r="Y199" s="35">
        <f>IF(OR(H199="nein",H199="no"),1,0)</f>
        <v/>
      </c>
      <c r="Z199" s="35">
        <f>IF(OR(I199="nein",I199="no"),1,0)</f>
        <v/>
      </c>
      <c r="AA199" s="35">
        <f>(G199&lt;&gt;"")+(H199&lt;&gt;"")+(I199&lt;&gt;"")</f>
        <v/>
      </c>
      <c r="AB199" s="35">
        <f>IF(O199&lt;&gt;"",O199,IF(AA199&lt;3,"",IF(X199=1,Tage_nicht_beschaffbar,Tage_beschaffbar)))</f>
        <v/>
      </c>
      <c r="AC199" s="35">
        <f>IF(K199="","",K199*1000+W199*10+(1000-ROW())/100000)</f>
        <v/>
      </c>
    </row>
    <row r="200" ht="34" customHeight="1">
      <c r="A200" s="23">
        <f>IF(B200="","",COUNTA($B$9:B200))</f>
        <v/>
      </c>
      <c r="B200" s="24" t="n"/>
      <c r="C200" s="25" t="n"/>
      <c r="D200" s="25" t="n"/>
      <c r="E200" s="25" t="n"/>
      <c r="F200" s="26" t="n"/>
      <c r="G200" s="26" t="n"/>
      <c r="H200" s="26" t="n"/>
      <c r="I200" s="26" t="n"/>
      <c r="J200" s="23">
        <f>IF(AA200&lt;3,"",X200+Y200+Z200)</f>
        <v/>
      </c>
      <c r="K200" s="27">
        <f>IF(OR(J200="",W200=""),"",W200*J200)</f>
        <v/>
      </c>
      <c r="L200" s="28">
        <f>IF(K200="","",IF(K200&lt;=Gruen_bis,"grün",IF(K200&lt;=Gelb_bis,"gelb","rot")))</f>
        <v/>
      </c>
      <c r="M200" s="29">
        <f>IF(L200="",IF(B200="","","Bewertung unvollständig – ★-Felder ausfüllen"),IF(L200="grün","Keine aktive Maßnahme – jährlich prüfen",IF(AND(X200=1,Y200=1,Z200=1),"Sofort sichern: Restbestand / Gebrauchtteil kaufen und Ersatzlösung (Retrofit) planen",IF(AND(X200=1,Z200=1),"Reparaturweg absichern (Dienstleister, Tauschteil), Gebrauchtteil prüfen",IF(X200=1,"Abgekündigt: Lagerteil schützen, Ersatzlösung mittelfristig planen",IF(Z200=1,IF(LEFT(Q200,4)="nein","Bevorratung lohnt nicht – Lieferzeit und Reparaturweg absichern","Lagerbestand anlegen (mind. 1 Stk.)"),"Reparaturmöglichkeit klären"))))))</f>
        <v/>
      </c>
      <c r="N200" s="30" t="n"/>
      <c r="O200" s="31" t="n"/>
      <c r="P200" s="32">
        <f>IF(OR(AB200="",W200="",Z200=0),"",AB200*INDEX(Krit_Kosten,MATCH(F200,Krit_Liste,0)))</f>
        <v/>
      </c>
      <c r="Q200" s="33">
        <f>IF(L200="","",IF(L200="grün","–",IF(Z200=0,"am Lager / in stock",IF(N(N200)&lt;=0,"Stückpreis fehlt",IF(P200&gt;=Faktor_lohnt*N200,"ja – "&amp;FIXED(P200/N200,0)&amp;"-fach","nein – "&amp;FIXED(P200/N200,IF(P200/N200&lt;1,2,1))&amp;"-fach")))))</f>
        <v/>
      </c>
      <c r="R200" s="25" t="n"/>
      <c r="S200" s="34" t="n"/>
      <c r="T200" s="31" t="n"/>
      <c r="U200" s="25" t="n"/>
      <c r="V200" s="2" t="n"/>
      <c r="W200" s="35">
        <f>IFERROR(INDEX(Krit_Faktor,MATCH(F200,Krit_Liste,0)),"")</f>
        <v/>
      </c>
      <c r="X200" s="35">
        <f>IF(OR(G200="nein",G200="no"),1,0)</f>
        <v/>
      </c>
      <c r="Y200" s="35">
        <f>IF(OR(H200="nein",H200="no"),1,0)</f>
        <v/>
      </c>
      <c r="Z200" s="35">
        <f>IF(OR(I200="nein",I200="no"),1,0)</f>
        <v/>
      </c>
      <c r="AA200" s="35">
        <f>(G200&lt;&gt;"")+(H200&lt;&gt;"")+(I200&lt;&gt;"")</f>
        <v/>
      </c>
      <c r="AB200" s="35">
        <f>IF(O200&lt;&gt;"",O200,IF(AA200&lt;3,"",IF(X200=1,Tage_nicht_beschaffbar,Tage_beschaffbar)))</f>
        <v/>
      </c>
      <c r="AC200" s="35">
        <f>IF(K200="","",K200*1000+W200*10+(1000-ROW())/100000)</f>
        <v/>
      </c>
    </row>
    <row r="201" ht="34" customHeight="1">
      <c r="A201" s="23">
        <f>IF(B201="","",COUNTA($B$9:B201))</f>
        <v/>
      </c>
      <c r="B201" s="24" t="n"/>
      <c r="C201" s="25" t="n"/>
      <c r="D201" s="25" t="n"/>
      <c r="E201" s="25" t="n"/>
      <c r="F201" s="26" t="n"/>
      <c r="G201" s="26" t="n"/>
      <c r="H201" s="26" t="n"/>
      <c r="I201" s="26" t="n"/>
      <c r="J201" s="23">
        <f>IF(AA201&lt;3,"",X201+Y201+Z201)</f>
        <v/>
      </c>
      <c r="K201" s="27">
        <f>IF(OR(J201="",W201=""),"",W201*J201)</f>
        <v/>
      </c>
      <c r="L201" s="28">
        <f>IF(K201="","",IF(K201&lt;=Gruen_bis,"grün",IF(K201&lt;=Gelb_bis,"gelb","rot")))</f>
        <v/>
      </c>
      <c r="M201" s="29">
        <f>IF(L201="",IF(B201="","","Bewertung unvollständig – ★-Felder ausfüllen"),IF(L201="grün","Keine aktive Maßnahme – jährlich prüfen",IF(AND(X201=1,Y201=1,Z201=1),"Sofort sichern: Restbestand / Gebrauchtteil kaufen und Ersatzlösung (Retrofit) planen",IF(AND(X201=1,Z201=1),"Reparaturweg absichern (Dienstleister, Tauschteil), Gebrauchtteil prüfen",IF(X201=1,"Abgekündigt: Lagerteil schützen, Ersatzlösung mittelfristig planen",IF(Z201=1,IF(LEFT(Q201,4)="nein","Bevorratung lohnt nicht – Lieferzeit und Reparaturweg absichern","Lagerbestand anlegen (mind. 1 Stk.)"),"Reparaturmöglichkeit klären"))))))</f>
        <v/>
      </c>
      <c r="N201" s="30" t="n"/>
      <c r="O201" s="31" t="n"/>
      <c r="P201" s="32">
        <f>IF(OR(AB201="",W201="",Z201=0),"",AB201*INDEX(Krit_Kosten,MATCH(F201,Krit_Liste,0)))</f>
        <v/>
      </c>
      <c r="Q201" s="33">
        <f>IF(L201="","",IF(L201="grün","–",IF(Z201=0,"am Lager / in stock",IF(N(N201)&lt;=0,"Stückpreis fehlt",IF(P201&gt;=Faktor_lohnt*N201,"ja – "&amp;FIXED(P201/N201,0)&amp;"-fach","nein – "&amp;FIXED(P201/N201,IF(P201/N201&lt;1,2,1))&amp;"-fach")))))</f>
        <v/>
      </c>
      <c r="R201" s="25" t="n"/>
      <c r="S201" s="34" t="n"/>
      <c r="T201" s="31" t="n"/>
      <c r="U201" s="25" t="n"/>
      <c r="V201" s="2" t="n"/>
      <c r="W201" s="35">
        <f>IFERROR(INDEX(Krit_Faktor,MATCH(F201,Krit_Liste,0)),"")</f>
        <v/>
      </c>
      <c r="X201" s="35">
        <f>IF(OR(G201="nein",G201="no"),1,0)</f>
        <v/>
      </c>
      <c r="Y201" s="35">
        <f>IF(OR(H201="nein",H201="no"),1,0)</f>
        <v/>
      </c>
      <c r="Z201" s="35">
        <f>IF(OR(I201="nein",I201="no"),1,0)</f>
        <v/>
      </c>
      <c r="AA201" s="35">
        <f>(G201&lt;&gt;"")+(H201&lt;&gt;"")+(I201&lt;&gt;"")</f>
        <v/>
      </c>
      <c r="AB201" s="35">
        <f>IF(O201&lt;&gt;"",O201,IF(AA201&lt;3,"",IF(X201=1,Tage_nicht_beschaffbar,Tage_beschaffbar)))</f>
        <v/>
      </c>
      <c r="AC201" s="35">
        <f>IF(K201="","",K201*1000+W201*10+(1000-ROW())/100000)</f>
        <v/>
      </c>
    </row>
    <row r="202" ht="34" customHeight="1">
      <c r="A202" s="23">
        <f>IF(B202="","",COUNTA($B$9:B202))</f>
        <v/>
      </c>
      <c r="B202" s="24" t="n"/>
      <c r="C202" s="25" t="n"/>
      <c r="D202" s="25" t="n"/>
      <c r="E202" s="25" t="n"/>
      <c r="F202" s="26" t="n"/>
      <c r="G202" s="26" t="n"/>
      <c r="H202" s="26" t="n"/>
      <c r="I202" s="26" t="n"/>
      <c r="J202" s="23">
        <f>IF(AA202&lt;3,"",X202+Y202+Z202)</f>
        <v/>
      </c>
      <c r="K202" s="27">
        <f>IF(OR(J202="",W202=""),"",W202*J202)</f>
        <v/>
      </c>
      <c r="L202" s="28">
        <f>IF(K202="","",IF(K202&lt;=Gruen_bis,"grün",IF(K202&lt;=Gelb_bis,"gelb","rot")))</f>
        <v/>
      </c>
      <c r="M202" s="29">
        <f>IF(L202="",IF(B202="","","Bewertung unvollständig – ★-Felder ausfüllen"),IF(L202="grün","Keine aktive Maßnahme – jährlich prüfen",IF(AND(X202=1,Y202=1,Z202=1),"Sofort sichern: Restbestand / Gebrauchtteil kaufen und Ersatzlösung (Retrofit) planen",IF(AND(X202=1,Z202=1),"Reparaturweg absichern (Dienstleister, Tauschteil), Gebrauchtteil prüfen",IF(X202=1,"Abgekündigt: Lagerteil schützen, Ersatzlösung mittelfristig planen",IF(Z202=1,IF(LEFT(Q202,4)="nein","Bevorratung lohnt nicht – Lieferzeit und Reparaturweg absichern","Lagerbestand anlegen (mind. 1 Stk.)"),"Reparaturmöglichkeit klären"))))))</f>
        <v/>
      </c>
      <c r="N202" s="30" t="n"/>
      <c r="O202" s="31" t="n"/>
      <c r="P202" s="32">
        <f>IF(OR(AB202="",W202="",Z202=0),"",AB202*INDEX(Krit_Kosten,MATCH(F202,Krit_Liste,0)))</f>
        <v/>
      </c>
      <c r="Q202" s="33">
        <f>IF(L202="","",IF(L202="grün","–",IF(Z202=0,"am Lager / in stock",IF(N(N202)&lt;=0,"Stückpreis fehlt",IF(P202&gt;=Faktor_lohnt*N202,"ja – "&amp;FIXED(P202/N202,0)&amp;"-fach","nein – "&amp;FIXED(P202/N202,IF(P202/N202&lt;1,2,1))&amp;"-fach")))))</f>
        <v/>
      </c>
      <c r="R202" s="25" t="n"/>
      <c r="S202" s="34" t="n"/>
      <c r="T202" s="31" t="n"/>
      <c r="U202" s="25" t="n"/>
      <c r="V202" s="2" t="n"/>
      <c r="W202" s="35">
        <f>IFERROR(INDEX(Krit_Faktor,MATCH(F202,Krit_Liste,0)),"")</f>
        <v/>
      </c>
      <c r="X202" s="35">
        <f>IF(OR(G202="nein",G202="no"),1,0)</f>
        <v/>
      </c>
      <c r="Y202" s="35">
        <f>IF(OR(H202="nein",H202="no"),1,0)</f>
        <v/>
      </c>
      <c r="Z202" s="35">
        <f>IF(OR(I202="nein",I202="no"),1,0)</f>
        <v/>
      </c>
      <c r="AA202" s="35">
        <f>(G202&lt;&gt;"")+(H202&lt;&gt;"")+(I202&lt;&gt;"")</f>
        <v/>
      </c>
      <c r="AB202" s="35">
        <f>IF(O202&lt;&gt;"",O202,IF(AA202&lt;3,"",IF(X202=1,Tage_nicht_beschaffbar,Tage_beschaffbar)))</f>
        <v/>
      </c>
      <c r="AC202" s="35">
        <f>IF(K202="","",K202*1000+W202*10+(1000-ROW())/100000)</f>
        <v/>
      </c>
    </row>
    <row r="203" ht="34" customHeight="1">
      <c r="A203" s="23">
        <f>IF(B203="","",COUNTA($B$9:B203))</f>
        <v/>
      </c>
      <c r="B203" s="24" t="n"/>
      <c r="C203" s="25" t="n"/>
      <c r="D203" s="25" t="n"/>
      <c r="E203" s="25" t="n"/>
      <c r="F203" s="26" t="n"/>
      <c r="G203" s="26" t="n"/>
      <c r="H203" s="26" t="n"/>
      <c r="I203" s="26" t="n"/>
      <c r="J203" s="23">
        <f>IF(AA203&lt;3,"",X203+Y203+Z203)</f>
        <v/>
      </c>
      <c r="K203" s="27">
        <f>IF(OR(J203="",W203=""),"",W203*J203)</f>
        <v/>
      </c>
      <c r="L203" s="28">
        <f>IF(K203="","",IF(K203&lt;=Gruen_bis,"grün",IF(K203&lt;=Gelb_bis,"gelb","rot")))</f>
        <v/>
      </c>
      <c r="M203" s="29">
        <f>IF(L203="",IF(B203="","","Bewertung unvollständig – ★-Felder ausfüllen"),IF(L203="grün","Keine aktive Maßnahme – jährlich prüfen",IF(AND(X203=1,Y203=1,Z203=1),"Sofort sichern: Restbestand / Gebrauchtteil kaufen und Ersatzlösung (Retrofit) planen",IF(AND(X203=1,Z203=1),"Reparaturweg absichern (Dienstleister, Tauschteil), Gebrauchtteil prüfen",IF(X203=1,"Abgekündigt: Lagerteil schützen, Ersatzlösung mittelfristig planen",IF(Z203=1,IF(LEFT(Q203,4)="nein","Bevorratung lohnt nicht – Lieferzeit und Reparaturweg absichern","Lagerbestand anlegen (mind. 1 Stk.)"),"Reparaturmöglichkeit klären"))))))</f>
        <v/>
      </c>
      <c r="N203" s="30" t="n"/>
      <c r="O203" s="31" t="n"/>
      <c r="P203" s="32">
        <f>IF(OR(AB203="",W203="",Z203=0),"",AB203*INDEX(Krit_Kosten,MATCH(F203,Krit_Liste,0)))</f>
        <v/>
      </c>
      <c r="Q203" s="33">
        <f>IF(L203="","",IF(L203="grün","–",IF(Z203=0,"am Lager / in stock",IF(N(N203)&lt;=0,"Stückpreis fehlt",IF(P203&gt;=Faktor_lohnt*N203,"ja – "&amp;FIXED(P203/N203,0)&amp;"-fach","nein – "&amp;FIXED(P203/N203,IF(P203/N203&lt;1,2,1))&amp;"-fach")))))</f>
        <v/>
      </c>
      <c r="R203" s="25" t="n"/>
      <c r="S203" s="34" t="n"/>
      <c r="T203" s="31" t="n"/>
      <c r="U203" s="25" t="n"/>
      <c r="V203" s="2" t="n"/>
      <c r="W203" s="35">
        <f>IFERROR(INDEX(Krit_Faktor,MATCH(F203,Krit_Liste,0)),"")</f>
        <v/>
      </c>
      <c r="X203" s="35">
        <f>IF(OR(G203="nein",G203="no"),1,0)</f>
        <v/>
      </c>
      <c r="Y203" s="35">
        <f>IF(OR(H203="nein",H203="no"),1,0)</f>
        <v/>
      </c>
      <c r="Z203" s="35">
        <f>IF(OR(I203="nein",I203="no"),1,0)</f>
        <v/>
      </c>
      <c r="AA203" s="35">
        <f>(G203&lt;&gt;"")+(H203&lt;&gt;"")+(I203&lt;&gt;"")</f>
        <v/>
      </c>
      <c r="AB203" s="35">
        <f>IF(O203&lt;&gt;"",O203,IF(AA203&lt;3,"",IF(X203=1,Tage_nicht_beschaffbar,Tage_beschaffbar)))</f>
        <v/>
      </c>
      <c r="AC203" s="35">
        <f>IF(K203="","",K203*1000+W203*10+(1000-ROW())/100000)</f>
        <v/>
      </c>
    </row>
    <row r="204" ht="34" customHeight="1">
      <c r="A204" s="23">
        <f>IF(B204="","",COUNTA($B$9:B204))</f>
        <v/>
      </c>
      <c r="B204" s="24" t="n"/>
      <c r="C204" s="25" t="n"/>
      <c r="D204" s="25" t="n"/>
      <c r="E204" s="25" t="n"/>
      <c r="F204" s="26" t="n"/>
      <c r="G204" s="26" t="n"/>
      <c r="H204" s="26" t="n"/>
      <c r="I204" s="26" t="n"/>
      <c r="J204" s="23">
        <f>IF(AA204&lt;3,"",X204+Y204+Z204)</f>
        <v/>
      </c>
      <c r="K204" s="27">
        <f>IF(OR(J204="",W204=""),"",W204*J204)</f>
        <v/>
      </c>
      <c r="L204" s="28">
        <f>IF(K204="","",IF(K204&lt;=Gruen_bis,"grün",IF(K204&lt;=Gelb_bis,"gelb","rot")))</f>
        <v/>
      </c>
      <c r="M204" s="29">
        <f>IF(L204="",IF(B204="","","Bewertung unvollständig – ★-Felder ausfüllen"),IF(L204="grün","Keine aktive Maßnahme – jährlich prüfen",IF(AND(X204=1,Y204=1,Z204=1),"Sofort sichern: Restbestand / Gebrauchtteil kaufen und Ersatzlösung (Retrofit) planen",IF(AND(X204=1,Z204=1),"Reparaturweg absichern (Dienstleister, Tauschteil), Gebrauchtteil prüfen",IF(X204=1,"Abgekündigt: Lagerteil schützen, Ersatzlösung mittelfristig planen",IF(Z204=1,IF(LEFT(Q204,4)="nein","Bevorratung lohnt nicht – Lieferzeit und Reparaturweg absichern","Lagerbestand anlegen (mind. 1 Stk.)"),"Reparaturmöglichkeit klären"))))))</f>
        <v/>
      </c>
      <c r="N204" s="30" t="n"/>
      <c r="O204" s="31" t="n"/>
      <c r="P204" s="32">
        <f>IF(OR(AB204="",W204="",Z204=0),"",AB204*INDEX(Krit_Kosten,MATCH(F204,Krit_Liste,0)))</f>
        <v/>
      </c>
      <c r="Q204" s="33">
        <f>IF(L204="","",IF(L204="grün","–",IF(Z204=0,"am Lager / in stock",IF(N(N204)&lt;=0,"Stückpreis fehlt",IF(P204&gt;=Faktor_lohnt*N204,"ja – "&amp;FIXED(P204/N204,0)&amp;"-fach","nein – "&amp;FIXED(P204/N204,IF(P204/N204&lt;1,2,1))&amp;"-fach")))))</f>
        <v/>
      </c>
      <c r="R204" s="25" t="n"/>
      <c r="S204" s="34" t="n"/>
      <c r="T204" s="31" t="n"/>
      <c r="U204" s="25" t="n"/>
      <c r="V204" s="2" t="n"/>
      <c r="W204" s="35">
        <f>IFERROR(INDEX(Krit_Faktor,MATCH(F204,Krit_Liste,0)),"")</f>
        <v/>
      </c>
      <c r="X204" s="35">
        <f>IF(OR(G204="nein",G204="no"),1,0)</f>
        <v/>
      </c>
      <c r="Y204" s="35">
        <f>IF(OR(H204="nein",H204="no"),1,0)</f>
        <v/>
      </c>
      <c r="Z204" s="35">
        <f>IF(OR(I204="nein",I204="no"),1,0)</f>
        <v/>
      </c>
      <c r="AA204" s="35">
        <f>(G204&lt;&gt;"")+(H204&lt;&gt;"")+(I204&lt;&gt;"")</f>
        <v/>
      </c>
      <c r="AB204" s="35">
        <f>IF(O204&lt;&gt;"",O204,IF(AA204&lt;3,"",IF(X204=1,Tage_nicht_beschaffbar,Tage_beschaffbar)))</f>
        <v/>
      </c>
      <c r="AC204" s="35">
        <f>IF(K204="","",K204*1000+W204*10+(1000-ROW())/100000)</f>
        <v/>
      </c>
    </row>
    <row r="205" ht="34" customHeight="1">
      <c r="A205" s="23">
        <f>IF(B205="","",COUNTA($B$9:B205))</f>
        <v/>
      </c>
      <c r="B205" s="24" t="n"/>
      <c r="C205" s="25" t="n"/>
      <c r="D205" s="25" t="n"/>
      <c r="E205" s="25" t="n"/>
      <c r="F205" s="26" t="n"/>
      <c r="G205" s="26" t="n"/>
      <c r="H205" s="26" t="n"/>
      <c r="I205" s="26" t="n"/>
      <c r="J205" s="23">
        <f>IF(AA205&lt;3,"",X205+Y205+Z205)</f>
        <v/>
      </c>
      <c r="K205" s="27">
        <f>IF(OR(J205="",W205=""),"",W205*J205)</f>
        <v/>
      </c>
      <c r="L205" s="28">
        <f>IF(K205="","",IF(K205&lt;=Gruen_bis,"grün",IF(K205&lt;=Gelb_bis,"gelb","rot")))</f>
        <v/>
      </c>
      <c r="M205" s="29">
        <f>IF(L205="",IF(B205="","","Bewertung unvollständig – ★-Felder ausfüllen"),IF(L205="grün","Keine aktive Maßnahme – jährlich prüfen",IF(AND(X205=1,Y205=1,Z205=1),"Sofort sichern: Restbestand / Gebrauchtteil kaufen und Ersatzlösung (Retrofit) planen",IF(AND(X205=1,Z205=1),"Reparaturweg absichern (Dienstleister, Tauschteil), Gebrauchtteil prüfen",IF(X205=1,"Abgekündigt: Lagerteil schützen, Ersatzlösung mittelfristig planen",IF(Z205=1,IF(LEFT(Q205,4)="nein","Bevorratung lohnt nicht – Lieferzeit und Reparaturweg absichern","Lagerbestand anlegen (mind. 1 Stk.)"),"Reparaturmöglichkeit klären"))))))</f>
        <v/>
      </c>
      <c r="N205" s="30" t="n"/>
      <c r="O205" s="31" t="n"/>
      <c r="P205" s="32">
        <f>IF(OR(AB205="",W205="",Z205=0),"",AB205*INDEX(Krit_Kosten,MATCH(F205,Krit_Liste,0)))</f>
        <v/>
      </c>
      <c r="Q205" s="33">
        <f>IF(L205="","",IF(L205="grün","–",IF(Z205=0,"am Lager / in stock",IF(N(N205)&lt;=0,"Stückpreis fehlt",IF(P205&gt;=Faktor_lohnt*N205,"ja – "&amp;FIXED(P205/N205,0)&amp;"-fach","nein – "&amp;FIXED(P205/N205,IF(P205/N205&lt;1,2,1))&amp;"-fach")))))</f>
        <v/>
      </c>
      <c r="R205" s="25" t="n"/>
      <c r="S205" s="34" t="n"/>
      <c r="T205" s="31" t="n"/>
      <c r="U205" s="25" t="n"/>
      <c r="V205" s="2" t="n"/>
      <c r="W205" s="35">
        <f>IFERROR(INDEX(Krit_Faktor,MATCH(F205,Krit_Liste,0)),"")</f>
        <v/>
      </c>
      <c r="X205" s="35">
        <f>IF(OR(G205="nein",G205="no"),1,0)</f>
        <v/>
      </c>
      <c r="Y205" s="35">
        <f>IF(OR(H205="nein",H205="no"),1,0)</f>
        <v/>
      </c>
      <c r="Z205" s="35">
        <f>IF(OR(I205="nein",I205="no"),1,0)</f>
        <v/>
      </c>
      <c r="AA205" s="35">
        <f>(G205&lt;&gt;"")+(H205&lt;&gt;"")+(I205&lt;&gt;"")</f>
        <v/>
      </c>
      <c r="AB205" s="35">
        <f>IF(O205&lt;&gt;"",O205,IF(AA205&lt;3,"",IF(X205=1,Tage_nicht_beschaffbar,Tage_beschaffbar)))</f>
        <v/>
      </c>
      <c r="AC205" s="35">
        <f>IF(K205="","",K205*1000+W205*10+(1000-ROW())/100000)</f>
        <v/>
      </c>
    </row>
    <row r="206" ht="34" customHeight="1">
      <c r="A206" s="23">
        <f>IF(B206="","",COUNTA($B$9:B206))</f>
        <v/>
      </c>
      <c r="B206" s="24" t="n"/>
      <c r="C206" s="25" t="n"/>
      <c r="D206" s="25" t="n"/>
      <c r="E206" s="25" t="n"/>
      <c r="F206" s="26" t="n"/>
      <c r="G206" s="26" t="n"/>
      <c r="H206" s="26" t="n"/>
      <c r="I206" s="26" t="n"/>
      <c r="J206" s="23">
        <f>IF(AA206&lt;3,"",X206+Y206+Z206)</f>
        <v/>
      </c>
      <c r="K206" s="27">
        <f>IF(OR(J206="",W206=""),"",W206*J206)</f>
        <v/>
      </c>
      <c r="L206" s="28">
        <f>IF(K206="","",IF(K206&lt;=Gruen_bis,"grün",IF(K206&lt;=Gelb_bis,"gelb","rot")))</f>
        <v/>
      </c>
      <c r="M206" s="29">
        <f>IF(L206="",IF(B206="","","Bewertung unvollständig – ★-Felder ausfüllen"),IF(L206="grün","Keine aktive Maßnahme – jährlich prüfen",IF(AND(X206=1,Y206=1,Z206=1),"Sofort sichern: Restbestand / Gebrauchtteil kaufen und Ersatzlösung (Retrofit) planen",IF(AND(X206=1,Z206=1),"Reparaturweg absichern (Dienstleister, Tauschteil), Gebrauchtteil prüfen",IF(X206=1,"Abgekündigt: Lagerteil schützen, Ersatzlösung mittelfristig planen",IF(Z206=1,IF(LEFT(Q206,4)="nein","Bevorratung lohnt nicht – Lieferzeit und Reparaturweg absichern","Lagerbestand anlegen (mind. 1 Stk.)"),"Reparaturmöglichkeit klären"))))))</f>
        <v/>
      </c>
      <c r="N206" s="30" t="n"/>
      <c r="O206" s="31" t="n"/>
      <c r="P206" s="32">
        <f>IF(OR(AB206="",W206="",Z206=0),"",AB206*INDEX(Krit_Kosten,MATCH(F206,Krit_Liste,0)))</f>
        <v/>
      </c>
      <c r="Q206" s="33">
        <f>IF(L206="","",IF(L206="grün","–",IF(Z206=0,"am Lager / in stock",IF(N(N206)&lt;=0,"Stückpreis fehlt",IF(P206&gt;=Faktor_lohnt*N206,"ja – "&amp;FIXED(P206/N206,0)&amp;"-fach","nein – "&amp;FIXED(P206/N206,IF(P206/N206&lt;1,2,1))&amp;"-fach")))))</f>
        <v/>
      </c>
      <c r="R206" s="25" t="n"/>
      <c r="S206" s="34" t="n"/>
      <c r="T206" s="31" t="n"/>
      <c r="U206" s="25" t="n"/>
      <c r="V206" s="2" t="n"/>
      <c r="W206" s="35">
        <f>IFERROR(INDEX(Krit_Faktor,MATCH(F206,Krit_Liste,0)),"")</f>
        <v/>
      </c>
      <c r="X206" s="35">
        <f>IF(OR(G206="nein",G206="no"),1,0)</f>
        <v/>
      </c>
      <c r="Y206" s="35">
        <f>IF(OR(H206="nein",H206="no"),1,0)</f>
        <v/>
      </c>
      <c r="Z206" s="35">
        <f>IF(OR(I206="nein",I206="no"),1,0)</f>
        <v/>
      </c>
      <c r="AA206" s="35">
        <f>(G206&lt;&gt;"")+(H206&lt;&gt;"")+(I206&lt;&gt;"")</f>
        <v/>
      </c>
      <c r="AB206" s="35">
        <f>IF(O206&lt;&gt;"",O206,IF(AA206&lt;3,"",IF(X206=1,Tage_nicht_beschaffbar,Tage_beschaffbar)))</f>
        <v/>
      </c>
      <c r="AC206" s="35">
        <f>IF(K206="","",K206*1000+W206*10+(1000-ROW())/100000)</f>
        <v/>
      </c>
    </row>
    <row r="207" ht="34" customHeight="1">
      <c r="A207" s="23">
        <f>IF(B207="","",COUNTA($B$9:B207))</f>
        <v/>
      </c>
      <c r="B207" s="24" t="n"/>
      <c r="C207" s="25" t="n"/>
      <c r="D207" s="25" t="n"/>
      <c r="E207" s="25" t="n"/>
      <c r="F207" s="26" t="n"/>
      <c r="G207" s="26" t="n"/>
      <c r="H207" s="26" t="n"/>
      <c r="I207" s="26" t="n"/>
      <c r="J207" s="23">
        <f>IF(AA207&lt;3,"",X207+Y207+Z207)</f>
        <v/>
      </c>
      <c r="K207" s="27">
        <f>IF(OR(J207="",W207=""),"",W207*J207)</f>
        <v/>
      </c>
      <c r="L207" s="28">
        <f>IF(K207="","",IF(K207&lt;=Gruen_bis,"grün",IF(K207&lt;=Gelb_bis,"gelb","rot")))</f>
        <v/>
      </c>
      <c r="M207" s="29">
        <f>IF(L207="",IF(B207="","","Bewertung unvollständig – ★-Felder ausfüllen"),IF(L207="grün","Keine aktive Maßnahme – jährlich prüfen",IF(AND(X207=1,Y207=1,Z207=1),"Sofort sichern: Restbestand / Gebrauchtteil kaufen und Ersatzlösung (Retrofit) planen",IF(AND(X207=1,Z207=1),"Reparaturweg absichern (Dienstleister, Tauschteil), Gebrauchtteil prüfen",IF(X207=1,"Abgekündigt: Lagerteil schützen, Ersatzlösung mittelfristig planen",IF(Z207=1,IF(LEFT(Q207,4)="nein","Bevorratung lohnt nicht – Lieferzeit und Reparaturweg absichern","Lagerbestand anlegen (mind. 1 Stk.)"),"Reparaturmöglichkeit klären"))))))</f>
        <v/>
      </c>
      <c r="N207" s="30" t="n"/>
      <c r="O207" s="31" t="n"/>
      <c r="P207" s="32">
        <f>IF(OR(AB207="",W207="",Z207=0),"",AB207*INDEX(Krit_Kosten,MATCH(F207,Krit_Liste,0)))</f>
        <v/>
      </c>
      <c r="Q207" s="33">
        <f>IF(L207="","",IF(L207="grün","–",IF(Z207=0,"am Lager / in stock",IF(N(N207)&lt;=0,"Stückpreis fehlt",IF(P207&gt;=Faktor_lohnt*N207,"ja – "&amp;FIXED(P207/N207,0)&amp;"-fach","nein – "&amp;FIXED(P207/N207,IF(P207/N207&lt;1,2,1))&amp;"-fach")))))</f>
        <v/>
      </c>
      <c r="R207" s="25" t="n"/>
      <c r="S207" s="34" t="n"/>
      <c r="T207" s="31" t="n"/>
      <c r="U207" s="25" t="n"/>
      <c r="V207" s="2" t="n"/>
      <c r="W207" s="35">
        <f>IFERROR(INDEX(Krit_Faktor,MATCH(F207,Krit_Liste,0)),"")</f>
        <v/>
      </c>
      <c r="X207" s="35">
        <f>IF(OR(G207="nein",G207="no"),1,0)</f>
        <v/>
      </c>
      <c r="Y207" s="35">
        <f>IF(OR(H207="nein",H207="no"),1,0)</f>
        <v/>
      </c>
      <c r="Z207" s="35">
        <f>IF(OR(I207="nein",I207="no"),1,0)</f>
        <v/>
      </c>
      <c r="AA207" s="35">
        <f>(G207&lt;&gt;"")+(H207&lt;&gt;"")+(I207&lt;&gt;"")</f>
        <v/>
      </c>
      <c r="AB207" s="35">
        <f>IF(O207&lt;&gt;"",O207,IF(AA207&lt;3,"",IF(X207=1,Tage_nicht_beschaffbar,Tage_beschaffbar)))</f>
        <v/>
      </c>
      <c r="AC207" s="35">
        <f>IF(K207="","",K207*1000+W207*10+(1000-ROW())/100000)</f>
        <v/>
      </c>
    </row>
    <row r="208" ht="34" customHeight="1">
      <c r="A208" s="23">
        <f>IF(B208="","",COUNTA($B$9:B208))</f>
        <v/>
      </c>
      <c r="B208" s="24" t="n"/>
      <c r="C208" s="25" t="n"/>
      <c r="D208" s="25" t="n"/>
      <c r="E208" s="25" t="n"/>
      <c r="F208" s="26" t="n"/>
      <c r="G208" s="26" t="n"/>
      <c r="H208" s="26" t="n"/>
      <c r="I208" s="26" t="n"/>
      <c r="J208" s="23">
        <f>IF(AA208&lt;3,"",X208+Y208+Z208)</f>
        <v/>
      </c>
      <c r="K208" s="27">
        <f>IF(OR(J208="",W208=""),"",W208*J208)</f>
        <v/>
      </c>
      <c r="L208" s="28">
        <f>IF(K208="","",IF(K208&lt;=Gruen_bis,"grün",IF(K208&lt;=Gelb_bis,"gelb","rot")))</f>
        <v/>
      </c>
      <c r="M208" s="29">
        <f>IF(L208="",IF(B208="","","Bewertung unvollständig – ★-Felder ausfüllen"),IF(L208="grün","Keine aktive Maßnahme – jährlich prüfen",IF(AND(X208=1,Y208=1,Z208=1),"Sofort sichern: Restbestand / Gebrauchtteil kaufen und Ersatzlösung (Retrofit) planen",IF(AND(X208=1,Z208=1),"Reparaturweg absichern (Dienstleister, Tauschteil), Gebrauchtteil prüfen",IF(X208=1,"Abgekündigt: Lagerteil schützen, Ersatzlösung mittelfristig planen",IF(Z208=1,IF(LEFT(Q208,4)="nein","Bevorratung lohnt nicht – Lieferzeit und Reparaturweg absichern","Lagerbestand anlegen (mind. 1 Stk.)"),"Reparaturmöglichkeit klären"))))))</f>
        <v/>
      </c>
      <c r="N208" s="30" t="n"/>
      <c r="O208" s="31" t="n"/>
      <c r="P208" s="32">
        <f>IF(OR(AB208="",W208="",Z208=0),"",AB208*INDEX(Krit_Kosten,MATCH(F208,Krit_Liste,0)))</f>
        <v/>
      </c>
      <c r="Q208" s="33">
        <f>IF(L208="","",IF(L208="grün","–",IF(Z208=0,"am Lager / in stock",IF(N(N208)&lt;=0,"Stückpreis fehlt",IF(P208&gt;=Faktor_lohnt*N208,"ja – "&amp;FIXED(P208/N208,0)&amp;"-fach","nein – "&amp;FIXED(P208/N208,IF(P208/N208&lt;1,2,1))&amp;"-fach")))))</f>
        <v/>
      </c>
      <c r="R208" s="25" t="n"/>
      <c r="S208" s="34" t="n"/>
      <c r="T208" s="31" t="n"/>
      <c r="U208" s="25" t="n"/>
      <c r="V208" s="2" t="n"/>
      <c r="W208" s="35">
        <f>IFERROR(INDEX(Krit_Faktor,MATCH(F208,Krit_Liste,0)),"")</f>
        <v/>
      </c>
      <c r="X208" s="35">
        <f>IF(OR(G208="nein",G208="no"),1,0)</f>
        <v/>
      </c>
      <c r="Y208" s="35">
        <f>IF(OR(H208="nein",H208="no"),1,0)</f>
        <v/>
      </c>
      <c r="Z208" s="35">
        <f>IF(OR(I208="nein",I208="no"),1,0)</f>
        <v/>
      </c>
      <c r="AA208" s="35">
        <f>(G208&lt;&gt;"")+(H208&lt;&gt;"")+(I208&lt;&gt;"")</f>
        <v/>
      </c>
      <c r="AB208" s="35">
        <f>IF(O208&lt;&gt;"",O208,IF(AA208&lt;3,"",IF(X208=1,Tage_nicht_beschaffbar,Tage_beschaffbar)))</f>
        <v/>
      </c>
      <c r="AC208" s="35">
        <f>IF(K208="","",K208*1000+W208*10+(1000-ROW())/100000)</f>
        <v/>
      </c>
    </row>
  </sheetData>
  <autoFilter ref="A8:U208"/>
  <mergeCells count="17">
    <mergeCell ref="J3:K3"/>
    <mergeCell ref="N5:Q5"/>
    <mergeCell ref="N3:O3"/>
    <mergeCell ref="J5:M5"/>
    <mergeCell ref="R5:U5"/>
    <mergeCell ref="A2:U2"/>
    <mergeCell ref="C5:E5"/>
    <mergeCell ref="F6:I6"/>
    <mergeCell ref="A1:L1"/>
    <mergeCell ref="R6:U6"/>
    <mergeCell ref="J6:M6"/>
    <mergeCell ref="N6:Q6"/>
    <mergeCell ref="F5:I5"/>
    <mergeCell ref="C3:D3"/>
    <mergeCell ref="A3:B3"/>
    <mergeCell ref="G3:H3"/>
    <mergeCell ref="C6:E6"/>
  </mergeCells>
  <conditionalFormatting sqref="F9:F208">
    <cfRule type="expression" priority="1" dxfId="0">
      <formula>F9="A"</formula>
    </cfRule>
    <cfRule type="expression" priority="2" dxfId="1">
      <formula>F9="B"</formula>
    </cfRule>
    <cfRule type="expression" priority="3" dxfId="2">
      <formula>F9="C"</formula>
    </cfRule>
    <cfRule type="expression" priority="14" dxfId="3">
      <formula>AND(COUNTA($B9:$I9)&gt;0,F9="")</formula>
    </cfRule>
  </conditionalFormatting>
  <conditionalFormatting sqref="G9:G208">
    <cfRule type="expression" priority="4" dxfId="4">
      <formula>OR(G9="ja",G9="yes")</formula>
    </cfRule>
    <cfRule type="expression" priority="5" dxfId="5">
      <formula>OR(G9="nein",G9="no")</formula>
    </cfRule>
    <cfRule type="expression" priority="15" dxfId="3">
      <formula>AND(COUNTA($B9:$I9)&gt;0,G9="")</formula>
    </cfRule>
  </conditionalFormatting>
  <conditionalFormatting sqref="H9:H208">
    <cfRule type="expression" priority="6" dxfId="4">
      <formula>OR(H9="ja",H9="yes")</formula>
    </cfRule>
    <cfRule type="expression" priority="7" dxfId="5">
      <formula>OR(H9="nein",H9="no")</formula>
    </cfRule>
    <cfRule type="expression" priority="16" dxfId="3">
      <formula>AND(COUNTA($B9:$I9)&gt;0,H9="")</formula>
    </cfRule>
  </conditionalFormatting>
  <conditionalFormatting sqref="I9:I208">
    <cfRule type="expression" priority="8" dxfId="4">
      <formula>OR(I9="ja",I9="yes")</formula>
    </cfRule>
    <cfRule type="expression" priority="9" dxfId="5">
      <formula>OR(I9="nein",I9="no")</formula>
    </cfRule>
    <cfRule type="expression" priority="17" dxfId="3">
      <formula>AND(COUNTA($B9:$I9)&gt;0,I9="")</formula>
    </cfRule>
  </conditionalFormatting>
  <conditionalFormatting sqref="K9:L208">
    <cfRule type="expression" priority="10" dxfId="6">
      <formula>$L9="grün"</formula>
    </cfRule>
    <cfRule type="expression" priority="11" dxfId="7">
      <formula>$L9="gelb"</formula>
    </cfRule>
    <cfRule type="expression" priority="12" dxfId="0">
      <formula>$L9="rot"</formula>
    </cfRule>
  </conditionalFormatting>
  <conditionalFormatting sqref="B9:B208">
    <cfRule type="expression" priority="13" dxfId="3">
      <formula>AND(COUNTA($B9:$I9)&gt;0,B9="")</formula>
    </cfRule>
  </conditionalFormatting>
  <conditionalFormatting sqref="M9:M208">
    <cfRule type="expression" priority="18" dxfId="8">
      <formula>LEFT(M9,9)="Bewertung"</formula>
    </cfRule>
  </conditionalFormatting>
  <conditionalFormatting sqref="Q9:Q208">
    <cfRule type="expression" priority="19" dxfId="9">
      <formula>LEFT(Q9,2)="ja"</formula>
    </cfRule>
    <cfRule type="expression" priority="20" dxfId="10">
      <formula>LEFT(Q9,4)="nein"</formula>
    </cfRule>
  </conditionalFormatting>
  <conditionalFormatting sqref="T9:T208">
    <cfRule type="expression" priority="21" dxfId="11">
      <formula>LEFT(T9,8)="erledigt"</formula>
    </cfRule>
  </conditionalFormatting>
  <conditionalFormatting sqref="S9:S208">
    <cfRule type="expression" priority="22" dxfId="8">
      <formula>AND(S9&lt;&gt;"",S9&lt;TODAY(),LEFT(T9,8)&lt;&gt;"erledigt")</formula>
    </cfRule>
  </conditionalFormatting>
  <dataValidations count="8">
    <dataValidation sqref="F9:F208" showDropDown="0" showInputMessage="1" showErrorMessage="0" allowBlank="1" errorTitle="Eingabe / Input" error="Bitte einen Wert aus der Liste wählen. / Please select a value from the list." promptTitle="Kritikalität / Criticality" prompt="A = Linie / Engpass steht, Kunde gefährdet&#10;B = Maschine steht, Ausweichen möglich&#10;C = kein Stillstand (Redundanz)" type="list">
      <formula1>=Krit_Liste</formula1>
    </dataValidation>
    <dataValidation sqref="G9:G208" showDropDown="0" showInputMessage="1" showErrorMessage="0" allowBlank="1" errorTitle="Eingabe / Input" error="Bitte einen Wert aus der Liste wählen. / Please select a value from the list." promptTitle="Beschaffbar? / Available?" prompt="ja = Neuteil in normaler Lieferzeit bestellbar&#10;nein = abgekündigt / nur Gebrauchtmarkt" type="list">
      <formula1>"ja,nein,yes,no"</formula1>
    </dataValidation>
    <dataValidation sqref="H9:H208" showDropDown="0" showInputMessage="1" showErrorMessage="0" allowBlank="1" errorTitle="Eingabe / Input" error="Bitte einen Wert aus der Liste wählen. / Please select a value from the list." promptTitle="Reparierbar? / Repairable?" prompt="ja = defektes Teil kann intern oder extern repariert werden" type="list">
      <formula1>"ja,nein,yes,no"</formula1>
    </dataValidation>
    <dataValidation sqref="I9:I208" showDropDown="0" showInputMessage="1" showErrorMessage="0" allowBlank="1" errorTitle="Eingabe / Input" error="Bitte einen Wert aus der Liste wählen. / Please select a value from the list." promptTitle="Lager vor Ort? / In stock?" prompt="ja = mind. 1 einsatzfähiges Teil im eigenen Werk" type="list">
      <formula1>"ja,nein,yes,no"</formula1>
    </dataValidation>
    <dataValidation sqref="T9:T208" showDropDown="0" showInputMessage="0" showErrorMessage="0" allowBlank="1" errorTitle="Eingabe / Input" error="Bitte einen Wert aus der Liste wählen. / Please select a value from the list." type="list">
      <formula1>=L_Status</formula1>
    </dataValidation>
    <dataValidation sqref="N9:N208" showDropDown="0" showInputMessage="0" showErrorMessage="0" allowBlank="1" errorTitle="Eingabe / Input" error="Zahl / number" type="decimal" operator="between">
      <formula1>0</formula1>
      <formula2>100000000</formula2>
    </dataValidation>
    <dataValidation sqref="O9:O208" showDropDown="0" showInputMessage="0" showErrorMessage="0" allowBlank="1" errorTitle="Eingabe / Input" error="Tage / days" type="decimal" operator="between">
      <formula1>0</formula1>
      <formula2>3650</formula2>
    </dataValidation>
    <dataValidation sqref="S9:S208" showDropDown="0" showInputMessage="0" showErrorMessage="0" allowBlank="1" type="date" operator="greaterThan">
      <formula1>36526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&amp;L&amp;8 Bewertung Ersatzteilkritikalität&amp;R&amp;8 Seite / Page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41339"/>
    <outlinePr summaryBelow="1" summaryRight="1"/>
    <pageSetUpPr fitToPage="1"/>
  </sheetPr>
  <dimension ref="A1:U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9" customWidth="1" min="20" max="20"/>
    <col width="9" customWidth="1" min="21" max="21"/>
  </cols>
  <sheetData>
    <row r="1" ht="30" customHeight="1">
      <c r="A1" s="2" t="n"/>
      <c r="B1" s="36" t="inlineStr">
        <is>
          <t>Übersicht Ersatzteilkritikalität / Overview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>
      <c r="A2" s="2" t="n"/>
      <c r="B2" s="37" t="inlineStr">
        <is>
          <t>Berechnet automatisch aus dem Blatt „Bewertung“. / Calculated from sheet “Bewertung”.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s="2" t="n"/>
      <c r="B3" s="38" t="inlineStr">
        <is>
          <t>Werk / Plant</t>
        </is>
      </c>
      <c r="C3" s="2" t="n"/>
      <c r="D3" s="2" t="n"/>
      <c r="E3" s="2" t="n"/>
      <c r="F3" s="38" t="inlineStr">
        <is>
          <t>Datum / Date</t>
        </is>
      </c>
      <c r="G3" s="2" t="n"/>
      <c r="H3" s="2" t="n"/>
      <c r="I3" s="38" t="inlineStr">
        <is>
          <t>Währung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>
      <c r="A4" s="2" t="n"/>
      <c r="B4" s="39">
        <f>IF(Bewertung!$C$3="","–",Bewertung!$C$3)</f>
        <v/>
      </c>
      <c r="C4" s="40" t="n"/>
      <c r="D4" s="40" t="n"/>
      <c r="E4" s="40" t="n"/>
      <c r="F4" s="41">
        <f>IF(Bewertung!$G$3="","–",Bewertung!$G$3)</f>
        <v/>
      </c>
      <c r="G4" s="40" t="n"/>
      <c r="H4" s="40" t="n"/>
      <c r="I4" s="39">
        <f>IF(Waehrung="","–",Waehrung)</f>
        <v/>
      </c>
      <c r="J4" s="40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>
      <c r="A6" s="2" t="n"/>
      <c r="B6" s="42" t="inlineStr">
        <is>
          <t>Ampel je Kritikalität / Traffic light by criticality</t>
        </is>
      </c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2" t="n"/>
      <c r="T6" s="2" t="n"/>
      <c r="U6" s="2" t="n"/>
    </row>
    <row r="7">
      <c r="A7" s="2" t="n"/>
      <c r="B7" s="20" t="inlineStr">
        <is>
          <t>Kritikalität</t>
        </is>
      </c>
      <c r="C7" s="20" t="n"/>
      <c r="D7" s="20" t="n"/>
      <c r="E7" s="20" t="inlineStr">
        <is>
          <t>grün</t>
        </is>
      </c>
      <c r="F7" s="20" t="n"/>
      <c r="G7" s="20" t="inlineStr">
        <is>
          <t>gelb</t>
        </is>
      </c>
      <c r="H7" s="20" t="n"/>
      <c r="I7" s="20" t="inlineStr">
        <is>
          <t>rot</t>
        </is>
      </c>
      <c r="J7" s="20" t="n"/>
      <c r="K7" s="20" t="inlineStr">
        <is>
          <t>unvollständig</t>
        </is>
      </c>
      <c r="L7" s="20" t="n"/>
      <c r="M7" s="20" t="inlineStr">
        <is>
          <t>Gesamt</t>
        </is>
      </c>
      <c r="N7" s="20" t="n"/>
      <c r="O7" s="2" t="n"/>
      <c r="P7" s="2" t="n"/>
      <c r="Q7" s="2" t="n"/>
      <c r="R7" s="2" t="n"/>
      <c r="S7" s="2" t="n"/>
      <c r="T7" s="44" t="inlineStr">
        <is>
          <t>Hilfswerte</t>
        </is>
      </c>
      <c r="U7" s="2" t="n"/>
    </row>
    <row r="8" ht="22" customHeight="1">
      <c r="A8" s="2" t="n"/>
      <c r="B8" s="45" t="inlineStr">
        <is>
          <t>A – Linie / Kunde</t>
        </is>
      </c>
      <c r="C8" s="46" t="n"/>
      <c r="D8" s="46" t="n"/>
      <c r="E8" s="46">
        <f>COUNTIFS(B_Krit,"A",B_Ampel,"grün")</f>
        <v/>
      </c>
      <c r="F8" s="46" t="n"/>
      <c r="G8" s="46">
        <f>COUNTIFS(B_Krit,"A",B_Ampel,"gelb")</f>
        <v/>
      </c>
      <c r="H8" s="46" t="n"/>
      <c r="I8" s="46">
        <f>COUNTIFS(B_Krit,"A",B_Ampel,"rot")</f>
        <v/>
      </c>
      <c r="J8" s="46" t="n"/>
      <c r="K8" s="46">
        <f>M8-E8-G8-I8</f>
        <v/>
      </c>
      <c r="L8" s="46" t="n"/>
      <c r="M8" s="46">
        <f>COUNTIF(B_Krit,"A")</f>
        <v/>
      </c>
      <c r="N8" s="46" t="n"/>
      <c r="O8" s="2" t="n"/>
      <c r="P8" s="2" t="n"/>
      <c r="Q8" s="2" t="n"/>
      <c r="R8" s="2" t="n"/>
      <c r="S8" s="2" t="n"/>
      <c r="T8" s="47" t="inlineStr">
        <is>
          <t>grün</t>
        </is>
      </c>
      <c r="U8" s="47">
        <f>E11</f>
        <v/>
      </c>
    </row>
    <row r="9" ht="22" customHeight="1">
      <c r="A9" s="2" t="n"/>
      <c r="B9" s="45" t="inlineStr">
        <is>
          <t>B – Maschine steht</t>
        </is>
      </c>
      <c r="C9" s="46" t="n"/>
      <c r="D9" s="46" t="n"/>
      <c r="E9" s="46">
        <f>COUNTIFS(B_Krit,"B",B_Ampel,"grün")</f>
        <v/>
      </c>
      <c r="F9" s="46" t="n"/>
      <c r="G9" s="46">
        <f>COUNTIFS(B_Krit,"B",B_Ampel,"gelb")</f>
        <v/>
      </c>
      <c r="H9" s="46" t="n"/>
      <c r="I9" s="46">
        <f>COUNTIFS(B_Krit,"B",B_Ampel,"rot")</f>
        <v/>
      </c>
      <c r="J9" s="46" t="n"/>
      <c r="K9" s="46">
        <f>M9-E9-G9-I9</f>
        <v/>
      </c>
      <c r="L9" s="46" t="n"/>
      <c r="M9" s="46">
        <f>COUNTIF(B_Krit,"B")</f>
        <v/>
      </c>
      <c r="N9" s="46" t="n"/>
      <c r="O9" s="2" t="n"/>
      <c r="P9" s="2" t="n"/>
      <c r="Q9" s="2" t="n"/>
      <c r="R9" s="2" t="n"/>
      <c r="S9" s="2" t="n"/>
      <c r="T9" s="47" t="inlineStr">
        <is>
          <t>gelb</t>
        </is>
      </c>
      <c r="U9" s="47">
        <f>G11</f>
        <v/>
      </c>
    </row>
    <row r="10" ht="22" customHeight="1">
      <c r="A10" s="2" t="n"/>
      <c r="B10" s="45" t="inlineStr">
        <is>
          <t>C – kein Stillstand</t>
        </is>
      </c>
      <c r="C10" s="46" t="n"/>
      <c r="D10" s="46" t="n"/>
      <c r="E10" s="46">
        <f>COUNTIFS(B_Krit,"C",B_Ampel,"grün")</f>
        <v/>
      </c>
      <c r="F10" s="46" t="n"/>
      <c r="G10" s="46">
        <f>COUNTIFS(B_Krit,"C",B_Ampel,"gelb")</f>
        <v/>
      </c>
      <c r="H10" s="46" t="n"/>
      <c r="I10" s="46">
        <f>COUNTIFS(B_Krit,"C",B_Ampel,"rot")</f>
        <v/>
      </c>
      <c r="J10" s="46" t="n"/>
      <c r="K10" s="46">
        <f>M10-E10-G10-I10</f>
        <v/>
      </c>
      <c r="L10" s="46" t="n"/>
      <c r="M10" s="46">
        <f>COUNTIF(B_Krit,"C")</f>
        <v/>
      </c>
      <c r="N10" s="46" t="n"/>
      <c r="O10" s="2" t="n"/>
      <c r="P10" s="2" t="n"/>
      <c r="Q10" s="2" t="n"/>
      <c r="R10" s="2" t="n"/>
      <c r="S10" s="2" t="n"/>
      <c r="T10" s="47" t="inlineStr">
        <is>
          <t>rot</t>
        </is>
      </c>
      <c r="U10" s="47">
        <f>I11</f>
        <v/>
      </c>
    </row>
    <row r="11" ht="22" customHeight="1">
      <c r="A11" s="2" t="n"/>
      <c r="B11" s="48" t="inlineStr">
        <is>
          <t>Gesamt</t>
        </is>
      </c>
      <c r="C11" s="49" t="n"/>
      <c r="D11" s="49" t="n"/>
      <c r="E11" s="49">
        <f>SUM(E8:E10)</f>
        <v/>
      </c>
      <c r="F11" s="49" t="n"/>
      <c r="G11" s="49">
        <f>SUM(G8:G10)</f>
        <v/>
      </c>
      <c r="H11" s="49" t="n"/>
      <c r="I11" s="49">
        <f>SUM(I8:I10)</f>
        <v/>
      </c>
      <c r="J11" s="49" t="n"/>
      <c r="K11" s="49">
        <f>SUM(K8:K10)</f>
        <v/>
      </c>
      <c r="L11" s="49" t="n"/>
      <c r="M11" s="49">
        <f>SUM(M8:M10)</f>
        <v/>
      </c>
      <c r="N11" s="49" t="n"/>
      <c r="O11" s="2" t="n"/>
      <c r="P11" s="2" t="n"/>
      <c r="Q11" s="2" t="n"/>
      <c r="R11" s="2" t="n"/>
      <c r="S11" s="2" t="n"/>
      <c r="T11" s="2" t="n"/>
      <c r="U11" s="2" t="n"/>
    </row>
    <row r="12">
      <c r="A12" s="2" t="n"/>
      <c r="B12" s="50">
        <f>IF(COUNTIF(B_Teil,"?*")&gt;SUM(M8:M10),"Ohne Kritikalität: "&amp;(COUNTIF(B_Teil,"?*")-SUM(M8:M10))&amp;" Teile","")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>
      <c r="A14" s="2" t="n"/>
      <c r="B14" s="42" t="inlineStr">
        <is>
          <t>Warum rot oder gelb? / Why red or yellow?</t>
        </is>
      </c>
      <c r="C14" s="43" t="n"/>
      <c r="D14" s="43" t="n"/>
      <c r="E14" s="43" t="n"/>
      <c r="F14" s="43" t="n"/>
      <c r="G14" s="43" t="n"/>
      <c r="H14" s="43" t="n"/>
      <c r="I14" s="43" t="n"/>
      <c r="J14" s="2" t="n"/>
      <c r="K14" s="42" t="inlineStr">
        <is>
          <t>Wirtschaftlichkeit / Economics (Teile ohne Lager)</t>
        </is>
      </c>
      <c r="L14" s="43" t="n"/>
      <c r="M14" s="43" t="n"/>
      <c r="N14" s="43" t="n"/>
      <c r="O14" s="43" t="n"/>
      <c r="P14" s="43" t="n"/>
      <c r="Q14" s="43" t="n"/>
      <c r="R14" s="43" t="n"/>
      <c r="S14" s="2" t="n"/>
      <c r="T14" s="2" t="n"/>
      <c r="U14" s="2" t="n"/>
    </row>
    <row r="15">
      <c r="A15" s="2" t="n"/>
      <c r="B15" s="20" t="inlineStr">
        <is>
          <t>„nein“ bei …</t>
        </is>
      </c>
      <c r="C15" s="20" t="n"/>
      <c r="D15" s="20" t="n"/>
      <c r="E15" s="20" t="n"/>
      <c r="F15" s="20" t="n"/>
      <c r="G15" s="20" t="inlineStr">
        <is>
          <t>rot</t>
        </is>
      </c>
      <c r="H15" s="20" t="n"/>
      <c r="I15" s="20" t="inlineStr">
        <is>
          <t>gelb</t>
        </is>
      </c>
      <c r="J15" s="2" t="n"/>
      <c r="K15" s="20" t="inlineStr"/>
      <c r="L15" s="20" t="n"/>
      <c r="M15" s="20" t="n"/>
      <c r="N15" s="20" t="n"/>
      <c r="O15" s="20" t="inlineStr">
        <is>
          <t>Teile</t>
        </is>
      </c>
      <c r="P15" s="20" t="n"/>
      <c r="Q15" s="20" t="inlineStr">
        <is>
          <t>Betrag</t>
        </is>
      </c>
      <c r="R15" s="20" t="n"/>
      <c r="S15" s="2" t="n"/>
      <c r="T15" s="2" t="n"/>
      <c r="U15" s="2" t="n"/>
    </row>
    <row r="16" ht="20" customHeight="1">
      <c r="A16" s="2" t="n"/>
      <c r="B16" s="51" t="inlineStr">
        <is>
          <t>Beschaffbar? – abgekündigt</t>
        </is>
      </c>
      <c r="C16" s="52" t="n"/>
      <c r="D16" s="52" t="n"/>
      <c r="E16" s="52" t="n"/>
      <c r="F16" s="52" t="n"/>
      <c r="G16" s="52">
        <f>COUNTIFS(B_Ampel,"rot",B_NeinBesch,1)</f>
        <v/>
      </c>
      <c r="H16" s="52" t="n"/>
      <c r="I16" s="52">
        <f>COUNTIFS(B_Ampel,"gelb",B_NeinBesch,1)</f>
        <v/>
      </c>
      <c r="J16" s="2" t="n"/>
      <c r="K16" s="51" t="inlineStr">
        <is>
          <t>Teile gelb / rot ohne Lager</t>
        </is>
      </c>
      <c r="L16" s="52" t="n"/>
      <c r="M16" s="52" t="n"/>
      <c r="N16" s="52" t="n"/>
      <c r="O16" s="52">
        <f>SUMPRODUCT(((B_Ampel="rot")+(B_Ampel="gelb"))*B_NeinLager)</f>
        <v/>
      </c>
      <c r="P16" s="52" t="n"/>
      <c r="Q16" s="53">
        <f>SUMPRODUCT(((B_Ampel="rot")+(B_Ampel="gelb"))*B_NeinLager,B_Preis)</f>
        <v/>
      </c>
      <c r="R16" s="52" t="n"/>
      <c r="S16" s="2" t="n"/>
      <c r="T16" s="2" t="n"/>
      <c r="U16" s="2" t="n"/>
    </row>
    <row r="17" ht="20" customHeight="1">
      <c r="A17" s="2" t="n"/>
      <c r="B17" s="51" t="inlineStr">
        <is>
          <t>Reparierbar?</t>
        </is>
      </c>
      <c r="C17" s="52" t="n"/>
      <c r="D17" s="52" t="n"/>
      <c r="E17" s="52" t="n"/>
      <c r="F17" s="52" t="n"/>
      <c r="G17" s="52">
        <f>COUNTIFS(B_Ampel,"rot",B_NeinRep,1)</f>
        <v/>
      </c>
      <c r="H17" s="52" t="n"/>
      <c r="I17" s="52">
        <f>COUNTIFS(B_Ampel,"gelb",B_NeinRep,1)</f>
        <v/>
      </c>
      <c r="J17" s="2" t="n"/>
      <c r="K17" s="51" t="inlineStr">
        <is>
          <t>davon Bevorratung lohnt</t>
        </is>
      </c>
      <c r="L17" s="52" t="n"/>
      <c r="M17" s="52" t="n"/>
      <c r="N17" s="52" t="n"/>
      <c r="O17" s="52">
        <f>COUNTIF(B_Lohnt,"ja*")</f>
        <v/>
      </c>
      <c r="P17" s="52" t="n"/>
      <c r="Q17" s="53">
        <f>SUMIFS(B_Preis,B_Lohnt,"ja*")</f>
        <v/>
      </c>
      <c r="R17" s="52" t="n"/>
      <c r="S17" s="2" t="n"/>
      <c r="T17" s="2" t="n"/>
      <c r="U17" s="2" t="n"/>
    </row>
    <row r="18" ht="20" customHeight="1">
      <c r="A18" s="2" t="n"/>
      <c r="B18" s="51" t="inlineStr">
        <is>
          <t>Lager vor Ort?</t>
        </is>
      </c>
      <c r="C18" s="52" t="n"/>
      <c r="D18" s="52" t="n"/>
      <c r="E18" s="52" t="n"/>
      <c r="F18" s="52" t="n"/>
      <c r="G18" s="52">
        <f>COUNTIFS(B_Ampel,"rot",B_NeinLager,1)</f>
        <v/>
      </c>
      <c r="H18" s="52" t="n"/>
      <c r="I18" s="52">
        <f>COUNTIFS(B_Ampel,"gelb",B_NeinLager,1)</f>
        <v/>
      </c>
      <c r="J18" s="2" t="n"/>
      <c r="K18" s="51" t="inlineStr">
        <is>
          <t>davon lohnt nicht</t>
        </is>
      </c>
      <c r="L18" s="52" t="n"/>
      <c r="M18" s="52" t="n"/>
      <c r="N18" s="52" t="n"/>
      <c r="O18" s="52">
        <f>COUNTIF(B_Lohnt,"nein*")</f>
        <v/>
      </c>
      <c r="P18" s="52" t="n"/>
      <c r="Q18" s="53">
        <f>SUMIFS(B_Preis,B_Lohnt,"nein*")</f>
        <v/>
      </c>
      <c r="R18" s="52" t="n"/>
      <c r="S18" s="2" t="n"/>
      <c r="T18" s="2" t="n"/>
      <c r="U18" s="2" t="n"/>
    </row>
    <row r="19" ht="20" customHeight="1">
      <c r="A19" s="2" t="n"/>
      <c r="B19" s="54" t="inlineStr">
        <is>
          <t>Zeigt, welche Frage die meisten roten / gelben Teile verursacht – daraus ergibt sich der wirksamste Hebel (z. B. Lagerbestand anlegen oder Reparaturdienstleister qualifizieren).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51" t="inlineStr">
        <is>
          <t>Stückpreis fehlt</t>
        </is>
      </c>
      <c r="L19" s="52" t="n"/>
      <c r="M19" s="52" t="n"/>
      <c r="N19" s="52" t="n"/>
      <c r="O19" s="52">
        <f>COUNTIF(B_Lohnt,"Stückpreis fehlt")</f>
        <v/>
      </c>
      <c r="P19" s="52" t="n"/>
      <c r="Q19" s="52" t="n"/>
      <c r="R19" s="52" t="n"/>
      <c r="S19" s="2" t="n"/>
      <c r="T19" s="2" t="n"/>
      <c r="U19" s="2" t="n"/>
    </row>
    <row r="20" ht="20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51" t="inlineStr">
        <is>
          <t>Ausfallkosten (gelb/rot ohne Lager)</t>
        </is>
      </c>
      <c r="L20" s="52" t="n"/>
      <c r="M20" s="52" t="n"/>
      <c r="N20" s="52" t="n"/>
      <c r="O20" s="52" t="n"/>
      <c r="P20" s="52" t="n"/>
      <c r="Q20" s="53">
        <f>SUMPRODUCT(((B_Ampel="rot")+(B_Ampel="gelb"))*B_NeinLager,B_Ausfall)</f>
        <v/>
      </c>
      <c r="R20" s="52" t="n"/>
      <c r="S20" s="2" t="n"/>
      <c r="T20" s="2" t="n"/>
      <c r="U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>
      <c r="A23" s="2" t="n"/>
      <c r="B23" s="42" t="inlineStr">
        <is>
          <t>Teile mit dem höchsten Risiko (Top 15) / Highest risk parts</t>
        </is>
      </c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  <c r="S23" s="2" t="n"/>
      <c r="T23" s="2" t="n"/>
      <c r="U23" s="2" t="n"/>
    </row>
    <row r="24" ht="26" customHeight="1">
      <c r="A24" s="2" t="n"/>
      <c r="B24" s="20" t="inlineStr">
        <is>
          <t>Nr.</t>
        </is>
      </c>
      <c r="C24" s="20" t="inlineStr">
        <is>
          <t>Ersatzteil</t>
        </is>
      </c>
      <c r="D24" s="20" t="n"/>
      <c r="E24" s="20" t="n"/>
      <c r="F24" s="20" t="n"/>
      <c r="G24" s="20" t="n"/>
      <c r="H24" s="20" t="inlineStr">
        <is>
          <t>Maschine</t>
        </is>
      </c>
      <c r="I24" s="20" t="n"/>
      <c r="J24" s="20" t="inlineStr">
        <is>
          <t>Krit.</t>
        </is>
      </c>
      <c r="K24" s="20" t="inlineStr">
        <is>
          <t>Beschaffbar</t>
        </is>
      </c>
      <c r="L24" s="20" t="inlineStr">
        <is>
          <t>Reparierbar</t>
        </is>
      </c>
      <c r="M24" s="20" t="inlineStr">
        <is>
          <t>Lager</t>
        </is>
      </c>
      <c r="N24" s="20" t="inlineStr">
        <is>
          <t>Risiko</t>
        </is>
      </c>
      <c r="O24" s="20" t="inlineStr">
        <is>
          <t>Empfohlene Maßnahme</t>
        </is>
      </c>
      <c r="P24" s="20" t="n"/>
      <c r="Q24" s="20" t="n"/>
      <c r="R24" s="20" t="n"/>
      <c r="S24" s="2" t="n"/>
      <c r="T24" s="44" t="inlineStr">
        <is>
          <t>k-größter</t>
        </is>
      </c>
      <c r="U24" s="44" t="inlineStr">
        <is>
          <t>Position</t>
        </is>
      </c>
    </row>
    <row r="25" ht="22" customHeight="1">
      <c r="A25" s="2" t="n"/>
      <c r="B25" s="55">
        <f>IF($U25="","",IF(INDEX(B_Nr,$U25)="","–",INDEX(B_Nr,$U25)))</f>
        <v/>
      </c>
      <c r="C25" s="56">
        <f>IF($U25="","",IF(INDEX(B_Teil,$U25)="","–",INDEX(B_Teil,$U25)))</f>
        <v/>
      </c>
      <c r="D25" s="55" t="n"/>
      <c r="E25" s="55" t="n"/>
      <c r="F25" s="55" t="n"/>
      <c r="G25" s="55" t="n"/>
      <c r="H25" s="56">
        <f>IF($U25="","",IF(INDEX(B_Masch,$U25)="","–",INDEX(B_Masch,$U25)))</f>
        <v/>
      </c>
      <c r="I25" s="55" t="n"/>
      <c r="J25" s="55">
        <f>IF($U25="","",IF(INDEX(B_Krit,$U25)="","–",INDEX(B_Krit,$U25)))</f>
        <v/>
      </c>
      <c r="K25" s="55">
        <f>IF($U25="","",IF(INDEX(B_Besch,$U25)="","–",INDEX(B_Besch,$U25)))</f>
        <v/>
      </c>
      <c r="L25" s="55">
        <f>IF($U25="","",IF(INDEX(B_Rep,$U25)="","–",INDEX(B_Rep,$U25)))</f>
        <v/>
      </c>
      <c r="M25" s="55">
        <f>IF($U25="","",IF(INDEX(B_Lager,$U25)="","–",INDEX(B_Lager,$U25)))</f>
        <v/>
      </c>
      <c r="N25" s="57">
        <f>IF($U25="","",IF(INDEX(B_Risiko,$U25)="","–",INDEX(B_Risiko,$U25)))</f>
        <v/>
      </c>
      <c r="O25" s="56">
        <f>IF($U25="","",IF(INDEX(B_Massn,$U25)="","–",INDEX(B_Massn,$U25)))</f>
        <v/>
      </c>
      <c r="P25" s="55" t="n"/>
      <c r="Q25" s="55" t="n"/>
      <c r="R25" s="55" t="n"/>
      <c r="S25" s="2" t="n"/>
      <c r="T25" s="47">
        <f>IFERROR(LARGE(B_Key,1),"")</f>
        <v/>
      </c>
      <c r="U25" s="47">
        <f>IF(T25="","",MATCH(T25,B_Key,0))</f>
        <v/>
      </c>
    </row>
    <row r="26" ht="22" customHeight="1">
      <c r="A26" s="2" t="n"/>
      <c r="B26" s="55">
        <f>IF($U26="","",IF(INDEX(B_Nr,$U26)="","–",INDEX(B_Nr,$U26)))</f>
        <v/>
      </c>
      <c r="C26" s="56">
        <f>IF($U26="","",IF(INDEX(B_Teil,$U26)="","–",INDEX(B_Teil,$U26)))</f>
        <v/>
      </c>
      <c r="D26" s="55" t="n"/>
      <c r="E26" s="55" t="n"/>
      <c r="F26" s="55" t="n"/>
      <c r="G26" s="55" t="n"/>
      <c r="H26" s="56">
        <f>IF($U26="","",IF(INDEX(B_Masch,$U26)="","–",INDEX(B_Masch,$U26)))</f>
        <v/>
      </c>
      <c r="I26" s="55" t="n"/>
      <c r="J26" s="55">
        <f>IF($U26="","",IF(INDEX(B_Krit,$U26)="","–",INDEX(B_Krit,$U26)))</f>
        <v/>
      </c>
      <c r="K26" s="55">
        <f>IF($U26="","",IF(INDEX(B_Besch,$U26)="","–",INDEX(B_Besch,$U26)))</f>
        <v/>
      </c>
      <c r="L26" s="55">
        <f>IF($U26="","",IF(INDEX(B_Rep,$U26)="","–",INDEX(B_Rep,$U26)))</f>
        <v/>
      </c>
      <c r="M26" s="55">
        <f>IF($U26="","",IF(INDEX(B_Lager,$U26)="","–",INDEX(B_Lager,$U26)))</f>
        <v/>
      </c>
      <c r="N26" s="57">
        <f>IF($U26="","",IF(INDEX(B_Risiko,$U26)="","–",INDEX(B_Risiko,$U26)))</f>
        <v/>
      </c>
      <c r="O26" s="56">
        <f>IF($U26="","",IF(INDEX(B_Massn,$U26)="","–",INDEX(B_Massn,$U26)))</f>
        <v/>
      </c>
      <c r="P26" s="55" t="n"/>
      <c r="Q26" s="55" t="n"/>
      <c r="R26" s="55" t="n"/>
      <c r="S26" s="2" t="n"/>
      <c r="T26" s="47">
        <f>IFERROR(LARGE(B_Key,2),"")</f>
        <v/>
      </c>
      <c r="U26" s="47">
        <f>IF(T26="","",MATCH(T26,B_Key,0))</f>
        <v/>
      </c>
    </row>
    <row r="27" ht="22" customHeight="1">
      <c r="A27" s="2" t="n"/>
      <c r="B27" s="55">
        <f>IF($U27="","",IF(INDEX(B_Nr,$U27)="","–",INDEX(B_Nr,$U27)))</f>
        <v/>
      </c>
      <c r="C27" s="56">
        <f>IF($U27="","",IF(INDEX(B_Teil,$U27)="","–",INDEX(B_Teil,$U27)))</f>
        <v/>
      </c>
      <c r="D27" s="55" t="n"/>
      <c r="E27" s="55" t="n"/>
      <c r="F27" s="55" t="n"/>
      <c r="G27" s="55" t="n"/>
      <c r="H27" s="56">
        <f>IF($U27="","",IF(INDEX(B_Masch,$U27)="","–",INDEX(B_Masch,$U27)))</f>
        <v/>
      </c>
      <c r="I27" s="55" t="n"/>
      <c r="J27" s="55">
        <f>IF($U27="","",IF(INDEX(B_Krit,$U27)="","–",INDEX(B_Krit,$U27)))</f>
        <v/>
      </c>
      <c r="K27" s="55">
        <f>IF($U27="","",IF(INDEX(B_Besch,$U27)="","–",INDEX(B_Besch,$U27)))</f>
        <v/>
      </c>
      <c r="L27" s="55">
        <f>IF($U27="","",IF(INDEX(B_Rep,$U27)="","–",INDEX(B_Rep,$U27)))</f>
        <v/>
      </c>
      <c r="M27" s="55">
        <f>IF($U27="","",IF(INDEX(B_Lager,$U27)="","–",INDEX(B_Lager,$U27)))</f>
        <v/>
      </c>
      <c r="N27" s="57">
        <f>IF($U27="","",IF(INDEX(B_Risiko,$U27)="","–",INDEX(B_Risiko,$U27)))</f>
        <v/>
      </c>
      <c r="O27" s="56">
        <f>IF($U27="","",IF(INDEX(B_Massn,$U27)="","–",INDEX(B_Massn,$U27)))</f>
        <v/>
      </c>
      <c r="P27" s="55" t="n"/>
      <c r="Q27" s="55" t="n"/>
      <c r="R27" s="55" t="n"/>
      <c r="S27" s="2" t="n"/>
      <c r="T27" s="47">
        <f>IFERROR(LARGE(B_Key,3),"")</f>
        <v/>
      </c>
      <c r="U27" s="47">
        <f>IF(T27="","",MATCH(T27,B_Key,0))</f>
        <v/>
      </c>
    </row>
    <row r="28" ht="22" customHeight="1">
      <c r="A28" s="2" t="n"/>
      <c r="B28" s="55">
        <f>IF($U28="","",IF(INDEX(B_Nr,$U28)="","–",INDEX(B_Nr,$U28)))</f>
        <v/>
      </c>
      <c r="C28" s="56">
        <f>IF($U28="","",IF(INDEX(B_Teil,$U28)="","–",INDEX(B_Teil,$U28)))</f>
        <v/>
      </c>
      <c r="D28" s="55" t="n"/>
      <c r="E28" s="55" t="n"/>
      <c r="F28" s="55" t="n"/>
      <c r="G28" s="55" t="n"/>
      <c r="H28" s="56">
        <f>IF($U28="","",IF(INDEX(B_Masch,$U28)="","–",INDEX(B_Masch,$U28)))</f>
        <v/>
      </c>
      <c r="I28" s="55" t="n"/>
      <c r="J28" s="55">
        <f>IF($U28="","",IF(INDEX(B_Krit,$U28)="","–",INDEX(B_Krit,$U28)))</f>
        <v/>
      </c>
      <c r="K28" s="55">
        <f>IF($U28="","",IF(INDEX(B_Besch,$U28)="","–",INDEX(B_Besch,$U28)))</f>
        <v/>
      </c>
      <c r="L28" s="55">
        <f>IF($U28="","",IF(INDEX(B_Rep,$U28)="","–",INDEX(B_Rep,$U28)))</f>
        <v/>
      </c>
      <c r="M28" s="55">
        <f>IF($U28="","",IF(INDEX(B_Lager,$U28)="","–",INDEX(B_Lager,$U28)))</f>
        <v/>
      </c>
      <c r="N28" s="57">
        <f>IF($U28="","",IF(INDEX(B_Risiko,$U28)="","–",INDEX(B_Risiko,$U28)))</f>
        <v/>
      </c>
      <c r="O28" s="56">
        <f>IF($U28="","",IF(INDEX(B_Massn,$U28)="","–",INDEX(B_Massn,$U28)))</f>
        <v/>
      </c>
      <c r="P28" s="55" t="n"/>
      <c r="Q28" s="55" t="n"/>
      <c r="R28" s="55" t="n"/>
      <c r="S28" s="2" t="n"/>
      <c r="T28" s="47">
        <f>IFERROR(LARGE(B_Key,4),"")</f>
        <v/>
      </c>
      <c r="U28" s="47">
        <f>IF(T28="","",MATCH(T28,B_Key,0))</f>
        <v/>
      </c>
    </row>
    <row r="29" ht="22" customHeight="1">
      <c r="A29" s="2" t="n"/>
      <c r="B29" s="55">
        <f>IF($U29="","",IF(INDEX(B_Nr,$U29)="","–",INDEX(B_Nr,$U29)))</f>
        <v/>
      </c>
      <c r="C29" s="56">
        <f>IF($U29="","",IF(INDEX(B_Teil,$U29)="","–",INDEX(B_Teil,$U29)))</f>
        <v/>
      </c>
      <c r="D29" s="55" t="n"/>
      <c r="E29" s="55" t="n"/>
      <c r="F29" s="55" t="n"/>
      <c r="G29" s="55" t="n"/>
      <c r="H29" s="56">
        <f>IF($U29="","",IF(INDEX(B_Masch,$U29)="","–",INDEX(B_Masch,$U29)))</f>
        <v/>
      </c>
      <c r="I29" s="55" t="n"/>
      <c r="J29" s="55">
        <f>IF($U29="","",IF(INDEX(B_Krit,$U29)="","–",INDEX(B_Krit,$U29)))</f>
        <v/>
      </c>
      <c r="K29" s="55">
        <f>IF($U29="","",IF(INDEX(B_Besch,$U29)="","–",INDEX(B_Besch,$U29)))</f>
        <v/>
      </c>
      <c r="L29" s="55">
        <f>IF($U29="","",IF(INDEX(B_Rep,$U29)="","–",INDEX(B_Rep,$U29)))</f>
        <v/>
      </c>
      <c r="M29" s="55">
        <f>IF($U29="","",IF(INDEX(B_Lager,$U29)="","–",INDEX(B_Lager,$U29)))</f>
        <v/>
      </c>
      <c r="N29" s="57">
        <f>IF($U29="","",IF(INDEX(B_Risiko,$U29)="","–",INDEX(B_Risiko,$U29)))</f>
        <v/>
      </c>
      <c r="O29" s="56">
        <f>IF($U29="","",IF(INDEX(B_Massn,$U29)="","–",INDEX(B_Massn,$U29)))</f>
        <v/>
      </c>
      <c r="P29" s="55" t="n"/>
      <c r="Q29" s="55" t="n"/>
      <c r="R29" s="55" t="n"/>
      <c r="S29" s="2" t="n"/>
      <c r="T29" s="47">
        <f>IFERROR(LARGE(B_Key,5),"")</f>
        <v/>
      </c>
      <c r="U29" s="47">
        <f>IF(T29="","",MATCH(T29,B_Key,0))</f>
        <v/>
      </c>
    </row>
    <row r="30" ht="22" customHeight="1">
      <c r="A30" s="2" t="n"/>
      <c r="B30" s="55">
        <f>IF($U30="","",IF(INDEX(B_Nr,$U30)="","–",INDEX(B_Nr,$U30)))</f>
        <v/>
      </c>
      <c r="C30" s="56">
        <f>IF($U30="","",IF(INDEX(B_Teil,$U30)="","–",INDEX(B_Teil,$U30)))</f>
        <v/>
      </c>
      <c r="D30" s="55" t="n"/>
      <c r="E30" s="55" t="n"/>
      <c r="F30" s="55" t="n"/>
      <c r="G30" s="55" t="n"/>
      <c r="H30" s="56">
        <f>IF($U30="","",IF(INDEX(B_Masch,$U30)="","–",INDEX(B_Masch,$U30)))</f>
        <v/>
      </c>
      <c r="I30" s="55" t="n"/>
      <c r="J30" s="55">
        <f>IF($U30="","",IF(INDEX(B_Krit,$U30)="","–",INDEX(B_Krit,$U30)))</f>
        <v/>
      </c>
      <c r="K30" s="55">
        <f>IF($U30="","",IF(INDEX(B_Besch,$U30)="","–",INDEX(B_Besch,$U30)))</f>
        <v/>
      </c>
      <c r="L30" s="55">
        <f>IF($U30="","",IF(INDEX(B_Rep,$U30)="","–",INDEX(B_Rep,$U30)))</f>
        <v/>
      </c>
      <c r="M30" s="55">
        <f>IF($U30="","",IF(INDEX(B_Lager,$U30)="","–",INDEX(B_Lager,$U30)))</f>
        <v/>
      </c>
      <c r="N30" s="57">
        <f>IF($U30="","",IF(INDEX(B_Risiko,$U30)="","–",INDEX(B_Risiko,$U30)))</f>
        <v/>
      </c>
      <c r="O30" s="56">
        <f>IF($U30="","",IF(INDEX(B_Massn,$U30)="","–",INDEX(B_Massn,$U30)))</f>
        <v/>
      </c>
      <c r="P30" s="55" t="n"/>
      <c r="Q30" s="55" t="n"/>
      <c r="R30" s="55" t="n"/>
      <c r="S30" s="2" t="n"/>
      <c r="T30" s="47">
        <f>IFERROR(LARGE(B_Key,6),"")</f>
        <v/>
      </c>
      <c r="U30" s="47">
        <f>IF(T30="","",MATCH(T30,B_Key,0))</f>
        <v/>
      </c>
    </row>
    <row r="31" ht="22" customHeight="1">
      <c r="A31" s="2" t="n"/>
      <c r="B31" s="55">
        <f>IF($U31="","",IF(INDEX(B_Nr,$U31)="","–",INDEX(B_Nr,$U31)))</f>
        <v/>
      </c>
      <c r="C31" s="56">
        <f>IF($U31="","",IF(INDEX(B_Teil,$U31)="","–",INDEX(B_Teil,$U31)))</f>
        <v/>
      </c>
      <c r="D31" s="55" t="n"/>
      <c r="E31" s="55" t="n"/>
      <c r="F31" s="55" t="n"/>
      <c r="G31" s="55" t="n"/>
      <c r="H31" s="56">
        <f>IF($U31="","",IF(INDEX(B_Masch,$U31)="","–",INDEX(B_Masch,$U31)))</f>
        <v/>
      </c>
      <c r="I31" s="55" t="n"/>
      <c r="J31" s="55">
        <f>IF($U31="","",IF(INDEX(B_Krit,$U31)="","–",INDEX(B_Krit,$U31)))</f>
        <v/>
      </c>
      <c r="K31" s="55">
        <f>IF($U31="","",IF(INDEX(B_Besch,$U31)="","–",INDEX(B_Besch,$U31)))</f>
        <v/>
      </c>
      <c r="L31" s="55">
        <f>IF($U31="","",IF(INDEX(B_Rep,$U31)="","–",INDEX(B_Rep,$U31)))</f>
        <v/>
      </c>
      <c r="M31" s="55">
        <f>IF($U31="","",IF(INDEX(B_Lager,$U31)="","–",INDEX(B_Lager,$U31)))</f>
        <v/>
      </c>
      <c r="N31" s="57">
        <f>IF($U31="","",IF(INDEX(B_Risiko,$U31)="","–",INDEX(B_Risiko,$U31)))</f>
        <v/>
      </c>
      <c r="O31" s="56">
        <f>IF($U31="","",IF(INDEX(B_Massn,$U31)="","–",INDEX(B_Massn,$U31)))</f>
        <v/>
      </c>
      <c r="P31" s="55" t="n"/>
      <c r="Q31" s="55" t="n"/>
      <c r="R31" s="55" t="n"/>
      <c r="S31" s="2" t="n"/>
      <c r="T31" s="47">
        <f>IFERROR(LARGE(B_Key,7),"")</f>
        <v/>
      </c>
      <c r="U31" s="47">
        <f>IF(T31="","",MATCH(T31,B_Key,0))</f>
        <v/>
      </c>
    </row>
    <row r="32" ht="22" customHeight="1">
      <c r="A32" s="2" t="n"/>
      <c r="B32" s="55">
        <f>IF($U32="","",IF(INDEX(B_Nr,$U32)="","–",INDEX(B_Nr,$U32)))</f>
        <v/>
      </c>
      <c r="C32" s="56">
        <f>IF($U32="","",IF(INDEX(B_Teil,$U32)="","–",INDEX(B_Teil,$U32)))</f>
        <v/>
      </c>
      <c r="D32" s="55" t="n"/>
      <c r="E32" s="55" t="n"/>
      <c r="F32" s="55" t="n"/>
      <c r="G32" s="55" t="n"/>
      <c r="H32" s="56">
        <f>IF($U32="","",IF(INDEX(B_Masch,$U32)="","–",INDEX(B_Masch,$U32)))</f>
        <v/>
      </c>
      <c r="I32" s="55" t="n"/>
      <c r="J32" s="55">
        <f>IF($U32="","",IF(INDEX(B_Krit,$U32)="","–",INDEX(B_Krit,$U32)))</f>
        <v/>
      </c>
      <c r="K32" s="55">
        <f>IF($U32="","",IF(INDEX(B_Besch,$U32)="","–",INDEX(B_Besch,$U32)))</f>
        <v/>
      </c>
      <c r="L32" s="55">
        <f>IF($U32="","",IF(INDEX(B_Rep,$U32)="","–",INDEX(B_Rep,$U32)))</f>
        <v/>
      </c>
      <c r="M32" s="55">
        <f>IF($U32="","",IF(INDEX(B_Lager,$U32)="","–",INDEX(B_Lager,$U32)))</f>
        <v/>
      </c>
      <c r="N32" s="57">
        <f>IF($U32="","",IF(INDEX(B_Risiko,$U32)="","–",INDEX(B_Risiko,$U32)))</f>
        <v/>
      </c>
      <c r="O32" s="56">
        <f>IF($U32="","",IF(INDEX(B_Massn,$U32)="","–",INDEX(B_Massn,$U32)))</f>
        <v/>
      </c>
      <c r="P32" s="55" t="n"/>
      <c r="Q32" s="55" t="n"/>
      <c r="R32" s="55" t="n"/>
      <c r="S32" s="2" t="n"/>
      <c r="T32" s="47">
        <f>IFERROR(LARGE(B_Key,8),"")</f>
        <v/>
      </c>
      <c r="U32" s="47">
        <f>IF(T32="","",MATCH(T32,B_Key,0))</f>
        <v/>
      </c>
    </row>
    <row r="33" ht="22" customHeight="1">
      <c r="A33" s="2" t="n"/>
      <c r="B33" s="55">
        <f>IF($U33="","",IF(INDEX(B_Nr,$U33)="","–",INDEX(B_Nr,$U33)))</f>
        <v/>
      </c>
      <c r="C33" s="56">
        <f>IF($U33="","",IF(INDEX(B_Teil,$U33)="","–",INDEX(B_Teil,$U33)))</f>
        <v/>
      </c>
      <c r="D33" s="55" t="n"/>
      <c r="E33" s="55" t="n"/>
      <c r="F33" s="55" t="n"/>
      <c r="G33" s="55" t="n"/>
      <c r="H33" s="56">
        <f>IF($U33="","",IF(INDEX(B_Masch,$U33)="","–",INDEX(B_Masch,$U33)))</f>
        <v/>
      </c>
      <c r="I33" s="55" t="n"/>
      <c r="J33" s="55">
        <f>IF($U33="","",IF(INDEX(B_Krit,$U33)="","–",INDEX(B_Krit,$U33)))</f>
        <v/>
      </c>
      <c r="K33" s="55">
        <f>IF($U33="","",IF(INDEX(B_Besch,$U33)="","–",INDEX(B_Besch,$U33)))</f>
        <v/>
      </c>
      <c r="L33" s="55">
        <f>IF($U33="","",IF(INDEX(B_Rep,$U33)="","–",INDEX(B_Rep,$U33)))</f>
        <v/>
      </c>
      <c r="M33" s="55">
        <f>IF($U33="","",IF(INDEX(B_Lager,$U33)="","–",INDEX(B_Lager,$U33)))</f>
        <v/>
      </c>
      <c r="N33" s="57">
        <f>IF($U33="","",IF(INDEX(B_Risiko,$U33)="","–",INDEX(B_Risiko,$U33)))</f>
        <v/>
      </c>
      <c r="O33" s="56">
        <f>IF($U33="","",IF(INDEX(B_Massn,$U33)="","–",INDEX(B_Massn,$U33)))</f>
        <v/>
      </c>
      <c r="P33" s="55" t="n"/>
      <c r="Q33" s="55" t="n"/>
      <c r="R33" s="55" t="n"/>
      <c r="S33" s="2" t="n"/>
      <c r="T33" s="47">
        <f>IFERROR(LARGE(B_Key,9),"")</f>
        <v/>
      </c>
      <c r="U33" s="47">
        <f>IF(T33="","",MATCH(T33,B_Key,0))</f>
        <v/>
      </c>
    </row>
    <row r="34" ht="22" customHeight="1">
      <c r="A34" s="2" t="n"/>
      <c r="B34" s="55">
        <f>IF($U34="","",IF(INDEX(B_Nr,$U34)="","–",INDEX(B_Nr,$U34)))</f>
        <v/>
      </c>
      <c r="C34" s="56">
        <f>IF($U34="","",IF(INDEX(B_Teil,$U34)="","–",INDEX(B_Teil,$U34)))</f>
        <v/>
      </c>
      <c r="D34" s="55" t="n"/>
      <c r="E34" s="55" t="n"/>
      <c r="F34" s="55" t="n"/>
      <c r="G34" s="55" t="n"/>
      <c r="H34" s="56">
        <f>IF($U34="","",IF(INDEX(B_Masch,$U34)="","–",INDEX(B_Masch,$U34)))</f>
        <v/>
      </c>
      <c r="I34" s="55" t="n"/>
      <c r="J34" s="55">
        <f>IF($U34="","",IF(INDEX(B_Krit,$U34)="","–",INDEX(B_Krit,$U34)))</f>
        <v/>
      </c>
      <c r="K34" s="55">
        <f>IF($U34="","",IF(INDEX(B_Besch,$U34)="","–",INDEX(B_Besch,$U34)))</f>
        <v/>
      </c>
      <c r="L34" s="55">
        <f>IF($U34="","",IF(INDEX(B_Rep,$U34)="","–",INDEX(B_Rep,$U34)))</f>
        <v/>
      </c>
      <c r="M34" s="55">
        <f>IF($U34="","",IF(INDEX(B_Lager,$U34)="","–",INDEX(B_Lager,$U34)))</f>
        <v/>
      </c>
      <c r="N34" s="57">
        <f>IF($U34="","",IF(INDEX(B_Risiko,$U34)="","–",INDEX(B_Risiko,$U34)))</f>
        <v/>
      </c>
      <c r="O34" s="56">
        <f>IF($U34="","",IF(INDEX(B_Massn,$U34)="","–",INDEX(B_Massn,$U34)))</f>
        <v/>
      </c>
      <c r="P34" s="55" t="n"/>
      <c r="Q34" s="55" t="n"/>
      <c r="R34" s="55" t="n"/>
      <c r="S34" s="2" t="n"/>
      <c r="T34" s="47">
        <f>IFERROR(LARGE(B_Key,10),"")</f>
        <v/>
      </c>
      <c r="U34" s="47">
        <f>IF(T34="","",MATCH(T34,B_Key,0))</f>
        <v/>
      </c>
    </row>
    <row r="35" ht="22" customHeight="1">
      <c r="A35" s="2" t="n"/>
      <c r="B35" s="55">
        <f>IF($U35="","",IF(INDEX(B_Nr,$U35)="","–",INDEX(B_Nr,$U35)))</f>
        <v/>
      </c>
      <c r="C35" s="56">
        <f>IF($U35="","",IF(INDEX(B_Teil,$U35)="","–",INDEX(B_Teil,$U35)))</f>
        <v/>
      </c>
      <c r="D35" s="55" t="n"/>
      <c r="E35" s="55" t="n"/>
      <c r="F35" s="55" t="n"/>
      <c r="G35" s="55" t="n"/>
      <c r="H35" s="56">
        <f>IF($U35="","",IF(INDEX(B_Masch,$U35)="","–",INDEX(B_Masch,$U35)))</f>
        <v/>
      </c>
      <c r="I35" s="55" t="n"/>
      <c r="J35" s="55">
        <f>IF($U35="","",IF(INDEX(B_Krit,$U35)="","–",INDEX(B_Krit,$U35)))</f>
        <v/>
      </c>
      <c r="K35" s="55">
        <f>IF($U35="","",IF(INDEX(B_Besch,$U35)="","–",INDEX(B_Besch,$U35)))</f>
        <v/>
      </c>
      <c r="L35" s="55">
        <f>IF($U35="","",IF(INDEX(B_Rep,$U35)="","–",INDEX(B_Rep,$U35)))</f>
        <v/>
      </c>
      <c r="M35" s="55">
        <f>IF($U35="","",IF(INDEX(B_Lager,$U35)="","–",INDEX(B_Lager,$U35)))</f>
        <v/>
      </c>
      <c r="N35" s="57">
        <f>IF($U35="","",IF(INDEX(B_Risiko,$U35)="","–",INDEX(B_Risiko,$U35)))</f>
        <v/>
      </c>
      <c r="O35" s="56">
        <f>IF($U35="","",IF(INDEX(B_Massn,$U35)="","–",INDEX(B_Massn,$U35)))</f>
        <v/>
      </c>
      <c r="P35" s="55" t="n"/>
      <c r="Q35" s="55" t="n"/>
      <c r="R35" s="55" t="n"/>
      <c r="S35" s="2" t="n"/>
      <c r="T35" s="47">
        <f>IFERROR(LARGE(B_Key,11),"")</f>
        <v/>
      </c>
      <c r="U35" s="47">
        <f>IF(T35="","",MATCH(T35,B_Key,0))</f>
        <v/>
      </c>
    </row>
    <row r="36" ht="22" customHeight="1">
      <c r="A36" s="2" t="n"/>
      <c r="B36" s="55">
        <f>IF($U36="","",IF(INDEX(B_Nr,$U36)="","–",INDEX(B_Nr,$U36)))</f>
        <v/>
      </c>
      <c r="C36" s="56">
        <f>IF($U36="","",IF(INDEX(B_Teil,$U36)="","–",INDEX(B_Teil,$U36)))</f>
        <v/>
      </c>
      <c r="D36" s="55" t="n"/>
      <c r="E36" s="55" t="n"/>
      <c r="F36" s="55" t="n"/>
      <c r="G36" s="55" t="n"/>
      <c r="H36" s="56">
        <f>IF($U36="","",IF(INDEX(B_Masch,$U36)="","–",INDEX(B_Masch,$U36)))</f>
        <v/>
      </c>
      <c r="I36" s="55" t="n"/>
      <c r="J36" s="55">
        <f>IF($U36="","",IF(INDEX(B_Krit,$U36)="","–",INDEX(B_Krit,$U36)))</f>
        <v/>
      </c>
      <c r="K36" s="55">
        <f>IF($U36="","",IF(INDEX(B_Besch,$U36)="","–",INDEX(B_Besch,$U36)))</f>
        <v/>
      </c>
      <c r="L36" s="55">
        <f>IF($U36="","",IF(INDEX(B_Rep,$U36)="","–",INDEX(B_Rep,$U36)))</f>
        <v/>
      </c>
      <c r="M36" s="55">
        <f>IF($U36="","",IF(INDEX(B_Lager,$U36)="","–",INDEX(B_Lager,$U36)))</f>
        <v/>
      </c>
      <c r="N36" s="57">
        <f>IF($U36="","",IF(INDEX(B_Risiko,$U36)="","–",INDEX(B_Risiko,$U36)))</f>
        <v/>
      </c>
      <c r="O36" s="56">
        <f>IF($U36="","",IF(INDEX(B_Massn,$U36)="","–",INDEX(B_Massn,$U36)))</f>
        <v/>
      </c>
      <c r="P36" s="55" t="n"/>
      <c r="Q36" s="55" t="n"/>
      <c r="R36" s="55" t="n"/>
      <c r="S36" s="2" t="n"/>
      <c r="T36" s="47">
        <f>IFERROR(LARGE(B_Key,12),"")</f>
        <v/>
      </c>
      <c r="U36" s="47">
        <f>IF(T36="","",MATCH(T36,B_Key,0))</f>
        <v/>
      </c>
    </row>
    <row r="37" ht="22" customHeight="1">
      <c r="A37" s="2" t="n"/>
      <c r="B37" s="55">
        <f>IF($U37="","",IF(INDEX(B_Nr,$U37)="","–",INDEX(B_Nr,$U37)))</f>
        <v/>
      </c>
      <c r="C37" s="56">
        <f>IF($U37="","",IF(INDEX(B_Teil,$U37)="","–",INDEX(B_Teil,$U37)))</f>
        <v/>
      </c>
      <c r="D37" s="55" t="n"/>
      <c r="E37" s="55" t="n"/>
      <c r="F37" s="55" t="n"/>
      <c r="G37" s="55" t="n"/>
      <c r="H37" s="56">
        <f>IF($U37="","",IF(INDEX(B_Masch,$U37)="","–",INDEX(B_Masch,$U37)))</f>
        <v/>
      </c>
      <c r="I37" s="55" t="n"/>
      <c r="J37" s="55">
        <f>IF($U37="","",IF(INDEX(B_Krit,$U37)="","–",INDEX(B_Krit,$U37)))</f>
        <v/>
      </c>
      <c r="K37" s="55">
        <f>IF($U37="","",IF(INDEX(B_Besch,$U37)="","–",INDEX(B_Besch,$U37)))</f>
        <v/>
      </c>
      <c r="L37" s="55">
        <f>IF($U37="","",IF(INDEX(B_Rep,$U37)="","–",INDEX(B_Rep,$U37)))</f>
        <v/>
      </c>
      <c r="M37" s="55">
        <f>IF($U37="","",IF(INDEX(B_Lager,$U37)="","–",INDEX(B_Lager,$U37)))</f>
        <v/>
      </c>
      <c r="N37" s="57">
        <f>IF($U37="","",IF(INDEX(B_Risiko,$U37)="","–",INDEX(B_Risiko,$U37)))</f>
        <v/>
      </c>
      <c r="O37" s="56">
        <f>IF($U37="","",IF(INDEX(B_Massn,$U37)="","–",INDEX(B_Massn,$U37)))</f>
        <v/>
      </c>
      <c r="P37" s="55" t="n"/>
      <c r="Q37" s="55" t="n"/>
      <c r="R37" s="55" t="n"/>
      <c r="S37" s="2" t="n"/>
      <c r="T37" s="47">
        <f>IFERROR(LARGE(B_Key,13),"")</f>
        <v/>
      </c>
      <c r="U37" s="47">
        <f>IF(T37="","",MATCH(T37,B_Key,0))</f>
        <v/>
      </c>
    </row>
    <row r="38" ht="22" customHeight="1">
      <c r="A38" s="2" t="n"/>
      <c r="B38" s="55">
        <f>IF($U38="","",IF(INDEX(B_Nr,$U38)="","–",INDEX(B_Nr,$U38)))</f>
        <v/>
      </c>
      <c r="C38" s="56">
        <f>IF($U38="","",IF(INDEX(B_Teil,$U38)="","–",INDEX(B_Teil,$U38)))</f>
        <v/>
      </c>
      <c r="D38" s="55" t="n"/>
      <c r="E38" s="55" t="n"/>
      <c r="F38" s="55" t="n"/>
      <c r="G38" s="55" t="n"/>
      <c r="H38" s="56">
        <f>IF($U38="","",IF(INDEX(B_Masch,$U38)="","–",INDEX(B_Masch,$U38)))</f>
        <v/>
      </c>
      <c r="I38" s="55" t="n"/>
      <c r="J38" s="55">
        <f>IF($U38="","",IF(INDEX(B_Krit,$U38)="","–",INDEX(B_Krit,$U38)))</f>
        <v/>
      </c>
      <c r="K38" s="55">
        <f>IF($U38="","",IF(INDEX(B_Besch,$U38)="","–",INDEX(B_Besch,$U38)))</f>
        <v/>
      </c>
      <c r="L38" s="55">
        <f>IF($U38="","",IF(INDEX(B_Rep,$U38)="","–",INDEX(B_Rep,$U38)))</f>
        <v/>
      </c>
      <c r="M38" s="55">
        <f>IF($U38="","",IF(INDEX(B_Lager,$U38)="","–",INDEX(B_Lager,$U38)))</f>
        <v/>
      </c>
      <c r="N38" s="57">
        <f>IF($U38="","",IF(INDEX(B_Risiko,$U38)="","–",INDEX(B_Risiko,$U38)))</f>
        <v/>
      </c>
      <c r="O38" s="56">
        <f>IF($U38="","",IF(INDEX(B_Massn,$U38)="","–",INDEX(B_Massn,$U38)))</f>
        <v/>
      </c>
      <c r="P38" s="55" t="n"/>
      <c r="Q38" s="55" t="n"/>
      <c r="R38" s="55" t="n"/>
      <c r="S38" s="2" t="n"/>
      <c r="T38" s="47">
        <f>IFERROR(LARGE(B_Key,14),"")</f>
        <v/>
      </c>
      <c r="U38" s="47">
        <f>IF(T38="","",MATCH(T38,B_Key,0))</f>
        <v/>
      </c>
    </row>
    <row r="39" ht="22" customHeight="1">
      <c r="A39" s="2" t="n"/>
      <c r="B39" s="55">
        <f>IF($U39="","",IF(INDEX(B_Nr,$U39)="","–",INDEX(B_Nr,$U39)))</f>
        <v/>
      </c>
      <c r="C39" s="56">
        <f>IF($U39="","",IF(INDEX(B_Teil,$U39)="","–",INDEX(B_Teil,$U39)))</f>
        <v/>
      </c>
      <c r="D39" s="55" t="n"/>
      <c r="E39" s="55" t="n"/>
      <c r="F39" s="55" t="n"/>
      <c r="G39" s="55" t="n"/>
      <c r="H39" s="56">
        <f>IF($U39="","",IF(INDEX(B_Masch,$U39)="","–",INDEX(B_Masch,$U39)))</f>
        <v/>
      </c>
      <c r="I39" s="55" t="n"/>
      <c r="J39" s="55">
        <f>IF($U39="","",IF(INDEX(B_Krit,$U39)="","–",INDEX(B_Krit,$U39)))</f>
        <v/>
      </c>
      <c r="K39" s="55">
        <f>IF($U39="","",IF(INDEX(B_Besch,$U39)="","–",INDEX(B_Besch,$U39)))</f>
        <v/>
      </c>
      <c r="L39" s="55">
        <f>IF($U39="","",IF(INDEX(B_Rep,$U39)="","–",INDEX(B_Rep,$U39)))</f>
        <v/>
      </c>
      <c r="M39" s="55">
        <f>IF($U39="","",IF(INDEX(B_Lager,$U39)="","–",INDEX(B_Lager,$U39)))</f>
        <v/>
      </c>
      <c r="N39" s="57">
        <f>IF($U39="","",IF(INDEX(B_Risiko,$U39)="","–",INDEX(B_Risiko,$U39)))</f>
        <v/>
      </c>
      <c r="O39" s="56">
        <f>IF($U39="","",IF(INDEX(B_Massn,$U39)="","–",INDEX(B_Massn,$U39)))</f>
        <v/>
      </c>
      <c r="P39" s="55" t="n"/>
      <c r="Q39" s="55" t="n"/>
      <c r="R39" s="55" t="n"/>
      <c r="S39" s="2" t="n"/>
      <c r="T39" s="47">
        <f>IFERROR(LARGE(B_Key,15),"")</f>
        <v/>
      </c>
      <c r="U39" s="47">
        <f>IF(T39="","",MATCH(T39,B_Key,0))</f>
        <v/>
      </c>
    </row>
    <row r="40">
      <c r="A40" s="2" t="n"/>
      <c r="B40" s="38" t="inlineStr">
        <is>
          <t>Sortiert nach Risiko, bei Gleichstand nach Kritikalität. Vollständige Liste: Blatt „Bewertung“ (Filter auf Spalte „Ampel“).</t>
        </is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</sheetData>
  <mergeCells count="117">
    <mergeCell ref="B11:D11"/>
    <mergeCell ref="H35:I35"/>
    <mergeCell ref="B16:F16"/>
    <mergeCell ref="O15:P15"/>
    <mergeCell ref="E8:F8"/>
    <mergeCell ref="B18:F18"/>
    <mergeCell ref="H39:I39"/>
    <mergeCell ref="C29:G29"/>
    <mergeCell ref="O37:R37"/>
    <mergeCell ref="M10:N10"/>
    <mergeCell ref="C31:G31"/>
    <mergeCell ref="G18:H18"/>
    <mergeCell ref="O16:P16"/>
    <mergeCell ref="H37:I37"/>
    <mergeCell ref="K14:R14"/>
    <mergeCell ref="M8:N8"/>
    <mergeCell ref="O32:R32"/>
    <mergeCell ref="O26:R26"/>
    <mergeCell ref="O17:P17"/>
    <mergeCell ref="O35:R35"/>
    <mergeCell ref="Q17:R17"/>
    <mergeCell ref="B15:F15"/>
    <mergeCell ref="O25:R25"/>
    <mergeCell ref="O27:R27"/>
    <mergeCell ref="C34:G34"/>
    <mergeCell ref="B8:D8"/>
    <mergeCell ref="B10:D10"/>
    <mergeCell ref="H25:I25"/>
    <mergeCell ref="H34:I34"/>
    <mergeCell ref="G7:H7"/>
    <mergeCell ref="I7:J7"/>
    <mergeCell ref="B9:D9"/>
    <mergeCell ref="B14:I14"/>
    <mergeCell ref="B3:E3"/>
    <mergeCell ref="H36:I36"/>
    <mergeCell ref="K15:N15"/>
    <mergeCell ref="B17:F17"/>
    <mergeCell ref="B23:R23"/>
    <mergeCell ref="M7:N7"/>
    <mergeCell ref="Q15:R15"/>
    <mergeCell ref="O29:R29"/>
    <mergeCell ref="I8:J8"/>
    <mergeCell ref="H28:I28"/>
    <mergeCell ref="C39:G39"/>
    <mergeCell ref="O31:R31"/>
    <mergeCell ref="G16:H16"/>
    <mergeCell ref="C32:G32"/>
    <mergeCell ref="I10:J10"/>
    <mergeCell ref="C38:G38"/>
    <mergeCell ref="K10:L10"/>
    <mergeCell ref="G9:H9"/>
    <mergeCell ref="F3:H3"/>
    <mergeCell ref="I9:J9"/>
    <mergeCell ref="H38:I38"/>
    <mergeCell ref="K17:N17"/>
    <mergeCell ref="O19:P19"/>
    <mergeCell ref="C24:G24"/>
    <mergeCell ref="G11:H11"/>
    <mergeCell ref="C33:G33"/>
    <mergeCell ref="K9:L9"/>
    <mergeCell ref="I11:J11"/>
    <mergeCell ref="M9:N9"/>
    <mergeCell ref="H31:I31"/>
    <mergeCell ref="K19:N19"/>
    <mergeCell ref="C26:G26"/>
    <mergeCell ref="C35:G35"/>
    <mergeCell ref="K11:L11"/>
    <mergeCell ref="M11:N11"/>
    <mergeCell ref="O20:P20"/>
    <mergeCell ref="Q20:R20"/>
    <mergeCell ref="C25:G25"/>
    <mergeCell ref="O34:R34"/>
    <mergeCell ref="O28:R28"/>
    <mergeCell ref="O39:R39"/>
    <mergeCell ref="K8:L8"/>
    <mergeCell ref="O36:R36"/>
    <mergeCell ref="G15:H15"/>
    <mergeCell ref="O30:R30"/>
    <mergeCell ref="K7:L7"/>
    <mergeCell ref="E7:F7"/>
    <mergeCell ref="C28:G28"/>
    <mergeCell ref="C37:G37"/>
    <mergeCell ref="H30:I30"/>
    <mergeCell ref="Q16:R16"/>
    <mergeCell ref="C30:G30"/>
    <mergeCell ref="H29:I29"/>
    <mergeCell ref="O18:P18"/>
    <mergeCell ref="Q18:R18"/>
    <mergeCell ref="B19:I20"/>
    <mergeCell ref="B1:M1"/>
    <mergeCell ref="G8:H8"/>
    <mergeCell ref="O38:R38"/>
    <mergeCell ref="G17:H17"/>
    <mergeCell ref="K18:N18"/>
    <mergeCell ref="B4:E4"/>
    <mergeCell ref="E10:F10"/>
    <mergeCell ref="G10:H10"/>
    <mergeCell ref="B2:R2"/>
    <mergeCell ref="K16:N16"/>
    <mergeCell ref="Q19:R19"/>
    <mergeCell ref="E9:F9"/>
    <mergeCell ref="O24:R24"/>
    <mergeCell ref="O33:R33"/>
    <mergeCell ref="I3:J3"/>
    <mergeCell ref="H32:I32"/>
    <mergeCell ref="E11:F11"/>
    <mergeCell ref="K20:N20"/>
    <mergeCell ref="C27:G27"/>
    <mergeCell ref="F4:H4"/>
    <mergeCell ref="C36:G36"/>
    <mergeCell ref="B7:D7"/>
    <mergeCell ref="H27:I27"/>
    <mergeCell ref="I4:J4"/>
    <mergeCell ref="H24:I24"/>
    <mergeCell ref="B6:R6"/>
    <mergeCell ref="H33:I33"/>
    <mergeCell ref="H26:I26"/>
  </mergeCells>
  <conditionalFormatting sqref="B8:D8">
    <cfRule type="expression" priority="1" dxfId="3">
      <formula>TRUE</formula>
    </cfRule>
  </conditionalFormatting>
  <conditionalFormatting sqref="B9:D9">
    <cfRule type="expression" priority="2" dxfId="12">
      <formula>TRUE</formula>
    </cfRule>
  </conditionalFormatting>
  <conditionalFormatting sqref="B10:D10">
    <cfRule type="expression" priority="3" dxfId="11">
      <formula>TRUE</formula>
    </cfRule>
  </conditionalFormatting>
  <conditionalFormatting sqref="E8:E11">
    <cfRule type="cellIs" priority="4" operator="greaterThan" dxfId="11">
      <formula>0</formula>
    </cfRule>
  </conditionalFormatting>
  <conditionalFormatting sqref="G8:G11">
    <cfRule type="cellIs" priority="5" operator="greaterThan" dxfId="12">
      <formula>0</formula>
    </cfRule>
  </conditionalFormatting>
  <conditionalFormatting sqref="I8:I11">
    <cfRule type="cellIs" priority="6" operator="greaterThan" dxfId="3">
      <formula>0</formula>
    </cfRule>
  </conditionalFormatting>
  <conditionalFormatting sqref="K17:R17">
    <cfRule type="expression" priority="7" dxfId="9">
      <formula>$O$17&gt;0</formula>
    </cfRule>
  </conditionalFormatting>
  <conditionalFormatting sqref="K19:R19">
    <cfRule type="expression" priority="8" dxfId="8">
      <formula>$O$19&gt;0</formula>
    </cfRule>
  </conditionalFormatting>
  <conditionalFormatting sqref="J25:J39">
    <cfRule type="expression" priority="9" dxfId="0">
      <formula>J25="A"</formula>
    </cfRule>
    <cfRule type="expression" priority="10" dxfId="1">
      <formula>J25="B"</formula>
    </cfRule>
    <cfRule type="expression" priority="11" dxfId="2">
      <formula>J25="C"</formula>
    </cfRule>
  </conditionalFormatting>
  <conditionalFormatting sqref="K25:K39">
    <cfRule type="expression" priority="12" dxfId="8">
      <formula>OR(K25="nein",K25="no")</formula>
    </cfRule>
  </conditionalFormatting>
  <conditionalFormatting sqref="L25:L39">
    <cfRule type="expression" priority="13" dxfId="8">
      <formula>OR(L25="nein",L25="no")</formula>
    </cfRule>
  </conditionalFormatting>
  <conditionalFormatting sqref="M25:M39">
    <cfRule type="expression" priority="14" dxfId="8">
      <formula>OR(M25="nein",M25="no")</formula>
    </cfRule>
  </conditionalFormatting>
  <conditionalFormatting sqref="N25:N39">
    <cfRule type="expression" priority="15" dxfId="0">
      <formula>AND(N25&lt;&gt;"",N25&lt;&gt;"–",N25&gt;Gelb_bis)</formula>
    </cfRule>
    <cfRule type="expression" priority="16" dxfId="12">
      <formula>AND(N25&lt;&gt;"",N25&lt;&gt;"–",N25&gt;Gruen_bis,N25&lt;=Gelb_bis)</formula>
    </cfRule>
    <cfRule type="expression" priority="17" dxfId="11">
      <formula>AND(N25&lt;&gt;"",N25&lt;&gt;"–",N25&lt;=Gruen_bis)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&amp;L&amp;8 Bewertung Ersatzteilkritikalität – Übersicht&amp;R&amp;8 Seite / Page 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A94A6"/>
    <outlinePr summaryBelow="1" summaryRight="1"/>
    <pageSetUpPr fitToPage="1"/>
  </sheetPr>
  <dimension ref="A1:E3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58" customWidth="1" min="4" max="4"/>
    <col width="50" customWidth="1" min="5" max="5"/>
    <col width="4" customWidth="1" min="6" max="6"/>
  </cols>
  <sheetData>
    <row r="1" ht="25.5" customHeight="1">
      <c r="A1" s="1" t="inlineStr">
        <is>
          <t>Einstellungen / Settings</t>
        </is>
      </c>
      <c r="B1" s="2" t="n"/>
      <c r="C1" s="2" t="n"/>
      <c r="D1" s="2" t="n"/>
      <c r="E1" s="2" t="n"/>
    </row>
    <row r="2">
      <c r="A2" s="37" t="inlineStr">
        <is>
          <t>Einmal je Werk prüfen. Blaue Werte sind änderbar – das Blatt „Bewertung“ rechnet automatisch mit. / Check once per plant.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2" t="inlineStr">
        <is>
          <t>1  Kritikalität / Criticality – Was passiert, wenn das Teil ausfällt?</t>
        </is>
      </c>
      <c r="B4" s="43" t="n"/>
      <c r="C4" s="43" t="n"/>
      <c r="D4" s="43" t="n"/>
      <c r="E4" s="43" t="n"/>
    </row>
    <row r="5">
      <c r="A5" s="20" t="inlineStr">
        <is>
          <t>Klasse / Class</t>
        </is>
      </c>
      <c r="B5" s="20" t="inlineStr">
        <is>
          <t>Faktor</t>
        </is>
      </c>
      <c r="C5" s="20" t="inlineStr">
        <is>
          <t>Ausfallkosten je Tag</t>
        </is>
      </c>
      <c r="D5" s="20" t="inlineStr">
        <is>
          <t>Bedeutung (DE)</t>
        </is>
      </c>
      <c r="E5" s="20" t="inlineStr">
        <is>
          <t>Meaning (EN)</t>
        </is>
      </c>
    </row>
    <row r="6" ht="28" customHeight="1">
      <c r="A6" s="58" t="inlineStr">
        <is>
          <t>A</t>
        </is>
      </c>
      <c r="B6" s="59" t="n">
        <v>3</v>
      </c>
      <c r="C6" s="60" t="n">
        <v>10000</v>
      </c>
      <c r="D6" s="61" t="inlineStr">
        <is>
          <t>Linie / Engpass steht, kein Ausweichen – Lieferung an den Kunden gefährdet.</t>
        </is>
      </c>
      <c r="E6" s="62" t="inlineStr">
        <is>
          <t>Line / bottleneck stops, no alternative – customer supply at risk.</t>
        </is>
      </c>
    </row>
    <row r="7" ht="28" customHeight="1">
      <c r="A7" s="58" t="inlineStr">
        <is>
          <t>B</t>
        </is>
      </c>
      <c r="B7" s="59" t="n">
        <v>2</v>
      </c>
      <c r="C7" s="60" t="n">
        <v>2000</v>
      </c>
      <c r="D7" s="61" t="inlineStr">
        <is>
          <t>Maschine steht, Produktion kann ausweichen oder Puffer reicht einige Tage.</t>
        </is>
      </c>
      <c r="E7" s="62" t="inlineStr">
        <is>
          <t>Machine stops, production can be shifted or buffer lasts a few days.</t>
        </is>
      </c>
    </row>
    <row r="8" ht="28" customHeight="1">
      <c r="A8" s="58" t="inlineStr">
        <is>
          <t>C</t>
        </is>
      </c>
      <c r="B8" s="59" t="n">
        <v>1</v>
      </c>
      <c r="C8" s="60" t="n">
        <v>0</v>
      </c>
      <c r="D8" s="61" t="inlineStr">
        <is>
          <t>Kein Stillstand: Redundanz, Ausweichanlage oder Teil nicht produktionsrelevant.</t>
        </is>
      </c>
      <c r="E8" s="62" t="inlineStr">
        <is>
          <t>No downtime: redundancy, alternative machine or not production-relevant.</t>
        </is>
      </c>
    </row>
    <row r="9">
      <c r="A9" s="38" t="inlineStr">
        <is>
          <t>Faktor: geht in das Risiko ein (Risiko = Faktor × Anzahl „nein“). Ausfallkosten je Tag: Annahme (Vorschlag) – mit dem Controlling des Werks abstimmen.</t>
        </is>
      </c>
      <c r="B9" s="2" t="n"/>
      <c r="C9" s="2" t="n"/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42" t="inlineStr">
        <is>
          <t>2  Die drei Fragen / The three questions</t>
        </is>
      </c>
      <c r="B11" s="43" t="n"/>
      <c r="C11" s="43" t="n"/>
      <c r="D11" s="43" t="n"/>
      <c r="E11" s="43" t="n"/>
    </row>
    <row r="12">
      <c r="A12" s="20" t="inlineStr">
        <is>
          <t>Frage / Question</t>
        </is>
      </c>
      <c r="B12" s="63" t="n"/>
      <c r="C12" s="64" t="n"/>
      <c r="D12" s="20" t="inlineStr">
        <is>
          <t>Mit „ja“ beantworten, wenn … (DE)</t>
        </is>
      </c>
      <c r="E12" s="20" t="inlineStr">
        <is>
          <t>Answer “yes” if … (EN)</t>
        </is>
      </c>
    </row>
    <row r="13" ht="28" customHeight="1">
      <c r="A13" s="65" t="inlineStr">
        <is>
          <t>Beschaffbar? / Available?</t>
        </is>
      </c>
      <c r="B13" s="65" t="n"/>
      <c r="C13" s="65" t="n"/>
      <c r="D13" s="61" t="inlineStr">
        <is>
          <t>das Neuteil beim Hersteller oder Händler in normaler Lieferzeit bestellbar ist (nicht abgekündigt, nicht nur Gebrauchtmarkt).</t>
        </is>
      </c>
      <c r="E13" s="62" t="inlineStr">
        <is>
          <t>a new part can be ordered from manufacturer or dealer within normal lead time (not discontinued, not used market only).</t>
        </is>
      </c>
    </row>
    <row r="14" ht="28" customHeight="1">
      <c r="A14" s="65" t="inlineStr">
        <is>
          <t>Reparierbar? / Repairable?</t>
        </is>
      </c>
      <c r="B14" s="65" t="n"/>
      <c r="C14" s="65" t="n"/>
      <c r="D14" s="61" t="inlineStr">
        <is>
          <t>das defekte Teil intern oder von einem Dienstleister repariert werden kann.</t>
        </is>
      </c>
      <c r="E14" s="62" t="inlineStr">
        <is>
          <t>the failed part can be repaired in-house or by a service provider.</t>
        </is>
      </c>
    </row>
    <row r="15" ht="28" customHeight="1">
      <c r="A15" s="65" t="inlineStr">
        <is>
          <t>Lager vor Ort? / In stock on site?</t>
        </is>
      </c>
      <c r="B15" s="65" t="n"/>
      <c r="C15" s="65" t="n"/>
      <c r="D15" s="61" t="inlineStr">
        <is>
          <t>mindestens ein einsatzfähiges Teil im eigenen Werk liegt.</t>
        </is>
      </c>
      <c r="E15" s="62" t="inlineStr">
        <is>
          <t>at least one ready-to-use part is stored at the own plant.</t>
        </is>
      </c>
    </row>
    <row r="16">
      <c r="A16" s="38" t="inlineStr">
        <is>
          <t>Jedes „nein“ zählt 1. Risiko = Faktor der Kritikalität × Anzahl „nein“ (0 bis 9). Eingabe „ja“/„nein“ oder „yes“/„no“.</t>
        </is>
      </c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42" t="inlineStr">
        <is>
          <t>3  Ampel / Traffic light</t>
        </is>
      </c>
      <c r="B18" s="43" t="n"/>
      <c r="C18" s="43" t="n"/>
      <c r="D18" s="43" t="n"/>
      <c r="E18" s="43" t="n"/>
    </row>
    <row r="19">
      <c r="A19" s="20" t="inlineStr">
        <is>
          <t>Ampel</t>
        </is>
      </c>
      <c r="B19" s="20" t="inlineStr">
        <is>
          <t>Risiko bis</t>
        </is>
      </c>
      <c r="C19" s="20" t="inlineStr"/>
      <c r="D19" s="20" t="inlineStr">
        <is>
          <t>Bedeutung</t>
        </is>
      </c>
      <c r="E19" s="2" t="n"/>
    </row>
    <row r="20" ht="20" customHeight="1">
      <c r="A20" s="66" t="inlineStr">
        <is>
          <t>grün</t>
        </is>
      </c>
      <c r="B20" s="59" t="n">
        <v>3</v>
      </c>
      <c r="C20" s="2" t="n"/>
      <c r="D20" s="67" t="inlineStr">
        <is>
          <t>Ausfall beherrschbar – keine aktive Maßnahme, jährlich prüfen.</t>
        </is>
      </c>
      <c r="E20" s="2" t="n"/>
    </row>
    <row r="21" ht="20" customHeight="1">
      <c r="A21" s="68" t="inlineStr">
        <is>
          <t>gelb</t>
        </is>
      </c>
      <c r="B21" s="59" t="n">
        <v>5</v>
      </c>
      <c r="C21" s="2" t="n"/>
      <c r="D21" s="67" t="inlineStr">
        <is>
          <t>Absicherung prüfen – Maßnahme planen.</t>
        </is>
      </c>
      <c r="E21" s="2" t="n"/>
    </row>
    <row r="22" ht="20" customHeight="1">
      <c r="A22" s="69" t="inlineStr">
        <is>
          <t>rot</t>
        </is>
      </c>
      <c r="B22" s="52" t="n">
        <v>9</v>
      </c>
      <c r="C22" s="2" t="n"/>
      <c r="D22" s="67" t="inlineStr">
        <is>
          <t>Hohes Risiko – Maßnahme mit Verantwortlichem und Termin.</t>
        </is>
      </c>
      <c r="E22" s="2" t="n"/>
    </row>
    <row r="23">
      <c r="A23" s="38" t="inlineStr">
        <is>
          <t>Mögliche Risikowerte: 0, 1, 2, 3, 4, 6, 9. Standard wie bisher: grün 0–3, gelb 4–5, rot 6–9.</t>
        </is>
      </c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42" t="inlineStr">
        <is>
          <t>4  Wirtschaftlichkeit / Economics</t>
        </is>
      </c>
      <c r="B25" s="43" t="n"/>
      <c r="C25" s="43" t="n"/>
      <c r="D25" s="43" t="n"/>
      <c r="E25" s="43" t="n"/>
    </row>
    <row r="26" ht="26" customHeight="1">
      <c r="A26" s="70" t="inlineStr">
        <is>
          <t>Ausfallzeit ohne Teil – beschaffbar (Tage)</t>
        </is>
      </c>
      <c r="B26" s="2" t="n"/>
      <c r="C26" s="71" t="n">
        <v>10</v>
      </c>
      <c r="D26" s="72" t="inlineStr">
        <is>
          <t>Annahme (Vorschlag): Tage bis zum Ersatz, wenn das Teil nicht am Lager, aber bestellbar ist. Wird verwendet, wenn in der Bewertung nichts eingetragen ist.</t>
        </is>
      </c>
      <c r="E26" s="2" t="n"/>
    </row>
    <row r="27" ht="26" customHeight="1">
      <c r="A27" s="70" t="inlineStr">
        <is>
          <t>Ausfallzeit ohne Teil – nicht beschaffbar (Tage)</t>
        </is>
      </c>
      <c r="B27" s="2" t="n"/>
      <c r="C27" s="71" t="n">
        <v>30</v>
      </c>
      <c r="D27" s="72" t="inlineStr">
        <is>
          <t>Annahme (Vorschlag): Tage bis zur Ersatzlösung (Reparatur, Gebrauchtteil, Umbau), wenn das Teil nicht bestellbar ist.</t>
        </is>
      </c>
      <c r="E27" s="2" t="n"/>
    </row>
    <row r="28" ht="26" customHeight="1">
      <c r="A28" s="70" t="inlineStr">
        <is>
          <t>Bevorratung lohnt ab Faktor</t>
        </is>
      </c>
      <c r="B28" s="2" t="n"/>
      <c r="C28" s="73" t="n">
        <v>1</v>
      </c>
      <c r="D28" s="72" t="inlineStr">
        <is>
          <t>Bevorratung lohnt, wenn Ausfallkosten ≥ Faktor × Stückpreis.</t>
        </is>
      </c>
      <c r="E28" s="2" t="n"/>
    </row>
    <row r="29" ht="26" customHeight="1">
      <c r="A29" s="70" t="inlineStr">
        <is>
          <t>Währung / Currency</t>
        </is>
      </c>
      <c r="B29" s="2" t="n"/>
      <c r="C29" s="59" t="inlineStr">
        <is>
          <t>EUR</t>
        </is>
      </c>
      <c r="D29" s="72" t="inlineStr">
        <is>
          <t>Nur Anzeige.</t>
        </is>
      </c>
      <c r="E29" s="2" t="n"/>
    </row>
    <row r="30">
      <c r="A30" s="2" t="n"/>
      <c r="B30" s="2" t="n"/>
      <c r="C30" s="2" t="n"/>
      <c r="D30" s="2" t="n"/>
      <c r="E30" s="2" t="n"/>
    </row>
    <row r="31">
      <c r="A31" s="42" t="inlineStr">
        <is>
          <t>5  Status-Liste / Status list</t>
        </is>
      </c>
      <c r="B31" s="43" t="n"/>
      <c r="C31" s="43" t="n"/>
      <c r="D31" s="43" t="n"/>
      <c r="E31" s="43" t="n"/>
    </row>
    <row r="32">
      <c r="A32" s="74" t="inlineStr">
        <is>
          <t>offen / open</t>
        </is>
      </c>
      <c r="B32" s="2" t="n"/>
      <c r="C32" s="2" t="n"/>
      <c r="D32" s="2" t="n"/>
      <c r="E32" s="2" t="n"/>
    </row>
    <row r="33">
      <c r="A33" s="74" t="inlineStr">
        <is>
          <t>in Arbeit / in progress</t>
        </is>
      </c>
      <c r="B33" s="2" t="n"/>
      <c r="C33" s="2" t="n"/>
      <c r="D33" s="2" t="n"/>
      <c r="E33" s="2" t="n"/>
    </row>
    <row r="34">
      <c r="A34" s="74" t="inlineStr">
        <is>
          <t>erledigt / done</t>
        </is>
      </c>
      <c r="B34" s="2" t="n"/>
      <c r="C34" s="2" t="n"/>
      <c r="D34" s="2" t="n"/>
      <c r="E34" s="2" t="n"/>
    </row>
  </sheetData>
  <mergeCells count="17">
    <mergeCell ref="A26:B26"/>
    <mergeCell ref="A13:C13"/>
    <mergeCell ref="A4:E4"/>
    <mergeCell ref="A29:B29"/>
    <mergeCell ref="A14:C14"/>
    <mergeCell ref="A25:E25"/>
    <mergeCell ref="D27:E27"/>
    <mergeCell ref="A28:B28"/>
    <mergeCell ref="A11:E11"/>
    <mergeCell ref="D29:E29"/>
    <mergeCell ref="D28:E28"/>
    <mergeCell ref="A31:E31"/>
    <mergeCell ref="A12:C12"/>
    <mergeCell ref="A27:B27"/>
    <mergeCell ref="D26:E26"/>
    <mergeCell ref="A18:E18"/>
    <mergeCell ref="A15:C15"/>
  </mergeCells>
  <conditionalFormatting sqref="A6:A8">
    <cfRule type="expression" priority="1" dxfId="0">
      <formula>A6="A"</formula>
    </cfRule>
    <cfRule type="expression" priority="2" dxfId="1">
      <formula>A6="B"</formula>
    </cfRule>
    <cfRule type="expression" priority="3" dxfId="2">
      <formula>A6="C"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&amp;L&amp;8 Bewertung Ersatzteilkritikalität – Einstellungen&amp;R&amp;8 Seite / 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8A94A6"/>
    <outlinePr summaryBelow="1" summaryRight="1"/>
    <pageSetUpPr fitToPage="1"/>
  </sheetPr>
  <dimension ref="A1:B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8" customWidth="1" min="2" max="2"/>
  </cols>
  <sheetData>
    <row r="1" ht="25.5" customHeight="1">
      <c r="A1" s="1" t="inlineStr">
        <is>
          <t>Anleitung / Instructions</t>
        </is>
      </c>
      <c r="B1" s="2" t="n"/>
    </row>
    <row r="2">
      <c r="A2" s="37" t="inlineStr">
        <is>
          <t>Ersatzteilkritikalität in 1 Minute je Teil – 4 Eingaben, alles andere rechnet automatisch. Ohne Makros.</t>
        </is>
      </c>
      <c r="B2" s="2" t="n"/>
    </row>
    <row r="3">
      <c r="A3" s="2" t="n"/>
      <c r="B3" s="2" t="n"/>
    </row>
    <row r="4" ht="18" customHeight="1">
      <c r="A4" s="75" t="inlineStr">
        <is>
          <t>So geht's</t>
        </is>
      </c>
      <c r="B4" s="2" t="n"/>
    </row>
    <row r="5" ht="14" customHeight="1">
      <c r="A5" s="76" t="inlineStr">
        <is>
          <t>1. Ersatzteil ★</t>
        </is>
      </c>
      <c r="B5" s="77" t="inlineStr">
        <is>
          <t>Bezeichnung eintragen (Material-Nr., Maschine und Foto sind optional).</t>
        </is>
      </c>
    </row>
    <row r="6" ht="14" customHeight="1">
      <c r="A6" s="76" t="inlineStr">
        <is>
          <t>2. Kritikalität ★</t>
        </is>
      </c>
      <c r="B6" s="77" t="inlineStr">
        <is>
          <t>A = Linie / Engpass steht, Kunde gefährdet · B = Maschine steht, Ausweichen möglich · C = kein Stillstand (Redundanz).</t>
        </is>
      </c>
    </row>
    <row r="7" ht="28" customHeight="1">
      <c r="A7" s="76" t="inlineStr">
        <is>
          <t>3. Drei Fragen ★</t>
        </is>
      </c>
      <c r="B7" s="77" t="inlineStr">
        <is>
          <t>Beschaffbar? (Neuteil in normaler Lieferzeit bestellbar) · Reparierbar? (intern oder extern) · Lager vor Ort? (mind. 1 Stück im Werk). Jeweils ja / nein (yes / no).</t>
        </is>
      </c>
    </row>
    <row r="8" ht="28" customHeight="1">
      <c r="A8" s="76" t="inlineStr">
        <is>
          <t>4. Ergebnis</t>
        </is>
      </c>
      <c r="B8" s="77" t="inlineStr">
        <is>
          <t>Anzahl „nein“, Risiko 0–9, Ampel und empfohlene Maßnahme erscheinen sofort. Fehlt ein ★-Feld in einer begonnenen Zeile, wird es rot.</t>
        </is>
      </c>
    </row>
    <row r="9" ht="28" customHeight="1">
      <c r="A9" s="76" t="inlineStr">
        <is>
          <t>5. Optional</t>
        </is>
      </c>
      <c r="B9" s="77" t="inlineStr">
        <is>
          <t>Stückpreis → Wirtschaftlichkeit („Bevorratung lohnt?“). Ausfallzeit ohne Teil nur eintragen, wenn sie bekannt ist – sonst gilt der Standard aus „Einstellungen“. Verantwortlich, Termin, Status für Maßnahmen.</t>
        </is>
      </c>
    </row>
    <row r="10" ht="28" customHeight="1">
      <c r="A10" s="76" t="inlineStr">
        <is>
          <t>6. Foto</t>
        </is>
      </c>
      <c r="B10" s="77" t="inlineStr">
        <is>
          <t>Excel 365: Zelle in Spalte „Foto“ wählen › Einfügen › Bilder › In Zelle platzieren. Das Bild bleibt beim Sortieren und Filtern in der Zeile.</t>
        </is>
      </c>
    </row>
    <row r="11">
      <c r="A11" s="2" t="n"/>
      <c r="B11" s="2" t="n"/>
    </row>
    <row r="12" ht="18" customHeight="1">
      <c r="A12" s="75" t="inlineStr">
        <is>
          <t>Bewertungslogik</t>
        </is>
      </c>
      <c r="B12" s="2" t="n"/>
    </row>
    <row r="13" ht="14" customHeight="1">
      <c r="A13" s="76" t="inlineStr">
        <is>
          <t>Risiko</t>
        </is>
      </c>
      <c r="B13" s="77" t="inlineStr">
        <is>
          <t>Faktor der Kritikalität (A = 3, B = 2, C = 1) × Anzahl „nein“ bei den drei Fragen (0–3) = 0 bis 9.</t>
        </is>
      </c>
    </row>
    <row r="14" ht="28" customHeight="1">
      <c r="A14" s="76" t="inlineStr">
        <is>
          <t>Ampel</t>
        </is>
      </c>
      <c r="B14" s="77" t="inlineStr">
        <is>
          <t>grün 0–3 · gelb 4–5 · rot 6–9 (Grenzen im Blatt „Einstellungen“ änderbar). Beispiele: A-Teil mit 2 × nein = 6 → rot; C-Teil mit 1 × nein = 1 → grün.</t>
        </is>
      </c>
    </row>
    <row r="15" ht="42" customHeight="1">
      <c r="A15" s="76" t="inlineStr">
        <is>
          <t>Maßnahme</t>
        </is>
      </c>
      <c r="B15" s="77" t="inlineStr">
        <is>
          <t>Hängt davon ab, welche Fragen mit „nein“ beantwortet sind: alle drei → sofort sichern und Ersatzlösung planen; nicht beschaffbar + kein Lager → Reparaturweg absichern; nur abgekündigt → Lagerteil schützen; nur kein Lager → Lagerbestand anlegen; nur nicht reparierbar → Reparatur klären. Grün → keine aktive Maßnahme.</t>
        </is>
      </c>
    </row>
    <row r="16" ht="42" customHeight="1">
      <c r="A16" s="76" t="inlineStr">
        <is>
          <t>Wirtschaftlichkeit</t>
        </is>
      </c>
      <c r="B16" s="77" t="inlineStr">
        <is>
          <t>Nur für gelbe und rote Teile ohne Lager (Ausfallkosten werden für alle Teile ohne Lager angezeigt). Ausfallkosten = Ausfallzeit ohne Teil (Tage) × Ausfallkosten je Tag der Kritikalität. Bevorratung lohnt, wenn Ausfallkosten ≥ Stückpreis (Faktor 1). Anzeige z. B. „ja – 40-fach“.</t>
        </is>
      </c>
    </row>
    <row r="17">
      <c r="A17" s="2" t="n"/>
      <c r="B17" s="2" t="n"/>
    </row>
    <row r="18" ht="18" customHeight="1">
      <c r="A18" s="75" t="inlineStr">
        <is>
          <t>Annahmen – bitte je Werk prüfen (Blatt „Einstellungen“)</t>
        </is>
      </c>
      <c r="B18" s="2" t="n"/>
    </row>
    <row r="19" ht="14" customHeight="1">
      <c r="A19" s="76" t="inlineStr">
        <is>
          <t>Ausfallkosten je Tag</t>
        </is>
      </c>
      <c r="B19" s="77" t="inlineStr">
        <is>
          <t>A = 10.000 · B = 2.000 · C = 0.</t>
        </is>
      </c>
    </row>
    <row r="20" ht="14" customHeight="1">
      <c r="A20" s="76" t="inlineStr">
        <is>
          <t>Ausfallzeit ohne Teil</t>
        </is>
      </c>
      <c r="B20" s="77" t="inlineStr">
        <is>
          <t>beschaffbar = 10 Tage · nicht beschaffbar = 30 Tage (wenn in der Bewertung nichts eingetragen ist).</t>
        </is>
      </c>
    </row>
    <row r="21">
      <c r="A21" s="2" t="n"/>
      <c r="B21" s="2" t="n"/>
    </row>
    <row r="22" ht="18" customHeight="1">
      <c r="A22" s="75" t="inlineStr">
        <is>
          <t>Was gegenüber der vorherigen Version entfallen ist</t>
        </is>
      </c>
      <c r="B22" s="2" t="n"/>
    </row>
    <row r="23" ht="42" customHeight="1">
      <c r="A23" s="76" t="inlineStr">
        <is>
          <t>Entfallen</t>
        </is>
      </c>
      <c r="B23" s="77" t="inlineStr">
        <is>
          <t>Getrennte Kriterien Ausfallwirkung / Wiederbeschaffung / Häufigkeit / Sicherheit, 3×3-Matrix, Priorität 1–27, Soll-Bestand und Fehlmenge, Ist-Bestand, Lagerort, Hersteller, Bezugsquelle, Foto-Link, Steckbrief. Grund: Die drei Ja/Nein-Fragen und A/B/C bilden das Risiko direkt ab und sind in Sekunden beantwortet.</t>
        </is>
      </c>
    </row>
  </sheetData>
  <pageMargins left="0.4" right="0.4" top="0.5" bottom="0.5" header="0.5" footer="0.5"/>
  <pageSetup orientation="landscape" paperSize="9" fitToHeight="0" fitToWidth="1"/>
  <headerFooter>
    <oddHeader/>
    <oddFooter>&amp;L&amp;8 Bewertung Ersatzteilkritikalität – Anleitung&amp;R&amp;8 Seite / 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2026-10-09T12:33:46Z</dcterms:created>
  <dcterms:modified xmlns:dcterms="http://purl.org/dc/terms/" xmlns:xsi="http://www.w3.org/2001/XMLSchema-instance" xsi:type="dcterms:W3CDTF">2026-10-09T12:33:47Z</dcterms:modified>
</cp:coreProperties>
</file>