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wertung" sheetId="1" state="visible" r:id="rId1"/>
    <sheet xmlns:r="http://schemas.openxmlformats.org/officeDocument/2006/relationships" name="Übersicht" sheetId="2" state="visible" r:id="rId2"/>
    <sheet xmlns:r="http://schemas.openxmlformats.org/officeDocument/2006/relationships" name="Steckbrief" sheetId="3" state="visible" r:id="rId3"/>
    <sheet xmlns:r="http://schemas.openxmlformats.org/officeDocument/2006/relationships" name="Einstellungen" sheetId="4" state="visible" r:id="rId4"/>
    <sheet xmlns:r="http://schemas.openxmlformats.org/officeDocument/2006/relationships" name="Anleitung" sheetId="5" state="visible" r:id="rId5"/>
  </sheets>
  <definedNames>
    <definedName name="Waehrung">Einstellungen!$C$5</definedName>
    <definedName name="Faktor_wirtschaftlich">Einstellungen!$C$6</definedName>
    <definedName name="Regel_haeufig">Einstellungen!$C$7</definedName>
    <definedName name="Regel_sicherheit">Einstellungen!$C$8</definedName>
    <definedName name="L_Wirkung">Einstellungen!$B$12:$B$14</definedName>
    <definedName name="L_Beschaffung">Einstellungen!$B$15:$B$17</definedName>
    <definedName name="L_Haeufigkeit">Einstellungen!$B$18:$B$20</definedName>
    <definedName name="L_JaNein">Einstellungen!$B$21:$B$22</definedName>
    <definedName name="Matrix">Einstellungen!$B$27:$D$29</definedName>
    <definedName name="Soll_Tabelle">Einstellungen!$B$39:$C$41</definedName>
    <definedName name="Stillstand_h">Einstellungen!$C$46:$C$48</definedName>
    <definedName name="Kostensatz">Einstellungen!$C$51:$C$53</definedName>
    <definedName name="L_Quelle">Einstellungen!$A$57:$A$64</definedName>
    <definedName name="L_Status">Einstellungen!$B$57:$B$59</definedName>
    <definedName name="B_Pos">Bewertung!$A$7:$A$206</definedName>
    <definedName name="B_Mat">Bewertung!$B$7:$B$206</definedName>
    <definedName name="B_Bez">Bewertung!$C$7:$C$206</definedName>
    <definedName name="B_Herst">Bewertung!$D$7:$D$206</definedName>
    <definedName name="B_Masch">Bewertung!$E$7:$E$206</definedName>
    <definedName name="B_Verbaut">Bewertung!$F$7:$F$206</definedName>
    <definedName name="B_Link">Bewertung!$H$7:$H$206</definedName>
    <definedName name="B_Wirkung">Bewertung!$I$7:$I$206</definedName>
    <definedName name="B_Beschaff">Bewertung!$J$7:$J$206</definedName>
    <definedName name="B_Haeuf">Bewertung!$K$7:$K$206</definedName>
    <definedName name="B_Sich">Bewertung!$L$7:$L$206</definedName>
    <definedName name="B_Klasse">Bewertung!$M$7:$M$206</definedName>
    <definedName name="B_Prio">Bewertung!$N$7:$N$206</definedName>
    <definedName name="B_Begr">Bewertung!$O$7:$O$206</definedName>
    <definedName name="B_Ist">Bewertung!$P$7:$P$206</definedName>
    <definedName name="B_Lager">Bewertung!$Q$7:$Q$206</definedName>
    <definedName name="B_Soll">Bewertung!$AL$7:$AL$206</definedName>
    <definedName name="B_Fehl">Bewertung!$T$7:$T$206</definedName>
    <definedName name="B_Preis">Bewertung!$U$7:$U$206</definedName>
    <definedName name="B_Kosten">Bewertung!$V$7:$V$206</definedName>
    <definedName name="B_Ausfall">Bewertung!$W$7:$W$206</definedName>
    <definedName name="B_Wirt">Bewertung!$X$7:$X$206</definedName>
    <definedName name="B_Massn">Bewertung!$Y$7:$Y$206</definedName>
    <definedName name="B_Quelle">Bewertung!$Z$7:$Z$206</definedName>
    <definedName name="B_Verantw">Bewertung!$AA$7:$AA$206</definedName>
    <definedName name="B_Termin">Bewertung!$AB$7:$AB$206</definedName>
    <definedName name="B_Status">Bewertung!$AC$7:$AC$206</definedName>
    <definedName name="B_PW">Bewertung!$AF$7:$AF$206</definedName>
    <definedName name="B_PB">Bewertung!$AG$7:$AG$206</definedName>
    <definedName name="B_PH">Bewertung!$AH$7:$AH$206</definedName>
    <definedName name="B_Key">Bewertung!$AM$7:$AM$206</definedName>
    <definedName name="_xlnm._FilterDatabase" localSheetId="0" hidden="1">'Bewertung'!$A$6:$AD$206</definedName>
    <definedName name="_xlnm.Print_Titles" localSheetId="0">'Bewertung'!$5:$6</definedName>
    <definedName name="_xlnm.Print_Area" localSheetId="0">'Bewertung'!$A$1:$AD$206</definedName>
    <definedName name="_xlnm.Print_Area" localSheetId="1">'Übersicht'!$A$1:$U$47</definedName>
    <definedName name="_xlnm.Print_Area" localSheetId="2">'Steckbrief'!$A$1:$J$48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dd.mm.yyyy"/>
    <numFmt numFmtId="166" formatCode="#,##0;-#,##0;&quot;–&quot;"/>
    <numFmt numFmtId="167" formatCode="0;-0;&quot;·&quot;"/>
  </numFmts>
  <fonts count="32">
    <font>
      <name val="Calibri"/>
      <family val="2"/>
      <color theme="1"/>
      <sz val="11"/>
      <scheme val="minor"/>
    </font>
    <font>
      <name val="Arial"/>
      <b val="1"/>
      <color rgb="00141339"/>
      <sz val="16"/>
    </font>
    <font>
      <name val="Arial"/>
      <color rgb="005B6678"/>
      <sz val="9"/>
    </font>
    <font>
      <name val="Arial"/>
      <b val="1"/>
      <color rgb="00141339"/>
      <sz val="11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sz val="10"/>
    </font>
    <font>
      <name val="Arial"/>
      <sz val="9"/>
    </font>
    <font>
      <name val="Arial"/>
      <color rgb="005B6678"/>
      <sz val="8"/>
    </font>
    <font>
      <name val="Arial"/>
      <b val="1"/>
      <color rgb="005B6678"/>
      <sz val="9"/>
    </font>
    <font>
      <name val="Arial"/>
      <b val="1"/>
      <color rgb="00FFFFFF"/>
      <sz val="10"/>
    </font>
    <font>
      <name val="Arial"/>
      <b val="1"/>
      <color rgb="000000FF"/>
      <sz val="14"/>
    </font>
    <font>
      <name val="Arial"/>
      <b val="1"/>
      <color rgb="00141339"/>
      <sz val="9"/>
    </font>
    <font>
      <name val="Arial"/>
      <b val="1"/>
      <color rgb="008A94A6"/>
      <sz val="8"/>
    </font>
    <font>
      <name val="Arial"/>
      <color rgb="008A94A6"/>
      <sz val="8"/>
    </font>
    <font>
      <name val="Arial"/>
      <b val="1"/>
      <sz val="12"/>
    </font>
    <font>
      <name val="Arial"/>
      <b val="1"/>
      <sz val="9"/>
    </font>
    <font>
      <name val="Arial"/>
      <b val="1"/>
      <color rgb="00141339"/>
      <sz val="18"/>
    </font>
    <font>
      <name val="Arial"/>
      <b val="1"/>
      <color rgb="00141339"/>
      <sz val="10"/>
    </font>
    <font>
      <name val="Arial"/>
      <b val="1"/>
      <color rgb="00141339"/>
      <sz val="20"/>
    </font>
    <font>
      <name val="Arial"/>
      <b val="1"/>
      <color rgb="00C62F2F"/>
      <sz val="20"/>
    </font>
    <font>
      <name val="Arial"/>
      <b val="1"/>
      <color rgb="00F0A812"/>
      <sz val="20"/>
    </font>
    <font>
      <name val="Arial"/>
      <b val="1"/>
      <color rgb="0013A13D"/>
      <sz val="20"/>
    </font>
    <font>
      <name val="Arial"/>
      <b val="1"/>
      <color rgb="005B6678"/>
      <sz val="8"/>
    </font>
    <font>
      <name val="Arial"/>
      <b val="1"/>
      <color rgb="00141339"/>
      <sz val="14"/>
    </font>
    <font>
      <name val="Arial"/>
      <b val="1"/>
      <color rgb="00141339"/>
      <sz val="13"/>
    </font>
    <font>
      <name val="Arial"/>
      <b val="1"/>
      <color rgb="00141339"/>
      <sz val="28"/>
    </font>
    <font>
      <name val="Arial"/>
      <b val="1"/>
      <color rgb="00C62F2F"/>
      <sz val="10"/>
    </font>
    <font>
      <name val="Arial"/>
      <color rgb="008A94A6"/>
      <sz val="9"/>
    </font>
    <font>
      <name val="Arial"/>
      <b val="1"/>
      <color rgb="00141339"/>
      <sz val="12"/>
    </font>
    <font>
      <name val="Arial"/>
      <color theme="1"/>
      <sz val="11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41339"/>
      </patternFill>
    </fill>
    <fill>
      <patternFill patternType="solid">
        <fgColor rgb="008A94A6"/>
      </patternFill>
    </fill>
    <fill>
      <patternFill patternType="solid">
        <fgColor rgb="00F2F3F7"/>
      </patternFill>
    </fill>
    <fill>
      <patternFill patternType="solid">
        <fgColor rgb="0000D9EC"/>
      </patternFill>
    </fill>
    <fill>
      <patternFill patternType="solid">
        <fgColor rgb="00F7A600"/>
      </patternFill>
    </fill>
    <fill>
      <patternFill patternType="solid">
        <fgColor rgb="00FFF1CC"/>
      </patternFill>
    </fill>
    <fill>
      <patternFill patternType="solid">
        <fgColor rgb="00EAFBFD"/>
      </patternFill>
    </fill>
    <fill>
      <patternFill patternType="solid">
        <fgColor rgb="00E5FBFD"/>
      </patternFill>
    </fill>
    <fill>
      <patternFill patternType="solid">
        <fgColor rgb="00FAFBFC"/>
      </patternFill>
    </fill>
  </fills>
  <borders count="18">
    <border>
      <left/>
      <right/>
      <top/>
      <bottom/>
      <diagonal/>
    </border>
    <border>
      <bottom style="medium">
        <color rgb="00141339"/>
      </bottom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left/>
      <right/>
      <top style="thin">
        <color rgb="00D5DCE6"/>
      </top>
      <bottom/>
      <diagonal/>
    </border>
    <border>
      <left/>
      <right style="thin">
        <color rgb="00D5DCE6"/>
      </right>
      <top style="thin">
        <color rgb="00D5DCE6"/>
      </top>
      <bottom/>
      <diagonal/>
    </border>
    <border>
      <left/>
      <right style="thin">
        <color rgb="00D5DCE6"/>
      </right>
      <top style="thin">
        <color rgb="00D5DCE6"/>
      </top>
      <bottom style="thin">
        <color rgb="00D5DCE6"/>
      </bottom>
      <diagonal/>
    </border>
    <border>
      <bottom style="thin">
        <color rgb="00D5DCE6"/>
      </bottom>
    </border>
    <border>
      <left style="thick">
        <color rgb="00FFFFFF"/>
      </left>
      <right style="thick">
        <color rgb="00FFFFFF"/>
      </right>
    </border>
    <border>
      <top style="thin">
        <color rgb="00141339"/>
      </top>
      <bottom style="thin">
        <color rgb="00141339"/>
      </bottom>
    </border>
    <border>
      <left style="thin">
        <color rgb="008A94A6"/>
      </left>
      <top style="thin">
        <color rgb="008A94A6"/>
      </top>
    </border>
    <border>
      <top style="thin">
        <color rgb="008A94A6"/>
      </top>
    </border>
    <border>
      <right style="thin">
        <color rgb="008A94A6"/>
      </right>
      <top style="thin">
        <color rgb="008A94A6"/>
      </top>
    </border>
    <border>
      <left style="thin">
        <color rgb="008A94A6"/>
      </left>
    </border>
    <border/>
    <border>
      <right style="thin">
        <color rgb="008A94A6"/>
      </right>
    </border>
    <border>
      <left style="thin">
        <color rgb="008A94A6"/>
      </left>
      <bottom style="thin">
        <color rgb="008A94A6"/>
      </bottom>
    </border>
    <border>
      <bottom style="thin">
        <color rgb="008A94A6"/>
      </bottom>
    </border>
    <border>
      <right style="thin">
        <color rgb="008A94A6"/>
      </right>
      <bottom style="thin">
        <color rgb="008A94A6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1" fillId="0" borderId="0" pivotButton="0" quotePrefix="0" xfId="0"/>
    <xf numFmtId="0" fontId="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right" vertical="center"/>
    </xf>
    <xf numFmtId="0" fontId="5" fillId="2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left" vertical="center"/>
    </xf>
    <xf numFmtId="0" fontId="13" fillId="7" borderId="2" applyAlignment="1" pivotButton="0" quotePrefix="0" xfId="0">
      <alignment horizontal="center" vertical="center"/>
    </xf>
    <xf numFmtId="0" fontId="31" fillId="7" borderId="2" pivotButton="0" quotePrefix="0" xfId="0"/>
    <xf numFmtId="0" fontId="13" fillId="9" borderId="2" applyAlignment="1" pivotButton="0" quotePrefix="0" xfId="0">
      <alignment horizontal="center" vertical="center"/>
    </xf>
    <xf numFmtId="0" fontId="31" fillId="9" borderId="2" pivotButton="0" quotePrefix="0" xfId="0"/>
    <xf numFmtId="0" fontId="13" fillId="2" borderId="2" applyAlignment="1" pivotButton="0" quotePrefix="0" xfId="0">
      <alignment horizontal="center" vertical="center"/>
    </xf>
    <xf numFmtId="0" fontId="31" fillId="2" borderId="2" pivotButton="0" quotePrefix="0" xfId="0"/>
    <xf numFmtId="0" fontId="13" fillId="5" borderId="2" applyAlignment="1" pivotButton="0" quotePrefix="0" xfId="0">
      <alignment horizontal="center" vertical="center"/>
    </xf>
    <xf numFmtId="0" fontId="31" fillId="5" borderId="2" pivotButton="0" quotePrefix="0" xfId="0"/>
    <xf numFmtId="0" fontId="9" fillId="0" borderId="0" applyAlignment="1" pivotButton="0" quotePrefix="0" xfId="0">
      <alignment vertical="center"/>
    </xf>
    <xf numFmtId="0" fontId="11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vertical="center" wrapText="1"/>
    </xf>
    <xf numFmtId="0" fontId="5" fillId="8" borderId="2" applyAlignment="1" pivotButton="0" quotePrefix="0" xfId="0">
      <alignment vertical="center" wrapText="1"/>
    </xf>
    <xf numFmtId="0" fontId="5" fillId="2" borderId="2" applyAlignment="1" pivotButton="0" quotePrefix="0" xfId="0">
      <alignment vertical="center" wrapText="1"/>
    </xf>
    <xf numFmtId="0" fontId="5" fillId="2" borderId="2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0" fontId="5" fillId="9" borderId="2" applyAlignment="1" pivotButton="0" quotePrefix="0" xfId="0">
      <alignment horizontal="center" vertical="center" wrapText="1"/>
    </xf>
    <xf numFmtId="4" fontId="5" fillId="9" borderId="2" applyAlignment="1" pivotButton="0" quotePrefix="0" xfId="0">
      <alignment vertical="center" wrapText="1"/>
    </xf>
    <xf numFmtId="3" fontId="7" fillId="5" borderId="2" applyAlignment="1" pivotButton="0" quotePrefix="0" xfId="0">
      <alignment vertical="center" wrapText="1"/>
    </xf>
    <xf numFmtId="0" fontId="17" fillId="5" borderId="2" applyAlignment="1" pivotButton="0" quotePrefix="0" xfId="0">
      <alignment vertical="center" wrapText="1"/>
    </xf>
    <xf numFmtId="0" fontId="8" fillId="5" borderId="2" applyAlignment="1" pivotButton="0" quotePrefix="0" xfId="0">
      <alignment vertical="center" wrapText="1"/>
    </xf>
    <xf numFmtId="165" fontId="5" fillId="2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8" fillId="0" borderId="0" applyAlignment="1" pivotButton="0" quotePrefix="0" xfId="0">
      <alignment vertical="center"/>
    </xf>
    <xf numFmtId="0" fontId="2" fillId="0" borderId="0" pivotButton="0" quotePrefix="0" xfId="0"/>
    <xf numFmtId="0" fontId="9" fillId="0" borderId="0" pivotButton="0" quotePrefix="0" xfId="0"/>
    <xf numFmtId="0" fontId="19" fillId="0" borderId="6" pivotButton="0" quotePrefix="0" xfId="0"/>
    <xf numFmtId="0" fontId="31" fillId="0" borderId="6" pivotButton="0" quotePrefix="0" xfId="0"/>
    <xf numFmtId="165" fontId="19" fillId="0" borderId="6" pivotButton="0" quotePrefix="0" xfId="0"/>
    <xf numFmtId="0" fontId="3" fillId="0" borderId="1" applyAlignment="1" pivotButton="0" quotePrefix="0" xfId="0">
      <alignment vertical="center"/>
    </xf>
    <xf numFmtId="0" fontId="31" fillId="0" borderId="1" pivotButton="0" quotePrefix="0" xfId="0"/>
    <xf numFmtId="0" fontId="9" fillId="10" borderId="7" applyAlignment="1" pivotButton="0" quotePrefix="0" xfId="0">
      <alignment horizontal="center" vertical="center"/>
    </xf>
    <xf numFmtId="0" fontId="31" fillId="10" borderId="7" pivotButton="0" quotePrefix="0" xfId="0"/>
    <xf numFmtId="1" fontId="20" fillId="10" borderId="7" applyAlignment="1" pivotButton="0" quotePrefix="0" xfId="0">
      <alignment horizontal="center" vertical="center"/>
    </xf>
    <xf numFmtId="1" fontId="21" fillId="10" borderId="7" applyAlignment="1" pivotButton="0" quotePrefix="0" xfId="0">
      <alignment horizontal="center" vertical="center"/>
    </xf>
    <xf numFmtId="1" fontId="22" fillId="10" borderId="7" applyAlignment="1" pivotButton="0" quotePrefix="0" xfId="0">
      <alignment horizontal="center" vertical="center"/>
    </xf>
    <xf numFmtId="1" fontId="23" fillId="10" borderId="7" applyAlignment="1" pivotButton="0" quotePrefix="0" xfId="0">
      <alignment horizontal="center" vertical="center"/>
    </xf>
    <xf numFmtId="3" fontId="20" fillId="10" borderId="7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center" vertical="center"/>
    </xf>
    <xf numFmtId="166" fontId="7" fillId="0" borderId="2" applyAlignment="1" pivotButton="0" quotePrefix="0" xfId="0">
      <alignment horizontal="center" vertical="center"/>
    </xf>
    <xf numFmtId="0" fontId="15" fillId="0" borderId="0" pivotButton="0" quotePrefix="0" xfId="0"/>
    <xf numFmtId="0" fontId="4" fillId="5" borderId="8" applyAlignment="1" pivotButton="0" quotePrefix="0" xfId="0">
      <alignment horizontal="left" vertical="center"/>
    </xf>
    <xf numFmtId="0" fontId="4" fillId="5" borderId="8" applyAlignment="1" pivotButton="0" quotePrefix="0" xfId="0">
      <alignment horizontal="center" vertical="center"/>
    </xf>
    <xf numFmtId="166" fontId="4" fillId="5" borderId="8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0" borderId="0" pivotButton="0" quotePrefix="0" xfId="0"/>
    <xf numFmtId="0" fontId="7" fillId="0" borderId="2" applyAlignment="1" pivotButton="0" quotePrefix="0" xfId="0">
      <alignment horizontal="left" vertical="center"/>
    </xf>
    <xf numFmtId="9" fontId="7" fillId="0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left" vertical="center"/>
    </xf>
    <xf numFmtId="167" fontId="25" fillId="0" borderId="2" applyAlignment="1" pivotButton="0" quotePrefix="0" xfId="0">
      <alignment horizontal="center" vertical="center"/>
    </xf>
    <xf numFmtId="0" fontId="31" fillId="0" borderId="2" pivotButton="0" quotePrefix="0" xfId="0"/>
    <xf numFmtId="0" fontId="10" fillId="0" borderId="0" pivotButton="0" quotePrefix="0" xfId="0"/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166" fontId="8" fillId="0" borderId="2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2" borderId="2" applyAlignment="1" pivotButton="0" quotePrefix="0" xfId="0">
      <alignment horizontal="center" vertical="center"/>
    </xf>
    <xf numFmtId="0" fontId="31" fillId="0" borderId="5" pivotButton="0" quotePrefix="0" xfId="0"/>
    <xf numFmtId="0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17" fillId="5" borderId="2" applyAlignment="1" pivotButton="0" quotePrefix="0" xfId="0">
      <alignment vertical="center"/>
    </xf>
    <xf numFmtId="0" fontId="7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horizontal="left" vertical="center" wrapText="1"/>
    </xf>
    <xf numFmtId="0" fontId="6" fillId="3" borderId="0" applyAlignment="1" pivotButton="0" quotePrefix="0" xfId="0">
      <alignment vertical="center"/>
    </xf>
    <xf numFmtId="0" fontId="31" fillId="3" borderId="0" pivotButton="0" quotePrefix="0" xfId="0"/>
    <xf numFmtId="0" fontId="29" fillId="11" borderId="9" applyAlignment="1" pivotButton="0" quotePrefix="0" xfId="0">
      <alignment horizontal="center" vertical="center" wrapText="1"/>
    </xf>
    <xf numFmtId="0" fontId="31" fillId="11" borderId="10" pivotButton="0" quotePrefix="0" xfId="0"/>
    <xf numFmtId="0" fontId="31" fillId="11" borderId="11" pivotButton="0" quotePrefix="0" xfId="0"/>
    <xf numFmtId="0" fontId="31" fillId="11" borderId="12" pivotButton="0" quotePrefix="0" xfId="0"/>
    <xf numFmtId="0" fontId="31" fillId="11" borderId="13" pivotButton="0" quotePrefix="0" xfId="0"/>
    <xf numFmtId="0" fontId="31" fillId="11" borderId="14" pivotButton="0" quotePrefix="0" xfId="0"/>
    <xf numFmtId="0" fontId="31" fillId="11" borderId="15" pivotButton="0" quotePrefix="0" xfId="0"/>
    <xf numFmtId="0" fontId="31" fillId="11" borderId="16" pivotButton="0" quotePrefix="0" xfId="0"/>
    <xf numFmtId="0" fontId="31" fillId="11" borderId="17" pivotButton="0" quotePrefix="0" xfId="0"/>
    <xf numFmtId="165" fontId="9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0" fontId="5" fillId="2" borderId="2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164" fontId="5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5" fillId="2" borderId="2" applyAlignment="1" pivotButton="0" quotePrefix="0" xfId="0">
      <alignment vertical="center"/>
    </xf>
    <xf numFmtId="0" fontId="11" fillId="3" borderId="2" applyAlignment="1" pivotButton="0" quotePrefix="0" xfId="0">
      <alignment vertical="center"/>
    </xf>
    <xf numFmtId="0" fontId="12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/>
    </xf>
    <xf numFmtId="3" fontId="5" fillId="2" borderId="2" applyAlignment="1" pivotButton="0" quotePrefix="0" xfId="0">
      <alignment horizontal="center" vertical="center"/>
    </xf>
    <xf numFmtId="0" fontId="30" fillId="0" borderId="0" pivotButton="0" quotePrefix="0" xfId="0"/>
    <xf numFmtId="0" fontId="4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11">
    <dxf>
      <fill>
        <patternFill patternType="solid">
          <bgColor rgb="00FBDADA"/>
        </patternFill>
      </fill>
    </dxf>
    <dxf>
      <font>
        <b val="1"/>
        <color rgb="00FFFFFF"/>
      </font>
      <fill>
        <patternFill patternType="solid">
          <bgColor rgb="00C62F2F"/>
        </patternFill>
      </fill>
    </dxf>
    <dxf>
      <font>
        <b val="1"/>
        <color rgb="00141339"/>
      </font>
      <fill>
        <patternFill patternType="solid">
          <bgColor rgb="00F0A812"/>
        </patternFill>
      </fill>
    </dxf>
    <dxf>
      <font>
        <b val="1"/>
        <color rgb="00FFFFFF"/>
      </font>
      <fill>
        <patternFill patternType="solid">
          <bgColor rgb="0013A13D"/>
        </patternFill>
      </fill>
    </dxf>
    <dxf>
      <font>
        <b val="1"/>
        <color rgb="00C62F2F"/>
      </font>
      <fill>
        <patternFill patternType="solid">
          <bgColor rgb="00FBDADA"/>
        </patternFill>
      </fill>
    </dxf>
    <dxf>
      <font>
        <b val="1"/>
        <color rgb="0013A13D"/>
      </font>
    </dxf>
    <dxf>
      <font>
        <b val="1"/>
        <color rgb="00F0A812"/>
      </font>
    </dxf>
    <dxf>
      <font>
        <b val="1"/>
        <color rgb="00C62F2F"/>
      </font>
    </dxf>
    <dxf>
      <fill>
        <patternFill patternType="solid">
          <bgColor rgb="00D3F0DB"/>
        </patternFill>
      </fill>
    </dxf>
    <dxf>
      <fill>
        <patternFill patternType="solid">
          <bgColor rgb="00FCEBC2"/>
        </patternFill>
      </fill>
    </dxf>
    <dxf>
      <font>
        <color rgb="00C62F2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62F2F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0A812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3A13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'Übersicht'!$W$13:$W$15</f>
            </numRef>
          </cat>
          <val>
            <numRef>
              <f>'Übersicht'!$X$13:$X$15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6</col>
      <colOff>230000</colOff>
      <row>6</row>
      <rowOff>38000</rowOff>
    </from>
    <ext cx="409575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11</row>
      <rowOff>0</rowOff>
    </from>
    <ext cx="4140000" cy="187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0</row>
      <rowOff>60000</rowOff>
    </from>
    <ext cx="1350465" cy="269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0</row>
      <rowOff>60000</rowOff>
    </from>
    <ext cx="1350465" cy="269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0D9EC"/>
    <outlinePr summaryBelow="1" summaryRight="1"/>
    <pageSetUpPr fitToPage="1"/>
  </sheetPr>
  <dimension ref="A1:AM2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24" customWidth="1" min="3" max="3"/>
    <col width="20" customWidth="1" min="4" max="4"/>
    <col width="20" customWidth="1" min="5" max="5"/>
    <col width="9" customWidth="1" min="6" max="6"/>
    <col width="13" customWidth="1" min="7" max="7"/>
    <col width="14" customWidth="1" min="8" max="8"/>
    <col width="24" customWidth="1" min="9" max="9"/>
    <col width="24" customWidth="1" min="10" max="10"/>
    <col width="21" customWidth="1" min="11" max="11"/>
    <col width="13" customWidth="1" min="12" max="12"/>
    <col width="11" customWidth="1" min="13" max="13"/>
    <col width="9" customWidth="1" min="14" max="14"/>
    <col width="26" customWidth="1" min="15" max="15"/>
    <col width="9" customWidth="1" min="16" max="16"/>
    <col width="13" customWidth="1" min="17" max="17"/>
    <col width="10" customWidth="1" min="18" max="18"/>
    <col width="11" customWidth="1" min="19" max="19"/>
    <col width="9" customWidth="1" min="20" max="20"/>
    <col width="11" customWidth="1" min="21" max="21"/>
    <col width="12" customWidth="1" min="22" max="22"/>
    <col width="13" customWidth="1" min="23" max="23"/>
    <col width="24" customWidth="1" min="24" max="24"/>
    <col width="34" customWidth="1" min="25" max="25"/>
    <col width="22" customWidth="1" min="26" max="26"/>
    <col width="13" customWidth="1" min="27" max="27"/>
    <col width="11" customWidth="1" min="28" max="28"/>
    <col width="13" customWidth="1" min="29" max="29"/>
    <col width="30" customWidth="1" min="30" max="30"/>
    <col width="3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</cols>
  <sheetData>
    <row r="1" ht="25.5" customHeight="1">
      <c r="A1" s="1" t="inlineStr">
        <is>
          <t>Bewertung Ersatzteilkritikalität / Spare part criticality assessment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 ht="26" customHeight="1">
      <c r="A2" s="3" t="inlineStr">
        <is>
          <t>★ Pflichtfelder (orange) für die minimale Bewertung: Bezeichnung, Ausfallwirkung, Wiederbeschaffung, Ausfallhäufigkeit. ☆ Empfohlen (hellblau): Materialnummer, Maschine, Ist-Bestand, Stückpreis. Graue Felder rechnen automatisch. Bilder: Foto in Spalte „Foto“ einfügen (Excel: Einfügen › Bilder › In Zelle platzieren). / Fill in blue fields; grey fields are calculated.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 ht="20" customHeight="1">
      <c r="A3" s="4" t="inlineStr">
        <is>
          <t>Werk / Plant</t>
        </is>
      </c>
      <c r="B3" s="2" t="n"/>
      <c r="C3" s="5" t="n"/>
      <c r="D3" s="5" t="n"/>
      <c r="E3" s="4" t="inlineStr">
        <is>
          <t>Bereich / Area</t>
        </is>
      </c>
      <c r="F3" s="5" t="n"/>
      <c r="G3" s="5" t="n"/>
      <c r="H3" s="5" t="n"/>
      <c r="I3" s="4" t="inlineStr">
        <is>
          <t>Erstellt von / Prepared by</t>
        </is>
      </c>
      <c r="J3" s="5" t="n"/>
      <c r="K3" s="4" t="inlineStr">
        <is>
          <t>Datum / Date</t>
        </is>
      </c>
      <c r="L3" s="6" t="n"/>
      <c r="M3" s="5" t="n"/>
      <c r="N3" s="2" t="n"/>
      <c r="O3" s="7" t="inlineStr">
        <is>
          <t>★ Pflicht / required</t>
        </is>
      </c>
      <c r="P3" s="8" t="n"/>
      <c r="Q3" s="2" t="n"/>
      <c r="R3" s="9" t="inlineStr">
        <is>
          <t>☆ empfohlen / recommended</t>
        </is>
      </c>
      <c r="S3" s="10" t="n"/>
      <c r="T3" s="2" t="n"/>
      <c r="U3" s="11" t="inlineStr">
        <is>
          <t>optional</t>
        </is>
      </c>
      <c r="V3" s="12" t="n"/>
      <c r="W3" s="13" t="inlineStr">
        <is>
          <t>berechnet / calculated</t>
        </is>
      </c>
      <c r="X3" s="14" t="n"/>
      <c r="Y3" s="15" t="inlineStr">
        <is>
          <t>Leeres Pflichtfeld in begonnener Zeile = rot / empty required field = red</t>
        </is>
      </c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</row>
    <row r="4" ht="6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</row>
    <row r="5" ht="18" customHeight="1">
      <c r="A5" s="16" t="inlineStr">
        <is>
          <t>Ersatzteil / Spare part</t>
        </is>
      </c>
      <c r="B5" s="16" t="n"/>
      <c r="C5" s="16" t="n"/>
      <c r="D5" s="16" t="n"/>
      <c r="E5" s="16" t="n"/>
      <c r="F5" s="16" t="n"/>
      <c r="G5" s="16" t="n"/>
      <c r="H5" s="16" t="n"/>
      <c r="I5" s="16" t="inlineStr">
        <is>
          <t>Bewertung / Assessment</t>
        </is>
      </c>
      <c r="J5" s="16" t="n"/>
      <c r="K5" s="16" t="n"/>
      <c r="L5" s="16" t="n"/>
      <c r="M5" s="16" t="inlineStr">
        <is>
          <t>Ergebnis / Result</t>
        </is>
      </c>
      <c r="N5" s="16" t="n"/>
      <c r="O5" s="16" t="n"/>
      <c r="P5" s="16" t="inlineStr">
        <is>
          <t>Bestand und Wirtschaftlichkeit / Stock and economics</t>
        </is>
      </c>
      <c r="Q5" s="16" t="n"/>
      <c r="R5" s="16" t="n"/>
      <c r="S5" s="16" t="n"/>
      <c r="T5" s="16" t="n"/>
      <c r="U5" s="16" t="n"/>
      <c r="V5" s="16" t="n"/>
      <c r="W5" s="16" t="n"/>
      <c r="X5" s="16" t="n"/>
      <c r="Y5" s="16" t="inlineStr">
        <is>
          <t>Maßnahme / Action</t>
        </is>
      </c>
      <c r="Z5" s="16" t="n"/>
      <c r="AA5" s="16" t="n"/>
      <c r="AB5" s="16" t="n"/>
      <c r="AC5" s="16" t="n"/>
      <c r="AD5" s="16" t="n"/>
      <c r="AE5" s="2" t="n"/>
      <c r="AF5" s="17" t="inlineStr">
        <is>
          <t>Hilfswerte (nicht ändern)</t>
        </is>
      </c>
      <c r="AG5" s="17" t="n"/>
      <c r="AH5" s="17" t="n"/>
      <c r="AI5" s="17" t="n"/>
      <c r="AJ5" s="17" t="n"/>
      <c r="AK5" s="17" t="n"/>
      <c r="AL5" s="17" t="n"/>
      <c r="AM5" s="17" t="n"/>
    </row>
    <row r="6" ht="52" customHeight="1">
      <c r="A6" s="18" t="inlineStr">
        <is>
          <t>Pos.</t>
        </is>
      </c>
      <c r="B6" s="19" t="inlineStr">
        <is>
          <t>☆ Materialnummer
Material no.</t>
        </is>
      </c>
      <c r="C6" s="20" t="inlineStr">
        <is>
          <t>★ Bezeichnung
Description</t>
        </is>
      </c>
      <c r="D6" s="19" t="inlineStr">
        <is>
          <t>Hersteller / Typ
Manufacturer / type</t>
        </is>
      </c>
      <c r="E6" s="19" t="inlineStr">
        <is>
          <t>☆ Maschine / Anlage
Machine / line</t>
        </is>
      </c>
      <c r="F6" s="19" t="inlineStr">
        <is>
          <t>Verbaut (Stk.)
Installed qty</t>
        </is>
      </c>
      <c r="G6" s="19" t="inlineStr">
        <is>
          <t>Foto
Photo</t>
        </is>
      </c>
      <c r="H6" s="19" t="inlineStr">
        <is>
          <t>Foto-Ablage (Link)
Photo link</t>
        </is>
      </c>
      <c r="I6" s="20" t="inlineStr">
        <is>
          <t>★ Ausfallwirkung
Failure impact</t>
        </is>
      </c>
      <c r="J6" s="20" t="inlineStr">
        <is>
          <t>★ Wiederbeschaffung
Availability</t>
        </is>
      </c>
      <c r="K6" s="20" t="inlineStr">
        <is>
          <t>★ Ausfallhäufigkeit
Failure frequency</t>
        </is>
      </c>
      <c r="L6" s="19" t="inlineStr">
        <is>
          <t>Sicherheit / Umwelt / Qualität
Safety / env. / quality</t>
        </is>
      </c>
      <c r="M6" s="18" t="inlineStr">
        <is>
          <t>Kritikalität
Criticality</t>
        </is>
      </c>
      <c r="N6" s="18" t="inlineStr">
        <is>
          <t>Priorität
Priority (1–27)</t>
        </is>
      </c>
      <c r="O6" s="18" t="inlineStr">
        <is>
          <t>Begründung
Rationale</t>
        </is>
      </c>
      <c r="P6" s="19" t="inlineStr">
        <is>
          <t>☆ Ist-Bestand
Stock</t>
        </is>
      </c>
      <c r="Q6" s="19" t="inlineStr">
        <is>
          <t>Lagerort
Storage location</t>
        </is>
      </c>
      <c r="R6" s="18" t="inlineStr">
        <is>
          <t>Soll-Vorschlag
Suggested min.</t>
        </is>
      </c>
      <c r="S6" s="19" t="inlineStr">
        <is>
          <t>Soll festgelegt (optional)
Defined min.</t>
        </is>
      </c>
      <c r="T6" s="18" t="inlineStr">
        <is>
          <t>Fehlmenge
Shortage</t>
        </is>
      </c>
      <c r="U6" s="19" t="inlineStr">
        <is>
          <t>☆ Stückpreis
Unit price</t>
        </is>
      </c>
      <c r="V6" s="18" t="inlineStr">
        <is>
          <t>Kosten Bevorratung
Stocking cost</t>
        </is>
      </c>
      <c r="W6" s="18" t="inlineStr">
        <is>
          <t>Ausfallkosten (Schätzung)
Downtime cost est.</t>
        </is>
      </c>
      <c r="X6" s="18" t="inlineStr">
        <is>
          <t>Wirtschaftlichkeit
Economic result</t>
        </is>
      </c>
      <c r="Y6" s="18" t="inlineStr">
        <is>
          <t>Empfohlene Maßnahme
Recommended action</t>
        </is>
      </c>
      <c r="Z6" s="19" t="inlineStr">
        <is>
          <t>Bezugsquelle / Alternative
Source / alternative</t>
        </is>
      </c>
      <c r="AA6" s="19" t="inlineStr">
        <is>
          <t>Verantwortlich
Owner</t>
        </is>
      </c>
      <c r="AB6" s="19" t="inlineStr">
        <is>
          <t>Termin
Due date</t>
        </is>
      </c>
      <c r="AC6" s="19" t="inlineStr">
        <is>
          <t>Status</t>
        </is>
      </c>
      <c r="AD6" s="19" t="inlineStr">
        <is>
          <t>Bemerkung
Remarks</t>
        </is>
      </c>
      <c r="AE6" s="2" t="n"/>
      <c r="AF6" s="21" t="inlineStr">
        <is>
          <t>Pkt. Wirkung</t>
        </is>
      </c>
      <c r="AG6" s="21" t="inlineStr">
        <is>
          <t>Pkt. Beschaff.</t>
        </is>
      </c>
      <c r="AH6" s="21" t="inlineStr">
        <is>
          <t>Pkt. Häufigk.</t>
        </is>
      </c>
      <c r="AI6" s="21" t="inlineStr">
        <is>
          <t>Sicherheit</t>
        </is>
      </c>
      <c r="AJ6" s="21" t="inlineStr">
        <is>
          <t>Matrix (1=C…3=A)</t>
        </is>
      </c>
      <c r="AK6" s="21" t="inlineStr">
        <is>
          <t>Klasse (1–3)</t>
        </is>
      </c>
      <c r="AL6" s="21" t="inlineStr">
        <is>
          <t>Soll wirksam</t>
        </is>
      </c>
      <c r="AM6" s="21" t="inlineStr">
        <is>
          <t>Sortierschlüssel</t>
        </is>
      </c>
    </row>
    <row r="7" ht="45" customHeight="1">
      <c r="A7" s="22">
        <f>IF(C7="","",COUNTA($C$7:C7))</f>
        <v/>
      </c>
      <c r="B7" s="23" t="inlineStr">
        <is>
          <t>1022675</t>
        </is>
      </c>
      <c r="C7" s="24" t="inlineStr">
        <is>
          <t>Frequenzumrichter</t>
        </is>
      </c>
      <c r="D7" s="25" t="inlineStr">
        <is>
          <t>Nidec Unidrive</t>
        </is>
      </c>
      <c r="E7" s="23" t="inlineStr">
        <is>
          <t>Profilierwerk SP 2401</t>
        </is>
      </c>
      <c r="F7" s="26" t="n">
        <v>2</v>
      </c>
      <c r="G7" s="25" t="n"/>
      <c r="H7" s="25" t="n"/>
      <c r="I7" s="24" t="inlineStr">
        <is>
          <t>3 – Linie / Kunde betroffen</t>
        </is>
      </c>
      <c r="J7" s="24" t="inlineStr">
        <is>
          <t>3 – &gt; 8 Wochen / abgekündigt</t>
        </is>
      </c>
      <c r="K7" s="24" t="inlineStr">
        <is>
          <t>2 – gelegentlich / occasional</t>
        </is>
      </c>
      <c r="L7" s="26" t="inlineStr">
        <is>
          <t>nein / no</t>
        </is>
      </c>
      <c r="M7" s="27">
        <f>IF(AK7="","",MID("CBA",AK7,1))</f>
        <v/>
      </c>
      <c r="N7" s="22">
        <f>IF(COUNT(AF7:AH7)&lt;3,"",AF7*AG7*AH7)</f>
        <v/>
      </c>
      <c r="O7" s="28">
        <f>IF(C7="","",IF(AJ7="","Bewertung unvollständig / incomplete","Matrix "&amp;MID("CBA",AJ7,1)&amp;IF(AND(Regel_haeufig="ja",AH7=3,AJ7&lt;3)," · häufig +1","")&amp;IF(AND(Regel_sicherheit="ja",AI7=1,AJ7+IF(AND(Regel_haeufig="ja",AH7=3),1,0)&lt;2)," · Sicherheit ⇒ B","")&amp;" → "&amp;M7))</f>
        <v/>
      </c>
      <c r="P7" s="29" t="n">
        <v>6</v>
      </c>
      <c r="Q7" s="25" t="n"/>
      <c r="R7" s="22">
        <f>IF(AK7="","",INDEX(Soll_Tabelle,4-AK7,IF(AH7=3,2,1)))</f>
        <v/>
      </c>
      <c r="S7" s="26" t="n"/>
      <c r="T7" s="22">
        <f>IF(AL7="","",MAX(0,AL7-N(P7)))</f>
        <v/>
      </c>
      <c r="U7" s="30" t="n">
        <v>1800</v>
      </c>
      <c r="V7" s="31">
        <f>IF(OR(T7="",U7=""),"",T7*U7)</f>
        <v/>
      </c>
      <c r="W7" s="31">
        <f>IF(COUNT(AF7:AG7)&lt;2,"",INDEX(Stillstand_h,AG7)*INDEX(Kostensatz,AF7))</f>
        <v/>
      </c>
      <c r="X7" s="32">
        <f>IF(AK7="","",IF(T7=0,"Bestand ausreichend / stock sufficient",IF(U7="","Stückpreis fehlt / price missing",IF(V7=0,"–",IF(W7/V7&gt;=Faktor_wirtschaftlich,"wirtschaftlich (Faktor "&amp;FIXED(W7/V7,1)&amp;")","nicht wirtschaftlich (Faktor "&amp;FIXED(W7/V7,1)&amp;")")))))</f>
        <v/>
      </c>
      <c r="Y7" s="33">
        <f>IF(AK7="","",IF(AK7=3,IF(T7&gt;0,IF(AG7=3,"Sofort beschaffen: Restbestand / Gebrauchtmarkt / Alternative sichern","Mindestbestand aufbauen ("&amp;T7&amp;" Stk.)"),"Bestand halten, jährlich prüfen"),IF(AK7=2,IF(T7&gt;0,"Bevorratung nach Wirtschaftlichkeit entscheiden; Quelle / Reparatur klären","Lieferzeit und Teilestatus jährlich prüfen"),"Keine Bevorratung – Beschaffung bei Bedarf")))</f>
        <v/>
      </c>
      <c r="Z7" s="25" t="inlineStr">
        <is>
          <t>Gebrauchtmarkt / used market</t>
        </is>
      </c>
      <c r="AA7" s="25" t="inlineStr">
        <is>
          <t>Mru</t>
        </is>
      </c>
      <c r="AB7" s="34" t="n">
        <v>46341</v>
      </c>
      <c r="AC7" s="26" t="inlineStr">
        <is>
          <t>offen / open</t>
        </is>
      </c>
      <c r="AD7" s="25" t="inlineStr">
        <is>
          <t>Beispiel aus bisheriger Datei – bitte überschreiben</t>
        </is>
      </c>
      <c r="AE7" s="2" t="n"/>
      <c r="AF7" s="35">
        <f>IF(I7="","",VALUE(LEFT(I7,1)))</f>
        <v/>
      </c>
      <c r="AG7" s="35">
        <f>IF(J7="","",VALUE(LEFT(J7,1)))</f>
        <v/>
      </c>
      <c r="AH7" s="35">
        <f>IF(K7="","",VALUE(LEFT(K7,1)))</f>
        <v/>
      </c>
      <c r="AI7" s="35">
        <f>IF(LEFT(L7,2)="ja",1,0)</f>
        <v/>
      </c>
      <c r="AJ7" s="35">
        <f>IF(COUNT(AF7:AH7)&lt;3,"",FIND(INDEX(Matrix,4-AF7,AG7),"CBA"))</f>
        <v/>
      </c>
      <c r="AK7" s="35">
        <f>IF(AJ7="","",MIN(3,MAX(AJ7+IF(AND(Regel_haeufig="ja",AH7=3),1,0),IF(AND(Regel_sicherheit="ja",AI7=1),2,0))))</f>
        <v/>
      </c>
      <c r="AL7" s="35">
        <f>IF(S7&lt;&gt;"",S7,IF(R7="","",R7))</f>
        <v/>
      </c>
      <c r="AM7" s="35">
        <f>IF(AK7="","",AK7*1000+N7*10+(1000-ROW())/100000)</f>
        <v/>
      </c>
    </row>
    <row r="8" ht="45" customHeight="1">
      <c r="A8" s="22">
        <f>IF(C8="","",COUNTA($C$7:C8))</f>
        <v/>
      </c>
      <c r="B8" s="23" t="inlineStr">
        <is>
          <t>1022676</t>
        </is>
      </c>
      <c r="C8" s="24" t="inlineStr">
        <is>
          <t>Frequenzumrichter</t>
        </is>
      </c>
      <c r="D8" s="25" t="inlineStr">
        <is>
          <t>Nidec Unidrive</t>
        </is>
      </c>
      <c r="E8" s="23" t="inlineStr">
        <is>
          <t>Haspel SP 1405</t>
        </is>
      </c>
      <c r="F8" s="26" t="n">
        <v>1</v>
      </c>
      <c r="G8" s="25" t="n"/>
      <c r="H8" s="25" t="n"/>
      <c r="I8" s="24" t="inlineStr">
        <is>
          <t>3 – Linie / Kunde betroffen</t>
        </is>
      </c>
      <c r="J8" s="24" t="inlineStr">
        <is>
          <t>2 – 1–8 Wochen / 1–8 weeks</t>
        </is>
      </c>
      <c r="K8" s="24" t="inlineStr">
        <is>
          <t>1 – selten / rare</t>
        </is>
      </c>
      <c r="L8" s="26" t="inlineStr">
        <is>
          <t>nein / no</t>
        </is>
      </c>
      <c r="M8" s="27">
        <f>IF(AK8="","",MID("CBA",AK8,1))</f>
        <v/>
      </c>
      <c r="N8" s="22">
        <f>IF(COUNT(AF8:AH8)&lt;3,"",AF8*AG8*AH8)</f>
        <v/>
      </c>
      <c r="O8" s="28">
        <f>IF(C8="","",IF(AJ8="","Bewertung unvollständig / incomplete","Matrix "&amp;MID("CBA",AJ8,1)&amp;IF(AND(Regel_haeufig="ja",AH8=3,AJ8&lt;3)," · häufig +1","")&amp;IF(AND(Regel_sicherheit="ja",AI8=1,AJ8+IF(AND(Regel_haeufig="ja",AH8=3),1,0)&lt;2)," · Sicherheit ⇒ B","")&amp;" → "&amp;M8))</f>
        <v/>
      </c>
      <c r="P8" s="29" t="n">
        <v>6</v>
      </c>
      <c r="Q8" s="25" t="n"/>
      <c r="R8" s="22">
        <f>IF(AK8="","",INDEX(Soll_Tabelle,4-AK8,IF(AH8=3,2,1)))</f>
        <v/>
      </c>
      <c r="S8" s="26" t="n"/>
      <c r="T8" s="22">
        <f>IF(AL8="","",MAX(0,AL8-N(P8)))</f>
        <v/>
      </c>
      <c r="U8" s="30" t="n">
        <v>950</v>
      </c>
      <c r="V8" s="31">
        <f>IF(OR(T8="",U8=""),"",T8*U8)</f>
        <v/>
      </c>
      <c r="W8" s="31">
        <f>IF(COUNT(AF8:AG8)&lt;2,"",INDEX(Stillstand_h,AG8)*INDEX(Kostensatz,AF8))</f>
        <v/>
      </c>
      <c r="X8" s="32">
        <f>IF(AK8="","",IF(T8=0,"Bestand ausreichend / stock sufficient",IF(U8="","Stückpreis fehlt / price missing",IF(V8=0,"–",IF(W8/V8&gt;=Faktor_wirtschaftlich,"wirtschaftlich (Faktor "&amp;FIXED(W8/V8,1)&amp;")","nicht wirtschaftlich (Faktor "&amp;FIXED(W8/V8,1)&amp;")")))))</f>
        <v/>
      </c>
      <c r="Y8" s="33">
        <f>IF(AK8="","",IF(AK8=3,IF(T8&gt;0,IF(AG8=3,"Sofort beschaffen: Restbestand / Gebrauchtmarkt / Alternative sichern","Mindestbestand aufbauen ("&amp;T8&amp;" Stk.)"),"Bestand halten, jährlich prüfen"),IF(AK8=2,IF(T8&gt;0,"Bevorratung nach Wirtschaftlichkeit entscheiden; Quelle / Reparatur klären","Lieferzeit und Teilestatus jährlich prüfen"),"Keine Bevorratung – Beschaffung bei Bedarf")))</f>
        <v/>
      </c>
      <c r="Z8" s="25" t="inlineStr">
        <is>
          <t>Hersteller / OEM</t>
        </is>
      </c>
      <c r="AA8" s="25" t="inlineStr">
        <is>
          <t>Mru</t>
        </is>
      </c>
      <c r="AB8" s="34" t="n">
        <v>46371</v>
      </c>
      <c r="AC8" s="26" t="inlineStr">
        <is>
          <t>offen / open</t>
        </is>
      </c>
      <c r="AD8" s="25" t="inlineStr">
        <is>
          <t>Beispiel – bitte überschreiben</t>
        </is>
      </c>
      <c r="AE8" s="2" t="n"/>
      <c r="AF8" s="35">
        <f>IF(I8="","",VALUE(LEFT(I8,1)))</f>
        <v/>
      </c>
      <c r="AG8" s="35">
        <f>IF(J8="","",VALUE(LEFT(J8,1)))</f>
        <v/>
      </c>
      <c r="AH8" s="35">
        <f>IF(K8="","",VALUE(LEFT(K8,1)))</f>
        <v/>
      </c>
      <c r="AI8" s="35">
        <f>IF(LEFT(L8,2)="ja",1,0)</f>
        <v/>
      </c>
      <c r="AJ8" s="35">
        <f>IF(COUNT(AF8:AH8)&lt;3,"",FIND(INDEX(Matrix,4-AF8,AG8),"CBA"))</f>
        <v/>
      </c>
      <c r="AK8" s="35">
        <f>IF(AJ8="","",MIN(3,MAX(AJ8+IF(AND(Regel_haeufig="ja",AH8=3),1,0),IF(AND(Regel_sicherheit="ja",AI8=1),2,0))))</f>
        <v/>
      </c>
      <c r="AL8" s="35">
        <f>IF(S8&lt;&gt;"",S8,IF(R8="","",R8))</f>
        <v/>
      </c>
      <c r="AM8" s="35">
        <f>IF(AK8="","",AK8*1000+N8*10+(1000-ROW())/100000)</f>
        <v/>
      </c>
    </row>
    <row r="9" ht="45" customHeight="1">
      <c r="A9" s="22">
        <f>IF(C9="","",COUNTA($C$7:C9))</f>
        <v/>
      </c>
      <c r="B9" s="23" t="inlineStr">
        <is>
          <t>1022674</t>
        </is>
      </c>
      <c r="C9" s="24" t="inlineStr">
        <is>
          <t>Frequenzumrichter</t>
        </is>
      </c>
      <c r="D9" s="25" t="inlineStr">
        <is>
          <t>Nidec Unidrive</t>
        </is>
      </c>
      <c r="E9" s="23" t="inlineStr">
        <is>
          <t>Trennsäge SP 1403</t>
        </is>
      </c>
      <c r="F9" s="26" t="n">
        <v>1</v>
      </c>
      <c r="G9" s="25" t="n"/>
      <c r="H9" s="25" t="n"/>
      <c r="I9" s="24" t="inlineStr">
        <is>
          <t>3 – Linie / Kunde betroffen</t>
        </is>
      </c>
      <c r="J9" s="24" t="inlineStr">
        <is>
          <t>3 – &gt; 8 Wochen / abgekündigt</t>
        </is>
      </c>
      <c r="K9" s="24" t="inlineStr">
        <is>
          <t>1 – selten / rare</t>
        </is>
      </c>
      <c r="L9" s="26" t="inlineStr">
        <is>
          <t>nein / no</t>
        </is>
      </c>
      <c r="M9" s="27">
        <f>IF(AK9="","",MID("CBA",AK9,1))</f>
        <v/>
      </c>
      <c r="N9" s="22">
        <f>IF(COUNT(AF9:AH9)&lt;3,"",AF9*AG9*AH9)</f>
        <v/>
      </c>
      <c r="O9" s="28">
        <f>IF(C9="","",IF(AJ9="","Bewertung unvollständig / incomplete","Matrix "&amp;MID("CBA",AJ9,1)&amp;IF(AND(Regel_haeufig="ja",AH9=3,AJ9&lt;3)," · häufig +1","")&amp;IF(AND(Regel_sicherheit="ja",AI9=1,AJ9+IF(AND(Regel_haeufig="ja",AH9=3),1,0)&lt;2)," · Sicherheit ⇒ B","")&amp;" → "&amp;M9))</f>
        <v/>
      </c>
      <c r="P9" s="29" t="n">
        <v>2</v>
      </c>
      <c r="Q9" s="25" t="n"/>
      <c r="R9" s="22">
        <f>IF(AK9="","",INDEX(Soll_Tabelle,4-AK9,IF(AH9=3,2,1)))</f>
        <v/>
      </c>
      <c r="S9" s="26" t="n"/>
      <c r="T9" s="22">
        <f>IF(AL9="","",MAX(0,AL9-N(P9)))</f>
        <v/>
      </c>
      <c r="U9" s="30" t="n">
        <v>12</v>
      </c>
      <c r="V9" s="31">
        <f>IF(OR(T9="",U9=""),"",T9*U9)</f>
        <v/>
      </c>
      <c r="W9" s="31">
        <f>IF(COUNT(AF9:AG9)&lt;2,"",INDEX(Stillstand_h,AG9)*INDEX(Kostensatz,AF9))</f>
        <v/>
      </c>
      <c r="X9" s="32">
        <f>IF(AK9="","",IF(T9=0,"Bestand ausreichend / stock sufficient",IF(U9="","Stückpreis fehlt / price missing",IF(V9=0,"–",IF(W9/V9&gt;=Faktor_wirtschaftlich,"wirtschaftlich (Faktor "&amp;FIXED(W9/V9,1)&amp;")","nicht wirtschaftlich (Faktor "&amp;FIXED(W9/V9,1)&amp;")")))))</f>
        <v/>
      </c>
      <c r="Y9" s="33">
        <f>IF(AK9="","",IF(AK9=3,IF(T9&gt;0,IF(AG9=3,"Sofort beschaffen: Restbestand / Gebrauchtmarkt / Alternative sichern","Mindestbestand aufbauen ("&amp;T9&amp;" Stk.)"),"Bestand halten, jährlich prüfen"),IF(AK9=2,IF(T9&gt;0,"Bevorratung nach Wirtschaftlichkeit entscheiden; Quelle / Reparatur klären","Lieferzeit und Teilestatus jährlich prüfen"),"Keine Bevorratung – Beschaffung bei Bedarf")))</f>
        <v/>
      </c>
      <c r="Z9" s="25" t="inlineStr">
        <is>
          <t>Händler / Restbestand</t>
        </is>
      </c>
      <c r="AA9" s="25" t="n"/>
      <c r="AB9" s="34" t="n"/>
      <c r="AC9" s="26" t="inlineStr">
        <is>
          <t>erledigt / done</t>
        </is>
      </c>
      <c r="AD9" s="25" t="inlineStr">
        <is>
          <t>Beispiel – bitte überschreiben</t>
        </is>
      </c>
      <c r="AE9" s="2" t="n"/>
      <c r="AF9" s="35">
        <f>IF(I9="","",VALUE(LEFT(I9,1)))</f>
        <v/>
      </c>
      <c r="AG9" s="35">
        <f>IF(J9="","",VALUE(LEFT(J9,1)))</f>
        <v/>
      </c>
      <c r="AH9" s="35">
        <f>IF(K9="","",VALUE(LEFT(K9,1)))</f>
        <v/>
      </c>
      <c r="AI9" s="35">
        <f>IF(LEFT(L9,2)="ja",1,0)</f>
        <v/>
      </c>
      <c r="AJ9" s="35">
        <f>IF(COUNT(AF9:AH9)&lt;3,"",FIND(INDEX(Matrix,4-AF9,AG9),"CBA"))</f>
        <v/>
      </c>
      <c r="AK9" s="35">
        <f>IF(AJ9="","",MIN(3,MAX(AJ9+IF(AND(Regel_haeufig="ja",AH9=3),1,0),IF(AND(Regel_sicherheit="ja",AI9=1),2,0))))</f>
        <v/>
      </c>
      <c r="AL9" s="35">
        <f>IF(S9&lt;&gt;"",S9,IF(R9="","",R9))</f>
        <v/>
      </c>
      <c r="AM9" s="35">
        <f>IF(AK9="","",AK9*1000+N9*10+(1000-ROW())/100000)</f>
        <v/>
      </c>
    </row>
    <row r="10" ht="45" customHeight="1">
      <c r="A10" s="22">
        <f>IF(C10="","",COUNTA($C$7:C10))</f>
        <v/>
      </c>
      <c r="B10" s="23" t="n"/>
      <c r="C10" s="24" t="n"/>
      <c r="D10" s="25" t="n"/>
      <c r="E10" s="23" t="n"/>
      <c r="F10" s="26" t="n"/>
      <c r="G10" s="25" t="n"/>
      <c r="H10" s="25" t="n"/>
      <c r="I10" s="24" t="n"/>
      <c r="J10" s="24" t="n"/>
      <c r="K10" s="24" t="n"/>
      <c r="L10" s="26" t="n"/>
      <c r="M10" s="27">
        <f>IF(AK10="","",MID("CBA",AK10,1))</f>
        <v/>
      </c>
      <c r="N10" s="22">
        <f>IF(COUNT(AF10:AH10)&lt;3,"",AF10*AG10*AH10)</f>
        <v/>
      </c>
      <c r="O10" s="28">
        <f>IF(C10="","",IF(AJ10="","Bewertung unvollständig / incomplete","Matrix "&amp;MID("CBA",AJ10,1)&amp;IF(AND(Regel_haeufig="ja",AH10=3,AJ10&lt;3)," · häufig +1","")&amp;IF(AND(Regel_sicherheit="ja",AI10=1,AJ10+IF(AND(Regel_haeufig="ja",AH10=3),1,0)&lt;2)," · Sicherheit ⇒ B","")&amp;" → "&amp;M10))</f>
        <v/>
      </c>
      <c r="P10" s="29" t="n"/>
      <c r="Q10" s="25" t="n"/>
      <c r="R10" s="22">
        <f>IF(AK10="","",INDEX(Soll_Tabelle,4-AK10,IF(AH10=3,2,1)))</f>
        <v/>
      </c>
      <c r="S10" s="26" t="n"/>
      <c r="T10" s="22">
        <f>IF(AL10="","",MAX(0,AL10-N(P10)))</f>
        <v/>
      </c>
      <c r="U10" s="30" t="n"/>
      <c r="V10" s="31">
        <f>IF(OR(T10="",U10=""),"",T10*U10)</f>
        <v/>
      </c>
      <c r="W10" s="31">
        <f>IF(COUNT(AF10:AG10)&lt;2,"",INDEX(Stillstand_h,AG10)*INDEX(Kostensatz,AF10))</f>
        <v/>
      </c>
      <c r="X10" s="32">
        <f>IF(AK10="","",IF(T10=0,"Bestand ausreichend / stock sufficient",IF(U10="","Stückpreis fehlt / price missing",IF(V10=0,"–",IF(W10/V10&gt;=Faktor_wirtschaftlich,"wirtschaftlich (Faktor "&amp;FIXED(W10/V10,1)&amp;")","nicht wirtschaftlich (Faktor "&amp;FIXED(W10/V10,1)&amp;")")))))</f>
        <v/>
      </c>
      <c r="Y10" s="33">
        <f>IF(AK10="","",IF(AK10=3,IF(T10&gt;0,IF(AG10=3,"Sofort beschaffen: Restbestand / Gebrauchtmarkt / Alternative sichern","Mindestbestand aufbauen ("&amp;T10&amp;" Stk.)"),"Bestand halten, jährlich prüfen"),IF(AK10=2,IF(T10&gt;0,"Bevorratung nach Wirtschaftlichkeit entscheiden; Quelle / Reparatur klären","Lieferzeit und Teilestatus jährlich prüfen"),"Keine Bevorratung – Beschaffung bei Bedarf")))</f>
        <v/>
      </c>
      <c r="Z10" s="25" t="n"/>
      <c r="AA10" s="25" t="n"/>
      <c r="AB10" s="34" t="n"/>
      <c r="AC10" s="26" t="n"/>
      <c r="AD10" s="25" t="n"/>
      <c r="AE10" s="2" t="n"/>
      <c r="AF10" s="35">
        <f>IF(I10="","",VALUE(LEFT(I10,1)))</f>
        <v/>
      </c>
      <c r="AG10" s="35">
        <f>IF(J10="","",VALUE(LEFT(J10,1)))</f>
        <v/>
      </c>
      <c r="AH10" s="35">
        <f>IF(K10="","",VALUE(LEFT(K10,1)))</f>
        <v/>
      </c>
      <c r="AI10" s="35">
        <f>IF(LEFT(L10,2)="ja",1,0)</f>
        <v/>
      </c>
      <c r="AJ10" s="35">
        <f>IF(COUNT(AF10:AH10)&lt;3,"",FIND(INDEX(Matrix,4-AF10,AG10),"CBA"))</f>
        <v/>
      </c>
      <c r="AK10" s="35">
        <f>IF(AJ10="","",MIN(3,MAX(AJ10+IF(AND(Regel_haeufig="ja",AH10=3),1,0),IF(AND(Regel_sicherheit="ja",AI10=1),2,0))))</f>
        <v/>
      </c>
      <c r="AL10" s="35">
        <f>IF(S10&lt;&gt;"",S10,IF(R10="","",R10))</f>
        <v/>
      </c>
      <c r="AM10" s="35">
        <f>IF(AK10="","",AK10*1000+N10*10+(1000-ROW())/100000)</f>
        <v/>
      </c>
    </row>
    <row r="11" ht="45" customHeight="1">
      <c r="A11" s="22">
        <f>IF(C11="","",COUNTA($C$7:C11))</f>
        <v/>
      </c>
      <c r="B11" s="23" t="n"/>
      <c r="C11" s="24" t="n"/>
      <c r="D11" s="25" t="n"/>
      <c r="E11" s="23" t="n"/>
      <c r="F11" s="26" t="n"/>
      <c r="G11" s="25" t="n"/>
      <c r="H11" s="25" t="n"/>
      <c r="I11" s="24" t="n"/>
      <c r="J11" s="24" t="n"/>
      <c r="K11" s="24" t="n"/>
      <c r="L11" s="26" t="n"/>
      <c r="M11" s="27">
        <f>IF(AK11="","",MID("CBA",AK11,1))</f>
        <v/>
      </c>
      <c r="N11" s="22">
        <f>IF(COUNT(AF11:AH11)&lt;3,"",AF11*AG11*AH11)</f>
        <v/>
      </c>
      <c r="O11" s="28">
        <f>IF(C11="","",IF(AJ11="","Bewertung unvollständig / incomplete","Matrix "&amp;MID("CBA",AJ11,1)&amp;IF(AND(Regel_haeufig="ja",AH11=3,AJ11&lt;3)," · häufig +1","")&amp;IF(AND(Regel_sicherheit="ja",AI11=1,AJ11+IF(AND(Regel_haeufig="ja",AH11=3),1,0)&lt;2)," · Sicherheit ⇒ B","")&amp;" → "&amp;M11))</f>
        <v/>
      </c>
      <c r="P11" s="29" t="n"/>
      <c r="Q11" s="25" t="n"/>
      <c r="R11" s="22">
        <f>IF(AK11="","",INDEX(Soll_Tabelle,4-AK11,IF(AH11=3,2,1)))</f>
        <v/>
      </c>
      <c r="S11" s="26" t="n"/>
      <c r="T11" s="22">
        <f>IF(AL11="","",MAX(0,AL11-N(P11)))</f>
        <v/>
      </c>
      <c r="U11" s="30" t="n"/>
      <c r="V11" s="31">
        <f>IF(OR(T11="",U11=""),"",T11*U11)</f>
        <v/>
      </c>
      <c r="W11" s="31">
        <f>IF(COUNT(AF11:AG11)&lt;2,"",INDEX(Stillstand_h,AG11)*INDEX(Kostensatz,AF11))</f>
        <v/>
      </c>
      <c r="X11" s="32">
        <f>IF(AK11="","",IF(T11=0,"Bestand ausreichend / stock sufficient",IF(U11="","Stückpreis fehlt / price missing",IF(V11=0,"–",IF(W11/V11&gt;=Faktor_wirtschaftlich,"wirtschaftlich (Faktor "&amp;FIXED(W11/V11,1)&amp;")","nicht wirtschaftlich (Faktor "&amp;FIXED(W11/V11,1)&amp;")")))))</f>
        <v/>
      </c>
      <c r="Y11" s="33">
        <f>IF(AK11="","",IF(AK11=3,IF(T11&gt;0,IF(AG11=3,"Sofort beschaffen: Restbestand / Gebrauchtmarkt / Alternative sichern","Mindestbestand aufbauen ("&amp;T11&amp;" Stk.)"),"Bestand halten, jährlich prüfen"),IF(AK11=2,IF(T11&gt;0,"Bevorratung nach Wirtschaftlichkeit entscheiden; Quelle / Reparatur klären","Lieferzeit und Teilestatus jährlich prüfen"),"Keine Bevorratung – Beschaffung bei Bedarf")))</f>
        <v/>
      </c>
      <c r="Z11" s="25" t="n"/>
      <c r="AA11" s="25" t="n"/>
      <c r="AB11" s="34" t="n"/>
      <c r="AC11" s="26" t="n"/>
      <c r="AD11" s="25" t="n"/>
      <c r="AE11" s="2" t="n"/>
      <c r="AF11" s="35">
        <f>IF(I11="","",VALUE(LEFT(I11,1)))</f>
        <v/>
      </c>
      <c r="AG11" s="35">
        <f>IF(J11="","",VALUE(LEFT(J11,1)))</f>
        <v/>
      </c>
      <c r="AH11" s="35">
        <f>IF(K11="","",VALUE(LEFT(K11,1)))</f>
        <v/>
      </c>
      <c r="AI11" s="35">
        <f>IF(LEFT(L11,2)="ja",1,0)</f>
        <v/>
      </c>
      <c r="AJ11" s="35">
        <f>IF(COUNT(AF11:AH11)&lt;3,"",FIND(INDEX(Matrix,4-AF11,AG11),"CBA"))</f>
        <v/>
      </c>
      <c r="AK11" s="35">
        <f>IF(AJ11="","",MIN(3,MAX(AJ11+IF(AND(Regel_haeufig="ja",AH11=3),1,0),IF(AND(Regel_sicherheit="ja",AI11=1),2,0))))</f>
        <v/>
      </c>
      <c r="AL11" s="35">
        <f>IF(S11&lt;&gt;"",S11,IF(R11="","",R11))</f>
        <v/>
      </c>
      <c r="AM11" s="35">
        <f>IF(AK11="","",AK11*1000+N11*10+(1000-ROW())/100000)</f>
        <v/>
      </c>
    </row>
    <row r="12" ht="45" customHeight="1">
      <c r="A12" s="22">
        <f>IF(C12="","",COUNTA($C$7:C12))</f>
        <v/>
      </c>
      <c r="B12" s="23" t="n"/>
      <c r="C12" s="24" t="n"/>
      <c r="D12" s="25" t="n"/>
      <c r="E12" s="23" t="n"/>
      <c r="F12" s="26" t="n"/>
      <c r="G12" s="25" t="n"/>
      <c r="H12" s="25" t="n"/>
      <c r="I12" s="24" t="n"/>
      <c r="J12" s="24" t="n"/>
      <c r="K12" s="24" t="n"/>
      <c r="L12" s="26" t="n"/>
      <c r="M12" s="27">
        <f>IF(AK12="","",MID("CBA",AK12,1))</f>
        <v/>
      </c>
      <c r="N12" s="22">
        <f>IF(COUNT(AF12:AH12)&lt;3,"",AF12*AG12*AH12)</f>
        <v/>
      </c>
      <c r="O12" s="28">
        <f>IF(C12="","",IF(AJ12="","Bewertung unvollständig / incomplete","Matrix "&amp;MID("CBA",AJ12,1)&amp;IF(AND(Regel_haeufig="ja",AH12=3,AJ12&lt;3)," · häufig +1","")&amp;IF(AND(Regel_sicherheit="ja",AI12=1,AJ12+IF(AND(Regel_haeufig="ja",AH12=3),1,0)&lt;2)," · Sicherheit ⇒ B","")&amp;" → "&amp;M12))</f>
        <v/>
      </c>
      <c r="P12" s="29" t="n"/>
      <c r="Q12" s="25" t="n"/>
      <c r="R12" s="22">
        <f>IF(AK12="","",INDEX(Soll_Tabelle,4-AK12,IF(AH12=3,2,1)))</f>
        <v/>
      </c>
      <c r="S12" s="26" t="n"/>
      <c r="T12" s="22">
        <f>IF(AL12="","",MAX(0,AL12-N(P12)))</f>
        <v/>
      </c>
      <c r="U12" s="30" t="n"/>
      <c r="V12" s="31">
        <f>IF(OR(T12="",U12=""),"",T12*U12)</f>
        <v/>
      </c>
      <c r="W12" s="31">
        <f>IF(COUNT(AF12:AG12)&lt;2,"",INDEX(Stillstand_h,AG12)*INDEX(Kostensatz,AF12))</f>
        <v/>
      </c>
      <c r="X12" s="32">
        <f>IF(AK12="","",IF(T12=0,"Bestand ausreichend / stock sufficient",IF(U12="","Stückpreis fehlt / price missing",IF(V12=0,"–",IF(W12/V12&gt;=Faktor_wirtschaftlich,"wirtschaftlich (Faktor "&amp;FIXED(W12/V12,1)&amp;")","nicht wirtschaftlich (Faktor "&amp;FIXED(W12/V12,1)&amp;")")))))</f>
        <v/>
      </c>
      <c r="Y12" s="33">
        <f>IF(AK12="","",IF(AK12=3,IF(T12&gt;0,IF(AG12=3,"Sofort beschaffen: Restbestand / Gebrauchtmarkt / Alternative sichern","Mindestbestand aufbauen ("&amp;T12&amp;" Stk.)"),"Bestand halten, jährlich prüfen"),IF(AK12=2,IF(T12&gt;0,"Bevorratung nach Wirtschaftlichkeit entscheiden; Quelle / Reparatur klären","Lieferzeit und Teilestatus jährlich prüfen"),"Keine Bevorratung – Beschaffung bei Bedarf")))</f>
        <v/>
      </c>
      <c r="Z12" s="25" t="n"/>
      <c r="AA12" s="25" t="n"/>
      <c r="AB12" s="34" t="n"/>
      <c r="AC12" s="26" t="n"/>
      <c r="AD12" s="25" t="n"/>
      <c r="AE12" s="2" t="n"/>
      <c r="AF12" s="35">
        <f>IF(I12="","",VALUE(LEFT(I12,1)))</f>
        <v/>
      </c>
      <c r="AG12" s="35">
        <f>IF(J12="","",VALUE(LEFT(J12,1)))</f>
        <v/>
      </c>
      <c r="AH12" s="35">
        <f>IF(K12="","",VALUE(LEFT(K12,1)))</f>
        <v/>
      </c>
      <c r="AI12" s="35">
        <f>IF(LEFT(L12,2)="ja",1,0)</f>
        <v/>
      </c>
      <c r="AJ12" s="35">
        <f>IF(COUNT(AF12:AH12)&lt;3,"",FIND(INDEX(Matrix,4-AF12,AG12),"CBA"))</f>
        <v/>
      </c>
      <c r="AK12" s="35">
        <f>IF(AJ12="","",MIN(3,MAX(AJ12+IF(AND(Regel_haeufig="ja",AH12=3),1,0),IF(AND(Regel_sicherheit="ja",AI12=1),2,0))))</f>
        <v/>
      </c>
      <c r="AL12" s="35">
        <f>IF(S12&lt;&gt;"",S12,IF(R12="","",R12))</f>
        <v/>
      </c>
      <c r="AM12" s="35">
        <f>IF(AK12="","",AK12*1000+N12*10+(1000-ROW())/100000)</f>
        <v/>
      </c>
    </row>
    <row r="13" ht="45" customHeight="1">
      <c r="A13" s="22">
        <f>IF(C13="","",COUNTA($C$7:C13))</f>
        <v/>
      </c>
      <c r="B13" s="23" t="n"/>
      <c r="C13" s="24" t="n"/>
      <c r="D13" s="25" t="n"/>
      <c r="E13" s="23" t="n"/>
      <c r="F13" s="26" t="n"/>
      <c r="G13" s="25" t="n"/>
      <c r="H13" s="25" t="n"/>
      <c r="I13" s="24" t="n"/>
      <c r="J13" s="24" t="n"/>
      <c r="K13" s="24" t="n"/>
      <c r="L13" s="26" t="n"/>
      <c r="M13" s="27">
        <f>IF(AK13="","",MID("CBA",AK13,1))</f>
        <v/>
      </c>
      <c r="N13" s="22">
        <f>IF(COUNT(AF13:AH13)&lt;3,"",AF13*AG13*AH13)</f>
        <v/>
      </c>
      <c r="O13" s="28">
        <f>IF(C13="","",IF(AJ13="","Bewertung unvollständig / incomplete","Matrix "&amp;MID("CBA",AJ13,1)&amp;IF(AND(Regel_haeufig="ja",AH13=3,AJ13&lt;3)," · häufig +1","")&amp;IF(AND(Regel_sicherheit="ja",AI13=1,AJ13+IF(AND(Regel_haeufig="ja",AH13=3),1,0)&lt;2)," · Sicherheit ⇒ B","")&amp;" → "&amp;M13))</f>
        <v/>
      </c>
      <c r="P13" s="29" t="n"/>
      <c r="Q13" s="25" t="n"/>
      <c r="R13" s="22">
        <f>IF(AK13="","",INDEX(Soll_Tabelle,4-AK13,IF(AH13=3,2,1)))</f>
        <v/>
      </c>
      <c r="S13" s="26" t="n"/>
      <c r="T13" s="22">
        <f>IF(AL13="","",MAX(0,AL13-N(P13)))</f>
        <v/>
      </c>
      <c r="U13" s="30" t="n"/>
      <c r="V13" s="31">
        <f>IF(OR(T13="",U13=""),"",T13*U13)</f>
        <v/>
      </c>
      <c r="W13" s="31">
        <f>IF(COUNT(AF13:AG13)&lt;2,"",INDEX(Stillstand_h,AG13)*INDEX(Kostensatz,AF13))</f>
        <v/>
      </c>
      <c r="X13" s="32">
        <f>IF(AK13="","",IF(T13=0,"Bestand ausreichend / stock sufficient",IF(U13="","Stückpreis fehlt / price missing",IF(V13=0,"–",IF(W13/V13&gt;=Faktor_wirtschaftlich,"wirtschaftlich (Faktor "&amp;FIXED(W13/V13,1)&amp;")","nicht wirtschaftlich (Faktor "&amp;FIXED(W13/V13,1)&amp;")")))))</f>
        <v/>
      </c>
      <c r="Y13" s="33">
        <f>IF(AK13="","",IF(AK13=3,IF(T13&gt;0,IF(AG13=3,"Sofort beschaffen: Restbestand / Gebrauchtmarkt / Alternative sichern","Mindestbestand aufbauen ("&amp;T13&amp;" Stk.)"),"Bestand halten, jährlich prüfen"),IF(AK13=2,IF(T13&gt;0,"Bevorratung nach Wirtschaftlichkeit entscheiden; Quelle / Reparatur klären","Lieferzeit und Teilestatus jährlich prüfen"),"Keine Bevorratung – Beschaffung bei Bedarf")))</f>
        <v/>
      </c>
      <c r="Z13" s="25" t="n"/>
      <c r="AA13" s="25" t="n"/>
      <c r="AB13" s="34" t="n"/>
      <c r="AC13" s="26" t="n"/>
      <c r="AD13" s="25" t="n"/>
      <c r="AE13" s="2" t="n"/>
      <c r="AF13" s="35">
        <f>IF(I13="","",VALUE(LEFT(I13,1)))</f>
        <v/>
      </c>
      <c r="AG13" s="35">
        <f>IF(J13="","",VALUE(LEFT(J13,1)))</f>
        <v/>
      </c>
      <c r="AH13" s="35">
        <f>IF(K13="","",VALUE(LEFT(K13,1)))</f>
        <v/>
      </c>
      <c r="AI13" s="35">
        <f>IF(LEFT(L13,2)="ja",1,0)</f>
        <v/>
      </c>
      <c r="AJ13" s="35">
        <f>IF(COUNT(AF13:AH13)&lt;3,"",FIND(INDEX(Matrix,4-AF13,AG13),"CBA"))</f>
        <v/>
      </c>
      <c r="AK13" s="35">
        <f>IF(AJ13="","",MIN(3,MAX(AJ13+IF(AND(Regel_haeufig="ja",AH13=3),1,0),IF(AND(Regel_sicherheit="ja",AI13=1),2,0))))</f>
        <v/>
      </c>
      <c r="AL13" s="35">
        <f>IF(S13&lt;&gt;"",S13,IF(R13="","",R13))</f>
        <v/>
      </c>
      <c r="AM13" s="35">
        <f>IF(AK13="","",AK13*1000+N13*10+(1000-ROW())/100000)</f>
        <v/>
      </c>
    </row>
    <row r="14" ht="45" customHeight="1">
      <c r="A14" s="22">
        <f>IF(C14="","",COUNTA($C$7:C14))</f>
        <v/>
      </c>
      <c r="B14" s="23" t="n"/>
      <c r="C14" s="24" t="n"/>
      <c r="D14" s="25" t="n"/>
      <c r="E14" s="23" t="n"/>
      <c r="F14" s="26" t="n"/>
      <c r="G14" s="25" t="n"/>
      <c r="H14" s="25" t="n"/>
      <c r="I14" s="24" t="n"/>
      <c r="J14" s="24" t="n"/>
      <c r="K14" s="24" t="n"/>
      <c r="L14" s="26" t="n"/>
      <c r="M14" s="27">
        <f>IF(AK14="","",MID("CBA",AK14,1))</f>
        <v/>
      </c>
      <c r="N14" s="22">
        <f>IF(COUNT(AF14:AH14)&lt;3,"",AF14*AG14*AH14)</f>
        <v/>
      </c>
      <c r="O14" s="28">
        <f>IF(C14="","",IF(AJ14="","Bewertung unvollständig / incomplete","Matrix "&amp;MID("CBA",AJ14,1)&amp;IF(AND(Regel_haeufig="ja",AH14=3,AJ14&lt;3)," · häufig +1","")&amp;IF(AND(Regel_sicherheit="ja",AI14=1,AJ14+IF(AND(Regel_haeufig="ja",AH14=3),1,0)&lt;2)," · Sicherheit ⇒ B","")&amp;" → "&amp;M14))</f>
        <v/>
      </c>
      <c r="P14" s="29" t="n"/>
      <c r="Q14" s="25" t="n"/>
      <c r="R14" s="22">
        <f>IF(AK14="","",INDEX(Soll_Tabelle,4-AK14,IF(AH14=3,2,1)))</f>
        <v/>
      </c>
      <c r="S14" s="26" t="n"/>
      <c r="T14" s="22">
        <f>IF(AL14="","",MAX(0,AL14-N(P14)))</f>
        <v/>
      </c>
      <c r="U14" s="30" t="n"/>
      <c r="V14" s="31">
        <f>IF(OR(T14="",U14=""),"",T14*U14)</f>
        <v/>
      </c>
      <c r="W14" s="31">
        <f>IF(COUNT(AF14:AG14)&lt;2,"",INDEX(Stillstand_h,AG14)*INDEX(Kostensatz,AF14))</f>
        <v/>
      </c>
      <c r="X14" s="32">
        <f>IF(AK14="","",IF(T14=0,"Bestand ausreichend / stock sufficient",IF(U14="","Stückpreis fehlt / price missing",IF(V14=0,"–",IF(W14/V14&gt;=Faktor_wirtschaftlich,"wirtschaftlich (Faktor "&amp;FIXED(W14/V14,1)&amp;")","nicht wirtschaftlich (Faktor "&amp;FIXED(W14/V14,1)&amp;")")))))</f>
        <v/>
      </c>
      <c r="Y14" s="33">
        <f>IF(AK14="","",IF(AK14=3,IF(T14&gt;0,IF(AG14=3,"Sofort beschaffen: Restbestand / Gebrauchtmarkt / Alternative sichern","Mindestbestand aufbauen ("&amp;T14&amp;" Stk.)"),"Bestand halten, jährlich prüfen"),IF(AK14=2,IF(T14&gt;0,"Bevorratung nach Wirtschaftlichkeit entscheiden; Quelle / Reparatur klären","Lieferzeit und Teilestatus jährlich prüfen"),"Keine Bevorratung – Beschaffung bei Bedarf")))</f>
        <v/>
      </c>
      <c r="Z14" s="25" t="n"/>
      <c r="AA14" s="25" t="n"/>
      <c r="AB14" s="34" t="n"/>
      <c r="AC14" s="26" t="n"/>
      <c r="AD14" s="25" t="n"/>
      <c r="AE14" s="2" t="n"/>
      <c r="AF14" s="35">
        <f>IF(I14="","",VALUE(LEFT(I14,1)))</f>
        <v/>
      </c>
      <c r="AG14" s="35">
        <f>IF(J14="","",VALUE(LEFT(J14,1)))</f>
        <v/>
      </c>
      <c r="AH14" s="35">
        <f>IF(K14="","",VALUE(LEFT(K14,1)))</f>
        <v/>
      </c>
      <c r="AI14" s="35">
        <f>IF(LEFT(L14,2)="ja",1,0)</f>
        <v/>
      </c>
      <c r="AJ14" s="35">
        <f>IF(COUNT(AF14:AH14)&lt;3,"",FIND(INDEX(Matrix,4-AF14,AG14),"CBA"))</f>
        <v/>
      </c>
      <c r="AK14" s="35">
        <f>IF(AJ14="","",MIN(3,MAX(AJ14+IF(AND(Regel_haeufig="ja",AH14=3),1,0),IF(AND(Regel_sicherheit="ja",AI14=1),2,0))))</f>
        <v/>
      </c>
      <c r="AL14" s="35">
        <f>IF(S14&lt;&gt;"",S14,IF(R14="","",R14))</f>
        <v/>
      </c>
      <c r="AM14" s="35">
        <f>IF(AK14="","",AK14*1000+N14*10+(1000-ROW())/100000)</f>
        <v/>
      </c>
    </row>
    <row r="15" ht="45" customHeight="1">
      <c r="A15" s="22">
        <f>IF(C15="","",COUNTA($C$7:C15))</f>
        <v/>
      </c>
      <c r="B15" s="23" t="n"/>
      <c r="C15" s="24" t="n"/>
      <c r="D15" s="25" t="n"/>
      <c r="E15" s="23" t="n"/>
      <c r="F15" s="26" t="n"/>
      <c r="G15" s="25" t="n"/>
      <c r="H15" s="25" t="n"/>
      <c r="I15" s="24" t="n"/>
      <c r="J15" s="24" t="n"/>
      <c r="K15" s="24" t="n"/>
      <c r="L15" s="26" t="n"/>
      <c r="M15" s="27">
        <f>IF(AK15="","",MID("CBA",AK15,1))</f>
        <v/>
      </c>
      <c r="N15" s="22">
        <f>IF(COUNT(AF15:AH15)&lt;3,"",AF15*AG15*AH15)</f>
        <v/>
      </c>
      <c r="O15" s="28">
        <f>IF(C15="","",IF(AJ15="","Bewertung unvollständig / incomplete","Matrix "&amp;MID("CBA",AJ15,1)&amp;IF(AND(Regel_haeufig="ja",AH15=3,AJ15&lt;3)," · häufig +1","")&amp;IF(AND(Regel_sicherheit="ja",AI15=1,AJ15+IF(AND(Regel_haeufig="ja",AH15=3),1,0)&lt;2)," · Sicherheit ⇒ B","")&amp;" → "&amp;M15))</f>
        <v/>
      </c>
      <c r="P15" s="29" t="n"/>
      <c r="Q15" s="25" t="n"/>
      <c r="R15" s="22">
        <f>IF(AK15="","",INDEX(Soll_Tabelle,4-AK15,IF(AH15=3,2,1)))</f>
        <v/>
      </c>
      <c r="S15" s="26" t="n"/>
      <c r="T15" s="22">
        <f>IF(AL15="","",MAX(0,AL15-N(P15)))</f>
        <v/>
      </c>
      <c r="U15" s="30" t="n"/>
      <c r="V15" s="31">
        <f>IF(OR(T15="",U15=""),"",T15*U15)</f>
        <v/>
      </c>
      <c r="W15" s="31">
        <f>IF(COUNT(AF15:AG15)&lt;2,"",INDEX(Stillstand_h,AG15)*INDEX(Kostensatz,AF15))</f>
        <v/>
      </c>
      <c r="X15" s="32">
        <f>IF(AK15="","",IF(T15=0,"Bestand ausreichend / stock sufficient",IF(U15="","Stückpreis fehlt / price missing",IF(V15=0,"–",IF(W15/V15&gt;=Faktor_wirtschaftlich,"wirtschaftlich (Faktor "&amp;FIXED(W15/V15,1)&amp;")","nicht wirtschaftlich (Faktor "&amp;FIXED(W15/V15,1)&amp;")")))))</f>
        <v/>
      </c>
      <c r="Y15" s="33">
        <f>IF(AK15="","",IF(AK15=3,IF(T15&gt;0,IF(AG15=3,"Sofort beschaffen: Restbestand / Gebrauchtmarkt / Alternative sichern","Mindestbestand aufbauen ("&amp;T15&amp;" Stk.)"),"Bestand halten, jährlich prüfen"),IF(AK15=2,IF(T15&gt;0,"Bevorratung nach Wirtschaftlichkeit entscheiden; Quelle / Reparatur klären","Lieferzeit und Teilestatus jährlich prüfen"),"Keine Bevorratung – Beschaffung bei Bedarf")))</f>
        <v/>
      </c>
      <c r="Z15" s="25" t="n"/>
      <c r="AA15" s="25" t="n"/>
      <c r="AB15" s="34" t="n"/>
      <c r="AC15" s="26" t="n"/>
      <c r="AD15" s="25" t="n"/>
      <c r="AE15" s="2" t="n"/>
      <c r="AF15" s="35">
        <f>IF(I15="","",VALUE(LEFT(I15,1)))</f>
        <v/>
      </c>
      <c r="AG15" s="35">
        <f>IF(J15="","",VALUE(LEFT(J15,1)))</f>
        <v/>
      </c>
      <c r="AH15" s="35">
        <f>IF(K15="","",VALUE(LEFT(K15,1)))</f>
        <v/>
      </c>
      <c r="AI15" s="35">
        <f>IF(LEFT(L15,2)="ja",1,0)</f>
        <v/>
      </c>
      <c r="AJ15" s="35">
        <f>IF(COUNT(AF15:AH15)&lt;3,"",FIND(INDEX(Matrix,4-AF15,AG15),"CBA"))</f>
        <v/>
      </c>
      <c r="AK15" s="35">
        <f>IF(AJ15="","",MIN(3,MAX(AJ15+IF(AND(Regel_haeufig="ja",AH15=3),1,0),IF(AND(Regel_sicherheit="ja",AI15=1),2,0))))</f>
        <v/>
      </c>
      <c r="AL15" s="35">
        <f>IF(S15&lt;&gt;"",S15,IF(R15="","",R15))</f>
        <v/>
      </c>
      <c r="AM15" s="35">
        <f>IF(AK15="","",AK15*1000+N15*10+(1000-ROW())/100000)</f>
        <v/>
      </c>
    </row>
    <row r="16" ht="45" customHeight="1">
      <c r="A16" s="22">
        <f>IF(C16="","",COUNTA($C$7:C16))</f>
        <v/>
      </c>
      <c r="B16" s="23" t="n"/>
      <c r="C16" s="24" t="n"/>
      <c r="D16" s="25" t="n"/>
      <c r="E16" s="23" t="n"/>
      <c r="F16" s="26" t="n"/>
      <c r="G16" s="25" t="n"/>
      <c r="H16" s="25" t="n"/>
      <c r="I16" s="24" t="n"/>
      <c r="J16" s="24" t="n"/>
      <c r="K16" s="24" t="n"/>
      <c r="L16" s="26" t="n"/>
      <c r="M16" s="27">
        <f>IF(AK16="","",MID("CBA",AK16,1))</f>
        <v/>
      </c>
      <c r="N16" s="22">
        <f>IF(COUNT(AF16:AH16)&lt;3,"",AF16*AG16*AH16)</f>
        <v/>
      </c>
      <c r="O16" s="28">
        <f>IF(C16="","",IF(AJ16="","Bewertung unvollständig / incomplete","Matrix "&amp;MID("CBA",AJ16,1)&amp;IF(AND(Regel_haeufig="ja",AH16=3,AJ16&lt;3)," · häufig +1","")&amp;IF(AND(Regel_sicherheit="ja",AI16=1,AJ16+IF(AND(Regel_haeufig="ja",AH16=3),1,0)&lt;2)," · Sicherheit ⇒ B","")&amp;" → "&amp;M16))</f>
        <v/>
      </c>
      <c r="P16" s="29" t="n"/>
      <c r="Q16" s="25" t="n"/>
      <c r="R16" s="22">
        <f>IF(AK16="","",INDEX(Soll_Tabelle,4-AK16,IF(AH16=3,2,1)))</f>
        <v/>
      </c>
      <c r="S16" s="26" t="n"/>
      <c r="T16" s="22">
        <f>IF(AL16="","",MAX(0,AL16-N(P16)))</f>
        <v/>
      </c>
      <c r="U16" s="30" t="n"/>
      <c r="V16" s="31">
        <f>IF(OR(T16="",U16=""),"",T16*U16)</f>
        <v/>
      </c>
      <c r="W16" s="31">
        <f>IF(COUNT(AF16:AG16)&lt;2,"",INDEX(Stillstand_h,AG16)*INDEX(Kostensatz,AF16))</f>
        <v/>
      </c>
      <c r="X16" s="32">
        <f>IF(AK16="","",IF(T16=0,"Bestand ausreichend / stock sufficient",IF(U16="","Stückpreis fehlt / price missing",IF(V16=0,"–",IF(W16/V16&gt;=Faktor_wirtschaftlich,"wirtschaftlich (Faktor "&amp;FIXED(W16/V16,1)&amp;")","nicht wirtschaftlich (Faktor "&amp;FIXED(W16/V16,1)&amp;")")))))</f>
        <v/>
      </c>
      <c r="Y16" s="33">
        <f>IF(AK16="","",IF(AK16=3,IF(T16&gt;0,IF(AG16=3,"Sofort beschaffen: Restbestand / Gebrauchtmarkt / Alternative sichern","Mindestbestand aufbauen ("&amp;T16&amp;" Stk.)"),"Bestand halten, jährlich prüfen"),IF(AK16=2,IF(T16&gt;0,"Bevorratung nach Wirtschaftlichkeit entscheiden; Quelle / Reparatur klären","Lieferzeit und Teilestatus jährlich prüfen"),"Keine Bevorratung – Beschaffung bei Bedarf")))</f>
        <v/>
      </c>
      <c r="Z16" s="25" t="n"/>
      <c r="AA16" s="25" t="n"/>
      <c r="AB16" s="34" t="n"/>
      <c r="AC16" s="26" t="n"/>
      <c r="AD16" s="25" t="n"/>
      <c r="AE16" s="2" t="n"/>
      <c r="AF16" s="35">
        <f>IF(I16="","",VALUE(LEFT(I16,1)))</f>
        <v/>
      </c>
      <c r="AG16" s="35">
        <f>IF(J16="","",VALUE(LEFT(J16,1)))</f>
        <v/>
      </c>
      <c r="AH16" s="35">
        <f>IF(K16="","",VALUE(LEFT(K16,1)))</f>
        <v/>
      </c>
      <c r="AI16" s="35">
        <f>IF(LEFT(L16,2)="ja",1,0)</f>
        <v/>
      </c>
      <c r="AJ16" s="35">
        <f>IF(COUNT(AF16:AH16)&lt;3,"",FIND(INDEX(Matrix,4-AF16,AG16),"CBA"))</f>
        <v/>
      </c>
      <c r="AK16" s="35">
        <f>IF(AJ16="","",MIN(3,MAX(AJ16+IF(AND(Regel_haeufig="ja",AH16=3),1,0),IF(AND(Regel_sicherheit="ja",AI16=1),2,0))))</f>
        <v/>
      </c>
      <c r="AL16" s="35">
        <f>IF(S16&lt;&gt;"",S16,IF(R16="","",R16))</f>
        <v/>
      </c>
      <c r="AM16" s="35">
        <f>IF(AK16="","",AK16*1000+N16*10+(1000-ROW())/100000)</f>
        <v/>
      </c>
    </row>
    <row r="17" ht="45" customHeight="1">
      <c r="A17" s="22">
        <f>IF(C17="","",COUNTA($C$7:C17))</f>
        <v/>
      </c>
      <c r="B17" s="23" t="n"/>
      <c r="C17" s="24" t="n"/>
      <c r="D17" s="25" t="n"/>
      <c r="E17" s="23" t="n"/>
      <c r="F17" s="26" t="n"/>
      <c r="G17" s="25" t="n"/>
      <c r="H17" s="25" t="n"/>
      <c r="I17" s="24" t="n"/>
      <c r="J17" s="24" t="n"/>
      <c r="K17" s="24" t="n"/>
      <c r="L17" s="26" t="n"/>
      <c r="M17" s="27">
        <f>IF(AK17="","",MID("CBA",AK17,1))</f>
        <v/>
      </c>
      <c r="N17" s="22">
        <f>IF(COUNT(AF17:AH17)&lt;3,"",AF17*AG17*AH17)</f>
        <v/>
      </c>
      <c r="O17" s="28">
        <f>IF(C17="","",IF(AJ17="","Bewertung unvollständig / incomplete","Matrix "&amp;MID("CBA",AJ17,1)&amp;IF(AND(Regel_haeufig="ja",AH17=3,AJ17&lt;3)," · häufig +1","")&amp;IF(AND(Regel_sicherheit="ja",AI17=1,AJ17+IF(AND(Regel_haeufig="ja",AH17=3),1,0)&lt;2)," · Sicherheit ⇒ B","")&amp;" → "&amp;M17))</f>
        <v/>
      </c>
      <c r="P17" s="29" t="n"/>
      <c r="Q17" s="25" t="n"/>
      <c r="R17" s="22">
        <f>IF(AK17="","",INDEX(Soll_Tabelle,4-AK17,IF(AH17=3,2,1)))</f>
        <v/>
      </c>
      <c r="S17" s="26" t="n"/>
      <c r="T17" s="22">
        <f>IF(AL17="","",MAX(0,AL17-N(P17)))</f>
        <v/>
      </c>
      <c r="U17" s="30" t="n"/>
      <c r="V17" s="31">
        <f>IF(OR(T17="",U17=""),"",T17*U17)</f>
        <v/>
      </c>
      <c r="W17" s="31">
        <f>IF(COUNT(AF17:AG17)&lt;2,"",INDEX(Stillstand_h,AG17)*INDEX(Kostensatz,AF17))</f>
        <v/>
      </c>
      <c r="X17" s="32">
        <f>IF(AK17="","",IF(T17=0,"Bestand ausreichend / stock sufficient",IF(U17="","Stückpreis fehlt / price missing",IF(V17=0,"–",IF(W17/V17&gt;=Faktor_wirtschaftlich,"wirtschaftlich (Faktor "&amp;FIXED(W17/V17,1)&amp;")","nicht wirtschaftlich (Faktor "&amp;FIXED(W17/V17,1)&amp;")")))))</f>
        <v/>
      </c>
      <c r="Y17" s="33">
        <f>IF(AK17="","",IF(AK17=3,IF(T17&gt;0,IF(AG17=3,"Sofort beschaffen: Restbestand / Gebrauchtmarkt / Alternative sichern","Mindestbestand aufbauen ("&amp;T17&amp;" Stk.)"),"Bestand halten, jährlich prüfen"),IF(AK17=2,IF(T17&gt;0,"Bevorratung nach Wirtschaftlichkeit entscheiden; Quelle / Reparatur klären","Lieferzeit und Teilestatus jährlich prüfen"),"Keine Bevorratung – Beschaffung bei Bedarf")))</f>
        <v/>
      </c>
      <c r="Z17" s="25" t="n"/>
      <c r="AA17" s="25" t="n"/>
      <c r="AB17" s="34" t="n"/>
      <c r="AC17" s="26" t="n"/>
      <c r="AD17" s="25" t="n"/>
      <c r="AE17" s="2" t="n"/>
      <c r="AF17" s="35">
        <f>IF(I17="","",VALUE(LEFT(I17,1)))</f>
        <v/>
      </c>
      <c r="AG17" s="35">
        <f>IF(J17="","",VALUE(LEFT(J17,1)))</f>
        <v/>
      </c>
      <c r="AH17" s="35">
        <f>IF(K17="","",VALUE(LEFT(K17,1)))</f>
        <v/>
      </c>
      <c r="AI17" s="35">
        <f>IF(LEFT(L17,2)="ja",1,0)</f>
        <v/>
      </c>
      <c r="AJ17" s="35">
        <f>IF(COUNT(AF17:AH17)&lt;3,"",FIND(INDEX(Matrix,4-AF17,AG17),"CBA"))</f>
        <v/>
      </c>
      <c r="AK17" s="35">
        <f>IF(AJ17="","",MIN(3,MAX(AJ17+IF(AND(Regel_haeufig="ja",AH17=3),1,0),IF(AND(Regel_sicherheit="ja",AI17=1),2,0))))</f>
        <v/>
      </c>
      <c r="AL17" s="35">
        <f>IF(S17&lt;&gt;"",S17,IF(R17="","",R17))</f>
        <v/>
      </c>
      <c r="AM17" s="35">
        <f>IF(AK17="","",AK17*1000+N17*10+(1000-ROW())/100000)</f>
        <v/>
      </c>
    </row>
    <row r="18" ht="45" customHeight="1">
      <c r="A18" s="22">
        <f>IF(C18="","",COUNTA($C$7:C18))</f>
        <v/>
      </c>
      <c r="B18" s="23" t="n"/>
      <c r="C18" s="24" t="n"/>
      <c r="D18" s="25" t="n"/>
      <c r="E18" s="23" t="n"/>
      <c r="F18" s="26" t="n"/>
      <c r="G18" s="25" t="n"/>
      <c r="H18" s="25" t="n"/>
      <c r="I18" s="24" t="n"/>
      <c r="J18" s="24" t="n"/>
      <c r="K18" s="24" t="n"/>
      <c r="L18" s="26" t="n"/>
      <c r="M18" s="27">
        <f>IF(AK18="","",MID("CBA",AK18,1))</f>
        <v/>
      </c>
      <c r="N18" s="22">
        <f>IF(COUNT(AF18:AH18)&lt;3,"",AF18*AG18*AH18)</f>
        <v/>
      </c>
      <c r="O18" s="28">
        <f>IF(C18="","",IF(AJ18="","Bewertung unvollständig / incomplete","Matrix "&amp;MID("CBA",AJ18,1)&amp;IF(AND(Regel_haeufig="ja",AH18=3,AJ18&lt;3)," · häufig +1","")&amp;IF(AND(Regel_sicherheit="ja",AI18=1,AJ18+IF(AND(Regel_haeufig="ja",AH18=3),1,0)&lt;2)," · Sicherheit ⇒ B","")&amp;" → "&amp;M18))</f>
        <v/>
      </c>
      <c r="P18" s="29" t="n"/>
      <c r="Q18" s="25" t="n"/>
      <c r="R18" s="22">
        <f>IF(AK18="","",INDEX(Soll_Tabelle,4-AK18,IF(AH18=3,2,1)))</f>
        <v/>
      </c>
      <c r="S18" s="26" t="n"/>
      <c r="T18" s="22">
        <f>IF(AL18="","",MAX(0,AL18-N(P18)))</f>
        <v/>
      </c>
      <c r="U18" s="30" t="n"/>
      <c r="V18" s="31">
        <f>IF(OR(T18="",U18=""),"",T18*U18)</f>
        <v/>
      </c>
      <c r="W18" s="31">
        <f>IF(COUNT(AF18:AG18)&lt;2,"",INDEX(Stillstand_h,AG18)*INDEX(Kostensatz,AF18))</f>
        <v/>
      </c>
      <c r="X18" s="32">
        <f>IF(AK18="","",IF(T18=0,"Bestand ausreichend / stock sufficient",IF(U18="","Stückpreis fehlt / price missing",IF(V18=0,"–",IF(W18/V18&gt;=Faktor_wirtschaftlich,"wirtschaftlich (Faktor "&amp;FIXED(W18/V18,1)&amp;")","nicht wirtschaftlich (Faktor "&amp;FIXED(W18/V18,1)&amp;")")))))</f>
        <v/>
      </c>
      <c r="Y18" s="33">
        <f>IF(AK18="","",IF(AK18=3,IF(T18&gt;0,IF(AG18=3,"Sofort beschaffen: Restbestand / Gebrauchtmarkt / Alternative sichern","Mindestbestand aufbauen ("&amp;T18&amp;" Stk.)"),"Bestand halten, jährlich prüfen"),IF(AK18=2,IF(T18&gt;0,"Bevorratung nach Wirtschaftlichkeit entscheiden; Quelle / Reparatur klären","Lieferzeit und Teilestatus jährlich prüfen"),"Keine Bevorratung – Beschaffung bei Bedarf")))</f>
        <v/>
      </c>
      <c r="Z18" s="25" t="n"/>
      <c r="AA18" s="25" t="n"/>
      <c r="AB18" s="34" t="n"/>
      <c r="AC18" s="26" t="n"/>
      <c r="AD18" s="25" t="n"/>
      <c r="AE18" s="2" t="n"/>
      <c r="AF18" s="35">
        <f>IF(I18="","",VALUE(LEFT(I18,1)))</f>
        <v/>
      </c>
      <c r="AG18" s="35">
        <f>IF(J18="","",VALUE(LEFT(J18,1)))</f>
        <v/>
      </c>
      <c r="AH18" s="35">
        <f>IF(K18="","",VALUE(LEFT(K18,1)))</f>
        <v/>
      </c>
      <c r="AI18" s="35">
        <f>IF(LEFT(L18,2)="ja",1,0)</f>
        <v/>
      </c>
      <c r="AJ18" s="35">
        <f>IF(COUNT(AF18:AH18)&lt;3,"",FIND(INDEX(Matrix,4-AF18,AG18),"CBA"))</f>
        <v/>
      </c>
      <c r="AK18" s="35">
        <f>IF(AJ18="","",MIN(3,MAX(AJ18+IF(AND(Regel_haeufig="ja",AH18=3),1,0),IF(AND(Regel_sicherheit="ja",AI18=1),2,0))))</f>
        <v/>
      </c>
      <c r="AL18" s="35">
        <f>IF(S18&lt;&gt;"",S18,IF(R18="","",R18))</f>
        <v/>
      </c>
      <c r="AM18" s="35">
        <f>IF(AK18="","",AK18*1000+N18*10+(1000-ROW())/100000)</f>
        <v/>
      </c>
    </row>
    <row r="19" ht="45" customHeight="1">
      <c r="A19" s="22">
        <f>IF(C19="","",COUNTA($C$7:C19))</f>
        <v/>
      </c>
      <c r="B19" s="23" t="n"/>
      <c r="C19" s="24" t="n"/>
      <c r="D19" s="25" t="n"/>
      <c r="E19" s="23" t="n"/>
      <c r="F19" s="26" t="n"/>
      <c r="G19" s="25" t="n"/>
      <c r="H19" s="25" t="n"/>
      <c r="I19" s="24" t="n"/>
      <c r="J19" s="24" t="n"/>
      <c r="K19" s="24" t="n"/>
      <c r="L19" s="26" t="n"/>
      <c r="M19" s="27">
        <f>IF(AK19="","",MID("CBA",AK19,1))</f>
        <v/>
      </c>
      <c r="N19" s="22">
        <f>IF(COUNT(AF19:AH19)&lt;3,"",AF19*AG19*AH19)</f>
        <v/>
      </c>
      <c r="O19" s="28">
        <f>IF(C19="","",IF(AJ19="","Bewertung unvollständig / incomplete","Matrix "&amp;MID("CBA",AJ19,1)&amp;IF(AND(Regel_haeufig="ja",AH19=3,AJ19&lt;3)," · häufig +1","")&amp;IF(AND(Regel_sicherheit="ja",AI19=1,AJ19+IF(AND(Regel_haeufig="ja",AH19=3),1,0)&lt;2)," · Sicherheit ⇒ B","")&amp;" → "&amp;M19))</f>
        <v/>
      </c>
      <c r="P19" s="29" t="n"/>
      <c r="Q19" s="25" t="n"/>
      <c r="R19" s="22">
        <f>IF(AK19="","",INDEX(Soll_Tabelle,4-AK19,IF(AH19=3,2,1)))</f>
        <v/>
      </c>
      <c r="S19" s="26" t="n"/>
      <c r="T19" s="22">
        <f>IF(AL19="","",MAX(0,AL19-N(P19)))</f>
        <v/>
      </c>
      <c r="U19" s="30" t="n"/>
      <c r="V19" s="31">
        <f>IF(OR(T19="",U19=""),"",T19*U19)</f>
        <v/>
      </c>
      <c r="W19" s="31">
        <f>IF(COUNT(AF19:AG19)&lt;2,"",INDEX(Stillstand_h,AG19)*INDEX(Kostensatz,AF19))</f>
        <v/>
      </c>
      <c r="X19" s="32">
        <f>IF(AK19="","",IF(T19=0,"Bestand ausreichend / stock sufficient",IF(U19="","Stückpreis fehlt / price missing",IF(V19=0,"–",IF(W19/V19&gt;=Faktor_wirtschaftlich,"wirtschaftlich (Faktor "&amp;FIXED(W19/V19,1)&amp;")","nicht wirtschaftlich (Faktor "&amp;FIXED(W19/V19,1)&amp;")")))))</f>
        <v/>
      </c>
      <c r="Y19" s="33">
        <f>IF(AK19="","",IF(AK19=3,IF(T19&gt;0,IF(AG19=3,"Sofort beschaffen: Restbestand / Gebrauchtmarkt / Alternative sichern","Mindestbestand aufbauen ("&amp;T19&amp;" Stk.)"),"Bestand halten, jährlich prüfen"),IF(AK19=2,IF(T19&gt;0,"Bevorratung nach Wirtschaftlichkeit entscheiden; Quelle / Reparatur klären","Lieferzeit und Teilestatus jährlich prüfen"),"Keine Bevorratung – Beschaffung bei Bedarf")))</f>
        <v/>
      </c>
      <c r="Z19" s="25" t="n"/>
      <c r="AA19" s="25" t="n"/>
      <c r="AB19" s="34" t="n"/>
      <c r="AC19" s="26" t="n"/>
      <c r="AD19" s="25" t="n"/>
      <c r="AE19" s="2" t="n"/>
      <c r="AF19" s="35">
        <f>IF(I19="","",VALUE(LEFT(I19,1)))</f>
        <v/>
      </c>
      <c r="AG19" s="35">
        <f>IF(J19="","",VALUE(LEFT(J19,1)))</f>
        <v/>
      </c>
      <c r="AH19" s="35">
        <f>IF(K19="","",VALUE(LEFT(K19,1)))</f>
        <v/>
      </c>
      <c r="AI19" s="35">
        <f>IF(LEFT(L19,2)="ja",1,0)</f>
        <v/>
      </c>
      <c r="AJ19" s="35">
        <f>IF(COUNT(AF19:AH19)&lt;3,"",FIND(INDEX(Matrix,4-AF19,AG19),"CBA"))</f>
        <v/>
      </c>
      <c r="AK19" s="35">
        <f>IF(AJ19="","",MIN(3,MAX(AJ19+IF(AND(Regel_haeufig="ja",AH19=3),1,0),IF(AND(Regel_sicherheit="ja",AI19=1),2,0))))</f>
        <v/>
      </c>
      <c r="AL19" s="35">
        <f>IF(S19&lt;&gt;"",S19,IF(R19="","",R19))</f>
        <v/>
      </c>
      <c r="AM19" s="35">
        <f>IF(AK19="","",AK19*1000+N19*10+(1000-ROW())/100000)</f>
        <v/>
      </c>
    </row>
    <row r="20" ht="45" customHeight="1">
      <c r="A20" s="22">
        <f>IF(C20="","",COUNTA($C$7:C20))</f>
        <v/>
      </c>
      <c r="B20" s="23" t="n"/>
      <c r="C20" s="24" t="n"/>
      <c r="D20" s="25" t="n"/>
      <c r="E20" s="23" t="n"/>
      <c r="F20" s="26" t="n"/>
      <c r="G20" s="25" t="n"/>
      <c r="H20" s="25" t="n"/>
      <c r="I20" s="24" t="n"/>
      <c r="J20" s="24" t="n"/>
      <c r="K20" s="24" t="n"/>
      <c r="L20" s="26" t="n"/>
      <c r="M20" s="27">
        <f>IF(AK20="","",MID("CBA",AK20,1))</f>
        <v/>
      </c>
      <c r="N20" s="22">
        <f>IF(COUNT(AF20:AH20)&lt;3,"",AF20*AG20*AH20)</f>
        <v/>
      </c>
      <c r="O20" s="28">
        <f>IF(C20="","",IF(AJ20="","Bewertung unvollständig / incomplete","Matrix "&amp;MID("CBA",AJ20,1)&amp;IF(AND(Regel_haeufig="ja",AH20=3,AJ20&lt;3)," · häufig +1","")&amp;IF(AND(Regel_sicherheit="ja",AI20=1,AJ20+IF(AND(Regel_haeufig="ja",AH20=3),1,0)&lt;2)," · Sicherheit ⇒ B","")&amp;" → "&amp;M20))</f>
        <v/>
      </c>
      <c r="P20" s="29" t="n"/>
      <c r="Q20" s="25" t="n"/>
      <c r="R20" s="22">
        <f>IF(AK20="","",INDEX(Soll_Tabelle,4-AK20,IF(AH20=3,2,1)))</f>
        <v/>
      </c>
      <c r="S20" s="26" t="n"/>
      <c r="T20" s="22">
        <f>IF(AL20="","",MAX(0,AL20-N(P20)))</f>
        <v/>
      </c>
      <c r="U20" s="30" t="n"/>
      <c r="V20" s="31">
        <f>IF(OR(T20="",U20=""),"",T20*U20)</f>
        <v/>
      </c>
      <c r="W20" s="31">
        <f>IF(COUNT(AF20:AG20)&lt;2,"",INDEX(Stillstand_h,AG20)*INDEX(Kostensatz,AF20))</f>
        <v/>
      </c>
      <c r="X20" s="32">
        <f>IF(AK20="","",IF(T20=0,"Bestand ausreichend / stock sufficient",IF(U20="","Stückpreis fehlt / price missing",IF(V20=0,"–",IF(W20/V20&gt;=Faktor_wirtschaftlich,"wirtschaftlich (Faktor "&amp;FIXED(W20/V20,1)&amp;")","nicht wirtschaftlich (Faktor "&amp;FIXED(W20/V20,1)&amp;")")))))</f>
        <v/>
      </c>
      <c r="Y20" s="33">
        <f>IF(AK20="","",IF(AK20=3,IF(T20&gt;0,IF(AG20=3,"Sofort beschaffen: Restbestand / Gebrauchtmarkt / Alternative sichern","Mindestbestand aufbauen ("&amp;T20&amp;" Stk.)"),"Bestand halten, jährlich prüfen"),IF(AK20=2,IF(T20&gt;0,"Bevorratung nach Wirtschaftlichkeit entscheiden; Quelle / Reparatur klären","Lieferzeit und Teilestatus jährlich prüfen"),"Keine Bevorratung – Beschaffung bei Bedarf")))</f>
        <v/>
      </c>
      <c r="Z20" s="25" t="n"/>
      <c r="AA20" s="25" t="n"/>
      <c r="AB20" s="34" t="n"/>
      <c r="AC20" s="26" t="n"/>
      <c r="AD20" s="25" t="n"/>
      <c r="AE20" s="2" t="n"/>
      <c r="AF20" s="35">
        <f>IF(I20="","",VALUE(LEFT(I20,1)))</f>
        <v/>
      </c>
      <c r="AG20" s="35">
        <f>IF(J20="","",VALUE(LEFT(J20,1)))</f>
        <v/>
      </c>
      <c r="AH20" s="35">
        <f>IF(K20="","",VALUE(LEFT(K20,1)))</f>
        <v/>
      </c>
      <c r="AI20" s="35">
        <f>IF(LEFT(L20,2)="ja",1,0)</f>
        <v/>
      </c>
      <c r="AJ20" s="35">
        <f>IF(COUNT(AF20:AH20)&lt;3,"",FIND(INDEX(Matrix,4-AF20,AG20),"CBA"))</f>
        <v/>
      </c>
      <c r="AK20" s="35">
        <f>IF(AJ20="","",MIN(3,MAX(AJ20+IF(AND(Regel_haeufig="ja",AH20=3),1,0),IF(AND(Regel_sicherheit="ja",AI20=1),2,0))))</f>
        <v/>
      </c>
      <c r="AL20" s="35">
        <f>IF(S20&lt;&gt;"",S20,IF(R20="","",R20))</f>
        <v/>
      </c>
      <c r="AM20" s="35">
        <f>IF(AK20="","",AK20*1000+N20*10+(1000-ROW())/100000)</f>
        <v/>
      </c>
    </row>
    <row r="21" ht="45" customHeight="1">
      <c r="A21" s="22">
        <f>IF(C21="","",COUNTA($C$7:C21))</f>
        <v/>
      </c>
      <c r="B21" s="23" t="n"/>
      <c r="C21" s="24" t="n"/>
      <c r="D21" s="25" t="n"/>
      <c r="E21" s="23" t="n"/>
      <c r="F21" s="26" t="n"/>
      <c r="G21" s="25" t="n"/>
      <c r="H21" s="25" t="n"/>
      <c r="I21" s="24" t="n"/>
      <c r="J21" s="24" t="n"/>
      <c r="K21" s="24" t="n"/>
      <c r="L21" s="26" t="n"/>
      <c r="M21" s="27">
        <f>IF(AK21="","",MID("CBA",AK21,1))</f>
        <v/>
      </c>
      <c r="N21" s="22">
        <f>IF(COUNT(AF21:AH21)&lt;3,"",AF21*AG21*AH21)</f>
        <v/>
      </c>
      <c r="O21" s="28">
        <f>IF(C21="","",IF(AJ21="","Bewertung unvollständig / incomplete","Matrix "&amp;MID("CBA",AJ21,1)&amp;IF(AND(Regel_haeufig="ja",AH21=3,AJ21&lt;3)," · häufig +1","")&amp;IF(AND(Regel_sicherheit="ja",AI21=1,AJ21+IF(AND(Regel_haeufig="ja",AH21=3),1,0)&lt;2)," · Sicherheit ⇒ B","")&amp;" → "&amp;M21))</f>
        <v/>
      </c>
      <c r="P21" s="29" t="n"/>
      <c r="Q21" s="25" t="n"/>
      <c r="R21" s="22">
        <f>IF(AK21="","",INDEX(Soll_Tabelle,4-AK21,IF(AH21=3,2,1)))</f>
        <v/>
      </c>
      <c r="S21" s="26" t="n"/>
      <c r="T21" s="22">
        <f>IF(AL21="","",MAX(0,AL21-N(P21)))</f>
        <v/>
      </c>
      <c r="U21" s="30" t="n"/>
      <c r="V21" s="31">
        <f>IF(OR(T21="",U21=""),"",T21*U21)</f>
        <v/>
      </c>
      <c r="W21" s="31">
        <f>IF(COUNT(AF21:AG21)&lt;2,"",INDEX(Stillstand_h,AG21)*INDEX(Kostensatz,AF21))</f>
        <v/>
      </c>
      <c r="X21" s="32">
        <f>IF(AK21="","",IF(T21=0,"Bestand ausreichend / stock sufficient",IF(U21="","Stückpreis fehlt / price missing",IF(V21=0,"–",IF(W21/V21&gt;=Faktor_wirtschaftlich,"wirtschaftlich (Faktor "&amp;FIXED(W21/V21,1)&amp;")","nicht wirtschaftlich (Faktor "&amp;FIXED(W21/V21,1)&amp;")")))))</f>
        <v/>
      </c>
      <c r="Y21" s="33">
        <f>IF(AK21="","",IF(AK21=3,IF(T21&gt;0,IF(AG21=3,"Sofort beschaffen: Restbestand / Gebrauchtmarkt / Alternative sichern","Mindestbestand aufbauen ("&amp;T21&amp;" Stk.)"),"Bestand halten, jährlich prüfen"),IF(AK21=2,IF(T21&gt;0,"Bevorratung nach Wirtschaftlichkeit entscheiden; Quelle / Reparatur klären","Lieferzeit und Teilestatus jährlich prüfen"),"Keine Bevorratung – Beschaffung bei Bedarf")))</f>
        <v/>
      </c>
      <c r="Z21" s="25" t="n"/>
      <c r="AA21" s="25" t="n"/>
      <c r="AB21" s="34" t="n"/>
      <c r="AC21" s="26" t="n"/>
      <c r="AD21" s="25" t="n"/>
      <c r="AE21" s="2" t="n"/>
      <c r="AF21" s="35">
        <f>IF(I21="","",VALUE(LEFT(I21,1)))</f>
        <v/>
      </c>
      <c r="AG21" s="35">
        <f>IF(J21="","",VALUE(LEFT(J21,1)))</f>
        <v/>
      </c>
      <c r="AH21" s="35">
        <f>IF(K21="","",VALUE(LEFT(K21,1)))</f>
        <v/>
      </c>
      <c r="AI21" s="35">
        <f>IF(LEFT(L21,2)="ja",1,0)</f>
        <v/>
      </c>
      <c r="AJ21" s="35">
        <f>IF(COUNT(AF21:AH21)&lt;3,"",FIND(INDEX(Matrix,4-AF21,AG21),"CBA"))</f>
        <v/>
      </c>
      <c r="AK21" s="35">
        <f>IF(AJ21="","",MIN(3,MAX(AJ21+IF(AND(Regel_haeufig="ja",AH21=3),1,0),IF(AND(Regel_sicherheit="ja",AI21=1),2,0))))</f>
        <v/>
      </c>
      <c r="AL21" s="35">
        <f>IF(S21&lt;&gt;"",S21,IF(R21="","",R21))</f>
        <v/>
      </c>
      <c r="AM21" s="35">
        <f>IF(AK21="","",AK21*1000+N21*10+(1000-ROW())/100000)</f>
        <v/>
      </c>
    </row>
    <row r="22" ht="45" customHeight="1">
      <c r="A22" s="22">
        <f>IF(C22="","",COUNTA($C$7:C22))</f>
        <v/>
      </c>
      <c r="B22" s="23" t="n"/>
      <c r="C22" s="24" t="n"/>
      <c r="D22" s="25" t="n"/>
      <c r="E22" s="23" t="n"/>
      <c r="F22" s="26" t="n"/>
      <c r="G22" s="25" t="n"/>
      <c r="H22" s="25" t="n"/>
      <c r="I22" s="24" t="n"/>
      <c r="J22" s="24" t="n"/>
      <c r="K22" s="24" t="n"/>
      <c r="L22" s="26" t="n"/>
      <c r="M22" s="27">
        <f>IF(AK22="","",MID("CBA",AK22,1))</f>
        <v/>
      </c>
      <c r="N22" s="22">
        <f>IF(COUNT(AF22:AH22)&lt;3,"",AF22*AG22*AH22)</f>
        <v/>
      </c>
      <c r="O22" s="28">
        <f>IF(C22="","",IF(AJ22="","Bewertung unvollständig / incomplete","Matrix "&amp;MID("CBA",AJ22,1)&amp;IF(AND(Regel_haeufig="ja",AH22=3,AJ22&lt;3)," · häufig +1","")&amp;IF(AND(Regel_sicherheit="ja",AI22=1,AJ22+IF(AND(Regel_haeufig="ja",AH22=3),1,0)&lt;2)," · Sicherheit ⇒ B","")&amp;" → "&amp;M22))</f>
        <v/>
      </c>
      <c r="P22" s="29" t="n"/>
      <c r="Q22" s="25" t="n"/>
      <c r="R22" s="22">
        <f>IF(AK22="","",INDEX(Soll_Tabelle,4-AK22,IF(AH22=3,2,1)))</f>
        <v/>
      </c>
      <c r="S22" s="26" t="n"/>
      <c r="T22" s="22">
        <f>IF(AL22="","",MAX(0,AL22-N(P22)))</f>
        <v/>
      </c>
      <c r="U22" s="30" t="n"/>
      <c r="V22" s="31">
        <f>IF(OR(T22="",U22=""),"",T22*U22)</f>
        <v/>
      </c>
      <c r="W22" s="31">
        <f>IF(COUNT(AF22:AG22)&lt;2,"",INDEX(Stillstand_h,AG22)*INDEX(Kostensatz,AF22))</f>
        <v/>
      </c>
      <c r="X22" s="32">
        <f>IF(AK22="","",IF(T22=0,"Bestand ausreichend / stock sufficient",IF(U22="","Stückpreis fehlt / price missing",IF(V22=0,"–",IF(W22/V22&gt;=Faktor_wirtschaftlich,"wirtschaftlich (Faktor "&amp;FIXED(W22/V22,1)&amp;")","nicht wirtschaftlich (Faktor "&amp;FIXED(W22/V22,1)&amp;")")))))</f>
        <v/>
      </c>
      <c r="Y22" s="33">
        <f>IF(AK22="","",IF(AK22=3,IF(T22&gt;0,IF(AG22=3,"Sofort beschaffen: Restbestand / Gebrauchtmarkt / Alternative sichern","Mindestbestand aufbauen ("&amp;T22&amp;" Stk.)"),"Bestand halten, jährlich prüfen"),IF(AK22=2,IF(T22&gt;0,"Bevorratung nach Wirtschaftlichkeit entscheiden; Quelle / Reparatur klären","Lieferzeit und Teilestatus jährlich prüfen"),"Keine Bevorratung – Beschaffung bei Bedarf")))</f>
        <v/>
      </c>
      <c r="Z22" s="25" t="n"/>
      <c r="AA22" s="25" t="n"/>
      <c r="AB22" s="34" t="n"/>
      <c r="AC22" s="26" t="n"/>
      <c r="AD22" s="25" t="n"/>
      <c r="AE22" s="2" t="n"/>
      <c r="AF22" s="35">
        <f>IF(I22="","",VALUE(LEFT(I22,1)))</f>
        <v/>
      </c>
      <c r="AG22" s="35">
        <f>IF(J22="","",VALUE(LEFT(J22,1)))</f>
        <v/>
      </c>
      <c r="AH22" s="35">
        <f>IF(K22="","",VALUE(LEFT(K22,1)))</f>
        <v/>
      </c>
      <c r="AI22" s="35">
        <f>IF(LEFT(L22,2)="ja",1,0)</f>
        <v/>
      </c>
      <c r="AJ22" s="35">
        <f>IF(COUNT(AF22:AH22)&lt;3,"",FIND(INDEX(Matrix,4-AF22,AG22),"CBA"))</f>
        <v/>
      </c>
      <c r="AK22" s="35">
        <f>IF(AJ22="","",MIN(3,MAX(AJ22+IF(AND(Regel_haeufig="ja",AH22=3),1,0),IF(AND(Regel_sicherheit="ja",AI22=1),2,0))))</f>
        <v/>
      </c>
      <c r="AL22" s="35">
        <f>IF(S22&lt;&gt;"",S22,IF(R22="","",R22))</f>
        <v/>
      </c>
      <c r="AM22" s="35">
        <f>IF(AK22="","",AK22*1000+N22*10+(1000-ROW())/100000)</f>
        <v/>
      </c>
    </row>
    <row r="23" ht="45" customHeight="1">
      <c r="A23" s="22">
        <f>IF(C23="","",COUNTA($C$7:C23))</f>
        <v/>
      </c>
      <c r="B23" s="23" t="n"/>
      <c r="C23" s="24" t="n"/>
      <c r="D23" s="25" t="n"/>
      <c r="E23" s="23" t="n"/>
      <c r="F23" s="26" t="n"/>
      <c r="G23" s="25" t="n"/>
      <c r="H23" s="25" t="n"/>
      <c r="I23" s="24" t="n"/>
      <c r="J23" s="24" t="n"/>
      <c r="K23" s="24" t="n"/>
      <c r="L23" s="26" t="n"/>
      <c r="M23" s="27">
        <f>IF(AK23="","",MID("CBA",AK23,1))</f>
        <v/>
      </c>
      <c r="N23" s="22">
        <f>IF(COUNT(AF23:AH23)&lt;3,"",AF23*AG23*AH23)</f>
        <v/>
      </c>
      <c r="O23" s="28">
        <f>IF(C23="","",IF(AJ23="","Bewertung unvollständig / incomplete","Matrix "&amp;MID("CBA",AJ23,1)&amp;IF(AND(Regel_haeufig="ja",AH23=3,AJ23&lt;3)," · häufig +1","")&amp;IF(AND(Regel_sicherheit="ja",AI23=1,AJ23+IF(AND(Regel_haeufig="ja",AH23=3),1,0)&lt;2)," · Sicherheit ⇒ B","")&amp;" → "&amp;M23))</f>
        <v/>
      </c>
      <c r="P23" s="29" t="n"/>
      <c r="Q23" s="25" t="n"/>
      <c r="R23" s="22">
        <f>IF(AK23="","",INDEX(Soll_Tabelle,4-AK23,IF(AH23=3,2,1)))</f>
        <v/>
      </c>
      <c r="S23" s="26" t="n"/>
      <c r="T23" s="22">
        <f>IF(AL23="","",MAX(0,AL23-N(P23)))</f>
        <v/>
      </c>
      <c r="U23" s="30" t="n"/>
      <c r="V23" s="31">
        <f>IF(OR(T23="",U23=""),"",T23*U23)</f>
        <v/>
      </c>
      <c r="W23" s="31">
        <f>IF(COUNT(AF23:AG23)&lt;2,"",INDEX(Stillstand_h,AG23)*INDEX(Kostensatz,AF23))</f>
        <v/>
      </c>
      <c r="X23" s="32">
        <f>IF(AK23="","",IF(T23=0,"Bestand ausreichend / stock sufficient",IF(U23="","Stückpreis fehlt / price missing",IF(V23=0,"–",IF(W23/V23&gt;=Faktor_wirtschaftlich,"wirtschaftlich (Faktor "&amp;FIXED(W23/V23,1)&amp;")","nicht wirtschaftlich (Faktor "&amp;FIXED(W23/V23,1)&amp;")")))))</f>
        <v/>
      </c>
      <c r="Y23" s="33">
        <f>IF(AK23="","",IF(AK23=3,IF(T23&gt;0,IF(AG23=3,"Sofort beschaffen: Restbestand / Gebrauchtmarkt / Alternative sichern","Mindestbestand aufbauen ("&amp;T23&amp;" Stk.)"),"Bestand halten, jährlich prüfen"),IF(AK23=2,IF(T23&gt;0,"Bevorratung nach Wirtschaftlichkeit entscheiden; Quelle / Reparatur klären","Lieferzeit und Teilestatus jährlich prüfen"),"Keine Bevorratung – Beschaffung bei Bedarf")))</f>
        <v/>
      </c>
      <c r="Z23" s="25" t="n"/>
      <c r="AA23" s="25" t="n"/>
      <c r="AB23" s="34" t="n"/>
      <c r="AC23" s="26" t="n"/>
      <c r="AD23" s="25" t="n"/>
      <c r="AE23" s="2" t="n"/>
      <c r="AF23" s="35">
        <f>IF(I23="","",VALUE(LEFT(I23,1)))</f>
        <v/>
      </c>
      <c r="AG23" s="35">
        <f>IF(J23="","",VALUE(LEFT(J23,1)))</f>
        <v/>
      </c>
      <c r="AH23" s="35">
        <f>IF(K23="","",VALUE(LEFT(K23,1)))</f>
        <v/>
      </c>
      <c r="AI23" s="35">
        <f>IF(LEFT(L23,2)="ja",1,0)</f>
        <v/>
      </c>
      <c r="AJ23" s="35">
        <f>IF(COUNT(AF23:AH23)&lt;3,"",FIND(INDEX(Matrix,4-AF23,AG23),"CBA"))</f>
        <v/>
      </c>
      <c r="AK23" s="35">
        <f>IF(AJ23="","",MIN(3,MAX(AJ23+IF(AND(Regel_haeufig="ja",AH23=3),1,0),IF(AND(Regel_sicherheit="ja",AI23=1),2,0))))</f>
        <v/>
      </c>
      <c r="AL23" s="35">
        <f>IF(S23&lt;&gt;"",S23,IF(R23="","",R23))</f>
        <v/>
      </c>
      <c r="AM23" s="35">
        <f>IF(AK23="","",AK23*1000+N23*10+(1000-ROW())/100000)</f>
        <v/>
      </c>
    </row>
    <row r="24" ht="45" customHeight="1">
      <c r="A24" s="22">
        <f>IF(C24="","",COUNTA($C$7:C24))</f>
        <v/>
      </c>
      <c r="B24" s="23" t="n"/>
      <c r="C24" s="24" t="n"/>
      <c r="D24" s="25" t="n"/>
      <c r="E24" s="23" t="n"/>
      <c r="F24" s="26" t="n"/>
      <c r="G24" s="25" t="n"/>
      <c r="H24" s="25" t="n"/>
      <c r="I24" s="24" t="n"/>
      <c r="J24" s="24" t="n"/>
      <c r="K24" s="24" t="n"/>
      <c r="L24" s="26" t="n"/>
      <c r="M24" s="27">
        <f>IF(AK24="","",MID("CBA",AK24,1))</f>
        <v/>
      </c>
      <c r="N24" s="22">
        <f>IF(COUNT(AF24:AH24)&lt;3,"",AF24*AG24*AH24)</f>
        <v/>
      </c>
      <c r="O24" s="28">
        <f>IF(C24="","",IF(AJ24="","Bewertung unvollständig / incomplete","Matrix "&amp;MID("CBA",AJ24,1)&amp;IF(AND(Regel_haeufig="ja",AH24=3,AJ24&lt;3)," · häufig +1","")&amp;IF(AND(Regel_sicherheit="ja",AI24=1,AJ24+IF(AND(Regel_haeufig="ja",AH24=3),1,0)&lt;2)," · Sicherheit ⇒ B","")&amp;" → "&amp;M24))</f>
        <v/>
      </c>
      <c r="P24" s="29" t="n"/>
      <c r="Q24" s="25" t="n"/>
      <c r="R24" s="22">
        <f>IF(AK24="","",INDEX(Soll_Tabelle,4-AK24,IF(AH24=3,2,1)))</f>
        <v/>
      </c>
      <c r="S24" s="26" t="n"/>
      <c r="T24" s="22">
        <f>IF(AL24="","",MAX(0,AL24-N(P24)))</f>
        <v/>
      </c>
      <c r="U24" s="30" t="n"/>
      <c r="V24" s="31">
        <f>IF(OR(T24="",U24=""),"",T24*U24)</f>
        <v/>
      </c>
      <c r="W24" s="31">
        <f>IF(COUNT(AF24:AG24)&lt;2,"",INDEX(Stillstand_h,AG24)*INDEX(Kostensatz,AF24))</f>
        <v/>
      </c>
      <c r="X24" s="32">
        <f>IF(AK24="","",IF(T24=0,"Bestand ausreichend / stock sufficient",IF(U24="","Stückpreis fehlt / price missing",IF(V24=0,"–",IF(W24/V24&gt;=Faktor_wirtschaftlich,"wirtschaftlich (Faktor "&amp;FIXED(W24/V24,1)&amp;")","nicht wirtschaftlich (Faktor "&amp;FIXED(W24/V24,1)&amp;")")))))</f>
        <v/>
      </c>
      <c r="Y24" s="33">
        <f>IF(AK24="","",IF(AK24=3,IF(T24&gt;0,IF(AG24=3,"Sofort beschaffen: Restbestand / Gebrauchtmarkt / Alternative sichern","Mindestbestand aufbauen ("&amp;T24&amp;" Stk.)"),"Bestand halten, jährlich prüfen"),IF(AK24=2,IF(T24&gt;0,"Bevorratung nach Wirtschaftlichkeit entscheiden; Quelle / Reparatur klären","Lieferzeit und Teilestatus jährlich prüfen"),"Keine Bevorratung – Beschaffung bei Bedarf")))</f>
        <v/>
      </c>
      <c r="Z24" s="25" t="n"/>
      <c r="AA24" s="25" t="n"/>
      <c r="AB24" s="34" t="n"/>
      <c r="AC24" s="26" t="n"/>
      <c r="AD24" s="25" t="n"/>
      <c r="AE24" s="2" t="n"/>
      <c r="AF24" s="35">
        <f>IF(I24="","",VALUE(LEFT(I24,1)))</f>
        <v/>
      </c>
      <c r="AG24" s="35">
        <f>IF(J24="","",VALUE(LEFT(J24,1)))</f>
        <v/>
      </c>
      <c r="AH24" s="35">
        <f>IF(K24="","",VALUE(LEFT(K24,1)))</f>
        <v/>
      </c>
      <c r="AI24" s="35">
        <f>IF(LEFT(L24,2)="ja",1,0)</f>
        <v/>
      </c>
      <c r="AJ24" s="35">
        <f>IF(COUNT(AF24:AH24)&lt;3,"",FIND(INDEX(Matrix,4-AF24,AG24),"CBA"))</f>
        <v/>
      </c>
      <c r="AK24" s="35">
        <f>IF(AJ24="","",MIN(3,MAX(AJ24+IF(AND(Regel_haeufig="ja",AH24=3),1,0),IF(AND(Regel_sicherheit="ja",AI24=1),2,0))))</f>
        <v/>
      </c>
      <c r="AL24" s="35">
        <f>IF(S24&lt;&gt;"",S24,IF(R24="","",R24))</f>
        <v/>
      </c>
      <c r="AM24" s="35">
        <f>IF(AK24="","",AK24*1000+N24*10+(1000-ROW())/100000)</f>
        <v/>
      </c>
    </row>
    <row r="25" ht="45" customHeight="1">
      <c r="A25" s="22">
        <f>IF(C25="","",COUNTA($C$7:C25))</f>
        <v/>
      </c>
      <c r="B25" s="23" t="n"/>
      <c r="C25" s="24" t="n"/>
      <c r="D25" s="25" t="n"/>
      <c r="E25" s="23" t="n"/>
      <c r="F25" s="26" t="n"/>
      <c r="G25" s="25" t="n"/>
      <c r="H25" s="25" t="n"/>
      <c r="I25" s="24" t="n"/>
      <c r="J25" s="24" t="n"/>
      <c r="K25" s="24" t="n"/>
      <c r="L25" s="26" t="n"/>
      <c r="M25" s="27">
        <f>IF(AK25="","",MID("CBA",AK25,1))</f>
        <v/>
      </c>
      <c r="N25" s="22">
        <f>IF(COUNT(AF25:AH25)&lt;3,"",AF25*AG25*AH25)</f>
        <v/>
      </c>
      <c r="O25" s="28">
        <f>IF(C25="","",IF(AJ25="","Bewertung unvollständig / incomplete","Matrix "&amp;MID("CBA",AJ25,1)&amp;IF(AND(Regel_haeufig="ja",AH25=3,AJ25&lt;3)," · häufig +1","")&amp;IF(AND(Regel_sicherheit="ja",AI25=1,AJ25+IF(AND(Regel_haeufig="ja",AH25=3),1,0)&lt;2)," · Sicherheit ⇒ B","")&amp;" → "&amp;M25))</f>
        <v/>
      </c>
      <c r="P25" s="29" t="n"/>
      <c r="Q25" s="25" t="n"/>
      <c r="R25" s="22">
        <f>IF(AK25="","",INDEX(Soll_Tabelle,4-AK25,IF(AH25=3,2,1)))</f>
        <v/>
      </c>
      <c r="S25" s="26" t="n"/>
      <c r="T25" s="22">
        <f>IF(AL25="","",MAX(0,AL25-N(P25)))</f>
        <v/>
      </c>
      <c r="U25" s="30" t="n"/>
      <c r="V25" s="31">
        <f>IF(OR(T25="",U25=""),"",T25*U25)</f>
        <v/>
      </c>
      <c r="W25" s="31">
        <f>IF(COUNT(AF25:AG25)&lt;2,"",INDEX(Stillstand_h,AG25)*INDEX(Kostensatz,AF25))</f>
        <v/>
      </c>
      <c r="X25" s="32">
        <f>IF(AK25="","",IF(T25=0,"Bestand ausreichend / stock sufficient",IF(U25="","Stückpreis fehlt / price missing",IF(V25=0,"–",IF(W25/V25&gt;=Faktor_wirtschaftlich,"wirtschaftlich (Faktor "&amp;FIXED(W25/V25,1)&amp;")","nicht wirtschaftlich (Faktor "&amp;FIXED(W25/V25,1)&amp;")")))))</f>
        <v/>
      </c>
      <c r="Y25" s="33">
        <f>IF(AK25="","",IF(AK25=3,IF(T25&gt;0,IF(AG25=3,"Sofort beschaffen: Restbestand / Gebrauchtmarkt / Alternative sichern","Mindestbestand aufbauen ("&amp;T25&amp;" Stk.)"),"Bestand halten, jährlich prüfen"),IF(AK25=2,IF(T25&gt;0,"Bevorratung nach Wirtschaftlichkeit entscheiden; Quelle / Reparatur klären","Lieferzeit und Teilestatus jährlich prüfen"),"Keine Bevorratung – Beschaffung bei Bedarf")))</f>
        <v/>
      </c>
      <c r="Z25" s="25" t="n"/>
      <c r="AA25" s="25" t="n"/>
      <c r="AB25" s="34" t="n"/>
      <c r="AC25" s="26" t="n"/>
      <c r="AD25" s="25" t="n"/>
      <c r="AE25" s="2" t="n"/>
      <c r="AF25" s="35">
        <f>IF(I25="","",VALUE(LEFT(I25,1)))</f>
        <v/>
      </c>
      <c r="AG25" s="35">
        <f>IF(J25="","",VALUE(LEFT(J25,1)))</f>
        <v/>
      </c>
      <c r="AH25" s="35">
        <f>IF(K25="","",VALUE(LEFT(K25,1)))</f>
        <v/>
      </c>
      <c r="AI25" s="35">
        <f>IF(LEFT(L25,2)="ja",1,0)</f>
        <v/>
      </c>
      <c r="AJ25" s="35">
        <f>IF(COUNT(AF25:AH25)&lt;3,"",FIND(INDEX(Matrix,4-AF25,AG25),"CBA"))</f>
        <v/>
      </c>
      <c r="AK25" s="35">
        <f>IF(AJ25="","",MIN(3,MAX(AJ25+IF(AND(Regel_haeufig="ja",AH25=3),1,0),IF(AND(Regel_sicherheit="ja",AI25=1),2,0))))</f>
        <v/>
      </c>
      <c r="AL25" s="35">
        <f>IF(S25&lt;&gt;"",S25,IF(R25="","",R25))</f>
        <v/>
      </c>
      <c r="AM25" s="35">
        <f>IF(AK25="","",AK25*1000+N25*10+(1000-ROW())/100000)</f>
        <v/>
      </c>
    </row>
    <row r="26" ht="45" customHeight="1">
      <c r="A26" s="22">
        <f>IF(C26="","",COUNTA($C$7:C26))</f>
        <v/>
      </c>
      <c r="B26" s="23" t="n"/>
      <c r="C26" s="24" t="n"/>
      <c r="D26" s="25" t="n"/>
      <c r="E26" s="23" t="n"/>
      <c r="F26" s="26" t="n"/>
      <c r="G26" s="25" t="n"/>
      <c r="H26" s="25" t="n"/>
      <c r="I26" s="24" t="n"/>
      <c r="J26" s="24" t="n"/>
      <c r="K26" s="24" t="n"/>
      <c r="L26" s="26" t="n"/>
      <c r="M26" s="27">
        <f>IF(AK26="","",MID("CBA",AK26,1))</f>
        <v/>
      </c>
      <c r="N26" s="22">
        <f>IF(COUNT(AF26:AH26)&lt;3,"",AF26*AG26*AH26)</f>
        <v/>
      </c>
      <c r="O26" s="28">
        <f>IF(C26="","",IF(AJ26="","Bewertung unvollständig / incomplete","Matrix "&amp;MID("CBA",AJ26,1)&amp;IF(AND(Regel_haeufig="ja",AH26=3,AJ26&lt;3)," · häufig +1","")&amp;IF(AND(Regel_sicherheit="ja",AI26=1,AJ26+IF(AND(Regel_haeufig="ja",AH26=3),1,0)&lt;2)," · Sicherheit ⇒ B","")&amp;" → "&amp;M26))</f>
        <v/>
      </c>
      <c r="P26" s="29" t="n"/>
      <c r="Q26" s="25" t="n"/>
      <c r="R26" s="22">
        <f>IF(AK26="","",INDEX(Soll_Tabelle,4-AK26,IF(AH26=3,2,1)))</f>
        <v/>
      </c>
      <c r="S26" s="26" t="n"/>
      <c r="T26" s="22">
        <f>IF(AL26="","",MAX(0,AL26-N(P26)))</f>
        <v/>
      </c>
      <c r="U26" s="30" t="n"/>
      <c r="V26" s="31">
        <f>IF(OR(T26="",U26=""),"",T26*U26)</f>
        <v/>
      </c>
      <c r="W26" s="31">
        <f>IF(COUNT(AF26:AG26)&lt;2,"",INDEX(Stillstand_h,AG26)*INDEX(Kostensatz,AF26))</f>
        <v/>
      </c>
      <c r="X26" s="32">
        <f>IF(AK26="","",IF(T26=0,"Bestand ausreichend / stock sufficient",IF(U26="","Stückpreis fehlt / price missing",IF(V26=0,"–",IF(W26/V26&gt;=Faktor_wirtschaftlich,"wirtschaftlich (Faktor "&amp;FIXED(W26/V26,1)&amp;")","nicht wirtschaftlich (Faktor "&amp;FIXED(W26/V26,1)&amp;")")))))</f>
        <v/>
      </c>
      <c r="Y26" s="33">
        <f>IF(AK26="","",IF(AK26=3,IF(T26&gt;0,IF(AG26=3,"Sofort beschaffen: Restbestand / Gebrauchtmarkt / Alternative sichern","Mindestbestand aufbauen ("&amp;T26&amp;" Stk.)"),"Bestand halten, jährlich prüfen"),IF(AK26=2,IF(T26&gt;0,"Bevorratung nach Wirtschaftlichkeit entscheiden; Quelle / Reparatur klären","Lieferzeit und Teilestatus jährlich prüfen"),"Keine Bevorratung – Beschaffung bei Bedarf")))</f>
        <v/>
      </c>
      <c r="Z26" s="25" t="n"/>
      <c r="AA26" s="25" t="n"/>
      <c r="AB26" s="34" t="n"/>
      <c r="AC26" s="26" t="n"/>
      <c r="AD26" s="25" t="n"/>
      <c r="AE26" s="2" t="n"/>
      <c r="AF26" s="35">
        <f>IF(I26="","",VALUE(LEFT(I26,1)))</f>
        <v/>
      </c>
      <c r="AG26" s="35">
        <f>IF(J26="","",VALUE(LEFT(J26,1)))</f>
        <v/>
      </c>
      <c r="AH26" s="35">
        <f>IF(K26="","",VALUE(LEFT(K26,1)))</f>
        <v/>
      </c>
      <c r="AI26" s="35">
        <f>IF(LEFT(L26,2)="ja",1,0)</f>
        <v/>
      </c>
      <c r="AJ26" s="35">
        <f>IF(COUNT(AF26:AH26)&lt;3,"",FIND(INDEX(Matrix,4-AF26,AG26),"CBA"))</f>
        <v/>
      </c>
      <c r="AK26" s="35">
        <f>IF(AJ26="","",MIN(3,MAX(AJ26+IF(AND(Regel_haeufig="ja",AH26=3),1,0),IF(AND(Regel_sicherheit="ja",AI26=1),2,0))))</f>
        <v/>
      </c>
      <c r="AL26" s="35">
        <f>IF(S26&lt;&gt;"",S26,IF(R26="","",R26))</f>
        <v/>
      </c>
      <c r="AM26" s="35">
        <f>IF(AK26="","",AK26*1000+N26*10+(1000-ROW())/100000)</f>
        <v/>
      </c>
    </row>
    <row r="27" ht="45" customHeight="1">
      <c r="A27" s="22">
        <f>IF(C27="","",COUNTA($C$7:C27))</f>
        <v/>
      </c>
      <c r="B27" s="23" t="n"/>
      <c r="C27" s="24" t="n"/>
      <c r="D27" s="25" t="n"/>
      <c r="E27" s="23" t="n"/>
      <c r="F27" s="26" t="n"/>
      <c r="G27" s="25" t="n"/>
      <c r="H27" s="25" t="n"/>
      <c r="I27" s="24" t="n"/>
      <c r="J27" s="24" t="n"/>
      <c r="K27" s="24" t="n"/>
      <c r="L27" s="26" t="n"/>
      <c r="M27" s="27">
        <f>IF(AK27="","",MID("CBA",AK27,1))</f>
        <v/>
      </c>
      <c r="N27" s="22">
        <f>IF(COUNT(AF27:AH27)&lt;3,"",AF27*AG27*AH27)</f>
        <v/>
      </c>
      <c r="O27" s="28">
        <f>IF(C27="","",IF(AJ27="","Bewertung unvollständig / incomplete","Matrix "&amp;MID("CBA",AJ27,1)&amp;IF(AND(Regel_haeufig="ja",AH27=3,AJ27&lt;3)," · häufig +1","")&amp;IF(AND(Regel_sicherheit="ja",AI27=1,AJ27+IF(AND(Regel_haeufig="ja",AH27=3),1,0)&lt;2)," · Sicherheit ⇒ B","")&amp;" → "&amp;M27))</f>
        <v/>
      </c>
      <c r="P27" s="29" t="n"/>
      <c r="Q27" s="25" t="n"/>
      <c r="R27" s="22">
        <f>IF(AK27="","",INDEX(Soll_Tabelle,4-AK27,IF(AH27=3,2,1)))</f>
        <v/>
      </c>
      <c r="S27" s="26" t="n"/>
      <c r="T27" s="22">
        <f>IF(AL27="","",MAX(0,AL27-N(P27)))</f>
        <v/>
      </c>
      <c r="U27" s="30" t="n"/>
      <c r="V27" s="31">
        <f>IF(OR(T27="",U27=""),"",T27*U27)</f>
        <v/>
      </c>
      <c r="W27" s="31">
        <f>IF(COUNT(AF27:AG27)&lt;2,"",INDEX(Stillstand_h,AG27)*INDEX(Kostensatz,AF27))</f>
        <v/>
      </c>
      <c r="X27" s="32">
        <f>IF(AK27="","",IF(T27=0,"Bestand ausreichend / stock sufficient",IF(U27="","Stückpreis fehlt / price missing",IF(V27=0,"–",IF(W27/V27&gt;=Faktor_wirtschaftlich,"wirtschaftlich (Faktor "&amp;FIXED(W27/V27,1)&amp;")","nicht wirtschaftlich (Faktor "&amp;FIXED(W27/V27,1)&amp;")")))))</f>
        <v/>
      </c>
      <c r="Y27" s="33">
        <f>IF(AK27="","",IF(AK27=3,IF(T27&gt;0,IF(AG27=3,"Sofort beschaffen: Restbestand / Gebrauchtmarkt / Alternative sichern","Mindestbestand aufbauen ("&amp;T27&amp;" Stk.)"),"Bestand halten, jährlich prüfen"),IF(AK27=2,IF(T27&gt;0,"Bevorratung nach Wirtschaftlichkeit entscheiden; Quelle / Reparatur klären","Lieferzeit und Teilestatus jährlich prüfen"),"Keine Bevorratung – Beschaffung bei Bedarf")))</f>
        <v/>
      </c>
      <c r="Z27" s="25" t="n"/>
      <c r="AA27" s="25" t="n"/>
      <c r="AB27" s="34" t="n"/>
      <c r="AC27" s="26" t="n"/>
      <c r="AD27" s="25" t="n"/>
      <c r="AE27" s="2" t="n"/>
      <c r="AF27" s="35">
        <f>IF(I27="","",VALUE(LEFT(I27,1)))</f>
        <v/>
      </c>
      <c r="AG27" s="35">
        <f>IF(J27="","",VALUE(LEFT(J27,1)))</f>
        <v/>
      </c>
      <c r="AH27" s="35">
        <f>IF(K27="","",VALUE(LEFT(K27,1)))</f>
        <v/>
      </c>
      <c r="AI27" s="35">
        <f>IF(LEFT(L27,2)="ja",1,0)</f>
        <v/>
      </c>
      <c r="AJ27" s="35">
        <f>IF(COUNT(AF27:AH27)&lt;3,"",FIND(INDEX(Matrix,4-AF27,AG27),"CBA"))</f>
        <v/>
      </c>
      <c r="AK27" s="35">
        <f>IF(AJ27="","",MIN(3,MAX(AJ27+IF(AND(Regel_haeufig="ja",AH27=3),1,0),IF(AND(Regel_sicherheit="ja",AI27=1),2,0))))</f>
        <v/>
      </c>
      <c r="AL27" s="35">
        <f>IF(S27&lt;&gt;"",S27,IF(R27="","",R27))</f>
        <v/>
      </c>
      <c r="AM27" s="35">
        <f>IF(AK27="","",AK27*1000+N27*10+(1000-ROW())/100000)</f>
        <v/>
      </c>
    </row>
    <row r="28" ht="45" customHeight="1">
      <c r="A28" s="22">
        <f>IF(C28="","",COUNTA($C$7:C28))</f>
        <v/>
      </c>
      <c r="B28" s="23" t="n"/>
      <c r="C28" s="24" t="n"/>
      <c r="D28" s="25" t="n"/>
      <c r="E28" s="23" t="n"/>
      <c r="F28" s="26" t="n"/>
      <c r="G28" s="25" t="n"/>
      <c r="H28" s="25" t="n"/>
      <c r="I28" s="24" t="n"/>
      <c r="J28" s="24" t="n"/>
      <c r="K28" s="24" t="n"/>
      <c r="L28" s="26" t="n"/>
      <c r="M28" s="27">
        <f>IF(AK28="","",MID("CBA",AK28,1))</f>
        <v/>
      </c>
      <c r="N28" s="22">
        <f>IF(COUNT(AF28:AH28)&lt;3,"",AF28*AG28*AH28)</f>
        <v/>
      </c>
      <c r="O28" s="28">
        <f>IF(C28="","",IF(AJ28="","Bewertung unvollständig / incomplete","Matrix "&amp;MID("CBA",AJ28,1)&amp;IF(AND(Regel_haeufig="ja",AH28=3,AJ28&lt;3)," · häufig +1","")&amp;IF(AND(Regel_sicherheit="ja",AI28=1,AJ28+IF(AND(Regel_haeufig="ja",AH28=3),1,0)&lt;2)," · Sicherheit ⇒ B","")&amp;" → "&amp;M28))</f>
        <v/>
      </c>
      <c r="P28" s="29" t="n"/>
      <c r="Q28" s="25" t="n"/>
      <c r="R28" s="22">
        <f>IF(AK28="","",INDEX(Soll_Tabelle,4-AK28,IF(AH28=3,2,1)))</f>
        <v/>
      </c>
      <c r="S28" s="26" t="n"/>
      <c r="T28" s="22">
        <f>IF(AL28="","",MAX(0,AL28-N(P28)))</f>
        <v/>
      </c>
      <c r="U28" s="30" t="n"/>
      <c r="V28" s="31">
        <f>IF(OR(T28="",U28=""),"",T28*U28)</f>
        <v/>
      </c>
      <c r="W28" s="31">
        <f>IF(COUNT(AF28:AG28)&lt;2,"",INDEX(Stillstand_h,AG28)*INDEX(Kostensatz,AF28))</f>
        <v/>
      </c>
      <c r="X28" s="32">
        <f>IF(AK28="","",IF(T28=0,"Bestand ausreichend / stock sufficient",IF(U28="","Stückpreis fehlt / price missing",IF(V28=0,"–",IF(W28/V28&gt;=Faktor_wirtschaftlich,"wirtschaftlich (Faktor "&amp;FIXED(W28/V28,1)&amp;")","nicht wirtschaftlich (Faktor "&amp;FIXED(W28/V28,1)&amp;")")))))</f>
        <v/>
      </c>
      <c r="Y28" s="33">
        <f>IF(AK28="","",IF(AK28=3,IF(T28&gt;0,IF(AG28=3,"Sofort beschaffen: Restbestand / Gebrauchtmarkt / Alternative sichern","Mindestbestand aufbauen ("&amp;T28&amp;" Stk.)"),"Bestand halten, jährlich prüfen"),IF(AK28=2,IF(T28&gt;0,"Bevorratung nach Wirtschaftlichkeit entscheiden; Quelle / Reparatur klären","Lieferzeit und Teilestatus jährlich prüfen"),"Keine Bevorratung – Beschaffung bei Bedarf")))</f>
        <v/>
      </c>
      <c r="Z28" s="25" t="n"/>
      <c r="AA28" s="25" t="n"/>
      <c r="AB28" s="34" t="n"/>
      <c r="AC28" s="26" t="n"/>
      <c r="AD28" s="25" t="n"/>
      <c r="AE28" s="2" t="n"/>
      <c r="AF28" s="35">
        <f>IF(I28="","",VALUE(LEFT(I28,1)))</f>
        <v/>
      </c>
      <c r="AG28" s="35">
        <f>IF(J28="","",VALUE(LEFT(J28,1)))</f>
        <v/>
      </c>
      <c r="AH28" s="35">
        <f>IF(K28="","",VALUE(LEFT(K28,1)))</f>
        <v/>
      </c>
      <c r="AI28" s="35">
        <f>IF(LEFT(L28,2)="ja",1,0)</f>
        <v/>
      </c>
      <c r="AJ28" s="35">
        <f>IF(COUNT(AF28:AH28)&lt;3,"",FIND(INDEX(Matrix,4-AF28,AG28),"CBA"))</f>
        <v/>
      </c>
      <c r="AK28" s="35">
        <f>IF(AJ28="","",MIN(3,MAX(AJ28+IF(AND(Regel_haeufig="ja",AH28=3),1,0),IF(AND(Regel_sicherheit="ja",AI28=1),2,0))))</f>
        <v/>
      </c>
      <c r="AL28" s="35">
        <f>IF(S28&lt;&gt;"",S28,IF(R28="","",R28))</f>
        <v/>
      </c>
      <c r="AM28" s="35">
        <f>IF(AK28="","",AK28*1000+N28*10+(1000-ROW())/100000)</f>
        <v/>
      </c>
    </row>
    <row r="29" ht="45" customHeight="1">
      <c r="A29" s="22">
        <f>IF(C29="","",COUNTA($C$7:C29))</f>
        <v/>
      </c>
      <c r="B29" s="23" t="n"/>
      <c r="C29" s="24" t="n"/>
      <c r="D29" s="25" t="n"/>
      <c r="E29" s="23" t="n"/>
      <c r="F29" s="26" t="n"/>
      <c r="G29" s="25" t="n"/>
      <c r="H29" s="25" t="n"/>
      <c r="I29" s="24" t="n"/>
      <c r="J29" s="24" t="n"/>
      <c r="K29" s="24" t="n"/>
      <c r="L29" s="26" t="n"/>
      <c r="M29" s="27">
        <f>IF(AK29="","",MID("CBA",AK29,1))</f>
        <v/>
      </c>
      <c r="N29" s="22">
        <f>IF(COUNT(AF29:AH29)&lt;3,"",AF29*AG29*AH29)</f>
        <v/>
      </c>
      <c r="O29" s="28">
        <f>IF(C29="","",IF(AJ29="","Bewertung unvollständig / incomplete","Matrix "&amp;MID("CBA",AJ29,1)&amp;IF(AND(Regel_haeufig="ja",AH29=3,AJ29&lt;3)," · häufig +1","")&amp;IF(AND(Regel_sicherheit="ja",AI29=1,AJ29+IF(AND(Regel_haeufig="ja",AH29=3),1,0)&lt;2)," · Sicherheit ⇒ B","")&amp;" → "&amp;M29))</f>
        <v/>
      </c>
      <c r="P29" s="29" t="n"/>
      <c r="Q29" s="25" t="n"/>
      <c r="R29" s="22">
        <f>IF(AK29="","",INDEX(Soll_Tabelle,4-AK29,IF(AH29=3,2,1)))</f>
        <v/>
      </c>
      <c r="S29" s="26" t="n"/>
      <c r="T29" s="22">
        <f>IF(AL29="","",MAX(0,AL29-N(P29)))</f>
        <v/>
      </c>
      <c r="U29" s="30" t="n"/>
      <c r="V29" s="31">
        <f>IF(OR(T29="",U29=""),"",T29*U29)</f>
        <v/>
      </c>
      <c r="W29" s="31">
        <f>IF(COUNT(AF29:AG29)&lt;2,"",INDEX(Stillstand_h,AG29)*INDEX(Kostensatz,AF29))</f>
        <v/>
      </c>
      <c r="X29" s="32">
        <f>IF(AK29="","",IF(T29=0,"Bestand ausreichend / stock sufficient",IF(U29="","Stückpreis fehlt / price missing",IF(V29=0,"–",IF(W29/V29&gt;=Faktor_wirtschaftlich,"wirtschaftlich (Faktor "&amp;FIXED(W29/V29,1)&amp;")","nicht wirtschaftlich (Faktor "&amp;FIXED(W29/V29,1)&amp;")")))))</f>
        <v/>
      </c>
      <c r="Y29" s="33">
        <f>IF(AK29="","",IF(AK29=3,IF(T29&gt;0,IF(AG29=3,"Sofort beschaffen: Restbestand / Gebrauchtmarkt / Alternative sichern","Mindestbestand aufbauen ("&amp;T29&amp;" Stk.)"),"Bestand halten, jährlich prüfen"),IF(AK29=2,IF(T29&gt;0,"Bevorratung nach Wirtschaftlichkeit entscheiden; Quelle / Reparatur klären","Lieferzeit und Teilestatus jährlich prüfen"),"Keine Bevorratung – Beschaffung bei Bedarf")))</f>
        <v/>
      </c>
      <c r="Z29" s="25" t="n"/>
      <c r="AA29" s="25" t="n"/>
      <c r="AB29" s="34" t="n"/>
      <c r="AC29" s="26" t="n"/>
      <c r="AD29" s="25" t="n"/>
      <c r="AE29" s="2" t="n"/>
      <c r="AF29" s="35">
        <f>IF(I29="","",VALUE(LEFT(I29,1)))</f>
        <v/>
      </c>
      <c r="AG29" s="35">
        <f>IF(J29="","",VALUE(LEFT(J29,1)))</f>
        <v/>
      </c>
      <c r="AH29" s="35">
        <f>IF(K29="","",VALUE(LEFT(K29,1)))</f>
        <v/>
      </c>
      <c r="AI29" s="35">
        <f>IF(LEFT(L29,2)="ja",1,0)</f>
        <v/>
      </c>
      <c r="AJ29" s="35">
        <f>IF(COUNT(AF29:AH29)&lt;3,"",FIND(INDEX(Matrix,4-AF29,AG29),"CBA"))</f>
        <v/>
      </c>
      <c r="AK29" s="35">
        <f>IF(AJ29="","",MIN(3,MAX(AJ29+IF(AND(Regel_haeufig="ja",AH29=3),1,0),IF(AND(Regel_sicherheit="ja",AI29=1),2,0))))</f>
        <v/>
      </c>
      <c r="AL29" s="35">
        <f>IF(S29&lt;&gt;"",S29,IF(R29="","",R29))</f>
        <v/>
      </c>
      <c r="AM29" s="35">
        <f>IF(AK29="","",AK29*1000+N29*10+(1000-ROW())/100000)</f>
        <v/>
      </c>
    </row>
    <row r="30" ht="45" customHeight="1">
      <c r="A30" s="22">
        <f>IF(C30="","",COUNTA($C$7:C30))</f>
        <v/>
      </c>
      <c r="B30" s="23" t="n"/>
      <c r="C30" s="24" t="n"/>
      <c r="D30" s="25" t="n"/>
      <c r="E30" s="23" t="n"/>
      <c r="F30" s="26" t="n"/>
      <c r="G30" s="25" t="n"/>
      <c r="H30" s="25" t="n"/>
      <c r="I30" s="24" t="n"/>
      <c r="J30" s="24" t="n"/>
      <c r="K30" s="24" t="n"/>
      <c r="L30" s="26" t="n"/>
      <c r="M30" s="27">
        <f>IF(AK30="","",MID("CBA",AK30,1))</f>
        <v/>
      </c>
      <c r="N30" s="22">
        <f>IF(COUNT(AF30:AH30)&lt;3,"",AF30*AG30*AH30)</f>
        <v/>
      </c>
      <c r="O30" s="28">
        <f>IF(C30="","",IF(AJ30="","Bewertung unvollständig / incomplete","Matrix "&amp;MID("CBA",AJ30,1)&amp;IF(AND(Regel_haeufig="ja",AH30=3,AJ30&lt;3)," · häufig +1","")&amp;IF(AND(Regel_sicherheit="ja",AI30=1,AJ30+IF(AND(Regel_haeufig="ja",AH30=3),1,0)&lt;2)," · Sicherheit ⇒ B","")&amp;" → "&amp;M30))</f>
        <v/>
      </c>
      <c r="P30" s="29" t="n"/>
      <c r="Q30" s="25" t="n"/>
      <c r="R30" s="22">
        <f>IF(AK30="","",INDEX(Soll_Tabelle,4-AK30,IF(AH30=3,2,1)))</f>
        <v/>
      </c>
      <c r="S30" s="26" t="n"/>
      <c r="T30" s="22">
        <f>IF(AL30="","",MAX(0,AL30-N(P30)))</f>
        <v/>
      </c>
      <c r="U30" s="30" t="n"/>
      <c r="V30" s="31">
        <f>IF(OR(T30="",U30=""),"",T30*U30)</f>
        <v/>
      </c>
      <c r="W30" s="31">
        <f>IF(COUNT(AF30:AG30)&lt;2,"",INDEX(Stillstand_h,AG30)*INDEX(Kostensatz,AF30))</f>
        <v/>
      </c>
      <c r="X30" s="32">
        <f>IF(AK30="","",IF(T30=0,"Bestand ausreichend / stock sufficient",IF(U30="","Stückpreis fehlt / price missing",IF(V30=0,"–",IF(W30/V30&gt;=Faktor_wirtschaftlich,"wirtschaftlich (Faktor "&amp;FIXED(W30/V30,1)&amp;")","nicht wirtschaftlich (Faktor "&amp;FIXED(W30/V30,1)&amp;")")))))</f>
        <v/>
      </c>
      <c r="Y30" s="33">
        <f>IF(AK30="","",IF(AK30=3,IF(T30&gt;0,IF(AG30=3,"Sofort beschaffen: Restbestand / Gebrauchtmarkt / Alternative sichern","Mindestbestand aufbauen ("&amp;T30&amp;" Stk.)"),"Bestand halten, jährlich prüfen"),IF(AK30=2,IF(T30&gt;0,"Bevorratung nach Wirtschaftlichkeit entscheiden; Quelle / Reparatur klären","Lieferzeit und Teilestatus jährlich prüfen"),"Keine Bevorratung – Beschaffung bei Bedarf")))</f>
        <v/>
      </c>
      <c r="Z30" s="25" t="n"/>
      <c r="AA30" s="25" t="n"/>
      <c r="AB30" s="34" t="n"/>
      <c r="AC30" s="26" t="n"/>
      <c r="AD30" s="25" t="n"/>
      <c r="AE30" s="2" t="n"/>
      <c r="AF30" s="35">
        <f>IF(I30="","",VALUE(LEFT(I30,1)))</f>
        <v/>
      </c>
      <c r="AG30" s="35">
        <f>IF(J30="","",VALUE(LEFT(J30,1)))</f>
        <v/>
      </c>
      <c r="AH30" s="35">
        <f>IF(K30="","",VALUE(LEFT(K30,1)))</f>
        <v/>
      </c>
      <c r="AI30" s="35">
        <f>IF(LEFT(L30,2)="ja",1,0)</f>
        <v/>
      </c>
      <c r="AJ30" s="35">
        <f>IF(COUNT(AF30:AH30)&lt;3,"",FIND(INDEX(Matrix,4-AF30,AG30),"CBA"))</f>
        <v/>
      </c>
      <c r="AK30" s="35">
        <f>IF(AJ30="","",MIN(3,MAX(AJ30+IF(AND(Regel_haeufig="ja",AH30=3),1,0),IF(AND(Regel_sicherheit="ja",AI30=1),2,0))))</f>
        <v/>
      </c>
      <c r="AL30" s="35">
        <f>IF(S30&lt;&gt;"",S30,IF(R30="","",R30))</f>
        <v/>
      </c>
      <c r="AM30" s="35">
        <f>IF(AK30="","",AK30*1000+N30*10+(1000-ROW())/100000)</f>
        <v/>
      </c>
    </row>
    <row r="31" ht="45" customHeight="1">
      <c r="A31" s="22">
        <f>IF(C31="","",COUNTA($C$7:C31))</f>
        <v/>
      </c>
      <c r="B31" s="23" t="n"/>
      <c r="C31" s="24" t="n"/>
      <c r="D31" s="25" t="n"/>
      <c r="E31" s="23" t="n"/>
      <c r="F31" s="26" t="n"/>
      <c r="G31" s="25" t="n"/>
      <c r="H31" s="25" t="n"/>
      <c r="I31" s="24" t="n"/>
      <c r="J31" s="24" t="n"/>
      <c r="K31" s="24" t="n"/>
      <c r="L31" s="26" t="n"/>
      <c r="M31" s="27">
        <f>IF(AK31="","",MID("CBA",AK31,1))</f>
        <v/>
      </c>
      <c r="N31" s="22">
        <f>IF(COUNT(AF31:AH31)&lt;3,"",AF31*AG31*AH31)</f>
        <v/>
      </c>
      <c r="O31" s="28">
        <f>IF(C31="","",IF(AJ31="","Bewertung unvollständig / incomplete","Matrix "&amp;MID("CBA",AJ31,1)&amp;IF(AND(Regel_haeufig="ja",AH31=3,AJ31&lt;3)," · häufig +1","")&amp;IF(AND(Regel_sicherheit="ja",AI31=1,AJ31+IF(AND(Regel_haeufig="ja",AH31=3),1,0)&lt;2)," · Sicherheit ⇒ B","")&amp;" → "&amp;M31))</f>
        <v/>
      </c>
      <c r="P31" s="29" t="n"/>
      <c r="Q31" s="25" t="n"/>
      <c r="R31" s="22">
        <f>IF(AK31="","",INDEX(Soll_Tabelle,4-AK31,IF(AH31=3,2,1)))</f>
        <v/>
      </c>
      <c r="S31" s="26" t="n"/>
      <c r="T31" s="22">
        <f>IF(AL31="","",MAX(0,AL31-N(P31)))</f>
        <v/>
      </c>
      <c r="U31" s="30" t="n"/>
      <c r="V31" s="31">
        <f>IF(OR(T31="",U31=""),"",T31*U31)</f>
        <v/>
      </c>
      <c r="W31" s="31">
        <f>IF(COUNT(AF31:AG31)&lt;2,"",INDEX(Stillstand_h,AG31)*INDEX(Kostensatz,AF31))</f>
        <v/>
      </c>
      <c r="X31" s="32">
        <f>IF(AK31="","",IF(T31=0,"Bestand ausreichend / stock sufficient",IF(U31="","Stückpreis fehlt / price missing",IF(V31=0,"–",IF(W31/V31&gt;=Faktor_wirtschaftlich,"wirtschaftlich (Faktor "&amp;FIXED(W31/V31,1)&amp;")","nicht wirtschaftlich (Faktor "&amp;FIXED(W31/V31,1)&amp;")")))))</f>
        <v/>
      </c>
      <c r="Y31" s="33">
        <f>IF(AK31="","",IF(AK31=3,IF(T31&gt;0,IF(AG31=3,"Sofort beschaffen: Restbestand / Gebrauchtmarkt / Alternative sichern","Mindestbestand aufbauen ("&amp;T31&amp;" Stk.)"),"Bestand halten, jährlich prüfen"),IF(AK31=2,IF(T31&gt;0,"Bevorratung nach Wirtschaftlichkeit entscheiden; Quelle / Reparatur klären","Lieferzeit und Teilestatus jährlich prüfen"),"Keine Bevorratung – Beschaffung bei Bedarf")))</f>
        <v/>
      </c>
      <c r="Z31" s="25" t="n"/>
      <c r="AA31" s="25" t="n"/>
      <c r="AB31" s="34" t="n"/>
      <c r="AC31" s="26" t="n"/>
      <c r="AD31" s="25" t="n"/>
      <c r="AE31" s="2" t="n"/>
      <c r="AF31" s="35">
        <f>IF(I31="","",VALUE(LEFT(I31,1)))</f>
        <v/>
      </c>
      <c r="AG31" s="35">
        <f>IF(J31="","",VALUE(LEFT(J31,1)))</f>
        <v/>
      </c>
      <c r="AH31" s="35">
        <f>IF(K31="","",VALUE(LEFT(K31,1)))</f>
        <v/>
      </c>
      <c r="AI31" s="35">
        <f>IF(LEFT(L31,2)="ja",1,0)</f>
        <v/>
      </c>
      <c r="AJ31" s="35">
        <f>IF(COUNT(AF31:AH31)&lt;3,"",FIND(INDEX(Matrix,4-AF31,AG31),"CBA"))</f>
        <v/>
      </c>
      <c r="AK31" s="35">
        <f>IF(AJ31="","",MIN(3,MAX(AJ31+IF(AND(Regel_haeufig="ja",AH31=3),1,0),IF(AND(Regel_sicherheit="ja",AI31=1),2,0))))</f>
        <v/>
      </c>
      <c r="AL31" s="35">
        <f>IF(S31&lt;&gt;"",S31,IF(R31="","",R31))</f>
        <v/>
      </c>
      <c r="AM31" s="35">
        <f>IF(AK31="","",AK31*1000+N31*10+(1000-ROW())/100000)</f>
        <v/>
      </c>
    </row>
    <row r="32" ht="45" customHeight="1">
      <c r="A32" s="22">
        <f>IF(C32="","",COUNTA($C$7:C32))</f>
        <v/>
      </c>
      <c r="B32" s="23" t="n"/>
      <c r="C32" s="24" t="n"/>
      <c r="D32" s="25" t="n"/>
      <c r="E32" s="23" t="n"/>
      <c r="F32" s="26" t="n"/>
      <c r="G32" s="25" t="n"/>
      <c r="H32" s="25" t="n"/>
      <c r="I32" s="24" t="n"/>
      <c r="J32" s="24" t="n"/>
      <c r="K32" s="24" t="n"/>
      <c r="L32" s="26" t="n"/>
      <c r="M32" s="27">
        <f>IF(AK32="","",MID("CBA",AK32,1))</f>
        <v/>
      </c>
      <c r="N32" s="22">
        <f>IF(COUNT(AF32:AH32)&lt;3,"",AF32*AG32*AH32)</f>
        <v/>
      </c>
      <c r="O32" s="28">
        <f>IF(C32="","",IF(AJ32="","Bewertung unvollständig / incomplete","Matrix "&amp;MID("CBA",AJ32,1)&amp;IF(AND(Regel_haeufig="ja",AH32=3,AJ32&lt;3)," · häufig +1","")&amp;IF(AND(Regel_sicherheit="ja",AI32=1,AJ32+IF(AND(Regel_haeufig="ja",AH32=3),1,0)&lt;2)," · Sicherheit ⇒ B","")&amp;" → "&amp;M32))</f>
        <v/>
      </c>
      <c r="P32" s="29" t="n"/>
      <c r="Q32" s="25" t="n"/>
      <c r="R32" s="22">
        <f>IF(AK32="","",INDEX(Soll_Tabelle,4-AK32,IF(AH32=3,2,1)))</f>
        <v/>
      </c>
      <c r="S32" s="26" t="n"/>
      <c r="T32" s="22">
        <f>IF(AL32="","",MAX(0,AL32-N(P32)))</f>
        <v/>
      </c>
      <c r="U32" s="30" t="n"/>
      <c r="V32" s="31">
        <f>IF(OR(T32="",U32=""),"",T32*U32)</f>
        <v/>
      </c>
      <c r="W32" s="31">
        <f>IF(COUNT(AF32:AG32)&lt;2,"",INDEX(Stillstand_h,AG32)*INDEX(Kostensatz,AF32))</f>
        <v/>
      </c>
      <c r="X32" s="32">
        <f>IF(AK32="","",IF(T32=0,"Bestand ausreichend / stock sufficient",IF(U32="","Stückpreis fehlt / price missing",IF(V32=0,"–",IF(W32/V32&gt;=Faktor_wirtschaftlich,"wirtschaftlich (Faktor "&amp;FIXED(W32/V32,1)&amp;")","nicht wirtschaftlich (Faktor "&amp;FIXED(W32/V32,1)&amp;")")))))</f>
        <v/>
      </c>
      <c r="Y32" s="33">
        <f>IF(AK32="","",IF(AK32=3,IF(T32&gt;0,IF(AG32=3,"Sofort beschaffen: Restbestand / Gebrauchtmarkt / Alternative sichern","Mindestbestand aufbauen ("&amp;T32&amp;" Stk.)"),"Bestand halten, jährlich prüfen"),IF(AK32=2,IF(T32&gt;0,"Bevorratung nach Wirtschaftlichkeit entscheiden; Quelle / Reparatur klären","Lieferzeit und Teilestatus jährlich prüfen"),"Keine Bevorratung – Beschaffung bei Bedarf")))</f>
        <v/>
      </c>
      <c r="Z32" s="25" t="n"/>
      <c r="AA32" s="25" t="n"/>
      <c r="AB32" s="34" t="n"/>
      <c r="AC32" s="26" t="n"/>
      <c r="AD32" s="25" t="n"/>
      <c r="AE32" s="2" t="n"/>
      <c r="AF32" s="35">
        <f>IF(I32="","",VALUE(LEFT(I32,1)))</f>
        <v/>
      </c>
      <c r="AG32" s="35">
        <f>IF(J32="","",VALUE(LEFT(J32,1)))</f>
        <v/>
      </c>
      <c r="AH32" s="35">
        <f>IF(K32="","",VALUE(LEFT(K32,1)))</f>
        <v/>
      </c>
      <c r="AI32" s="35">
        <f>IF(LEFT(L32,2)="ja",1,0)</f>
        <v/>
      </c>
      <c r="AJ32" s="35">
        <f>IF(COUNT(AF32:AH32)&lt;3,"",FIND(INDEX(Matrix,4-AF32,AG32),"CBA"))</f>
        <v/>
      </c>
      <c r="AK32" s="35">
        <f>IF(AJ32="","",MIN(3,MAX(AJ32+IF(AND(Regel_haeufig="ja",AH32=3),1,0),IF(AND(Regel_sicherheit="ja",AI32=1),2,0))))</f>
        <v/>
      </c>
      <c r="AL32" s="35">
        <f>IF(S32&lt;&gt;"",S32,IF(R32="","",R32))</f>
        <v/>
      </c>
      <c r="AM32" s="35">
        <f>IF(AK32="","",AK32*1000+N32*10+(1000-ROW())/100000)</f>
        <v/>
      </c>
    </row>
    <row r="33" ht="45" customHeight="1">
      <c r="A33" s="22">
        <f>IF(C33="","",COUNTA($C$7:C33))</f>
        <v/>
      </c>
      <c r="B33" s="23" t="n"/>
      <c r="C33" s="24" t="n"/>
      <c r="D33" s="25" t="n"/>
      <c r="E33" s="23" t="n"/>
      <c r="F33" s="26" t="n"/>
      <c r="G33" s="25" t="n"/>
      <c r="H33" s="25" t="n"/>
      <c r="I33" s="24" t="n"/>
      <c r="J33" s="24" t="n"/>
      <c r="K33" s="24" t="n"/>
      <c r="L33" s="26" t="n"/>
      <c r="M33" s="27">
        <f>IF(AK33="","",MID("CBA",AK33,1))</f>
        <v/>
      </c>
      <c r="N33" s="22">
        <f>IF(COUNT(AF33:AH33)&lt;3,"",AF33*AG33*AH33)</f>
        <v/>
      </c>
      <c r="O33" s="28">
        <f>IF(C33="","",IF(AJ33="","Bewertung unvollständig / incomplete","Matrix "&amp;MID("CBA",AJ33,1)&amp;IF(AND(Regel_haeufig="ja",AH33=3,AJ33&lt;3)," · häufig +1","")&amp;IF(AND(Regel_sicherheit="ja",AI33=1,AJ33+IF(AND(Regel_haeufig="ja",AH33=3),1,0)&lt;2)," · Sicherheit ⇒ B","")&amp;" → "&amp;M33))</f>
        <v/>
      </c>
      <c r="P33" s="29" t="n"/>
      <c r="Q33" s="25" t="n"/>
      <c r="R33" s="22">
        <f>IF(AK33="","",INDEX(Soll_Tabelle,4-AK33,IF(AH33=3,2,1)))</f>
        <v/>
      </c>
      <c r="S33" s="26" t="n"/>
      <c r="T33" s="22">
        <f>IF(AL33="","",MAX(0,AL33-N(P33)))</f>
        <v/>
      </c>
      <c r="U33" s="30" t="n"/>
      <c r="V33" s="31">
        <f>IF(OR(T33="",U33=""),"",T33*U33)</f>
        <v/>
      </c>
      <c r="W33" s="31">
        <f>IF(COUNT(AF33:AG33)&lt;2,"",INDEX(Stillstand_h,AG33)*INDEX(Kostensatz,AF33))</f>
        <v/>
      </c>
      <c r="X33" s="32">
        <f>IF(AK33="","",IF(T33=0,"Bestand ausreichend / stock sufficient",IF(U33="","Stückpreis fehlt / price missing",IF(V33=0,"–",IF(W33/V33&gt;=Faktor_wirtschaftlich,"wirtschaftlich (Faktor "&amp;FIXED(W33/V33,1)&amp;")","nicht wirtschaftlich (Faktor "&amp;FIXED(W33/V33,1)&amp;")")))))</f>
        <v/>
      </c>
      <c r="Y33" s="33">
        <f>IF(AK33="","",IF(AK33=3,IF(T33&gt;0,IF(AG33=3,"Sofort beschaffen: Restbestand / Gebrauchtmarkt / Alternative sichern","Mindestbestand aufbauen ("&amp;T33&amp;" Stk.)"),"Bestand halten, jährlich prüfen"),IF(AK33=2,IF(T33&gt;0,"Bevorratung nach Wirtschaftlichkeit entscheiden; Quelle / Reparatur klären","Lieferzeit und Teilestatus jährlich prüfen"),"Keine Bevorratung – Beschaffung bei Bedarf")))</f>
        <v/>
      </c>
      <c r="Z33" s="25" t="n"/>
      <c r="AA33" s="25" t="n"/>
      <c r="AB33" s="34" t="n"/>
      <c r="AC33" s="26" t="n"/>
      <c r="AD33" s="25" t="n"/>
      <c r="AE33" s="2" t="n"/>
      <c r="AF33" s="35">
        <f>IF(I33="","",VALUE(LEFT(I33,1)))</f>
        <v/>
      </c>
      <c r="AG33" s="35">
        <f>IF(J33="","",VALUE(LEFT(J33,1)))</f>
        <v/>
      </c>
      <c r="AH33" s="35">
        <f>IF(K33="","",VALUE(LEFT(K33,1)))</f>
        <v/>
      </c>
      <c r="AI33" s="35">
        <f>IF(LEFT(L33,2)="ja",1,0)</f>
        <v/>
      </c>
      <c r="AJ33" s="35">
        <f>IF(COUNT(AF33:AH33)&lt;3,"",FIND(INDEX(Matrix,4-AF33,AG33),"CBA"))</f>
        <v/>
      </c>
      <c r="AK33" s="35">
        <f>IF(AJ33="","",MIN(3,MAX(AJ33+IF(AND(Regel_haeufig="ja",AH33=3),1,0),IF(AND(Regel_sicherheit="ja",AI33=1),2,0))))</f>
        <v/>
      </c>
      <c r="AL33" s="35">
        <f>IF(S33&lt;&gt;"",S33,IF(R33="","",R33))</f>
        <v/>
      </c>
      <c r="AM33" s="35">
        <f>IF(AK33="","",AK33*1000+N33*10+(1000-ROW())/100000)</f>
        <v/>
      </c>
    </row>
    <row r="34" ht="45" customHeight="1">
      <c r="A34" s="22">
        <f>IF(C34="","",COUNTA($C$7:C34))</f>
        <v/>
      </c>
      <c r="B34" s="23" t="n"/>
      <c r="C34" s="24" t="n"/>
      <c r="D34" s="25" t="n"/>
      <c r="E34" s="23" t="n"/>
      <c r="F34" s="26" t="n"/>
      <c r="G34" s="25" t="n"/>
      <c r="H34" s="25" t="n"/>
      <c r="I34" s="24" t="n"/>
      <c r="J34" s="24" t="n"/>
      <c r="K34" s="24" t="n"/>
      <c r="L34" s="26" t="n"/>
      <c r="M34" s="27">
        <f>IF(AK34="","",MID("CBA",AK34,1))</f>
        <v/>
      </c>
      <c r="N34" s="22">
        <f>IF(COUNT(AF34:AH34)&lt;3,"",AF34*AG34*AH34)</f>
        <v/>
      </c>
      <c r="O34" s="28">
        <f>IF(C34="","",IF(AJ34="","Bewertung unvollständig / incomplete","Matrix "&amp;MID("CBA",AJ34,1)&amp;IF(AND(Regel_haeufig="ja",AH34=3,AJ34&lt;3)," · häufig +1","")&amp;IF(AND(Regel_sicherheit="ja",AI34=1,AJ34+IF(AND(Regel_haeufig="ja",AH34=3),1,0)&lt;2)," · Sicherheit ⇒ B","")&amp;" → "&amp;M34))</f>
        <v/>
      </c>
      <c r="P34" s="29" t="n"/>
      <c r="Q34" s="25" t="n"/>
      <c r="R34" s="22">
        <f>IF(AK34="","",INDEX(Soll_Tabelle,4-AK34,IF(AH34=3,2,1)))</f>
        <v/>
      </c>
      <c r="S34" s="26" t="n"/>
      <c r="T34" s="22">
        <f>IF(AL34="","",MAX(0,AL34-N(P34)))</f>
        <v/>
      </c>
      <c r="U34" s="30" t="n"/>
      <c r="V34" s="31">
        <f>IF(OR(T34="",U34=""),"",T34*U34)</f>
        <v/>
      </c>
      <c r="W34" s="31">
        <f>IF(COUNT(AF34:AG34)&lt;2,"",INDEX(Stillstand_h,AG34)*INDEX(Kostensatz,AF34))</f>
        <v/>
      </c>
      <c r="X34" s="32">
        <f>IF(AK34="","",IF(T34=0,"Bestand ausreichend / stock sufficient",IF(U34="","Stückpreis fehlt / price missing",IF(V34=0,"–",IF(W34/V34&gt;=Faktor_wirtschaftlich,"wirtschaftlich (Faktor "&amp;FIXED(W34/V34,1)&amp;")","nicht wirtschaftlich (Faktor "&amp;FIXED(W34/V34,1)&amp;")")))))</f>
        <v/>
      </c>
      <c r="Y34" s="33">
        <f>IF(AK34="","",IF(AK34=3,IF(T34&gt;0,IF(AG34=3,"Sofort beschaffen: Restbestand / Gebrauchtmarkt / Alternative sichern","Mindestbestand aufbauen ("&amp;T34&amp;" Stk.)"),"Bestand halten, jährlich prüfen"),IF(AK34=2,IF(T34&gt;0,"Bevorratung nach Wirtschaftlichkeit entscheiden; Quelle / Reparatur klären","Lieferzeit und Teilestatus jährlich prüfen"),"Keine Bevorratung – Beschaffung bei Bedarf")))</f>
        <v/>
      </c>
      <c r="Z34" s="25" t="n"/>
      <c r="AA34" s="25" t="n"/>
      <c r="AB34" s="34" t="n"/>
      <c r="AC34" s="26" t="n"/>
      <c r="AD34" s="25" t="n"/>
      <c r="AE34" s="2" t="n"/>
      <c r="AF34" s="35">
        <f>IF(I34="","",VALUE(LEFT(I34,1)))</f>
        <v/>
      </c>
      <c r="AG34" s="35">
        <f>IF(J34="","",VALUE(LEFT(J34,1)))</f>
        <v/>
      </c>
      <c r="AH34" s="35">
        <f>IF(K34="","",VALUE(LEFT(K34,1)))</f>
        <v/>
      </c>
      <c r="AI34" s="35">
        <f>IF(LEFT(L34,2)="ja",1,0)</f>
        <v/>
      </c>
      <c r="AJ34" s="35">
        <f>IF(COUNT(AF34:AH34)&lt;3,"",FIND(INDEX(Matrix,4-AF34,AG34),"CBA"))</f>
        <v/>
      </c>
      <c r="AK34" s="35">
        <f>IF(AJ34="","",MIN(3,MAX(AJ34+IF(AND(Regel_haeufig="ja",AH34=3),1,0),IF(AND(Regel_sicherheit="ja",AI34=1),2,0))))</f>
        <v/>
      </c>
      <c r="AL34" s="35">
        <f>IF(S34&lt;&gt;"",S34,IF(R34="","",R34))</f>
        <v/>
      </c>
      <c r="AM34" s="35">
        <f>IF(AK34="","",AK34*1000+N34*10+(1000-ROW())/100000)</f>
        <v/>
      </c>
    </row>
    <row r="35" ht="45" customHeight="1">
      <c r="A35" s="22">
        <f>IF(C35="","",COUNTA($C$7:C35))</f>
        <v/>
      </c>
      <c r="B35" s="23" t="n"/>
      <c r="C35" s="24" t="n"/>
      <c r="D35" s="25" t="n"/>
      <c r="E35" s="23" t="n"/>
      <c r="F35" s="26" t="n"/>
      <c r="G35" s="25" t="n"/>
      <c r="H35" s="25" t="n"/>
      <c r="I35" s="24" t="n"/>
      <c r="J35" s="24" t="n"/>
      <c r="K35" s="24" t="n"/>
      <c r="L35" s="26" t="n"/>
      <c r="M35" s="27">
        <f>IF(AK35="","",MID("CBA",AK35,1))</f>
        <v/>
      </c>
      <c r="N35" s="22">
        <f>IF(COUNT(AF35:AH35)&lt;3,"",AF35*AG35*AH35)</f>
        <v/>
      </c>
      <c r="O35" s="28">
        <f>IF(C35="","",IF(AJ35="","Bewertung unvollständig / incomplete","Matrix "&amp;MID("CBA",AJ35,1)&amp;IF(AND(Regel_haeufig="ja",AH35=3,AJ35&lt;3)," · häufig +1","")&amp;IF(AND(Regel_sicherheit="ja",AI35=1,AJ35+IF(AND(Regel_haeufig="ja",AH35=3),1,0)&lt;2)," · Sicherheit ⇒ B","")&amp;" → "&amp;M35))</f>
        <v/>
      </c>
      <c r="P35" s="29" t="n"/>
      <c r="Q35" s="25" t="n"/>
      <c r="R35" s="22">
        <f>IF(AK35="","",INDEX(Soll_Tabelle,4-AK35,IF(AH35=3,2,1)))</f>
        <v/>
      </c>
      <c r="S35" s="26" t="n"/>
      <c r="T35" s="22">
        <f>IF(AL35="","",MAX(0,AL35-N(P35)))</f>
        <v/>
      </c>
      <c r="U35" s="30" t="n"/>
      <c r="V35" s="31">
        <f>IF(OR(T35="",U35=""),"",T35*U35)</f>
        <v/>
      </c>
      <c r="W35" s="31">
        <f>IF(COUNT(AF35:AG35)&lt;2,"",INDEX(Stillstand_h,AG35)*INDEX(Kostensatz,AF35))</f>
        <v/>
      </c>
      <c r="X35" s="32">
        <f>IF(AK35="","",IF(T35=0,"Bestand ausreichend / stock sufficient",IF(U35="","Stückpreis fehlt / price missing",IF(V35=0,"–",IF(W35/V35&gt;=Faktor_wirtschaftlich,"wirtschaftlich (Faktor "&amp;FIXED(W35/V35,1)&amp;")","nicht wirtschaftlich (Faktor "&amp;FIXED(W35/V35,1)&amp;")")))))</f>
        <v/>
      </c>
      <c r="Y35" s="33">
        <f>IF(AK35="","",IF(AK35=3,IF(T35&gt;0,IF(AG35=3,"Sofort beschaffen: Restbestand / Gebrauchtmarkt / Alternative sichern","Mindestbestand aufbauen ("&amp;T35&amp;" Stk.)"),"Bestand halten, jährlich prüfen"),IF(AK35=2,IF(T35&gt;0,"Bevorratung nach Wirtschaftlichkeit entscheiden; Quelle / Reparatur klären","Lieferzeit und Teilestatus jährlich prüfen"),"Keine Bevorratung – Beschaffung bei Bedarf")))</f>
        <v/>
      </c>
      <c r="Z35" s="25" t="n"/>
      <c r="AA35" s="25" t="n"/>
      <c r="AB35" s="34" t="n"/>
      <c r="AC35" s="26" t="n"/>
      <c r="AD35" s="25" t="n"/>
      <c r="AE35" s="2" t="n"/>
      <c r="AF35" s="35">
        <f>IF(I35="","",VALUE(LEFT(I35,1)))</f>
        <v/>
      </c>
      <c r="AG35" s="35">
        <f>IF(J35="","",VALUE(LEFT(J35,1)))</f>
        <v/>
      </c>
      <c r="AH35" s="35">
        <f>IF(K35="","",VALUE(LEFT(K35,1)))</f>
        <v/>
      </c>
      <c r="AI35" s="35">
        <f>IF(LEFT(L35,2)="ja",1,0)</f>
        <v/>
      </c>
      <c r="AJ35" s="35">
        <f>IF(COUNT(AF35:AH35)&lt;3,"",FIND(INDEX(Matrix,4-AF35,AG35),"CBA"))</f>
        <v/>
      </c>
      <c r="AK35" s="35">
        <f>IF(AJ35="","",MIN(3,MAX(AJ35+IF(AND(Regel_haeufig="ja",AH35=3),1,0),IF(AND(Regel_sicherheit="ja",AI35=1),2,0))))</f>
        <v/>
      </c>
      <c r="AL35" s="35">
        <f>IF(S35&lt;&gt;"",S35,IF(R35="","",R35))</f>
        <v/>
      </c>
      <c r="AM35" s="35">
        <f>IF(AK35="","",AK35*1000+N35*10+(1000-ROW())/100000)</f>
        <v/>
      </c>
    </row>
    <row r="36" ht="45" customHeight="1">
      <c r="A36" s="22">
        <f>IF(C36="","",COUNTA($C$7:C36))</f>
        <v/>
      </c>
      <c r="B36" s="23" t="n"/>
      <c r="C36" s="24" t="n"/>
      <c r="D36" s="25" t="n"/>
      <c r="E36" s="23" t="n"/>
      <c r="F36" s="26" t="n"/>
      <c r="G36" s="25" t="n"/>
      <c r="H36" s="25" t="n"/>
      <c r="I36" s="24" t="n"/>
      <c r="J36" s="24" t="n"/>
      <c r="K36" s="24" t="n"/>
      <c r="L36" s="26" t="n"/>
      <c r="M36" s="27">
        <f>IF(AK36="","",MID("CBA",AK36,1))</f>
        <v/>
      </c>
      <c r="N36" s="22">
        <f>IF(COUNT(AF36:AH36)&lt;3,"",AF36*AG36*AH36)</f>
        <v/>
      </c>
      <c r="O36" s="28">
        <f>IF(C36="","",IF(AJ36="","Bewertung unvollständig / incomplete","Matrix "&amp;MID("CBA",AJ36,1)&amp;IF(AND(Regel_haeufig="ja",AH36=3,AJ36&lt;3)," · häufig +1","")&amp;IF(AND(Regel_sicherheit="ja",AI36=1,AJ36+IF(AND(Regel_haeufig="ja",AH36=3),1,0)&lt;2)," · Sicherheit ⇒ B","")&amp;" → "&amp;M36))</f>
        <v/>
      </c>
      <c r="P36" s="29" t="n"/>
      <c r="Q36" s="25" t="n"/>
      <c r="R36" s="22">
        <f>IF(AK36="","",INDEX(Soll_Tabelle,4-AK36,IF(AH36=3,2,1)))</f>
        <v/>
      </c>
      <c r="S36" s="26" t="n"/>
      <c r="T36" s="22">
        <f>IF(AL36="","",MAX(0,AL36-N(P36)))</f>
        <v/>
      </c>
      <c r="U36" s="30" t="n"/>
      <c r="V36" s="31">
        <f>IF(OR(T36="",U36=""),"",T36*U36)</f>
        <v/>
      </c>
      <c r="W36" s="31">
        <f>IF(COUNT(AF36:AG36)&lt;2,"",INDEX(Stillstand_h,AG36)*INDEX(Kostensatz,AF36))</f>
        <v/>
      </c>
      <c r="X36" s="32">
        <f>IF(AK36="","",IF(T36=0,"Bestand ausreichend / stock sufficient",IF(U36="","Stückpreis fehlt / price missing",IF(V36=0,"–",IF(W36/V36&gt;=Faktor_wirtschaftlich,"wirtschaftlich (Faktor "&amp;FIXED(W36/V36,1)&amp;")","nicht wirtschaftlich (Faktor "&amp;FIXED(W36/V36,1)&amp;")")))))</f>
        <v/>
      </c>
      <c r="Y36" s="33">
        <f>IF(AK36="","",IF(AK36=3,IF(T36&gt;0,IF(AG36=3,"Sofort beschaffen: Restbestand / Gebrauchtmarkt / Alternative sichern","Mindestbestand aufbauen ("&amp;T36&amp;" Stk.)"),"Bestand halten, jährlich prüfen"),IF(AK36=2,IF(T36&gt;0,"Bevorratung nach Wirtschaftlichkeit entscheiden; Quelle / Reparatur klären","Lieferzeit und Teilestatus jährlich prüfen"),"Keine Bevorratung – Beschaffung bei Bedarf")))</f>
        <v/>
      </c>
      <c r="Z36" s="25" t="n"/>
      <c r="AA36" s="25" t="n"/>
      <c r="AB36" s="34" t="n"/>
      <c r="AC36" s="26" t="n"/>
      <c r="AD36" s="25" t="n"/>
      <c r="AE36" s="2" t="n"/>
      <c r="AF36" s="35">
        <f>IF(I36="","",VALUE(LEFT(I36,1)))</f>
        <v/>
      </c>
      <c r="AG36" s="35">
        <f>IF(J36="","",VALUE(LEFT(J36,1)))</f>
        <v/>
      </c>
      <c r="AH36" s="35">
        <f>IF(K36="","",VALUE(LEFT(K36,1)))</f>
        <v/>
      </c>
      <c r="AI36" s="35">
        <f>IF(LEFT(L36,2)="ja",1,0)</f>
        <v/>
      </c>
      <c r="AJ36" s="35">
        <f>IF(COUNT(AF36:AH36)&lt;3,"",FIND(INDEX(Matrix,4-AF36,AG36),"CBA"))</f>
        <v/>
      </c>
      <c r="AK36" s="35">
        <f>IF(AJ36="","",MIN(3,MAX(AJ36+IF(AND(Regel_haeufig="ja",AH36=3),1,0),IF(AND(Regel_sicherheit="ja",AI36=1),2,0))))</f>
        <v/>
      </c>
      <c r="AL36" s="35">
        <f>IF(S36&lt;&gt;"",S36,IF(R36="","",R36))</f>
        <v/>
      </c>
      <c r="AM36" s="35">
        <f>IF(AK36="","",AK36*1000+N36*10+(1000-ROW())/100000)</f>
        <v/>
      </c>
    </row>
    <row r="37" ht="45" customHeight="1">
      <c r="A37" s="22">
        <f>IF(C37="","",COUNTA($C$7:C37))</f>
        <v/>
      </c>
      <c r="B37" s="23" t="n"/>
      <c r="C37" s="24" t="n"/>
      <c r="D37" s="25" t="n"/>
      <c r="E37" s="23" t="n"/>
      <c r="F37" s="26" t="n"/>
      <c r="G37" s="25" t="n"/>
      <c r="H37" s="25" t="n"/>
      <c r="I37" s="24" t="n"/>
      <c r="J37" s="24" t="n"/>
      <c r="K37" s="24" t="n"/>
      <c r="L37" s="26" t="n"/>
      <c r="M37" s="27">
        <f>IF(AK37="","",MID("CBA",AK37,1))</f>
        <v/>
      </c>
      <c r="N37" s="22">
        <f>IF(COUNT(AF37:AH37)&lt;3,"",AF37*AG37*AH37)</f>
        <v/>
      </c>
      <c r="O37" s="28">
        <f>IF(C37="","",IF(AJ37="","Bewertung unvollständig / incomplete","Matrix "&amp;MID("CBA",AJ37,1)&amp;IF(AND(Regel_haeufig="ja",AH37=3,AJ37&lt;3)," · häufig +1","")&amp;IF(AND(Regel_sicherheit="ja",AI37=1,AJ37+IF(AND(Regel_haeufig="ja",AH37=3),1,0)&lt;2)," · Sicherheit ⇒ B","")&amp;" → "&amp;M37))</f>
        <v/>
      </c>
      <c r="P37" s="29" t="n"/>
      <c r="Q37" s="25" t="n"/>
      <c r="R37" s="22">
        <f>IF(AK37="","",INDEX(Soll_Tabelle,4-AK37,IF(AH37=3,2,1)))</f>
        <v/>
      </c>
      <c r="S37" s="26" t="n"/>
      <c r="T37" s="22">
        <f>IF(AL37="","",MAX(0,AL37-N(P37)))</f>
        <v/>
      </c>
      <c r="U37" s="30" t="n"/>
      <c r="V37" s="31">
        <f>IF(OR(T37="",U37=""),"",T37*U37)</f>
        <v/>
      </c>
      <c r="W37" s="31">
        <f>IF(COUNT(AF37:AG37)&lt;2,"",INDEX(Stillstand_h,AG37)*INDEX(Kostensatz,AF37))</f>
        <v/>
      </c>
      <c r="X37" s="32">
        <f>IF(AK37="","",IF(T37=0,"Bestand ausreichend / stock sufficient",IF(U37="","Stückpreis fehlt / price missing",IF(V37=0,"–",IF(W37/V37&gt;=Faktor_wirtschaftlich,"wirtschaftlich (Faktor "&amp;FIXED(W37/V37,1)&amp;")","nicht wirtschaftlich (Faktor "&amp;FIXED(W37/V37,1)&amp;")")))))</f>
        <v/>
      </c>
      <c r="Y37" s="33">
        <f>IF(AK37="","",IF(AK37=3,IF(T37&gt;0,IF(AG37=3,"Sofort beschaffen: Restbestand / Gebrauchtmarkt / Alternative sichern","Mindestbestand aufbauen ("&amp;T37&amp;" Stk.)"),"Bestand halten, jährlich prüfen"),IF(AK37=2,IF(T37&gt;0,"Bevorratung nach Wirtschaftlichkeit entscheiden; Quelle / Reparatur klären","Lieferzeit und Teilestatus jährlich prüfen"),"Keine Bevorratung – Beschaffung bei Bedarf")))</f>
        <v/>
      </c>
      <c r="Z37" s="25" t="n"/>
      <c r="AA37" s="25" t="n"/>
      <c r="AB37" s="34" t="n"/>
      <c r="AC37" s="26" t="n"/>
      <c r="AD37" s="25" t="n"/>
      <c r="AE37" s="2" t="n"/>
      <c r="AF37" s="35">
        <f>IF(I37="","",VALUE(LEFT(I37,1)))</f>
        <v/>
      </c>
      <c r="AG37" s="35">
        <f>IF(J37="","",VALUE(LEFT(J37,1)))</f>
        <v/>
      </c>
      <c r="AH37" s="35">
        <f>IF(K37="","",VALUE(LEFT(K37,1)))</f>
        <v/>
      </c>
      <c r="AI37" s="35">
        <f>IF(LEFT(L37,2)="ja",1,0)</f>
        <v/>
      </c>
      <c r="AJ37" s="35">
        <f>IF(COUNT(AF37:AH37)&lt;3,"",FIND(INDEX(Matrix,4-AF37,AG37),"CBA"))</f>
        <v/>
      </c>
      <c r="AK37" s="35">
        <f>IF(AJ37="","",MIN(3,MAX(AJ37+IF(AND(Regel_haeufig="ja",AH37=3),1,0),IF(AND(Regel_sicherheit="ja",AI37=1),2,0))))</f>
        <v/>
      </c>
      <c r="AL37" s="35">
        <f>IF(S37&lt;&gt;"",S37,IF(R37="","",R37))</f>
        <v/>
      </c>
      <c r="AM37" s="35">
        <f>IF(AK37="","",AK37*1000+N37*10+(1000-ROW())/100000)</f>
        <v/>
      </c>
    </row>
    <row r="38" ht="45" customHeight="1">
      <c r="A38" s="22">
        <f>IF(C38="","",COUNTA($C$7:C38))</f>
        <v/>
      </c>
      <c r="B38" s="23" t="n"/>
      <c r="C38" s="24" t="n"/>
      <c r="D38" s="25" t="n"/>
      <c r="E38" s="23" t="n"/>
      <c r="F38" s="26" t="n"/>
      <c r="G38" s="25" t="n"/>
      <c r="H38" s="25" t="n"/>
      <c r="I38" s="24" t="n"/>
      <c r="J38" s="24" t="n"/>
      <c r="K38" s="24" t="n"/>
      <c r="L38" s="26" t="n"/>
      <c r="M38" s="27">
        <f>IF(AK38="","",MID("CBA",AK38,1))</f>
        <v/>
      </c>
      <c r="N38" s="22">
        <f>IF(COUNT(AF38:AH38)&lt;3,"",AF38*AG38*AH38)</f>
        <v/>
      </c>
      <c r="O38" s="28">
        <f>IF(C38="","",IF(AJ38="","Bewertung unvollständig / incomplete","Matrix "&amp;MID("CBA",AJ38,1)&amp;IF(AND(Regel_haeufig="ja",AH38=3,AJ38&lt;3)," · häufig +1","")&amp;IF(AND(Regel_sicherheit="ja",AI38=1,AJ38+IF(AND(Regel_haeufig="ja",AH38=3),1,0)&lt;2)," · Sicherheit ⇒ B","")&amp;" → "&amp;M38))</f>
        <v/>
      </c>
      <c r="P38" s="29" t="n"/>
      <c r="Q38" s="25" t="n"/>
      <c r="R38" s="22">
        <f>IF(AK38="","",INDEX(Soll_Tabelle,4-AK38,IF(AH38=3,2,1)))</f>
        <v/>
      </c>
      <c r="S38" s="26" t="n"/>
      <c r="T38" s="22">
        <f>IF(AL38="","",MAX(0,AL38-N(P38)))</f>
        <v/>
      </c>
      <c r="U38" s="30" t="n"/>
      <c r="V38" s="31">
        <f>IF(OR(T38="",U38=""),"",T38*U38)</f>
        <v/>
      </c>
      <c r="W38" s="31">
        <f>IF(COUNT(AF38:AG38)&lt;2,"",INDEX(Stillstand_h,AG38)*INDEX(Kostensatz,AF38))</f>
        <v/>
      </c>
      <c r="X38" s="32">
        <f>IF(AK38="","",IF(T38=0,"Bestand ausreichend / stock sufficient",IF(U38="","Stückpreis fehlt / price missing",IF(V38=0,"–",IF(W38/V38&gt;=Faktor_wirtschaftlich,"wirtschaftlich (Faktor "&amp;FIXED(W38/V38,1)&amp;")","nicht wirtschaftlich (Faktor "&amp;FIXED(W38/V38,1)&amp;")")))))</f>
        <v/>
      </c>
      <c r="Y38" s="33">
        <f>IF(AK38="","",IF(AK38=3,IF(T38&gt;0,IF(AG38=3,"Sofort beschaffen: Restbestand / Gebrauchtmarkt / Alternative sichern","Mindestbestand aufbauen ("&amp;T38&amp;" Stk.)"),"Bestand halten, jährlich prüfen"),IF(AK38=2,IF(T38&gt;0,"Bevorratung nach Wirtschaftlichkeit entscheiden; Quelle / Reparatur klären","Lieferzeit und Teilestatus jährlich prüfen"),"Keine Bevorratung – Beschaffung bei Bedarf")))</f>
        <v/>
      </c>
      <c r="Z38" s="25" t="n"/>
      <c r="AA38" s="25" t="n"/>
      <c r="AB38" s="34" t="n"/>
      <c r="AC38" s="26" t="n"/>
      <c r="AD38" s="25" t="n"/>
      <c r="AE38" s="2" t="n"/>
      <c r="AF38" s="35">
        <f>IF(I38="","",VALUE(LEFT(I38,1)))</f>
        <v/>
      </c>
      <c r="AG38" s="35">
        <f>IF(J38="","",VALUE(LEFT(J38,1)))</f>
        <v/>
      </c>
      <c r="AH38" s="35">
        <f>IF(K38="","",VALUE(LEFT(K38,1)))</f>
        <v/>
      </c>
      <c r="AI38" s="35">
        <f>IF(LEFT(L38,2)="ja",1,0)</f>
        <v/>
      </c>
      <c r="AJ38" s="35">
        <f>IF(COUNT(AF38:AH38)&lt;3,"",FIND(INDEX(Matrix,4-AF38,AG38),"CBA"))</f>
        <v/>
      </c>
      <c r="AK38" s="35">
        <f>IF(AJ38="","",MIN(3,MAX(AJ38+IF(AND(Regel_haeufig="ja",AH38=3),1,0),IF(AND(Regel_sicherheit="ja",AI38=1),2,0))))</f>
        <v/>
      </c>
      <c r="AL38" s="35">
        <f>IF(S38&lt;&gt;"",S38,IF(R38="","",R38))</f>
        <v/>
      </c>
      <c r="AM38" s="35">
        <f>IF(AK38="","",AK38*1000+N38*10+(1000-ROW())/100000)</f>
        <v/>
      </c>
    </row>
    <row r="39" ht="45" customHeight="1">
      <c r="A39" s="22">
        <f>IF(C39="","",COUNTA($C$7:C39))</f>
        <v/>
      </c>
      <c r="B39" s="23" t="n"/>
      <c r="C39" s="24" t="n"/>
      <c r="D39" s="25" t="n"/>
      <c r="E39" s="23" t="n"/>
      <c r="F39" s="26" t="n"/>
      <c r="G39" s="25" t="n"/>
      <c r="H39" s="25" t="n"/>
      <c r="I39" s="24" t="n"/>
      <c r="J39" s="24" t="n"/>
      <c r="K39" s="24" t="n"/>
      <c r="L39" s="26" t="n"/>
      <c r="M39" s="27">
        <f>IF(AK39="","",MID("CBA",AK39,1))</f>
        <v/>
      </c>
      <c r="N39" s="22">
        <f>IF(COUNT(AF39:AH39)&lt;3,"",AF39*AG39*AH39)</f>
        <v/>
      </c>
      <c r="O39" s="28">
        <f>IF(C39="","",IF(AJ39="","Bewertung unvollständig / incomplete","Matrix "&amp;MID("CBA",AJ39,1)&amp;IF(AND(Regel_haeufig="ja",AH39=3,AJ39&lt;3)," · häufig +1","")&amp;IF(AND(Regel_sicherheit="ja",AI39=1,AJ39+IF(AND(Regel_haeufig="ja",AH39=3),1,0)&lt;2)," · Sicherheit ⇒ B","")&amp;" → "&amp;M39))</f>
        <v/>
      </c>
      <c r="P39" s="29" t="n"/>
      <c r="Q39" s="25" t="n"/>
      <c r="R39" s="22">
        <f>IF(AK39="","",INDEX(Soll_Tabelle,4-AK39,IF(AH39=3,2,1)))</f>
        <v/>
      </c>
      <c r="S39" s="26" t="n"/>
      <c r="T39" s="22">
        <f>IF(AL39="","",MAX(0,AL39-N(P39)))</f>
        <v/>
      </c>
      <c r="U39" s="30" t="n"/>
      <c r="V39" s="31">
        <f>IF(OR(T39="",U39=""),"",T39*U39)</f>
        <v/>
      </c>
      <c r="W39" s="31">
        <f>IF(COUNT(AF39:AG39)&lt;2,"",INDEX(Stillstand_h,AG39)*INDEX(Kostensatz,AF39))</f>
        <v/>
      </c>
      <c r="X39" s="32">
        <f>IF(AK39="","",IF(T39=0,"Bestand ausreichend / stock sufficient",IF(U39="","Stückpreis fehlt / price missing",IF(V39=0,"–",IF(W39/V39&gt;=Faktor_wirtschaftlich,"wirtschaftlich (Faktor "&amp;FIXED(W39/V39,1)&amp;")","nicht wirtschaftlich (Faktor "&amp;FIXED(W39/V39,1)&amp;")")))))</f>
        <v/>
      </c>
      <c r="Y39" s="33">
        <f>IF(AK39="","",IF(AK39=3,IF(T39&gt;0,IF(AG39=3,"Sofort beschaffen: Restbestand / Gebrauchtmarkt / Alternative sichern","Mindestbestand aufbauen ("&amp;T39&amp;" Stk.)"),"Bestand halten, jährlich prüfen"),IF(AK39=2,IF(T39&gt;0,"Bevorratung nach Wirtschaftlichkeit entscheiden; Quelle / Reparatur klären","Lieferzeit und Teilestatus jährlich prüfen"),"Keine Bevorratung – Beschaffung bei Bedarf")))</f>
        <v/>
      </c>
      <c r="Z39" s="25" t="n"/>
      <c r="AA39" s="25" t="n"/>
      <c r="AB39" s="34" t="n"/>
      <c r="AC39" s="26" t="n"/>
      <c r="AD39" s="25" t="n"/>
      <c r="AE39" s="2" t="n"/>
      <c r="AF39" s="35">
        <f>IF(I39="","",VALUE(LEFT(I39,1)))</f>
        <v/>
      </c>
      <c r="AG39" s="35">
        <f>IF(J39="","",VALUE(LEFT(J39,1)))</f>
        <v/>
      </c>
      <c r="AH39" s="35">
        <f>IF(K39="","",VALUE(LEFT(K39,1)))</f>
        <v/>
      </c>
      <c r="AI39" s="35">
        <f>IF(LEFT(L39,2)="ja",1,0)</f>
        <v/>
      </c>
      <c r="AJ39" s="35">
        <f>IF(COUNT(AF39:AH39)&lt;3,"",FIND(INDEX(Matrix,4-AF39,AG39),"CBA"))</f>
        <v/>
      </c>
      <c r="AK39" s="35">
        <f>IF(AJ39="","",MIN(3,MAX(AJ39+IF(AND(Regel_haeufig="ja",AH39=3),1,0),IF(AND(Regel_sicherheit="ja",AI39=1),2,0))))</f>
        <v/>
      </c>
      <c r="AL39" s="35">
        <f>IF(S39&lt;&gt;"",S39,IF(R39="","",R39))</f>
        <v/>
      </c>
      <c r="AM39" s="35">
        <f>IF(AK39="","",AK39*1000+N39*10+(1000-ROW())/100000)</f>
        <v/>
      </c>
    </row>
    <row r="40" ht="45" customHeight="1">
      <c r="A40" s="22">
        <f>IF(C40="","",COUNTA($C$7:C40))</f>
        <v/>
      </c>
      <c r="B40" s="23" t="n"/>
      <c r="C40" s="24" t="n"/>
      <c r="D40" s="25" t="n"/>
      <c r="E40" s="23" t="n"/>
      <c r="F40" s="26" t="n"/>
      <c r="G40" s="25" t="n"/>
      <c r="H40" s="25" t="n"/>
      <c r="I40" s="24" t="n"/>
      <c r="J40" s="24" t="n"/>
      <c r="K40" s="24" t="n"/>
      <c r="L40" s="26" t="n"/>
      <c r="M40" s="27">
        <f>IF(AK40="","",MID("CBA",AK40,1))</f>
        <v/>
      </c>
      <c r="N40" s="22">
        <f>IF(COUNT(AF40:AH40)&lt;3,"",AF40*AG40*AH40)</f>
        <v/>
      </c>
      <c r="O40" s="28">
        <f>IF(C40="","",IF(AJ40="","Bewertung unvollständig / incomplete","Matrix "&amp;MID("CBA",AJ40,1)&amp;IF(AND(Regel_haeufig="ja",AH40=3,AJ40&lt;3)," · häufig +1","")&amp;IF(AND(Regel_sicherheit="ja",AI40=1,AJ40+IF(AND(Regel_haeufig="ja",AH40=3),1,0)&lt;2)," · Sicherheit ⇒ B","")&amp;" → "&amp;M40))</f>
        <v/>
      </c>
      <c r="P40" s="29" t="n"/>
      <c r="Q40" s="25" t="n"/>
      <c r="R40" s="22">
        <f>IF(AK40="","",INDEX(Soll_Tabelle,4-AK40,IF(AH40=3,2,1)))</f>
        <v/>
      </c>
      <c r="S40" s="26" t="n"/>
      <c r="T40" s="22">
        <f>IF(AL40="","",MAX(0,AL40-N(P40)))</f>
        <v/>
      </c>
      <c r="U40" s="30" t="n"/>
      <c r="V40" s="31">
        <f>IF(OR(T40="",U40=""),"",T40*U40)</f>
        <v/>
      </c>
      <c r="W40" s="31">
        <f>IF(COUNT(AF40:AG40)&lt;2,"",INDEX(Stillstand_h,AG40)*INDEX(Kostensatz,AF40))</f>
        <v/>
      </c>
      <c r="X40" s="32">
        <f>IF(AK40="","",IF(T40=0,"Bestand ausreichend / stock sufficient",IF(U40="","Stückpreis fehlt / price missing",IF(V40=0,"–",IF(W40/V40&gt;=Faktor_wirtschaftlich,"wirtschaftlich (Faktor "&amp;FIXED(W40/V40,1)&amp;")","nicht wirtschaftlich (Faktor "&amp;FIXED(W40/V40,1)&amp;")")))))</f>
        <v/>
      </c>
      <c r="Y40" s="33">
        <f>IF(AK40="","",IF(AK40=3,IF(T40&gt;0,IF(AG40=3,"Sofort beschaffen: Restbestand / Gebrauchtmarkt / Alternative sichern","Mindestbestand aufbauen ("&amp;T40&amp;" Stk.)"),"Bestand halten, jährlich prüfen"),IF(AK40=2,IF(T40&gt;0,"Bevorratung nach Wirtschaftlichkeit entscheiden; Quelle / Reparatur klären","Lieferzeit und Teilestatus jährlich prüfen"),"Keine Bevorratung – Beschaffung bei Bedarf")))</f>
        <v/>
      </c>
      <c r="Z40" s="25" t="n"/>
      <c r="AA40" s="25" t="n"/>
      <c r="AB40" s="34" t="n"/>
      <c r="AC40" s="26" t="n"/>
      <c r="AD40" s="25" t="n"/>
      <c r="AE40" s="2" t="n"/>
      <c r="AF40" s="35">
        <f>IF(I40="","",VALUE(LEFT(I40,1)))</f>
        <v/>
      </c>
      <c r="AG40" s="35">
        <f>IF(J40="","",VALUE(LEFT(J40,1)))</f>
        <v/>
      </c>
      <c r="AH40" s="35">
        <f>IF(K40="","",VALUE(LEFT(K40,1)))</f>
        <v/>
      </c>
      <c r="AI40" s="35">
        <f>IF(LEFT(L40,2)="ja",1,0)</f>
        <v/>
      </c>
      <c r="AJ40" s="35">
        <f>IF(COUNT(AF40:AH40)&lt;3,"",FIND(INDEX(Matrix,4-AF40,AG40),"CBA"))</f>
        <v/>
      </c>
      <c r="AK40" s="35">
        <f>IF(AJ40="","",MIN(3,MAX(AJ40+IF(AND(Regel_haeufig="ja",AH40=3),1,0),IF(AND(Regel_sicherheit="ja",AI40=1),2,0))))</f>
        <v/>
      </c>
      <c r="AL40" s="35">
        <f>IF(S40&lt;&gt;"",S40,IF(R40="","",R40))</f>
        <v/>
      </c>
      <c r="AM40" s="35">
        <f>IF(AK40="","",AK40*1000+N40*10+(1000-ROW())/100000)</f>
        <v/>
      </c>
    </row>
    <row r="41" ht="45" customHeight="1">
      <c r="A41" s="22">
        <f>IF(C41="","",COUNTA($C$7:C41))</f>
        <v/>
      </c>
      <c r="B41" s="23" t="n"/>
      <c r="C41" s="24" t="n"/>
      <c r="D41" s="25" t="n"/>
      <c r="E41" s="23" t="n"/>
      <c r="F41" s="26" t="n"/>
      <c r="G41" s="25" t="n"/>
      <c r="H41" s="25" t="n"/>
      <c r="I41" s="24" t="n"/>
      <c r="J41" s="24" t="n"/>
      <c r="K41" s="24" t="n"/>
      <c r="L41" s="26" t="n"/>
      <c r="M41" s="27">
        <f>IF(AK41="","",MID("CBA",AK41,1))</f>
        <v/>
      </c>
      <c r="N41" s="22">
        <f>IF(COUNT(AF41:AH41)&lt;3,"",AF41*AG41*AH41)</f>
        <v/>
      </c>
      <c r="O41" s="28">
        <f>IF(C41="","",IF(AJ41="","Bewertung unvollständig / incomplete","Matrix "&amp;MID("CBA",AJ41,1)&amp;IF(AND(Regel_haeufig="ja",AH41=3,AJ41&lt;3)," · häufig +1","")&amp;IF(AND(Regel_sicherheit="ja",AI41=1,AJ41+IF(AND(Regel_haeufig="ja",AH41=3),1,0)&lt;2)," · Sicherheit ⇒ B","")&amp;" → "&amp;M41))</f>
        <v/>
      </c>
      <c r="P41" s="29" t="n"/>
      <c r="Q41" s="25" t="n"/>
      <c r="R41" s="22">
        <f>IF(AK41="","",INDEX(Soll_Tabelle,4-AK41,IF(AH41=3,2,1)))</f>
        <v/>
      </c>
      <c r="S41" s="26" t="n"/>
      <c r="T41" s="22">
        <f>IF(AL41="","",MAX(0,AL41-N(P41)))</f>
        <v/>
      </c>
      <c r="U41" s="30" t="n"/>
      <c r="V41" s="31">
        <f>IF(OR(T41="",U41=""),"",T41*U41)</f>
        <v/>
      </c>
      <c r="W41" s="31">
        <f>IF(COUNT(AF41:AG41)&lt;2,"",INDEX(Stillstand_h,AG41)*INDEX(Kostensatz,AF41))</f>
        <v/>
      </c>
      <c r="X41" s="32">
        <f>IF(AK41="","",IF(T41=0,"Bestand ausreichend / stock sufficient",IF(U41="","Stückpreis fehlt / price missing",IF(V41=0,"–",IF(W41/V41&gt;=Faktor_wirtschaftlich,"wirtschaftlich (Faktor "&amp;FIXED(W41/V41,1)&amp;")","nicht wirtschaftlich (Faktor "&amp;FIXED(W41/V41,1)&amp;")")))))</f>
        <v/>
      </c>
      <c r="Y41" s="33">
        <f>IF(AK41="","",IF(AK41=3,IF(T41&gt;0,IF(AG41=3,"Sofort beschaffen: Restbestand / Gebrauchtmarkt / Alternative sichern","Mindestbestand aufbauen ("&amp;T41&amp;" Stk.)"),"Bestand halten, jährlich prüfen"),IF(AK41=2,IF(T41&gt;0,"Bevorratung nach Wirtschaftlichkeit entscheiden; Quelle / Reparatur klären","Lieferzeit und Teilestatus jährlich prüfen"),"Keine Bevorratung – Beschaffung bei Bedarf")))</f>
        <v/>
      </c>
      <c r="Z41" s="25" t="n"/>
      <c r="AA41" s="25" t="n"/>
      <c r="AB41" s="34" t="n"/>
      <c r="AC41" s="26" t="n"/>
      <c r="AD41" s="25" t="n"/>
      <c r="AE41" s="2" t="n"/>
      <c r="AF41" s="35">
        <f>IF(I41="","",VALUE(LEFT(I41,1)))</f>
        <v/>
      </c>
      <c r="AG41" s="35">
        <f>IF(J41="","",VALUE(LEFT(J41,1)))</f>
        <v/>
      </c>
      <c r="AH41" s="35">
        <f>IF(K41="","",VALUE(LEFT(K41,1)))</f>
        <v/>
      </c>
      <c r="AI41" s="35">
        <f>IF(LEFT(L41,2)="ja",1,0)</f>
        <v/>
      </c>
      <c r="AJ41" s="35">
        <f>IF(COUNT(AF41:AH41)&lt;3,"",FIND(INDEX(Matrix,4-AF41,AG41),"CBA"))</f>
        <v/>
      </c>
      <c r="AK41" s="35">
        <f>IF(AJ41="","",MIN(3,MAX(AJ41+IF(AND(Regel_haeufig="ja",AH41=3),1,0),IF(AND(Regel_sicherheit="ja",AI41=1),2,0))))</f>
        <v/>
      </c>
      <c r="AL41" s="35">
        <f>IF(S41&lt;&gt;"",S41,IF(R41="","",R41))</f>
        <v/>
      </c>
      <c r="AM41" s="35">
        <f>IF(AK41="","",AK41*1000+N41*10+(1000-ROW())/100000)</f>
        <v/>
      </c>
    </row>
    <row r="42" ht="45" customHeight="1">
      <c r="A42" s="22">
        <f>IF(C42="","",COUNTA($C$7:C42))</f>
        <v/>
      </c>
      <c r="B42" s="23" t="n"/>
      <c r="C42" s="24" t="n"/>
      <c r="D42" s="25" t="n"/>
      <c r="E42" s="23" t="n"/>
      <c r="F42" s="26" t="n"/>
      <c r="G42" s="25" t="n"/>
      <c r="H42" s="25" t="n"/>
      <c r="I42" s="24" t="n"/>
      <c r="J42" s="24" t="n"/>
      <c r="K42" s="24" t="n"/>
      <c r="L42" s="26" t="n"/>
      <c r="M42" s="27">
        <f>IF(AK42="","",MID("CBA",AK42,1))</f>
        <v/>
      </c>
      <c r="N42" s="22">
        <f>IF(COUNT(AF42:AH42)&lt;3,"",AF42*AG42*AH42)</f>
        <v/>
      </c>
      <c r="O42" s="28">
        <f>IF(C42="","",IF(AJ42="","Bewertung unvollständig / incomplete","Matrix "&amp;MID("CBA",AJ42,1)&amp;IF(AND(Regel_haeufig="ja",AH42=3,AJ42&lt;3)," · häufig +1","")&amp;IF(AND(Regel_sicherheit="ja",AI42=1,AJ42+IF(AND(Regel_haeufig="ja",AH42=3),1,0)&lt;2)," · Sicherheit ⇒ B","")&amp;" → "&amp;M42))</f>
        <v/>
      </c>
      <c r="P42" s="29" t="n"/>
      <c r="Q42" s="25" t="n"/>
      <c r="R42" s="22">
        <f>IF(AK42="","",INDEX(Soll_Tabelle,4-AK42,IF(AH42=3,2,1)))</f>
        <v/>
      </c>
      <c r="S42" s="26" t="n"/>
      <c r="T42" s="22">
        <f>IF(AL42="","",MAX(0,AL42-N(P42)))</f>
        <v/>
      </c>
      <c r="U42" s="30" t="n"/>
      <c r="V42" s="31">
        <f>IF(OR(T42="",U42=""),"",T42*U42)</f>
        <v/>
      </c>
      <c r="W42" s="31">
        <f>IF(COUNT(AF42:AG42)&lt;2,"",INDEX(Stillstand_h,AG42)*INDEX(Kostensatz,AF42))</f>
        <v/>
      </c>
      <c r="X42" s="32">
        <f>IF(AK42="","",IF(T42=0,"Bestand ausreichend / stock sufficient",IF(U42="","Stückpreis fehlt / price missing",IF(V42=0,"–",IF(W42/V42&gt;=Faktor_wirtschaftlich,"wirtschaftlich (Faktor "&amp;FIXED(W42/V42,1)&amp;")","nicht wirtschaftlich (Faktor "&amp;FIXED(W42/V42,1)&amp;")")))))</f>
        <v/>
      </c>
      <c r="Y42" s="33">
        <f>IF(AK42="","",IF(AK42=3,IF(T42&gt;0,IF(AG42=3,"Sofort beschaffen: Restbestand / Gebrauchtmarkt / Alternative sichern","Mindestbestand aufbauen ("&amp;T42&amp;" Stk.)"),"Bestand halten, jährlich prüfen"),IF(AK42=2,IF(T42&gt;0,"Bevorratung nach Wirtschaftlichkeit entscheiden; Quelle / Reparatur klären","Lieferzeit und Teilestatus jährlich prüfen"),"Keine Bevorratung – Beschaffung bei Bedarf")))</f>
        <v/>
      </c>
      <c r="Z42" s="25" t="n"/>
      <c r="AA42" s="25" t="n"/>
      <c r="AB42" s="34" t="n"/>
      <c r="AC42" s="26" t="n"/>
      <c r="AD42" s="25" t="n"/>
      <c r="AE42" s="2" t="n"/>
      <c r="AF42" s="35">
        <f>IF(I42="","",VALUE(LEFT(I42,1)))</f>
        <v/>
      </c>
      <c r="AG42" s="35">
        <f>IF(J42="","",VALUE(LEFT(J42,1)))</f>
        <v/>
      </c>
      <c r="AH42" s="35">
        <f>IF(K42="","",VALUE(LEFT(K42,1)))</f>
        <v/>
      </c>
      <c r="AI42" s="35">
        <f>IF(LEFT(L42,2)="ja",1,0)</f>
        <v/>
      </c>
      <c r="AJ42" s="35">
        <f>IF(COUNT(AF42:AH42)&lt;3,"",FIND(INDEX(Matrix,4-AF42,AG42),"CBA"))</f>
        <v/>
      </c>
      <c r="AK42" s="35">
        <f>IF(AJ42="","",MIN(3,MAX(AJ42+IF(AND(Regel_haeufig="ja",AH42=3),1,0),IF(AND(Regel_sicherheit="ja",AI42=1),2,0))))</f>
        <v/>
      </c>
      <c r="AL42" s="35">
        <f>IF(S42&lt;&gt;"",S42,IF(R42="","",R42))</f>
        <v/>
      </c>
      <c r="AM42" s="35">
        <f>IF(AK42="","",AK42*1000+N42*10+(1000-ROW())/100000)</f>
        <v/>
      </c>
    </row>
    <row r="43" ht="45" customHeight="1">
      <c r="A43" s="22">
        <f>IF(C43="","",COUNTA($C$7:C43))</f>
        <v/>
      </c>
      <c r="B43" s="23" t="n"/>
      <c r="C43" s="24" t="n"/>
      <c r="D43" s="25" t="n"/>
      <c r="E43" s="23" t="n"/>
      <c r="F43" s="26" t="n"/>
      <c r="G43" s="25" t="n"/>
      <c r="H43" s="25" t="n"/>
      <c r="I43" s="24" t="n"/>
      <c r="J43" s="24" t="n"/>
      <c r="K43" s="24" t="n"/>
      <c r="L43" s="26" t="n"/>
      <c r="M43" s="27">
        <f>IF(AK43="","",MID("CBA",AK43,1))</f>
        <v/>
      </c>
      <c r="N43" s="22">
        <f>IF(COUNT(AF43:AH43)&lt;3,"",AF43*AG43*AH43)</f>
        <v/>
      </c>
      <c r="O43" s="28">
        <f>IF(C43="","",IF(AJ43="","Bewertung unvollständig / incomplete","Matrix "&amp;MID("CBA",AJ43,1)&amp;IF(AND(Regel_haeufig="ja",AH43=3,AJ43&lt;3)," · häufig +1","")&amp;IF(AND(Regel_sicherheit="ja",AI43=1,AJ43+IF(AND(Regel_haeufig="ja",AH43=3),1,0)&lt;2)," · Sicherheit ⇒ B","")&amp;" → "&amp;M43))</f>
        <v/>
      </c>
      <c r="P43" s="29" t="n"/>
      <c r="Q43" s="25" t="n"/>
      <c r="R43" s="22">
        <f>IF(AK43="","",INDEX(Soll_Tabelle,4-AK43,IF(AH43=3,2,1)))</f>
        <v/>
      </c>
      <c r="S43" s="26" t="n"/>
      <c r="T43" s="22">
        <f>IF(AL43="","",MAX(0,AL43-N(P43)))</f>
        <v/>
      </c>
      <c r="U43" s="30" t="n"/>
      <c r="V43" s="31">
        <f>IF(OR(T43="",U43=""),"",T43*U43)</f>
        <v/>
      </c>
      <c r="W43" s="31">
        <f>IF(COUNT(AF43:AG43)&lt;2,"",INDEX(Stillstand_h,AG43)*INDEX(Kostensatz,AF43))</f>
        <v/>
      </c>
      <c r="X43" s="32">
        <f>IF(AK43="","",IF(T43=0,"Bestand ausreichend / stock sufficient",IF(U43="","Stückpreis fehlt / price missing",IF(V43=0,"–",IF(W43/V43&gt;=Faktor_wirtschaftlich,"wirtschaftlich (Faktor "&amp;FIXED(W43/V43,1)&amp;")","nicht wirtschaftlich (Faktor "&amp;FIXED(W43/V43,1)&amp;")")))))</f>
        <v/>
      </c>
      <c r="Y43" s="33">
        <f>IF(AK43="","",IF(AK43=3,IF(T43&gt;0,IF(AG43=3,"Sofort beschaffen: Restbestand / Gebrauchtmarkt / Alternative sichern","Mindestbestand aufbauen ("&amp;T43&amp;" Stk.)"),"Bestand halten, jährlich prüfen"),IF(AK43=2,IF(T43&gt;0,"Bevorratung nach Wirtschaftlichkeit entscheiden; Quelle / Reparatur klären","Lieferzeit und Teilestatus jährlich prüfen"),"Keine Bevorratung – Beschaffung bei Bedarf")))</f>
        <v/>
      </c>
      <c r="Z43" s="25" t="n"/>
      <c r="AA43" s="25" t="n"/>
      <c r="AB43" s="34" t="n"/>
      <c r="AC43" s="26" t="n"/>
      <c r="AD43" s="25" t="n"/>
      <c r="AE43" s="2" t="n"/>
      <c r="AF43" s="35">
        <f>IF(I43="","",VALUE(LEFT(I43,1)))</f>
        <v/>
      </c>
      <c r="AG43" s="35">
        <f>IF(J43="","",VALUE(LEFT(J43,1)))</f>
        <v/>
      </c>
      <c r="AH43" s="35">
        <f>IF(K43="","",VALUE(LEFT(K43,1)))</f>
        <v/>
      </c>
      <c r="AI43" s="35">
        <f>IF(LEFT(L43,2)="ja",1,0)</f>
        <v/>
      </c>
      <c r="AJ43" s="35">
        <f>IF(COUNT(AF43:AH43)&lt;3,"",FIND(INDEX(Matrix,4-AF43,AG43),"CBA"))</f>
        <v/>
      </c>
      <c r="AK43" s="35">
        <f>IF(AJ43="","",MIN(3,MAX(AJ43+IF(AND(Regel_haeufig="ja",AH43=3),1,0),IF(AND(Regel_sicherheit="ja",AI43=1),2,0))))</f>
        <v/>
      </c>
      <c r="AL43" s="35">
        <f>IF(S43&lt;&gt;"",S43,IF(R43="","",R43))</f>
        <v/>
      </c>
      <c r="AM43" s="35">
        <f>IF(AK43="","",AK43*1000+N43*10+(1000-ROW())/100000)</f>
        <v/>
      </c>
    </row>
    <row r="44" ht="45" customHeight="1">
      <c r="A44" s="22">
        <f>IF(C44="","",COUNTA($C$7:C44))</f>
        <v/>
      </c>
      <c r="B44" s="23" t="n"/>
      <c r="C44" s="24" t="n"/>
      <c r="D44" s="25" t="n"/>
      <c r="E44" s="23" t="n"/>
      <c r="F44" s="26" t="n"/>
      <c r="G44" s="25" t="n"/>
      <c r="H44" s="25" t="n"/>
      <c r="I44" s="24" t="n"/>
      <c r="J44" s="24" t="n"/>
      <c r="K44" s="24" t="n"/>
      <c r="L44" s="26" t="n"/>
      <c r="M44" s="27">
        <f>IF(AK44="","",MID("CBA",AK44,1))</f>
        <v/>
      </c>
      <c r="N44" s="22">
        <f>IF(COUNT(AF44:AH44)&lt;3,"",AF44*AG44*AH44)</f>
        <v/>
      </c>
      <c r="O44" s="28">
        <f>IF(C44="","",IF(AJ44="","Bewertung unvollständig / incomplete","Matrix "&amp;MID("CBA",AJ44,1)&amp;IF(AND(Regel_haeufig="ja",AH44=3,AJ44&lt;3)," · häufig +1","")&amp;IF(AND(Regel_sicherheit="ja",AI44=1,AJ44+IF(AND(Regel_haeufig="ja",AH44=3),1,0)&lt;2)," · Sicherheit ⇒ B","")&amp;" → "&amp;M44))</f>
        <v/>
      </c>
      <c r="P44" s="29" t="n"/>
      <c r="Q44" s="25" t="n"/>
      <c r="R44" s="22">
        <f>IF(AK44="","",INDEX(Soll_Tabelle,4-AK44,IF(AH44=3,2,1)))</f>
        <v/>
      </c>
      <c r="S44" s="26" t="n"/>
      <c r="T44" s="22">
        <f>IF(AL44="","",MAX(0,AL44-N(P44)))</f>
        <v/>
      </c>
      <c r="U44" s="30" t="n"/>
      <c r="V44" s="31">
        <f>IF(OR(T44="",U44=""),"",T44*U44)</f>
        <v/>
      </c>
      <c r="W44" s="31">
        <f>IF(COUNT(AF44:AG44)&lt;2,"",INDEX(Stillstand_h,AG44)*INDEX(Kostensatz,AF44))</f>
        <v/>
      </c>
      <c r="X44" s="32">
        <f>IF(AK44="","",IF(T44=0,"Bestand ausreichend / stock sufficient",IF(U44="","Stückpreis fehlt / price missing",IF(V44=0,"–",IF(W44/V44&gt;=Faktor_wirtschaftlich,"wirtschaftlich (Faktor "&amp;FIXED(W44/V44,1)&amp;")","nicht wirtschaftlich (Faktor "&amp;FIXED(W44/V44,1)&amp;")")))))</f>
        <v/>
      </c>
      <c r="Y44" s="33">
        <f>IF(AK44="","",IF(AK44=3,IF(T44&gt;0,IF(AG44=3,"Sofort beschaffen: Restbestand / Gebrauchtmarkt / Alternative sichern","Mindestbestand aufbauen ("&amp;T44&amp;" Stk.)"),"Bestand halten, jährlich prüfen"),IF(AK44=2,IF(T44&gt;0,"Bevorratung nach Wirtschaftlichkeit entscheiden; Quelle / Reparatur klären","Lieferzeit und Teilestatus jährlich prüfen"),"Keine Bevorratung – Beschaffung bei Bedarf")))</f>
        <v/>
      </c>
      <c r="Z44" s="25" t="n"/>
      <c r="AA44" s="25" t="n"/>
      <c r="AB44" s="34" t="n"/>
      <c r="AC44" s="26" t="n"/>
      <c r="AD44" s="25" t="n"/>
      <c r="AE44" s="2" t="n"/>
      <c r="AF44" s="35">
        <f>IF(I44="","",VALUE(LEFT(I44,1)))</f>
        <v/>
      </c>
      <c r="AG44" s="35">
        <f>IF(J44="","",VALUE(LEFT(J44,1)))</f>
        <v/>
      </c>
      <c r="AH44" s="35">
        <f>IF(K44="","",VALUE(LEFT(K44,1)))</f>
        <v/>
      </c>
      <c r="AI44" s="35">
        <f>IF(LEFT(L44,2)="ja",1,0)</f>
        <v/>
      </c>
      <c r="AJ44" s="35">
        <f>IF(COUNT(AF44:AH44)&lt;3,"",FIND(INDEX(Matrix,4-AF44,AG44),"CBA"))</f>
        <v/>
      </c>
      <c r="AK44" s="35">
        <f>IF(AJ44="","",MIN(3,MAX(AJ44+IF(AND(Regel_haeufig="ja",AH44=3),1,0),IF(AND(Regel_sicherheit="ja",AI44=1),2,0))))</f>
        <v/>
      </c>
      <c r="AL44" s="35">
        <f>IF(S44&lt;&gt;"",S44,IF(R44="","",R44))</f>
        <v/>
      </c>
      <c r="AM44" s="35">
        <f>IF(AK44="","",AK44*1000+N44*10+(1000-ROW())/100000)</f>
        <v/>
      </c>
    </row>
    <row r="45" ht="45" customHeight="1">
      <c r="A45" s="22">
        <f>IF(C45="","",COUNTA($C$7:C45))</f>
        <v/>
      </c>
      <c r="B45" s="23" t="n"/>
      <c r="C45" s="24" t="n"/>
      <c r="D45" s="25" t="n"/>
      <c r="E45" s="23" t="n"/>
      <c r="F45" s="26" t="n"/>
      <c r="G45" s="25" t="n"/>
      <c r="H45" s="25" t="n"/>
      <c r="I45" s="24" t="n"/>
      <c r="J45" s="24" t="n"/>
      <c r="K45" s="24" t="n"/>
      <c r="L45" s="26" t="n"/>
      <c r="M45" s="27">
        <f>IF(AK45="","",MID("CBA",AK45,1))</f>
        <v/>
      </c>
      <c r="N45" s="22">
        <f>IF(COUNT(AF45:AH45)&lt;3,"",AF45*AG45*AH45)</f>
        <v/>
      </c>
      <c r="O45" s="28">
        <f>IF(C45="","",IF(AJ45="","Bewertung unvollständig / incomplete","Matrix "&amp;MID("CBA",AJ45,1)&amp;IF(AND(Regel_haeufig="ja",AH45=3,AJ45&lt;3)," · häufig +1","")&amp;IF(AND(Regel_sicherheit="ja",AI45=1,AJ45+IF(AND(Regel_haeufig="ja",AH45=3),1,0)&lt;2)," · Sicherheit ⇒ B","")&amp;" → "&amp;M45))</f>
        <v/>
      </c>
      <c r="P45" s="29" t="n"/>
      <c r="Q45" s="25" t="n"/>
      <c r="R45" s="22">
        <f>IF(AK45="","",INDEX(Soll_Tabelle,4-AK45,IF(AH45=3,2,1)))</f>
        <v/>
      </c>
      <c r="S45" s="26" t="n"/>
      <c r="T45" s="22">
        <f>IF(AL45="","",MAX(0,AL45-N(P45)))</f>
        <v/>
      </c>
      <c r="U45" s="30" t="n"/>
      <c r="V45" s="31">
        <f>IF(OR(T45="",U45=""),"",T45*U45)</f>
        <v/>
      </c>
      <c r="W45" s="31">
        <f>IF(COUNT(AF45:AG45)&lt;2,"",INDEX(Stillstand_h,AG45)*INDEX(Kostensatz,AF45))</f>
        <v/>
      </c>
      <c r="X45" s="32">
        <f>IF(AK45="","",IF(T45=0,"Bestand ausreichend / stock sufficient",IF(U45="","Stückpreis fehlt / price missing",IF(V45=0,"–",IF(W45/V45&gt;=Faktor_wirtschaftlich,"wirtschaftlich (Faktor "&amp;FIXED(W45/V45,1)&amp;")","nicht wirtschaftlich (Faktor "&amp;FIXED(W45/V45,1)&amp;")")))))</f>
        <v/>
      </c>
      <c r="Y45" s="33">
        <f>IF(AK45="","",IF(AK45=3,IF(T45&gt;0,IF(AG45=3,"Sofort beschaffen: Restbestand / Gebrauchtmarkt / Alternative sichern","Mindestbestand aufbauen ("&amp;T45&amp;" Stk.)"),"Bestand halten, jährlich prüfen"),IF(AK45=2,IF(T45&gt;0,"Bevorratung nach Wirtschaftlichkeit entscheiden; Quelle / Reparatur klären","Lieferzeit und Teilestatus jährlich prüfen"),"Keine Bevorratung – Beschaffung bei Bedarf")))</f>
        <v/>
      </c>
      <c r="Z45" s="25" t="n"/>
      <c r="AA45" s="25" t="n"/>
      <c r="AB45" s="34" t="n"/>
      <c r="AC45" s="26" t="n"/>
      <c r="AD45" s="25" t="n"/>
      <c r="AE45" s="2" t="n"/>
      <c r="AF45" s="35">
        <f>IF(I45="","",VALUE(LEFT(I45,1)))</f>
        <v/>
      </c>
      <c r="AG45" s="35">
        <f>IF(J45="","",VALUE(LEFT(J45,1)))</f>
        <v/>
      </c>
      <c r="AH45" s="35">
        <f>IF(K45="","",VALUE(LEFT(K45,1)))</f>
        <v/>
      </c>
      <c r="AI45" s="35">
        <f>IF(LEFT(L45,2)="ja",1,0)</f>
        <v/>
      </c>
      <c r="AJ45" s="35">
        <f>IF(COUNT(AF45:AH45)&lt;3,"",FIND(INDEX(Matrix,4-AF45,AG45),"CBA"))</f>
        <v/>
      </c>
      <c r="AK45" s="35">
        <f>IF(AJ45="","",MIN(3,MAX(AJ45+IF(AND(Regel_haeufig="ja",AH45=3),1,0),IF(AND(Regel_sicherheit="ja",AI45=1),2,0))))</f>
        <v/>
      </c>
      <c r="AL45" s="35">
        <f>IF(S45&lt;&gt;"",S45,IF(R45="","",R45))</f>
        <v/>
      </c>
      <c r="AM45" s="35">
        <f>IF(AK45="","",AK45*1000+N45*10+(1000-ROW())/100000)</f>
        <v/>
      </c>
    </row>
    <row r="46" ht="45" customHeight="1">
      <c r="A46" s="22">
        <f>IF(C46="","",COUNTA($C$7:C46))</f>
        <v/>
      </c>
      <c r="B46" s="23" t="n"/>
      <c r="C46" s="24" t="n"/>
      <c r="D46" s="25" t="n"/>
      <c r="E46" s="23" t="n"/>
      <c r="F46" s="26" t="n"/>
      <c r="G46" s="25" t="n"/>
      <c r="H46" s="25" t="n"/>
      <c r="I46" s="24" t="n"/>
      <c r="J46" s="24" t="n"/>
      <c r="K46" s="24" t="n"/>
      <c r="L46" s="26" t="n"/>
      <c r="M46" s="27">
        <f>IF(AK46="","",MID("CBA",AK46,1))</f>
        <v/>
      </c>
      <c r="N46" s="22">
        <f>IF(COUNT(AF46:AH46)&lt;3,"",AF46*AG46*AH46)</f>
        <v/>
      </c>
      <c r="O46" s="28">
        <f>IF(C46="","",IF(AJ46="","Bewertung unvollständig / incomplete","Matrix "&amp;MID("CBA",AJ46,1)&amp;IF(AND(Regel_haeufig="ja",AH46=3,AJ46&lt;3)," · häufig +1","")&amp;IF(AND(Regel_sicherheit="ja",AI46=1,AJ46+IF(AND(Regel_haeufig="ja",AH46=3),1,0)&lt;2)," · Sicherheit ⇒ B","")&amp;" → "&amp;M46))</f>
        <v/>
      </c>
      <c r="P46" s="29" t="n"/>
      <c r="Q46" s="25" t="n"/>
      <c r="R46" s="22">
        <f>IF(AK46="","",INDEX(Soll_Tabelle,4-AK46,IF(AH46=3,2,1)))</f>
        <v/>
      </c>
      <c r="S46" s="26" t="n"/>
      <c r="T46" s="22">
        <f>IF(AL46="","",MAX(0,AL46-N(P46)))</f>
        <v/>
      </c>
      <c r="U46" s="30" t="n"/>
      <c r="V46" s="31">
        <f>IF(OR(T46="",U46=""),"",T46*U46)</f>
        <v/>
      </c>
      <c r="W46" s="31">
        <f>IF(COUNT(AF46:AG46)&lt;2,"",INDEX(Stillstand_h,AG46)*INDEX(Kostensatz,AF46))</f>
        <v/>
      </c>
      <c r="X46" s="32">
        <f>IF(AK46="","",IF(T46=0,"Bestand ausreichend / stock sufficient",IF(U46="","Stückpreis fehlt / price missing",IF(V46=0,"–",IF(W46/V46&gt;=Faktor_wirtschaftlich,"wirtschaftlich (Faktor "&amp;FIXED(W46/V46,1)&amp;")","nicht wirtschaftlich (Faktor "&amp;FIXED(W46/V46,1)&amp;")")))))</f>
        <v/>
      </c>
      <c r="Y46" s="33">
        <f>IF(AK46="","",IF(AK46=3,IF(T46&gt;0,IF(AG46=3,"Sofort beschaffen: Restbestand / Gebrauchtmarkt / Alternative sichern","Mindestbestand aufbauen ("&amp;T46&amp;" Stk.)"),"Bestand halten, jährlich prüfen"),IF(AK46=2,IF(T46&gt;0,"Bevorratung nach Wirtschaftlichkeit entscheiden; Quelle / Reparatur klären","Lieferzeit und Teilestatus jährlich prüfen"),"Keine Bevorratung – Beschaffung bei Bedarf")))</f>
        <v/>
      </c>
      <c r="Z46" s="25" t="n"/>
      <c r="AA46" s="25" t="n"/>
      <c r="AB46" s="34" t="n"/>
      <c r="AC46" s="26" t="n"/>
      <c r="AD46" s="25" t="n"/>
      <c r="AE46" s="2" t="n"/>
      <c r="AF46" s="35">
        <f>IF(I46="","",VALUE(LEFT(I46,1)))</f>
        <v/>
      </c>
      <c r="AG46" s="35">
        <f>IF(J46="","",VALUE(LEFT(J46,1)))</f>
        <v/>
      </c>
      <c r="AH46" s="35">
        <f>IF(K46="","",VALUE(LEFT(K46,1)))</f>
        <v/>
      </c>
      <c r="AI46" s="35">
        <f>IF(LEFT(L46,2)="ja",1,0)</f>
        <v/>
      </c>
      <c r="AJ46" s="35">
        <f>IF(COUNT(AF46:AH46)&lt;3,"",FIND(INDEX(Matrix,4-AF46,AG46),"CBA"))</f>
        <v/>
      </c>
      <c r="AK46" s="35">
        <f>IF(AJ46="","",MIN(3,MAX(AJ46+IF(AND(Regel_haeufig="ja",AH46=3),1,0),IF(AND(Regel_sicherheit="ja",AI46=1),2,0))))</f>
        <v/>
      </c>
      <c r="AL46" s="35">
        <f>IF(S46&lt;&gt;"",S46,IF(R46="","",R46))</f>
        <v/>
      </c>
      <c r="AM46" s="35">
        <f>IF(AK46="","",AK46*1000+N46*10+(1000-ROW())/100000)</f>
        <v/>
      </c>
    </row>
    <row r="47" ht="45" customHeight="1">
      <c r="A47" s="22">
        <f>IF(C47="","",COUNTA($C$7:C47))</f>
        <v/>
      </c>
      <c r="B47" s="23" t="n"/>
      <c r="C47" s="24" t="n"/>
      <c r="D47" s="25" t="n"/>
      <c r="E47" s="23" t="n"/>
      <c r="F47" s="26" t="n"/>
      <c r="G47" s="25" t="n"/>
      <c r="H47" s="25" t="n"/>
      <c r="I47" s="24" t="n"/>
      <c r="J47" s="24" t="n"/>
      <c r="K47" s="24" t="n"/>
      <c r="L47" s="26" t="n"/>
      <c r="M47" s="27">
        <f>IF(AK47="","",MID("CBA",AK47,1))</f>
        <v/>
      </c>
      <c r="N47" s="22">
        <f>IF(COUNT(AF47:AH47)&lt;3,"",AF47*AG47*AH47)</f>
        <v/>
      </c>
      <c r="O47" s="28">
        <f>IF(C47="","",IF(AJ47="","Bewertung unvollständig / incomplete","Matrix "&amp;MID("CBA",AJ47,1)&amp;IF(AND(Regel_haeufig="ja",AH47=3,AJ47&lt;3)," · häufig +1","")&amp;IF(AND(Regel_sicherheit="ja",AI47=1,AJ47+IF(AND(Regel_haeufig="ja",AH47=3),1,0)&lt;2)," · Sicherheit ⇒ B","")&amp;" → "&amp;M47))</f>
        <v/>
      </c>
      <c r="P47" s="29" t="n"/>
      <c r="Q47" s="25" t="n"/>
      <c r="R47" s="22">
        <f>IF(AK47="","",INDEX(Soll_Tabelle,4-AK47,IF(AH47=3,2,1)))</f>
        <v/>
      </c>
      <c r="S47" s="26" t="n"/>
      <c r="T47" s="22">
        <f>IF(AL47="","",MAX(0,AL47-N(P47)))</f>
        <v/>
      </c>
      <c r="U47" s="30" t="n"/>
      <c r="V47" s="31">
        <f>IF(OR(T47="",U47=""),"",T47*U47)</f>
        <v/>
      </c>
      <c r="W47" s="31">
        <f>IF(COUNT(AF47:AG47)&lt;2,"",INDEX(Stillstand_h,AG47)*INDEX(Kostensatz,AF47))</f>
        <v/>
      </c>
      <c r="X47" s="32">
        <f>IF(AK47="","",IF(T47=0,"Bestand ausreichend / stock sufficient",IF(U47="","Stückpreis fehlt / price missing",IF(V47=0,"–",IF(W47/V47&gt;=Faktor_wirtschaftlich,"wirtschaftlich (Faktor "&amp;FIXED(W47/V47,1)&amp;")","nicht wirtschaftlich (Faktor "&amp;FIXED(W47/V47,1)&amp;")")))))</f>
        <v/>
      </c>
      <c r="Y47" s="33">
        <f>IF(AK47="","",IF(AK47=3,IF(T47&gt;0,IF(AG47=3,"Sofort beschaffen: Restbestand / Gebrauchtmarkt / Alternative sichern","Mindestbestand aufbauen ("&amp;T47&amp;" Stk.)"),"Bestand halten, jährlich prüfen"),IF(AK47=2,IF(T47&gt;0,"Bevorratung nach Wirtschaftlichkeit entscheiden; Quelle / Reparatur klären","Lieferzeit und Teilestatus jährlich prüfen"),"Keine Bevorratung – Beschaffung bei Bedarf")))</f>
        <v/>
      </c>
      <c r="Z47" s="25" t="n"/>
      <c r="AA47" s="25" t="n"/>
      <c r="AB47" s="34" t="n"/>
      <c r="AC47" s="26" t="n"/>
      <c r="AD47" s="25" t="n"/>
      <c r="AE47" s="2" t="n"/>
      <c r="AF47" s="35">
        <f>IF(I47="","",VALUE(LEFT(I47,1)))</f>
        <v/>
      </c>
      <c r="AG47" s="35">
        <f>IF(J47="","",VALUE(LEFT(J47,1)))</f>
        <v/>
      </c>
      <c r="AH47" s="35">
        <f>IF(K47="","",VALUE(LEFT(K47,1)))</f>
        <v/>
      </c>
      <c r="AI47" s="35">
        <f>IF(LEFT(L47,2)="ja",1,0)</f>
        <v/>
      </c>
      <c r="AJ47" s="35">
        <f>IF(COUNT(AF47:AH47)&lt;3,"",FIND(INDEX(Matrix,4-AF47,AG47),"CBA"))</f>
        <v/>
      </c>
      <c r="AK47" s="35">
        <f>IF(AJ47="","",MIN(3,MAX(AJ47+IF(AND(Regel_haeufig="ja",AH47=3),1,0),IF(AND(Regel_sicherheit="ja",AI47=1),2,0))))</f>
        <v/>
      </c>
      <c r="AL47" s="35">
        <f>IF(S47&lt;&gt;"",S47,IF(R47="","",R47))</f>
        <v/>
      </c>
      <c r="AM47" s="35">
        <f>IF(AK47="","",AK47*1000+N47*10+(1000-ROW())/100000)</f>
        <v/>
      </c>
    </row>
    <row r="48" ht="45" customHeight="1">
      <c r="A48" s="22">
        <f>IF(C48="","",COUNTA($C$7:C48))</f>
        <v/>
      </c>
      <c r="B48" s="23" t="n"/>
      <c r="C48" s="24" t="n"/>
      <c r="D48" s="25" t="n"/>
      <c r="E48" s="23" t="n"/>
      <c r="F48" s="26" t="n"/>
      <c r="G48" s="25" t="n"/>
      <c r="H48" s="25" t="n"/>
      <c r="I48" s="24" t="n"/>
      <c r="J48" s="24" t="n"/>
      <c r="K48" s="24" t="n"/>
      <c r="L48" s="26" t="n"/>
      <c r="M48" s="27">
        <f>IF(AK48="","",MID("CBA",AK48,1))</f>
        <v/>
      </c>
      <c r="N48" s="22">
        <f>IF(COUNT(AF48:AH48)&lt;3,"",AF48*AG48*AH48)</f>
        <v/>
      </c>
      <c r="O48" s="28">
        <f>IF(C48="","",IF(AJ48="","Bewertung unvollständig / incomplete","Matrix "&amp;MID("CBA",AJ48,1)&amp;IF(AND(Regel_haeufig="ja",AH48=3,AJ48&lt;3)," · häufig +1","")&amp;IF(AND(Regel_sicherheit="ja",AI48=1,AJ48+IF(AND(Regel_haeufig="ja",AH48=3),1,0)&lt;2)," · Sicherheit ⇒ B","")&amp;" → "&amp;M48))</f>
        <v/>
      </c>
      <c r="P48" s="29" t="n"/>
      <c r="Q48" s="25" t="n"/>
      <c r="R48" s="22">
        <f>IF(AK48="","",INDEX(Soll_Tabelle,4-AK48,IF(AH48=3,2,1)))</f>
        <v/>
      </c>
      <c r="S48" s="26" t="n"/>
      <c r="T48" s="22">
        <f>IF(AL48="","",MAX(0,AL48-N(P48)))</f>
        <v/>
      </c>
      <c r="U48" s="30" t="n"/>
      <c r="V48" s="31">
        <f>IF(OR(T48="",U48=""),"",T48*U48)</f>
        <v/>
      </c>
      <c r="W48" s="31">
        <f>IF(COUNT(AF48:AG48)&lt;2,"",INDEX(Stillstand_h,AG48)*INDEX(Kostensatz,AF48))</f>
        <v/>
      </c>
      <c r="X48" s="32">
        <f>IF(AK48="","",IF(T48=0,"Bestand ausreichend / stock sufficient",IF(U48="","Stückpreis fehlt / price missing",IF(V48=0,"–",IF(W48/V48&gt;=Faktor_wirtschaftlich,"wirtschaftlich (Faktor "&amp;FIXED(W48/V48,1)&amp;")","nicht wirtschaftlich (Faktor "&amp;FIXED(W48/V48,1)&amp;")")))))</f>
        <v/>
      </c>
      <c r="Y48" s="33">
        <f>IF(AK48="","",IF(AK48=3,IF(T48&gt;0,IF(AG48=3,"Sofort beschaffen: Restbestand / Gebrauchtmarkt / Alternative sichern","Mindestbestand aufbauen ("&amp;T48&amp;" Stk.)"),"Bestand halten, jährlich prüfen"),IF(AK48=2,IF(T48&gt;0,"Bevorratung nach Wirtschaftlichkeit entscheiden; Quelle / Reparatur klären","Lieferzeit und Teilestatus jährlich prüfen"),"Keine Bevorratung – Beschaffung bei Bedarf")))</f>
        <v/>
      </c>
      <c r="Z48" s="25" t="n"/>
      <c r="AA48" s="25" t="n"/>
      <c r="AB48" s="34" t="n"/>
      <c r="AC48" s="26" t="n"/>
      <c r="AD48" s="25" t="n"/>
      <c r="AE48" s="2" t="n"/>
      <c r="AF48" s="35">
        <f>IF(I48="","",VALUE(LEFT(I48,1)))</f>
        <v/>
      </c>
      <c r="AG48" s="35">
        <f>IF(J48="","",VALUE(LEFT(J48,1)))</f>
        <v/>
      </c>
      <c r="AH48" s="35">
        <f>IF(K48="","",VALUE(LEFT(K48,1)))</f>
        <v/>
      </c>
      <c r="AI48" s="35">
        <f>IF(LEFT(L48,2)="ja",1,0)</f>
        <v/>
      </c>
      <c r="AJ48" s="35">
        <f>IF(COUNT(AF48:AH48)&lt;3,"",FIND(INDEX(Matrix,4-AF48,AG48),"CBA"))</f>
        <v/>
      </c>
      <c r="AK48" s="35">
        <f>IF(AJ48="","",MIN(3,MAX(AJ48+IF(AND(Regel_haeufig="ja",AH48=3),1,0),IF(AND(Regel_sicherheit="ja",AI48=1),2,0))))</f>
        <v/>
      </c>
      <c r="AL48" s="35">
        <f>IF(S48&lt;&gt;"",S48,IF(R48="","",R48))</f>
        <v/>
      </c>
      <c r="AM48" s="35">
        <f>IF(AK48="","",AK48*1000+N48*10+(1000-ROW())/100000)</f>
        <v/>
      </c>
    </row>
    <row r="49" ht="45" customHeight="1">
      <c r="A49" s="22">
        <f>IF(C49="","",COUNTA($C$7:C49))</f>
        <v/>
      </c>
      <c r="B49" s="23" t="n"/>
      <c r="C49" s="24" t="n"/>
      <c r="D49" s="25" t="n"/>
      <c r="E49" s="23" t="n"/>
      <c r="F49" s="26" t="n"/>
      <c r="G49" s="25" t="n"/>
      <c r="H49" s="25" t="n"/>
      <c r="I49" s="24" t="n"/>
      <c r="J49" s="24" t="n"/>
      <c r="K49" s="24" t="n"/>
      <c r="L49" s="26" t="n"/>
      <c r="M49" s="27">
        <f>IF(AK49="","",MID("CBA",AK49,1))</f>
        <v/>
      </c>
      <c r="N49" s="22">
        <f>IF(COUNT(AF49:AH49)&lt;3,"",AF49*AG49*AH49)</f>
        <v/>
      </c>
      <c r="O49" s="28">
        <f>IF(C49="","",IF(AJ49="","Bewertung unvollständig / incomplete","Matrix "&amp;MID("CBA",AJ49,1)&amp;IF(AND(Regel_haeufig="ja",AH49=3,AJ49&lt;3)," · häufig +1","")&amp;IF(AND(Regel_sicherheit="ja",AI49=1,AJ49+IF(AND(Regel_haeufig="ja",AH49=3),1,0)&lt;2)," · Sicherheit ⇒ B","")&amp;" → "&amp;M49))</f>
        <v/>
      </c>
      <c r="P49" s="29" t="n"/>
      <c r="Q49" s="25" t="n"/>
      <c r="R49" s="22">
        <f>IF(AK49="","",INDEX(Soll_Tabelle,4-AK49,IF(AH49=3,2,1)))</f>
        <v/>
      </c>
      <c r="S49" s="26" t="n"/>
      <c r="T49" s="22">
        <f>IF(AL49="","",MAX(0,AL49-N(P49)))</f>
        <v/>
      </c>
      <c r="U49" s="30" t="n"/>
      <c r="V49" s="31">
        <f>IF(OR(T49="",U49=""),"",T49*U49)</f>
        <v/>
      </c>
      <c r="W49" s="31">
        <f>IF(COUNT(AF49:AG49)&lt;2,"",INDEX(Stillstand_h,AG49)*INDEX(Kostensatz,AF49))</f>
        <v/>
      </c>
      <c r="X49" s="32">
        <f>IF(AK49="","",IF(T49=0,"Bestand ausreichend / stock sufficient",IF(U49="","Stückpreis fehlt / price missing",IF(V49=0,"–",IF(W49/V49&gt;=Faktor_wirtschaftlich,"wirtschaftlich (Faktor "&amp;FIXED(W49/V49,1)&amp;")","nicht wirtschaftlich (Faktor "&amp;FIXED(W49/V49,1)&amp;")")))))</f>
        <v/>
      </c>
      <c r="Y49" s="33">
        <f>IF(AK49="","",IF(AK49=3,IF(T49&gt;0,IF(AG49=3,"Sofort beschaffen: Restbestand / Gebrauchtmarkt / Alternative sichern","Mindestbestand aufbauen ("&amp;T49&amp;" Stk.)"),"Bestand halten, jährlich prüfen"),IF(AK49=2,IF(T49&gt;0,"Bevorratung nach Wirtschaftlichkeit entscheiden; Quelle / Reparatur klären","Lieferzeit und Teilestatus jährlich prüfen"),"Keine Bevorratung – Beschaffung bei Bedarf")))</f>
        <v/>
      </c>
      <c r="Z49" s="25" t="n"/>
      <c r="AA49" s="25" t="n"/>
      <c r="AB49" s="34" t="n"/>
      <c r="AC49" s="26" t="n"/>
      <c r="AD49" s="25" t="n"/>
      <c r="AE49" s="2" t="n"/>
      <c r="AF49" s="35">
        <f>IF(I49="","",VALUE(LEFT(I49,1)))</f>
        <v/>
      </c>
      <c r="AG49" s="35">
        <f>IF(J49="","",VALUE(LEFT(J49,1)))</f>
        <v/>
      </c>
      <c r="AH49" s="35">
        <f>IF(K49="","",VALUE(LEFT(K49,1)))</f>
        <v/>
      </c>
      <c r="AI49" s="35">
        <f>IF(LEFT(L49,2)="ja",1,0)</f>
        <v/>
      </c>
      <c r="AJ49" s="35">
        <f>IF(COUNT(AF49:AH49)&lt;3,"",FIND(INDEX(Matrix,4-AF49,AG49),"CBA"))</f>
        <v/>
      </c>
      <c r="AK49" s="35">
        <f>IF(AJ49="","",MIN(3,MAX(AJ49+IF(AND(Regel_haeufig="ja",AH49=3),1,0),IF(AND(Regel_sicherheit="ja",AI49=1),2,0))))</f>
        <v/>
      </c>
      <c r="AL49" s="35">
        <f>IF(S49&lt;&gt;"",S49,IF(R49="","",R49))</f>
        <v/>
      </c>
      <c r="AM49" s="35">
        <f>IF(AK49="","",AK49*1000+N49*10+(1000-ROW())/100000)</f>
        <v/>
      </c>
    </row>
    <row r="50" ht="45" customHeight="1">
      <c r="A50" s="22">
        <f>IF(C50="","",COUNTA($C$7:C50))</f>
        <v/>
      </c>
      <c r="B50" s="23" t="n"/>
      <c r="C50" s="24" t="n"/>
      <c r="D50" s="25" t="n"/>
      <c r="E50" s="23" t="n"/>
      <c r="F50" s="26" t="n"/>
      <c r="G50" s="25" t="n"/>
      <c r="H50" s="25" t="n"/>
      <c r="I50" s="24" t="n"/>
      <c r="J50" s="24" t="n"/>
      <c r="K50" s="24" t="n"/>
      <c r="L50" s="26" t="n"/>
      <c r="M50" s="27">
        <f>IF(AK50="","",MID("CBA",AK50,1))</f>
        <v/>
      </c>
      <c r="N50" s="22">
        <f>IF(COUNT(AF50:AH50)&lt;3,"",AF50*AG50*AH50)</f>
        <v/>
      </c>
      <c r="O50" s="28">
        <f>IF(C50="","",IF(AJ50="","Bewertung unvollständig / incomplete","Matrix "&amp;MID("CBA",AJ50,1)&amp;IF(AND(Regel_haeufig="ja",AH50=3,AJ50&lt;3)," · häufig +1","")&amp;IF(AND(Regel_sicherheit="ja",AI50=1,AJ50+IF(AND(Regel_haeufig="ja",AH50=3),1,0)&lt;2)," · Sicherheit ⇒ B","")&amp;" → "&amp;M50))</f>
        <v/>
      </c>
      <c r="P50" s="29" t="n"/>
      <c r="Q50" s="25" t="n"/>
      <c r="R50" s="22">
        <f>IF(AK50="","",INDEX(Soll_Tabelle,4-AK50,IF(AH50=3,2,1)))</f>
        <v/>
      </c>
      <c r="S50" s="26" t="n"/>
      <c r="T50" s="22">
        <f>IF(AL50="","",MAX(0,AL50-N(P50)))</f>
        <v/>
      </c>
      <c r="U50" s="30" t="n"/>
      <c r="V50" s="31">
        <f>IF(OR(T50="",U50=""),"",T50*U50)</f>
        <v/>
      </c>
      <c r="W50" s="31">
        <f>IF(COUNT(AF50:AG50)&lt;2,"",INDEX(Stillstand_h,AG50)*INDEX(Kostensatz,AF50))</f>
        <v/>
      </c>
      <c r="X50" s="32">
        <f>IF(AK50="","",IF(T50=0,"Bestand ausreichend / stock sufficient",IF(U50="","Stückpreis fehlt / price missing",IF(V50=0,"–",IF(W50/V50&gt;=Faktor_wirtschaftlich,"wirtschaftlich (Faktor "&amp;FIXED(W50/V50,1)&amp;")","nicht wirtschaftlich (Faktor "&amp;FIXED(W50/V50,1)&amp;")")))))</f>
        <v/>
      </c>
      <c r="Y50" s="33">
        <f>IF(AK50="","",IF(AK50=3,IF(T50&gt;0,IF(AG50=3,"Sofort beschaffen: Restbestand / Gebrauchtmarkt / Alternative sichern","Mindestbestand aufbauen ("&amp;T50&amp;" Stk.)"),"Bestand halten, jährlich prüfen"),IF(AK50=2,IF(T50&gt;0,"Bevorratung nach Wirtschaftlichkeit entscheiden; Quelle / Reparatur klären","Lieferzeit und Teilestatus jährlich prüfen"),"Keine Bevorratung – Beschaffung bei Bedarf")))</f>
        <v/>
      </c>
      <c r="Z50" s="25" t="n"/>
      <c r="AA50" s="25" t="n"/>
      <c r="AB50" s="34" t="n"/>
      <c r="AC50" s="26" t="n"/>
      <c r="AD50" s="25" t="n"/>
      <c r="AE50" s="2" t="n"/>
      <c r="AF50" s="35">
        <f>IF(I50="","",VALUE(LEFT(I50,1)))</f>
        <v/>
      </c>
      <c r="AG50" s="35">
        <f>IF(J50="","",VALUE(LEFT(J50,1)))</f>
        <v/>
      </c>
      <c r="AH50" s="35">
        <f>IF(K50="","",VALUE(LEFT(K50,1)))</f>
        <v/>
      </c>
      <c r="AI50" s="35">
        <f>IF(LEFT(L50,2)="ja",1,0)</f>
        <v/>
      </c>
      <c r="AJ50" s="35">
        <f>IF(COUNT(AF50:AH50)&lt;3,"",FIND(INDEX(Matrix,4-AF50,AG50),"CBA"))</f>
        <v/>
      </c>
      <c r="AK50" s="35">
        <f>IF(AJ50="","",MIN(3,MAX(AJ50+IF(AND(Regel_haeufig="ja",AH50=3),1,0),IF(AND(Regel_sicherheit="ja",AI50=1),2,0))))</f>
        <v/>
      </c>
      <c r="AL50" s="35">
        <f>IF(S50&lt;&gt;"",S50,IF(R50="","",R50))</f>
        <v/>
      </c>
      <c r="AM50" s="35">
        <f>IF(AK50="","",AK50*1000+N50*10+(1000-ROW())/100000)</f>
        <v/>
      </c>
    </row>
    <row r="51" ht="45" customHeight="1">
      <c r="A51" s="22">
        <f>IF(C51="","",COUNTA($C$7:C51))</f>
        <v/>
      </c>
      <c r="B51" s="23" t="n"/>
      <c r="C51" s="24" t="n"/>
      <c r="D51" s="25" t="n"/>
      <c r="E51" s="23" t="n"/>
      <c r="F51" s="26" t="n"/>
      <c r="G51" s="25" t="n"/>
      <c r="H51" s="25" t="n"/>
      <c r="I51" s="24" t="n"/>
      <c r="J51" s="24" t="n"/>
      <c r="K51" s="24" t="n"/>
      <c r="L51" s="26" t="n"/>
      <c r="M51" s="27">
        <f>IF(AK51="","",MID("CBA",AK51,1))</f>
        <v/>
      </c>
      <c r="N51" s="22">
        <f>IF(COUNT(AF51:AH51)&lt;3,"",AF51*AG51*AH51)</f>
        <v/>
      </c>
      <c r="O51" s="28">
        <f>IF(C51="","",IF(AJ51="","Bewertung unvollständig / incomplete","Matrix "&amp;MID("CBA",AJ51,1)&amp;IF(AND(Regel_haeufig="ja",AH51=3,AJ51&lt;3)," · häufig +1","")&amp;IF(AND(Regel_sicherheit="ja",AI51=1,AJ51+IF(AND(Regel_haeufig="ja",AH51=3),1,0)&lt;2)," · Sicherheit ⇒ B","")&amp;" → "&amp;M51))</f>
        <v/>
      </c>
      <c r="P51" s="29" t="n"/>
      <c r="Q51" s="25" t="n"/>
      <c r="R51" s="22">
        <f>IF(AK51="","",INDEX(Soll_Tabelle,4-AK51,IF(AH51=3,2,1)))</f>
        <v/>
      </c>
      <c r="S51" s="26" t="n"/>
      <c r="T51" s="22">
        <f>IF(AL51="","",MAX(0,AL51-N(P51)))</f>
        <v/>
      </c>
      <c r="U51" s="30" t="n"/>
      <c r="V51" s="31">
        <f>IF(OR(T51="",U51=""),"",T51*U51)</f>
        <v/>
      </c>
      <c r="W51" s="31">
        <f>IF(COUNT(AF51:AG51)&lt;2,"",INDEX(Stillstand_h,AG51)*INDEX(Kostensatz,AF51))</f>
        <v/>
      </c>
      <c r="X51" s="32">
        <f>IF(AK51="","",IF(T51=0,"Bestand ausreichend / stock sufficient",IF(U51="","Stückpreis fehlt / price missing",IF(V51=0,"–",IF(W51/V51&gt;=Faktor_wirtschaftlich,"wirtschaftlich (Faktor "&amp;FIXED(W51/V51,1)&amp;")","nicht wirtschaftlich (Faktor "&amp;FIXED(W51/V51,1)&amp;")")))))</f>
        <v/>
      </c>
      <c r="Y51" s="33">
        <f>IF(AK51="","",IF(AK51=3,IF(T51&gt;0,IF(AG51=3,"Sofort beschaffen: Restbestand / Gebrauchtmarkt / Alternative sichern","Mindestbestand aufbauen ("&amp;T51&amp;" Stk.)"),"Bestand halten, jährlich prüfen"),IF(AK51=2,IF(T51&gt;0,"Bevorratung nach Wirtschaftlichkeit entscheiden; Quelle / Reparatur klären","Lieferzeit und Teilestatus jährlich prüfen"),"Keine Bevorratung – Beschaffung bei Bedarf")))</f>
        <v/>
      </c>
      <c r="Z51" s="25" t="n"/>
      <c r="AA51" s="25" t="n"/>
      <c r="AB51" s="34" t="n"/>
      <c r="AC51" s="26" t="n"/>
      <c r="AD51" s="25" t="n"/>
      <c r="AE51" s="2" t="n"/>
      <c r="AF51" s="35">
        <f>IF(I51="","",VALUE(LEFT(I51,1)))</f>
        <v/>
      </c>
      <c r="AG51" s="35">
        <f>IF(J51="","",VALUE(LEFT(J51,1)))</f>
        <v/>
      </c>
      <c r="AH51" s="35">
        <f>IF(K51="","",VALUE(LEFT(K51,1)))</f>
        <v/>
      </c>
      <c r="AI51" s="35">
        <f>IF(LEFT(L51,2)="ja",1,0)</f>
        <v/>
      </c>
      <c r="AJ51" s="35">
        <f>IF(COUNT(AF51:AH51)&lt;3,"",FIND(INDEX(Matrix,4-AF51,AG51),"CBA"))</f>
        <v/>
      </c>
      <c r="AK51" s="35">
        <f>IF(AJ51="","",MIN(3,MAX(AJ51+IF(AND(Regel_haeufig="ja",AH51=3),1,0),IF(AND(Regel_sicherheit="ja",AI51=1),2,0))))</f>
        <v/>
      </c>
      <c r="AL51" s="35">
        <f>IF(S51&lt;&gt;"",S51,IF(R51="","",R51))</f>
        <v/>
      </c>
      <c r="AM51" s="35">
        <f>IF(AK51="","",AK51*1000+N51*10+(1000-ROW())/100000)</f>
        <v/>
      </c>
    </row>
    <row r="52" ht="45" customHeight="1">
      <c r="A52" s="22">
        <f>IF(C52="","",COUNTA($C$7:C52))</f>
        <v/>
      </c>
      <c r="B52" s="23" t="n"/>
      <c r="C52" s="24" t="n"/>
      <c r="D52" s="25" t="n"/>
      <c r="E52" s="23" t="n"/>
      <c r="F52" s="26" t="n"/>
      <c r="G52" s="25" t="n"/>
      <c r="H52" s="25" t="n"/>
      <c r="I52" s="24" t="n"/>
      <c r="J52" s="24" t="n"/>
      <c r="K52" s="24" t="n"/>
      <c r="L52" s="26" t="n"/>
      <c r="M52" s="27">
        <f>IF(AK52="","",MID("CBA",AK52,1))</f>
        <v/>
      </c>
      <c r="N52" s="22">
        <f>IF(COUNT(AF52:AH52)&lt;3,"",AF52*AG52*AH52)</f>
        <v/>
      </c>
      <c r="O52" s="28">
        <f>IF(C52="","",IF(AJ52="","Bewertung unvollständig / incomplete","Matrix "&amp;MID("CBA",AJ52,1)&amp;IF(AND(Regel_haeufig="ja",AH52=3,AJ52&lt;3)," · häufig +1","")&amp;IF(AND(Regel_sicherheit="ja",AI52=1,AJ52+IF(AND(Regel_haeufig="ja",AH52=3),1,0)&lt;2)," · Sicherheit ⇒ B","")&amp;" → "&amp;M52))</f>
        <v/>
      </c>
      <c r="P52" s="29" t="n"/>
      <c r="Q52" s="25" t="n"/>
      <c r="R52" s="22">
        <f>IF(AK52="","",INDEX(Soll_Tabelle,4-AK52,IF(AH52=3,2,1)))</f>
        <v/>
      </c>
      <c r="S52" s="26" t="n"/>
      <c r="T52" s="22">
        <f>IF(AL52="","",MAX(0,AL52-N(P52)))</f>
        <v/>
      </c>
      <c r="U52" s="30" t="n"/>
      <c r="V52" s="31">
        <f>IF(OR(T52="",U52=""),"",T52*U52)</f>
        <v/>
      </c>
      <c r="W52" s="31">
        <f>IF(COUNT(AF52:AG52)&lt;2,"",INDEX(Stillstand_h,AG52)*INDEX(Kostensatz,AF52))</f>
        <v/>
      </c>
      <c r="X52" s="32">
        <f>IF(AK52="","",IF(T52=0,"Bestand ausreichend / stock sufficient",IF(U52="","Stückpreis fehlt / price missing",IF(V52=0,"–",IF(W52/V52&gt;=Faktor_wirtschaftlich,"wirtschaftlich (Faktor "&amp;FIXED(W52/V52,1)&amp;")","nicht wirtschaftlich (Faktor "&amp;FIXED(W52/V52,1)&amp;")")))))</f>
        <v/>
      </c>
      <c r="Y52" s="33">
        <f>IF(AK52="","",IF(AK52=3,IF(T52&gt;0,IF(AG52=3,"Sofort beschaffen: Restbestand / Gebrauchtmarkt / Alternative sichern","Mindestbestand aufbauen ("&amp;T52&amp;" Stk.)"),"Bestand halten, jährlich prüfen"),IF(AK52=2,IF(T52&gt;0,"Bevorratung nach Wirtschaftlichkeit entscheiden; Quelle / Reparatur klären","Lieferzeit und Teilestatus jährlich prüfen"),"Keine Bevorratung – Beschaffung bei Bedarf")))</f>
        <v/>
      </c>
      <c r="Z52" s="25" t="n"/>
      <c r="AA52" s="25" t="n"/>
      <c r="AB52" s="34" t="n"/>
      <c r="AC52" s="26" t="n"/>
      <c r="AD52" s="25" t="n"/>
      <c r="AE52" s="2" t="n"/>
      <c r="AF52" s="35">
        <f>IF(I52="","",VALUE(LEFT(I52,1)))</f>
        <v/>
      </c>
      <c r="AG52" s="35">
        <f>IF(J52="","",VALUE(LEFT(J52,1)))</f>
        <v/>
      </c>
      <c r="AH52" s="35">
        <f>IF(K52="","",VALUE(LEFT(K52,1)))</f>
        <v/>
      </c>
      <c r="AI52" s="35">
        <f>IF(LEFT(L52,2)="ja",1,0)</f>
        <v/>
      </c>
      <c r="AJ52" s="35">
        <f>IF(COUNT(AF52:AH52)&lt;3,"",FIND(INDEX(Matrix,4-AF52,AG52),"CBA"))</f>
        <v/>
      </c>
      <c r="AK52" s="35">
        <f>IF(AJ52="","",MIN(3,MAX(AJ52+IF(AND(Regel_haeufig="ja",AH52=3),1,0),IF(AND(Regel_sicherheit="ja",AI52=1),2,0))))</f>
        <v/>
      </c>
      <c r="AL52" s="35">
        <f>IF(S52&lt;&gt;"",S52,IF(R52="","",R52))</f>
        <v/>
      </c>
      <c r="AM52" s="35">
        <f>IF(AK52="","",AK52*1000+N52*10+(1000-ROW())/100000)</f>
        <v/>
      </c>
    </row>
    <row r="53" ht="45" customHeight="1">
      <c r="A53" s="22">
        <f>IF(C53="","",COUNTA($C$7:C53))</f>
        <v/>
      </c>
      <c r="B53" s="23" t="n"/>
      <c r="C53" s="24" t="n"/>
      <c r="D53" s="25" t="n"/>
      <c r="E53" s="23" t="n"/>
      <c r="F53" s="26" t="n"/>
      <c r="G53" s="25" t="n"/>
      <c r="H53" s="25" t="n"/>
      <c r="I53" s="24" t="n"/>
      <c r="J53" s="24" t="n"/>
      <c r="K53" s="24" t="n"/>
      <c r="L53" s="26" t="n"/>
      <c r="M53" s="27">
        <f>IF(AK53="","",MID("CBA",AK53,1))</f>
        <v/>
      </c>
      <c r="N53" s="22">
        <f>IF(COUNT(AF53:AH53)&lt;3,"",AF53*AG53*AH53)</f>
        <v/>
      </c>
      <c r="O53" s="28">
        <f>IF(C53="","",IF(AJ53="","Bewertung unvollständig / incomplete","Matrix "&amp;MID("CBA",AJ53,1)&amp;IF(AND(Regel_haeufig="ja",AH53=3,AJ53&lt;3)," · häufig +1","")&amp;IF(AND(Regel_sicherheit="ja",AI53=1,AJ53+IF(AND(Regel_haeufig="ja",AH53=3),1,0)&lt;2)," · Sicherheit ⇒ B","")&amp;" → "&amp;M53))</f>
        <v/>
      </c>
      <c r="P53" s="29" t="n"/>
      <c r="Q53" s="25" t="n"/>
      <c r="R53" s="22">
        <f>IF(AK53="","",INDEX(Soll_Tabelle,4-AK53,IF(AH53=3,2,1)))</f>
        <v/>
      </c>
      <c r="S53" s="26" t="n"/>
      <c r="T53" s="22">
        <f>IF(AL53="","",MAX(0,AL53-N(P53)))</f>
        <v/>
      </c>
      <c r="U53" s="30" t="n"/>
      <c r="V53" s="31">
        <f>IF(OR(T53="",U53=""),"",T53*U53)</f>
        <v/>
      </c>
      <c r="W53" s="31">
        <f>IF(COUNT(AF53:AG53)&lt;2,"",INDEX(Stillstand_h,AG53)*INDEX(Kostensatz,AF53))</f>
        <v/>
      </c>
      <c r="X53" s="32">
        <f>IF(AK53="","",IF(T53=0,"Bestand ausreichend / stock sufficient",IF(U53="","Stückpreis fehlt / price missing",IF(V53=0,"–",IF(W53/V53&gt;=Faktor_wirtschaftlich,"wirtschaftlich (Faktor "&amp;FIXED(W53/V53,1)&amp;")","nicht wirtschaftlich (Faktor "&amp;FIXED(W53/V53,1)&amp;")")))))</f>
        <v/>
      </c>
      <c r="Y53" s="33">
        <f>IF(AK53="","",IF(AK53=3,IF(T53&gt;0,IF(AG53=3,"Sofort beschaffen: Restbestand / Gebrauchtmarkt / Alternative sichern","Mindestbestand aufbauen ("&amp;T53&amp;" Stk.)"),"Bestand halten, jährlich prüfen"),IF(AK53=2,IF(T53&gt;0,"Bevorratung nach Wirtschaftlichkeit entscheiden; Quelle / Reparatur klären","Lieferzeit und Teilestatus jährlich prüfen"),"Keine Bevorratung – Beschaffung bei Bedarf")))</f>
        <v/>
      </c>
      <c r="Z53" s="25" t="n"/>
      <c r="AA53" s="25" t="n"/>
      <c r="AB53" s="34" t="n"/>
      <c r="AC53" s="26" t="n"/>
      <c r="AD53" s="25" t="n"/>
      <c r="AE53" s="2" t="n"/>
      <c r="AF53" s="35">
        <f>IF(I53="","",VALUE(LEFT(I53,1)))</f>
        <v/>
      </c>
      <c r="AG53" s="35">
        <f>IF(J53="","",VALUE(LEFT(J53,1)))</f>
        <v/>
      </c>
      <c r="AH53" s="35">
        <f>IF(K53="","",VALUE(LEFT(K53,1)))</f>
        <v/>
      </c>
      <c r="AI53" s="35">
        <f>IF(LEFT(L53,2)="ja",1,0)</f>
        <v/>
      </c>
      <c r="AJ53" s="35">
        <f>IF(COUNT(AF53:AH53)&lt;3,"",FIND(INDEX(Matrix,4-AF53,AG53),"CBA"))</f>
        <v/>
      </c>
      <c r="AK53" s="35">
        <f>IF(AJ53="","",MIN(3,MAX(AJ53+IF(AND(Regel_haeufig="ja",AH53=3),1,0),IF(AND(Regel_sicherheit="ja",AI53=1),2,0))))</f>
        <v/>
      </c>
      <c r="AL53" s="35">
        <f>IF(S53&lt;&gt;"",S53,IF(R53="","",R53))</f>
        <v/>
      </c>
      <c r="AM53" s="35">
        <f>IF(AK53="","",AK53*1000+N53*10+(1000-ROW())/100000)</f>
        <v/>
      </c>
    </row>
    <row r="54" ht="45" customHeight="1">
      <c r="A54" s="22">
        <f>IF(C54="","",COUNTA($C$7:C54))</f>
        <v/>
      </c>
      <c r="B54" s="23" t="n"/>
      <c r="C54" s="24" t="n"/>
      <c r="D54" s="25" t="n"/>
      <c r="E54" s="23" t="n"/>
      <c r="F54" s="26" t="n"/>
      <c r="G54" s="25" t="n"/>
      <c r="H54" s="25" t="n"/>
      <c r="I54" s="24" t="n"/>
      <c r="J54" s="24" t="n"/>
      <c r="K54" s="24" t="n"/>
      <c r="L54" s="26" t="n"/>
      <c r="M54" s="27">
        <f>IF(AK54="","",MID("CBA",AK54,1))</f>
        <v/>
      </c>
      <c r="N54" s="22">
        <f>IF(COUNT(AF54:AH54)&lt;3,"",AF54*AG54*AH54)</f>
        <v/>
      </c>
      <c r="O54" s="28">
        <f>IF(C54="","",IF(AJ54="","Bewertung unvollständig / incomplete","Matrix "&amp;MID("CBA",AJ54,1)&amp;IF(AND(Regel_haeufig="ja",AH54=3,AJ54&lt;3)," · häufig +1","")&amp;IF(AND(Regel_sicherheit="ja",AI54=1,AJ54+IF(AND(Regel_haeufig="ja",AH54=3),1,0)&lt;2)," · Sicherheit ⇒ B","")&amp;" → "&amp;M54))</f>
        <v/>
      </c>
      <c r="P54" s="29" t="n"/>
      <c r="Q54" s="25" t="n"/>
      <c r="R54" s="22">
        <f>IF(AK54="","",INDEX(Soll_Tabelle,4-AK54,IF(AH54=3,2,1)))</f>
        <v/>
      </c>
      <c r="S54" s="26" t="n"/>
      <c r="T54" s="22">
        <f>IF(AL54="","",MAX(0,AL54-N(P54)))</f>
        <v/>
      </c>
      <c r="U54" s="30" t="n"/>
      <c r="V54" s="31">
        <f>IF(OR(T54="",U54=""),"",T54*U54)</f>
        <v/>
      </c>
      <c r="W54" s="31">
        <f>IF(COUNT(AF54:AG54)&lt;2,"",INDEX(Stillstand_h,AG54)*INDEX(Kostensatz,AF54))</f>
        <v/>
      </c>
      <c r="X54" s="32">
        <f>IF(AK54="","",IF(T54=0,"Bestand ausreichend / stock sufficient",IF(U54="","Stückpreis fehlt / price missing",IF(V54=0,"–",IF(W54/V54&gt;=Faktor_wirtschaftlich,"wirtschaftlich (Faktor "&amp;FIXED(W54/V54,1)&amp;")","nicht wirtschaftlich (Faktor "&amp;FIXED(W54/V54,1)&amp;")")))))</f>
        <v/>
      </c>
      <c r="Y54" s="33">
        <f>IF(AK54="","",IF(AK54=3,IF(T54&gt;0,IF(AG54=3,"Sofort beschaffen: Restbestand / Gebrauchtmarkt / Alternative sichern","Mindestbestand aufbauen ("&amp;T54&amp;" Stk.)"),"Bestand halten, jährlich prüfen"),IF(AK54=2,IF(T54&gt;0,"Bevorratung nach Wirtschaftlichkeit entscheiden; Quelle / Reparatur klären","Lieferzeit und Teilestatus jährlich prüfen"),"Keine Bevorratung – Beschaffung bei Bedarf")))</f>
        <v/>
      </c>
      <c r="Z54" s="25" t="n"/>
      <c r="AA54" s="25" t="n"/>
      <c r="AB54" s="34" t="n"/>
      <c r="AC54" s="26" t="n"/>
      <c r="AD54" s="25" t="n"/>
      <c r="AE54" s="2" t="n"/>
      <c r="AF54" s="35">
        <f>IF(I54="","",VALUE(LEFT(I54,1)))</f>
        <v/>
      </c>
      <c r="AG54" s="35">
        <f>IF(J54="","",VALUE(LEFT(J54,1)))</f>
        <v/>
      </c>
      <c r="AH54" s="35">
        <f>IF(K54="","",VALUE(LEFT(K54,1)))</f>
        <v/>
      </c>
      <c r="AI54" s="35">
        <f>IF(LEFT(L54,2)="ja",1,0)</f>
        <v/>
      </c>
      <c r="AJ54" s="35">
        <f>IF(COUNT(AF54:AH54)&lt;3,"",FIND(INDEX(Matrix,4-AF54,AG54),"CBA"))</f>
        <v/>
      </c>
      <c r="AK54" s="35">
        <f>IF(AJ54="","",MIN(3,MAX(AJ54+IF(AND(Regel_haeufig="ja",AH54=3),1,0),IF(AND(Regel_sicherheit="ja",AI54=1),2,0))))</f>
        <v/>
      </c>
      <c r="AL54" s="35">
        <f>IF(S54&lt;&gt;"",S54,IF(R54="","",R54))</f>
        <v/>
      </c>
      <c r="AM54" s="35">
        <f>IF(AK54="","",AK54*1000+N54*10+(1000-ROW())/100000)</f>
        <v/>
      </c>
    </row>
    <row r="55" ht="45" customHeight="1">
      <c r="A55" s="22">
        <f>IF(C55="","",COUNTA($C$7:C55))</f>
        <v/>
      </c>
      <c r="B55" s="23" t="n"/>
      <c r="C55" s="24" t="n"/>
      <c r="D55" s="25" t="n"/>
      <c r="E55" s="23" t="n"/>
      <c r="F55" s="26" t="n"/>
      <c r="G55" s="25" t="n"/>
      <c r="H55" s="25" t="n"/>
      <c r="I55" s="24" t="n"/>
      <c r="J55" s="24" t="n"/>
      <c r="K55" s="24" t="n"/>
      <c r="L55" s="26" t="n"/>
      <c r="M55" s="27">
        <f>IF(AK55="","",MID("CBA",AK55,1))</f>
        <v/>
      </c>
      <c r="N55" s="22">
        <f>IF(COUNT(AF55:AH55)&lt;3,"",AF55*AG55*AH55)</f>
        <v/>
      </c>
      <c r="O55" s="28">
        <f>IF(C55="","",IF(AJ55="","Bewertung unvollständig / incomplete","Matrix "&amp;MID("CBA",AJ55,1)&amp;IF(AND(Regel_haeufig="ja",AH55=3,AJ55&lt;3)," · häufig +1","")&amp;IF(AND(Regel_sicherheit="ja",AI55=1,AJ55+IF(AND(Regel_haeufig="ja",AH55=3),1,0)&lt;2)," · Sicherheit ⇒ B","")&amp;" → "&amp;M55))</f>
        <v/>
      </c>
      <c r="P55" s="29" t="n"/>
      <c r="Q55" s="25" t="n"/>
      <c r="R55" s="22">
        <f>IF(AK55="","",INDEX(Soll_Tabelle,4-AK55,IF(AH55=3,2,1)))</f>
        <v/>
      </c>
      <c r="S55" s="26" t="n"/>
      <c r="T55" s="22">
        <f>IF(AL55="","",MAX(0,AL55-N(P55)))</f>
        <v/>
      </c>
      <c r="U55" s="30" t="n"/>
      <c r="V55" s="31">
        <f>IF(OR(T55="",U55=""),"",T55*U55)</f>
        <v/>
      </c>
      <c r="W55" s="31">
        <f>IF(COUNT(AF55:AG55)&lt;2,"",INDEX(Stillstand_h,AG55)*INDEX(Kostensatz,AF55))</f>
        <v/>
      </c>
      <c r="X55" s="32">
        <f>IF(AK55="","",IF(T55=0,"Bestand ausreichend / stock sufficient",IF(U55="","Stückpreis fehlt / price missing",IF(V55=0,"–",IF(W55/V55&gt;=Faktor_wirtschaftlich,"wirtschaftlich (Faktor "&amp;FIXED(W55/V55,1)&amp;")","nicht wirtschaftlich (Faktor "&amp;FIXED(W55/V55,1)&amp;")")))))</f>
        <v/>
      </c>
      <c r="Y55" s="33">
        <f>IF(AK55="","",IF(AK55=3,IF(T55&gt;0,IF(AG55=3,"Sofort beschaffen: Restbestand / Gebrauchtmarkt / Alternative sichern","Mindestbestand aufbauen ("&amp;T55&amp;" Stk.)"),"Bestand halten, jährlich prüfen"),IF(AK55=2,IF(T55&gt;0,"Bevorratung nach Wirtschaftlichkeit entscheiden; Quelle / Reparatur klären","Lieferzeit und Teilestatus jährlich prüfen"),"Keine Bevorratung – Beschaffung bei Bedarf")))</f>
        <v/>
      </c>
      <c r="Z55" s="25" t="n"/>
      <c r="AA55" s="25" t="n"/>
      <c r="AB55" s="34" t="n"/>
      <c r="AC55" s="26" t="n"/>
      <c r="AD55" s="25" t="n"/>
      <c r="AE55" s="2" t="n"/>
      <c r="AF55" s="35">
        <f>IF(I55="","",VALUE(LEFT(I55,1)))</f>
        <v/>
      </c>
      <c r="AG55" s="35">
        <f>IF(J55="","",VALUE(LEFT(J55,1)))</f>
        <v/>
      </c>
      <c r="AH55" s="35">
        <f>IF(K55="","",VALUE(LEFT(K55,1)))</f>
        <v/>
      </c>
      <c r="AI55" s="35">
        <f>IF(LEFT(L55,2)="ja",1,0)</f>
        <v/>
      </c>
      <c r="AJ55" s="35">
        <f>IF(COUNT(AF55:AH55)&lt;3,"",FIND(INDEX(Matrix,4-AF55,AG55),"CBA"))</f>
        <v/>
      </c>
      <c r="AK55" s="35">
        <f>IF(AJ55="","",MIN(3,MAX(AJ55+IF(AND(Regel_haeufig="ja",AH55=3),1,0),IF(AND(Regel_sicherheit="ja",AI55=1),2,0))))</f>
        <v/>
      </c>
      <c r="AL55" s="35">
        <f>IF(S55&lt;&gt;"",S55,IF(R55="","",R55))</f>
        <v/>
      </c>
      <c r="AM55" s="35">
        <f>IF(AK55="","",AK55*1000+N55*10+(1000-ROW())/100000)</f>
        <v/>
      </c>
    </row>
    <row r="56" ht="45" customHeight="1">
      <c r="A56" s="22">
        <f>IF(C56="","",COUNTA($C$7:C56))</f>
        <v/>
      </c>
      <c r="B56" s="23" t="n"/>
      <c r="C56" s="24" t="n"/>
      <c r="D56" s="25" t="n"/>
      <c r="E56" s="23" t="n"/>
      <c r="F56" s="26" t="n"/>
      <c r="G56" s="25" t="n"/>
      <c r="H56" s="25" t="n"/>
      <c r="I56" s="24" t="n"/>
      <c r="J56" s="24" t="n"/>
      <c r="K56" s="24" t="n"/>
      <c r="L56" s="26" t="n"/>
      <c r="M56" s="27">
        <f>IF(AK56="","",MID("CBA",AK56,1))</f>
        <v/>
      </c>
      <c r="N56" s="22">
        <f>IF(COUNT(AF56:AH56)&lt;3,"",AF56*AG56*AH56)</f>
        <v/>
      </c>
      <c r="O56" s="28">
        <f>IF(C56="","",IF(AJ56="","Bewertung unvollständig / incomplete","Matrix "&amp;MID("CBA",AJ56,1)&amp;IF(AND(Regel_haeufig="ja",AH56=3,AJ56&lt;3)," · häufig +1","")&amp;IF(AND(Regel_sicherheit="ja",AI56=1,AJ56+IF(AND(Regel_haeufig="ja",AH56=3),1,0)&lt;2)," · Sicherheit ⇒ B","")&amp;" → "&amp;M56))</f>
        <v/>
      </c>
      <c r="P56" s="29" t="n"/>
      <c r="Q56" s="25" t="n"/>
      <c r="R56" s="22">
        <f>IF(AK56="","",INDEX(Soll_Tabelle,4-AK56,IF(AH56=3,2,1)))</f>
        <v/>
      </c>
      <c r="S56" s="26" t="n"/>
      <c r="T56" s="22">
        <f>IF(AL56="","",MAX(0,AL56-N(P56)))</f>
        <v/>
      </c>
      <c r="U56" s="30" t="n"/>
      <c r="V56" s="31">
        <f>IF(OR(T56="",U56=""),"",T56*U56)</f>
        <v/>
      </c>
      <c r="W56" s="31">
        <f>IF(COUNT(AF56:AG56)&lt;2,"",INDEX(Stillstand_h,AG56)*INDEX(Kostensatz,AF56))</f>
        <v/>
      </c>
      <c r="X56" s="32">
        <f>IF(AK56="","",IF(T56=0,"Bestand ausreichend / stock sufficient",IF(U56="","Stückpreis fehlt / price missing",IF(V56=0,"–",IF(W56/V56&gt;=Faktor_wirtschaftlich,"wirtschaftlich (Faktor "&amp;FIXED(W56/V56,1)&amp;")","nicht wirtschaftlich (Faktor "&amp;FIXED(W56/V56,1)&amp;")")))))</f>
        <v/>
      </c>
      <c r="Y56" s="33">
        <f>IF(AK56="","",IF(AK56=3,IF(T56&gt;0,IF(AG56=3,"Sofort beschaffen: Restbestand / Gebrauchtmarkt / Alternative sichern","Mindestbestand aufbauen ("&amp;T56&amp;" Stk.)"),"Bestand halten, jährlich prüfen"),IF(AK56=2,IF(T56&gt;0,"Bevorratung nach Wirtschaftlichkeit entscheiden; Quelle / Reparatur klären","Lieferzeit und Teilestatus jährlich prüfen"),"Keine Bevorratung – Beschaffung bei Bedarf")))</f>
        <v/>
      </c>
      <c r="Z56" s="25" t="n"/>
      <c r="AA56" s="25" t="n"/>
      <c r="AB56" s="34" t="n"/>
      <c r="AC56" s="26" t="n"/>
      <c r="AD56" s="25" t="n"/>
      <c r="AE56" s="2" t="n"/>
      <c r="AF56" s="35">
        <f>IF(I56="","",VALUE(LEFT(I56,1)))</f>
        <v/>
      </c>
      <c r="AG56" s="35">
        <f>IF(J56="","",VALUE(LEFT(J56,1)))</f>
        <v/>
      </c>
      <c r="AH56" s="35">
        <f>IF(K56="","",VALUE(LEFT(K56,1)))</f>
        <v/>
      </c>
      <c r="AI56" s="35">
        <f>IF(LEFT(L56,2)="ja",1,0)</f>
        <v/>
      </c>
      <c r="AJ56" s="35">
        <f>IF(COUNT(AF56:AH56)&lt;3,"",FIND(INDEX(Matrix,4-AF56,AG56),"CBA"))</f>
        <v/>
      </c>
      <c r="AK56" s="35">
        <f>IF(AJ56="","",MIN(3,MAX(AJ56+IF(AND(Regel_haeufig="ja",AH56=3),1,0),IF(AND(Regel_sicherheit="ja",AI56=1),2,0))))</f>
        <v/>
      </c>
      <c r="AL56" s="35">
        <f>IF(S56&lt;&gt;"",S56,IF(R56="","",R56))</f>
        <v/>
      </c>
      <c r="AM56" s="35">
        <f>IF(AK56="","",AK56*1000+N56*10+(1000-ROW())/100000)</f>
        <v/>
      </c>
    </row>
    <row r="57" ht="45" customHeight="1">
      <c r="A57" s="22">
        <f>IF(C57="","",COUNTA($C$7:C57))</f>
        <v/>
      </c>
      <c r="B57" s="23" t="n"/>
      <c r="C57" s="24" t="n"/>
      <c r="D57" s="25" t="n"/>
      <c r="E57" s="23" t="n"/>
      <c r="F57" s="26" t="n"/>
      <c r="G57" s="25" t="n"/>
      <c r="H57" s="25" t="n"/>
      <c r="I57" s="24" t="n"/>
      <c r="J57" s="24" t="n"/>
      <c r="K57" s="24" t="n"/>
      <c r="L57" s="26" t="n"/>
      <c r="M57" s="27">
        <f>IF(AK57="","",MID("CBA",AK57,1))</f>
        <v/>
      </c>
      <c r="N57" s="22">
        <f>IF(COUNT(AF57:AH57)&lt;3,"",AF57*AG57*AH57)</f>
        <v/>
      </c>
      <c r="O57" s="28">
        <f>IF(C57="","",IF(AJ57="","Bewertung unvollständig / incomplete","Matrix "&amp;MID("CBA",AJ57,1)&amp;IF(AND(Regel_haeufig="ja",AH57=3,AJ57&lt;3)," · häufig +1","")&amp;IF(AND(Regel_sicherheit="ja",AI57=1,AJ57+IF(AND(Regel_haeufig="ja",AH57=3),1,0)&lt;2)," · Sicherheit ⇒ B","")&amp;" → "&amp;M57))</f>
        <v/>
      </c>
      <c r="P57" s="29" t="n"/>
      <c r="Q57" s="25" t="n"/>
      <c r="R57" s="22">
        <f>IF(AK57="","",INDEX(Soll_Tabelle,4-AK57,IF(AH57=3,2,1)))</f>
        <v/>
      </c>
      <c r="S57" s="26" t="n"/>
      <c r="T57" s="22">
        <f>IF(AL57="","",MAX(0,AL57-N(P57)))</f>
        <v/>
      </c>
      <c r="U57" s="30" t="n"/>
      <c r="V57" s="31">
        <f>IF(OR(T57="",U57=""),"",T57*U57)</f>
        <v/>
      </c>
      <c r="W57" s="31">
        <f>IF(COUNT(AF57:AG57)&lt;2,"",INDEX(Stillstand_h,AG57)*INDEX(Kostensatz,AF57))</f>
        <v/>
      </c>
      <c r="X57" s="32">
        <f>IF(AK57="","",IF(T57=0,"Bestand ausreichend / stock sufficient",IF(U57="","Stückpreis fehlt / price missing",IF(V57=0,"–",IF(W57/V57&gt;=Faktor_wirtschaftlich,"wirtschaftlich (Faktor "&amp;FIXED(W57/V57,1)&amp;")","nicht wirtschaftlich (Faktor "&amp;FIXED(W57/V57,1)&amp;")")))))</f>
        <v/>
      </c>
      <c r="Y57" s="33">
        <f>IF(AK57="","",IF(AK57=3,IF(T57&gt;0,IF(AG57=3,"Sofort beschaffen: Restbestand / Gebrauchtmarkt / Alternative sichern","Mindestbestand aufbauen ("&amp;T57&amp;" Stk.)"),"Bestand halten, jährlich prüfen"),IF(AK57=2,IF(T57&gt;0,"Bevorratung nach Wirtschaftlichkeit entscheiden; Quelle / Reparatur klären","Lieferzeit und Teilestatus jährlich prüfen"),"Keine Bevorratung – Beschaffung bei Bedarf")))</f>
        <v/>
      </c>
      <c r="Z57" s="25" t="n"/>
      <c r="AA57" s="25" t="n"/>
      <c r="AB57" s="34" t="n"/>
      <c r="AC57" s="26" t="n"/>
      <c r="AD57" s="25" t="n"/>
      <c r="AE57" s="2" t="n"/>
      <c r="AF57" s="35">
        <f>IF(I57="","",VALUE(LEFT(I57,1)))</f>
        <v/>
      </c>
      <c r="AG57" s="35">
        <f>IF(J57="","",VALUE(LEFT(J57,1)))</f>
        <v/>
      </c>
      <c r="AH57" s="35">
        <f>IF(K57="","",VALUE(LEFT(K57,1)))</f>
        <v/>
      </c>
      <c r="AI57" s="35">
        <f>IF(LEFT(L57,2)="ja",1,0)</f>
        <v/>
      </c>
      <c r="AJ57" s="35">
        <f>IF(COUNT(AF57:AH57)&lt;3,"",FIND(INDEX(Matrix,4-AF57,AG57),"CBA"))</f>
        <v/>
      </c>
      <c r="AK57" s="35">
        <f>IF(AJ57="","",MIN(3,MAX(AJ57+IF(AND(Regel_haeufig="ja",AH57=3),1,0),IF(AND(Regel_sicherheit="ja",AI57=1),2,0))))</f>
        <v/>
      </c>
      <c r="AL57" s="35">
        <f>IF(S57&lt;&gt;"",S57,IF(R57="","",R57))</f>
        <v/>
      </c>
      <c r="AM57" s="35">
        <f>IF(AK57="","",AK57*1000+N57*10+(1000-ROW())/100000)</f>
        <v/>
      </c>
    </row>
    <row r="58" ht="45" customHeight="1">
      <c r="A58" s="22">
        <f>IF(C58="","",COUNTA($C$7:C58))</f>
        <v/>
      </c>
      <c r="B58" s="23" t="n"/>
      <c r="C58" s="24" t="n"/>
      <c r="D58" s="25" t="n"/>
      <c r="E58" s="23" t="n"/>
      <c r="F58" s="26" t="n"/>
      <c r="G58" s="25" t="n"/>
      <c r="H58" s="25" t="n"/>
      <c r="I58" s="24" t="n"/>
      <c r="J58" s="24" t="n"/>
      <c r="K58" s="24" t="n"/>
      <c r="L58" s="26" t="n"/>
      <c r="M58" s="27">
        <f>IF(AK58="","",MID("CBA",AK58,1))</f>
        <v/>
      </c>
      <c r="N58" s="22">
        <f>IF(COUNT(AF58:AH58)&lt;3,"",AF58*AG58*AH58)</f>
        <v/>
      </c>
      <c r="O58" s="28">
        <f>IF(C58="","",IF(AJ58="","Bewertung unvollständig / incomplete","Matrix "&amp;MID("CBA",AJ58,1)&amp;IF(AND(Regel_haeufig="ja",AH58=3,AJ58&lt;3)," · häufig +1","")&amp;IF(AND(Regel_sicherheit="ja",AI58=1,AJ58+IF(AND(Regel_haeufig="ja",AH58=3),1,0)&lt;2)," · Sicherheit ⇒ B","")&amp;" → "&amp;M58))</f>
        <v/>
      </c>
      <c r="P58" s="29" t="n"/>
      <c r="Q58" s="25" t="n"/>
      <c r="R58" s="22">
        <f>IF(AK58="","",INDEX(Soll_Tabelle,4-AK58,IF(AH58=3,2,1)))</f>
        <v/>
      </c>
      <c r="S58" s="26" t="n"/>
      <c r="T58" s="22">
        <f>IF(AL58="","",MAX(0,AL58-N(P58)))</f>
        <v/>
      </c>
      <c r="U58" s="30" t="n"/>
      <c r="V58" s="31">
        <f>IF(OR(T58="",U58=""),"",T58*U58)</f>
        <v/>
      </c>
      <c r="W58" s="31">
        <f>IF(COUNT(AF58:AG58)&lt;2,"",INDEX(Stillstand_h,AG58)*INDEX(Kostensatz,AF58))</f>
        <v/>
      </c>
      <c r="X58" s="32">
        <f>IF(AK58="","",IF(T58=0,"Bestand ausreichend / stock sufficient",IF(U58="","Stückpreis fehlt / price missing",IF(V58=0,"–",IF(W58/V58&gt;=Faktor_wirtschaftlich,"wirtschaftlich (Faktor "&amp;FIXED(W58/V58,1)&amp;")","nicht wirtschaftlich (Faktor "&amp;FIXED(W58/V58,1)&amp;")")))))</f>
        <v/>
      </c>
      <c r="Y58" s="33">
        <f>IF(AK58="","",IF(AK58=3,IF(T58&gt;0,IF(AG58=3,"Sofort beschaffen: Restbestand / Gebrauchtmarkt / Alternative sichern","Mindestbestand aufbauen ("&amp;T58&amp;" Stk.)"),"Bestand halten, jährlich prüfen"),IF(AK58=2,IF(T58&gt;0,"Bevorratung nach Wirtschaftlichkeit entscheiden; Quelle / Reparatur klären","Lieferzeit und Teilestatus jährlich prüfen"),"Keine Bevorratung – Beschaffung bei Bedarf")))</f>
        <v/>
      </c>
      <c r="Z58" s="25" t="n"/>
      <c r="AA58" s="25" t="n"/>
      <c r="AB58" s="34" t="n"/>
      <c r="AC58" s="26" t="n"/>
      <c r="AD58" s="25" t="n"/>
      <c r="AE58" s="2" t="n"/>
      <c r="AF58" s="35">
        <f>IF(I58="","",VALUE(LEFT(I58,1)))</f>
        <v/>
      </c>
      <c r="AG58" s="35">
        <f>IF(J58="","",VALUE(LEFT(J58,1)))</f>
        <v/>
      </c>
      <c r="AH58" s="35">
        <f>IF(K58="","",VALUE(LEFT(K58,1)))</f>
        <v/>
      </c>
      <c r="AI58" s="35">
        <f>IF(LEFT(L58,2)="ja",1,0)</f>
        <v/>
      </c>
      <c r="AJ58" s="35">
        <f>IF(COUNT(AF58:AH58)&lt;3,"",FIND(INDEX(Matrix,4-AF58,AG58),"CBA"))</f>
        <v/>
      </c>
      <c r="AK58" s="35">
        <f>IF(AJ58="","",MIN(3,MAX(AJ58+IF(AND(Regel_haeufig="ja",AH58=3),1,0),IF(AND(Regel_sicherheit="ja",AI58=1),2,0))))</f>
        <v/>
      </c>
      <c r="AL58" s="35">
        <f>IF(S58&lt;&gt;"",S58,IF(R58="","",R58))</f>
        <v/>
      </c>
      <c r="AM58" s="35">
        <f>IF(AK58="","",AK58*1000+N58*10+(1000-ROW())/100000)</f>
        <v/>
      </c>
    </row>
    <row r="59" ht="45" customHeight="1">
      <c r="A59" s="22">
        <f>IF(C59="","",COUNTA($C$7:C59))</f>
        <v/>
      </c>
      <c r="B59" s="23" t="n"/>
      <c r="C59" s="24" t="n"/>
      <c r="D59" s="25" t="n"/>
      <c r="E59" s="23" t="n"/>
      <c r="F59" s="26" t="n"/>
      <c r="G59" s="25" t="n"/>
      <c r="H59" s="25" t="n"/>
      <c r="I59" s="24" t="n"/>
      <c r="J59" s="24" t="n"/>
      <c r="K59" s="24" t="n"/>
      <c r="L59" s="26" t="n"/>
      <c r="M59" s="27">
        <f>IF(AK59="","",MID("CBA",AK59,1))</f>
        <v/>
      </c>
      <c r="N59" s="22">
        <f>IF(COUNT(AF59:AH59)&lt;3,"",AF59*AG59*AH59)</f>
        <v/>
      </c>
      <c r="O59" s="28">
        <f>IF(C59="","",IF(AJ59="","Bewertung unvollständig / incomplete","Matrix "&amp;MID("CBA",AJ59,1)&amp;IF(AND(Regel_haeufig="ja",AH59=3,AJ59&lt;3)," · häufig +1","")&amp;IF(AND(Regel_sicherheit="ja",AI59=1,AJ59+IF(AND(Regel_haeufig="ja",AH59=3),1,0)&lt;2)," · Sicherheit ⇒ B","")&amp;" → "&amp;M59))</f>
        <v/>
      </c>
      <c r="P59" s="29" t="n"/>
      <c r="Q59" s="25" t="n"/>
      <c r="R59" s="22">
        <f>IF(AK59="","",INDEX(Soll_Tabelle,4-AK59,IF(AH59=3,2,1)))</f>
        <v/>
      </c>
      <c r="S59" s="26" t="n"/>
      <c r="T59" s="22">
        <f>IF(AL59="","",MAX(0,AL59-N(P59)))</f>
        <v/>
      </c>
      <c r="U59" s="30" t="n"/>
      <c r="V59" s="31">
        <f>IF(OR(T59="",U59=""),"",T59*U59)</f>
        <v/>
      </c>
      <c r="W59" s="31">
        <f>IF(COUNT(AF59:AG59)&lt;2,"",INDEX(Stillstand_h,AG59)*INDEX(Kostensatz,AF59))</f>
        <v/>
      </c>
      <c r="X59" s="32">
        <f>IF(AK59="","",IF(T59=0,"Bestand ausreichend / stock sufficient",IF(U59="","Stückpreis fehlt / price missing",IF(V59=0,"–",IF(W59/V59&gt;=Faktor_wirtschaftlich,"wirtschaftlich (Faktor "&amp;FIXED(W59/V59,1)&amp;")","nicht wirtschaftlich (Faktor "&amp;FIXED(W59/V59,1)&amp;")")))))</f>
        <v/>
      </c>
      <c r="Y59" s="33">
        <f>IF(AK59="","",IF(AK59=3,IF(T59&gt;0,IF(AG59=3,"Sofort beschaffen: Restbestand / Gebrauchtmarkt / Alternative sichern","Mindestbestand aufbauen ("&amp;T59&amp;" Stk.)"),"Bestand halten, jährlich prüfen"),IF(AK59=2,IF(T59&gt;0,"Bevorratung nach Wirtschaftlichkeit entscheiden; Quelle / Reparatur klären","Lieferzeit und Teilestatus jährlich prüfen"),"Keine Bevorratung – Beschaffung bei Bedarf")))</f>
        <v/>
      </c>
      <c r="Z59" s="25" t="n"/>
      <c r="AA59" s="25" t="n"/>
      <c r="AB59" s="34" t="n"/>
      <c r="AC59" s="26" t="n"/>
      <c r="AD59" s="25" t="n"/>
      <c r="AE59" s="2" t="n"/>
      <c r="AF59" s="35">
        <f>IF(I59="","",VALUE(LEFT(I59,1)))</f>
        <v/>
      </c>
      <c r="AG59" s="35">
        <f>IF(J59="","",VALUE(LEFT(J59,1)))</f>
        <v/>
      </c>
      <c r="AH59" s="35">
        <f>IF(K59="","",VALUE(LEFT(K59,1)))</f>
        <v/>
      </c>
      <c r="AI59" s="35">
        <f>IF(LEFT(L59,2)="ja",1,0)</f>
        <v/>
      </c>
      <c r="AJ59" s="35">
        <f>IF(COUNT(AF59:AH59)&lt;3,"",FIND(INDEX(Matrix,4-AF59,AG59),"CBA"))</f>
        <v/>
      </c>
      <c r="AK59" s="35">
        <f>IF(AJ59="","",MIN(3,MAX(AJ59+IF(AND(Regel_haeufig="ja",AH59=3),1,0),IF(AND(Regel_sicherheit="ja",AI59=1),2,0))))</f>
        <v/>
      </c>
      <c r="AL59" s="35">
        <f>IF(S59&lt;&gt;"",S59,IF(R59="","",R59))</f>
        <v/>
      </c>
      <c r="AM59" s="35">
        <f>IF(AK59="","",AK59*1000+N59*10+(1000-ROW())/100000)</f>
        <v/>
      </c>
    </row>
    <row r="60" ht="45" customHeight="1">
      <c r="A60" s="22">
        <f>IF(C60="","",COUNTA($C$7:C60))</f>
        <v/>
      </c>
      <c r="B60" s="23" t="n"/>
      <c r="C60" s="24" t="n"/>
      <c r="D60" s="25" t="n"/>
      <c r="E60" s="23" t="n"/>
      <c r="F60" s="26" t="n"/>
      <c r="G60" s="25" t="n"/>
      <c r="H60" s="25" t="n"/>
      <c r="I60" s="24" t="n"/>
      <c r="J60" s="24" t="n"/>
      <c r="K60" s="24" t="n"/>
      <c r="L60" s="26" t="n"/>
      <c r="M60" s="27">
        <f>IF(AK60="","",MID("CBA",AK60,1))</f>
        <v/>
      </c>
      <c r="N60" s="22">
        <f>IF(COUNT(AF60:AH60)&lt;3,"",AF60*AG60*AH60)</f>
        <v/>
      </c>
      <c r="O60" s="28">
        <f>IF(C60="","",IF(AJ60="","Bewertung unvollständig / incomplete","Matrix "&amp;MID("CBA",AJ60,1)&amp;IF(AND(Regel_haeufig="ja",AH60=3,AJ60&lt;3)," · häufig +1","")&amp;IF(AND(Regel_sicherheit="ja",AI60=1,AJ60+IF(AND(Regel_haeufig="ja",AH60=3),1,0)&lt;2)," · Sicherheit ⇒ B","")&amp;" → "&amp;M60))</f>
        <v/>
      </c>
      <c r="P60" s="29" t="n"/>
      <c r="Q60" s="25" t="n"/>
      <c r="R60" s="22">
        <f>IF(AK60="","",INDEX(Soll_Tabelle,4-AK60,IF(AH60=3,2,1)))</f>
        <v/>
      </c>
      <c r="S60" s="26" t="n"/>
      <c r="T60" s="22">
        <f>IF(AL60="","",MAX(0,AL60-N(P60)))</f>
        <v/>
      </c>
      <c r="U60" s="30" t="n"/>
      <c r="V60" s="31">
        <f>IF(OR(T60="",U60=""),"",T60*U60)</f>
        <v/>
      </c>
      <c r="W60" s="31">
        <f>IF(COUNT(AF60:AG60)&lt;2,"",INDEX(Stillstand_h,AG60)*INDEX(Kostensatz,AF60))</f>
        <v/>
      </c>
      <c r="X60" s="32">
        <f>IF(AK60="","",IF(T60=0,"Bestand ausreichend / stock sufficient",IF(U60="","Stückpreis fehlt / price missing",IF(V60=0,"–",IF(W60/V60&gt;=Faktor_wirtschaftlich,"wirtschaftlich (Faktor "&amp;FIXED(W60/V60,1)&amp;")","nicht wirtschaftlich (Faktor "&amp;FIXED(W60/V60,1)&amp;")")))))</f>
        <v/>
      </c>
      <c r="Y60" s="33">
        <f>IF(AK60="","",IF(AK60=3,IF(T60&gt;0,IF(AG60=3,"Sofort beschaffen: Restbestand / Gebrauchtmarkt / Alternative sichern","Mindestbestand aufbauen ("&amp;T60&amp;" Stk.)"),"Bestand halten, jährlich prüfen"),IF(AK60=2,IF(T60&gt;0,"Bevorratung nach Wirtschaftlichkeit entscheiden; Quelle / Reparatur klären","Lieferzeit und Teilestatus jährlich prüfen"),"Keine Bevorratung – Beschaffung bei Bedarf")))</f>
        <v/>
      </c>
      <c r="Z60" s="25" t="n"/>
      <c r="AA60" s="25" t="n"/>
      <c r="AB60" s="34" t="n"/>
      <c r="AC60" s="26" t="n"/>
      <c r="AD60" s="25" t="n"/>
      <c r="AE60" s="2" t="n"/>
      <c r="AF60" s="35">
        <f>IF(I60="","",VALUE(LEFT(I60,1)))</f>
        <v/>
      </c>
      <c r="AG60" s="35">
        <f>IF(J60="","",VALUE(LEFT(J60,1)))</f>
        <v/>
      </c>
      <c r="AH60" s="35">
        <f>IF(K60="","",VALUE(LEFT(K60,1)))</f>
        <v/>
      </c>
      <c r="AI60" s="35">
        <f>IF(LEFT(L60,2)="ja",1,0)</f>
        <v/>
      </c>
      <c r="AJ60" s="35">
        <f>IF(COUNT(AF60:AH60)&lt;3,"",FIND(INDEX(Matrix,4-AF60,AG60),"CBA"))</f>
        <v/>
      </c>
      <c r="AK60" s="35">
        <f>IF(AJ60="","",MIN(3,MAX(AJ60+IF(AND(Regel_haeufig="ja",AH60=3),1,0),IF(AND(Regel_sicherheit="ja",AI60=1),2,0))))</f>
        <v/>
      </c>
      <c r="AL60" s="35">
        <f>IF(S60&lt;&gt;"",S60,IF(R60="","",R60))</f>
        <v/>
      </c>
      <c r="AM60" s="35">
        <f>IF(AK60="","",AK60*1000+N60*10+(1000-ROW())/100000)</f>
        <v/>
      </c>
    </row>
    <row r="61" ht="45" customHeight="1">
      <c r="A61" s="22">
        <f>IF(C61="","",COUNTA($C$7:C61))</f>
        <v/>
      </c>
      <c r="B61" s="23" t="n"/>
      <c r="C61" s="24" t="n"/>
      <c r="D61" s="25" t="n"/>
      <c r="E61" s="23" t="n"/>
      <c r="F61" s="26" t="n"/>
      <c r="G61" s="25" t="n"/>
      <c r="H61" s="25" t="n"/>
      <c r="I61" s="24" t="n"/>
      <c r="J61" s="24" t="n"/>
      <c r="K61" s="24" t="n"/>
      <c r="L61" s="26" t="n"/>
      <c r="M61" s="27">
        <f>IF(AK61="","",MID("CBA",AK61,1))</f>
        <v/>
      </c>
      <c r="N61" s="22">
        <f>IF(COUNT(AF61:AH61)&lt;3,"",AF61*AG61*AH61)</f>
        <v/>
      </c>
      <c r="O61" s="28">
        <f>IF(C61="","",IF(AJ61="","Bewertung unvollständig / incomplete","Matrix "&amp;MID("CBA",AJ61,1)&amp;IF(AND(Regel_haeufig="ja",AH61=3,AJ61&lt;3)," · häufig +1","")&amp;IF(AND(Regel_sicherheit="ja",AI61=1,AJ61+IF(AND(Regel_haeufig="ja",AH61=3),1,0)&lt;2)," · Sicherheit ⇒ B","")&amp;" → "&amp;M61))</f>
        <v/>
      </c>
      <c r="P61" s="29" t="n"/>
      <c r="Q61" s="25" t="n"/>
      <c r="R61" s="22">
        <f>IF(AK61="","",INDEX(Soll_Tabelle,4-AK61,IF(AH61=3,2,1)))</f>
        <v/>
      </c>
      <c r="S61" s="26" t="n"/>
      <c r="T61" s="22">
        <f>IF(AL61="","",MAX(0,AL61-N(P61)))</f>
        <v/>
      </c>
      <c r="U61" s="30" t="n"/>
      <c r="V61" s="31">
        <f>IF(OR(T61="",U61=""),"",T61*U61)</f>
        <v/>
      </c>
      <c r="W61" s="31">
        <f>IF(COUNT(AF61:AG61)&lt;2,"",INDEX(Stillstand_h,AG61)*INDEX(Kostensatz,AF61))</f>
        <v/>
      </c>
      <c r="X61" s="32">
        <f>IF(AK61="","",IF(T61=0,"Bestand ausreichend / stock sufficient",IF(U61="","Stückpreis fehlt / price missing",IF(V61=0,"–",IF(W61/V61&gt;=Faktor_wirtschaftlich,"wirtschaftlich (Faktor "&amp;FIXED(W61/V61,1)&amp;")","nicht wirtschaftlich (Faktor "&amp;FIXED(W61/V61,1)&amp;")")))))</f>
        <v/>
      </c>
      <c r="Y61" s="33">
        <f>IF(AK61="","",IF(AK61=3,IF(T61&gt;0,IF(AG61=3,"Sofort beschaffen: Restbestand / Gebrauchtmarkt / Alternative sichern","Mindestbestand aufbauen ("&amp;T61&amp;" Stk.)"),"Bestand halten, jährlich prüfen"),IF(AK61=2,IF(T61&gt;0,"Bevorratung nach Wirtschaftlichkeit entscheiden; Quelle / Reparatur klären","Lieferzeit und Teilestatus jährlich prüfen"),"Keine Bevorratung – Beschaffung bei Bedarf")))</f>
        <v/>
      </c>
      <c r="Z61" s="25" t="n"/>
      <c r="AA61" s="25" t="n"/>
      <c r="AB61" s="34" t="n"/>
      <c r="AC61" s="26" t="n"/>
      <c r="AD61" s="25" t="n"/>
      <c r="AE61" s="2" t="n"/>
      <c r="AF61" s="35">
        <f>IF(I61="","",VALUE(LEFT(I61,1)))</f>
        <v/>
      </c>
      <c r="AG61" s="35">
        <f>IF(J61="","",VALUE(LEFT(J61,1)))</f>
        <v/>
      </c>
      <c r="AH61" s="35">
        <f>IF(K61="","",VALUE(LEFT(K61,1)))</f>
        <v/>
      </c>
      <c r="AI61" s="35">
        <f>IF(LEFT(L61,2)="ja",1,0)</f>
        <v/>
      </c>
      <c r="AJ61" s="35">
        <f>IF(COUNT(AF61:AH61)&lt;3,"",FIND(INDEX(Matrix,4-AF61,AG61),"CBA"))</f>
        <v/>
      </c>
      <c r="AK61" s="35">
        <f>IF(AJ61="","",MIN(3,MAX(AJ61+IF(AND(Regel_haeufig="ja",AH61=3),1,0),IF(AND(Regel_sicherheit="ja",AI61=1),2,0))))</f>
        <v/>
      </c>
      <c r="AL61" s="35">
        <f>IF(S61&lt;&gt;"",S61,IF(R61="","",R61))</f>
        <v/>
      </c>
      <c r="AM61" s="35">
        <f>IF(AK61="","",AK61*1000+N61*10+(1000-ROW())/100000)</f>
        <v/>
      </c>
    </row>
    <row r="62" ht="45" customHeight="1">
      <c r="A62" s="22">
        <f>IF(C62="","",COUNTA($C$7:C62))</f>
        <v/>
      </c>
      <c r="B62" s="23" t="n"/>
      <c r="C62" s="24" t="n"/>
      <c r="D62" s="25" t="n"/>
      <c r="E62" s="23" t="n"/>
      <c r="F62" s="26" t="n"/>
      <c r="G62" s="25" t="n"/>
      <c r="H62" s="25" t="n"/>
      <c r="I62" s="24" t="n"/>
      <c r="J62" s="24" t="n"/>
      <c r="K62" s="24" t="n"/>
      <c r="L62" s="26" t="n"/>
      <c r="M62" s="27">
        <f>IF(AK62="","",MID("CBA",AK62,1))</f>
        <v/>
      </c>
      <c r="N62" s="22">
        <f>IF(COUNT(AF62:AH62)&lt;3,"",AF62*AG62*AH62)</f>
        <v/>
      </c>
      <c r="O62" s="28">
        <f>IF(C62="","",IF(AJ62="","Bewertung unvollständig / incomplete","Matrix "&amp;MID("CBA",AJ62,1)&amp;IF(AND(Regel_haeufig="ja",AH62=3,AJ62&lt;3)," · häufig +1","")&amp;IF(AND(Regel_sicherheit="ja",AI62=1,AJ62+IF(AND(Regel_haeufig="ja",AH62=3),1,0)&lt;2)," · Sicherheit ⇒ B","")&amp;" → "&amp;M62))</f>
        <v/>
      </c>
      <c r="P62" s="29" t="n"/>
      <c r="Q62" s="25" t="n"/>
      <c r="R62" s="22">
        <f>IF(AK62="","",INDEX(Soll_Tabelle,4-AK62,IF(AH62=3,2,1)))</f>
        <v/>
      </c>
      <c r="S62" s="26" t="n"/>
      <c r="T62" s="22">
        <f>IF(AL62="","",MAX(0,AL62-N(P62)))</f>
        <v/>
      </c>
      <c r="U62" s="30" t="n"/>
      <c r="V62" s="31">
        <f>IF(OR(T62="",U62=""),"",T62*U62)</f>
        <v/>
      </c>
      <c r="W62" s="31">
        <f>IF(COUNT(AF62:AG62)&lt;2,"",INDEX(Stillstand_h,AG62)*INDEX(Kostensatz,AF62))</f>
        <v/>
      </c>
      <c r="X62" s="32">
        <f>IF(AK62="","",IF(T62=0,"Bestand ausreichend / stock sufficient",IF(U62="","Stückpreis fehlt / price missing",IF(V62=0,"–",IF(W62/V62&gt;=Faktor_wirtschaftlich,"wirtschaftlich (Faktor "&amp;FIXED(W62/V62,1)&amp;")","nicht wirtschaftlich (Faktor "&amp;FIXED(W62/V62,1)&amp;")")))))</f>
        <v/>
      </c>
      <c r="Y62" s="33">
        <f>IF(AK62="","",IF(AK62=3,IF(T62&gt;0,IF(AG62=3,"Sofort beschaffen: Restbestand / Gebrauchtmarkt / Alternative sichern","Mindestbestand aufbauen ("&amp;T62&amp;" Stk.)"),"Bestand halten, jährlich prüfen"),IF(AK62=2,IF(T62&gt;0,"Bevorratung nach Wirtschaftlichkeit entscheiden; Quelle / Reparatur klären","Lieferzeit und Teilestatus jährlich prüfen"),"Keine Bevorratung – Beschaffung bei Bedarf")))</f>
        <v/>
      </c>
      <c r="Z62" s="25" t="n"/>
      <c r="AA62" s="25" t="n"/>
      <c r="AB62" s="34" t="n"/>
      <c r="AC62" s="26" t="n"/>
      <c r="AD62" s="25" t="n"/>
      <c r="AE62" s="2" t="n"/>
      <c r="AF62" s="35">
        <f>IF(I62="","",VALUE(LEFT(I62,1)))</f>
        <v/>
      </c>
      <c r="AG62" s="35">
        <f>IF(J62="","",VALUE(LEFT(J62,1)))</f>
        <v/>
      </c>
      <c r="AH62" s="35">
        <f>IF(K62="","",VALUE(LEFT(K62,1)))</f>
        <v/>
      </c>
      <c r="AI62" s="35">
        <f>IF(LEFT(L62,2)="ja",1,0)</f>
        <v/>
      </c>
      <c r="AJ62" s="35">
        <f>IF(COUNT(AF62:AH62)&lt;3,"",FIND(INDEX(Matrix,4-AF62,AG62),"CBA"))</f>
        <v/>
      </c>
      <c r="AK62" s="35">
        <f>IF(AJ62="","",MIN(3,MAX(AJ62+IF(AND(Regel_haeufig="ja",AH62=3),1,0),IF(AND(Regel_sicherheit="ja",AI62=1),2,0))))</f>
        <v/>
      </c>
      <c r="AL62" s="35">
        <f>IF(S62&lt;&gt;"",S62,IF(R62="","",R62))</f>
        <v/>
      </c>
      <c r="AM62" s="35">
        <f>IF(AK62="","",AK62*1000+N62*10+(1000-ROW())/100000)</f>
        <v/>
      </c>
    </row>
    <row r="63" ht="45" customHeight="1">
      <c r="A63" s="22">
        <f>IF(C63="","",COUNTA($C$7:C63))</f>
        <v/>
      </c>
      <c r="B63" s="23" t="n"/>
      <c r="C63" s="24" t="n"/>
      <c r="D63" s="25" t="n"/>
      <c r="E63" s="23" t="n"/>
      <c r="F63" s="26" t="n"/>
      <c r="G63" s="25" t="n"/>
      <c r="H63" s="25" t="n"/>
      <c r="I63" s="24" t="n"/>
      <c r="J63" s="24" t="n"/>
      <c r="K63" s="24" t="n"/>
      <c r="L63" s="26" t="n"/>
      <c r="M63" s="27">
        <f>IF(AK63="","",MID("CBA",AK63,1))</f>
        <v/>
      </c>
      <c r="N63" s="22">
        <f>IF(COUNT(AF63:AH63)&lt;3,"",AF63*AG63*AH63)</f>
        <v/>
      </c>
      <c r="O63" s="28">
        <f>IF(C63="","",IF(AJ63="","Bewertung unvollständig / incomplete","Matrix "&amp;MID("CBA",AJ63,1)&amp;IF(AND(Regel_haeufig="ja",AH63=3,AJ63&lt;3)," · häufig +1","")&amp;IF(AND(Regel_sicherheit="ja",AI63=1,AJ63+IF(AND(Regel_haeufig="ja",AH63=3),1,0)&lt;2)," · Sicherheit ⇒ B","")&amp;" → "&amp;M63))</f>
        <v/>
      </c>
      <c r="P63" s="29" t="n"/>
      <c r="Q63" s="25" t="n"/>
      <c r="R63" s="22">
        <f>IF(AK63="","",INDEX(Soll_Tabelle,4-AK63,IF(AH63=3,2,1)))</f>
        <v/>
      </c>
      <c r="S63" s="26" t="n"/>
      <c r="T63" s="22">
        <f>IF(AL63="","",MAX(0,AL63-N(P63)))</f>
        <v/>
      </c>
      <c r="U63" s="30" t="n"/>
      <c r="V63" s="31">
        <f>IF(OR(T63="",U63=""),"",T63*U63)</f>
        <v/>
      </c>
      <c r="W63" s="31">
        <f>IF(COUNT(AF63:AG63)&lt;2,"",INDEX(Stillstand_h,AG63)*INDEX(Kostensatz,AF63))</f>
        <v/>
      </c>
      <c r="X63" s="32">
        <f>IF(AK63="","",IF(T63=0,"Bestand ausreichend / stock sufficient",IF(U63="","Stückpreis fehlt / price missing",IF(V63=0,"–",IF(W63/V63&gt;=Faktor_wirtschaftlich,"wirtschaftlich (Faktor "&amp;FIXED(W63/V63,1)&amp;")","nicht wirtschaftlich (Faktor "&amp;FIXED(W63/V63,1)&amp;")")))))</f>
        <v/>
      </c>
      <c r="Y63" s="33">
        <f>IF(AK63="","",IF(AK63=3,IF(T63&gt;0,IF(AG63=3,"Sofort beschaffen: Restbestand / Gebrauchtmarkt / Alternative sichern","Mindestbestand aufbauen ("&amp;T63&amp;" Stk.)"),"Bestand halten, jährlich prüfen"),IF(AK63=2,IF(T63&gt;0,"Bevorratung nach Wirtschaftlichkeit entscheiden; Quelle / Reparatur klären","Lieferzeit und Teilestatus jährlich prüfen"),"Keine Bevorratung – Beschaffung bei Bedarf")))</f>
        <v/>
      </c>
      <c r="Z63" s="25" t="n"/>
      <c r="AA63" s="25" t="n"/>
      <c r="AB63" s="34" t="n"/>
      <c r="AC63" s="26" t="n"/>
      <c r="AD63" s="25" t="n"/>
      <c r="AE63" s="2" t="n"/>
      <c r="AF63" s="35">
        <f>IF(I63="","",VALUE(LEFT(I63,1)))</f>
        <v/>
      </c>
      <c r="AG63" s="35">
        <f>IF(J63="","",VALUE(LEFT(J63,1)))</f>
        <v/>
      </c>
      <c r="AH63" s="35">
        <f>IF(K63="","",VALUE(LEFT(K63,1)))</f>
        <v/>
      </c>
      <c r="AI63" s="35">
        <f>IF(LEFT(L63,2)="ja",1,0)</f>
        <v/>
      </c>
      <c r="AJ63" s="35">
        <f>IF(COUNT(AF63:AH63)&lt;3,"",FIND(INDEX(Matrix,4-AF63,AG63),"CBA"))</f>
        <v/>
      </c>
      <c r="AK63" s="35">
        <f>IF(AJ63="","",MIN(3,MAX(AJ63+IF(AND(Regel_haeufig="ja",AH63=3),1,0),IF(AND(Regel_sicherheit="ja",AI63=1),2,0))))</f>
        <v/>
      </c>
      <c r="AL63" s="35">
        <f>IF(S63&lt;&gt;"",S63,IF(R63="","",R63))</f>
        <v/>
      </c>
      <c r="AM63" s="35">
        <f>IF(AK63="","",AK63*1000+N63*10+(1000-ROW())/100000)</f>
        <v/>
      </c>
    </row>
    <row r="64" ht="45" customHeight="1">
      <c r="A64" s="22">
        <f>IF(C64="","",COUNTA($C$7:C64))</f>
        <v/>
      </c>
      <c r="B64" s="23" t="n"/>
      <c r="C64" s="24" t="n"/>
      <c r="D64" s="25" t="n"/>
      <c r="E64" s="23" t="n"/>
      <c r="F64" s="26" t="n"/>
      <c r="G64" s="25" t="n"/>
      <c r="H64" s="25" t="n"/>
      <c r="I64" s="24" t="n"/>
      <c r="J64" s="24" t="n"/>
      <c r="K64" s="24" t="n"/>
      <c r="L64" s="26" t="n"/>
      <c r="M64" s="27">
        <f>IF(AK64="","",MID("CBA",AK64,1))</f>
        <v/>
      </c>
      <c r="N64" s="22">
        <f>IF(COUNT(AF64:AH64)&lt;3,"",AF64*AG64*AH64)</f>
        <v/>
      </c>
      <c r="O64" s="28">
        <f>IF(C64="","",IF(AJ64="","Bewertung unvollständig / incomplete","Matrix "&amp;MID("CBA",AJ64,1)&amp;IF(AND(Regel_haeufig="ja",AH64=3,AJ64&lt;3)," · häufig +1","")&amp;IF(AND(Regel_sicherheit="ja",AI64=1,AJ64+IF(AND(Regel_haeufig="ja",AH64=3),1,0)&lt;2)," · Sicherheit ⇒ B","")&amp;" → "&amp;M64))</f>
        <v/>
      </c>
      <c r="P64" s="29" t="n"/>
      <c r="Q64" s="25" t="n"/>
      <c r="R64" s="22">
        <f>IF(AK64="","",INDEX(Soll_Tabelle,4-AK64,IF(AH64=3,2,1)))</f>
        <v/>
      </c>
      <c r="S64" s="26" t="n"/>
      <c r="T64" s="22">
        <f>IF(AL64="","",MAX(0,AL64-N(P64)))</f>
        <v/>
      </c>
      <c r="U64" s="30" t="n"/>
      <c r="V64" s="31">
        <f>IF(OR(T64="",U64=""),"",T64*U64)</f>
        <v/>
      </c>
      <c r="W64" s="31">
        <f>IF(COUNT(AF64:AG64)&lt;2,"",INDEX(Stillstand_h,AG64)*INDEX(Kostensatz,AF64))</f>
        <v/>
      </c>
      <c r="X64" s="32">
        <f>IF(AK64="","",IF(T64=0,"Bestand ausreichend / stock sufficient",IF(U64="","Stückpreis fehlt / price missing",IF(V64=0,"–",IF(W64/V64&gt;=Faktor_wirtschaftlich,"wirtschaftlich (Faktor "&amp;FIXED(W64/V64,1)&amp;")","nicht wirtschaftlich (Faktor "&amp;FIXED(W64/V64,1)&amp;")")))))</f>
        <v/>
      </c>
      <c r="Y64" s="33">
        <f>IF(AK64="","",IF(AK64=3,IF(T64&gt;0,IF(AG64=3,"Sofort beschaffen: Restbestand / Gebrauchtmarkt / Alternative sichern","Mindestbestand aufbauen ("&amp;T64&amp;" Stk.)"),"Bestand halten, jährlich prüfen"),IF(AK64=2,IF(T64&gt;0,"Bevorratung nach Wirtschaftlichkeit entscheiden; Quelle / Reparatur klären","Lieferzeit und Teilestatus jährlich prüfen"),"Keine Bevorratung – Beschaffung bei Bedarf")))</f>
        <v/>
      </c>
      <c r="Z64" s="25" t="n"/>
      <c r="AA64" s="25" t="n"/>
      <c r="AB64" s="34" t="n"/>
      <c r="AC64" s="26" t="n"/>
      <c r="AD64" s="25" t="n"/>
      <c r="AE64" s="2" t="n"/>
      <c r="AF64" s="35">
        <f>IF(I64="","",VALUE(LEFT(I64,1)))</f>
        <v/>
      </c>
      <c r="AG64" s="35">
        <f>IF(J64="","",VALUE(LEFT(J64,1)))</f>
        <v/>
      </c>
      <c r="AH64" s="35">
        <f>IF(K64="","",VALUE(LEFT(K64,1)))</f>
        <v/>
      </c>
      <c r="AI64" s="35">
        <f>IF(LEFT(L64,2)="ja",1,0)</f>
        <v/>
      </c>
      <c r="AJ64" s="35">
        <f>IF(COUNT(AF64:AH64)&lt;3,"",FIND(INDEX(Matrix,4-AF64,AG64),"CBA"))</f>
        <v/>
      </c>
      <c r="AK64" s="35">
        <f>IF(AJ64="","",MIN(3,MAX(AJ64+IF(AND(Regel_haeufig="ja",AH64=3),1,0),IF(AND(Regel_sicherheit="ja",AI64=1),2,0))))</f>
        <v/>
      </c>
      <c r="AL64" s="35">
        <f>IF(S64&lt;&gt;"",S64,IF(R64="","",R64))</f>
        <v/>
      </c>
      <c r="AM64" s="35">
        <f>IF(AK64="","",AK64*1000+N64*10+(1000-ROW())/100000)</f>
        <v/>
      </c>
    </row>
    <row r="65" ht="45" customHeight="1">
      <c r="A65" s="22">
        <f>IF(C65="","",COUNTA($C$7:C65))</f>
        <v/>
      </c>
      <c r="B65" s="23" t="n"/>
      <c r="C65" s="24" t="n"/>
      <c r="D65" s="25" t="n"/>
      <c r="E65" s="23" t="n"/>
      <c r="F65" s="26" t="n"/>
      <c r="G65" s="25" t="n"/>
      <c r="H65" s="25" t="n"/>
      <c r="I65" s="24" t="n"/>
      <c r="J65" s="24" t="n"/>
      <c r="K65" s="24" t="n"/>
      <c r="L65" s="26" t="n"/>
      <c r="M65" s="27">
        <f>IF(AK65="","",MID("CBA",AK65,1))</f>
        <v/>
      </c>
      <c r="N65" s="22">
        <f>IF(COUNT(AF65:AH65)&lt;3,"",AF65*AG65*AH65)</f>
        <v/>
      </c>
      <c r="O65" s="28">
        <f>IF(C65="","",IF(AJ65="","Bewertung unvollständig / incomplete","Matrix "&amp;MID("CBA",AJ65,1)&amp;IF(AND(Regel_haeufig="ja",AH65=3,AJ65&lt;3)," · häufig +1","")&amp;IF(AND(Regel_sicherheit="ja",AI65=1,AJ65+IF(AND(Regel_haeufig="ja",AH65=3),1,0)&lt;2)," · Sicherheit ⇒ B","")&amp;" → "&amp;M65))</f>
        <v/>
      </c>
      <c r="P65" s="29" t="n"/>
      <c r="Q65" s="25" t="n"/>
      <c r="R65" s="22">
        <f>IF(AK65="","",INDEX(Soll_Tabelle,4-AK65,IF(AH65=3,2,1)))</f>
        <v/>
      </c>
      <c r="S65" s="26" t="n"/>
      <c r="T65" s="22">
        <f>IF(AL65="","",MAX(0,AL65-N(P65)))</f>
        <v/>
      </c>
      <c r="U65" s="30" t="n"/>
      <c r="V65" s="31">
        <f>IF(OR(T65="",U65=""),"",T65*U65)</f>
        <v/>
      </c>
      <c r="W65" s="31">
        <f>IF(COUNT(AF65:AG65)&lt;2,"",INDEX(Stillstand_h,AG65)*INDEX(Kostensatz,AF65))</f>
        <v/>
      </c>
      <c r="X65" s="32">
        <f>IF(AK65="","",IF(T65=0,"Bestand ausreichend / stock sufficient",IF(U65="","Stückpreis fehlt / price missing",IF(V65=0,"–",IF(W65/V65&gt;=Faktor_wirtschaftlich,"wirtschaftlich (Faktor "&amp;FIXED(W65/V65,1)&amp;")","nicht wirtschaftlich (Faktor "&amp;FIXED(W65/V65,1)&amp;")")))))</f>
        <v/>
      </c>
      <c r="Y65" s="33">
        <f>IF(AK65="","",IF(AK65=3,IF(T65&gt;0,IF(AG65=3,"Sofort beschaffen: Restbestand / Gebrauchtmarkt / Alternative sichern","Mindestbestand aufbauen ("&amp;T65&amp;" Stk.)"),"Bestand halten, jährlich prüfen"),IF(AK65=2,IF(T65&gt;0,"Bevorratung nach Wirtschaftlichkeit entscheiden; Quelle / Reparatur klären","Lieferzeit und Teilestatus jährlich prüfen"),"Keine Bevorratung – Beschaffung bei Bedarf")))</f>
        <v/>
      </c>
      <c r="Z65" s="25" t="n"/>
      <c r="AA65" s="25" t="n"/>
      <c r="AB65" s="34" t="n"/>
      <c r="AC65" s="26" t="n"/>
      <c r="AD65" s="25" t="n"/>
      <c r="AE65" s="2" t="n"/>
      <c r="AF65" s="35">
        <f>IF(I65="","",VALUE(LEFT(I65,1)))</f>
        <v/>
      </c>
      <c r="AG65" s="35">
        <f>IF(J65="","",VALUE(LEFT(J65,1)))</f>
        <v/>
      </c>
      <c r="AH65" s="35">
        <f>IF(K65="","",VALUE(LEFT(K65,1)))</f>
        <v/>
      </c>
      <c r="AI65" s="35">
        <f>IF(LEFT(L65,2)="ja",1,0)</f>
        <v/>
      </c>
      <c r="AJ65" s="35">
        <f>IF(COUNT(AF65:AH65)&lt;3,"",FIND(INDEX(Matrix,4-AF65,AG65),"CBA"))</f>
        <v/>
      </c>
      <c r="AK65" s="35">
        <f>IF(AJ65="","",MIN(3,MAX(AJ65+IF(AND(Regel_haeufig="ja",AH65=3),1,0),IF(AND(Regel_sicherheit="ja",AI65=1),2,0))))</f>
        <v/>
      </c>
      <c r="AL65" s="35">
        <f>IF(S65&lt;&gt;"",S65,IF(R65="","",R65))</f>
        <v/>
      </c>
      <c r="AM65" s="35">
        <f>IF(AK65="","",AK65*1000+N65*10+(1000-ROW())/100000)</f>
        <v/>
      </c>
    </row>
    <row r="66" ht="45" customHeight="1">
      <c r="A66" s="22">
        <f>IF(C66="","",COUNTA($C$7:C66))</f>
        <v/>
      </c>
      <c r="B66" s="23" t="n"/>
      <c r="C66" s="24" t="n"/>
      <c r="D66" s="25" t="n"/>
      <c r="E66" s="23" t="n"/>
      <c r="F66" s="26" t="n"/>
      <c r="G66" s="25" t="n"/>
      <c r="H66" s="25" t="n"/>
      <c r="I66" s="24" t="n"/>
      <c r="J66" s="24" t="n"/>
      <c r="K66" s="24" t="n"/>
      <c r="L66" s="26" t="n"/>
      <c r="M66" s="27">
        <f>IF(AK66="","",MID("CBA",AK66,1))</f>
        <v/>
      </c>
      <c r="N66" s="22">
        <f>IF(COUNT(AF66:AH66)&lt;3,"",AF66*AG66*AH66)</f>
        <v/>
      </c>
      <c r="O66" s="28">
        <f>IF(C66="","",IF(AJ66="","Bewertung unvollständig / incomplete","Matrix "&amp;MID("CBA",AJ66,1)&amp;IF(AND(Regel_haeufig="ja",AH66=3,AJ66&lt;3)," · häufig +1","")&amp;IF(AND(Regel_sicherheit="ja",AI66=1,AJ66+IF(AND(Regel_haeufig="ja",AH66=3),1,0)&lt;2)," · Sicherheit ⇒ B","")&amp;" → "&amp;M66))</f>
        <v/>
      </c>
      <c r="P66" s="29" t="n"/>
      <c r="Q66" s="25" t="n"/>
      <c r="R66" s="22">
        <f>IF(AK66="","",INDEX(Soll_Tabelle,4-AK66,IF(AH66=3,2,1)))</f>
        <v/>
      </c>
      <c r="S66" s="26" t="n"/>
      <c r="T66" s="22">
        <f>IF(AL66="","",MAX(0,AL66-N(P66)))</f>
        <v/>
      </c>
      <c r="U66" s="30" t="n"/>
      <c r="V66" s="31">
        <f>IF(OR(T66="",U66=""),"",T66*U66)</f>
        <v/>
      </c>
      <c r="W66" s="31">
        <f>IF(COUNT(AF66:AG66)&lt;2,"",INDEX(Stillstand_h,AG66)*INDEX(Kostensatz,AF66))</f>
        <v/>
      </c>
      <c r="X66" s="32">
        <f>IF(AK66="","",IF(T66=0,"Bestand ausreichend / stock sufficient",IF(U66="","Stückpreis fehlt / price missing",IF(V66=0,"–",IF(W66/V66&gt;=Faktor_wirtschaftlich,"wirtschaftlich (Faktor "&amp;FIXED(W66/V66,1)&amp;")","nicht wirtschaftlich (Faktor "&amp;FIXED(W66/V66,1)&amp;")")))))</f>
        <v/>
      </c>
      <c r="Y66" s="33">
        <f>IF(AK66="","",IF(AK66=3,IF(T66&gt;0,IF(AG66=3,"Sofort beschaffen: Restbestand / Gebrauchtmarkt / Alternative sichern","Mindestbestand aufbauen ("&amp;T66&amp;" Stk.)"),"Bestand halten, jährlich prüfen"),IF(AK66=2,IF(T66&gt;0,"Bevorratung nach Wirtschaftlichkeit entscheiden; Quelle / Reparatur klären","Lieferzeit und Teilestatus jährlich prüfen"),"Keine Bevorratung – Beschaffung bei Bedarf")))</f>
        <v/>
      </c>
      <c r="Z66" s="25" t="n"/>
      <c r="AA66" s="25" t="n"/>
      <c r="AB66" s="34" t="n"/>
      <c r="AC66" s="26" t="n"/>
      <c r="AD66" s="25" t="n"/>
      <c r="AE66" s="2" t="n"/>
      <c r="AF66" s="35">
        <f>IF(I66="","",VALUE(LEFT(I66,1)))</f>
        <v/>
      </c>
      <c r="AG66" s="35">
        <f>IF(J66="","",VALUE(LEFT(J66,1)))</f>
        <v/>
      </c>
      <c r="AH66" s="35">
        <f>IF(K66="","",VALUE(LEFT(K66,1)))</f>
        <v/>
      </c>
      <c r="AI66" s="35">
        <f>IF(LEFT(L66,2)="ja",1,0)</f>
        <v/>
      </c>
      <c r="AJ66" s="35">
        <f>IF(COUNT(AF66:AH66)&lt;3,"",FIND(INDEX(Matrix,4-AF66,AG66),"CBA"))</f>
        <v/>
      </c>
      <c r="AK66" s="35">
        <f>IF(AJ66="","",MIN(3,MAX(AJ66+IF(AND(Regel_haeufig="ja",AH66=3),1,0),IF(AND(Regel_sicherheit="ja",AI66=1),2,0))))</f>
        <v/>
      </c>
      <c r="AL66" s="35">
        <f>IF(S66&lt;&gt;"",S66,IF(R66="","",R66))</f>
        <v/>
      </c>
      <c r="AM66" s="35">
        <f>IF(AK66="","",AK66*1000+N66*10+(1000-ROW())/100000)</f>
        <v/>
      </c>
    </row>
    <row r="67" ht="45" customHeight="1">
      <c r="A67" s="22">
        <f>IF(C67="","",COUNTA($C$7:C67))</f>
        <v/>
      </c>
      <c r="B67" s="23" t="n"/>
      <c r="C67" s="24" t="n"/>
      <c r="D67" s="25" t="n"/>
      <c r="E67" s="23" t="n"/>
      <c r="F67" s="26" t="n"/>
      <c r="G67" s="25" t="n"/>
      <c r="H67" s="25" t="n"/>
      <c r="I67" s="24" t="n"/>
      <c r="J67" s="24" t="n"/>
      <c r="K67" s="24" t="n"/>
      <c r="L67" s="26" t="n"/>
      <c r="M67" s="27">
        <f>IF(AK67="","",MID("CBA",AK67,1))</f>
        <v/>
      </c>
      <c r="N67" s="22">
        <f>IF(COUNT(AF67:AH67)&lt;3,"",AF67*AG67*AH67)</f>
        <v/>
      </c>
      <c r="O67" s="28">
        <f>IF(C67="","",IF(AJ67="","Bewertung unvollständig / incomplete","Matrix "&amp;MID("CBA",AJ67,1)&amp;IF(AND(Regel_haeufig="ja",AH67=3,AJ67&lt;3)," · häufig +1","")&amp;IF(AND(Regel_sicherheit="ja",AI67=1,AJ67+IF(AND(Regel_haeufig="ja",AH67=3),1,0)&lt;2)," · Sicherheit ⇒ B","")&amp;" → "&amp;M67))</f>
        <v/>
      </c>
      <c r="P67" s="29" t="n"/>
      <c r="Q67" s="25" t="n"/>
      <c r="R67" s="22">
        <f>IF(AK67="","",INDEX(Soll_Tabelle,4-AK67,IF(AH67=3,2,1)))</f>
        <v/>
      </c>
      <c r="S67" s="26" t="n"/>
      <c r="T67" s="22">
        <f>IF(AL67="","",MAX(0,AL67-N(P67)))</f>
        <v/>
      </c>
      <c r="U67" s="30" t="n"/>
      <c r="V67" s="31">
        <f>IF(OR(T67="",U67=""),"",T67*U67)</f>
        <v/>
      </c>
      <c r="W67" s="31">
        <f>IF(COUNT(AF67:AG67)&lt;2,"",INDEX(Stillstand_h,AG67)*INDEX(Kostensatz,AF67))</f>
        <v/>
      </c>
      <c r="X67" s="32">
        <f>IF(AK67="","",IF(T67=0,"Bestand ausreichend / stock sufficient",IF(U67="","Stückpreis fehlt / price missing",IF(V67=0,"–",IF(W67/V67&gt;=Faktor_wirtschaftlich,"wirtschaftlich (Faktor "&amp;FIXED(W67/V67,1)&amp;")","nicht wirtschaftlich (Faktor "&amp;FIXED(W67/V67,1)&amp;")")))))</f>
        <v/>
      </c>
      <c r="Y67" s="33">
        <f>IF(AK67="","",IF(AK67=3,IF(T67&gt;0,IF(AG67=3,"Sofort beschaffen: Restbestand / Gebrauchtmarkt / Alternative sichern","Mindestbestand aufbauen ("&amp;T67&amp;" Stk.)"),"Bestand halten, jährlich prüfen"),IF(AK67=2,IF(T67&gt;0,"Bevorratung nach Wirtschaftlichkeit entscheiden; Quelle / Reparatur klären","Lieferzeit und Teilestatus jährlich prüfen"),"Keine Bevorratung – Beschaffung bei Bedarf")))</f>
        <v/>
      </c>
      <c r="Z67" s="25" t="n"/>
      <c r="AA67" s="25" t="n"/>
      <c r="AB67" s="34" t="n"/>
      <c r="AC67" s="26" t="n"/>
      <c r="AD67" s="25" t="n"/>
      <c r="AE67" s="2" t="n"/>
      <c r="AF67" s="35">
        <f>IF(I67="","",VALUE(LEFT(I67,1)))</f>
        <v/>
      </c>
      <c r="AG67" s="35">
        <f>IF(J67="","",VALUE(LEFT(J67,1)))</f>
        <v/>
      </c>
      <c r="AH67" s="35">
        <f>IF(K67="","",VALUE(LEFT(K67,1)))</f>
        <v/>
      </c>
      <c r="AI67" s="35">
        <f>IF(LEFT(L67,2)="ja",1,0)</f>
        <v/>
      </c>
      <c r="AJ67" s="35">
        <f>IF(COUNT(AF67:AH67)&lt;3,"",FIND(INDEX(Matrix,4-AF67,AG67),"CBA"))</f>
        <v/>
      </c>
      <c r="AK67" s="35">
        <f>IF(AJ67="","",MIN(3,MAX(AJ67+IF(AND(Regel_haeufig="ja",AH67=3),1,0),IF(AND(Regel_sicherheit="ja",AI67=1),2,0))))</f>
        <v/>
      </c>
      <c r="AL67" s="35">
        <f>IF(S67&lt;&gt;"",S67,IF(R67="","",R67))</f>
        <v/>
      </c>
      <c r="AM67" s="35">
        <f>IF(AK67="","",AK67*1000+N67*10+(1000-ROW())/100000)</f>
        <v/>
      </c>
    </row>
    <row r="68" ht="45" customHeight="1">
      <c r="A68" s="22">
        <f>IF(C68="","",COUNTA($C$7:C68))</f>
        <v/>
      </c>
      <c r="B68" s="23" t="n"/>
      <c r="C68" s="24" t="n"/>
      <c r="D68" s="25" t="n"/>
      <c r="E68" s="23" t="n"/>
      <c r="F68" s="26" t="n"/>
      <c r="G68" s="25" t="n"/>
      <c r="H68" s="25" t="n"/>
      <c r="I68" s="24" t="n"/>
      <c r="J68" s="24" t="n"/>
      <c r="K68" s="24" t="n"/>
      <c r="L68" s="26" t="n"/>
      <c r="M68" s="27">
        <f>IF(AK68="","",MID("CBA",AK68,1))</f>
        <v/>
      </c>
      <c r="N68" s="22">
        <f>IF(COUNT(AF68:AH68)&lt;3,"",AF68*AG68*AH68)</f>
        <v/>
      </c>
      <c r="O68" s="28">
        <f>IF(C68="","",IF(AJ68="","Bewertung unvollständig / incomplete","Matrix "&amp;MID("CBA",AJ68,1)&amp;IF(AND(Regel_haeufig="ja",AH68=3,AJ68&lt;3)," · häufig +1","")&amp;IF(AND(Regel_sicherheit="ja",AI68=1,AJ68+IF(AND(Regel_haeufig="ja",AH68=3),1,0)&lt;2)," · Sicherheit ⇒ B","")&amp;" → "&amp;M68))</f>
        <v/>
      </c>
      <c r="P68" s="29" t="n"/>
      <c r="Q68" s="25" t="n"/>
      <c r="R68" s="22">
        <f>IF(AK68="","",INDEX(Soll_Tabelle,4-AK68,IF(AH68=3,2,1)))</f>
        <v/>
      </c>
      <c r="S68" s="26" t="n"/>
      <c r="T68" s="22">
        <f>IF(AL68="","",MAX(0,AL68-N(P68)))</f>
        <v/>
      </c>
      <c r="U68" s="30" t="n"/>
      <c r="V68" s="31">
        <f>IF(OR(T68="",U68=""),"",T68*U68)</f>
        <v/>
      </c>
      <c r="W68" s="31">
        <f>IF(COUNT(AF68:AG68)&lt;2,"",INDEX(Stillstand_h,AG68)*INDEX(Kostensatz,AF68))</f>
        <v/>
      </c>
      <c r="X68" s="32">
        <f>IF(AK68="","",IF(T68=0,"Bestand ausreichend / stock sufficient",IF(U68="","Stückpreis fehlt / price missing",IF(V68=0,"–",IF(W68/V68&gt;=Faktor_wirtschaftlich,"wirtschaftlich (Faktor "&amp;FIXED(W68/V68,1)&amp;")","nicht wirtschaftlich (Faktor "&amp;FIXED(W68/V68,1)&amp;")")))))</f>
        <v/>
      </c>
      <c r="Y68" s="33">
        <f>IF(AK68="","",IF(AK68=3,IF(T68&gt;0,IF(AG68=3,"Sofort beschaffen: Restbestand / Gebrauchtmarkt / Alternative sichern","Mindestbestand aufbauen ("&amp;T68&amp;" Stk.)"),"Bestand halten, jährlich prüfen"),IF(AK68=2,IF(T68&gt;0,"Bevorratung nach Wirtschaftlichkeit entscheiden; Quelle / Reparatur klären","Lieferzeit und Teilestatus jährlich prüfen"),"Keine Bevorratung – Beschaffung bei Bedarf")))</f>
        <v/>
      </c>
      <c r="Z68" s="25" t="n"/>
      <c r="AA68" s="25" t="n"/>
      <c r="AB68" s="34" t="n"/>
      <c r="AC68" s="26" t="n"/>
      <c r="AD68" s="25" t="n"/>
      <c r="AE68" s="2" t="n"/>
      <c r="AF68" s="35">
        <f>IF(I68="","",VALUE(LEFT(I68,1)))</f>
        <v/>
      </c>
      <c r="AG68" s="35">
        <f>IF(J68="","",VALUE(LEFT(J68,1)))</f>
        <v/>
      </c>
      <c r="AH68" s="35">
        <f>IF(K68="","",VALUE(LEFT(K68,1)))</f>
        <v/>
      </c>
      <c r="AI68" s="35">
        <f>IF(LEFT(L68,2)="ja",1,0)</f>
        <v/>
      </c>
      <c r="AJ68" s="35">
        <f>IF(COUNT(AF68:AH68)&lt;3,"",FIND(INDEX(Matrix,4-AF68,AG68),"CBA"))</f>
        <v/>
      </c>
      <c r="AK68" s="35">
        <f>IF(AJ68="","",MIN(3,MAX(AJ68+IF(AND(Regel_haeufig="ja",AH68=3),1,0),IF(AND(Regel_sicherheit="ja",AI68=1),2,0))))</f>
        <v/>
      </c>
      <c r="AL68" s="35">
        <f>IF(S68&lt;&gt;"",S68,IF(R68="","",R68))</f>
        <v/>
      </c>
      <c r="AM68" s="35">
        <f>IF(AK68="","",AK68*1000+N68*10+(1000-ROW())/100000)</f>
        <v/>
      </c>
    </row>
    <row r="69" ht="45" customHeight="1">
      <c r="A69" s="22">
        <f>IF(C69="","",COUNTA($C$7:C69))</f>
        <v/>
      </c>
      <c r="B69" s="23" t="n"/>
      <c r="C69" s="24" t="n"/>
      <c r="D69" s="25" t="n"/>
      <c r="E69" s="23" t="n"/>
      <c r="F69" s="26" t="n"/>
      <c r="G69" s="25" t="n"/>
      <c r="H69" s="25" t="n"/>
      <c r="I69" s="24" t="n"/>
      <c r="J69" s="24" t="n"/>
      <c r="K69" s="24" t="n"/>
      <c r="L69" s="26" t="n"/>
      <c r="M69" s="27">
        <f>IF(AK69="","",MID("CBA",AK69,1))</f>
        <v/>
      </c>
      <c r="N69" s="22">
        <f>IF(COUNT(AF69:AH69)&lt;3,"",AF69*AG69*AH69)</f>
        <v/>
      </c>
      <c r="O69" s="28">
        <f>IF(C69="","",IF(AJ69="","Bewertung unvollständig / incomplete","Matrix "&amp;MID("CBA",AJ69,1)&amp;IF(AND(Regel_haeufig="ja",AH69=3,AJ69&lt;3)," · häufig +1","")&amp;IF(AND(Regel_sicherheit="ja",AI69=1,AJ69+IF(AND(Regel_haeufig="ja",AH69=3),1,0)&lt;2)," · Sicherheit ⇒ B","")&amp;" → "&amp;M69))</f>
        <v/>
      </c>
      <c r="P69" s="29" t="n"/>
      <c r="Q69" s="25" t="n"/>
      <c r="R69" s="22">
        <f>IF(AK69="","",INDEX(Soll_Tabelle,4-AK69,IF(AH69=3,2,1)))</f>
        <v/>
      </c>
      <c r="S69" s="26" t="n"/>
      <c r="T69" s="22">
        <f>IF(AL69="","",MAX(0,AL69-N(P69)))</f>
        <v/>
      </c>
      <c r="U69" s="30" t="n"/>
      <c r="V69" s="31">
        <f>IF(OR(T69="",U69=""),"",T69*U69)</f>
        <v/>
      </c>
      <c r="W69" s="31">
        <f>IF(COUNT(AF69:AG69)&lt;2,"",INDEX(Stillstand_h,AG69)*INDEX(Kostensatz,AF69))</f>
        <v/>
      </c>
      <c r="X69" s="32">
        <f>IF(AK69="","",IF(T69=0,"Bestand ausreichend / stock sufficient",IF(U69="","Stückpreis fehlt / price missing",IF(V69=0,"–",IF(W69/V69&gt;=Faktor_wirtschaftlich,"wirtschaftlich (Faktor "&amp;FIXED(W69/V69,1)&amp;")","nicht wirtschaftlich (Faktor "&amp;FIXED(W69/V69,1)&amp;")")))))</f>
        <v/>
      </c>
      <c r="Y69" s="33">
        <f>IF(AK69="","",IF(AK69=3,IF(T69&gt;0,IF(AG69=3,"Sofort beschaffen: Restbestand / Gebrauchtmarkt / Alternative sichern","Mindestbestand aufbauen ("&amp;T69&amp;" Stk.)"),"Bestand halten, jährlich prüfen"),IF(AK69=2,IF(T69&gt;0,"Bevorratung nach Wirtschaftlichkeit entscheiden; Quelle / Reparatur klären","Lieferzeit und Teilestatus jährlich prüfen"),"Keine Bevorratung – Beschaffung bei Bedarf")))</f>
        <v/>
      </c>
      <c r="Z69" s="25" t="n"/>
      <c r="AA69" s="25" t="n"/>
      <c r="AB69" s="34" t="n"/>
      <c r="AC69" s="26" t="n"/>
      <c r="AD69" s="25" t="n"/>
      <c r="AE69" s="2" t="n"/>
      <c r="AF69" s="35">
        <f>IF(I69="","",VALUE(LEFT(I69,1)))</f>
        <v/>
      </c>
      <c r="AG69" s="35">
        <f>IF(J69="","",VALUE(LEFT(J69,1)))</f>
        <v/>
      </c>
      <c r="AH69" s="35">
        <f>IF(K69="","",VALUE(LEFT(K69,1)))</f>
        <v/>
      </c>
      <c r="AI69" s="35">
        <f>IF(LEFT(L69,2)="ja",1,0)</f>
        <v/>
      </c>
      <c r="AJ69" s="35">
        <f>IF(COUNT(AF69:AH69)&lt;3,"",FIND(INDEX(Matrix,4-AF69,AG69),"CBA"))</f>
        <v/>
      </c>
      <c r="AK69" s="35">
        <f>IF(AJ69="","",MIN(3,MAX(AJ69+IF(AND(Regel_haeufig="ja",AH69=3),1,0),IF(AND(Regel_sicherheit="ja",AI69=1),2,0))))</f>
        <v/>
      </c>
      <c r="AL69" s="35">
        <f>IF(S69&lt;&gt;"",S69,IF(R69="","",R69))</f>
        <v/>
      </c>
      <c r="AM69" s="35">
        <f>IF(AK69="","",AK69*1000+N69*10+(1000-ROW())/100000)</f>
        <v/>
      </c>
    </row>
    <row r="70" ht="45" customHeight="1">
      <c r="A70" s="22">
        <f>IF(C70="","",COUNTA($C$7:C70))</f>
        <v/>
      </c>
      <c r="B70" s="23" t="n"/>
      <c r="C70" s="24" t="n"/>
      <c r="D70" s="25" t="n"/>
      <c r="E70" s="23" t="n"/>
      <c r="F70" s="26" t="n"/>
      <c r="G70" s="25" t="n"/>
      <c r="H70" s="25" t="n"/>
      <c r="I70" s="24" t="n"/>
      <c r="J70" s="24" t="n"/>
      <c r="K70" s="24" t="n"/>
      <c r="L70" s="26" t="n"/>
      <c r="M70" s="27">
        <f>IF(AK70="","",MID("CBA",AK70,1))</f>
        <v/>
      </c>
      <c r="N70" s="22">
        <f>IF(COUNT(AF70:AH70)&lt;3,"",AF70*AG70*AH70)</f>
        <v/>
      </c>
      <c r="O70" s="28">
        <f>IF(C70="","",IF(AJ70="","Bewertung unvollständig / incomplete","Matrix "&amp;MID("CBA",AJ70,1)&amp;IF(AND(Regel_haeufig="ja",AH70=3,AJ70&lt;3)," · häufig +1","")&amp;IF(AND(Regel_sicherheit="ja",AI70=1,AJ70+IF(AND(Regel_haeufig="ja",AH70=3),1,0)&lt;2)," · Sicherheit ⇒ B","")&amp;" → "&amp;M70))</f>
        <v/>
      </c>
      <c r="P70" s="29" t="n"/>
      <c r="Q70" s="25" t="n"/>
      <c r="R70" s="22">
        <f>IF(AK70="","",INDEX(Soll_Tabelle,4-AK70,IF(AH70=3,2,1)))</f>
        <v/>
      </c>
      <c r="S70" s="26" t="n"/>
      <c r="T70" s="22">
        <f>IF(AL70="","",MAX(0,AL70-N(P70)))</f>
        <v/>
      </c>
      <c r="U70" s="30" t="n"/>
      <c r="V70" s="31">
        <f>IF(OR(T70="",U70=""),"",T70*U70)</f>
        <v/>
      </c>
      <c r="W70" s="31">
        <f>IF(COUNT(AF70:AG70)&lt;2,"",INDEX(Stillstand_h,AG70)*INDEX(Kostensatz,AF70))</f>
        <v/>
      </c>
      <c r="X70" s="32">
        <f>IF(AK70="","",IF(T70=0,"Bestand ausreichend / stock sufficient",IF(U70="","Stückpreis fehlt / price missing",IF(V70=0,"–",IF(W70/V70&gt;=Faktor_wirtschaftlich,"wirtschaftlich (Faktor "&amp;FIXED(W70/V70,1)&amp;")","nicht wirtschaftlich (Faktor "&amp;FIXED(W70/V70,1)&amp;")")))))</f>
        <v/>
      </c>
      <c r="Y70" s="33">
        <f>IF(AK70="","",IF(AK70=3,IF(T70&gt;0,IF(AG70=3,"Sofort beschaffen: Restbestand / Gebrauchtmarkt / Alternative sichern","Mindestbestand aufbauen ("&amp;T70&amp;" Stk.)"),"Bestand halten, jährlich prüfen"),IF(AK70=2,IF(T70&gt;0,"Bevorratung nach Wirtschaftlichkeit entscheiden; Quelle / Reparatur klären","Lieferzeit und Teilestatus jährlich prüfen"),"Keine Bevorratung – Beschaffung bei Bedarf")))</f>
        <v/>
      </c>
      <c r="Z70" s="25" t="n"/>
      <c r="AA70" s="25" t="n"/>
      <c r="AB70" s="34" t="n"/>
      <c r="AC70" s="26" t="n"/>
      <c r="AD70" s="25" t="n"/>
      <c r="AE70" s="2" t="n"/>
      <c r="AF70" s="35">
        <f>IF(I70="","",VALUE(LEFT(I70,1)))</f>
        <v/>
      </c>
      <c r="AG70" s="35">
        <f>IF(J70="","",VALUE(LEFT(J70,1)))</f>
        <v/>
      </c>
      <c r="AH70" s="35">
        <f>IF(K70="","",VALUE(LEFT(K70,1)))</f>
        <v/>
      </c>
      <c r="AI70" s="35">
        <f>IF(LEFT(L70,2)="ja",1,0)</f>
        <v/>
      </c>
      <c r="AJ70" s="35">
        <f>IF(COUNT(AF70:AH70)&lt;3,"",FIND(INDEX(Matrix,4-AF70,AG70),"CBA"))</f>
        <v/>
      </c>
      <c r="AK70" s="35">
        <f>IF(AJ70="","",MIN(3,MAX(AJ70+IF(AND(Regel_haeufig="ja",AH70=3),1,0),IF(AND(Regel_sicherheit="ja",AI70=1),2,0))))</f>
        <v/>
      </c>
      <c r="AL70" s="35">
        <f>IF(S70&lt;&gt;"",S70,IF(R70="","",R70))</f>
        <v/>
      </c>
      <c r="AM70" s="35">
        <f>IF(AK70="","",AK70*1000+N70*10+(1000-ROW())/100000)</f>
        <v/>
      </c>
    </row>
    <row r="71" ht="45" customHeight="1">
      <c r="A71" s="22">
        <f>IF(C71="","",COUNTA($C$7:C71))</f>
        <v/>
      </c>
      <c r="B71" s="23" t="n"/>
      <c r="C71" s="24" t="n"/>
      <c r="D71" s="25" t="n"/>
      <c r="E71" s="23" t="n"/>
      <c r="F71" s="26" t="n"/>
      <c r="G71" s="25" t="n"/>
      <c r="H71" s="25" t="n"/>
      <c r="I71" s="24" t="n"/>
      <c r="J71" s="24" t="n"/>
      <c r="K71" s="24" t="n"/>
      <c r="L71" s="26" t="n"/>
      <c r="M71" s="27">
        <f>IF(AK71="","",MID("CBA",AK71,1))</f>
        <v/>
      </c>
      <c r="N71" s="22">
        <f>IF(COUNT(AF71:AH71)&lt;3,"",AF71*AG71*AH71)</f>
        <v/>
      </c>
      <c r="O71" s="28">
        <f>IF(C71="","",IF(AJ71="","Bewertung unvollständig / incomplete","Matrix "&amp;MID("CBA",AJ71,1)&amp;IF(AND(Regel_haeufig="ja",AH71=3,AJ71&lt;3)," · häufig +1","")&amp;IF(AND(Regel_sicherheit="ja",AI71=1,AJ71+IF(AND(Regel_haeufig="ja",AH71=3),1,0)&lt;2)," · Sicherheit ⇒ B","")&amp;" → "&amp;M71))</f>
        <v/>
      </c>
      <c r="P71" s="29" t="n"/>
      <c r="Q71" s="25" t="n"/>
      <c r="R71" s="22">
        <f>IF(AK71="","",INDEX(Soll_Tabelle,4-AK71,IF(AH71=3,2,1)))</f>
        <v/>
      </c>
      <c r="S71" s="26" t="n"/>
      <c r="T71" s="22">
        <f>IF(AL71="","",MAX(0,AL71-N(P71)))</f>
        <v/>
      </c>
      <c r="U71" s="30" t="n"/>
      <c r="V71" s="31">
        <f>IF(OR(T71="",U71=""),"",T71*U71)</f>
        <v/>
      </c>
      <c r="W71" s="31">
        <f>IF(COUNT(AF71:AG71)&lt;2,"",INDEX(Stillstand_h,AG71)*INDEX(Kostensatz,AF71))</f>
        <v/>
      </c>
      <c r="X71" s="32">
        <f>IF(AK71="","",IF(T71=0,"Bestand ausreichend / stock sufficient",IF(U71="","Stückpreis fehlt / price missing",IF(V71=0,"–",IF(W71/V71&gt;=Faktor_wirtschaftlich,"wirtschaftlich (Faktor "&amp;FIXED(W71/V71,1)&amp;")","nicht wirtschaftlich (Faktor "&amp;FIXED(W71/V71,1)&amp;")")))))</f>
        <v/>
      </c>
      <c r="Y71" s="33">
        <f>IF(AK71="","",IF(AK71=3,IF(T71&gt;0,IF(AG71=3,"Sofort beschaffen: Restbestand / Gebrauchtmarkt / Alternative sichern","Mindestbestand aufbauen ("&amp;T71&amp;" Stk.)"),"Bestand halten, jährlich prüfen"),IF(AK71=2,IF(T71&gt;0,"Bevorratung nach Wirtschaftlichkeit entscheiden; Quelle / Reparatur klären","Lieferzeit und Teilestatus jährlich prüfen"),"Keine Bevorratung – Beschaffung bei Bedarf")))</f>
        <v/>
      </c>
      <c r="Z71" s="25" t="n"/>
      <c r="AA71" s="25" t="n"/>
      <c r="AB71" s="34" t="n"/>
      <c r="AC71" s="26" t="n"/>
      <c r="AD71" s="25" t="n"/>
      <c r="AE71" s="2" t="n"/>
      <c r="AF71" s="35">
        <f>IF(I71="","",VALUE(LEFT(I71,1)))</f>
        <v/>
      </c>
      <c r="AG71" s="35">
        <f>IF(J71="","",VALUE(LEFT(J71,1)))</f>
        <v/>
      </c>
      <c r="AH71" s="35">
        <f>IF(K71="","",VALUE(LEFT(K71,1)))</f>
        <v/>
      </c>
      <c r="AI71" s="35">
        <f>IF(LEFT(L71,2)="ja",1,0)</f>
        <v/>
      </c>
      <c r="AJ71" s="35">
        <f>IF(COUNT(AF71:AH71)&lt;3,"",FIND(INDEX(Matrix,4-AF71,AG71),"CBA"))</f>
        <v/>
      </c>
      <c r="AK71" s="35">
        <f>IF(AJ71="","",MIN(3,MAX(AJ71+IF(AND(Regel_haeufig="ja",AH71=3),1,0),IF(AND(Regel_sicherheit="ja",AI71=1),2,0))))</f>
        <v/>
      </c>
      <c r="AL71" s="35">
        <f>IF(S71&lt;&gt;"",S71,IF(R71="","",R71))</f>
        <v/>
      </c>
      <c r="AM71" s="35">
        <f>IF(AK71="","",AK71*1000+N71*10+(1000-ROW())/100000)</f>
        <v/>
      </c>
    </row>
    <row r="72" ht="45" customHeight="1">
      <c r="A72" s="22">
        <f>IF(C72="","",COUNTA($C$7:C72))</f>
        <v/>
      </c>
      <c r="B72" s="23" t="n"/>
      <c r="C72" s="24" t="n"/>
      <c r="D72" s="25" t="n"/>
      <c r="E72" s="23" t="n"/>
      <c r="F72" s="26" t="n"/>
      <c r="G72" s="25" t="n"/>
      <c r="H72" s="25" t="n"/>
      <c r="I72" s="24" t="n"/>
      <c r="J72" s="24" t="n"/>
      <c r="K72" s="24" t="n"/>
      <c r="L72" s="26" t="n"/>
      <c r="M72" s="27">
        <f>IF(AK72="","",MID("CBA",AK72,1))</f>
        <v/>
      </c>
      <c r="N72" s="22">
        <f>IF(COUNT(AF72:AH72)&lt;3,"",AF72*AG72*AH72)</f>
        <v/>
      </c>
      <c r="O72" s="28">
        <f>IF(C72="","",IF(AJ72="","Bewertung unvollständig / incomplete","Matrix "&amp;MID("CBA",AJ72,1)&amp;IF(AND(Regel_haeufig="ja",AH72=3,AJ72&lt;3)," · häufig +1","")&amp;IF(AND(Regel_sicherheit="ja",AI72=1,AJ72+IF(AND(Regel_haeufig="ja",AH72=3),1,0)&lt;2)," · Sicherheit ⇒ B","")&amp;" → "&amp;M72))</f>
        <v/>
      </c>
      <c r="P72" s="29" t="n"/>
      <c r="Q72" s="25" t="n"/>
      <c r="R72" s="22">
        <f>IF(AK72="","",INDEX(Soll_Tabelle,4-AK72,IF(AH72=3,2,1)))</f>
        <v/>
      </c>
      <c r="S72" s="26" t="n"/>
      <c r="T72" s="22">
        <f>IF(AL72="","",MAX(0,AL72-N(P72)))</f>
        <v/>
      </c>
      <c r="U72" s="30" t="n"/>
      <c r="V72" s="31">
        <f>IF(OR(T72="",U72=""),"",T72*U72)</f>
        <v/>
      </c>
      <c r="W72" s="31">
        <f>IF(COUNT(AF72:AG72)&lt;2,"",INDEX(Stillstand_h,AG72)*INDEX(Kostensatz,AF72))</f>
        <v/>
      </c>
      <c r="X72" s="32">
        <f>IF(AK72="","",IF(T72=0,"Bestand ausreichend / stock sufficient",IF(U72="","Stückpreis fehlt / price missing",IF(V72=0,"–",IF(W72/V72&gt;=Faktor_wirtschaftlich,"wirtschaftlich (Faktor "&amp;FIXED(W72/V72,1)&amp;")","nicht wirtschaftlich (Faktor "&amp;FIXED(W72/V72,1)&amp;")")))))</f>
        <v/>
      </c>
      <c r="Y72" s="33">
        <f>IF(AK72="","",IF(AK72=3,IF(T72&gt;0,IF(AG72=3,"Sofort beschaffen: Restbestand / Gebrauchtmarkt / Alternative sichern","Mindestbestand aufbauen ("&amp;T72&amp;" Stk.)"),"Bestand halten, jährlich prüfen"),IF(AK72=2,IF(T72&gt;0,"Bevorratung nach Wirtschaftlichkeit entscheiden; Quelle / Reparatur klären","Lieferzeit und Teilestatus jährlich prüfen"),"Keine Bevorratung – Beschaffung bei Bedarf")))</f>
        <v/>
      </c>
      <c r="Z72" s="25" t="n"/>
      <c r="AA72" s="25" t="n"/>
      <c r="AB72" s="34" t="n"/>
      <c r="AC72" s="26" t="n"/>
      <c r="AD72" s="25" t="n"/>
      <c r="AE72" s="2" t="n"/>
      <c r="AF72" s="35">
        <f>IF(I72="","",VALUE(LEFT(I72,1)))</f>
        <v/>
      </c>
      <c r="AG72" s="35">
        <f>IF(J72="","",VALUE(LEFT(J72,1)))</f>
        <v/>
      </c>
      <c r="AH72" s="35">
        <f>IF(K72="","",VALUE(LEFT(K72,1)))</f>
        <v/>
      </c>
      <c r="AI72" s="35">
        <f>IF(LEFT(L72,2)="ja",1,0)</f>
        <v/>
      </c>
      <c r="AJ72" s="35">
        <f>IF(COUNT(AF72:AH72)&lt;3,"",FIND(INDEX(Matrix,4-AF72,AG72),"CBA"))</f>
        <v/>
      </c>
      <c r="AK72" s="35">
        <f>IF(AJ72="","",MIN(3,MAX(AJ72+IF(AND(Regel_haeufig="ja",AH72=3),1,0),IF(AND(Regel_sicherheit="ja",AI72=1),2,0))))</f>
        <v/>
      </c>
      <c r="AL72" s="35">
        <f>IF(S72&lt;&gt;"",S72,IF(R72="","",R72))</f>
        <v/>
      </c>
      <c r="AM72" s="35">
        <f>IF(AK72="","",AK72*1000+N72*10+(1000-ROW())/100000)</f>
        <v/>
      </c>
    </row>
    <row r="73" ht="45" customHeight="1">
      <c r="A73" s="22">
        <f>IF(C73="","",COUNTA($C$7:C73))</f>
        <v/>
      </c>
      <c r="B73" s="23" t="n"/>
      <c r="C73" s="24" t="n"/>
      <c r="D73" s="25" t="n"/>
      <c r="E73" s="23" t="n"/>
      <c r="F73" s="26" t="n"/>
      <c r="G73" s="25" t="n"/>
      <c r="H73" s="25" t="n"/>
      <c r="I73" s="24" t="n"/>
      <c r="J73" s="24" t="n"/>
      <c r="K73" s="24" t="n"/>
      <c r="L73" s="26" t="n"/>
      <c r="M73" s="27">
        <f>IF(AK73="","",MID("CBA",AK73,1))</f>
        <v/>
      </c>
      <c r="N73" s="22">
        <f>IF(COUNT(AF73:AH73)&lt;3,"",AF73*AG73*AH73)</f>
        <v/>
      </c>
      <c r="O73" s="28">
        <f>IF(C73="","",IF(AJ73="","Bewertung unvollständig / incomplete","Matrix "&amp;MID("CBA",AJ73,1)&amp;IF(AND(Regel_haeufig="ja",AH73=3,AJ73&lt;3)," · häufig +1","")&amp;IF(AND(Regel_sicherheit="ja",AI73=1,AJ73+IF(AND(Regel_haeufig="ja",AH73=3),1,0)&lt;2)," · Sicherheit ⇒ B","")&amp;" → "&amp;M73))</f>
        <v/>
      </c>
      <c r="P73" s="29" t="n"/>
      <c r="Q73" s="25" t="n"/>
      <c r="R73" s="22">
        <f>IF(AK73="","",INDEX(Soll_Tabelle,4-AK73,IF(AH73=3,2,1)))</f>
        <v/>
      </c>
      <c r="S73" s="26" t="n"/>
      <c r="T73" s="22">
        <f>IF(AL73="","",MAX(0,AL73-N(P73)))</f>
        <v/>
      </c>
      <c r="U73" s="30" t="n"/>
      <c r="V73" s="31">
        <f>IF(OR(T73="",U73=""),"",T73*U73)</f>
        <v/>
      </c>
      <c r="W73" s="31">
        <f>IF(COUNT(AF73:AG73)&lt;2,"",INDEX(Stillstand_h,AG73)*INDEX(Kostensatz,AF73))</f>
        <v/>
      </c>
      <c r="X73" s="32">
        <f>IF(AK73="","",IF(T73=0,"Bestand ausreichend / stock sufficient",IF(U73="","Stückpreis fehlt / price missing",IF(V73=0,"–",IF(W73/V73&gt;=Faktor_wirtschaftlich,"wirtschaftlich (Faktor "&amp;FIXED(W73/V73,1)&amp;")","nicht wirtschaftlich (Faktor "&amp;FIXED(W73/V73,1)&amp;")")))))</f>
        <v/>
      </c>
      <c r="Y73" s="33">
        <f>IF(AK73="","",IF(AK73=3,IF(T73&gt;0,IF(AG73=3,"Sofort beschaffen: Restbestand / Gebrauchtmarkt / Alternative sichern","Mindestbestand aufbauen ("&amp;T73&amp;" Stk.)"),"Bestand halten, jährlich prüfen"),IF(AK73=2,IF(T73&gt;0,"Bevorratung nach Wirtschaftlichkeit entscheiden; Quelle / Reparatur klären","Lieferzeit und Teilestatus jährlich prüfen"),"Keine Bevorratung – Beschaffung bei Bedarf")))</f>
        <v/>
      </c>
      <c r="Z73" s="25" t="n"/>
      <c r="AA73" s="25" t="n"/>
      <c r="AB73" s="34" t="n"/>
      <c r="AC73" s="26" t="n"/>
      <c r="AD73" s="25" t="n"/>
      <c r="AE73" s="2" t="n"/>
      <c r="AF73" s="35">
        <f>IF(I73="","",VALUE(LEFT(I73,1)))</f>
        <v/>
      </c>
      <c r="AG73" s="35">
        <f>IF(J73="","",VALUE(LEFT(J73,1)))</f>
        <v/>
      </c>
      <c r="AH73" s="35">
        <f>IF(K73="","",VALUE(LEFT(K73,1)))</f>
        <v/>
      </c>
      <c r="AI73" s="35">
        <f>IF(LEFT(L73,2)="ja",1,0)</f>
        <v/>
      </c>
      <c r="AJ73" s="35">
        <f>IF(COUNT(AF73:AH73)&lt;3,"",FIND(INDEX(Matrix,4-AF73,AG73),"CBA"))</f>
        <v/>
      </c>
      <c r="AK73" s="35">
        <f>IF(AJ73="","",MIN(3,MAX(AJ73+IF(AND(Regel_haeufig="ja",AH73=3),1,0),IF(AND(Regel_sicherheit="ja",AI73=1),2,0))))</f>
        <v/>
      </c>
      <c r="AL73" s="35">
        <f>IF(S73&lt;&gt;"",S73,IF(R73="","",R73))</f>
        <v/>
      </c>
      <c r="AM73" s="35">
        <f>IF(AK73="","",AK73*1000+N73*10+(1000-ROW())/100000)</f>
        <v/>
      </c>
    </row>
    <row r="74" ht="45" customHeight="1">
      <c r="A74" s="22">
        <f>IF(C74="","",COUNTA($C$7:C74))</f>
        <v/>
      </c>
      <c r="B74" s="23" t="n"/>
      <c r="C74" s="24" t="n"/>
      <c r="D74" s="25" t="n"/>
      <c r="E74" s="23" t="n"/>
      <c r="F74" s="26" t="n"/>
      <c r="G74" s="25" t="n"/>
      <c r="H74" s="25" t="n"/>
      <c r="I74" s="24" t="n"/>
      <c r="J74" s="24" t="n"/>
      <c r="K74" s="24" t="n"/>
      <c r="L74" s="26" t="n"/>
      <c r="M74" s="27">
        <f>IF(AK74="","",MID("CBA",AK74,1))</f>
        <v/>
      </c>
      <c r="N74" s="22">
        <f>IF(COUNT(AF74:AH74)&lt;3,"",AF74*AG74*AH74)</f>
        <v/>
      </c>
      <c r="O74" s="28">
        <f>IF(C74="","",IF(AJ74="","Bewertung unvollständig / incomplete","Matrix "&amp;MID("CBA",AJ74,1)&amp;IF(AND(Regel_haeufig="ja",AH74=3,AJ74&lt;3)," · häufig +1","")&amp;IF(AND(Regel_sicherheit="ja",AI74=1,AJ74+IF(AND(Regel_haeufig="ja",AH74=3),1,0)&lt;2)," · Sicherheit ⇒ B","")&amp;" → "&amp;M74))</f>
        <v/>
      </c>
      <c r="P74" s="29" t="n"/>
      <c r="Q74" s="25" t="n"/>
      <c r="R74" s="22">
        <f>IF(AK74="","",INDEX(Soll_Tabelle,4-AK74,IF(AH74=3,2,1)))</f>
        <v/>
      </c>
      <c r="S74" s="26" t="n"/>
      <c r="T74" s="22">
        <f>IF(AL74="","",MAX(0,AL74-N(P74)))</f>
        <v/>
      </c>
      <c r="U74" s="30" t="n"/>
      <c r="V74" s="31">
        <f>IF(OR(T74="",U74=""),"",T74*U74)</f>
        <v/>
      </c>
      <c r="W74" s="31">
        <f>IF(COUNT(AF74:AG74)&lt;2,"",INDEX(Stillstand_h,AG74)*INDEX(Kostensatz,AF74))</f>
        <v/>
      </c>
      <c r="X74" s="32">
        <f>IF(AK74="","",IF(T74=0,"Bestand ausreichend / stock sufficient",IF(U74="","Stückpreis fehlt / price missing",IF(V74=0,"–",IF(W74/V74&gt;=Faktor_wirtschaftlich,"wirtschaftlich (Faktor "&amp;FIXED(W74/V74,1)&amp;")","nicht wirtschaftlich (Faktor "&amp;FIXED(W74/V74,1)&amp;")")))))</f>
        <v/>
      </c>
      <c r="Y74" s="33">
        <f>IF(AK74="","",IF(AK74=3,IF(T74&gt;0,IF(AG74=3,"Sofort beschaffen: Restbestand / Gebrauchtmarkt / Alternative sichern","Mindestbestand aufbauen ("&amp;T74&amp;" Stk.)"),"Bestand halten, jährlich prüfen"),IF(AK74=2,IF(T74&gt;0,"Bevorratung nach Wirtschaftlichkeit entscheiden; Quelle / Reparatur klären","Lieferzeit und Teilestatus jährlich prüfen"),"Keine Bevorratung – Beschaffung bei Bedarf")))</f>
        <v/>
      </c>
      <c r="Z74" s="25" t="n"/>
      <c r="AA74" s="25" t="n"/>
      <c r="AB74" s="34" t="n"/>
      <c r="AC74" s="26" t="n"/>
      <c r="AD74" s="25" t="n"/>
      <c r="AE74" s="2" t="n"/>
      <c r="AF74" s="35">
        <f>IF(I74="","",VALUE(LEFT(I74,1)))</f>
        <v/>
      </c>
      <c r="AG74" s="35">
        <f>IF(J74="","",VALUE(LEFT(J74,1)))</f>
        <v/>
      </c>
      <c r="AH74" s="35">
        <f>IF(K74="","",VALUE(LEFT(K74,1)))</f>
        <v/>
      </c>
      <c r="AI74" s="35">
        <f>IF(LEFT(L74,2)="ja",1,0)</f>
        <v/>
      </c>
      <c r="AJ74" s="35">
        <f>IF(COUNT(AF74:AH74)&lt;3,"",FIND(INDEX(Matrix,4-AF74,AG74),"CBA"))</f>
        <v/>
      </c>
      <c r="AK74" s="35">
        <f>IF(AJ74="","",MIN(3,MAX(AJ74+IF(AND(Regel_haeufig="ja",AH74=3),1,0),IF(AND(Regel_sicherheit="ja",AI74=1),2,0))))</f>
        <v/>
      </c>
      <c r="AL74" s="35">
        <f>IF(S74&lt;&gt;"",S74,IF(R74="","",R74))</f>
        <v/>
      </c>
      <c r="AM74" s="35">
        <f>IF(AK74="","",AK74*1000+N74*10+(1000-ROW())/100000)</f>
        <v/>
      </c>
    </row>
    <row r="75" ht="45" customHeight="1">
      <c r="A75" s="22">
        <f>IF(C75="","",COUNTA($C$7:C75))</f>
        <v/>
      </c>
      <c r="B75" s="23" t="n"/>
      <c r="C75" s="24" t="n"/>
      <c r="D75" s="25" t="n"/>
      <c r="E75" s="23" t="n"/>
      <c r="F75" s="26" t="n"/>
      <c r="G75" s="25" t="n"/>
      <c r="H75" s="25" t="n"/>
      <c r="I75" s="24" t="n"/>
      <c r="J75" s="24" t="n"/>
      <c r="K75" s="24" t="n"/>
      <c r="L75" s="26" t="n"/>
      <c r="M75" s="27">
        <f>IF(AK75="","",MID("CBA",AK75,1))</f>
        <v/>
      </c>
      <c r="N75" s="22">
        <f>IF(COUNT(AF75:AH75)&lt;3,"",AF75*AG75*AH75)</f>
        <v/>
      </c>
      <c r="O75" s="28">
        <f>IF(C75="","",IF(AJ75="","Bewertung unvollständig / incomplete","Matrix "&amp;MID("CBA",AJ75,1)&amp;IF(AND(Regel_haeufig="ja",AH75=3,AJ75&lt;3)," · häufig +1","")&amp;IF(AND(Regel_sicherheit="ja",AI75=1,AJ75+IF(AND(Regel_haeufig="ja",AH75=3),1,0)&lt;2)," · Sicherheit ⇒ B","")&amp;" → "&amp;M75))</f>
        <v/>
      </c>
      <c r="P75" s="29" t="n"/>
      <c r="Q75" s="25" t="n"/>
      <c r="R75" s="22">
        <f>IF(AK75="","",INDEX(Soll_Tabelle,4-AK75,IF(AH75=3,2,1)))</f>
        <v/>
      </c>
      <c r="S75" s="26" t="n"/>
      <c r="T75" s="22">
        <f>IF(AL75="","",MAX(0,AL75-N(P75)))</f>
        <v/>
      </c>
      <c r="U75" s="30" t="n"/>
      <c r="V75" s="31">
        <f>IF(OR(T75="",U75=""),"",T75*U75)</f>
        <v/>
      </c>
      <c r="W75" s="31">
        <f>IF(COUNT(AF75:AG75)&lt;2,"",INDEX(Stillstand_h,AG75)*INDEX(Kostensatz,AF75))</f>
        <v/>
      </c>
      <c r="X75" s="32">
        <f>IF(AK75="","",IF(T75=0,"Bestand ausreichend / stock sufficient",IF(U75="","Stückpreis fehlt / price missing",IF(V75=0,"–",IF(W75/V75&gt;=Faktor_wirtschaftlich,"wirtschaftlich (Faktor "&amp;FIXED(W75/V75,1)&amp;")","nicht wirtschaftlich (Faktor "&amp;FIXED(W75/V75,1)&amp;")")))))</f>
        <v/>
      </c>
      <c r="Y75" s="33">
        <f>IF(AK75="","",IF(AK75=3,IF(T75&gt;0,IF(AG75=3,"Sofort beschaffen: Restbestand / Gebrauchtmarkt / Alternative sichern","Mindestbestand aufbauen ("&amp;T75&amp;" Stk.)"),"Bestand halten, jährlich prüfen"),IF(AK75=2,IF(T75&gt;0,"Bevorratung nach Wirtschaftlichkeit entscheiden; Quelle / Reparatur klären","Lieferzeit und Teilestatus jährlich prüfen"),"Keine Bevorratung – Beschaffung bei Bedarf")))</f>
        <v/>
      </c>
      <c r="Z75" s="25" t="n"/>
      <c r="AA75" s="25" t="n"/>
      <c r="AB75" s="34" t="n"/>
      <c r="AC75" s="26" t="n"/>
      <c r="AD75" s="25" t="n"/>
      <c r="AE75" s="2" t="n"/>
      <c r="AF75" s="35">
        <f>IF(I75="","",VALUE(LEFT(I75,1)))</f>
        <v/>
      </c>
      <c r="AG75" s="35">
        <f>IF(J75="","",VALUE(LEFT(J75,1)))</f>
        <v/>
      </c>
      <c r="AH75" s="35">
        <f>IF(K75="","",VALUE(LEFT(K75,1)))</f>
        <v/>
      </c>
      <c r="AI75" s="35">
        <f>IF(LEFT(L75,2)="ja",1,0)</f>
        <v/>
      </c>
      <c r="AJ75" s="35">
        <f>IF(COUNT(AF75:AH75)&lt;3,"",FIND(INDEX(Matrix,4-AF75,AG75),"CBA"))</f>
        <v/>
      </c>
      <c r="AK75" s="35">
        <f>IF(AJ75="","",MIN(3,MAX(AJ75+IF(AND(Regel_haeufig="ja",AH75=3),1,0),IF(AND(Regel_sicherheit="ja",AI75=1),2,0))))</f>
        <v/>
      </c>
      <c r="AL75" s="35">
        <f>IF(S75&lt;&gt;"",S75,IF(R75="","",R75))</f>
        <v/>
      </c>
      <c r="AM75" s="35">
        <f>IF(AK75="","",AK75*1000+N75*10+(1000-ROW())/100000)</f>
        <v/>
      </c>
    </row>
    <row r="76" ht="45" customHeight="1">
      <c r="A76" s="22">
        <f>IF(C76="","",COUNTA($C$7:C76))</f>
        <v/>
      </c>
      <c r="B76" s="23" t="n"/>
      <c r="C76" s="24" t="n"/>
      <c r="D76" s="25" t="n"/>
      <c r="E76" s="23" t="n"/>
      <c r="F76" s="26" t="n"/>
      <c r="G76" s="25" t="n"/>
      <c r="H76" s="25" t="n"/>
      <c r="I76" s="24" t="n"/>
      <c r="J76" s="24" t="n"/>
      <c r="K76" s="24" t="n"/>
      <c r="L76" s="26" t="n"/>
      <c r="M76" s="27">
        <f>IF(AK76="","",MID("CBA",AK76,1))</f>
        <v/>
      </c>
      <c r="N76" s="22">
        <f>IF(COUNT(AF76:AH76)&lt;3,"",AF76*AG76*AH76)</f>
        <v/>
      </c>
      <c r="O76" s="28">
        <f>IF(C76="","",IF(AJ76="","Bewertung unvollständig / incomplete","Matrix "&amp;MID("CBA",AJ76,1)&amp;IF(AND(Regel_haeufig="ja",AH76=3,AJ76&lt;3)," · häufig +1","")&amp;IF(AND(Regel_sicherheit="ja",AI76=1,AJ76+IF(AND(Regel_haeufig="ja",AH76=3),1,0)&lt;2)," · Sicherheit ⇒ B","")&amp;" → "&amp;M76))</f>
        <v/>
      </c>
      <c r="P76" s="29" t="n"/>
      <c r="Q76" s="25" t="n"/>
      <c r="R76" s="22">
        <f>IF(AK76="","",INDEX(Soll_Tabelle,4-AK76,IF(AH76=3,2,1)))</f>
        <v/>
      </c>
      <c r="S76" s="26" t="n"/>
      <c r="T76" s="22">
        <f>IF(AL76="","",MAX(0,AL76-N(P76)))</f>
        <v/>
      </c>
      <c r="U76" s="30" t="n"/>
      <c r="V76" s="31">
        <f>IF(OR(T76="",U76=""),"",T76*U76)</f>
        <v/>
      </c>
      <c r="W76" s="31">
        <f>IF(COUNT(AF76:AG76)&lt;2,"",INDEX(Stillstand_h,AG76)*INDEX(Kostensatz,AF76))</f>
        <v/>
      </c>
      <c r="X76" s="32">
        <f>IF(AK76="","",IF(T76=0,"Bestand ausreichend / stock sufficient",IF(U76="","Stückpreis fehlt / price missing",IF(V76=0,"–",IF(W76/V76&gt;=Faktor_wirtschaftlich,"wirtschaftlich (Faktor "&amp;FIXED(W76/V76,1)&amp;")","nicht wirtschaftlich (Faktor "&amp;FIXED(W76/V76,1)&amp;")")))))</f>
        <v/>
      </c>
      <c r="Y76" s="33">
        <f>IF(AK76="","",IF(AK76=3,IF(T76&gt;0,IF(AG76=3,"Sofort beschaffen: Restbestand / Gebrauchtmarkt / Alternative sichern","Mindestbestand aufbauen ("&amp;T76&amp;" Stk.)"),"Bestand halten, jährlich prüfen"),IF(AK76=2,IF(T76&gt;0,"Bevorratung nach Wirtschaftlichkeit entscheiden; Quelle / Reparatur klären","Lieferzeit und Teilestatus jährlich prüfen"),"Keine Bevorratung – Beschaffung bei Bedarf")))</f>
        <v/>
      </c>
      <c r="Z76" s="25" t="n"/>
      <c r="AA76" s="25" t="n"/>
      <c r="AB76" s="34" t="n"/>
      <c r="AC76" s="26" t="n"/>
      <c r="AD76" s="25" t="n"/>
      <c r="AE76" s="2" t="n"/>
      <c r="AF76" s="35">
        <f>IF(I76="","",VALUE(LEFT(I76,1)))</f>
        <v/>
      </c>
      <c r="AG76" s="35">
        <f>IF(J76="","",VALUE(LEFT(J76,1)))</f>
        <v/>
      </c>
      <c r="AH76" s="35">
        <f>IF(K76="","",VALUE(LEFT(K76,1)))</f>
        <v/>
      </c>
      <c r="AI76" s="35">
        <f>IF(LEFT(L76,2)="ja",1,0)</f>
        <v/>
      </c>
      <c r="AJ76" s="35">
        <f>IF(COUNT(AF76:AH76)&lt;3,"",FIND(INDEX(Matrix,4-AF76,AG76),"CBA"))</f>
        <v/>
      </c>
      <c r="AK76" s="35">
        <f>IF(AJ76="","",MIN(3,MAX(AJ76+IF(AND(Regel_haeufig="ja",AH76=3),1,0),IF(AND(Regel_sicherheit="ja",AI76=1),2,0))))</f>
        <v/>
      </c>
      <c r="AL76" s="35">
        <f>IF(S76&lt;&gt;"",S76,IF(R76="","",R76))</f>
        <v/>
      </c>
      <c r="AM76" s="35">
        <f>IF(AK76="","",AK76*1000+N76*10+(1000-ROW())/100000)</f>
        <v/>
      </c>
    </row>
    <row r="77" ht="45" customHeight="1">
      <c r="A77" s="22">
        <f>IF(C77="","",COUNTA($C$7:C77))</f>
        <v/>
      </c>
      <c r="B77" s="23" t="n"/>
      <c r="C77" s="24" t="n"/>
      <c r="D77" s="25" t="n"/>
      <c r="E77" s="23" t="n"/>
      <c r="F77" s="26" t="n"/>
      <c r="G77" s="25" t="n"/>
      <c r="H77" s="25" t="n"/>
      <c r="I77" s="24" t="n"/>
      <c r="J77" s="24" t="n"/>
      <c r="K77" s="24" t="n"/>
      <c r="L77" s="26" t="n"/>
      <c r="M77" s="27">
        <f>IF(AK77="","",MID("CBA",AK77,1))</f>
        <v/>
      </c>
      <c r="N77" s="22">
        <f>IF(COUNT(AF77:AH77)&lt;3,"",AF77*AG77*AH77)</f>
        <v/>
      </c>
      <c r="O77" s="28">
        <f>IF(C77="","",IF(AJ77="","Bewertung unvollständig / incomplete","Matrix "&amp;MID("CBA",AJ77,1)&amp;IF(AND(Regel_haeufig="ja",AH77=3,AJ77&lt;3)," · häufig +1","")&amp;IF(AND(Regel_sicherheit="ja",AI77=1,AJ77+IF(AND(Regel_haeufig="ja",AH77=3),1,0)&lt;2)," · Sicherheit ⇒ B","")&amp;" → "&amp;M77))</f>
        <v/>
      </c>
      <c r="P77" s="29" t="n"/>
      <c r="Q77" s="25" t="n"/>
      <c r="R77" s="22">
        <f>IF(AK77="","",INDEX(Soll_Tabelle,4-AK77,IF(AH77=3,2,1)))</f>
        <v/>
      </c>
      <c r="S77" s="26" t="n"/>
      <c r="T77" s="22">
        <f>IF(AL77="","",MAX(0,AL77-N(P77)))</f>
        <v/>
      </c>
      <c r="U77" s="30" t="n"/>
      <c r="V77" s="31">
        <f>IF(OR(T77="",U77=""),"",T77*U77)</f>
        <v/>
      </c>
      <c r="W77" s="31">
        <f>IF(COUNT(AF77:AG77)&lt;2,"",INDEX(Stillstand_h,AG77)*INDEX(Kostensatz,AF77))</f>
        <v/>
      </c>
      <c r="X77" s="32">
        <f>IF(AK77="","",IF(T77=0,"Bestand ausreichend / stock sufficient",IF(U77="","Stückpreis fehlt / price missing",IF(V77=0,"–",IF(W77/V77&gt;=Faktor_wirtschaftlich,"wirtschaftlich (Faktor "&amp;FIXED(W77/V77,1)&amp;")","nicht wirtschaftlich (Faktor "&amp;FIXED(W77/V77,1)&amp;")")))))</f>
        <v/>
      </c>
      <c r="Y77" s="33">
        <f>IF(AK77="","",IF(AK77=3,IF(T77&gt;0,IF(AG77=3,"Sofort beschaffen: Restbestand / Gebrauchtmarkt / Alternative sichern","Mindestbestand aufbauen ("&amp;T77&amp;" Stk.)"),"Bestand halten, jährlich prüfen"),IF(AK77=2,IF(T77&gt;0,"Bevorratung nach Wirtschaftlichkeit entscheiden; Quelle / Reparatur klären","Lieferzeit und Teilestatus jährlich prüfen"),"Keine Bevorratung – Beschaffung bei Bedarf")))</f>
        <v/>
      </c>
      <c r="Z77" s="25" t="n"/>
      <c r="AA77" s="25" t="n"/>
      <c r="AB77" s="34" t="n"/>
      <c r="AC77" s="26" t="n"/>
      <c r="AD77" s="25" t="n"/>
      <c r="AE77" s="2" t="n"/>
      <c r="AF77" s="35">
        <f>IF(I77="","",VALUE(LEFT(I77,1)))</f>
        <v/>
      </c>
      <c r="AG77" s="35">
        <f>IF(J77="","",VALUE(LEFT(J77,1)))</f>
        <v/>
      </c>
      <c r="AH77" s="35">
        <f>IF(K77="","",VALUE(LEFT(K77,1)))</f>
        <v/>
      </c>
      <c r="AI77" s="35">
        <f>IF(LEFT(L77,2)="ja",1,0)</f>
        <v/>
      </c>
      <c r="AJ77" s="35">
        <f>IF(COUNT(AF77:AH77)&lt;3,"",FIND(INDEX(Matrix,4-AF77,AG77),"CBA"))</f>
        <v/>
      </c>
      <c r="AK77" s="35">
        <f>IF(AJ77="","",MIN(3,MAX(AJ77+IF(AND(Regel_haeufig="ja",AH77=3),1,0),IF(AND(Regel_sicherheit="ja",AI77=1),2,0))))</f>
        <v/>
      </c>
      <c r="AL77" s="35">
        <f>IF(S77&lt;&gt;"",S77,IF(R77="","",R77))</f>
        <v/>
      </c>
      <c r="AM77" s="35">
        <f>IF(AK77="","",AK77*1000+N77*10+(1000-ROW())/100000)</f>
        <v/>
      </c>
    </row>
    <row r="78" ht="45" customHeight="1">
      <c r="A78" s="22">
        <f>IF(C78="","",COUNTA($C$7:C78))</f>
        <v/>
      </c>
      <c r="B78" s="23" t="n"/>
      <c r="C78" s="24" t="n"/>
      <c r="D78" s="25" t="n"/>
      <c r="E78" s="23" t="n"/>
      <c r="F78" s="26" t="n"/>
      <c r="G78" s="25" t="n"/>
      <c r="H78" s="25" t="n"/>
      <c r="I78" s="24" t="n"/>
      <c r="J78" s="24" t="n"/>
      <c r="K78" s="24" t="n"/>
      <c r="L78" s="26" t="n"/>
      <c r="M78" s="27">
        <f>IF(AK78="","",MID("CBA",AK78,1))</f>
        <v/>
      </c>
      <c r="N78" s="22">
        <f>IF(COUNT(AF78:AH78)&lt;3,"",AF78*AG78*AH78)</f>
        <v/>
      </c>
      <c r="O78" s="28">
        <f>IF(C78="","",IF(AJ78="","Bewertung unvollständig / incomplete","Matrix "&amp;MID("CBA",AJ78,1)&amp;IF(AND(Regel_haeufig="ja",AH78=3,AJ78&lt;3)," · häufig +1","")&amp;IF(AND(Regel_sicherheit="ja",AI78=1,AJ78+IF(AND(Regel_haeufig="ja",AH78=3),1,0)&lt;2)," · Sicherheit ⇒ B","")&amp;" → "&amp;M78))</f>
        <v/>
      </c>
      <c r="P78" s="29" t="n"/>
      <c r="Q78" s="25" t="n"/>
      <c r="R78" s="22">
        <f>IF(AK78="","",INDEX(Soll_Tabelle,4-AK78,IF(AH78=3,2,1)))</f>
        <v/>
      </c>
      <c r="S78" s="26" t="n"/>
      <c r="T78" s="22">
        <f>IF(AL78="","",MAX(0,AL78-N(P78)))</f>
        <v/>
      </c>
      <c r="U78" s="30" t="n"/>
      <c r="V78" s="31">
        <f>IF(OR(T78="",U78=""),"",T78*U78)</f>
        <v/>
      </c>
      <c r="W78" s="31">
        <f>IF(COUNT(AF78:AG78)&lt;2,"",INDEX(Stillstand_h,AG78)*INDEX(Kostensatz,AF78))</f>
        <v/>
      </c>
      <c r="X78" s="32">
        <f>IF(AK78="","",IF(T78=0,"Bestand ausreichend / stock sufficient",IF(U78="","Stückpreis fehlt / price missing",IF(V78=0,"–",IF(W78/V78&gt;=Faktor_wirtschaftlich,"wirtschaftlich (Faktor "&amp;FIXED(W78/V78,1)&amp;")","nicht wirtschaftlich (Faktor "&amp;FIXED(W78/V78,1)&amp;")")))))</f>
        <v/>
      </c>
      <c r="Y78" s="33">
        <f>IF(AK78="","",IF(AK78=3,IF(T78&gt;0,IF(AG78=3,"Sofort beschaffen: Restbestand / Gebrauchtmarkt / Alternative sichern","Mindestbestand aufbauen ("&amp;T78&amp;" Stk.)"),"Bestand halten, jährlich prüfen"),IF(AK78=2,IF(T78&gt;0,"Bevorratung nach Wirtschaftlichkeit entscheiden; Quelle / Reparatur klären","Lieferzeit und Teilestatus jährlich prüfen"),"Keine Bevorratung – Beschaffung bei Bedarf")))</f>
        <v/>
      </c>
      <c r="Z78" s="25" t="n"/>
      <c r="AA78" s="25" t="n"/>
      <c r="AB78" s="34" t="n"/>
      <c r="AC78" s="26" t="n"/>
      <c r="AD78" s="25" t="n"/>
      <c r="AE78" s="2" t="n"/>
      <c r="AF78" s="35">
        <f>IF(I78="","",VALUE(LEFT(I78,1)))</f>
        <v/>
      </c>
      <c r="AG78" s="35">
        <f>IF(J78="","",VALUE(LEFT(J78,1)))</f>
        <v/>
      </c>
      <c r="AH78" s="35">
        <f>IF(K78="","",VALUE(LEFT(K78,1)))</f>
        <v/>
      </c>
      <c r="AI78" s="35">
        <f>IF(LEFT(L78,2)="ja",1,0)</f>
        <v/>
      </c>
      <c r="AJ78" s="35">
        <f>IF(COUNT(AF78:AH78)&lt;3,"",FIND(INDEX(Matrix,4-AF78,AG78),"CBA"))</f>
        <v/>
      </c>
      <c r="AK78" s="35">
        <f>IF(AJ78="","",MIN(3,MAX(AJ78+IF(AND(Regel_haeufig="ja",AH78=3),1,0),IF(AND(Regel_sicherheit="ja",AI78=1),2,0))))</f>
        <v/>
      </c>
      <c r="AL78" s="35">
        <f>IF(S78&lt;&gt;"",S78,IF(R78="","",R78))</f>
        <v/>
      </c>
      <c r="AM78" s="35">
        <f>IF(AK78="","",AK78*1000+N78*10+(1000-ROW())/100000)</f>
        <v/>
      </c>
    </row>
    <row r="79" ht="45" customHeight="1">
      <c r="A79" s="22">
        <f>IF(C79="","",COUNTA($C$7:C79))</f>
        <v/>
      </c>
      <c r="B79" s="23" t="n"/>
      <c r="C79" s="24" t="n"/>
      <c r="D79" s="25" t="n"/>
      <c r="E79" s="23" t="n"/>
      <c r="F79" s="26" t="n"/>
      <c r="G79" s="25" t="n"/>
      <c r="H79" s="25" t="n"/>
      <c r="I79" s="24" t="n"/>
      <c r="J79" s="24" t="n"/>
      <c r="K79" s="24" t="n"/>
      <c r="L79" s="26" t="n"/>
      <c r="M79" s="27">
        <f>IF(AK79="","",MID("CBA",AK79,1))</f>
        <v/>
      </c>
      <c r="N79" s="22">
        <f>IF(COUNT(AF79:AH79)&lt;3,"",AF79*AG79*AH79)</f>
        <v/>
      </c>
      <c r="O79" s="28">
        <f>IF(C79="","",IF(AJ79="","Bewertung unvollständig / incomplete","Matrix "&amp;MID("CBA",AJ79,1)&amp;IF(AND(Regel_haeufig="ja",AH79=3,AJ79&lt;3)," · häufig +1","")&amp;IF(AND(Regel_sicherheit="ja",AI79=1,AJ79+IF(AND(Regel_haeufig="ja",AH79=3),1,0)&lt;2)," · Sicherheit ⇒ B","")&amp;" → "&amp;M79))</f>
        <v/>
      </c>
      <c r="P79" s="29" t="n"/>
      <c r="Q79" s="25" t="n"/>
      <c r="R79" s="22">
        <f>IF(AK79="","",INDEX(Soll_Tabelle,4-AK79,IF(AH79=3,2,1)))</f>
        <v/>
      </c>
      <c r="S79" s="26" t="n"/>
      <c r="T79" s="22">
        <f>IF(AL79="","",MAX(0,AL79-N(P79)))</f>
        <v/>
      </c>
      <c r="U79" s="30" t="n"/>
      <c r="V79" s="31">
        <f>IF(OR(T79="",U79=""),"",T79*U79)</f>
        <v/>
      </c>
      <c r="W79" s="31">
        <f>IF(COUNT(AF79:AG79)&lt;2,"",INDEX(Stillstand_h,AG79)*INDEX(Kostensatz,AF79))</f>
        <v/>
      </c>
      <c r="X79" s="32">
        <f>IF(AK79="","",IF(T79=0,"Bestand ausreichend / stock sufficient",IF(U79="","Stückpreis fehlt / price missing",IF(V79=0,"–",IF(W79/V79&gt;=Faktor_wirtschaftlich,"wirtschaftlich (Faktor "&amp;FIXED(W79/V79,1)&amp;")","nicht wirtschaftlich (Faktor "&amp;FIXED(W79/V79,1)&amp;")")))))</f>
        <v/>
      </c>
      <c r="Y79" s="33">
        <f>IF(AK79="","",IF(AK79=3,IF(T79&gt;0,IF(AG79=3,"Sofort beschaffen: Restbestand / Gebrauchtmarkt / Alternative sichern","Mindestbestand aufbauen ("&amp;T79&amp;" Stk.)"),"Bestand halten, jährlich prüfen"),IF(AK79=2,IF(T79&gt;0,"Bevorratung nach Wirtschaftlichkeit entscheiden; Quelle / Reparatur klären","Lieferzeit und Teilestatus jährlich prüfen"),"Keine Bevorratung – Beschaffung bei Bedarf")))</f>
        <v/>
      </c>
      <c r="Z79" s="25" t="n"/>
      <c r="AA79" s="25" t="n"/>
      <c r="AB79" s="34" t="n"/>
      <c r="AC79" s="26" t="n"/>
      <c r="AD79" s="25" t="n"/>
      <c r="AE79" s="2" t="n"/>
      <c r="AF79" s="35">
        <f>IF(I79="","",VALUE(LEFT(I79,1)))</f>
        <v/>
      </c>
      <c r="AG79" s="35">
        <f>IF(J79="","",VALUE(LEFT(J79,1)))</f>
        <v/>
      </c>
      <c r="AH79" s="35">
        <f>IF(K79="","",VALUE(LEFT(K79,1)))</f>
        <v/>
      </c>
      <c r="AI79" s="35">
        <f>IF(LEFT(L79,2)="ja",1,0)</f>
        <v/>
      </c>
      <c r="AJ79" s="35">
        <f>IF(COUNT(AF79:AH79)&lt;3,"",FIND(INDEX(Matrix,4-AF79,AG79),"CBA"))</f>
        <v/>
      </c>
      <c r="AK79" s="35">
        <f>IF(AJ79="","",MIN(3,MAX(AJ79+IF(AND(Regel_haeufig="ja",AH79=3),1,0),IF(AND(Regel_sicherheit="ja",AI79=1),2,0))))</f>
        <v/>
      </c>
      <c r="AL79" s="35">
        <f>IF(S79&lt;&gt;"",S79,IF(R79="","",R79))</f>
        <v/>
      </c>
      <c r="AM79" s="35">
        <f>IF(AK79="","",AK79*1000+N79*10+(1000-ROW())/100000)</f>
        <v/>
      </c>
    </row>
    <row r="80" ht="45" customHeight="1">
      <c r="A80" s="22">
        <f>IF(C80="","",COUNTA($C$7:C80))</f>
        <v/>
      </c>
      <c r="B80" s="23" t="n"/>
      <c r="C80" s="24" t="n"/>
      <c r="D80" s="25" t="n"/>
      <c r="E80" s="23" t="n"/>
      <c r="F80" s="26" t="n"/>
      <c r="G80" s="25" t="n"/>
      <c r="H80" s="25" t="n"/>
      <c r="I80" s="24" t="n"/>
      <c r="J80" s="24" t="n"/>
      <c r="K80" s="24" t="n"/>
      <c r="L80" s="26" t="n"/>
      <c r="M80" s="27">
        <f>IF(AK80="","",MID("CBA",AK80,1))</f>
        <v/>
      </c>
      <c r="N80" s="22">
        <f>IF(COUNT(AF80:AH80)&lt;3,"",AF80*AG80*AH80)</f>
        <v/>
      </c>
      <c r="O80" s="28">
        <f>IF(C80="","",IF(AJ80="","Bewertung unvollständig / incomplete","Matrix "&amp;MID("CBA",AJ80,1)&amp;IF(AND(Regel_haeufig="ja",AH80=3,AJ80&lt;3)," · häufig +1","")&amp;IF(AND(Regel_sicherheit="ja",AI80=1,AJ80+IF(AND(Regel_haeufig="ja",AH80=3),1,0)&lt;2)," · Sicherheit ⇒ B","")&amp;" → "&amp;M80))</f>
        <v/>
      </c>
      <c r="P80" s="29" t="n"/>
      <c r="Q80" s="25" t="n"/>
      <c r="R80" s="22">
        <f>IF(AK80="","",INDEX(Soll_Tabelle,4-AK80,IF(AH80=3,2,1)))</f>
        <v/>
      </c>
      <c r="S80" s="26" t="n"/>
      <c r="T80" s="22">
        <f>IF(AL80="","",MAX(0,AL80-N(P80)))</f>
        <v/>
      </c>
      <c r="U80" s="30" t="n"/>
      <c r="V80" s="31">
        <f>IF(OR(T80="",U80=""),"",T80*U80)</f>
        <v/>
      </c>
      <c r="W80" s="31">
        <f>IF(COUNT(AF80:AG80)&lt;2,"",INDEX(Stillstand_h,AG80)*INDEX(Kostensatz,AF80))</f>
        <v/>
      </c>
      <c r="X80" s="32">
        <f>IF(AK80="","",IF(T80=0,"Bestand ausreichend / stock sufficient",IF(U80="","Stückpreis fehlt / price missing",IF(V80=0,"–",IF(W80/V80&gt;=Faktor_wirtschaftlich,"wirtschaftlich (Faktor "&amp;FIXED(W80/V80,1)&amp;")","nicht wirtschaftlich (Faktor "&amp;FIXED(W80/V80,1)&amp;")")))))</f>
        <v/>
      </c>
      <c r="Y80" s="33">
        <f>IF(AK80="","",IF(AK80=3,IF(T80&gt;0,IF(AG80=3,"Sofort beschaffen: Restbestand / Gebrauchtmarkt / Alternative sichern","Mindestbestand aufbauen ("&amp;T80&amp;" Stk.)"),"Bestand halten, jährlich prüfen"),IF(AK80=2,IF(T80&gt;0,"Bevorratung nach Wirtschaftlichkeit entscheiden; Quelle / Reparatur klären","Lieferzeit und Teilestatus jährlich prüfen"),"Keine Bevorratung – Beschaffung bei Bedarf")))</f>
        <v/>
      </c>
      <c r="Z80" s="25" t="n"/>
      <c r="AA80" s="25" t="n"/>
      <c r="AB80" s="34" t="n"/>
      <c r="AC80" s="26" t="n"/>
      <c r="AD80" s="25" t="n"/>
      <c r="AE80" s="2" t="n"/>
      <c r="AF80" s="35">
        <f>IF(I80="","",VALUE(LEFT(I80,1)))</f>
        <v/>
      </c>
      <c r="AG80" s="35">
        <f>IF(J80="","",VALUE(LEFT(J80,1)))</f>
        <v/>
      </c>
      <c r="AH80" s="35">
        <f>IF(K80="","",VALUE(LEFT(K80,1)))</f>
        <v/>
      </c>
      <c r="AI80" s="35">
        <f>IF(LEFT(L80,2)="ja",1,0)</f>
        <v/>
      </c>
      <c r="AJ80" s="35">
        <f>IF(COUNT(AF80:AH80)&lt;3,"",FIND(INDEX(Matrix,4-AF80,AG80),"CBA"))</f>
        <v/>
      </c>
      <c r="AK80" s="35">
        <f>IF(AJ80="","",MIN(3,MAX(AJ80+IF(AND(Regel_haeufig="ja",AH80=3),1,0),IF(AND(Regel_sicherheit="ja",AI80=1),2,0))))</f>
        <v/>
      </c>
      <c r="AL80" s="35">
        <f>IF(S80&lt;&gt;"",S80,IF(R80="","",R80))</f>
        <v/>
      </c>
      <c r="AM80" s="35">
        <f>IF(AK80="","",AK80*1000+N80*10+(1000-ROW())/100000)</f>
        <v/>
      </c>
    </row>
    <row r="81" ht="45" customHeight="1">
      <c r="A81" s="22">
        <f>IF(C81="","",COUNTA($C$7:C81))</f>
        <v/>
      </c>
      <c r="B81" s="23" t="n"/>
      <c r="C81" s="24" t="n"/>
      <c r="D81" s="25" t="n"/>
      <c r="E81" s="23" t="n"/>
      <c r="F81" s="26" t="n"/>
      <c r="G81" s="25" t="n"/>
      <c r="H81" s="25" t="n"/>
      <c r="I81" s="24" t="n"/>
      <c r="J81" s="24" t="n"/>
      <c r="K81" s="24" t="n"/>
      <c r="L81" s="26" t="n"/>
      <c r="M81" s="27">
        <f>IF(AK81="","",MID("CBA",AK81,1))</f>
        <v/>
      </c>
      <c r="N81" s="22">
        <f>IF(COUNT(AF81:AH81)&lt;3,"",AF81*AG81*AH81)</f>
        <v/>
      </c>
      <c r="O81" s="28">
        <f>IF(C81="","",IF(AJ81="","Bewertung unvollständig / incomplete","Matrix "&amp;MID("CBA",AJ81,1)&amp;IF(AND(Regel_haeufig="ja",AH81=3,AJ81&lt;3)," · häufig +1","")&amp;IF(AND(Regel_sicherheit="ja",AI81=1,AJ81+IF(AND(Regel_haeufig="ja",AH81=3),1,0)&lt;2)," · Sicherheit ⇒ B","")&amp;" → "&amp;M81))</f>
        <v/>
      </c>
      <c r="P81" s="29" t="n"/>
      <c r="Q81" s="25" t="n"/>
      <c r="R81" s="22">
        <f>IF(AK81="","",INDEX(Soll_Tabelle,4-AK81,IF(AH81=3,2,1)))</f>
        <v/>
      </c>
      <c r="S81" s="26" t="n"/>
      <c r="T81" s="22">
        <f>IF(AL81="","",MAX(0,AL81-N(P81)))</f>
        <v/>
      </c>
      <c r="U81" s="30" t="n"/>
      <c r="V81" s="31">
        <f>IF(OR(T81="",U81=""),"",T81*U81)</f>
        <v/>
      </c>
      <c r="W81" s="31">
        <f>IF(COUNT(AF81:AG81)&lt;2,"",INDEX(Stillstand_h,AG81)*INDEX(Kostensatz,AF81))</f>
        <v/>
      </c>
      <c r="X81" s="32">
        <f>IF(AK81="","",IF(T81=0,"Bestand ausreichend / stock sufficient",IF(U81="","Stückpreis fehlt / price missing",IF(V81=0,"–",IF(W81/V81&gt;=Faktor_wirtschaftlich,"wirtschaftlich (Faktor "&amp;FIXED(W81/V81,1)&amp;")","nicht wirtschaftlich (Faktor "&amp;FIXED(W81/V81,1)&amp;")")))))</f>
        <v/>
      </c>
      <c r="Y81" s="33">
        <f>IF(AK81="","",IF(AK81=3,IF(T81&gt;0,IF(AG81=3,"Sofort beschaffen: Restbestand / Gebrauchtmarkt / Alternative sichern","Mindestbestand aufbauen ("&amp;T81&amp;" Stk.)"),"Bestand halten, jährlich prüfen"),IF(AK81=2,IF(T81&gt;0,"Bevorratung nach Wirtschaftlichkeit entscheiden; Quelle / Reparatur klären","Lieferzeit und Teilestatus jährlich prüfen"),"Keine Bevorratung – Beschaffung bei Bedarf")))</f>
        <v/>
      </c>
      <c r="Z81" s="25" t="n"/>
      <c r="AA81" s="25" t="n"/>
      <c r="AB81" s="34" t="n"/>
      <c r="AC81" s="26" t="n"/>
      <c r="AD81" s="25" t="n"/>
      <c r="AE81" s="2" t="n"/>
      <c r="AF81" s="35">
        <f>IF(I81="","",VALUE(LEFT(I81,1)))</f>
        <v/>
      </c>
      <c r="AG81" s="35">
        <f>IF(J81="","",VALUE(LEFT(J81,1)))</f>
        <v/>
      </c>
      <c r="AH81" s="35">
        <f>IF(K81="","",VALUE(LEFT(K81,1)))</f>
        <v/>
      </c>
      <c r="AI81" s="35">
        <f>IF(LEFT(L81,2)="ja",1,0)</f>
        <v/>
      </c>
      <c r="AJ81" s="35">
        <f>IF(COUNT(AF81:AH81)&lt;3,"",FIND(INDEX(Matrix,4-AF81,AG81),"CBA"))</f>
        <v/>
      </c>
      <c r="AK81" s="35">
        <f>IF(AJ81="","",MIN(3,MAX(AJ81+IF(AND(Regel_haeufig="ja",AH81=3),1,0),IF(AND(Regel_sicherheit="ja",AI81=1),2,0))))</f>
        <v/>
      </c>
      <c r="AL81" s="35">
        <f>IF(S81&lt;&gt;"",S81,IF(R81="","",R81))</f>
        <v/>
      </c>
      <c r="AM81" s="35">
        <f>IF(AK81="","",AK81*1000+N81*10+(1000-ROW())/100000)</f>
        <v/>
      </c>
    </row>
    <row r="82" ht="45" customHeight="1">
      <c r="A82" s="22">
        <f>IF(C82="","",COUNTA($C$7:C82))</f>
        <v/>
      </c>
      <c r="B82" s="23" t="n"/>
      <c r="C82" s="24" t="n"/>
      <c r="D82" s="25" t="n"/>
      <c r="E82" s="23" t="n"/>
      <c r="F82" s="26" t="n"/>
      <c r="G82" s="25" t="n"/>
      <c r="H82" s="25" t="n"/>
      <c r="I82" s="24" t="n"/>
      <c r="J82" s="24" t="n"/>
      <c r="K82" s="24" t="n"/>
      <c r="L82" s="26" t="n"/>
      <c r="M82" s="27">
        <f>IF(AK82="","",MID("CBA",AK82,1))</f>
        <v/>
      </c>
      <c r="N82" s="22">
        <f>IF(COUNT(AF82:AH82)&lt;3,"",AF82*AG82*AH82)</f>
        <v/>
      </c>
      <c r="O82" s="28">
        <f>IF(C82="","",IF(AJ82="","Bewertung unvollständig / incomplete","Matrix "&amp;MID("CBA",AJ82,1)&amp;IF(AND(Regel_haeufig="ja",AH82=3,AJ82&lt;3)," · häufig +1","")&amp;IF(AND(Regel_sicherheit="ja",AI82=1,AJ82+IF(AND(Regel_haeufig="ja",AH82=3),1,0)&lt;2)," · Sicherheit ⇒ B","")&amp;" → "&amp;M82))</f>
        <v/>
      </c>
      <c r="P82" s="29" t="n"/>
      <c r="Q82" s="25" t="n"/>
      <c r="R82" s="22">
        <f>IF(AK82="","",INDEX(Soll_Tabelle,4-AK82,IF(AH82=3,2,1)))</f>
        <v/>
      </c>
      <c r="S82" s="26" t="n"/>
      <c r="T82" s="22">
        <f>IF(AL82="","",MAX(0,AL82-N(P82)))</f>
        <v/>
      </c>
      <c r="U82" s="30" t="n"/>
      <c r="V82" s="31">
        <f>IF(OR(T82="",U82=""),"",T82*U82)</f>
        <v/>
      </c>
      <c r="W82" s="31">
        <f>IF(COUNT(AF82:AG82)&lt;2,"",INDEX(Stillstand_h,AG82)*INDEX(Kostensatz,AF82))</f>
        <v/>
      </c>
      <c r="X82" s="32">
        <f>IF(AK82="","",IF(T82=0,"Bestand ausreichend / stock sufficient",IF(U82="","Stückpreis fehlt / price missing",IF(V82=0,"–",IF(W82/V82&gt;=Faktor_wirtschaftlich,"wirtschaftlich (Faktor "&amp;FIXED(W82/V82,1)&amp;")","nicht wirtschaftlich (Faktor "&amp;FIXED(W82/V82,1)&amp;")")))))</f>
        <v/>
      </c>
      <c r="Y82" s="33">
        <f>IF(AK82="","",IF(AK82=3,IF(T82&gt;0,IF(AG82=3,"Sofort beschaffen: Restbestand / Gebrauchtmarkt / Alternative sichern","Mindestbestand aufbauen ("&amp;T82&amp;" Stk.)"),"Bestand halten, jährlich prüfen"),IF(AK82=2,IF(T82&gt;0,"Bevorratung nach Wirtschaftlichkeit entscheiden; Quelle / Reparatur klären","Lieferzeit und Teilestatus jährlich prüfen"),"Keine Bevorratung – Beschaffung bei Bedarf")))</f>
        <v/>
      </c>
      <c r="Z82" s="25" t="n"/>
      <c r="AA82" s="25" t="n"/>
      <c r="AB82" s="34" t="n"/>
      <c r="AC82" s="26" t="n"/>
      <c r="AD82" s="25" t="n"/>
      <c r="AE82" s="2" t="n"/>
      <c r="AF82" s="35">
        <f>IF(I82="","",VALUE(LEFT(I82,1)))</f>
        <v/>
      </c>
      <c r="AG82" s="35">
        <f>IF(J82="","",VALUE(LEFT(J82,1)))</f>
        <v/>
      </c>
      <c r="AH82" s="35">
        <f>IF(K82="","",VALUE(LEFT(K82,1)))</f>
        <v/>
      </c>
      <c r="AI82" s="35">
        <f>IF(LEFT(L82,2)="ja",1,0)</f>
        <v/>
      </c>
      <c r="AJ82" s="35">
        <f>IF(COUNT(AF82:AH82)&lt;3,"",FIND(INDEX(Matrix,4-AF82,AG82),"CBA"))</f>
        <v/>
      </c>
      <c r="AK82" s="35">
        <f>IF(AJ82="","",MIN(3,MAX(AJ82+IF(AND(Regel_haeufig="ja",AH82=3),1,0),IF(AND(Regel_sicherheit="ja",AI82=1),2,0))))</f>
        <v/>
      </c>
      <c r="AL82" s="35">
        <f>IF(S82&lt;&gt;"",S82,IF(R82="","",R82))</f>
        <v/>
      </c>
      <c r="AM82" s="35">
        <f>IF(AK82="","",AK82*1000+N82*10+(1000-ROW())/100000)</f>
        <v/>
      </c>
    </row>
    <row r="83" ht="45" customHeight="1">
      <c r="A83" s="22">
        <f>IF(C83="","",COUNTA($C$7:C83))</f>
        <v/>
      </c>
      <c r="B83" s="23" t="n"/>
      <c r="C83" s="24" t="n"/>
      <c r="D83" s="25" t="n"/>
      <c r="E83" s="23" t="n"/>
      <c r="F83" s="26" t="n"/>
      <c r="G83" s="25" t="n"/>
      <c r="H83" s="25" t="n"/>
      <c r="I83" s="24" t="n"/>
      <c r="J83" s="24" t="n"/>
      <c r="K83" s="24" t="n"/>
      <c r="L83" s="26" t="n"/>
      <c r="M83" s="27">
        <f>IF(AK83="","",MID("CBA",AK83,1))</f>
        <v/>
      </c>
      <c r="N83" s="22">
        <f>IF(COUNT(AF83:AH83)&lt;3,"",AF83*AG83*AH83)</f>
        <v/>
      </c>
      <c r="O83" s="28">
        <f>IF(C83="","",IF(AJ83="","Bewertung unvollständig / incomplete","Matrix "&amp;MID("CBA",AJ83,1)&amp;IF(AND(Regel_haeufig="ja",AH83=3,AJ83&lt;3)," · häufig +1","")&amp;IF(AND(Regel_sicherheit="ja",AI83=1,AJ83+IF(AND(Regel_haeufig="ja",AH83=3),1,0)&lt;2)," · Sicherheit ⇒ B","")&amp;" → "&amp;M83))</f>
        <v/>
      </c>
      <c r="P83" s="29" t="n"/>
      <c r="Q83" s="25" t="n"/>
      <c r="R83" s="22">
        <f>IF(AK83="","",INDEX(Soll_Tabelle,4-AK83,IF(AH83=3,2,1)))</f>
        <v/>
      </c>
      <c r="S83" s="26" t="n"/>
      <c r="T83" s="22">
        <f>IF(AL83="","",MAX(0,AL83-N(P83)))</f>
        <v/>
      </c>
      <c r="U83" s="30" t="n"/>
      <c r="V83" s="31">
        <f>IF(OR(T83="",U83=""),"",T83*U83)</f>
        <v/>
      </c>
      <c r="W83" s="31">
        <f>IF(COUNT(AF83:AG83)&lt;2,"",INDEX(Stillstand_h,AG83)*INDEX(Kostensatz,AF83))</f>
        <v/>
      </c>
      <c r="X83" s="32">
        <f>IF(AK83="","",IF(T83=0,"Bestand ausreichend / stock sufficient",IF(U83="","Stückpreis fehlt / price missing",IF(V83=0,"–",IF(W83/V83&gt;=Faktor_wirtschaftlich,"wirtschaftlich (Faktor "&amp;FIXED(W83/V83,1)&amp;")","nicht wirtschaftlich (Faktor "&amp;FIXED(W83/V83,1)&amp;")")))))</f>
        <v/>
      </c>
      <c r="Y83" s="33">
        <f>IF(AK83="","",IF(AK83=3,IF(T83&gt;0,IF(AG83=3,"Sofort beschaffen: Restbestand / Gebrauchtmarkt / Alternative sichern","Mindestbestand aufbauen ("&amp;T83&amp;" Stk.)"),"Bestand halten, jährlich prüfen"),IF(AK83=2,IF(T83&gt;0,"Bevorratung nach Wirtschaftlichkeit entscheiden; Quelle / Reparatur klären","Lieferzeit und Teilestatus jährlich prüfen"),"Keine Bevorratung – Beschaffung bei Bedarf")))</f>
        <v/>
      </c>
      <c r="Z83" s="25" t="n"/>
      <c r="AA83" s="25" t="n"/>
      <c r="AB83" s="34" t="n"/>
      <c r="AC83" s="26" t="n"/>
      <c r="AD83" s="25" t="n"/>
      <c r="AE83" s="2" t="n"/>
      <c r="AF83" s="35">
        <f>IF(I83="","",VALUE(LEFT(I83,1)))</f>
        <v/>
      </c>
      <c r="AG83" s="35">
        <f>IF(J83="","",VALUE(LEFT(J83,1)))</f>
        <v/>
      </c>
      <c r="AH83" s="35">
        <f>IF(K83="","",VALUE(LEFT(K83,1)))</f>
        <v/>
      </c>
      <c r="AI83" s="35">
        <f>IF(LEFT(L83,2)="ja",1,0)</f>
        <v/>
      </c>
      <c r="AJ83" s="35">
        <f>IF(COUNT(AF83:AH83)&lt;3,"",FIND(INDEX(Matrix,4-AF83,AG83),"CBA"))</f>
        <v/>
      </c>
      <c r="AK83" s="35">
        <f>IF(AJ83="","",MIN(3,MAX(AJ83+IF(AND(Regel_haeufig="ja",AH83=3),1,0),IF(AND(Regel_sicherheit="ja",AI83=1),2,0))))</f>
        <v/>
      </c>
      <c r="AL83" s="35">
        <f>IF(S83&lt;&gt;"",S83,IF(R83="","",R83))</f>
        <v/>
      </c>
      <c r="AM83" s="35">
        <f>IF(AK83="","",AK83*1000+N83*10+(1000-ROW())/100000)</f>
        <v/>
      </c>
    </row>
    <row r="84" ht="45" customHeight="1">
      <c r="A84" s="22">
        <f>IF(C84="","",COUNTA($C$7:C84))</f>
        <v/>
      </c>
      <c r="B84" s="23" t="n"/>
      <c r="C84" s="24" t="n"/>
      <c r="D84" s="25" t="n"/>
      <c r="E84" s="23" t="n"/>
      <c r="F84" s="26" t="n"/>
      <c r="G84" s="25" t="n"/>
      <c r="H84" s="25" t="n"/>
      <c r="I84" s="24" t="n"/>
      <c r="J84" s="24" t="n"/>
      <c r="K84" s="24" t="n"/>
      <c r="L84" s="26" t="n"/>
      <c r="M84" s="27">
        <f>IF(AK84="","",MID("CBA",AK84,1))</f>
        <v/>
      </c>
      <c r="N84" s="22">
        <f>IF(COUNT(AF84:AH84)&lt;3,"",AF84*AG84*AH84)</f>
        <v/>
      </c>
      <c r="O84" s="28">
        <f>IF(C84="","",IF(AJ84="","Bewertung unvollständig / incomplete","Matrix "&amp;MID("CBA",AJ84,1)&amp;IF(AND(Regel_haeufig="ja",AH84=3,AJ84&lt;3)," · häufig +1","")&amp;IF(AND(Regel_sicherheit="ja",AI84=1,AJ84+IF(AND(Regel_haeufig="ja",AH84=3),1,0)&lt;2)," · Sicherheit ⇒ B","")&amp;" → "&amp;M84))</f>
        <v/>
      </c>
      <c r="P84" s="29" t="n"/>
      <c r="Q84" s="25" t="n"/>
      <c r="R84" s="22">
        <f>IF(AK84="","",INDEX(Soll_Tabelle,4-AK84,IF(AH84=3,2,1)))</f>
        <v/>
      </c>
      <c r="S84" s="26" t="n"/>
      <c r="T84" s="22">
        <f>IF(AL84="","",MAX(0,AL84-N(P84)))</f>
        <v/>
      </c>
      <c r="U84" s="30" t="n"/>
      <c r="V84" s="31">
        <f>IF(OR(T84="",U84=""),"",T84*U84)</f>
        <v/>
      </c>
      <c r="W84" s="31">
        <f>IF(COUNT(AF84:AG84)&lt;2,"",INDEX(Stillstand_h,AG84)*INDEX(Kostensatz,AF84))</f>
        <v/>
      </c>
      <c r="X84" s="32">
        <f>IF(AK84="","",IF(T84=0,"Bestand ausreichend / stock sufficient",IF(U84="","Stückpreis fehlt / price missing",IF(V84=0,"–",IF(W84/V84&gt;=Faktor_wirtschaftlich,"wirtschaftlich (Faktor "&amp;FIXED(W84/V84,1)&amp;")","nicht wirtschaftlich (Faktor "&amp;FIXED(W84/V84,1)&amp;")")))))</f>
        <v/>
      </c>
      <c r="Y84" s="33">
        <f>IF(AK84="","",IF(AK84=3,IF(T84&gt;0,IF(AG84=3,"Sofort beschaffen: Restbestand / Gebrauchtmarkt / Alternative sichern","Mindestbestand aufbauen ("&amp;T84&amp;" Stk.)"),"Bestand halten, jährlich prüfen"),IF(AK84=2,IF(T84&gt;0,"Bevorratung nach Wirtschaftlichkeit entscheiden; Quelle / Reparatur klären","Lieferzeit und Teilestatus jährlich prüfen"),"Keine Bevorratung – Beschaffung bei Bedarf")))</f>
        <v/>
      </c>
      <c r="Z84" s="25" t="n"/>
      <c r="AA84" s="25" t="n"/>
      <c r="AB84" s="34" t="n"/>
      <c r="AC84" s="26" t="n"/>
      <c r="AD84" s="25" t="n"/>
      <c r="AE84" s="2" t="n"/>
      <c r="AF84" s="35">
        <f>IF(I84="","",VALUE(LEFT(I84,1)))</f>
        <v/>
      </c>
      <c r="AG84" s="35">
        <f>IF(J84="","",VALUE(LEFT(J84,1)))</f>
        <v/>
      </c>
      <c r="AH84" s="35">
        <f>IF(K84="","",VALUE(LEFT(K84,1)))</f>
        <v/>
      </c>
      <c r="AI84" s="35">
        <f>IF(LEFT(L84,2)="ja",1,0)</f>
        <v/>
      </c>
      <c r="AJ84" s="35">
        <f>IF(COUNT(AF84:AH84)&lt;3,"",FIND(INDEX(Matrix,4-AF84,AG84),"CBA"))</f>
        <v/>
      </c>
      <c r="AK84" s="35">
        <f>IF(AJ84="","",MIN(3,MAX(AJ84+IF(AND(Regel_haeufig="ja",AH84=3),1,0),IF(AND(Regel_sicherheit="ja",AI84=1),2,0))))</f>
        <v/>
      </c>
      <c r="AL84" s="35">
        <f>IF(S84&lt;&gt;"",S84,IF(R84="","",R84))</f>
        <v/>
      </c>
      <c r="AM84" s="35">
        <f>IF(AK84="","",AK84*1000+N84*10+(1000-ROW())/100000)</f>
        <v/>
      </c>
    </row>
    <row r="85" ht="45" customHeight="1">
      <c r="A85" s="22">
        <f>IF(C85="","",COUNTA($C$7:C85))</f>
        <v/>
      </c>
      <c r="B85" s="23" t="n"/>
      <c r="C85" s="24" t="n"/>
      <c r="D85" s="25" t="n"/>
      <c r="E85" s="23" t="n"/>
      <c r="F85" s="26" t="n"/>
      <c r="G85" s="25" t="n"/>
      <c r="H85" s="25" t="n"/>
      <c r="I85" s="24" t="n"/>
      <c r="J85" s="24" t="n"/>
      <c r="K85" s="24" t="n"/>
      <c r="L85" s="26" t="n"/>
      <c r="M85" s="27">
        <f>IF(AK85="","",MID("CBA",AK85,1))</f>
        <v/>
      </c>
      <c r="N85" s="22">
        <f>IF(COUNT(AF85:AH85)&lt;3,"",AF85*AG85*AH85)</f>
        <v/>
      </c>
      <c r="O85" s="28">
        <f>IF(C85="","",IF(AJ85="","Bewertung unvollständig / incomplete","Matrix "&amp;MID("CBA",AJ85,1)&amp;IF(AND(Regel_haeufig="ja",AH85=3,AJ85&lt;3)," · häufig +1","")&amp;IF(AND(Regel_sicherheit="ja",AI85=1,AJ85+IF(AND(Regel_haeufig="ja",AH85=3),1,0)&lt;2)," · Sicherheit ⇒ B","")&amp;" → "&amp;M85))</f>
        <v/>
      </c>
      <c r="P85" s="29" t="n"/>
      <c r="Q85" s="25" t="n"/>
      <c r="R85" s="22">
        <f>IF(AK85="","",INDEX(Soll_Tabelle,4-AK85,IF(AH85=3,2,1)))</f>
        <v/>
      </c>
      <c r="S85" s="26" t="n"/>
      <c r="T85" s="22">
        <f>IF(AL85="","",MAX(0,AL85-N(P85)))</f>
        <v/>
      </c>
      <c r="U85" s="30" t="n"/>
      <c r="V85" s="31">
        <f>IF(OR(T85="",U85=""),"",T85*U85)</f>
        <v/>
      </c>
      <c r="W85" s="31">
        <f>IF(COUNT(AF85:AG85)&lt;2,"",INDEX(Stillstand_h,AG85)*INDEX(Kostensatz,AF85))</f>
        <v/>
      </c>
      <c r="X85" s="32">
        <f>IF(AK85="","",IF(T85=0,"Bestand ausreichend / stock sufficient",IF(U85="","Stückpreis fehlt / price missing",IF(V85=0,"–",IF(W85/V85&gt;=Faktor_wirtschaftlich,"wirtschaftlich (Faktor "&amp;FIXED(W85/V85,1)&amp;")","nicht wirtschaftlich (Faktor "&amp;FIXED(W85/V85,1)&amp;")")))))</f>
        <v/>
      </c>
      <c r="Y85" s="33">
        <f>IF(AK85="","",IF(AK85=3,IF(T85&gt;0,IF(AG85=3,"Sofort beschaffen: Restbestand / Gebrauchtmarkt / Alternative sichern","Mindestbestand aufbauen ("&amp;T85&amp;" Stk.)"),"Bestand halten, jährlich prüfen"),IF(AK85=2,IF(T85&gt;0,"Bevorratung nach Wirtschaftlichkeit entscheiden; Quelle / Reparatur klären","Lieferzeit und Teilestatus jährlich prüfen"),"Keine Bevorratung – Beschaffung bei Bedarf")))</f>
        <v/>
      </c>
      <c r="Z85" s="25" t="n"/>
      <c r="AA85" s="25" t="n"/>
      <c r="AB85" s="34" t="n"/>
      <c r="AC85" s="26" t="n"/>
      <c r="AD85" s="25" t="n"/>
      <c r="AE85" s="2" t="n"/>
      <c r="AF85" s="35">
        <f>IF(I85="","",VALUE(LEFT(I85,1)))</f>
        <v/>
      </c>
      <c r="AG85" s="35">
        <f>IF(J85="","",VALUE(LEFT(J85,1)))</f>
        <v/>
      </c>
      <c r="AH85" s="35">
        <f>IF(K85="","",VALUE(LEFT(K85,1)))</f>
        <v/>
      </c>
      <c r="AI85" s="35">
        <f>IF(LEFT(L85,2)="ja",1,0)</f>
        <v/>
      </c>
      <c r="AJ85" s="35">
        <f>IF(COUNT(AF85:AH85)&lt;3,"",FIND(INDEX(Matrix,4-AF85,AG85),"CBA"))</f>
        <v/>
      </c>
      <c r="AK85" s="35">
        <f>IF(AJ85="","",MIN(3,MAX(AJ85+IF(AND(Regel_haeufig="ja",AH85=3),1,0),IF(AND(Regel_sicherheit="ja",AI85=1),2,0))))</f>
        <v/>
      </c>
      <c r="AL85" s="35">
        <f>IF(S85&lt;&gt;"",S85,IF(R85="","",R85))</f>
        <v/>
      </c>
      <c r="AM85" s="35">
        <f>IF(AK85="","",AK85*1000+N85*10+(1000-ROW())/100000)</f>
        <v/>
      </c>
    </row>
    <row r="86" ht="45" customHeight="1">
      <c r="A86" s="22">
        <f>IF(C86="","",COUNTA($C$7:C86))</f>
        <v/>
      </c>
      <c r="B86" s="23" t="n"/>
      <c r="C86" s="24" t="n"/>
      <c r="D86" s="25" t="n"/>
      <c r="E86" s="23" t="n"/>
      <c r="F86" s="26" t="n"/>
      <c r="G86" s="25" t="n"/>
      <c r="H86" s="25" t="n"/>
      <c r="I86" s="24" t="n"/>
      <c r="J86" s="24" t="n"/>
      <c r="K86" s="24" t="n"/>
      <c r="L86" s="26" t="n"/>
      <c r="M86" s="27">
        <f>IF(AK86="","",MID("CBA",AK86,1))</f>
        <v/>
      </c>
      <c r="N86" s="22">
        <f>IF(COUNT(AF86:AH86)&lt;3,"",AF86*AG86*AH86)</f>
        <v/>
      </c>
      <c r="O86" s="28">
        <f>IF(C86="","",IF(AJ86="","Bewertung unvollständig / incomplete","Matrix "&amp;MID("CBA",AJ86,1)&amp;IF(AND(Regel_haeufig="ja",AH86=3,AJ86&lt;3)," · häufig +1","")&amp;IF(AND(Regel_sicherheit="ja",AI86=1,AJ86+IF(AND(Regel_haeufig="ja",AH86=3),1,0)&lt;2)," · Sicherheit ⇒ B","")&amp;" → "&amp;M86))</f>
        <v/>
      </c>
      <c r="P86" s="29" t="n"/>
      <c r="Q86" s="25" t="n"/>
      <c r="R86" s="22">
        <f>IF(AK86="","",INDEX(Soll_Tabelle,4-AK86,IF(AH86=3,2,1)))</f>
        <v/>
      </c>
      <c r="S86" s="26" t="n"/>
      <c r="T86" s="22">
        <f>IF(AL86="","",MAX(0,AL86-N(P86)))</f>
        <v/>
      </c>
      <c r="U86" s="30" t="n"/>
      <c r="V86" s="31">
        <f>IF(OR(T86="",U86=""),"",T86*U86)</f>
        <v/>
      </c>
      <c r="W86" s="31">
        <f>IF(COUNT(AF86:AG86)&lt;2,"",INDEX(Stillstand_h,AG86)*INDEX(Kostensatz,AF86))</f>
        <v/>
      </c>
      <c r="X86" s="32">
        <f>IF(AK86="","",IF(T86=0,"Bestand ausreichend / stock sufficient",IF(U86="","Stückpreis fehlt / price missing",IF(V86=0,"–",IF(W86/V86&gt;=Faktor_wirtschaftlich,"wirtschaftlich (Faktor "&amp;FIXED(W86/V86,1)&amp;")","nicht wirtschaftlich (Faktor "&amp;FIXED(W86/V86,1)&amp;")")))))</f>
        <v/>
      </c>
      <c r="Y86" s="33">
        <f>IF(AK86="","",IF(AK86=3,IF(T86&gt;0,IF(AG86=3,"Sofort beschaffen: Restbestand / Gebrauchtmarkt / Alternative sichern","Mindestbestand aufbauen ("&amp;T86&amp;" Stk.)"),"Bestand halten, jährlich prüfen"),IF(AK86=2,IF(T86&gt;0,"Bevorratung nach Wirtschaftlichkeit entscheiden; Quelle / Reparatur klären","Lieferzeit und Teilestatus jährlich prüfen"),"Keine Bevorratung – Beschaffung bei Bedarf")))</f>
        <v/>
      </c>
      <c r="Z86" s="25" t="n"/>
      <c r="AA86" s="25" t="n"/>
      <c r="AB86" s="34" t="n"/>
      <c r="AC86" s="26" t="n"/>
      <c r="AD86" s="25" t="n"/>
      <c r="AE86" s="2" t="n"/>
      <c r="AF86" s="35">
        <f>IF(I86="","",VALUE(LEFT(I86,1)))</f>
        <v/>
      </c>
      <c r="AG86" s="35">
        <f>IF(J86="","",VALUE(LEFT(J86,1)))</f>
        <v/>
      </c>
      <c r="AH86" s="35">
        <f>IF(K86="","",VALUE(LEFT(K86,1)))</f>
        <v/>
      </c>
      <c r="AI86" s="35">
        <f>IF(LEFT(L86,2)="ja",1,0)</f>
        <v/>
      </c>
      <c r="AJ86" s="35">
        <f>IF(COUNT(AF86:AH86)&lt;3,"",FIND(INDEX(Matrix,4-AF86,AG86),"CBA"))</f>
        <v/>
      </c>
      <c r="AK86" s="35">
        <f>IF(AJ86="","",MIN(3,MAX(AJ86+IF(AND(Regel_haeufig="ja",AH86=3),1,0),IF(AND(Regel_sicherheit="ja",AI86=1),2,0))))</f>
        <v/>
      </c>
      <c r="AL86" s="35">
        <f>IF(S86&lt;&gt;"",S86,IF(R86="","",R86))</f>
        <v/>
      </c>
      <c r="AM86" s="35">
        <f>IF(AK86="","",AK86*1000+N86*10+(1000-ROW())/100000)</f>
        <v/>
      </c>
    </row>
    <row r="87" ht="45" customHeight="1">
      <c r="A87" s="22">
        <f>IF(C87="","",COUNTA($C$7:C87))</f>
        <v/>
      </c>
      <c r="B87" s="23" t="n"/>
      <c r="C87" s="24" t="n"/>
      <c r="D87" s="25" t="n"/>
      <c r="E87" s="23" t="n"/>
      <c r="F87" s="26" t="n"/>
      <c r="G87" s="25" t="n"/>
      <c r="H87" s="25" t="n"/>
      <c r="I87" s="24" t="n"/>
      <c r="J87" s="24" t="n"/>
      <c r="K87" s="24" t="n"/>
      <c r="L87" s="26" t="n"/>
      <c r="M87" s="27">
        <f>IF(AK87="","",MID("CBA",AK87,1))</f>
        <v/>
      </c>
      <c r="N87" s="22">
        <f>IF(COUNT(AF87:AH87)&lt;3,"",AF87*AG87*AH87)</f>
        <v/>
      </c>
      <c r="O87" s="28">
        <f>IF(C87="","",IF(AJ87="","Bewertung unvollständig / incomplete","Matrix "&amp;MID("CBA",AJ87,1)&amp;IF(AND(Regel_haeufig="ja",AH87=3,AJ87&lt;3)," · häufig +1","")&amp;IF(AND(Regel_sicherheit="ja",AI87=1,AJ87+IF(AND(Regel_haeufig="ja",AH87=3),1,0)&lt;2)," · Sicherheit ⇒ B","")&amp;" → "&amp;M87))</f>
        <v/>
      </c>
      <c r="P87" s="29" t="n"/>
      <c r="Q87" s="25" t="n"/>
      <c r="R87" s="22">
        <f>IF(AK87="","",INDEX(Soll_Tabelle,4-AK87,IF(AH87=3,2,1)))</f>
        <v/>
      </c>
      <c r="S87" s="26" t="n"/>
      <c r="T87" s="22">
        <f>IF(AL87="","",MAX(0,AL87-N(P87)))</f>
        <v/>
      </c>
      <c r="U87" s="30" t="n"/>
      <c r="V87" s="31">
        <f>IF(OR(T87="",U87=""),"",T87*U87)</f>
        <v/>
      </c>
      <c r="W87" s="31">
        <f>IF(COUNT(AF87:AG87)&lt;2,"",INDEX(Stillstand_h,AG87)*INDEX(Kostensatz,AF87))</f>
        <v/>
      </c>
      <c r="X87" s="32">
        <f>IF(AK87="","",IF(T87=0,"Bestand ausreichend / stock sufficient",IF(U87="","Stückpreis fehlt / price missing",IF(V87=0,"–",IF(W87/V87&gt;=Faktor_wirtschaftlich,"wirtschaftlich (Faktor "&amp;FIXED(W87/V87,1)&amp;")","nicht wirtschaftlich (Faktor "&amp;FIXED(W87/V87,1)&amp;")")))))</f>
        <v/>
      </c>
      <c r="Y87" s="33">
        <f>IF(AK87="","",IF(AK87=3,IF(T87&gt;0,IF(AG87=3,"Sofort beschaffen: Restbestand / Gebrauchtmarkt / Alternative sichern","Mindestbestand aufbauen ("&amp;T87&amp;" Stk.)"),"Bestand halten, jährlich prüfen"),IF(AK87=2,IF(T87&gt;0,"Bevorratung nach Wirtschaftlichkeit entscheiden; Quelle / Reparatur klären","Lieferzeit und Teilestatus jährlich prüfen"),"Keine Bevorratung – Beschaffung bei Bedarf")))</f>
        <v/>
      </c>
      <c r="Z87" s="25" t="n"/>
      <c r="AA87" s="25" t="n"/>
      <c r="AB87" s="34" t="n"/>
      <c r="AC87" s="26" t="n"/>
      <c r="AD87" s="25" t="n"/>
      <c r="AE87" s="2" t="n"/>
      <c r="AF87" s="35">
        <f>IF(I87="","",VALUE(LEFT(I87,1)))</f>
        <v/>
      </c>
      <c r="AG87" s="35">
        <f>IF(J87="","",VALUE(LEFT(J87,1)))</f>
        <v/>
      </c>
      <c r="AH87" s="35">
        <f>IF(K87="","",VALUE(LEFT(K87,1)))</f>
        <v/>
      </c>
      <c r="AI87" s="35">
        <f>IF(LEFT(L87,2)="ja",1,0)</f>
        <v/>
      </c>
      <c r="AJ87" s="35">
        <f>IF(COUNT(AF87:AH87)&lt;3,"",FIND(INDEX(Matrix,4-AF87,AG87),"CBA"))</f>
        <v/>
      </c>
      <c r="AK87" s="35">
        <f>IF(AJ87="","",MIN(3,MAX(AJ87+IF(AND(Regel_haeufig="ja",AH87=3),1,0),IF(AND(Regel_sicherheit="ja",AI87=1),2,0))))</f>
        <v/>
      </c>
      <c r="AL87" s="35">
        <f>IF(S87&lt;&gt;"",S87,IF(R87="","",R87))</f>
        <v/>
      </c>
      <c r="AM87" s="35">
        <f>IF(AK87="","",AK87*1000+N87*10+(1000-ROW())/100000)</f>
        <v/>
      </c>
    </row>
    <row r="88" ht="45" customHeight="1">
      <c r="A88" s="22">
        <f>IF(C88="","",COUNTA($C$7:C88))</f>
        <v/>
      </c>
      <c r="B88" s="23" t="n"/>
      <c r="C88" s="24" t="n"/>
      <c r="D88" s="25" t="n"/>
      <c r="E88" s="23" t="n"/>
      <c r="F88" s="26" t="n"/>
      <c r="G88" s="25" t="n"/>
      <c r="H88" s="25" t="n"/>
      <c r="I88" s="24" t="n"/>
      <c r="J88" s="24" t="n"/>
      <c r="K88" s="24" t="n"/>
      <c r="L88" s="26" t="n"/>
      <c r="M88" s="27">
        <f>IF(AK88="","",MID("CBA",AK88,1))</f>
        <v/>
      </c>
      <c r="N88" s="22">
        <f>IF(COUNT(AF88:AH88)&lt;3,"",AF88*AG88*AH88)</f>
        <v/>
      </c>
      <c r="O88" s="28">
        <f>IF(C88="","",IF(AJ88="","Bewertung unvollständig / incomplete","Matrix "&amp;MID("CBA",AJ88,1)&amp;IF(AND(Regel_haeufig="ja",AH88=3,AJ88&lt;3)," · häufig +1","")&amp;IF(AND(Regel_sicherheit="ja",AI88=1,AJ88+IF(AND(Regel_haeufig="ja",AH88=3),1,0)&lt;2)," · Sicherheit ⇒ B","")&amp;" → "&amp;M88))</f>
        <v/>
      </c>
      <c r="P88" s="29" t="n"/>
      <c r="Q88" s="25" t="n"/>
      <c r="R88" s="22">
        <f>IF(AK88="","",INDEX(Soll_Tabelle,4-AK88,IF(AH88=3,2,1)))</f>
        <v/>
      </c>
      <c r="S88" s="26" t="n"/>
      <c r="T88" s="22">
        <f>IF(AL88="","",MAX(0,AL88-N(P88)))</f>
        <v/>
      </c>
      <c r="U88" s="30" t="n"/>
      <c r="V88" s="31">
        <f>IF(OR(T88="",U88=""),"",T88*U88)</f>
        <v/>
      </c>
      <c r="W88" s="31">
        <f>IF(COUNT(AF88:AG88)&lt;2,"",INDEX(Stillstand_h,AG88)*INDEX(Kostensatz,AF88))</f>
        <v/>
      </c>
      <c r="X88" s="32">
        <f>IF(AK88="","",IF(T88=0,"Bestand ausreichend / stock sufficient",IF(U88="","Stückpreis fehlt / price missing",IF(V88=0,"–",IF(W88/V88&gt;=Faktor_wirtschaftlich,"wirtschaftlich (Faktor "&amp;FIXED(W88/V88,1)&amp;")","nicht wirtschaftlich (Faktor "&amp;FIXED(W88/V88,1)&amp;")")))))</f>
        <v/>
      </c>
      <c r="Y88" s="33">
        <f>IF(AK88="","",IF(AK88=3,IF(T88&gt;0,IF(AG88=3,"Sofort beschaffen: Restbestand / Gebrauchtmarkt / Alternative sichern","Mindestbestand aufbauen ("&amp;T88&amp;" Stk.)"),"Bestand halten, jährlich prüfen"),IF(AK88=2,IF(T88&gt;0,"Bevorratung nach Wirtschaftlichkeit entscheiden; Quelle / Reparatur klären","Lieferzeit und Teilestatus jährlich prüfen"),"Keine Bevorratung – Beschaffung bei Bedarf")))</f>
        <v/>
      </c>
      <c r="Z88" s="25" t="n"/>
      <c r="AA88" s="25" t="n"/>
      <c r="AB88" s="34" t="n"/>
      <c r="AC88" s="26" t="n"/>
      <c r="AD88" s="25" t="n"/>
      <c r="AE88" s="2" t="n"/>
      <c r="AF88" s="35">
        <f>IF(I88="","",VALUE(LEFT(I88,1)))</f>
        <v/>
      </c>
      <c r="AG88" s="35">
        <f>IF(J88="","",VALUE(LEFT(J88,1)))</f>
        <v/>
      </c>
      <c r="AH88" s="35">
        <f>IF(K88="","",VALUE(LEFT(K88,1)))</f>
        <v/>
      </c>
      <c r="AI88" s="35">
        <f>IF(LEFT(L88,2)="ja",1,0)</f>
        <v/>
      </c>
      <c r="AJ88" s="35">
        <f>IF(COUNT(AF88:AH88)&lt;3,"",FIND(INDEX(Matrix,4-AF88,AG88),"CBA"))</f>
        <v/>
      </c>
      <c r="AK88" s="35">
        <f>IF(AJ88="","",MIN(3,MAX(AJ88+IF(AND(Regel_haeufig="ja",AH88=3),1,0),IF(AND(Regel_sicherheit="ja",AI88=1),2,0))))</f>
        <v/>
      </c>
      <c r="AL88" s="35">
        <f>IF(S88&lt;&gt;"",S88,IF(R88="","",R88))</f>
        <v/>
      </c>
      <c r="AM88" s="35">
        <f>IF(AK88="","",AK88*1000+N88*10+(1000-ROW())/100000)</f>
        <v/>
      </c>
    </row>
    <row r="89" ht="45" customHeight="1">
      <c r="A89" s="22">
        <f>IF(C89="","",COUNTA($C$7:C89))</f>
        <v/>
      </c>
      <c r="B89" s="23" t="n"/>
      <c r="C89" s="24" t="n"/>
      <c r="D89" s="25" t="n"/>
      <c r="E89" s="23" t="n"/>
      <c r="F89" s="26" t="n"/>
      <c r="G89" s="25" t="n"/>
      <c r="H89" s="25" t="n"/>
      <c r="I89" s="24" t="n"/>
      <c r="J89" s="24" t="n"/>
      <c r="K89" s="24" t="n"/>
      <c r="L89" s="26" t="n"/>
      <c r="M89" s="27">
        <f>IF(AK89="","",MID("CBA",AK89,1))</f>
        <v/>
      </c>
      <c r="N89" s="22">
        <f>IF(COUNT(AF89:AH89)&lt;3,"",AF89*AG89*AH89)</f>
        <v/>
      </c>
      <c r="O89" s="28">
        <f>IF(C89="","",IF(AJ89="","Bewertung unvollständig / incomplete","Matrix "&amp;MID("CBA",AJ89,1)&amp;IF(AND(Regel_haeufig="ja",AH89=3,AJ89&lt;3)," · häufig +1","")&amp;IF(AND(Regel_sicherheit="ja",AI89=1,AJ89+IF(AND(Regel_haeufig="ja",AH89=3),1,0)&lt;2)," · Sicherheit ⇒ B","")&amp;" → "&amp;M89))</f>
        <v/>
      </c>
      <c r="P89" s="29" t="n"/>
      <c r="Q89" s="25" t="n"/>
      <c r="R89" s="22">
        <f>IF(AK89="","",INDEX(Soll_Tabelle,4-AK89,IF(AH89=3,2,1)))</f>
        <v/>
      </c>
      <c r="S89" s="26" t="n"/>
      <c r="T89" s="22">
        <f>IF(AL89="","",MAX(0,AL89-N(P89)))</f>
        <v/>
      </c>
      <c r="U89" s="30" t="n"/>
      <c r="V89" s="31">
        <f>IF(OR(T89="",U89=""),"",T89*U89)</f>
        <v/>
      </c>
      <c r="W89" s="31">
        <f>IF(COUNT(AF89:AG89)&lt;2,"",INDEX(Stillstand_h,AG89)*INDEX(Kostensatz,AF89))</f>
        <v/>
      </c>
      <c r="X89" s="32">
        <f>IF(AK89="","",IF(T89=0,"Bestand ausreichend / stock sufficient",IF(U89="","Stückpreis fehlt / price missing",IF(V89=0,"–",IF(W89/V89&gt;=Faktor_wirtschaftlich,"wirtschaftlich (Faktor "&amp;FIXED(W89/V89,1)&amp;")","nicht wirtschaftlich (Faktor "&amp;FIXED(W89/V89,1)&amp;")")))))</f>
        <v/>
      </c>
      <c r="Y89" s="33">
        <f>IF(AK89="","",IF(AK89=3,IF(T89&gt;0,IF(AG89=3,"Sofort beschaffen: Restbestand / Gebrauchtmarkt / Alternative sichern","Mindestbestand aufbauen ("&amp;T89&amp;" Stk.)"),"Bestand halten, jährlich prüfen"),IF(AK89=2,IF(T89&gt;0,"Bevorratung nach Wirtschaftlichkeit entscheiden; Quelle / Reparatur klären","Lieferzeit und Teilestatus jährlich prüfen"),"Keine Bevorratung – Beschaffung bei Bedarf")))</f>
        <v/>
      </c>
      <c r="Z89" s="25" t="n"/>
      <c r="AA89" s="25" t="n"/>
      <c r="AB89" s="34" t="n"/>
      <c r="AC89" s="26" t="n"/>
      <c r="AD89" s="25" t="n"/>
      <c r="AE89" s="2" t="n"/>
      <c r="AF89" s="35">
        <f>IF(I89="","",VALUE(LEFT(I89,1)))</f>
        <v/>
      </c>
      <c r="AG89" s="35">
        <f>IF(J89="","",VALUE(LEFT(J89,1)))</f>
        <v/>
      </c>
      <c r="AH89" s="35">
        <f>IF(K89="","",VALUE(LEFT(K89,1)))</f>
        <v/>
      </c>
      <c r="AI89" s="35">
        <f>IF(LEFT(L89,2)="ja",1,0)</f>
        <v/>
      </c>
      <c r="AJ89" s="35">
        <f>IF(COUNT(AF89:AH89)&lt;3,"",FIND(INDEX(Matrix,4-AF89,AG89),"CBA"))</f>
        <v/>
      </c>
      <c r="AK89" s="35">
        <f>IF(AJ89="","",MIN(3,MAX(AJ89+IF(AND(Regel_haeufig="ja",AH89=3),1,0),IF(AND(Regel_sicherheit="ja",AI89=1),2,0))))</f>
        <v/>
      </c>
      <c r="AL89" s="35">
        <f>IF(S89&lt;&gt;"",S89,IF(R89="","",R89))</f>
        <v/>
      </c>
      <c r="AM89" s="35">
        <f>IF(AK89="","",AK89*1000+N89*10+(1000-ROW())/100000)</f>
        <v/>
      </c>
    </row>
    <row r="90" ht="45" customHeight="1">
      <c r="A90" s="22">
        <f>IF(C90="","",COUNTA($C$7:C90))</f>
        <v/>
      </c>
      <c r="B90" s="23" t="n"/>
      <c r="C90" s="24" t="n"/>
      <c r="D90" s="25" t="n"/>
      <c r="E90" s="23" t="n"/>
      <c r="F90" s="26" t="n"/>
      <c r="G90" s="25" t="n"/>
      <c r="H90" s="25" t="n"/>
      <c r="I90" s="24" t="n"/>
      <c r="J90" s="24" t="n"/>
      <c r="K90" s="24" t="n"/>
      <c r="L90" s="26" t="n"/>
      <c r="M90" s="27">
        <f>IF(AK90="","",MID("CBA",AK90,1))</f>
        <v/>
      </c>
      <c r="N90" s="22">
        <f>IF(COUNT(AF90:AH90)&lt;3,"",AF90*AG90*AH90)</f>
        <v/>
      </c>
      <c r="O90" s="28">
        <f>IF(C90="","",IF(AJ90="","Bewertung unvollständig / incomplete","Matrix "&amp;MID("CBA",AJ90,1)&amp;IF(AND(Regel_haeufig="ja",AH90=3,AJ90&lt;3)," · häufig +1","")&amp;IF(AND(Regel_sicherheit="ja",AI90=1,AJ90+IF(AND(Regel_haeufig="ja",AH90=3),1,0)&lt;2)," · Sicherheit ⇒ B","")&amp;" → "&amp;M90))</f>
        <v/>
      </c>
      <c r="P90" s="29" t="n"/>
      <c r="Q90" s="25" t="n"/>
      <c r="R90" s="22">
        <f>IF(AK90="","",INDEX(Soll_Tabelle,4-AK90,IF(AH90=3,2,1)))</f>
        <v/>
      </c>
      <c r="S90" s="26" t="n"/>
      <c r="T90" s="22">
        <f>IF(AL90="","",MAX(0,AL90-N(P90)))</f>
        <v/>
      </c>
      <c r="U90" s="30" t="n"/>
      <c r="V90" s="31">
        <f>IF(OR(T90="",U90=""),"",T90*U90)</f>
        <v/>
      </c>
      <c r="W90" s="31">
        <f>IF(COUNT(AF90:AG90)&lt;2,"",INDEX(Stillstand_h,AG90)*INDEX(Kostensatz,AF90))</f>
        <v/>
      </c>
      <c r="X90" s="32">
        <f>IF(AK90="","",IF(T90=0,"Bestand ausreichend / stock sufficient",IF(U90="","Stückpreis fehlt / price missing",IF(V90=0,"–",IF(W90/V90&gt;=Faktor_wirtschaftlich,"wirtschaftlich (Faktor "&amp;FIXED(W90/V90,1)&amp;")","nicht wirtschaftlich (Faktor "&amp;FIXED(W90/V90,1)&amp;")")))))</f>
        <v/>
      </c>
      <c r="Y90" s="33">
        <f>IF(AK90="","",IF(AK90=3,IF(T90&gt;0,IF(AG90=3,"Sofort beschaffen: Restbestand / Gebrauchtmarkt / Alternative sichern","Mindestbestand aufbauen ("&amp;T90&amp;" Stk.)"),"Bestand halten, jährlich prüfen"),IF(AK90=2,IF(T90&gt;0,"Bevorratung nach Wirtschaftlichkeit entscheiden; Quelle / Reparatur klären","Lieferzeit und Teilestatus jährlich prüfen"),"Keine Bevorratung – Beschaffung bei Bedarf")))</f>
        <v/>
      </c>
      <c r="Z90" s="25" t="n"/>
      <c r="AA90" s="25" t="n"/>
      <c r="AB90" s="34" t="n"/>
      <c r="AC90" s="26" t="n"/>
      <c r="AD90" s="25" t="n"/>
      <c r="AE90" s="2" t="n"/>
      <c r="AF90" s="35">
        <f>IF(I90="","",VALUE(LEFT(I90,1)))</f>
        <v/>
      </c>
      <c r="AG90" s="35">
        <f>IF(J90="","",VALUE(LEFT(J90,1)))</f>
        <v/>
      </c>
      <c r="AH90" s="35">
        <f>IF(K90="","",VALUE(LEFT(K90,1)))</f>
        <v/>
      </c>
      <c r="AI90" s="35">
        <f>IF(LEFT(L90,2)="ja",1,0)</f>
        <v/>
      </c>
      <c r="AJ90" s="35">
        <f>IF(COUNT(AF90:AH90)&lt;3,"",FIND(INDEX(Matrix,4-AF90,AG90),"CBA"))</f>
        <v/>
      </c>
      <c r="AK90" s="35">
        <f>IF(AJ90="","",MIN(3,MAX(AJ90+IF(AND(Regel_haeufig="ja",AH90=3),1,0),IF(AND(Regel_sicherheit="ja",AI90=1),2,0))))</f>
        <v/>
      </c>
      <c r="AL90" s="35">
        <f>IF(S90&lt;&gt;"",S90,IF(R90="","",R90))</f>
        <v/>
      </c>
      <c r="AM90" s="35">
        <f>IF(AK90="","",AK90*1000+N90*10+(1000-ROW())/100000)</f>
        <v/>
      </c>
    </row>
    <row r="91" ht="45" customHeight="1">
      <c r="A91" s="22">
        <f>IF(C91="","",COUNTA($C$7:C91))</f>
        <v/>
      </c>
      <c r="B91" s="23" t="n"/>
      <c r="C91" s="24" t="n"/>
      <c r="D91" s="25" t="n"/>
      <c r="E91" s="23" t="n"/>
      <c r="F91" s="26" t="n"/>
      <c r="G91" s="25" t="n"/>
      <c r="H91" s="25" t="n"/>
      <c r="I91" s="24" t="n"/>
      <c r="J91" s="24" t="n"/>
      <c r="K91" s="24" t="n"/>
      <c r="L91" s="26" t="n"/>
      <c r="M91" s="27">
        <f>IF(AK91="","",MID("CBA",AK91,1))</f>
        <v/>
      </c>
      <c r="N91" s="22">
        <f>IF(COUNT(AF91:AH91)&lt;3,"",AF91*AG91*AH91)</f>
        <v/>
      </c>
      <c r="O91" s="28">
        <f>IF(C91="","",IF(AJ91="","Bewertung unvollständig / incomplete","Matrix "&amp;MID("CBA",AJ91,1)&amp;IF(AND(Regel_haeufig="ja",AH91=3,AJ91&lt;3)," · häufig +1","")&amp;IF(AND(Regel_sicherheit="ja",AI91=1,AJ91+IF(AND(Regel_haeufig="ja",AH91=3),1,0)&lt;2)," · Sicherheit ⇒ B","")&amp;" → "&amp;M91))</f>
        <v/>
      </c>
      <c r="P91" s="29" t="n"/>
      <c r="Q91" s="25" t="n"/>
      <c r="R91" s="22">
        <f>IF(AK91="","",INDEX(Soll_Tabelle,4-AK91,IF(AH91=3,2,1)))</f>
        <v/>
      </c>
      <c r="S91" s="26" t="n"/>
      <c r="T91" s="22">
        <f>IF(AL91="","",MAX(0,AL91-N(P91)))</f>
        <v/>
      </c>
      <c r="U91" s="30" t="n"/>
      <c r="V91" s="31">
        <f>IF(OR(T91="",U91=""),"",T91*U91)</f>
        <v/>
      </c>
      <c r="W91" s="31">
        <f>IF(COUNT(AF91:AG91)&lt;2,"",INDEX(Stillstand_h,AG91)*INDEX(Kostensatz,AF91))</f>
        <v/>
      </c>
      <c r="X91" s="32">
        <f>IF(AK91="","",IF(T91=0,"Bestand ausreichend / stock sufficient",IF(U91="","Stückpreis fehlt / price missing",IF(V91=0,"–",IF(W91/V91&gt;=Faktor_wirtschaftlich,"wirtschaftlich (Faktor "&amp;FIXED(W91/V91,1)&amp;")","nicht wirtschaftlich (Faktor "&amp;FIXED(W91/V91,1)&amp;")")))))</f>
        <v/>
      </c>
      <c r="Y91" s="33">
        <f>IF(AK91="","",IF(AK91=3,IF(T91&gt;0,IF(AG91=3,"Sofort beschaffen: Restbestand / Gebrauchtmarkt / Alternative sichern","Mindestbestand aufbauen ("&amp;T91&amp;" Stk.)"),"Bestand halten, jährlich prüfen"),IF(AK91=2,IF(T91&gt;0,"Bevorratung nach Wirtschaftlichkeit entscheiden; Quelle / Reparatur klären","Lieferzeit und Teilestatus jährlich prüfen"),"Keine Bevorratung – Beschaffung bei Bedarf")))</f>
        <v/>
      </c>
      <c r="Z91" s="25" t="n"/>
      <c r="AA91" s="25" t="n"/>
      <c r="AB91" s="34" t="n"/>
      <c r="AC91" s="26" t="n"/>
      <c r="AD91" s="25" t="n"/>
      <c r="AE91" s="2" t="n"/>
      <c r="AF91" s="35">
        <f>IF(I91="","",VALUE(LEFT(I91,1)))</f>
        <v/>
      </c>
      <c r="AG91" s="35">
        <f>IF(J91="","",VALUE(LEFT(J91,1)))</f>
        <v/>
      </c>
      <c r="AH91" s="35">
        <f>IF(K91="","",VALUE(LEFT(K91,1)))</f>
        <v/>
      </c>
      <c r="AI91" s="35">
        <f>IF(LEFT(L91,2)="ja",1,0)</f>
        <v/>
      </c>
      <c r="AJ91" s="35">
        <f>IF(COUNT(AF91:AH91)&lt;3,"",FIND(INDEX(Matrix,4-AF91,AG91),"CBA"))</f>
        <v/>
      </c>
      <c r="AK91" s="35">
        <f>IF(AJ91="","",MIN(3,MAX(AJ91+IF(AND(Regel_haeufig="ja",AH91=3),1,0),IF(AND(Regel_sicherheit="ja",AI91=1),2,0))))</f>
        <v/>
      </c>
      <c r="AL91" s="35">
        <f>IF(S91&lt;&gt;"",S91,IF(R91="","",R91))</f>
        <v/>
      </c>
      <c r="AM91" s="35">
        <f>IF(AK91="","",AK91*1000+N91*10+(1000-ROW())/100000)</f>
        <v/>
      </c>
    </row>
    <row r="92" ht="45" customHeight="1">
      <c r="A92" s="22">
        <f>IF(C92="","",COUNTA($C$7:C92))</f>
        <v/>
      </c>
      <c r="B92" s="23" t="n"/>
      <c r="C92" s="24" t="n"/>
      <c r="D92" s="25" t="n"/>
      <c r="E92" s="23" t="n"/>
      <c r="F92" s="26" t="n"/>
      <c r="G92" s="25" t="n"/>
      <c r="H92" s="25" t="n"/>
      <c r="I92" s="24" t="n"/>
      <c r="J92" s="24" t="n"/>
      <c r="K92" s="24" t="n"/>
      <c r="L92" s="26" t="n"/>
      <c r="M92" s="27">
        <f>IF(AK92="","",MID("CBA",AK92,1))</f>
        <v/>
      </c>
      <c r="N92" s="22">
        <f>IF(COUNT(AF92:AH92)&lt;3,"",AF92*AG92*AH92)</f>
        <v/>
      </c>
      <c r="O92" s="28">
        <f>IF(C92="","",IF(AJ92="","Bewertung unvollständig / incomplete","Matrix "&amp;MID("CBA",AJ92,1)&amp;IF(AND(Regel_haeufig="ja",AH92=3,AJ92&lt;3)," · häufig +1","")&amp;IF(AND(Regel_sicherheit="ja",AI92=1,AJ92+IF(AND(Regel_haeufig="ja",AH92=3),1,0)&lt;2)," · Sicherheit ⇒ B","")&amp;" → "&amp;M92))</f>
        <v/>
      </c>
      <c r="P92" s="29" t="n"/>
      <c r="Q92" s="25" t="n"/>
      <c r="R92" s="22">
        <f>IF(AK92="","",INDEX(Soll_Tabelle,4-AK92,IF(AH92=3,2,1)))</f>
        <v/>
      </c>
      <c r="S92" s="26" t="n"/>
      <c r="T92" s="22">
        <f>IF(AL92="","",MAX(0,AL92-N(P92)))</f>
        <v/>
      </c>
      <c r="U92" s="30" t="n"/>
      <c r="V92" s="31">
        <f>IF(OR(T92="",U92=""),"",T92*U92)</f>
        <v/>
      </c>
      <c r="W92" s="31">
        <f>IF(COUNT(AF92:AG92)&lt;2,"",INDEX(Stillstand_h,AG92)*INDEX(Kostensatz,AF92))</f>
        <v/>
      </c>
      <c r="X92" s="32">
        <f>IF(AK92="","",IF(T92=0,"Bestand ausreichend / stock sufficient",IF(U92="","Stückpreis fehlt / price missing",IF(V92=0,"–",IF(W92/V92&gt;=Faktor_wirtschaftlich,"wirtschaftlich (Faktor "&amp;FIXED(W92/V92,1)&amp;")","nicht wirtschaftlich (Faktor "&amp;FIXED(W92/V92,1)&amp;")")))))</f>
        <v/>
      </c>
      <c r="Y92" s="33">
        <f>IF(AK92="","",IF(AK92=3,IF(T92&gt;0,IF(AG92=3,"Sofort beschaffen: Restbestand / Gebrauchtmarkt / Alternative sichern","Mindestbestand aufbauen ("&amp;T92&amp;" Stk.)"),"Bestand halten, jährlich prüfen"),IF(AK92=2,IF(T92&gt;0,"Bevorratung nach Wirtschaftlichkeit entscheiden; Quelle / Reparatur klären","Lieferzeit und Teilestatus jährlich prüfen"),"Keine Bevorratung – Beschaffung bei Bedarf")))</f>
        <v/>
      </c>
      <c r="Z92" s="25" t="n"/>
      <c r="AA92" s="25" t="n"/>
      <c r="AB92" s="34" t="n"/>
      <c r="AC92" s="26" t="n"/>
      <c r="AD92" s="25" t="n"/>
      <c r="AE92" s="2" t="n"/>
      <c r="AF92" s="35">
        <f>IF(I92="","",VALUE(LEFT(I92,1)))</f>
        <v/>
      </c>
      <c r="AG92" s="35">
        <f>IF(J92="","",VALUE(LEFT(J92,1)))</f>
        <v/>
      </c>
      <c r="AH92" s="35">
        <f>IF(K92="","",VALUE(LEFT(K92,1)))</f>
        <v/>
      </c>
      <c r="AI92" s="35">
        <f>IF(LEFT(L92,2)="ja",1,0)</f>
        <v/>
      </c>
      <c r="AJ92" s="35">
        <f>IF(COUNT(AF92:AH92)&lt;3,"",FIND(INDEX(Matrix,4-AF92,AG92),"CBA"))</f>
        <v/>
      </c>
      <c r="AK92" s="35">
        <f>IF(AJ92="","",MIN(3,MAX(AJ92+IF(AND(Regel_haeufig="ja",AH92=3),1,0),IF(AND(Regel_sicherheit="ja",AI92=1),2,0))))</f>
        <v/>
      </c>
      <c r="AL92" s="35">
        <f>IF(S92&lt;&gt;"",S92,IF(R92="","",R92))</f>
        <v/>
      </c>
      <c r="AM92" s="35">
        <f>IF(AK92="","",AK92*1000+N92*10+(1000-ROW())/100000)</f>
        <v/>
      </c>
    </row>
    <row r="93" ht="45" customHeight="1">
      <c r="A93" s="22">
        <f>IF(C93="","",COUNTA($C$7:C93))</f>
        <v/>
      </c>
      <c r="B93" s="23" t="n"/>
      <c r="C93" s="24" t="n"/>
      <c r="D93" s="25" t="n"/>
      <c r="E93" s="23" t="n"/>
      <c r="F93" s="26" t="n"/>
      <c r="G93" s="25" t="n"/>
      <c r="H93" s="25" t="n"/>
      <c r="I93" s="24" t="n"/>
      <c r="J93" s="24" t="n"/>
      <c r="K93" s="24" t="n"/>
      <c r="L93" s="26" t="n"/>
      <c r="M93" s="27">
        <f>IF(AK93="","",MID("CBA",AK93,1))</f>
        <v/>
      </c>
      <c r="N93" s="22">
        <f>IF(COUNT(AF93:AH93)&lt;3,"",AF93*AG93*AH93)</f>
        <v/>
      </c>
      <c r="O93" s="28">
        <f>IF(C93="","",IF(AJ93="","Bewertung unvollständig / incomplete","Matrix "&amp;MID("CBA",AJ93,1)&amp;IF(AND(Regel_haeufig="ja",AH93=3,AJ93&lt;3)," · häufig +1","")&amp;IF(AND(Regel_sicherheit="ja",AI93=1,AJ93+IF(AND(Regel_haeufig="ja",AH93=3),1,0)&lt;2)," · Sicherheit ⇒ B","")&amp;" → "&amp;M93))</f>
        <v/>
      </c>
      <c r="P93" s="29" t="n"/>
      <c r="Q93" s="25" t="n"/>
      <c r="R93" s="22">
        <f>IF(AK93="","",INDEX(Soll_Tabelle,4-AK93,IF(AH93=3,2,1)))</f>
        <v/>
      </c>
      <c r="S93" s="26" t="n"/>
      <c r="T93" s="22">
        <f>IF(AL93="","",MAX(0,AL93-N(P93)))</f>
        <v/>
      </c>
      <c r="U93" s="30" t="n"/>
      <c r="V93" s="31">
        <f>IF(OR(T93="",U93=""),"",T93*U93)</f>
        <v/>
      </c>
      <c r="W93" s="31">
        <f>IF(COUNT(AF93:AG93)&lt;2,"",INDEX(Stillstand_h,AG93)*INDEX(Kostensatz,AF93))</f>
        <v/>
      </c>
      <c r="X93" s="32">
        <f>IF(AK93="","",IF(T93=0,"Bestand ausreichend / stock sufficient",IF(U93="","Stückpreis fehlt / price missing",IF(V93=0,"–",IF(W93/V93&gt;=Faktor_wirtschaftlich,"wirtschaftlich (Faktor "&amp;FIXED(W93/V93,1)&amp;")","nicht wirtschaftlich (Faktor "&amp;FIXED(W93/V93,1)&amp;")")))))</f>
        <v/>
      </c>
      <c r="Y93" s="33">
        <f>IF(AK93="","",IF(AK93=3,IF(T93&gt;0,IF(AG93=3,"Sofort beschaffen: Restbestand / Gebrauchtmarkt / Alternative sichern","Mindestbestand aufbauen ("&amp;T93&amp;" Stk.)"),"Bestand halten, jährlich prüfen"),IF(AK93=2,IF(T93&gt;0,"Bevorratung nach Wirtschaftlichkeit entscheiden; Quelle / Reparatur klären","Lieferzeit und Teilestatus jährlich prüfen"),"Keine Bevorratung – Beschaffung bei Bedarf")))</f>
        <v/>
      </c>
      <c r="Z93" s="25" t="n"/>
      <c r="AA93" s="25" t="n"/>
      <c r="AB93" s="34" t="n"/>
      <c r="AC93" s="26" t="n"/>
      <c r="AD93" s="25" t="n"/>
      <c r="AE93" s="2" t="n"/>
      <c r="AF93" s="35">
        <f>IF(I93="","",VALUE(LEFT(I93,1)))</f>
        <v/>
      </c>
      <c r="AG93" s="35">
        <f>IF(J93="","",VALUE(LEFT(J93,1)))</f>
        <v/>
      </c>
      <c r="AH93" s="35">
        <f>IF(K93="","",VALUE(LEFT(K93,1)))</f>
        <v/>
      </c>
      <c r="AI93" s="35">
        <f>IF(LEFT(L93,2)="ja",1,0)</f>
        <v/>
      </c>
      <c r="AJ93" s="35">
        <f>IF(COUNT(AF93:AH93)&lt;3,"",FIND(INDEX(Matrix,4-AF93,AG93),"CBA"))</f>
        <v/>
      </c>
      <c r="AK93" s="35">
        <f>IF(AJ93="","",MIN(3,MAX(AJ93+IF(AND(Regel_haeufig="ja",AH93=3),1,0),IF(AND(Regel_sicherheit="ja",AI93=1),2,0))))</f>
        <v/>
      </c>
      <c r="AL93" s="35">
        <f>IF(S93&lt;&gt;"",S93,IF(R93="","",R93))</f>
        <v/>
      </c>
      <c r="AM93" s="35">
        <f>IF(AK93="","",AK93*1000+N93*10+(1000-ROW())/100000)</f>
        <v/>
      </c>
    </row>
    <row r="94" ht="45" customHeight="1">
      <c r="A94" s="22">
        <f>IF(C94="","",COUNTA($C$7:C94))</f>
        <v/>
      </c>
      <c r="B94" s="23" t="n"/>
      <c r="C94" s="24" t="n"/>
      <c r="D94" s="25" t="n"/>
      <c r="E94" s="23" t="n"/>
      <c r="F94" s="26" t="n"/>
      <c r="G94" s="25" t="n"/>
      <c r="H94" s="25" t="n"/>
      <c r="I94" s="24" t="n"/>
      <c r="J94" s="24" t="n"/>
      <c r="K94" s="24" t="n"/>
      <c r="L94" s="26" t="n"/>
      <c r="M94" s="27">
        <f>IF(AK94="","",MID("CBA",AK94,1))</f>
        <v/>
      </c>
      <c r="N94" s="22">
        <f>IF(COUNT(AF94:AH94)&lt;3,"",AF94*AG94*AH94)</f>
        <v/>
      </c>
      <c r="O94" s="28">
        <f>IF(C94="","",IF(AJ94="","Bewertung unvollständig / incomplete","Matrix "&amp;MID("CBA",AJ94,1)&amp;IF(AND(Regel_haeufig="ja",AH94=3,AJ94&lt;3)," · häufig +1","")&amp;IF(AND(Regel_sicherheit="ja",AI94=1,AJ94+IF(AND(Regel_haeufig="ja",AH94=3),1,0)&lt;2)," · Sicherheit ⇒ B","")&amp;" → "&amp;M94))</f>
        <v/>
      </c>
      <c r="P94" s="29" t="n"/>
      <c r="Q94" s="25" t="n"/>
      <c r="R94" s="22">
        <f>IF(AK94="","",INDEX(Soll_Tabelle,4-AK94,IF(AH94=3,2,1)))</f>
        <v/>
      </c>
      <c r="S94" s="26" t="n"/>
      <c r="T94" s="22">
        <f>IF(AL94="","",MAX(0,AL94-N(P94)))</f>
        <v/>
      </c>
      <c r="U94" s="30" t="n"/>
      <c r="V94" s="31">
        <f>IF(OR(T94="",U94=""),"",T94*U94)</f>
        <v/>
      </c>
      <c r="W94" s="31">
        <f>IF(COUNT(AF94:AG94)&lt;2,"",INDEX(Stillstand_h,AG94)*INDEX(Kostensatz,AF94))</f>
        <v/>
      </c>
      <c r="X94" s="32">
        <f>IF(AK94="","",IF(T94=0,"Bestand ausreichend / stock sufficient",IF(U94="","Stückpreis fehlt / price missing",IF(V94=0,"–",IF(W94/V94&gt;=Faktor_wirtschaftlich,"wirtschaftlich (Faktor "&amp;FIXED(W94/V94,1)&amp;")","nicht wirtschaftlich (Faktor "&amp;FIXED(W94/V94,1)&amp;")")))))</f>
        <v/>
      </c>
      <c r="Y94" s="33">
        <f>IF(AK94="","",IF(AK94=3,IF(T94&gt;0,IF(AG94=3,"Sofort beschaffen: Restbestand / Gebrauchtmarkt / Alternative sichern","Mindestbestand aufbauen ("&amp;T94&amp;" Stk.)"),"Bestand halten, jährlich prüfen"),IF(AK94=2,IF(T94&gt;0,"Bevorratung nach Wirtschaftlichkeit entscheiden; Quelle / Reparatur klären","Lieferzeit und Teilestatus jährlich prüfen"),"Keine Bevorratung – Beschaffung bei Bedarf")))</f>
        <v/>
      </c>
      <c r="Z94" s="25" t="n"/>
      <c r="AA94" s="25" t="n"/>
      <c r="AB94" s="34" t="n"/>
      <c r="AC94" s="26" t="n"/>
      <c r="AD94" s="25" t="n"/>
      <c r="AE94" s="2" t="n"/>
      <c r="AF94" s="35">
        <f>IF(I94="","",VALUE(LEFT(I94,1)))</f>
        <v/>
      </c>
      <c r="AG94" s="35">
        <f>IF(J94="","",VALUE(LEFT(J94,1)))</f>
        <v/>
      </c>
      <c r="AH94" s="35">
        <f>IF(K94="","",VALUE(LEFT(K94,1)))</f>
        <v/>
      </c>
      <c r="AI94" s="35">
        <f>IF(LEFT(L94,2)="ja",1,0)</f>
        <v/>
      </c>
      <c r="AJ94" s="35">
        <f>IF(COUNT(AF94:AH94)&lt;3,"",FIND(INDEX(Matrix,4-AF94,AG94),"CBA"))</f>
        <v/>
      </c>
      <c r="AK94" s="35">
        <f>IF(AJ94="","",MIN(3,MAX(AJ94+IF(AND(Regel_haeufig="ja",AH94=3),1,0),IF(AND(Regel_sicherheit="ja",AI94=1),2,0))))</f>
        <v/>
      </c>
      <c r="AL94" s="35">
        <f>IF(S94&lt;&gt;"",S94,IF(R94="","",R94))</f>
        <v/>
      </c>
      <c r="AM94" s="35">
        <f>IF(AK94="","",AK94*1000+N94*10+(1000-ROW())/100000)</f>
        <v/>
      </c>
    </row>
    <row r="95" ht="45" customHeight="1">
      <c r="A95" s="22">
        <f>IF(C95="","",COUNTA($C$7:C95))</f>
        <v/>
      </c>
      <c r="B95" s="23" t="n"/>
      <c r="C95" s="24" t="n"/>
      <c r="D95" s="25" t="n"/>
      <c r="E95" s="23" t="n"/>
      <c r="F95" s="26" t="n"/>
      <c r="G95" s="25" t="n"/>
      <c r="H95" s="25" t="n"/>
      <c r="I95" s="24" t="n"/>
      <c r="J95" s="24" t="n"/>
      <c r="K95" s="24" t="n"/>
      <c r="L95" s="26" t="n"/>
      <c r="M95" s="27">
        <f>IF(AK95="","",MID("CBA",AK95,1))</f>
        <v/>
      </c>
      <c r="N95" s="22">
        <f>IF(COUNT(AF95:AH95)&lt;3,"",AF95*AG95*AH95)</f>
        <v/>
      </c>
      <c r="O95" s="28">
        <f>IF(C95="","",IF(AJ95="","Bewertung unvollständig / incomplete","Matrix "&amp;MID("CBA",AJ95,1)&amp;IF(AND(Regel_haeufig="ja",AH95=3,AJ95&lt;3)," · häufig +1","")&amp;IF(AND(Regel_sicherheit="ja",AI95=1,AJ95+IF(AND(Regel_haeufig="ja",AH95=3),1,0)&lt;2)," · Sicherheit ⇒ B","")&amp;" → "&amp;M95))</f>
        <v/>
      </c>
      <c r="P95" s="29" t="n"/>
      <c r="Q95" s="25" t="n"/>
      <c r="R95" s="22">
        <f>IF(AK95="","",INDEX(Soll_Tabelle,4-AK95,IF(AH95=3,2,1)))</f>
        <v/>
      </c>
      <c r="S95" s="26" t="n"/>
      <c r="T95" s="22">
        <f>IF(AL95="","",MAX(0,AL95-N(P95)))</f>
        <v/>
      </c>
      <c r="U95" s="30" t="n"/>
      <c r="V95" s="31">
        <f>IF(OR(T95="",U95=""),"",T95*U95)</f>
        <v/>
      </c>
      <c r="W95" s="31">
        <f>IF(COUNT(AF95:AG95)&lt;2,"",INDEX(Stillstand_h,AG95)*INDEX(Kostensatz,AF95))</f>
        <v/>
      </c>
      <c r="X95" s="32">
        <f>IF(AK95="","",IF(T95=0,"Bestand ausreichend / stock sufficient",IF(U95="","Stückpreis fehlt / price missing",IF(V95=0,"–",IF(W95/V95&gt;=Faktor_wirtschaftlich,"wirtschaftlich (Faktor "&amp;FIXED(W95/V95,1)&amp;")","nicht wirtschaftlich (Faktor "&amp;FIXED(W95/V95,1)&amp;")")))))</f>
        <v/>
      </c>
      <c r="Y95" s="33">
        <f>IF(AK95="","",IF(AK95=3,IF(T95&gt;0,IF(AG95=3,"Sofort beschaffen: Restbestand / Gebrauchtmarkt / Alternative sichern","Mindestbestand aufbauen ("&amp;T95&amp;" Stk.)"),"Bestand halten, jährlich prüfen"),IF(AK95=2,IF(T95&gt;0,"Bevorratung nach Wirtschaftlichkeit entscheiden; Quelle / Reparatur klären","Lieferzeit und Teilestatus jährlich prüfen"),"Keine Bevorratung – Beschaffung bei Bedarf")))</f>
        <v/>
      </c>
      <c r="Z95" s="25" t="n"/>
      <c r="AA95" s="25" t="n"/>
      <c r="AB95" s="34" t="n"/>
      <c r="AC95" s="26" t="n"/>
      <c r="AD95" s="25" t="n"/>
      <c r="AE95" s="2" t="n"/>
      <c r="AF95" s="35">
        <f>IF(I95="","",VALUE(LEFT(I95,1)))</f>
        <v/>
      </c>
      <c r="AG95" s="35">
        <f>IF(J95="","",VALUE(LEFT(J95,1)))</f>
        <v/>
      </c>
      <c r="AH95" s="35">
        <f>IF(K95="","",VALUE(LEFT(K95,1)))</f>
        <v/>
      </c>
      <c r="AI95" s="35">
        <f>IF(LEFT(L95,2)="ja",1,0)</f>
        <v/>
      </c>
      <c r="AJ95" s="35">
        <f>IF(COUNT(AF95:AH95)&lt;3,"",FIND(INDEX(Matrix,4-AF95,AG95),"CBA"))</f>
        <v/>
      </c>
      <c r="AK95" s="35">
        <f>IF(AJ95="","",MIN(3,MAX(AJ95+IF(AND(Regel_haeufig="ja",AH95=3),1,0),IF(AND(Regel_sicherheit="ja",AI95=1),2,0))))</f>
        <v/>
      </c>
      <c r="AL95" s="35">
        <f>IF(S95&lt;&gt;"",S95,IF(R95="","",R95))</f>
        <v/>
      </c>
      <c r="AM95" s="35">
        <f>IF(AK95="","",AK95*1000+N95*10+(1000-ROW())/100000)</f>
        <v/>
      </c>
    </row>
    <row r="96" ht="45" customHeight="1">
      <c r="A96" s="22">
        <f>IF(C96="","",COUNTA($C$7:C96))</f>
        <v/>
      </c>
      <c r="B96" s="23" t="n"/>
      <c r="C96" s="24" t="n"/>
      <c r="D96" s="25" t="n"/>
      <c r="E96" s="23" t="n"/>
      <c r="F96" s="26" t="n"/>
      <c r="G96" s="25" t="n"/>
      <c r="H96" s="25" t="n"/>
      <c r="I96" s="24" t="n"/>
      <c r="J96" s="24" t="n"/>
      <c r="K96" s="24" t="n"/>
      <c r="L96" s="26" t="n"/>
      <c r="M96" s="27">
        <f>IF(AK96="","",MID("CBA",AK96,1))</f>
        <v/>
      </c>
      <c r="N96" s="22">
        <f>IF(COUNT(AF96:AH96)&lt;3,"",AF96*AG96*AH96)</f>
        <v/>
      </c>
      <c r="O96" s="28">
        <f>IF(C96="","",IF(AJ96="","Bewertung unvollständig / incomplete","Matrix "&amp;MID("CBA",AJ96,1)&amp;IF(AND(Regel_haeufig="ja",AH96=3,AJ96&lt;3)," · häufig +1","")&amp;IF(AND(Regel_sicherheit="ja",AI96=1,AJ96+IF(AND(Regel_haeufig="ja",AH96=3),1,0)&lt;2)," · Sicherheit ⇒ B","")&amp;" → "&amp;M96))</f>
        <v/>
      </c>
      <c r="P96" s="29" t="n"/>
      <c r="Q96" s="25" t="n"/>
      <c r="R96" s="22">
        <f>IF(AK96="","",INDEX(Soll_Tabelle,4-AK96,IF(AH96=3,2,1)))</f>
        <v/>
      </c>
      <c r="S96" s="26" t="n"/>
      <c r="T96" s="22">
        <f>IF(AL96="","",MAX(0,AL96-N(P96)))</f>
        <v/>
      </c>
      <c r="U96" s="30" t="n"/>
      <c r="V96" s="31">
        <f>IF(OR(T96="",U96=""),"",T96*U96)</f>
        <v/>
      </c>
      <c r="W96" s="31">
        <f>IF(COUNT(AF96:AG96)&lt;2,"",INDEX(Stillstand_h,AG96)*INDEX(Kostensatz,AF96))</f>
        <v/>
      </c>
      <c r="X96" s="32">
        <f>IF(AK96="","",IF(T96=0,"Bestand ausreichend / stock sufficient",IF(U96="","Stückpreis fehlt / price missing",IF(V96=0,"–",IF(W96/V96&gt;=Faktor_wirtschaftlich,"wirtschaftlich (Faktor "&amp;FIXED(W96/V96,1)&amp;")","nicht wirtschaftlich (Faktor "&amp;FIXED(W96/V96,1)&amp;")")))))</f>
        <v/>
      </c>
      <c r="Y96" s="33">
        <f>IF(AK96="","",IF(AK96=3,IF(T96&gt;0,IF(AG96=3,"Sofort beschaffen: Restbestand / Gebrauchtmarkt / Alternative sichern","Mindestbestand aufbauen ("&amp;T96&amp;" Stk.)"),"Bestand halten, jährlich prüfen"),IF(AK96=2,IF(T96&gt;0,"Bevorratung nach Wirtschaftlichkeit entscheiden; Quelle / Reparatur klären","Lieferzeit und Teilestatus jährlich prüfen"),"Keine Bevorratung – Beschaffung bei Bedarf")))</f>
        <v/>
      </c>
      <c r="Z96" s="25" t="n"/>
      <c r="AA96" s="25" t="n"/>
      <c r="AB96" s="34" t="n"/>
      <c r="AC96" s="26" t="n"/>
      <c r="AD96" s="25" t="n"/>
      <c r="AE96" s="2" t="n"/>
      <c r="AF96" s="35">
        <f>IF(I96="","",VALUE(LEFT(I96,1)))</f>
        <v/>
      </c>
      <c r="AG96" s="35">
        <f>IF(J96="","",VALUE(LEFT(J96,1)))</f>
        <v/>
      </c>
      <c r="AH96" s="35">
        <f>IF(K96="","",VALUE(LEFT(K96,1)))</f>
        <v/>
      </c>
      <c r="AI96" s="35">
        <f>IF(LEFT(L96,2)="ja",1,0)</f>
        <v/>
      </c>
      <c r="AJ96" s="35">
        <f>IF(COUNT(AF96:AH96)&lt;3,"",FIND(INDEX(Matrix,4-AF96,AG96),"CBA"))</f>
        <v/>
      </c>
      <c r="AK96" s="35">
        <f>IF(AJ96="","",MIN(3,MAX(AJ96+IF(AND(Regel_haeufig="ja",AH96=3),1,0),IF(AND(Regel_sicherheit="ja",AI96=1),2,0))))</f>
        <v/>
      </c>
      <c r="AL96" s="35">
        <f>IF(S96&lt;&gt;"",S96,IF(R96="","",R96))</f>
        <v/>
      </c>
      <c r="AM96" s="35">
        <f>IF(AK96="","",AK96*1000+N96*10+(1000-ROW())/100000)</f>
        <v/>
      </c>
    </row>
    <row r="97" ht="45" customHeight="1">
      <c r="A97" s="22">
        <f>IF(C97="","",COUNTA($C$7:C97))</f>
        <v/>
      </c>
      <c r="B97" s="23" t="n"/>
      <c r="C97" s="24" t="n"/>
      <c r="D97" s="25" t="n"/>
      <c r="E97" s="23" t="n"/>
      <c r="F97" s="26" t="n"/>
      <c r="G97" s="25" t="n"/>
      <c r="H97" s="25" t="n"/>
      <c r="I97" s="24" t="n"/>
      <c r="J97" s="24" t="n"/>
      <c r="K97" s="24" t="n"/>
      <c r="L97" s="26" t="n"/>
      <c r="M97" s="27">
        <f>IF(AK97="","",MID("CBA",AK97,1))</f>
        <v/>
      </c>
      <c r="N97" s="22">
        <f>IF(COUNT(AF97:AH97)&lt;3,"",AF97*AG97*AH97)</f>
        <v/>
      </c>
      <c r="O97" s="28">
        <f>IF(C97="","",IF(AJ97="","Bewertung unvollständig / incomplete","Matrix "&amp;MID("CBA",AJ97,1)&amp;IF(AND(Regel_haeufig="ja",AH97=3,AJ97&lt;3)," · häufig +1","")&amp;IF(AND(Regel_sicherheit="ja",AI97=1,AJ97+IF(AND(Regel_haeufig="ja",AH97=3),1,0)&lt;2)," · Sicherheit ⇒ B","")&amp;" → "&amp;M97))</f>
        <v/>
      </c>
      <c r="P97" s="29" t="n"/>
      <c r="Q97" s="25" t="n"/>
      <c r="R97" s="22">
        <f>IF(AK97="","",INDEX(Soll_Tabelle,4-AK97,IF(AH97=3,2,1)))</f>
        <v/>
      </c>
      <c r="S97" s="26" t="n"/>
      <c r="T97" s="22">
        <f>IF(AL97="","",MAX(0,AL97-N(P97)))</f>
        <v/>
      </c>
      <c r="U97" s="30" t="n"/>
      <c r="V97" s="31">
        <f>IF(OR(T97="",U97=""),"",T97*U97)</f>
        <v/>
      </c>
      <c r="W97" s="31">
        <f>IF(COUNT(AF97:AG97)&lt;2,"",INDEX(Stillstand_h,AG97)*INDEX(Kostensatz,AF97))</f>
        <v/>
      </c>
      <c r="X97" s="32">
        <f>IF(AK97="","",IF(T97=0,"Bestand ausreichend / stock sufficient",IF(U97="","Stückpreis fehlt / price missing",IF(V97=0,"–",IF(W97/V97&gt;=Faktor_wirtschaftlich,"wirtschaftlich (Faktor "&amp;FIXED(W97/V97,1)&amp;")","nicht wirtschaftlich (Faktor "&amp;FIXED(W97/V97,1)&amp;")")))))</f>
        <v/>
      </c>
      <c r="Y97" s="33">
        <f>IF(AK97="","",IF(AK97=3,IF(T97&gt;0,IF(AG97=3,"Sofort beschaffen: Restbestand / Gebrauchtmarkt / Alternative sichern","Mindestbestand aufbauen ("&amp;T97&amp;" Stk.)"),"Bestand halten, jährlich prüfen"),IF(AK97=2,IF(T97&gt;0,"Bevorratung nach Wirtschaftlichkeit entscheiden; Quelle / Reparatur klären","Lieferzeit und Teilestatus jährlich prüfen"),"Keine Bevorratung – Beschaffung bei Bedarf")))</f>
        <v/>
      </c>
      <c r="Z97" s="25" t="n"/>
      <c r="AA97" s="25" t="n"/>
      <c r="AB97" s="34" t="n"/>
      <c r="AC97" s="26" t="n"/>
      <c r="AD97" s="25" t="n"/>
      <c r="AE97" s="2" t="n"/>
      <c r="AF97" s="35">
        <f>IF(I97="","",VALUE(LEFT(I97,1)))</f>
        <v/>
      </c>
      <c r="AG97" s="35">
        <f>IF(J97="","",VALUE(LEFT(J97,1)))</f>
        <v/>
      </c>
      <c r="AH97" s="35">
        <f>IF(K97="","",VALUE(LEFT(K97,1)))</f>
        <v/>
      </c>
      <c r="AI97" s="35">
        <f>IF(LEFT(L97,2)="ja",1,0)</f>
        <v/>
      </c>
      <c r="AJ97" s="35">
        <f>IF(COUNT(AF97:AH97)&lt;3,"",FIND(INDEX(Matrix,4-AF97,AG97),"CBA"))</f>
        <v/>
      </c>
      <c r="AK97" s="35">
        <f>IF(AJ97="","",MIN(3,MAX(AJ97+IF(AND(Regel_haeufig="ja",AH97=3),1,0),IF(AND(Regel_sicherheit="ja",AI97=1),2,0))))</f>
        <v/>
      </c>
      <c r="AL97" s="35">
        <f>IF(S97&lt;&gt;"",S97,IF(R97="","",R97))</f>
        <v/>
      </c>
      <c r="AM97" s="35">
        <f>IF(AK97="","",AK97*1000+N97*10+(1000-ROW())/100000)</f>
        <v/>
      </c>
    </row>
    <row r="98" ht="45" customHeight="1">
      <c r="A98" s="22">
        <f>IF(C98="","",COUNTA($C$7:C98))</f>
        <v/>
      </c>
      <c r="B98" s="23" t="n"/>
      <c r="C98" s="24" t="n"/>
      <c r="D98" s="25" t="n"/>
      <c r="E98" s="23" t="n"/>
      <c r="F98" s="26" t="n"/>
      <c r="G98" s="25" t="n"/>
      <c r="H98" s="25" t="n"/>
      <c r="I98" s="24" t="n"/>
      <c r="J98" s="24" t="n"/>
      <c r="K98" s="24" t="n"/>
      <c r="L98" s="26" t="n"/>
      <c r="M98" s="27">
        <f>IF(AK98="","",MID("CBA",AK98,1))</f>
        <v/>
      </c>
      <c r="N98" s="22">
        <f>IF(COUNT(AF98:AH98)&lt;3,"",AF98*AG98*AH98)</f>
        <v/>
      </c>
      <c r="O98" s="28">
        <f>IF(C98="","",IF(AJ98="","Bewertung unvollständig / incomplete","Matrix "&amp;MID("CBA",AJ98,1)&amp;IF(AND(Regel_haeufig="ja",AH98=3,AJ98&lt;3)," · häufig +1","")&amp;IF(AND(Regel_sicherheit="ja",AI98=1,AJ98+IF(AND(Regel_haeufig="ja",AH98=3),1,0)&lt;2)," · Sicherheit ⇒ B","")&amp;" → "&amp;M98))</f>
        <v/>
      </c>
      <c r="P98" s="29" t="n"/>
      <c r="Q98" s="25" t="n"/>
      <c r="R98" s="22">
        <f>IF(AK98="","",INDEX(Soll_Tabelle,4-AK98,IF(AH98=3,2,1)))</f>
        <v/>
      </c>
      <c r="S98" s="26" t="n"/>
      <c r="T98" s="22">
        <f>IF(AL98="","",MAX(0,AL98-N(P98)))</f>
        <v/>
      </c>
      <c r="U98" s="30" t="n"/>
      <c r="V98" s="31">
        <f>IF(OR(T98="",U98=""),"",T98*U98)</f>
        <v/>
      </c>
      <c r="W98" s="31">
        <f>IF(COUNT(AF98:AG98)&lt;2,"",INDEX(Stillstand_h,AG98)*INDEX(Kostensatz,AF98))</f>
        <v/>
      </c>
      <c r="X98" s="32">
        <f>IF(AK98="","",IF(T98=0,"Bestand ausreichend / stock sufficient",IF(U98="","Stückpreis fehlt / price missing",IF(V98=0,"–",IF(W98/V98&gt;=Faktor_wirtschaftlich,"wirtschaftlich (Faktor "&amp;FIXED(W98/V98,1)&amp;")","nicht wirtschaftlich (Faktor "&amp;FIXED(W98/V98,1)&amp;")")))))</f>
        <v/>
      </c>
      <c r="Y98" s="33">
        <f>IF(AK98="","",IF(AK98=3,IF(T98&gt;0,IF(AG98=3,"Sofort beschaffen: Restbestand / Gebrauchtmarkt / Alternative sichern","Mindestbestand aufbauen ("&amp;T98&amp;" Stk.)"),"Bestand halten, jährlich prüfen"),IF(AK98=2,IF(T98&gt;0,"Bevorratung nach Wirtschaftlichkeit entscheiden; Quelle / Reparatur klären","Lieferzeit und Teilestatus jährlich prüfen"),"Keine Bevorratung – Beschaffung bei Bedarf")))</f>
        <v/>
      </c>
      <c r="Z98" s="25" t="n"/>
      <c r="AA98" s="25" t="n"/>
      <c r="AB98" s="34" t="n"/>
      <c r="AC98" s="26" t="n"/>
      <c r="AD98" s="25" t="n"/>
      <c r="AE98" s="2" t="n"/>
      <c r="AF98" s="35">
        <f>IF(I98="","",VALUE(LEFT(I98,1)))</f>
        <v/>
      </c>
      <c r="AG98" s="35">
        <f>IF(J98="","",VALUE(LEFT(J98,1)))</f>
        <v/>
      </c>
      <c r="AH98" s="35">
        <f>IF(K98="","",VALUE(LEFT(K98,1)))</f>
        <v/>
      </c>
      <c r="AI98" s="35">
        <f>IF(LEFT(L98,2)="ja",1,0)</f>
        <v/>
      </c>
      <c r="AJ98" s="35">
        <f>IF(COUNT(AF98:AH98)&lt;3,"",FIND(INDEX(Matrix,4-AF98,AG98),"CBA"))</f>
        <v/>
      </c>
      <c r="AK98" s="35">
        <f>IF(AJ98="","",MIN(3,MAX(AJ98+IF(AND(Regel_haeufig="ja",AH98=3),1,0),IF(AND(Regel_sicherheit="ja",AI98=1),2,0))))</f>
        <v/>
      </c>
      <c r="AL98" s="35">
        <f>IF(S98&lt;&gt;"",S98,IF(R98="","",R98))</f>
        <v/>
      </c>
      <c r="AM98" s="35">
        <f>IF(AK98="","",AK98*1000+N98*10+(1000-ROW())/100000)</f>
        <v/>
      </c>
    </row>
    <row r="99" ht="45" customHeight="1">
      <c r="A99" s="22">
        <f>IF(C99="","",COUNTA($C$7:C99))</f>
        <v/>
      </c>
      <c r="B99" s="23" t="n"/>
      <c r="C99" s="24" t="n"/>
      <c r="D99" s="25" t="n"/>
      <c r="E99" s="23" t="n"/>
      <c r="F99" s="26" t="n"/>
      <c r="G99" s="25" t="n"/>
      <c r="H99" s="25" t="n"/>
      <c r="I99" s="24" t="n"/>
      <c r="J99" s="24" t="n"/>
      <c r="K99" s="24" t="n"/>
      <c r="L99" s="26" t="n"/>
      <c r="M99" s="27">
        <f>IF(AK99="","",MID("CBA",AK99,1))</f>
        <v/>
      </c>
      <c r="N99" s="22">
        <f>IF(COUNT(AF99:AH99)&lt;3,"",AF99*AG99*AH99)</f>
        <v/>
      </c>
      <c r="O99" s="28">
        <f>IF(C99="","",IF(AJ99="","Bewertung unvollständig / incomplete","Matrix "&amp;MID("CBA",AJ99,1)&amp;IF(AND(Regel_haeufig="ja",AH99=3,AJ99&lt;3)," · häufig +1","")&amp;IF(AND(Regel_sicherheit="ja",AI99=1,AJ99+IF(AND(Regel_haeufig="ja",AH99=3),1,0)&lt;2)," · Sicherheit ⇒ B","")&amp;" → "&amp;M99))</f>
        <v/>
      </c>
      <c r="P99" s="29" t="n"/>
      <c r="Q99" s="25" t="n"/>
      <c r="R99" s="22">
        <f>IF(AK99="","",INDEX(Soll_Tabelle,4-AK99,IF(AH99=3,2,1)))</f>
        <v/>
      </c>
      <c r="S99" s="26" t="n"/>
      <c r="T99" s="22">
        <f>IF(AL99="","",MAX(0,AL99-N(P99)))</f>
        <v/>
      </c>
      <c r="U99" s="30" t="n"/>
      <c r="V99" s="31">
        <f>IF(OR(T99="",U99=""),"",T99*U99)</f>
        <v/>
      </c>
      <c r="W99" s="31">
        <f>IF(COUNT(AF99:AG99)&lt;2,"",INDEX(Stillstand_h,AG99)*INDEX(Kostensatz,AF99))</f>
        <v/>
      </c>
      <c r="X99" s="32">
        <f>IF(AK99="","",IF(T99=0,"Bestand ausreichend / stock sufficient",IF(U99="","Stückpreis fehlt / price missing",IF(V99=0,"–",IF(W99/V99&gt;=Faktor_wirtschaftlich,"wirtschaftlich (Faktor "&amp;FIXED(W99/V99,1)&amp;")","nicht wirtschaftlich (Faktor "&amp;FIXED(W99/V99,1)&amp;")")))))</f>
        <v/>
      </c>
      <c r="Y99" s="33">
        <f>IF(AK99="","",IF(AK99=3,IF(T99&gt;0,IF(AG99=3,"Sofort beschaffen: Restbestand / Gebrauchtmarkt / Alternative sichern","Mindestbestand aufbauen ("&amp;T99&amp;" Stk.)"),"Bestand halten, jährlich prüfen"),IF(AK99=2,IF(T99&gt;0,"Bevorratung nach Wirtschaftlichkeit entscheiden; Quelle / Reparatur klären","Lieferzeit und Teilestatus jährlich prüfen"),"Keine Bevorratung – Beschaffung bei Bedarf")))</f>
        <v/>
      </c>
      <c r="Z99" s="25" t="n"/>
      <c r="AA99" s="25" t="n"/>
      <c r="AB99" s="34" t="n"/>
      <c r="AC99" s="26" t="n"/>
      <c r="AD99" s="25" t="n"/>
      <c r="AE99" s="2" t="n"/>
      <c r="AF99" s="35">
        <f>IF(I99="","",VALUE(LEFT(I99,1)))</f>
        <v/>
      </c>
      <c r="AG99" s="35">
        <f>IF(J99="","",VALUE(LEFT(J99,1)))</f>
        <v/>
      </c>
      <c r="AH99" s="35">
        <f>IF(K99="","",VALUE(LEFT(K99,1)))</f>
        <v/>
      </c>
      <c r="AI99" s="35">
        <f>IF(LEFT(L99,2)="ja",1,0)</f>
        <v/>
      </c>
      <c r="AJ99" s="35">
        <f>IF(COUNT(AF99:AH99)&lt;3,"",FIND(INDEX(Matrix,4-AF99,AG99),"CBA"))</f>
        <v/>
      </c>
      <c r="AK99" s="35">
        <f>IF(AJ99="","",MIN(3,MAX(AJ99+IF(AND(Regel_haeufig="ja",AH99=3),1,0),IF(AND(Regel_sicherheit="ja",AI99=1),2,0))))</f>
        <v/>
      </c>
      <c r="AL99" s="35">
        <f>IF(S99&lt;&gt;"",S99,IF(R99="","",R99))</f>
        <v/>
      </c>
      <c r="AM99" s="35">
        <f>IF(AK99="","",AK99*1000+N99*10+(1000-ROW())/100000)</f>
        <v/>
      </c>
    </row>
    <row r="100" ht="45" customHeight="1">
      <c r="A100" s="22">
        <f>IF(C100="","",COUNTA($C$7:C100))</f>
        <v/>
      </c>
      <c r="B100" s="23" t="n"/>
      <c r="C100" s="24" t="n"/>
      <c r="D100" s="25" t="n"/>
      <c r="E100" s="23" t="n"/>
      <c r="F100" s="26" t="n"/>
      <c r="G100" s="25" t="n"/>
      <c r="H100" s="25" t="n"/>
      <c r="I100" s="24" t="n"/>
      <c r="J100" s="24" t="n"/>
      <c r="K100" s="24" t="n"/>
      <c r="L100" s="26" t="n"/>
      <c r="M100" s="27">
        <f>IF(AK100="","",MID("CBA",AK100,1))</f>
        <v/>
      </c>
      <c r="N100" s="22">
        <f>IF(COUNT(AF100:AH100)&lt;3,"",AF100*AG100*AH100)</f>
        <v/>
      </c>
      <c r="O100" s="28">
        <f>IF(C100="","",IF(AJ100="","Bewertung unvollständig / incomplete","Matrix "&amp;MID("CBA",AJ100,1)&amp;IF(AND(Regel_haeufig="ja",AH100=3,AJ100&lt;3)," · häufig +1","")&amp;IF(AND(Regel_sicherheit="ja",AI100=1,AJ100+IF(AND(Regel_haeufig="ja",AH100=3),1,0)&lt;2)," · Sicherheit ⇒ B","")&amp;" → "&amp;M100))</f>
        <v/>
      </c>
      <c r="P100" s="29" t="n"/>
      <c r="Q100" s="25" t="n"/>
      <c r="R100" s="22">
        <f>IF(AK100="","",INDEX(Soll_Tabelle,4-AK100,IF(AH100=3,2,1)))</f>
        <v/>
      </c>
      <c r="S100" s="26" t="n"/>
      <c r="T100" s="22">
        <f>IF(AL100="","",MAX(0,AL100-N(P100)))</f>
        <v/>
      </c>
      <c r="U100" s="30" t="n"/>
      <c r="V100" s="31">
        <f>IF(OR(T100="",U100=""),"",T100*U100)</f>
        <v/>
      </c>
      <c r="W100" s="31">
        <f>IF(COUNT(AF100:AG100)&lt;2,"",INDEX(Stillstand_h,AG100)*INDEX(Kostensatz,AF100))</f>
        <v/>
      </c>
      <c r="X100" s="32">
        <f>IF(AK100="","",IF(T100=0,"Bestand ausreichend / stock sufficient",IF(U100="","Stückpreis fehlt / price missing",IF(V100=0,"–",IF(W100/V100&gt;=Faktor_wirtschaftlich,"wirtschaftlich (Faktor "&amp;FIXED(W100/V100,1)&amp;")","nicht wirtschaftlich (Faktor "&amp;FIXED(W100/V100,1)&amp;")")))))</f>
        <v/>
      </c>
      <c r="Y100" s="33">
        <f>IF(AK100="","",IF(AK100=3,IF(T100&gt;0,IF(AG100=3,"Sofort beschaffen: Restbestand / Gebrauchtmarkt / Alternative sichern","Mindestbestand aufbauen ("&amp;T100&amp;" Stk.)"),"Bestand halten, jährlich prüfen"),IF(AK100=2,IF(T100&gt;0,"Bevorratung nach Wirtschaftlichkeit entscheiden; Quelle / Reparatur klären","Lieferzeit und Teilestatus jährlich prüfen"),"Keine Bevorratung – Beschaffung bei Bedarf")))</f>
        <v/>
      </c>
      <c r="Z100" s="25" t="n"/>
      <c r="AA100" s="25" t="n"/>
      <c r="AB100" s="34" t="n"/>
      <c r="AC100" s="26" t="n"/>
      <c r="AD100" s="25" t="n"/>
      <c r="AE100" s="2" t="n"/>
      <c r="AF100" s="35">
        <f>IF(I100="","",VALUE(LEFT(I100,1)))</f>
        <v/>
      </c>
      <c r="AG100" s="35">
        <f>IF(J100="","",VALUE(LEFT(J100,1)))</f>
        <v/>
      </c>
      <c r="AH100" s="35">
        <f>IF(K100="","",VALUE(LEFT(K100,1)))</f>
        <v/>
      </c>
      <c r="AI100" s="35">
        <f>IF(LEFT(L100,2)="ja",1,0)</f>
        <v/>
      </c>
      <c r="AJ100" s="35">
        <f>IF(COUNT(AF100:AH100)&lt;3,"",FIND(INDEX(Matrix,4-AF100,AG100),"CBA"))</f>
        <v/>
      </c>
      <c r="AK100" s="35">
        <f>IF(AJ100="","",MIN(3,MAX(AJ100+IF(AND(Regel_haeufig="ja",AH100=3),1,0),IF(AND(Regel_sicherheit="ja",AI100=1),2,0))))</f>
        <v/>
      </c>
      <c r="AL100" s="35">
        <f>IF(S100&lt;&gt;"",S100,IF(R100="","",R100))</f>
        <v/>
      </c>
      <c r="AM100" s="35">
        <f>IF(AK100="","",AK100*1000+N100*10+(1000-ROW())/100000)</f>
        <v/>
      </c>
    </row>
    <row r="101" ht="45" customHeight="1">
      <c r="A101" s="22">
        <f>IF(C101="","",COUNTA($C$7:C101))</f>
        <v/>
      </c>
      <c r="B101" s="23" t="n"/>
      <c r="C101" s="24" t="n"/>
      <c r="D101" s="25" t="n"/>
      <c r="E101" s="23" t="n"/>
      <c r="F101" s="26" t="n"/>
      <c r="G101" s="25" t="n"/>
      <c r="H101" s="25" t="n"/>
      <c r="I101" s="24" t="n"/>
      <c r="J101" s="24" t="n"/>
      <c r="K101" s="24" t="n"/>
      <c r="L101" s="26" t="n"/>
      <c r="M101" s="27">
        <f>IF(AK101="","",MID("CBA",AK101,1))</f>
        <v/>
      </c>
      <c r="N101" s="22">
        <f>IF(COUNT(AF101:AH101)&lt;3,"",AF101*AG101*AH101)</f>
        <v/>
      </c>
      <c r="O101" s="28">
        <f>IF(C101="","",IF(AJ101="","Bewertung unvollständig / incomplete","Matrix "&amp;MID("CBA",AJ101,1)&amp;IF(AND(Regel_haeufig="ja",AH101=3,AJ101&lt;3)," · häufig +1","")&amp;IF(AND(Regel_sicherheit="ja",AI101=1,AJ101+IF(AND(Regel_haeufig="ja",AH101=3),1,0)&lt;2)," · Sicherheit ⇒ B","")&amp;" → "&amp;M101))</f>
        <v/>
      </c>
      <c r="P101" s="29" t="n"/>
      <c r="Q101" s="25" t="n"/>
      <c r="R101" s="22">
        <f>IF(AK101="","",INDEX(Soll_Tabelle,4-AK101,IF(AH101=3,2,1)))</f>
        <v/>
      </c>
      <c r="S101" s="26" t="n"/>
      <c r="T101" s="22">
        <f>IF(AL101="","",MAX(0,AL101-N(P101)))</f>
        <v/>
      </c>
      <c r="U101" s="30" t="n"/>
      <c r="V101" s="31">
        <f>IF(OR(T101="",U101=""),"",T101*U101)</f>
        <v/>
      </c>
      <c r="W101" s="31">
        <f>IF(COUNT(AF101:AG101)&lt;2,"",INDEX(Stillstand_h,AG101)*INDEX(Kostensatz,AF101))</f>
        <v/>
      </c>
      <c r="X101" s="32">
        <f>IF(AK101="","",IF(T101=0,"Bestand ausreichend / stock sufficient",IF(U101="","Stückpreis fehlt / price missing",IF(V101=0,"–",IF(W101/V101&gt;=Faktor_wirtschaftlich,"wirtschaftlich (Faktor "&amp;FIXED(W101/V101,1)&amp;")","nicht wirtschaftlich (Faktor "&amp;FIXED(W101/V101,1)&amp;")")))))</f>
        <v/>
      </c>
      <c r="Y101" s="33">
        <f>IF(AK101="","",IF(AK101=3,IF(T101&gt;0,IF(AG101=3,"Sofort beschaffen: Restbestand / Gebrauchtmarkt / Alternative sichern","Mindestbestand aufbauen ("&amp;T101&amp;" Stk.)"),"Bestand halten, jährlich prüfen"),IF(AK101=2,IF(T101&gt;0,"Bevorratung nach Wirtschaftlichkeit entscheiden; Quelle / Reparatur klären","Lieferzeit und Teilestatus jährlich prüfen"),"Keine Bevorratung – Beschaffung bei Bedarf")))</f>
        <v/>
      </c>
      <c r="Z101" s="25" t="n"/>
      <c r="AA101" s="25" t="n"/>
      <c r="AB101" s="34" t="n"/>
      <c r="AC101" s="26" t="n"/>
      <c r="AD101" s="25" t="n"/>
      <c r="AE101" s="2" t="n"/>
      <c r="AF101" s="35">
        <f>IF(I101="","",VALUE(LEFT(I101,1)))</f>
        <v/>
      </c>
      <c r="AG101" s="35">
        <f>IF(J101="","",VALUE(LEFT(J101,1)))</f>
        <v/>
      </c>
      <c r="AH101" s="35">
        <f>IF(K101="","",VALUE(LEFT(K101,1)))</f>
        <v/>
      </c>
      <c r="AI101" s="35">
        <f>IF(LEFT(L101,2)="ja",1,0)</f>
        <v/>
      </c>
      <c r="AJ101" s="35">
        <f>IF(COUNT(AF101:AH101)&lt;3,"",FIND(INDEX(Matrix,4-AF101,AG101),"CBA"))</f>
        <v/>
      </c>
      <c r="AK101" s="35">
        <f>IF(AJ101="","",MIN(3,MAX(AJ101+IF(AND(Regel_haeufig="ja",AH101=3),1,0),IF(AND(Regel_sicherheit="ja",AI101=1),2,0))))</f>
        <v/>
      </c>
      <c r="AL101" s="35">
        <f>IF(S101&lt;&gt;"",S101,IF(R101="","",R101))</f>
        <v/>
      </c>
      <c r="AM101" s="35">
        <f>IF(AK101="","",AK101*1000+N101*10+(1000-ROW())/100000)</f>
        <v/>
      </c>
    </row>
    <row r="102" ht="45" customHeight="1">
      <c r="A102" s="22">
        <f>IF(C102="","",COUNTA($C$7:C102))</f>
        <v/>
      </c>
      <c r="B102" s="23" t="n"/>
      <c r="C102" s="24" t="n"/>
      <c r="D102" s="25" t="n"/>
      <c r="E102" s="23" t="n"/>
      <c r="F102" s="26" t="n"/>
      <c r="G102" s="25" t="n"/>
      <c r="H102" s="25" t="n"/>
      <c r="I102" s="24" t="n"/>
      <c r="J102" s="24" t="n"/>
      <c r="K102" s="24" t="n"/>
      <c r="L102" s="26" t="n"/>
      <c r="M102" s="27">
        <f>IF(AK102="","",MID("CBA",AK102,1))</f>
        <v/>
      </c>
      <c r="N102" s="22">
        <f>IF(COUNT(AF102:AH102)&lt;3,"",AF102*AG102*AH102)</f>
        <v/>
      </c>
      <c r="O102" s="28">
        <f>IF(C102="","",IF(AJ102="","Bewertung unvollständig / incomplete","Matrix "&amp;MID("CBA",AJ102,1)&amp;IF(AND(Regel_haeufig="ja",AH102=3,AJ102&lt;3)," · häufig +1","")&amp;IF(AND(Regel_sicherheit="ja",AI102=1,AJ102+IF(AND(Regel_haeufig="ja",AH102=3),1,0)&lt;2)," · Sicherheit ⇒ B","")&amp;" → "&amp;M102))</f>
        <v/>
      </c>
      <c r="P102" s="29" t="n"/>
      <c r="Q102" s="25" t="n"/>
      <c r="R102" s="22">
        <f>IF(AK102="","",INDEX(Soll_Tabelle,4-AK102,IF(AH102=3,2,1)))</f>
        <v/>
      </c>
      <c r="S102" s="26" t="n"/>
      <c r="T102" s="22">
        <f>IF(AL102="","",MAX(0,AL102-N(P102)))</f>
        <v/>
      </c>
      <c r="U102" s="30" t="n"/>
      <c r="V102" s="31">
        <f>IF(OR(T102="",U102=""),"",T102*U102)</f>
        <v/>
      </c>
      <c r="W102" s="31">
        <f>IF(COUNT(AF102:AG102)&lt;2,"",INDEX(Stillstand_h,AG102)*INDEX(Kostensatz,AF102))</f>
        <v/>
      </c>
      <c r="X102" s="32">
        <f>IF(AK102="","",IF(T102=0,"Bestand ausreichend / stock sufficient",IF(U102="","Stückpreis fehlt / price missing",IF(V102=0,"–",IF(W102/V102&gt;=Faktor_wirtschaftlich,"wirtschaftlich (Faktor "&amp;FIXED(W102/V102,1)&amp;")","nicht wirtschaftlich (Faktor "&amp;FIXED(W102/V102,1)&amp;")")))))</f>
        <v/>
      </c>
      <c r="Y102" s="33">
        <f>IF(AK102="","",IF(AK102=3,IF(T102&gt;0,IF(AG102=3,"Sofort beschaffen: Restbestand / Gebrauchtmarkt / Alternative sichern","Mindestbestand aufbauen ("&amp;T102&amp;" Stk.)"),"Bestand halten, jährlich prüfen"),IF(AK102=2,IF(T102&gt;0,"Bevorratung nach Wirtschaftlichkeit entscheiden; Quelle / Reparatur klären","Lieferzeit und Teilestatus jährlich prüfen"),"Keine Bevorratung – Beschaffung bei Bedarf")))</f>
        <v/>
      </c>
      <c r="Z102" s="25" t="n"/>
      <c r="AA102" s="25" t="n"/>
      <c r="AB102" s="34" t="n"/>
      <c r="AC102" s="26" t="n"/>
      <c r="AD102" s="25" t="n"/>
      <c r="AE102" s="2" t="n"/>
      <c r="AF102" s="35">
        <f>IF(I102="","",VALUE(LEFT(I102,1)))</f>
        <v/>
      </c>
      <c r="AG102" s="35">
        <f>IF(J102="","",VALUE(LEFT(J102,1)))</f>
        <v/>
      </c>
      <c r="AH102" s="35">
        <f>IF(K102="","",VALUE(LEFT(K102,1)))</f>
        <v/>
      </c>
      <c r="AI102" s="35">
        <f>IF(LEFT(L102,2)="ja",1,0)</f>
        <v/>
      </c>
      <c r="AJ102" s="35">
        <f>IF(COUNT(AF102:AH102)&lt;3,"",FIND(INDEX(Matrix,4-AF102,AG102),"CBA"))</f>
        <v/>
      </c>
      <c r="AK102" s="35">
        <f>IF(AJ102="","",MIN(3,MAX(AJ102+IF(AND(Regel_haeufig="ja",AH102=3),1,0),IF(AND(Regel_sicherheit="ja",AI102=1),2,0))))</f>
        <v/>
      </c>
      <c r="AL102" s="35">
        <f>IF(S102&lt;&gt;"",S102,IF(R102="","",R102))</f>
        <v/>
      </c>
      <c r="AM102" s="35">
        <f>IF(AK102="","",AK102*1000+N102*10+(1000-ROW())/100000)</f>
        <v/>
      </c>
    </row>
    <row r="103" ht="45" customHeight="1">
      <c r="A103" s="22">
        <f>IF(C103="","",COUNTA($C$7:C103))</f>
        <v/>
      </c>
      <c r="B103" s="23" t="n"/>
      <c r="C103" s="24" t="n"/>
      <c r="D103" s="25" t="n"/>
      <c r="E103" s="23" t="n"/>
      <c r="F103" s="26" t="n"/>
      <c r="G103" s="25" t="n"/>
      <c r="H103" s="25" t="n"/>
      <c r="I103" s="24" t="n"/>
      <c r="J103" s="24" t="n"/>
      <c r="K103" s="24" t="n"/>
      <c r="L103" s="26" t="n"/>
      <c r="M103" s="27">
        <f>IF(AK103="","",MID("CBA",AK103,1))</f>
        <v/>
      </c>
      <c r="N103" s="22">
        <f>IF(COUNT(AF103:AH103)&lt;3,"",AF103*AG103*AH103)</f>
        <v/>
      </c>
      <c r="O103" s="28">
        <f>IF(C103="","",IF(AJ103="","Bewertung unvollständig / incomplete","Matrix "&amp;MID("CBA",AJ103,1)&amp;IF(AND(Regel_haeufig="ja",AH103=3,AJ103&lt;3)," · häufig +1","")&amp;IF(AND(Regel_sicherheit="ja",AI103=1,AJ103+IF(AND(Regel_haeufig="ja",AH103=3),1,0)&lt;2)," · Sicherheit ⇒ B","")&amp;" → "&amp;M103))</f>
        <v/>
      </c>
      <c r="P103" s="29" t="n"/>
      <c r="Q103" s="25" t="n"/>
      <c r="R103" s="22">
        <f>IF(AK103="","",INDEX(Soll_Tabelle,4-AK103,IF(AH103=3,2,1)))</f>
        <v/>
      </c>
      <c r="S103" s="26" t="n"/>
      <c r="T103" s="22">
        <f>IF(AL103="","",MAX(0,AL103-N(P103)))</f>
        <v/>
      </c>
      <c r="U103" s="30" t="n"/>
      <c r="V103" s="31">
        <f>IF(OR(T103="",U103=""),"",T103*U103)</f>
        <v/>
      </c>
      <c r="W103" s="31">
        <f>IF(COUNT(AF103:AG103)&lt;2,"",INDEX(Stillstand_h,AG103)*INDEX(Kostensatz,AF103))</f>
        <v/>
      </c>
      <c r="X103" s="32">
        <f>IF(AK103="","",IF(T103=0,"Bestand ausreichend / stock sufficient",IF(U103="","Stückpreis fehlt / price missing",IF(V103=0,"–",IF(W103/V103&gt;=Faktor_wirtschaftlich,"wirtschaftlich (Faktor "&amp;FIXED(W103/V103,1)&amp;")","nicht wirtschaftlich (Faktor "&amp;FIXED(W103/V103,1)&amp;")")))))</f>
        <v/>
      </c>
      <c r="Y103" s="33">
        <f>IF(AK103="","",IF(AK103=3,IF(T103&gt;0,IF(AG103=3,"Sofort beschaffen: Restbestand / Gebrauchtmarkt / Alternative sichern","Mindestbestand aufbauen ("&amp;T103&amp;" Stk.)"),"Bestand halten, jährlich prüfen"),IF(AK103=2,IF(T103&gt;0,"Bevorratung nach Wirtschaftlichkeit entscheiden; Quelle / Reparatur klären","Lieferzeit und Teilestatus jährlich prüfen"),"Keine Bevorratung – Beschaffung bei Bedarf")))</f>
        <v/>
      </c>
      <c r="Z103" s="25" t="n"/>
      <c r="AA103" s="25" t="n"/>
      <c r="AB103" s="34" t="n"/>
      <c r="AC103" s="26" t="n"/>
      <c r="AD103" s="25" t="n"/>
      <c r="AE103" s="2" t="n"/>
      <c r="AF103" s="35">
        <f>IF(I103="","",VALUE(LEFT(I103,1)))</f>
        <v/>
      </c>
      <c r="AG103" s="35">
        <f>IF(J103="","",VALUE(LEFT(J103,1)))</f>
        <v/>
      </c>
      <c r="AH103" s="35">
        <f>IF(K103="","",VALUE(LEFT(K103,1)))</f>
        <v/>
      </c>
      <c r="AI103" s="35">
        <f>IF(LEFT(L103,2)="ja",1,0)</f>
        <v/>
      </c>
      <c r="AJ103" s="35">
        <f>IF(COUNT(AF103:AH103)&lt;3,"",FIND(INDEX(Matrix,4-AF103,AG103),"CBA"))</f>
        <v/>
      </c>
      <c r="AK103" s="35">
        <f>IF(AJ103="","",MIN(3,MAX(AJ103+IF(AND(Regel_haeufig="ja",AH103=3),1,0),IF(AND(Regel_sicherheit="ja",AI103=1),2,0))))</f>
        <v/>
      </c>
      <c r="AL103" s="35">
        <f>IF(S103&lt;&gt;"",S103,IF(R103="","",R103))</f>
        <v/>
      </c>
      <c r="AM103" s="35">
        <f>IF(AK103="","",AK103*1000+N103*10+(1000-ROW())/100000)</f>
        <v/>
      </c>
    </row>
    <row r="104" ht="45" customHeight="1">
      <c r="A104" s="22">
        <f>IF(C104="","",COUNTA($C$7:C104))</f>
        <v/>
      </c>
      <c r="B104" s="23" t="n"/>
      <c r="C104" s="24" t="n"/>
      <c r="D104" s="25" t="n"/>
      <c r="E104" s="23" t="n"/>
      <c r="F104" s="26" t="n"/>
      <c r="G104" s="25" t="n"/>
      <c r="H104" s="25" t="n"/>
      <c r="I104" s="24" t="n"/>
      <c r="J104" s="24" t="n"/>
      <c r="K104" s="24" t="n"/>
      <c r="L104" s="26" t="n"/>
      <c r="M104" s="27">
        <f>IF(AK104="","",MID("CBA",AK104,1))</f>
        <v/>
      </c>
      <c r="N104" s="22">
        <f>IF(COUNT(AF104:AH104)&lt;3,"",AF104*AG104*AH104)</f>
        <v/>
      </c>
      <c r="O104" s="28">
        <f>IF(C104="","",IF(AJ104="","Bewertung unvollständig / incomplete","Matrix "&amp;MID("CBA",AJ104,1)&amp;IF(AND(Regel_haeufig="ja",AH104=3,AJ104&lt;3)," · häufig +1","")&amp;IF(AND(Regel_sicherheit="ja",AI104=1,AJ104+IF(AND(Regel_haeufig="ja",AH104=3),1,0)&lt;2)," · Sicherheit ⇒ B","")&amp;" → "&amp;M104))</f>
        <v/>
      </c>
      <c r="P104" s="29" t="n"/>
      <c r="Q104" s="25" t="n"/>
      <c r="R104" s="22">
        <f>IF(AK104="","",INDEX(Soll_Tabelle,4-AK104,IF(AH104=3,2,1)))</f>
        <v/>
      </c>
      <c r="S104" s="26" t="n"/>
      <c r="T104" s="22">
        <f>IF(AL104="","",MAX(0,AL104-N(P104)))</f>
        <v/>
      </c>
      <c r="U104" s="30" t="n"/>
      <c r="V104" s="31">
        <f>IF(OR(T104="",U104=""),"",T104*U104)</f>
        <v/>
      </c>
      <c r="W104" s="31">
        <f>IF(COUNT(AF104:AG104)&lt;2,"",INDEX(Stillstand_h,AG104)*INDEX(Kostensatz,AF104))</f>
        <v/>
      </c>
      <c r="X104" s="32">
        <f>IF(AK104="","",IF(T104=0,"Bestand ausreichend / stock sufficient",IF(U104="","Stückpreis fehlt / price missing",IF(V104=0,"–",IF(W104/V104&gt;=Faktor_wirtschaftlich,"wirtschaftlich (Faktor "&amp;FIXED(W104/V104,1)&amp;")","nicht wirtschaftlich (Faktor "&amp;FIXED(W104/V104,1)&amp;")")))))</f>
        <v/>
      </c>
      <c r="Y104" s="33">
        <f>IF(AK104="","",IF(AK104=3,IF(T104&gt;0,IF(AG104=3,"Sofort beschaffen: Restbestand / Gebrauchtmarkt / Alternative sichern","Mindestbestand aufbauen ("&amp;T104&amp;" Stk.)"),"Bestand halten, jährlich prüfen"),IF(AK104=2,IF(T104&gt;0,"Bevorratung nach Wirtschaftlichkeit entscheiden; Quelle / Reparatur klären","Lieferzeit und Teilestatus jährlich prüfen"),"Keine Bevorratung – Beschaffung bei Bedarf")))</f>
        <v/>
      </c>
      <c r="Z104" s="25" t="n"/>
      <c r="AA104" s="25" t="n"/>
      <c r="AB104" s="34" t="n"/>
      <c r="AC104" s="26" t="n"/>
      <c r="AD104" s="25" t="n"/>
      <c r="AE104" s="2" t="n"/>
      <c r="AF104" s="35">
        <f>IF(I104="","",VALUE(LEFT(I104,1)))</f>
        <v/>
      </c>
      <c r="AG104" s="35">
        <f>IF(J104="","",VALUE(LEFT(J104,1)))</f>
        <v/>
      </c>
      <c r="AH104" s="35">
        <f>IF(K104="","",VALUE(LEFT(K104,1)))</f>
        <v/>
      </c>
      <c r="AI104" s="35">
        <f>IF(LEFT(L104,2)="ja",1,0)</f>
        <v/>
      </c>
      <c r="AJ104" s="35">
        <f>IF(COUNT(AF104:AH104)&lt;3,"",FIND(INDEX(Matrix,4-AF104,AG104),"CBA"))</f>
        <v/>
      </c>
      <c r="AK104" s="35">
        <f>IF(AJ104="","",MIN(3,MAX(AJ104+IF(AND(Regel_haeufig="ja",AH104=3),1,0),IF(AND(Regel_sicherheit="ja",AI104=1),2,0))))</f>
        <v/>
      </c>
      <c r="AL104" s="35">
        <f>IF(S104&lt;&gt;"",S104,IF(R104="","",R104))</f>
        <v/>
      </c>
      <c r="AM104" s="35">
        <f>IF(AK104="","",AK104*1000+N104*10+(1000-ROW())/100000)</f>
        <v/>
      </c>
    </row>
    <row r="105" ht="45" customHeight="1">
      <c r="A105" s="22">
        <f>IF(C105="","",COUNTA($C$7:C105))</f>
        <v/>
      </c>
      <c r="B105" s="23" t="n"/>
      <c r="C105" s="24" t="n"/>
      <c r="D105" s="25" t="n"/>
      <c r="E105" s="23" t="n"/>
      <c r="F105" s="26" t="n"/>
      <c r="G105" s="25" t="n"/>
      <c r="H105" s="25" t="n"/>
      <c r="I105" s="24" t="n"/>
      <c r="J105" s="24" t="n"/>
      <c r="K105" s="24" t="n"/>
      <c r="L105" s="26" t="n"/>
      <c r="M105" s="27">
        <f>IF(AK105="","",MID("CBA",AK105,1))</f>
        <v/>
      </c>
      <c r="N105" s="22">
        <f>IF(COUNT(AF105:AH105)&lt;3,"",AF105*AG105*AH105)</f>
        <v/>
      </c>
      <c r="O105" s="28">
        <f>IF(C105="","",IF(AJ105="","Bewertung unvollständig / incomplete","Matrix "&amp;MID("CBA",AJ105,1)&amp;IF(AND(Regel_haeufig="ja",AH105=3,AJ105&lt;3)," · häufig +1","")&amp;IF(AND(Regel_sicherheit="ja",AI105=1,AJ105+IF(AND(Regel_haeufig="ja",AH105=3),1,0)&lt;2)," · Sicherheit ⇒ B","")&amp;" → "&amp;M105))</f>
        <v/>
      </c>
      <c r="P105" s="29" t="n"/>
      <c r="Q105" s="25" t="n"/>
      <c r="R105" s="22">
        <f>IF(AK105="","",INDEX(Soll_Tabelle,4-AK105,IF(AH105=3,2,1)))</f>
        <v/>
      </c>
      <c r="S105" s="26" t="n"/>
      <c r="T105" s="22">
        <f>IF(AL105="","",MAX(0,AL105-N(P105)))</f>
        <v/>
      </c>
      <c r="U105" s="30" t="n"/>
      <c r="V105" s="31">
        <f>IF(OR(T105="",U105=""),"",T105*U105)</f>
        <v/>
      </c>
      <c r="W105" s="31">
        <f>IF(COUNT(AF105:AG105)&lt;2,"",INDEX(Stillstand_h,AG105)*INDEX(Kostensatz,AF105))</f>
        <v/>
      </c>
      <c r="X105" s="32">
        <f>IF(AK105="","",IF(T105=0,"Bestand ausreichend / stock sufficient",IF(U105="","Stückpreis fehlt / price missing",IF(V105=0,"–",IF(W105/V105&gt;=Faktor_wirtschaftlich,"wirtschaftlich (Faktor "&amp;FIXED(W105/V105,1)&amp;")","nicht wirtschaftlich (Faktor "&amp;FIXED(W105/V105,1)&amp;")")))))</f>
        <v/>
      </c>
      <c r="Y105" s="33">
        <f>IF(AK105="","",IF(AK105=3,IF(T105&gt;0,IF(AG105=3,"Sofort beschaffen: Restbestand / Gebrauchtmarkt / Alternative sichern","Mindestbestand aufbauen ("&amp;T105&amp;" Stk.)"),"Bestand halten, jährlich prüfen"),IF(AK105=2,IF(T105&gt;0,"Bevorratung nach Wirtschaftlichkeit entscheiden; Quelle / Reparatur klären","Lieferzeit und Teilestatus jährlich prüfen"),"Keine Bevorratung – Beschaffung bei Bedarf")))</f>
        <v/>
      </c>
      <c r="Z105" s="25" t="n"/>
      <c r="AA105" s="25" t="n"/>
      <c r="AB105" s="34" t="n"/>
      <c r="AC105" s="26" t="n"/>
      <c r="AD105" s="25" t="n"/>
      <c r="AE105" s="2" t="n"/>
      <c r="AF105" s="35">
        <f>IF(I105="","",VALUE(LEFT(I105,1)))</f>
        <v/>
      </c>
      <c r="AG105" s="35">
        <f>IF(J105="","",VALUE(LEFT(J105,1)))</f>
        <v/>
      </c>
      <c r="AH105" s="35">
        <f>IF(K105="","",VALUE(LEFT(K105,1)))</f>
        <v/>
      </c>
      <c r="AI105" s="35">
        <f>IF(LEFT(L105,2)="ja",1,0)</f>
        <v/>
      </c>
      <c r="AJ105" s="35">
        <f>IF(COUNT(AF105:AH105)&lt;3,"",FIND(INDEX(Matrix,4-AF105,AG105),"CBA"))</f>
        <v/>
      </c>
      <c r="AK105" s="35">
        <f>IF(AJ105="","",MIN(3,MAX(AJ105+IF(AND(Regel_haeufig="ja",AH105=3),1,0),IF(AND(Regel_sicherheit="ja",AI105=1),2,0))))</f>
        <v/>
      </c>
      <c r="AL105" s="35">
        <f>IF(S105&lt;&gt;"",S105,IF(R105="","",R105))</f>
        <v/>
      </c>
      <c r="AM105" s="35">
        <f>IF(AK105="","",AK105*1000+N105*10+(1000-ROW())/100000)</f>
        <v/>
      </c>
    </row>
    <row r="106" ht="45" customHeight="1">
      <c r="A106" s="22">
        <f>IF(C106="","",COUNTA($C$7:C106))</f>
        <v/>
      </c>
      <c r="B106" s="23" t="n"/>
      <c r="C106" s="24" t="n"/>
      <c r="D106" s="25" t="n"/>
      <c r="E106" s="23" t="n"/>
      <c r="F106" s="26" t="n"/>
      <c r="G106" s="25" t="n"/>
      <c r="H106" s="25" t="n"/>
      <c r="I106" s="24" t="n"/>
      <c r="J106" s="24" t="n"/>
      <c r="K106" s="24" t="n"/>
      <c r="L106" s="26" t="n"/>
      <c r="M106" s="27">
        <f>IF(AK106="","",MID("CBA",AK106,1))</f>
        <v/>
      </c>
      <c r="N106" s="22">
        <f>IF(COUNT(AF106:AH106)&lt;3,"",AF106*AG106*AH106)</f>
        <v/>
      </c>
      <c r="O106" s="28">
        <f>IF(C106="","",IF(AJ106="","Bewertung unvollständig / incomplete","Matrix "&amp;MID("CBA",AJ106,1)&amp;IF(AND(Regel_haeufig="ja",AH106=3,AJ106&lt;3)," · häufig +1","")&amp;IF(AND(Regel_sicherheit="ja",AI106=1,AJ106+IF(AND(Regel_haeufig="ja",AH106=3),1,0)&lt;2)," · Sicherheit ⇒ B","")&amp;" → "&amp;M106))</f>
        <v/>
      </c>
      <c r="P106" s="29" t="n"/>
      <c r="Q106" s="25" t="n"/>
      <c r="R106" s="22">
        <f>IF(AK106="","",INDEX(Soll_Tabelle,4-AK106,IF(AH106=3,2,1)))</f>
        <v/>
      </c>
      <c r="S106" s="26" t="n"/>
      <c r="T106" s="22">
        <f>IF(AL106="","",MAX(0,AL106-N(P106)))</f>
        <v/>
      </c>
      <c r="U106" s="30" t="n"/>
      <c r="V106" s="31">
        <f>IF(OR(T106="",U106=""),"",T106*U106)</f>
        <v/>
      </c>
      <c r="W106" s="31">
        <f>IF(COUNT(AF106:AG106)&lt;2,"",INDEX(Stillstand_h,AG106)*INDEX(Kostensatz,AF106))</f>
        <v/>
      </c>
      <c r="X106" s="32">
        <f>IF(AK106="","",IF(T106=0,"Bestand ausreichend / stock sufficient",IF(U106="","Stückpreis fehlt / price missing",IF(V106=0,"–",IF(W106/V106&gt;=Faktor_wirtschaftlich,"wirtschaftlich (Faktor "&amp;FIXED(W106/V106,1)&amp;")","nicht wirtschaftlich (Faktor "&amp;FIXED(W106/V106,1)&amp;")")))))</f>
        <v/>
      </c>
      <c r="Y106" s="33">
        <f>IF(AK106="","",IF(AK106=3,IF(T106&gt;0,IF(AG106=3,"Sofort beschaffen: Restbestand / Gebrauchtmarkt / Alternative sichern","Mindestbestand aufbauen ("&amp;T106&amp;" Stk.)"),"Bestand halten, jährlich prüfen"),IF(AK106=2,IF(T106&gt;0,"Bevorratung nach Wirtschaftlichkeit entscheiden; Quelle / Reparatur klären","Lieferzeit und Teilestatus jährlich prüfen"),"Keine Bevorratung – Beschaffung bei Bedarf")))</f>
        <v/>
      </c>
      <c r="Z106" s="25" t="n"/>
      <c r="AA106" s="25" t="n"/>
      <c r="AB106" s="34" t="n"/>
      <c r="AC106" s="26" t="n"/>
      <c r="AD106" s="25" t="n"/>
      <c r="AE106" s="2" t="n"/>
      <c r="AF106" s="35">
        <f>IF(I106="","",VALUE(LEFT(I106,1)))</f>
        <v/>
      </c>
      <c r="AG106" s="35">
        <f>IF(J106="","",VALUE(LEFT(J106,1)))</f>
        <v/>
      </c>
      <c r="AH106" s="35">
        <f>IF(K106="","",VALUE(LEFT(K106,1)))</f>
        <v/>
      </c>
      <c r="AI106" s="35">
        <f>IF(LEFT(L106,2)="ja",1,0)</f>
        <v/>
      </c>
      <c r="AJ106" s="35">
        <f>IF(COUNT(AF106:AH106)&lt;3,"",FIND(INDEX(Matrix,4-AF106,AG106),"CBA"))</f>
        <v/>
      </c>
      <c r="AK106" s="35">
        <f>IF(AJ106="","",MIN(3,MAX(AJ106+IF(AND(Regel_haeufig="ja",AH106=3),1,0),IF(AND(Regel_sicherheit="ja",AI106=1),2,0))))</f>
        <v/>
      </c>
      <c r="AL106" s="35">
        <f>IF(S106&lt;&gt;"",S106,IF(R106="","",R106))</f>
        <v/>
      </c>
      <c r="AM106" s="35">
        <f>IF(AK106="","",AK106*1000+N106*10+(1000-ROW())/100000)</f>
        <v/>
      </c>
    </row>
    <row r="107" ht="45" customHeight="1">
      <c r="A107" s="22">
        <f>IF(C107="","",COUNTA($C$7:C107))</f>
        <v/>
      </c>
      <c r="B107" s="23" t="n"/>
      <c r="C107" s="24" t="n"/>
      <c r="D107" s="25" t="n"/>
      <c r="E107" s="23" t="n"/>
      <c r="F107" s="26" t="n"/>
      <c r="G107" s="25" t="n"/>
      <c r="H107" s="25" t="n"/>
      <c r="I107" s="24" t="n"/>
      <c r="J107" s="24" t="n"/>
      <c r="K107" s="24" t="n"/>
      <c r="L107" s="26" t="n"/>
      <c r="M107" s="27">
        <f>IF(AK107="","",MID("CBA",AK107,1))</f>
        <v/>
      </c>
      <c r="N107" s="22">
        <f>IF(COUNT(AF107:AH107)&lt;3,"",AF107*AG107*AH107)</f>
        <v/>
      </c>
      <c r="O107" s="28">
        <f>IF(C107="","",IF(AJ107="","Bewertung unvollständig / incomplete","Matrix "&amp;MID("CBA",AJ107,1)&amp;IF(AND(Regel_haeufig="ja",AH107=3,AJ107&lt;3)," · häufig +1","")&amp;IF(AND(Regel_sicherheit="ja",AI107=1,AJ107+IF(AND(Regel_haeufig="ja",AH107=3),1,0)&lt;2)," · Sicherheit ⇒ B","")&amp;" → "&amp;M107))</f>
        <v/>
      </c>
      <c r="P107" s="29" t="n"/>
      <c r="Q107" s="25" t="n"/>
      <c r="R107" s="22">
        <f>IF(AK107="","",INDEX(Soll_Tabelle,4-AK107,IF(AH107=3,2,1)))</f>
        <v/>
      </c>
      <c r="S107" s="26" t="n"/>
      <c r="T107" s="22">
        <f>IF(AL107="","",MAX(0,AL107-N(P107)))</f>
        <v/>
      </c>
      <c r="U107" s="30" t="n"/>
      <c r="V107" s="31">
        <f>IF(OR(T107="",U107=""),"",T107*U107)</f>
        <v/>
      </c>
      <c r="W107" s="31">
        <f>IF(COUNT(AF107:AG107)&lt;2,"",INDEX(Stillstand_h,AG107)*INDEX(Kostensatz,AF107))</f>
        <v/>
      </c>
      <c r="X107" s="32">
        <f>IF(AK107="","",IF(T107=0,"Bestand ausreichend / stock sufficient",IF(U107="","Stückpreis fehlt / price missing",IF(V107=0,"–",IF(W107/V107&gt;=Faktor_wirtschaftlich,"wirtschaftlich (Faktor "&amp;FIXED(W107/V107,1)&amp;")","nicht wirtschaftlich (Faktor "&amp;FIXED(W107/V107,1)&amp;")")))))</f>
        <v/>
      </c>
      <c r="Y107" s="33">
        <f>IF(AK107="","",IF(AK107=3,IF(T107&gt;0,IF(AG107=3,"Sofort beschaffen: Restbestand / Gebrauchtmarkt / Alternative sichern","Mindestbestand aufbauen ("&amp;T107&amp;" Stk.)"),"Bestand halten, jährlich prüfen"),IF(AK107=2,IF(T107&gt;0,"Bevorratung nach Wirtschaftlichkeit entscheiden; Quelle / Reparatur klären","Lieferzeit und Teilestatus jährlich prüfen"),"Keine Bevorratung – Beschaffung bei Bedarf")))</f>
        <v/>
      </c>
      <c r="Z107" s="25" t="n"/>
      <c r="AA107" s="25" t="n"/>
      <c r="AB107" s="34" t="n"/>
      <c r="AC107" s="26" t="n"/>
      <c r="AD107" s="25" t="n"/>
      <c r="AE107" s="2" t="n"/>
      <c r="AF107" s="35">
        <f>IF(I107="","",VALUE(LEFT(I107,1)))</f>
        <v/>
      </c>
      <c r="AG107" s="35">
        <f>IF(J107="","",VALUE(LEFT(J107,1)))</f>
        <v/>
      </c>
      <c r="AH107" s="35">
        <f>IF(K107="","",VALUE(LEFT(K107,1)))</f>
        <v/>
      </c>
      <c r="AI107" s="35">
        <f>IF(LEFT(L107,2)="ja",1,0)</f>
        <v/>
      </c>
      <c r="AJ107" s="35">
        <f>IF(COUNT(AF107:AH107)&lt;3,"",FIND(INDEX(Matrix,4-AF107,AG107),"CBA"))</f>
        <v/>
      </c>
      <c r="AK107" s="35">
        <f>IF(AJ107="","",MIN(3,MAX(AJ107+IF(AND(Regel_haeufig="ja",AH107=3),1,0),IF(AND(Regel_sicherheit="ja",AI107=1),2,0))))</f>
        <v/>
      </c>
      <c r="AL107" s="35">
        <f>IF(S107&lt;&gt;"",S107,IF(R107="","",R107))</f>
        <v/>
      </c>
      <c r="AM107" s="35">
        <f>IF(AK107="","",AK107*1000+N107*10+(1000-ROW())/100000)</f>
        <v/>
      </c>
    </row>
    <row r="108" ht="45" customHeight="1">
      <c r="A108" s="22">
        <f>IF(C108="","",COUNTA($C$7:C108))</f>
        <v/>
      </c>
      <c r="B108" s="23" t="n"/>
      <c r="C108" s="24" t="n"/>
      <c r="D108" s="25" t="n"/>
      <c r="E108" s="23" t="n"/>
      <c r="F108" s="26" t="n"/>
      <c r="G108" s="25" t="n"/>
      <c r="H108" s="25" t="n"/>
      <c r="I108" s="24" t="n"/>
      <c r="J108" s="24" t="n"/>
      <c r="K108" s="24" t="n"/>
      <c r="L108" s="26" t="n"/>
      <c r="M108" s="27">
        <f>IF(AK108="","",MID("CBA",AK108,1))</f>
        <v/>
      </c>
      <c r="N108" s="22">
        <f>IF(COUNT(AF108:AH108)&lt;3,"",AF108*AG108*AH108)</f>
        <v/>
      </c>
      <c r="O108" s="28">
        <f>IF(C108="","",IF(AJ108="","Bewertung unvollständig / incomplete","Matrix "&amp;MID("CBA",AJ108,1)&amp;IF(AND(Regel_haeufig="ja",AH108=3,AJ108&lt;3)," · häufig +1","")&amp;IF(AND(Regel_sicherheit="ja",AI108=1,AJ108+IF(AND(Regel_haeufig="ja",AH108=3),1,0)&lt;2)," · Sicherheit ⇒ B","")&amp;" → "&amp;M108))</f>
        <v/>
      </c>
      <c r="P108" s="29" t="n"/>
      <c r="Q108" s="25" t="n"/>
      <c r="R108" s="22">
        <f>IF(AK108="","",INDEX(Soll_Tabelle,4-AK108,IF(AH108=3,2,1)))</f>
        <v/>
      </c>
      <c r="S108" s="26" t="n"/>
      <c r="T108" s="22">
        <f>IF(AL108="","",MAX(0,AL108-N(P108)))</f>
        <v/>
      </c>
      <c r="U108" s="30" t="n"/>
      <c r="V108" s="31">
        <f>IF(OR(T108="",U108=""),"",T108*U108)</f>
        <v/>
      </c>
      <c r="W108" s="31">
        <f>IF(COUNT(AF108:AG108)&lt;2,"",INDEX(Stillstand_h,AG108)*INDEX(Kostensatz,AF108))</f>
        <v/>
      </c>
      <c r="X108" s="32">
        <f>IF(AK108="","",IF(T108=0,"Bestand ausreichend / stock sufficient",IF(U108="","Stückpreis fehlt / price missing",IF(V108=0,"–",IF(W108/V108&gt;=Faktor_wirtschaftlich,"wirtschaftlich (Faktor "&amp;FIXED(W108/V108,1)&amp;")","nicht wirtschaftlich (Faktor "&amp;FIXED(W108/V108,1)&amp;")")))))</f>
        <v/>
      </c>
      <c r="Y108" s="33">
        <f>IF(AK108="","",IF(AK108=3,IF(T108&gt;0,IF(AG108=3,"Sofort beschaffen: Restbestand / Gebrauchtmarkt / Alternative sichern","Mindestbestand aufbauen ("&amp;T108&amp;" Stk.)"),"Bestand halten, jährlich prüfen"),IF(AK108=2,IF(T108&gt;0,"Bevorratung nach Wirtschaftlichkeit entscheiden; Quelle / Reparatur klären","Lieferzeit und Teilestatus jährlich prüfen"),"Keine Bevorratung – Beschaffung bei Bedarf")))</f>
        <v/>
      </c>
      <c r="Z108" s="25" t="n"/>
      <c r="AA108" s="25" t="n"/>
      <c r="AB108" s="34" t="n"/>
      <c r="AC108" s="26" t="n"/>
      <c r="AD108" s="25" t="n"/>
      <c r="AE108" s="2" t="n"/>
      <c r="AF108" s="35">
        <f>IF(I108="","",VALUE(LEFT(I108,1)))</f>
        <v/>
      </c>
      <c r="AG108" s="35">
        <f>IF(J108="","",VALUE(LEFT(J108,1)))</f>
        <v/>
      </c>
      <c r="AH108" s="35">
        <f>IF(K108="","",VALUE(LEFT(K108,1)))</f>
        <v/>
      </c>
      <c r="AI108" s="35">
        <f>IF(LEFT(L108,2)="ja",1,0)</f>
        <v/>
      </c>
      <c r="AJ108" s="35">
        <f>IF(COUNT(AF108:AH108)&lt;3,"",FIND(INDEX(Matrix,4-AF108,AG108),"CBA"))</f>
        <v/>
      </c>
      <c r="AK108" s="35">
        <f>IF(AJ108="","",MIN(3,MAX(AJ108+IF(AND(Regel_haeufig="ja",AH108=3),1,0),IF(AND(Regel_sicherheit="ja",AI108=1),2,0))))</f>
        <v/>
      </c>
      <c r="AL108" s="35">
        <f>IF(S108&lt;&gt;"",S108,IF(R108="","",R108))</f>
        <v/>
      </c>
      <c r="AM108" s="35">
        <f>IF(AK108="","",AK108*1000+N108*10+(1000-ROW())/100000)</f>
        <v/>
      </c>
    </row>
    <row r="109" ht="45" customHeight="1">
      <c r="A109" s="22">
        <f>IF(C109="","",COUNTA($C$7:C109))</f>
        <v/>
      </c>
      <c r="B109" s="23" t="n"/>
      <c r="C109" s="24" t="n"/>
      <c r="D109" s="25" t="n"/>
      <c r="E109" s="23" t="n"/>
      <c r="F109" s="26" t="n"/>
      <c r="G109" s="25" t="n"/>
      <c r="H109" s="25" t="n"/>
      <c r="I109" s="24" t="n"/>
      <c r="J109" s="24" t="n"/>
      <c r="K109" s="24" t="n"/>
      <c r="L109" s="26" t="n"/>
      <c r="M109" s="27">
        <f>IF(AK109="","",MID("CBA",AK109,1))</f>
        <v/>
      </c>
      <c r="N109" s="22">
        <f>IF(COUNT(AF109:AH109)&lt;3,"",AF109*AG109*AH109)</f>
        <v/>
      </c>
      <c r="O109" s="28">
        <f>IF(C109="","",IF(AJ109="","Bewertung unvollständig / incomplete","Matrix "&amp;MID("CBA",AJ109,1)&amp;IF(AND(Regel_haeufig="ja",AH109=3,AJ109&lt;3)," · häufig +1","")&amp;IF(AND(Regel_sicherheit="ja",AI109=1,AJ109+IF(AND(Regel_haeufig="ja",AH109=3),1,0)&lt;2)," · Sicherheit ⇒ B","")&amp;" → "&amp;M109))</f>
        <v/>
      </c>
      <c r="P109" s="29" t="n"/>
      <c r="Q109" s="25" t="n"/>
      <c r="R109" s="22">
        <f>IF(AK109="","",INDEX(Soll_Tabelle,4-AK109,IF(AH109=3,2,1)))</f>
        <v/>
      </c>
      <c r="S109" s="26" t="n"/>
      <c r="T109" s="22">
        <f>IF(AL109="","",MAX(0,AL109-N(P109)))</f>
        <v/>
      </c>
      <c r="U109" s="30" t="n"/>
      <c r="V109" s="31">
        <f>IF(OR(T109="",U109=""),"",T109*U109)</f>
        <v/>
      </c>
      <c r="W109" s="31">
        <f>IF(COUNT(AF109:AG109)&lt;2,"",INDEX(Stillstand_h,AG109)*INDEX(Kostensatz,AF109))</f>
        <v/>
      </c>
      <c r="X109" s="32">
        <f>IF(AK109="","",IF(T109=0,"Bestand ausreichend / stock sufficient",IF(U109="","Stückpreis fehlt / price missing",IF(V109=0,"–",IF(W109/V109&gt;=Faktor_wirtschaftlich,"wirtschaftlich (Faktor "&amp;FIXED(W109/V109,1)&amp;")","nicht wirtschaftlich (Faktor "&amp;FIXED(W109/V109,1)&amp;")")))))</f>
        <v/>
      </c>
      <c r="Y109" s="33">
        <f>IF(AK109="","",IF(AK109=3,IF(T109&gt;0,IF(AG109=3,"Sofort beschaffen: Restbestand / Gebrauchtmarkt / Alternative sichern","Mindestbestand aufbauen ("&amp;T109&amp;" Stk.)"),"Bestand halten, jährlich prüfen"),IF(AK109=2,IF(T109&gt;0,"Bevorratung nach Wirtschaftlichkeit entscheiden; Quelle / Reparatur klären","Lieferzeit und Teilestatus jährlich prüfen"),"Keine Bevorratung – Beschaffung bei Bedarf")))</f>
        <v/>
      </c>
      <c r="Z109" s="25" t="n"/>
      <c r="AA109" s="25" t="n"/>
      <c r="AB109" s="34" t="n"/>
      <c r="AC109" s="26" t="n"/>
      <c r="AD109" s="25" t="n"/>
      <c r="AE109" s="2" t="n"/>
      <c r="AF109" s="35">
        <f>IF(I109="","",VALUE(LEFT(I109,1)))</f>
        <v/>
      </c>
      <c r="AG109" s="35">
        <f>IF(J109="","",VALUE(LEFT(J109,1)))</f>
        <v/>
      </c>
      <c r="AH109" s="35">
        <f>IF(K109="","",VALUE(LEFT(K109,1)))</f>
        <v/>
      </c>
      <c r="AI109" s="35">
        <f>IF(LEFT(L109,2)="ja",1,0)</f>
        <v/>
      </c>
      <c r="AJ109" s="35">
        <f>IF(COUNT(AF109:AH109)&lt;3,"",FIND(INDEX(Matrix,4-AF109,AG109),"CBA"))</f>
        <v/>
      </c>
      <c r="AK109" s="35">
        <f>IF(AJ109="","",MIN(3,MAX(AJ109+IF(AND(Regel_haeufig="ja",AH109=3),1,0),IF(AND(Regel_sicherheit="ja",AI109=1),2,0))))</f>
        <v/>
      </c>
      <c r="AL109" s="35">
        <f>IF(S109&lt;&gt;"",S109,IF(R109="","",R109))</f>
        <v/>
      </c>
      <c r="AM109" s="35">
        <f>IF(AK109="","",AK109*1000+N109*10+(1000-ROW())/100000)</f>
        <v/>
      </c>
    </row>
    <row r="110" ht="45" customHeight="1">
      <c r="A110" s="22">
        <f>IF(C110="","",COUNTA($C$7:C110))</f>
        <v/>
      </c>
      <c r="B110" s="23" t="n"/>
      <c r="C110" s="24" t="n"/>
      <c r="D110" s="25" t="n"/>
      <c r="E110" s="23" t="n"/>
      <c r="F110" s="26" t="n"/>
      <c r="G110" s="25" t="n"/>
      <c r="H110" s="25" t="n"/>
      <c r="I110" s="24" t="n"/>
      <c r="J110" s="24" t="n"/>
      <c r="K110" s="24" t="n"/>
      <c r="L110" s="26" t="n"/>
      <c r="M110" s="27">
        <f>IF(AK110="","",MID("CBA",AK110,1))</f>
        <v/>
      </c>
      <c r="N110" s="22">
        <f>IF(COUNT(AF110:AH110)&lt;3,"",AF110*AG110*AH110)</f>
        <v/>
      </c>
      <c r="O110" s="28">
        <f>IF(C110="","",IF(AJ110="","Bewertung unvollständig / incomplete","Matrix "&amp;MID("CBA",AJ110,1)&amp;IF(AND(Regel_haeufig="ja",AH110=3,AJ110&lt;3)," · häufig +1","")&amp;IF(AND(Regel_sicherheit="ja",AI110=1,AJ110+IF(AND(Regel_haeufig="ja",AH110=3),1,0)&lt;2)," · Sicherheit ⇒ B","")&amp;" → "&amp;M110))</f>
        <v/>
      </c>
      <c r="P110" s="29" t="n"/>
      <c r="Q110" s="25" t="n"/>
      <c r="R110" s="22">
        <f>IF(AK110="","",INDEX(Soll_Tabelle,4-AK110,IF(AH110=3,2,1)))</f>
        <v/>
      </c>
      <c r="S110" s="26" t="n"/>
      <c r="T110" s="22">
        <f>IF(AL110="","",MAX(0,AL110-N(P110)))</f>
        <v/>
      </c>
      <c r="U110" s="30" t="n"/>
      <c r="V110" s="31">
        <f>IF(OR(T110="",U110=""),"",T110*U110)</f>
        <v/>
      </c>
      <c r="W110" s="31">
        <f>IF(COUNT(AF110:AG110)&lt;2,"",INDEX(Stillstand_h,AG110)*INDEX(Kostensatz,AF110))</f>
        <v/>
      </c>
      <c r="X110" s="32">
        <f>IF(AK110="","",IF(T110=0,"Bestand ausreichend / stock sufficient",IF(U110="","Stückpreis fehlt / price missing",IF(V110=0,"–",IF(W110/V110&gt;=Faktor_wirtschaftlich,"wirtschaftlich (Faktor "&amp;FIXED(W110/V110,1)&amp;")","nicht wirtschaftlich (Faktor "&amp;FIXED(W110/V110,1)&amp;")")))))</f>
        <v/>
      </c>
      <c r="Y110" s="33">
        <f>IF(AK110="","",IF(AK110=3,IF(T110&gt;0,IF(AG110=3,"Sofort beschaffen: Restbestand / Gebrauchtmarkt / Alternative sichern","Mindestbestand aufbauen ("&amp;T110&amp;" Stk.)"),"Bestand halten, jährlich prüfen"),IF(AK110=2,IF(T110&gt;0,"Bevorratung nach Wirtschaftlichkeit entscheiden; Quelle / Reparatur klären","Lieferzeit und Teilestatus jährlich prüfen"),"Keine Bevorratung – Beschaffung bei Bedarf")))</f>
        <v/>
      </c>
      <c r="Z110" s="25" t="n"/>
      <c r="AA110" s="25" t="n"/>
      <c r="AB110" s="34" t="n"/>
      <c r="AC110" s="26" t="n"/>
      <c r="AD110" s="25" t="n"/>
      <c r="AE110" s="2" t="n"/>
      <c r="AF110" s="35">
        <f>IF(I110="","",VALUE(LEFT(I110,1)))</f>
        <v/>
      </c>
      <c r="AG110" s="35">
        <f>IF(J110="","",VALUE(LEFT(J110,1)))</f>
        <v/>
      </c>
      <c r="AH110" s="35">
        <f>IF(K110="","",VALUE(LEFT(K110,1)))</f>
        <v/>
      </c>
      <c r="AI110" s="35">
        <f>IF(LEFT(L110,2)="ja",1,0)</f>
        <v/>
      </c>
      <c r="AJ110" s="35">
        <f>IF(COUNT(AF110:AH110)&lt;3,"",FIND(INDEX(Matrix,4-AF110,AG110),"CBA"))</f>
        <v/>
      </c>
      <c r="AK110" s="35">
        <f>IF(AJ110="","",MIN(3,MAX(AJ110+IF(AND(Regel_haeufig="ja",AH110=3),1,0),IF(AND(Regel_sicherheit="ja",AI110=1),2,0))))</f>
        <v/>
      </c>
      <c r="AL110" s="35">
        <f>IF(S110&lt;&gt;"",S110,IF(R110="","",R110))</f>
        <v/>
      </c>
      <c r="AM110" s="35">
        <f>IF(AK110="","",AK110*1000+N110*10+(1000-ROW())/100000)</f>
        <v/>
      </c>
    </row>
    <row r="111" ht="45" customHeight="1">
      <c r="A111" s="22">
        <f>IF(C111="","",COUNTA($C$7:C111))</f>
        <v/>
      </c>
      <c r="B111" s="23" t="n"/>
      <c r="C111" s="24" t="n"/>
      <c r="D111" s="25" t="n"/>
      <c r="E111" s="23" t="n"/>
      <c r="F111" s="26" t="n"/>
      <c r="G111" s="25" t="n"/>
      <c r="H111" s="25" t="n"/>
      <c r="I111" s="24" t="n"/>
      <c r="J111" s="24" t="n"/>
      <c r="K111" s="24" t="n"/>
      <c r="L111" s="26" t="n"/>
      <c r="M111" s="27">
        <f>IF(AK111="","",MID("CBA",AK111,1))</f>
        <v/>
      </c>
      <c r="N111" s="22">
        <f>IF(COUNT(AF111:AH111)&lt;3,"",AF111*AG111*AH111)</f>
        <v/>
      </c>
      <c r="O111" s="28">
        <f>IF(C111="","",IF(AJ111="","Bewertung unvollständig / incomplete","Matrix "&amp;MID("CBA",AJ111,1)&amp;IF(AND(Regel_haeufig="ja",AH111=3,AJ111&lt;3)," · häufig +1","")&amp;IF(AND(Regel_sicherheit="ja",AI111=1,AJ111+IF(AND(Regel_haeufig="ja",AH111=3),1,0)&lt;2)," · Sicherheit ⇒ B","")&amp;" → "&amp;M111))</f>
        <v/>
      </c>
      <c r="P111" s="29" t="n"/>
      <c r="Q111" s="25" t="n"/>
      <c r="R111" s="22">
        <f>IF(AK111="","",INDEX(Soll_Tabelle,4-AK111,IF(AH111=3,2,1)))</f>
        <v/>
      </c>
      <c r="S111" s="26" t="n"/>
      <c r="T111" s="22">
        <f>IF(AL111="","",MAX(0,AL111-N(P111)))</f>
        <v/>
      </c>
      <c r="U111" s="30" t="n"/>
      <c r="V111" s="31">
        <f>IF(OR(T111="",U111=""),"",T111*U111)</f>
        <v/>
      </c>
      <c r="W111" s="31">
        <f>IF(COUNT(AF111:AG111)&lt;2,"",INDEX(Stillstand_h,AG111)*INDEX(Kostensatz,AF111))</f>
        <v/>
      </c>
      <c r="X111" s="32">
        <f>IF(AK111="","",IF(T111=0,"Bestand ausreichend / stock sufficient",IF(U111="","Stückpreis fehlt / price missing",IF(V111=0,"–",IF(W111/V111&gt;=Faktor_wirtschaftlich,"wirtschaftlich (Faktor "&amp;FIXED(W111/V111,1)&amp;")","nicht wirtschaftlich (Faktor "&amp;FIXED(W111/V111,1)&amp;")")))))</f>
        <v/>
      </c>
      <c r="Y111" s="33">
        <f>IF(AK111="","",IF(AK111=3,IF(T111&gt;0,IF(AG111=3,"Sofort beschaffen: Restbestand / Gebrauchtmarkt / Alternative sichern","Mindestbestand aufbauen ("&amp;T111&amp;" Stk.)"),"Bestand halten, jährlich prüfen"),IF(AK111=2,IF(T111&gt;0,"Bevorratung nach Wirtschaftlichkeit entscheiden; Quelle / Reparatur klären","Lieferzeit und Teilestatus jährlich prüfen"),"Keine Bevorratung – Beschaffung bei Bedarf")))</f>
        <v/>
      </c>
      <c r="Z111" s="25" t="n"/>
      <c r="AA111" s="25" t="n"/>
      <c r="AB111" s="34" t="n"/>
      <c r="AC111" s="26" t="n"/>
      <c r="AD111" s="25" t="n"/>
      <c r="AE111" s="2" t="n"/>
      <c r="AF111" s="35">
        <f>IF(I111="","",VALUE(LEFT(I111,1)))</f>
        <v/>
      </c>
      <c r="AG111" s="35">
        <f>IF(J111="","",VALUE(LEFT(J111,1)))</f>
        <v/>
      </c>
      <c r="AH111" s="35">
        <f>IF(K111="","",VALUE(LEFT(K111,1)))</f>
        <v/>
      </c>
      <c r="AI111" s="35">
        <f>IF(LEFT(L111,2)="ja",1,0)</f>
        <v/>
      </c>
      <c r="AJ111" s="35">
        <f>IF(COUNT(AF111:AH111)&lt;3,"",FIND(INDEX(Matrix,4-AF111,AG111),"CBA"))</f>
        <v/>
      </c>
      <c r="AK111" s="35">
        <f>IF(AJ111="","",MIN(3,MAX(AJ111+IF(AND(Regel_haeufig="ja",AH111=3),1,0),IF(AND(Regel_sicherheit="ja",AI111=1),2,0))))</f>
        <v/>
      </c>
      <c r="AL111" s="35">
        <f>IF(S111&lt;&gt;"",S111,IF(R111="","",R111))</f>
        <v/>
      </c>
      <c r="AM111" s="35">
        <f>IF(AK111="","",AK111*1000+N111*10+(1000-ROW())/100000)</f>
        <v/>
      </c>
    </row>
    <row r="112" ht="45" customHeight="1">
      <c r="A112" s="22">
        <f>IF(C112="","",COUNTA($C$7:C112))</f>
        <v/>
      </c>
      <c r="B112" s="23" t="n"/>
      <c r="C112" s="24" t="n"/>
      <c r="D112" s="25" t="n"/>
      <c r="E112" s="23" t="n"/>
      <c r="F112" s="26" t="n"/>
      <c r="G112" s="25" t="n"/>
      <c r="H112" s="25" t="n"/>
      <c r="I112" s="24" t="n"/>
      <c r="J112" s="24" t="n"/>
      <c r="K112" s="24" t="n"/>
      <c r="L112" s="26" t="n"/>
      <c r="M112" s="27">
        <f>IF(AK112="","",MID("CBA",AK112,1))</f>
        <v/>
      </c>
      <c r="N112" s="22">
        <f>IF(COUNT(AF112:AH112)&lt;3,"",AF112*AG112*AH112)</f>
        <v/>
      </c>
      <c r="O112" s="28">
        <f>IF(C112="","",IF(AJ112="","Bewertung unvollständig / incomplete","Matrix "&amp;MID("CBA",AJ112,1)&amp;IF(AND(Regel_haeufig="ja",AH112=3,AJ112&lt;3)," · häufig +1","")&amp;IF(AND(Regel_sicherheit="ja",AI112=1,AJ112+IF(AND(Regel_haeufig="ja",AH112=3),1,0)&lt;2)," · Sicherheit ⇒ B","")&amp;" → "&amp;M112))</f>
        <v/>
      </c>
      <c r="P112" s="29" t="n"/>
      <c r="Q112" s="25" t="n"/>
      <c r="R112" s="22">
        <f>IF(AK112="","",INDEX(Soll_Tabelle,4-AK112,IF(AH112=3,2,1)))</f>
        <v/>
      </c>
      <c r="S112" s="26" t="n"/>
      <c r="T112" s="22">
        <f>IF(AL112="","",MAX(0,AL112-N(P112)))</f>
        <v/>
      </c>
      <c r="U112" s="30" t="n"/>
      <c r="V112" s="31">
        <f>IF(OR(T112="",U112=""),"",T112*U112)</f>
        <v/>
      </c>
      <c r="W112" s="31">
        <f>IF(COUNT(AF112:AG112)&lt;2,"",INDEX(Stillstand_h,AG112)*INDEX(Kostensatz,AF112))</f>
        <v/>
      </c>
      <c r="X112" s="32">
        <f>IF(AK112="","",IF(T112=0,"Bestand ausreichend / stock sufficient",IF(U112="","Stückpreis fehlt / price missing",IF(V112=0,"–",IF(W112/V112&gt;=Faktor_wirtschaftlich,"wirtschaftlich (Faktor "&amp;FIXED(W112/V112,1)&amp;")","nicht wirtschaftlich (Faktor "&amp;FIXED(W112/V112,1)&amp;")")))))</f>
        <v/>
      </c>
      <c r="Y112" s="33">
        <f>IF(AK112="","",IF(AK112=3,IF(T112&gt;0,IF(AG112=3,"Sofort beschaffen: Restbestand / Gebrauchtmarkt / Alternative sichern","Mindestbestand aufbauen ("&amp;T112&amp;" Stk.)"),"Bestand halten, jährlich prüfen"),IF(AK112=2,IF(T112&gt;0,"Bevorratung nach Wirtschaftlichkeit entscheiden; Quelle / Reparatur klären","Lieferzeit und Teilestatus jährlich prüfen"),"Keine Bevorratung – Beschaffung bei Bedarf")))</f>
        <v/>
      </c>
      <c r="Z112" s="25" t="n"/>
      <c r="AA112" s="25" t="n"/>
      <c r="AB112" s="34" t="n"/>
      <c r="AC112" s="26" t="n"/>
      <c r="AD112" s="25" t="n"/>
      <c r="AE112" s="2" t="n"/>
      <c r="AF112" s="35">
        <f>IF(I112="","",VALUE(LEFT(I112,1)))</f>
        <v/>
      </c>
      <c r="AG112" s="35">
        <f>IF(J112="","",VALUE(LEFT(J112,1)))</f>
        <v/>
      </c>
      <c r="AH112" s="35">
        <f>IF(K112="","",VALUE(LEFT(K112,1)))</f>
        <v/>
      </c>
      <c r="AI112" s="35">
        <f>IF(LEFT(L112,2)="ja",1,0)</f>
        <v/>
      </c>
      <c r="AJ112" s="35">
        <f>IF(COUNT(AF112:AH112)&lt;3,"",FIND(INDEX(Matrix,4-AF112,AG112),"CBA"))</f>
        <v/>
      </c>
      <c r="AK112" s="35">
        <f>IF(AJ112="","",MIN(3,MAX(AJ112+IF(AND(Regel_haeufig="ja",AH112=3),1,0),IF(AND(Regel_sicherheit="ja",AI112=1),2,0))))</f>
        <v/>
      </c>
      <c r="AL112" s="35">
        <f>IF(S112&lt;&gt;"",S112,IF(R112="","",R112))</f>
        <v/>
      </c>
      <c r="AM112" s="35">
        <f>IF(AK112="","",AK112*1000+N112*10+(1000-ROW())/100000)</f>
        <v/>
      </c>
    </row>
    <row r="113" ht="45" customHeight="1">
      <c r="A113" s="22">
        <f>IF(C113="","",COUNTA($C$7:C113))</f>
        <v/>
      </c>
      <c r="B113" s="23" t="n"/>
      <c r="C113" s="24" t="n"/>
      <c r="D113" s="25" t="n"/>
      <c r="E113" s="23" t="n"/>
      <c r="F113" s="26" t="n"/>
      <c r="G113" s="25" t="n"/>
      <c r="H113" s="25" t="n"/>
      <c r="I113" s="24" t="n"/>
      <c r="J113" s="24" t="n"/>
      <c r="K113" s="24" t="n"/>
      <c r="L113" s="26" t="n"/>
      <c r="M113" s="27">
        <f>IF(AK113="","",MID("CBA",AK113,1))</f>
        <v/>
      </c>
      <c r="N113" s="22">
        <f>IF(COUNT(AF113:AH113)&lt;3,"",AF113*AG113*AH113)</f>
        <v/>
      </c>
      <c r="O113" s="28">
        <f>IF(C113="","",IF(AJ113="","Bewertung unvollständig / incomplete","Matrix "&amp;MID("CBA",AJ113,1)&amp;IF(AND(Regel_haeufig="ja",AH113=3,AJ113&lt;3)," · häufig +1","")&amp;IF(AND(Regel_sicherheit="ja",AI113=1,AJ113+IF(AND(Regel_haeufig="ja",AH113=3),1,0)&lt;2)," · Sicherheit ⇒ B","")&amp;" → "&amp;M113))</f>
        <v/>
      </c>
      <c r="P113" s="29" t="n"/>
      <c r="Q113" s="25" t="n"/>
      <c r="R113" s="22">
        <f>IF(AK113="","",INDEX(Soll_Tabelle,4-AK113,IF(AH113=3,2,1)))</f>
        <v/>
      </c>
      <c r="S113" s="26" t="n"/>
      <c r="T113" s="22">
        <f>IF(AL113="","",MAX(0,AL113-N(P113)))</f>
        <v/>
      </c>
      <c r="U113" s="30" t="n"/>
      <c r="V113" s="31">
        <f>IF(OR(T113="",U113=""),"",T113*U113)</f>
        <v/>
      </c>
      <c r="W113" s="31">
        <f>IF(COUNT(AF113:AG113)&lt;2,"",INDEX(Stillstand_h,AG113)*INDEX(Kostensatz,AF113))</f>
        <v/>
      </c>
      <c r="X113" s="32">
        <f>IF(AK113="","",IF(T113=0,"Bestand ausreichend / stock sufficient",IF(U113="","Stückpreis fehlt / price missing",IF(V113=0,"–",IF(W113/V113&gt;=Faktor_wirtschaftlich,"wirtschaftlich (Faktor "&amp;FIXED(W113/V113,1)&amp;")","nicht wirtschaftlich (Faktor "&amp;FIXED(W113/V113,1)&amp;")")))))</f>
        <v/>
      </c>
      <c r="Y113" s="33">
        <f>IF(AK113="","",IF(AK113=3,IF(T113&gt;0,IF(AG113=3,"Sofort beschaffen: Restbestand / Gebrauchtmarkt / Alternative sichern","Mindestbestand aufbauen ("&amp;T113&amp;" Stk.)"),"Bestand halten, jährlich prüfen"),IF(AK113=2,IF(T113&gt;0,"Bevorratung nach Wirtschaftlichkeit entscheiden; Quelle / Reparatur klären","Lieferzeit und Teilestatus jährlich prüfen"),"Keine Bevorratung – Beschaffung bei Bedarf")))</f>
        <v/>
      </c>
      <c r="Z113" s="25" t="n"/>
      <c r="AA113" s="25" t="n"/>
      <c r="AB113" s="34" t="n"/>
      <c r="AC113" s="26" t="n"/>
      <c r="AD113" s="25" t="n"/>
      <c r="AE113" s="2" t="n"/>
      <c r="AF113" s="35">
        <f>IF(I113="","",VALUE(LEFT(I113,1)))</f>
        <v/>
      </c>
      <c r="AG113" s="35">
        <f>IF(J113="","",VALUE(LEFT(J113,1)))</f>
        <v/>
      </c>
      <c r="AH113" s="35">
        <f>IF(K113="","",VALUE(LEFT(K113,1)))</f>
        <v/>
      </c>
      <c r="AI113" s="35">
        <f>IF(LEFT(L113,2)="ja",1,0)</f>
        <v/>
      </c>
      <c r="AJ113" s="35">
        <f>IF(COUNT(AF113:AH113)&lt;3,"",FIND(INDEX(Matrix,4-AF113,AG113),"CBA"))</f>
        <v/>
      </c>
      <c r="AK113" s="35">
        <f>IF(AJ113="","",MIN(3,MAX(AJ113+IF(AND(Regel_haeufig="ja",AH113=3),1,0),IF(AND(Regel_sicherheit="ja",AI113=1),2,0))))</f>
        <v/>
      </c>
      <c r="AL113" s="35">
        <f>IF(S113&lt;&gt;"",S113,IF(R113="","",R113))</f>
        <v/>
      </c>
      <c r="AM113" s="35">
        <f>IF(AK113="","",AK113*1000+N113*10+(1000-ROW())/100000)</f>
        <v/>
      </c>
    </row>
    <row r="114" ht="45" customHeight="1">
      <c r="A114" s="22">
        <f>IF(C114="","",COUNTA($C$7:C114))</f>
        <v/>
      </c>
      <c r="B114" s="23" t="n"/>
      <c r="C114" s="24" t="n"/>
      <c r="D114" s="25" t="n"/>
      <c r="E114" s="23" t="n"/>
      <c r="F114" s="26" t="n"/>
      <c r="G114" s="25" t="n"/>
      <c r="H114" s="25" t="n"/>
      <c r="I114" s="24" t="n"/>
      <c r="J114" s="24" t="n"/>
      <c r="K114" s="24" t="n"/>
      <c r="L114" s="26" t="n"/>
      <c r="M114" s="27">
        <f>IF(AK114="","",MID("CBA",AK114,1))</f>
        <v/>
      </c>
      <c r="N114" s="22">
        <f>IF(COUNT(AF114:AH114)&lt;3,"",AF114*AG114*AH114)</f>
        <v/>
      </c>
      <c r="O114" s="28">
        <f>IF(C114="","",IF(AJ114="","Bewertung unvollständig / incomplete","Matrix "&amp;MID("CBA",AJ114,1)&amp;IF(AND(Regel_haeufig="ja",AH114=3,AJ114&lt;3)," · häufig +1","")&amp;IF(AND(Regel_sicherheit="ja",AI114=1,AJ114+IF(AND(Regel_haeufig="ja",AH114=3),1,0)&lt;2)," · Sicherheit ⇒ B","")&amp;" → "&amp;M114))</f>
        <v/>
      </c>
      <c r="P114" s="29" t="n"/>
      <c r="Q114" s="25" t="n"/>
      <c r="R114" s="22">
        <f>IF(AK114="","",INDEX(Soll_Tabelle,4-AK114,IF(AH114=3,2,1)))</f>
        <v/>
      </c>
      <c r="S114" s="26" t="n"/>
      <c r="T114" s="22">
        <f>IF(AL114="","",MAX(0,AL114-N(P114)))</f>
        <v/>
      </c>
      <c r="U114" s="30" t="n"/>
      <c r="V114" s="31">
        <f>IF(OR(T114="",U114=""),"",T114*U114)</f>
        <v/>
      </c>
      <c r="W114" s="31">
        <f>IF(COUNT(AF114:AG114)&lt;2,"",INDEX(Stillstand_h,AG114)*INDEX(Kostensatz,AF114))</f>
        <v/>
      </c>
      <c r="X114" s="32">
        <f>IF(AK114="","",IF(T114=0,"Bestand ausreichend / stock sufficient",IF(U114="","Stückpreis fehlt / price missing",IF(V114=0,"–",IF(W114/V114&gt;=Faktor_wirtschaftlich,"wirtschaftlich (Faktor "&amp;FIXED(W114/V114,1)&amp;")","nicht wirtschaftlich (Faktor "&amp;FIXED(W114/V114,1)&amp;")")))))</f>
        <v/>
      </c>
      <c r="Y114" s="33">
        <f>IF(AK114="","",IF(AK114=3,IF(T114&gt;0,IF(AG114=3,"Sofort beschaffen: Restbestand / Gebrauchtmarkt / Alternative sichern","Mindestbestand aufbauen ("&amp;T114&amp;" Stk.)"),"Bestand halten, jährlich prüfen"),IF(AK114=2,IF(T114&gt;0,"Bevorratung nach Wirtschaftlichkeit entscheiden; Quelle / Reparatur klären","Lieferzeit und Teilestatus jährlich prüfen"),"Keine Bevorratung – Beschaffung bei Bedarf")))</f>
        <v/>
      </c>
      <c r="Z114" s="25" t="n"/>
      <c r="AA114" s="25" t="n"/>
      <c r="AB114" s="34" t="n"/>
      <c r="AC114" s="26" t="n"/>
      <c r="AD114" s="25" t="n"/>
      <c r="AE114" s="2" t="n"/>
      <c r="AF114" s="35">
        <f>IF(I114="","",VALUE(LEFT(I114,1)))</f>
        <v/>
      </c>
      <c r="AG114" s="35">
        <f>IF(J114="","",VALUE(LEFT(J114,1)))</f>
        <v/>
      </c>
      <c r="AH114" s="35">
        <f>IF(K114="","",VALUE(LEFT(K114,1)))</f>
        <v/>
      </c>
      <c r="AI114" s="35">
        <f>IF(LEFT(L114,2)="ja",1,0)</f>
        <v/>
      </c>
      <c r="AJ114" s="35">
        <f>IF(COUNT(AF114:AH114)&lt;3,"",FIND(INDEX(Matrix,4-AF114,AG114),"CBA"))</f>
        <v/>
      </c>
      <c r="AK114" s="35">
        <f>IF(AJ114="","",MIN(3,MAX(AJ114+IF(AND(Regel_haeufig="ja",AH114=3),1,0),IF(AND(Regel_sicherheit="ja",AI114=1),2,0))))</f>
        <v/>
      </c>
      <c r="AL114" s="35">
        <f>IF(S114&lt;&gt;"",S114,IF(R114="","",R114))</f>
        <v/>
      </c>
      <c r="AM114" s="35">
        <f>IF(AK114="","",AK114*1000+N114*10+(1000-ROW())/100000)</f>
        <v/>
      </c>
    </row>
    <row r="115" ht="45" customHeight="1">
      <c r="A115" s="22">
        <f>IF(C115="","",COUNTA($C$7:C115))</f>
        <v/>
      </c>
      <c r="B115" s="23" t="n"/>
      <c r="C115" s="24" t="n"/>
      <c r="D115" s="25" t="n"/>
      <c r="E115" s="23" t="n"/>
      <c r="F115" s="26" t="n"/>
      <c r="G115" s="25" t="n"/>
      <c r="H115" s="25" t="n"/>
      <c r="I115" s="24" t="n"/>
      <c r="J115" s="24" t="n"/>
      <c r="K115" s="24" t="n"/>
      <c r="L115" s="26" t="n"/>
      <c r="M115" s="27">
        <f>IF(AK115="","",MID("CBA",AK115,1))</f>
        <v/>
      </c>
      <c r="N115" s="22">
        <f>IF(COUNT(AF115:AH115)&lt;3,"",AF115*AG115*AH115)</f>
        <v/>
      </c>
      <c r="O115" s="28">
        <f>IF(C115="","",IF(AJ115="","Bewertung unvollständig / incomplete","Matrix "&amp;MID("CBA",AJ115,1)&amp;IF(AND(Regel_haeufig="ja",AH115=3,AJ115&lt;3)," · häufig +1","")&amp;IF(AND(Regel_sicherheit="ja",AI115=1,AJ115+IF(AND(Regel_haeufig="ja",AH115=3),1,0)&lt;2)," · Sicherheit ⇒ B","")&amp;" → "&amp;M115))</f>
        <v/>
      </c>
      <c r="P115" s="29" t="n"/>
      <c r="Q115" s="25" t="n"/>
      <c r="R115" s="22">
        <f>IF(AK115="","",INDEX(Soll_Tabelle,4-AK115,IF(AH115=3,2,1)))</f>
        <v/>
      </c>
      <c r="S115" s="26" t="n"/>
      <c r="T115" s="22">
        <f>IF(AL115="","",MAX(0,AL115-N(P115)))</f>
        <v/>
      </c>
      <c r="U115" s="30" t="n"/>
      <c r="V115" s="31">
        <f>IF(OR(T115="",U115=""),"",T115*U115)</f>
        <v/>
      </c>
      <c r="W115" s="31">
        <f>IF(COUNT(AF115:AG115)&lt;2,"",INDEX(Stillstand_h,AG115)*INDEX(Kostensatz,AF115))</f>
        <v/>
      </c>
      <c r="X115" s="32">
        <f>IF(AK115="","",IF(T115=0,"Bestand ausreichend / stock sufficient",IF(U115="","Stückpreis fehlt / price missing",IF(V115=0,"–",IF(W115/V115&gt;=Faktor_wirtschaftlich,"wirtschaftlich (Faktor "&amp;FIXED(W115/V115,1)&amp;")","nicht wirtschaftlich (Faktor "&amp;FIXED(W115/V115,1)&amp;")")))))</f>
        <v/>
      </c>
      <c r="Y115" s="33">
        <f>IF(AK115="","",IF(AK115=3,IF(T115&gt;0,IF(AG115=3,"Sofort beschaffen: Restbestand / Gebrauchtmarkt / Alternative sichern","Mindestbestand aufbauen ("&amp;T115&amp;" Stk.)"),"Bestand halten, jährlich prüfen"),IF(AK115=2,IF(T115&gt;0,"Bevorratung nach Wirtschaftlichkeit entscheiden; Quelle / Reparatur klären","Lieferzeit und Teilestatus jährlich prüfen"),"Keine Bevorratung – Beschaffung bei Bedarf")))</f>
        <v/>
      </c>
      <c r="Z115" s="25" t="n"/>
      <c r="AA115" s="25" t="n"/>
      <c r="AB115" s="34" t="n"/>
      <c r="AC115" s="26" t="n"/>
      <c r="AD115" s="25" t="n"/>
      <c r="AE115" s="2" t="n"/>
      <c r="AF115" s="35">
        <f>IF(I115="","",VALUE(LEFT(I115,1)))</f>
        <v/>
      </c>
      <c r="AG115" s="35">
        <f>IF(J115="","",VALUE(LEFT(J115,1)))</f>
        <v/>
      </c>
      <c r="AH115" s="35">
        <f>IF(K115="","",VALUE(LEFT(K115,1)))</f>
        <v/>
      </c>
      <c r="AI115" s="35">
        <f>IF(LEFT(L115,2)="ja",1,0)</f>
        <v/>
      </c>
      <c r="AJ115" s="35">
        <f>IF(COUNT(AF115:AH115)&lt;3,"",FIND(INDEX(Matrix,4-AF115,AG115),"CBA"))</f>
        <v/>
      </c>
      <c r="AK115" s="35">
        <f>IF(AJ115="","",MIN(3,MAX(AJ115+IF(AND(Regel_haeufig="ja",AH115=3),1,0),IF(AND(Regel_sicherheit="ja",AI115=1),2,0))))</f>
        <v/>
      </c>
      <c r="AL115" s="35">
        <f>IF(S115&lt;&gt;"",S115,IF(R115="","",R115))</f>
        <v/>
      </c>
      <c r="AM115" s="35">
        <f>IF(AK115="","",AK115*1000+N115*10+(1000-ROW())/100000)</f>
        <v/>
      </c>
    </row>
    <row r="116" ht="45" customHeight="1">
      <c r="A116" s="22">
        <f>IF(C116="","",COUNTA($C$7:C116))</f>
        <v/>
      </c>
      <c r="B116" s="23" t="n"/>
      <c r="C116" s="24" t="n"/>
      <c r="D116" s="25" t="n"/>
      <c r="E116" s="23" t="n"/>
      <c r="F116" s="26" t="n"/>
      <c r="G116" s="25" t="n"/>
      <c r="H116" s="25" t="n"/>
      <c r="I116" s="24" t="n"/>
      <c r="J116" s="24" t="n"/>
      <c r="K116" s="24" t="n"/>
      <c r="L116" s="26" t="n"/>
      <c r="M116" s="27">
        <f>IF(AK116="","",MID("CBA",AK116,1))</f>
        <v/>
      </c>
      <c r="N116" s="22">
        <f>IF(COUNT(AF116:AH116)&lt;3,"",AF116*AG116*AH116)</f>
        <v/>
      </c>
      <c r="O116" s="28">
        <f>IF(C116="","",IF(AJ116="","Bewertung unvollständig / incomplete","Matrix "&amp;MID("CBA",AJ116,1)&amp;IF(AND(Regel_haeufig="ja",AH116=3,AJ116&lt;3)," · häufig +1","")&amp;IF(AND(Regel_sicherheit="ja",AI116=1,AJ116+IF(AND(Regel_haeufig="ja",AH116=3),1,0)&lt;2)," · Sicherheit ⇒ B","")&amp;" → "&amp;M116))</f>
        <v/>
      </c>
      <c r="P116" s="29" t="n"/>
      <c r="Q116" s="25" t="n"/>
      <c r="R116" s="22">
        <f>IF(AK116="","",INDEX(Soll_Tabelle,4-AK116,IF(AH116=3,2,1)))</f>
        <v/>
      </c>
      <c r="S116" s="26" t="n"/>
      <c r="T116" s="22">
        <f>IF(AL116="","",MAX(0,AL116-N(P116)))</f>
        <v/>
      </c>
      <c r="U116" s="30" t="n"/>
      <c r="V116" s="31">
        <f>IF(OR(T116="",U116=""),"",T116*U116)</f>
        <v/>
      </c>
      <c r="W116" s="31">
        <f>IF(COUNT(AF116:AG116)&lt;2,"",INDEX(Stillstand_h,AG116)*INDEX(Kostensatz,AF116))</f>
        <v/>
      </c>
      <c r="X116" s="32">
        <f>IF(AK116="","",IF(T116=0,"Bestand ausreichend / stock sufficient",IF(U116="","Stückpreis fehlt / price missing",IF(V116=0,"–",IF(W116/V116&gt;=Faktor_wirtschaftlich,"wirtschaftlich (Faktor "&amp;FIXED(W116/V116,1)&amp;")","nicht wirtschaftlich (Faktor "&amp;FIXED(W116/V116,1)&amp;")")))))</f>
        <v/>
      </c>
      <c r="Y116" s="33">
        <f>IF(AK116="","",IF(AK116=3,IF(T116&gt;0,IF(AG116=3,"Sofort beschaffen: Restbestand / Gebrauchtmarkt / Alternative sichern","Mindestbestand aufbauen ("&amp;T116&amp;" Stk.)"),"Bestand halten, jährlich prüfen"),IF(AK116=2,IF(T116&gt;0,"Bevorratung nach Wirtschaftlichkeit entscheiden; Quelle / Reparatur klären","Lieferzeit und Teilestatus jährlich prüfen"),"Keine Bevorratung – Beschaffung bei Bedarf")))</f>
        <v/>
      </c>
      <c r="Z116" s="25" t="n"/>
      <c r="AA116" s="25" t="n"/>
      <c r="AB116" s="34" t="n"/>
      <c r="AC116" s="26" t="n"/>
      <c r="AD116" s="25" t="n"/>
      <c r="AE116" s="2" t="n"/>
      <c r="AF116" s="35">
        <f>IF(I116="","",VALUE(LEFT(I116,1)))</f>
        <v/>
      </c>
      <c r="AG116" s="35">
        <f>IF(J116="","",VALUE(LEFT(J116,1)))</f>
        <v/>
      </c>
      <c r="AH116" s="35">
        <f>IF(K116="","",VALUE(LEFT(K116,1)))</f>
        <v/>
      </c>
      <c r="AI116" s="35">
        <f>IF(LEFT(L116,2)="ja",1,0)</f>
        <v/>
      </c>
      <c r="AJ116" s="35">
        <f>IF(COUNT(AF116:AH116)&lt;3,"",FIND(INDEX(Matrix,4-AF116,AG116),"CBA"))</f>
        <v/>
      </c>
      <c r="AK116" s="35">
        <f>IF(AJ116="","",MIN(3,MAX(AJ116+IF(AND(Regel_haeufig="ja",AH116=3),1,0),IF(AND(Regel_sicherheit="ja",AI116=1),2,0))))</f>
        <v/>
      </c>
      <c r="AL116" s="35">
        <f>IF(S116&lt;&gt;"",S116,IF(R116="","",R116))</f>
        <v/>
      </c>
      <c r="AM116" s="35">
        <f>IF(AK116="","",AK116*1000+N116*10+(1000-ROW())/100000)</f>
        <v/>
      </c>
    </row>
    <row r="117" ht="45" customHeight="1">
      <c r="A117" s="22">
        <f>IF(C117="","",COUNTA($C$7:C117))</f>
        <v/>
      </c>
      <c r="B117" s="23" t="n"/>
      <c r="C117" s="24" t="n"/>
      <c r="D117" s="25" t="n"/>
      <c r="E117" s="23" t="n"/>
      <c r="F117" s="26" t="n"/>
      <c r="G117" s="25" t="n"/>
      <c r="H117" s="25" t="n"/>
      <c r="I117" s="24" t="n"/>
      <c r="J117" s="24" t="n"/>
      <c r="K117" s="24" t="n"/>
      <c r="L117" s="26" t="n"/>
      <c r="M117" s="27">
        <f>IF(AK117="","",MID("CBA",AK117,1))</f>
        <v/>
      </c>
      <c r="N117" s="22">
        <f>IF(COUNT(AF117:AH117)&lt;3,"",AF117*AG117*AH117)</f>
        <v/>
      </c>
      <c r="O117" s="28">
        <f>IF(C117="","",IF(AJ117="","Bewertung unvollständig / incomplete","Matrix "&amp;MID("CBA",AJ117,1)&amp;IF(AND(Regel_haeufig="ja",AH117=3,AJ117&lt;3)," · häufig +1","")&amp;IF(AND(Regel_sicherheit="ja",AI117=1,AJ117+IF(AND(Regel_haeufig="ja",AH117=3),1,0)&lt;2)," · Sicherheit ⇒ B","")&amp;" → "&amp;M117))</f>
        <v/>
      </c>
      <c r="P117" s="29" t="n"/>
      <c r="Q117" s="25" t="n"/>
      <c r="R117" s="22">
        <f>IF(AK117="","",INDEX(Soll_Tabelle,4-AK117,IF(AH117=3,2,1)))</f>
        <v/>
      </c>
      <c r="S117" s="26" t="n"/>
      <c r="T117" s="22">
        <f>IF(AL117="","",MAX(0,AL117-N(P117)))</f>
        <v/>
      </c>
      <c r="U117" s="30" t="n"/>
      <c r="V117" s="31">
        <f>IF(OR(T117="",U117=""),"",T117*U117)</f>
        <v/>
      </c>
      <c r="W117" s="31">
        <f>IF(COUNT(AF117:AG117)&lt;2,"",INDEX(Stillstand_h,AG117)*INDEX(Kostensatz,AF117))</f>
        <v/>
      </c>
      <c r="X117" s="32">
        <f>IF(AK117="","",IF(T117=0,"Bestand ausreichend / stock sufficient",IF(U117="","Stückpreis fehlt / price missing",IF(V117=0,"–",IF(W117/V117&gt;=Faktor_wirtschaftlich,"wirtschaftlich (Faktor "&amp;FIXED(W117/V117,1)&amp;")","nicht wirtschaftlich (Faktor "&amp;FIXED(W117/V117,1)&amp;")")))))</f>
        <v/>
      </c>
      <c r="Y117" s="33">
        <f>IF(AK117="","",IF(AK117=3,IF(T117&gt;0,IF(AG117=3,"Sofort beschaffen: Restbestand / Gebrauchtmarkt / Alternative sichern","Mindestbestand aufbauen ("&amp;T117&amp;" Stk.)"),"Bestand halten, jährlich prüfen"),IF(AK117=2,IF(T117&gt;0,"Bevorratung nach Wirtschaftlichkeit entscheiden; Quelle / Reparatur klären","Lieferzeit und Teilestatus jährlich prüfen"),"Keine Bevorratung – Beschaffung bei Bedarf")))</f>
        <v/>
      </c>
      <c r="Z117" s="25" t="n"/>
      <c r="AA117" s="25" t="n"/>
      <c r="AB117" s="34" t="n"/>
      <c r="AC117" s="26" t="n"/>
      <c r="AD117" s="25" t="n"/>
      <c r="AE117" s="2" t="n"/>
      <c r="AF117" s="35">
        <f>IF(I117="","",VALUE(LEFT(I117,1)))</f>
        <v/>
      </c>
      <c r="AG117" s="35">
        <f>IF(J117="","",VALUE(LEFT(J117,1)))</f>
        <v/>
      </c>
      <c r="AH117" s="35">
        <f>IF(K117="","",VALUE(LEFT(K117,1)))</f>
        <v/>
      </c>
      <c r="AI117" s="35">
        <f>IF(LEFT(L117,2)="ja",1,0)</f>
        <v/>
      </c>
      <c r="AJ117" s="35">
        <f>IF(COUNT(AF117:AH117)&lt;3,"",FIND(INDEX(Matrix,4-AF117,AG117),"CBA"))</f>
        <v/>
      </c>
      <c r="AK117" s="35">
        <f>IF(AJ117="","",MIN(3,MAX(AJ117+IF(AND(Regel_haeufig="ja",AH117=3),1,0),IF(AND(Regel_sicherheit="ja",AI117=1),2,0))))</f>
        <v/>
      </c>
      <c r="AL117" s="35">
        <f>IF(S117&lt;&gt;"",S117,IF(R117="","",R117))</f>
        <v/>
      </c>
      <c r="AM117" s="35">
        <f>IF(AK117="","",AK117*1000+N117*10+(1000-ROW())/100000)</f>
        <v/>
      </c>
    </row>
    <row r="118" ht="45" customHeight="1">
      <c r="A118" s="22">
        <f>IF(C118="","",COUNTA($C$7:C118))</f>
        <v/>
      </c>
      <c r="B118" s="23" t="n"/>
      <c r="C118" s="24" t="n"/>
      <c r="D118" s="25" t="n"/>
      <c r="E118" s="23" t="n"/>
      <c r="F118" s="26" t="n"/>
      <c r="G118" s="25" t="n"/>
      <c r="H118" s="25" t="n"/>
      <c r="I118" s="24" t="n"/>
      <c r="J118" s="24" t="n"/>
      <c r="K118" s="24" t="n"/>
      <c r="L118" s="26" t="n"/>
      <c r="M118" s="27">
        <f>IF(AK118="","",MID("CBA",AK118,1))</f>
        <v/>
      </c>
      <c r="N118" s="22">
        <f>IF(COUNT(AF118:AH118)&lt;3,"",AF118*AG118*AH118)</f>
        <v/>
      </c>
      <c r="O118" s="28">
        <f>IF(C118="","",IF(AJ118="","Bewertung unvollständig / incomplete","Matrix "&amp;MID("CBA",AJ118,1)&amp;IF(AND(Regel_haeufig="ja",AH118=3,AJ118&lt;3)," · häufig +1","")&amp;IF(AND(Regel_sicherheit="ja",AI118=1,AJ118+IF(AND(Regel_haeufig="ja",AH118=3),1,0)&lt;2)," · Sicherheit ⇒ B","")&amp;" → "&amp;M118))</f>
        <v/>
      </c>
      <c r="P118" s="29" t="n"/>
      <c r="Q118" s="25" t="n"/>
      <c r="R118" s="22">
        <f>IF(AK118="","",INDEX(Soll_Tabelle,4-AK118,IF(AH118=3,2,1)))</f>
        <v/>
      </c>
      <c r="S118" s="26" t="n"/>
      <c r="T118" s="22">
        <f>IF(AL118="","",MAX(0,AL118-N(P118)))</f>
        <v/>
      </c>
      <c r="U118" s="30" t="n"/>
      <c r="V118" s="31">
        <f>IF(OR(T118="",U118=""),"",T118*U118)</f>
        <v/>
      </c>
      <c r="W118" s="31">
        <f>IF(COUNT(AF118:AG118)&lt;2,"",INDEX(Stillstand_h,AG118)*INDEX(Kostensatz,AF118))</f>
        <v/>
      </c>
      <c r="X118" s="32">
        <f>IF(AK118="","",IF(T118=0,"Bestand ausreichend / stock sufficient",IF(U118="","Stückpreis fehlt / price missing",IF(V118=0,"–",IF(W118/V118&gt;=Faktor_wirtschaftlich,"wirtschaftlich (Faktor "&amp;FIXED(W118/V118,1)&amp;")","nicht wirtschaftlich (Faktor "&amp;FIXED(W118/V118,1)&amp;")")))))</f>
        <v/>
      </c>
      <c r="Y118" s="33">
        <f>IF(AK118="","",IF(AK118=3,IF(T118&gt;0,IF(AG118=3,"Sofort beschaffen: Restbestand / Gebrauchtmarkt / Alternative sichern","Mindestbestand aufbauen ("&amp;T118&amp;" Stk.)"),"Bestand halten, jährlich prüfen"),IF(AK118=2,IF(T118&gt;0,"Bevorratung nach Wirtschaftlichkeit entscheiden; Quelle / Reparatur klären","Lieferzeit und Teilestatus jährlich prüfen"),"Keine Bevorratung – Beschaffung bei Bedarf")))</f>
        <v/>
      </c>
      <c r="Z118" s="25" t="n"/>
      <c r="AA118" s="25" t="n"/>
      <c r="AB118" s="34" t="n"/>
      <c r="AC118" s="26" t="n"/>
      <c r="AD118" s="25" t="n"/>
      <c r="AE118" s="2" t="n"/>
      <c r="AF118" s="35">
        <f>IF(I118="","",VALUE(LEFT(I118,1)))</f>
        <v/>
      </c>
      <c r="AG118" s="35">
        <f>IF(J118="","",VALUE(LEFT(J118,1)))</f>
        <v/>
      </c>
      <c r="AH118" s="35">
        <f>IF(K118="","",VALUE(LEFT(K118,1)))</f>
        <v/>
      </c>
      <c r="AI118" s="35">
        <f>IF(LEFT(L118,2)="ja",1,0)</f>
        <v/>
      </c>
      <c r="AJ118" s="35">
        <f>IF(COUNT(AF118:AH118)&lt;3,"",FIND(INDEX(Matrix,4-AF118,AG118),"CBA"))</f>
        <v/>
      </c>
      <c r="AK118" s="35">
        <f>IF(AJ118="","",MIN(3,MAX(AJ118+IF(AND(Regel_haeufig="ja",AH118=3),1,0),IF(AND(Regel_sicherheit="ja",AI118=1),2,0))))</f>
        <v/>
      </c>
      <c r="AL118" s="35">
        <f>IF(S118&lt;&gt;"",S118,IF(R118="","",R118))</f>
        <v/>
      </c>
      <c r="AM118" s="35">
        <f>IF(AK118="","",AK118*1000+N118*10+(1000-ROW())/100000)</f>
        <v/>
      </c>
    </row>
    <row r="119" ht="45" customHeight="1">
      <c r="A119" s="22">
        <f>IF(C119="","",COUNTA($C$7:C119))</f>
        <v/>
      </c>
      <c r="B119" s="23" t="n"/>
      <c r="C119" s="24" t="n"/>
      <c r="D119" s="25" t="n"/>
      <c r="E119" s="23" t="n"/>
      <c r="F119" s="26" t="n"/>
      <c r="G119" s="25" t="n"/>
      <c r="H119" s="25" t="n"/>
      <c r="I119" s="24" t="n"/>
      <c r="J119" s="24" t="n"/>
      <c r="K119" s="24" t="n"/>
      <c r="L119" s="26" t="n"/>
      <c r="M119" s="27">
        <f>IF(AK119="","",MID("CBA",AK119,1))</f>
        <v/>
      </c>
      <c r="N119" s="22">
        <f>IF(COUNT(AF119:AH119)&lt;3,"",AF119*AG119*AH119)</f>
        <v/>
      </c>
      <c r="O119" s="28">
        <f>IF(C119="","",IF(AJ119="","Bewertung unvollständig / incomplete","Matrix "&amp;MID("CBA",AJ119,1)&amp;IF(AND(Regel_haeufig="ja",AH119=3,AJ119&lt;3)," · häufig +1","")&amp;IF(AND(Regel_sicherheit="ja",AI119=1,AJ119+IF(AND(Regel_haeufig="ja",AH119=3),1,0)&lt;2)," · Sicherheit ⇒ B","")&amp;" → "&amp;M119))</f>
        <v/>
      </c>
      <c r="P119" s="29" t="n"/>
      <c r="Q119" s="25" t="n"/>
      <c r="R119" s="22">
        <f>IF(AK119="","",INDEX(Soll_Tabelle,4-AK119,IF(AH119=3,2,1)))</f>
        <v/>
      </c>
      <c r="S119" s="26" t="n"/>
      <c r="T119" s="22">
        <f>IF(AL119="","",MAX(0,AL119-N(P119)))</f>
        <v/>
      </c>
      <c r="U119" s="30" t="n"/>
      <c r="V119" s="31">
        <f>IF(OR(T119="",U119=""),"",T119*U119)</f>
        <v/>
      </c>
      <c r="W119" s="31">
        <f>IF(COUNT(AF119:AG119)&lt;2,"",INDEX(Stillstand_h,AG119)*INDEX(Kostensatz,AF119))</f>
        <v/>
      </c>
      <c r="X119" s="32">
        <f>IF(AK119="","",IF(T119=0,"Bestand ausreichend / stock sufficient",IF(U119="","Stückpreis fehlt / price missing",IF(V119=0,"–",IF(W119/V119&gt;=Faktor_wirtschaftlich,"wirtschaftlich (Faktor "&amp;FIXED(W119/V119,1)&amp;")","nicht wirtschaftlich (Faktor "&amp;FIXED(W119/V119,1)&amp;")")))))</f>
        <v/>
      </c>
      <c r="Y119" s="33">
        <f>IF(AK119="","",IF(AK119=3,IF(T119&gt;0,IF(AG119=3,"Sofort beschaffen: Restbestand / Gebrauchtmarkt / Alternative sichern","Mindestbestand aufbauen ("&amp;T119&amp;" Stk.)"),"Bestand halten, jährlich prüfen"),IF(AK119=2,IF(T119&gt;0,"Bevorratung nach Wirtschaftlichkeit entscheiden; Quelle / Reparatur klären","Lieferzeit und Teilestatus jährlich prüfen"),"Keine Bevorratung – Beschaffung bei Bedarf")))</f>
        <v/>
      </c>
      <c r="Z119" s="25" t="n"/>
      <c r="AA119" s="25" t="n"/>
      <c r="AB119" s="34" t="n"/>
      <c r="AC119" s="26" t="n"/>
      <c r="AD119" s="25" t="n"/>
      <c r="AE119" s="2" t="n"/>
      <c r="AF119" s="35">
        <f>IF(I119="","",VALUE(LEFT(I119,1)))</f>
        <v/>
      </c>
      <c r="AG119" s="35">
        <f>IF(J119="","",VALUE(LEFT(J119,1)))</f>
        <v/>
      </c>
      <c r="AH119" s="35">
        <f>IF(K119="","",VALUE(LEFT(K119,1)))</f>
        <v/>
      </c>
      <c r="AI119" s="35">
        <f>IF(LEFT(L119,2)="ja",1,0)</f>
        <v/>
      </c>
      <c r="AJ119" s="35">
        <f>IF(COUNT(AF119:AH119)&lt;3,"",FIND(INDEX(Matrix,4-AF119,AG119),"CBA"))</f>
        <v/>
      </c>
      <c r="AK119" s="35">
        <f>IF(AJ119="","",MIN(3,MAX(AJ119+IF(AND(Regel_haeufig="ja",AH119=3),1,0),IF(AND(Regel_sicherheit="ja",AI119=1),2,0))))</f>
        <v/>
      </c>
      <c r="AL119" s="35">
        <f>IF(S119&lt;&gt;"",S119,IF(R119="","",R119))</f>
        <v/>
      </c>
      <c r="AM119" s="35">
        <f>IF(AK119="","",AK119*1000+N119*10+(1000-ROW())/100000)</f>
        <v/>
      </c>
    </row>
    <row r="120" ht="45" customHeight="1">
      <c r="A120" s="22">
        <f>IF(C120="","",COUNTA($C$7:C120))</f>
        <v/>
      </c>
      <c r="B120" s="23" t="n"/>
      <c r="C120" s="24" t="n"/>
      <c r="D120" s="25" t="n"/>
      <c r="E120" s="23" t="n"/>
      <c r="F120" s="26" t="n"/>
      <c r="G120" s="25" t="n"/>
      <c r="H120" s="25" t="n"/>
      <c r="I120" s="24" t="n"/>
      <c r="J120" s="24" t="n"/>
      <c r="K120" s="24" t="n"/>
      <c r="L120" s="26" t="n"/>
      <c r="M120" s="27">
        <f>IF(AK120="","",MID("CBA",AK120,1))</f>
        <v/>
      </c>
      <c r="N120" s="22">
        <f>IF(COUNT(AF120:AH120)&lt;3,"",AF120*AG120*AH120)</f>
        <v/>
      </c>
      <c r="O120" s="28">
        <f>IF(C120="","",IF(AJ120="","Bewertung unvollständig / incomplete","Matrix "&amp;MID("CBA",AJ120,1)&amp;IF(AND(Regel_haeufig="ja",AH120=3,AJ120&lt;3)," · häufig +1","")&amp;IF(AND(Regel_sicherheit="ja",AI120=1,AJ120+IF(AND(Regel_haeufig="ja",AH120=3),1,0)&lt;2)," · Sicherheit ⇒ B","")&amp;" → "&amp;M120))</f>
        <v/>
      </c>
      <c r="P120" s="29" t="n"/>
      <c r="Q120" s="25" t="n"/>
      <c r="R120" s="22">
        <f>IF(AK120="","",INDEX(Soll_Tabelle,4-AK120,IF(AH120=3,2,1)))</f>
        <v/>
      </c>
      <c r="S120" s="26" t="n"/>
      <c r="T120" s="22">
        <f>IF(AL120="","",MAX(0,AL120-N(P120)))</f>
        <v/>
      </c>
      <c r="U120" s="30" t="n"/>
      <c r="V120" s="31">
        <f>IF(OR(T120="",U120=""),"",T120*U120)</f>
        <v/>
      </c>
      <c r="W120" s="31">
        <f>IF(COUNT(AF120:AG120)&lt;2,"",INDEX(Stillstand_h,AG120)*INDEX(Kostensatz,AF120))</f>
        <v/>
      </c>
      <c r="X120" s="32">
        <f>IF(AK120="","",IF(T120=0,"Bestand ausreichend / stock sufficient",IF(U120="","Stückpreis fehlt / price missing",IF(V120=0,"–",IF(W120/V120&gt;=Faktor_wirtschaftlich,"wirtschaftlich (Faktor "&amp;FIXED(W120/V120,1)&amp;")","nicht wirtschaftlich (Faktor "&amp;FIXED(W120/V120,1)&amp;")")))))</f>
        <v/>
      </c>
      <c r="Y120" s="33">
        <f>IF(AK120="","",IF(AK120=3,IF(T120&gt;0,IF(AG120=3,"Sofort beschaffen: Restbestand / Gebrauchtmarkt / Alternative sichern","Mindestbestand aufbauen ("&amp;T120&amp;" Stk.)"),"Bestand halten, jährlich prüfen"),IF(AK120=2,IF(T120&gt;0,"Bevorratung nach Wirtschaftlichkeit entscheiden; Quelle / Reparatur klären","Lieferzeit und Teilestatus jährlich prüfen"),"Keine Bevorratung – Beschaffung bei Bedarf")))</f>
        <v/>
      </c>
      <c r="Z120" s="25" t="n"/>
      <c r="AA120" s="25" t="n"/>
      <c r="AB120" s="34" t="n"/>
      <c r="AC120" s="26" t="n"/>
      <c r="AD120" s="25" t="n"/>
      <c r="AE120" s="2" t="n"/>
      <c r="AF120" s="35">
        <f>IF(I120="","",VALUE(LEFT(I120,1)))</f>
        <v/>
      </c>
      <c r="AG120" s="35">
        <f>IF(J120="","",VALUE(LEFT(J120,1)))</f>
        <v/>
      </c>
      <c r="AH120" s="35">
        <f>IF(K120="","",VALUE(LEFT(K120,1)))</f>
        <v/>
      </c>
      <c r="AI120" s="35">
        <f>IF(LEFT(L120,2)="ja",1,0)</f>
        <v/>
      </c>
      <c r="AJ120" s="35">
        <f>IF(COUNT(AF120:AH120)&lt;3,"",FIND(INDEX(Matrix,4-AF120,AG120),"CBA"))</f>
        <v/>
      </c>
      <c r="AK120" s="35">
        <f>IF(AJ120="","",MIN(3,MAX(AJ120+IF(AND(Regel_haeufig="ja",AH120=3),1,0),IF(AND(Regel_sicherheit="ja",AI120=1),2,0))))</f>
        <v/>
      </c>
      <c r="AL120" s="35">
        <f>IF(S120&lt;&gt;"",S120,IF(R120="","",R120))</f>
        <v/>
      </c>
      <c r="AM120" s="35">
        <f>IF(AK120="","",AK120*1000+N120*10+(1000-ROW())/100000)</f>
        <v/>
      </c>
    </row>
    <row r="121" ht="45" customHeight="1">
      <c r="A121" s="22">
        <f>IF(C121="","",COUNTA($C$7:C121))</f>
        <v/>
      </c>
      <c r="B121" s="23" t="n"/>
      <c r="C121" s="24" t="n"/>
      <c r="D121" s="25" t="n"/>
      <c r="E121" s="23" t="n"/>
      <c r="F121" s="26" t="n"/>
      <c r="G121" s="25" t="n"/>
      <c r="H121" s="25" t="n"/>
      <c r="I121" s="24" t="n"/>
      <c r="J121" s="24" t="n"/>
      <c r="K121" s="24" t="n"/>
      <c r="L121" s="26" t="n"/>
      <c r="M121" s="27">
        <f>IF(AK121="","",MID("CBA",AK121,1))</f>
        <v/>
      </c>
      <c r="N121" s="22">
        <f>IF(COUNT(AF121:AH121)&lt;3,"",AF121*AG121*AH121)</f>
        <v/>
      </c>
      <c r="O121" s="28">
        <f>IF(C121="","",IF(AJ121="","Bewertung unvollständig / incomplete","Matrix "&amp;MID("CBA",AJ121,1)&amp;IF(AND(Regel_haeufig="ja",AH121=3,AJ121&lt;3)," · häufig +1","")&amp;IF(AND(Regel_sicherheit="ja",AI121=1,AJ121+IF(AND(Regel_haeufig="ja",AH121=3),1,0)&lt;2)," · Sicherheit ⇒ B","")&amp;" → "&amp;M121))</f>
        <v/>
      </c>
      <c r="P121" s="29" t="n"/>
      <c r="Q121" s="25" t="n"/>
      <c r="R121" s="22">
        <f>IF(AK121="","",INDEX(Soll_Tabelle,4-AK121,IF(AH121=3,2,1)))</f>
        <v/>
      </c>
      <c r="S121" s="26" t="n"/>
      <c r="T121" s="22">
        <f>IF(AL121="","",MAX(0,AL121-N(P121)))</f>
        <v/>
      </c>
      <c r="U121" s="30" t="n"/>
      <c r="V121" s="31">
        <f>IF(OR(T121="",U121=""),"",T121*U121)</f>
        <v/>
      </c>
      <c r="W121" s="31">
        <f>IF(COUNT(AF121:AG121)&lt;2,"",INDEX(Stillstand_h,AG121)*INDEX(Kostensatz,AF121))</f>
        <v/>
      </c>
      <c r="X121" s="32">
        <f>IF(AK121="","",IF(T121=0,"Bestand ausreichend / stock sufficient",IF(U121="","Stückpreis fehlt / price missing",IF(V121=0,"–",IF(W121/V121&gt;=Faktor_wirtschaftlich,"wirtschaftlich (Faktor "&amp;FIXED(W121/V121,1)&amp;")","nicht wirtschaftlich (Faktor "&amp;FIXED(W121/V121,1)&amp;")")))))</f>
        <v/>
      </c>
      <c r="Y121" s="33">
        <f>IF(AK121="","",IF(AK121=3,IF(T121&gt;0,IF(AG121=3,"Sofort beschaffen: Restbestand / Gebrauchtmarkt / Alternative sichern","Mindestbestand aufbauen ("&amp;T121&amp;" Stk.)"),"Bestand halten, jährlich prüfen"),IF(AK121=2,IF(T121&gt;0,"Bevorratung nach Wirtschaftlichkeit entscheiden; Quelle / Reparatur klären","Lieferzeit und Teilestatus jährlich prüfen"),"Keine Bevorratung – Beschaffung bei Bedarf")))</f>
        <v/>
      </c>
      <c r="Z121" s="25" t="n"/>
      <c r="AA121" s="25" t="n"/>
      <c r="AB121" s="34" t="n"/>
      <c r="AC121" s="26" t="n"/>
      <c r="AD121" s="25" t="n"/>
      <c r="AE121" s="2" t="n"/>
      <c r="AF121" s="35">
        <f>IF(I121="","",VALUE(LEFT(I121,1)))</f>
        <v/>
      </c>
      <c r="AG121" s="35">
        <f>IF(J121="","",VALUE(LEFT(J121,1)))</f>
        <v/>
      </c>
      <c r="AH121" s="35">
        <f>IF(K121="","",VALUE(LEFT(K121,1)))</f>
        <v/>
      </c>
      <c r="AI121" s="35">
        <f>IF(LEFT(L121,2)="ja",1,0)</f>
        <v/>
      </c>
      <c r="AJ121" s="35">
        <f>IF(COUNT(AF121:AH121)&lt;3,"",FIND(INDEX(Matrix,4-AF121,AG121),"CBA"))</f>
        <v/>
      </c>
      <c r="AK121" s="35">
        <f>IF(AJ121="","",MIN(3,MAX(AJ121+IF(AND(Regel_haeufig="ja",AH121=3),1,0),IF(AND(Regel_sicherheit="ja",AI121=1),2,0))))</f>
        <v/>
      </c>
      <c r="AL121" s="35">
        <f>IF(S121&lt;&gt;"",S121,IF(R121="","",R121))</f>
        <v/>
      </c>
      <c r="AM121" s="35">
        <f>IF(AK121="","",AK121*1000+N121*10+(1000-ROW())/100000)</f>
        <v/>
      </c>
    </row>
    <row r="122" ht="45" customHeight="1">
      <c r="A122" s="22">
        <f>IF(C122="","",COUNTA($C$7:C122))</f>
        <v/>
      </c>
      <c r="B122" s="23" t="n"/>
      <c r="C122" s="24" t="n"/>
      <c r="D122" s="25" t="n"/>
      <c r="E122" s="23" t="n"/>
      <c r="F122" s="26" t="n"/>
      <c r="G122" s="25" t="n"/>
      <c r="H122" s="25" t="n"/>
      <c r="I122" s="24" t="n"/>
      <c r="J122" s="24" t="n"/>
      <c r="K122" s="24" t="n"/>
      <c r="L122" s="26" t="n"/>
      <c r="M122" s="27">
        <f>IF(AK122="","",MID("CBA",AK122,1))</f>
        <v/>
      </c>
      <c r="N122" s="22">
        <f>IF(COUNT(AF122:AH122)&lt;3,"",AF122*AG122*AH122)</f>
        <v/>
      </c>
      <c r="O122" s="28">
        <f>IF(C122="","",IF(AJ122="","Bewertung unvollständig / incomplete","Matrix "&amp;MID("CBA",AJ122,1)&amp;IF(AND(Regel_haeufig="ja",AH122=3,AJ122&lt;3)," · häufig +1","")&amp;IF(AND(Regel_sicherheit="ja",AI122=1,AJ122+IF(AND(Regel_haeufig="ja",AH122=3),1,0)&lt;2)," · Sicherheit ⇒ B","")&amp;" → "&amp;M122))</f>
        <v/>
      </c>
      <c r="P122" s="29" t="n"/>
      <c r="Q122" s="25" t="n"/>
      <c r="R122" s="22">
        <f>IF(AK122="","",INDEX(Soll_Tabelle,4-AK122,IF(AH122=3,2,1)))</f>
        <v/>
      </c>
      <c r="S122" s="26" t="n"/>
      <c r="T122" s="22">
        <f>IF(AL122="","",MAX(0,AL122-N(P122)))</f>
        <v/>
      </c>
      <c r="U122" s="30" t="n"/>
      <c r="V122" s="31">
        <f>IF(OR(T122="",U122=""),"",T122*U122)</f>
        <v/>
      </c>
      <c r="W122" s="31">
        <f>IF(COUNT(AF122:AG122)&lt;2,"",INDEX(Stillstand_h,AG122)*INDEX(Kostensatz,AF122))</f>
        <v/>
      </c>
      <c r="X122" s="32">
        <f>IF(AK122="","",IF(T122=0,"Bestand ausreichend / stock sufficient",IF(U122="","Stückpreis fehlt / price missing",IF(V122=0,"–",IF(W122/V122&gt;=Faktor_wirtschaftlich,"wirtschaftlich (Faktor "&amp;FIXED(W122/V122,1)&amp;")","nicht wirtschaftlich (Faktor "&amp;FIXED(W122/V122,1)&amp;")")))))</f>
        <v/>
      </c>
      <c r="Y122" s="33">
        <f>IF(AK122="","",IF(AK122=3,IF(T122&gt;0,IF(AG122=3,"Sofort beschaffen: Restbestand / Gebrauchtmarkt / Alternative sichern","Mindestbestand aufbauen ("&amp;T122&amp;" Stk.)"),"Bestand halten, jährlich prüfen"),IF(AK122=2,IF(T122&gt;0,"Bevorratung nach Wirtschaftlichkeit entscheiden; Quelle / Reparatur klären","Lieferzeit und Teilestatus jährlich prüfen"),"Keine Bevorratung – Beschaffung bei Bedarf")))</f>
        <v/>
      </c>
      <c r="Z122" s="25" t="n"/>
      <c r="AA122" s="25" t="n"/>
      <c r="AB122" s="34" t="n"/>
      <c r="AC122" s="26" t="n"/>
      <c r="AD122" s="25" t="n"/>
      <c r="AE122" s="2" t="n"/>
      <c r="AF122" s="35">
        <f>IF(I122="","",VALUE(LEFT(I122,1)))</f>
        <v/>
      </c>
      <c r="AG122" s="35">
        <f>IF(J122="","",VALUE(LEFT(J122,1)))</f>
        <v/>
      </c>
      <c r="AH122" s="35">
        <f>IF(K122="","",VALUE(LEFT(K122,1)))</f>
        <v/>
      </c>
      <c r="AI122" s="35">
        <f>IF(LEFT(L122,2)="ja",1,0)</f>
        <v/>
      </c>
      <c r="AJ122" s="35">
        <f>IF(COUNT(AF122:AH122)&lt;3,"",FIND(INDEX(Matrix,4-AF122,AG122),"CBA"))</f>
        <v/>
      </c>
      <c r="AK122" s="35">
        <f>IF(AJ122="","",MIN(3,MAX(AJ122+IF(AND(Regel_haeufig="ja",AH122=3),1,0),IF(AND(Regel_sicherheit="ja",AI122=1),2,0))))</f>
        <v/>
      </c>
      <c r="AL122" s="35">
        <f>IF(S122&lt;&gt;"",S122,IF(R122="","",R122))</f>
        <v/>
      </c>
      <c r="AM122" s="35">
        <f>IF(AK122="","",AK122*1000+N122*10+(1000-ROW())/100000)</f>
        <v/>
      </c>
    </row>
    <row r="123" ht="45" customHeight="1">
      <c r="A123" s="22">
        <f>IF(C123="","",COUNTA($C$7:C123))</f>
        <v/>
      </c>
      <c r="B123" s="23" t="n"/>
      <c r="C123" s="24" t="n"/>
      <c r="D123" s="25" t="n"/>
      <c r="E123" s="23" t="n"/>
      <c r="F123" s="26" t="n"/>
      <c r="G123" s="25" t="n"/>
      <c r="H123" s="25" t="n"/>
      <c r="I123" s="24" t="n"/>
      <c r="J123" s="24" t="n"/>
      <c r="K123" s="24" t="n"/>
      <c r="L123" s="26" t="n"/>
      <c r="M123" s="27">
        <f>IF(AK123="","",MID("CBA",AK123,1))</f>
        <v/>
      </c>
      <c r="N123" s="22">
        <f>IF(COUNT(AF123:AH123)&lt;3,"",AF123*AG123*AH123)</f>
        <v/>
      </c>
      <c r="O123" s="28">
        <f>IF(C123="","",IF(AJ123="","Bewertung unvollständig / incomplete","Matrix "&amp;MID("CBA",AJ123,1)&amp;IF(AND(Regel_haeufig="ja",AH123=3,AJ123&lt;3)," · häufig +1","")&amp;IF(AND(Regel_sicherheit="ja",AI123=1,AJ123+IF(AND(Regel_haeufig="ja",AH123=3),1,0)&lt;2)," · Sicherheit ⇒ B","")&amp;" → "&amp;M123))</f>
        <v/>
      </c>
      <c r="P123" s="29" t="n"/>
      <c r="Q123" s="25" t="n"/>
      <c r="R123" s="22">
        <f>IF(AK123="","",INDEX(Soll_Tabelle,4-AK123,IF(AH123=3,2,1)))</f>
        <v/>
      </c>
      <c r="S123" s="26" t="n"/>
      <c r="T123" s="22">
        <f>IF(AL123="","",MAX(0,AL123-N(P123)))</f>
        <v/>
      </c>
      <c r="U123" s="30" t="n"/>
      <c r="V123" s="31">
        <f>IF(OR(T123="",U123=""),"",T123*U123)</f>
        <v/>
      </c>
      <c r="W123" s="31">
        <f>IF(COUNT(AF123:AG123)&lt;2,"",INDEX(Stillstand_h,AG123)*INDEX(Kostensatz,AF123))</f>
        <v/>
      </c>
      <c r="X123" s="32">
        <f>IF(AK123="","",IF(T123=0,"Bestand ausreichend / stock sufficient",IF(U123="","Stückpreis fehlt / price missing",IF(V123=0,"–",IF(W123/V123&gt;=Faktor_wirtschaftlich,"wirtschaftlich (Faktor "&amp;FIXED(W123/V123,1)&amp;")","nicht wirtschaftlich (Faktor "&amp;FIXED(W123/V123,1)&amp;")")))))</f>
        <v/>
      </c>
      <c r="Y123" s="33">
        <f>IF(AK123="","",IF(AK123=3,IF(T123&gt;0,IF(AG123=3,"Sofort beschaffen: Restbestand / Gebrauchtmarkt / Alternative sichern","Mindestbestand aufbauen ("&amp;T123&amp;" Stk.)"),"Bestand halten, jährlich prüfen"),IF(AK123=2,IF(T123&gt;0,"Bevorratung nach Wirtschaftlichkeit entscheiden; Quelle / Reparatur klären","Lieferzeit und Teilestatus jährlich prüfen"),"Keine Bevorratung – Beschaffung bei Bedarf")))</f>
        <v/>
      </c>
      <c r="Z123" s="25" t="n"/>
      <c r="AA123" s="25" t="n"/>
      <c r="AB123" s="34" t="n"/>
      <c r="AC123" s="26" t="n"/>
      <c r="AD123" s="25" t="n"/>
      <c r="AE123" s="2" t="n"/>
      <c r="AF123" s="35">
        <f>IF(I123="","",VALUE(LEFT(I123,1)))</f>
        <v/>
      </c>
      <c r="AG123" s="35">
        <f>IF(J123="","",VALUE(LEFT(J123,1)))</f>
        <v/>
      </c>
      <c r="AH123" s="35">
        <f>IF(K123="","",VALUE(LEFT(K123,1)))</f>
        <v/>
      </c>
      <c r="AI123" s="35">
        <f>IF(LEFT(L123,2)="ja",1,0)</f>
        <v/>
      </c>
      <c r="AJ123" s="35">
        <f>IF(COUNT(AF123:AH123)&lt;3,"",FIND(INDEX(Matrix,4-AF123,AG123),"CBA"))</f>
        <v/>
      </c>
      <c r="AK123" s="35">
        <f>IF(AJ123="","",MIN(3,MAX(AJ123+IF(AND(Regel_haeufig="ja",AH123=3),1,0),IF(AND(Regel_sicherheit="ja",AI123=1),2,0))))</f>
        <v/>
      </c>
      <c r="AL123" s="35">
        <f>IF(S123&lt;&gt;"",S123,IF(R123="","",R123))</f>
        <v/>
      </c>
      <c r="AM123" s="35">
        <f>IF(AK123="","",AK123*1000+N123*10+(1000-ROW())/100000)</f>
        <v/>
      </c>
    </row>
    <row r="124" ht="45" customHeight="1">
      <c r="A124" s="22">
        <f>IF(C124="","",COUNTA($C$7:C124))</f>
        <v/>
      </c>
      <c r="B124" s="23" t="n"/>
      <c r="C124" s="24" t="n"/>
      <c r="D124" s="25" t="n"/>
      <c r="E124" s="23" t="n"/>
      <c r="F124" s="26" t="n"/>
      <c r="G124" s="25" t="n"/>
      <c r="H124" s="25" t="n"/>
      <c r="I124" s="24" t="n"/>
      <c r="J124" s="24" t="n"/>
      <c r="K124" s="24" t="n"/>
      <c r="L124" s="26" t="n"/>
      <c r="M124" s="27">
        <f>IF(AK124="","",MID("CBA",AK124,1))</f>
        <v/>
      </c>
      <c r="N124" s="22">
        <f>IF(COUNT(AF124:AH124)&lt;3,"",AF124*AG124*AH124)</f>
        <v/>
      </c>
      <c r="O124" s="28">
        <f>IF(C124="","",IF(AJ124="","Bewertung unvollständig / incomplete","Matrix "&amp;MID("CBA",AJ124,1)&amp;IF(AND(Regel_haeufig="ja",AH124=3,AJ124&lt;3)," · häufig +1","")&amp;IF(AND(Regel_sicherheit="ja",AI124=1,AJ124+IF(AND(Regel_haeufig="ja",AH124=3),1,0)&lt;2)," · Sicherheit ⇒ B","")&amp;" → "&amp;M124))</f>
        <v/>
      </c>
      <c r="P124" s="29" t="n"/>
      <c r="Q124" s="25" t="n"/>
      <c r="R124" s="22">
        <f>IF(AK124="","",INDEX(Soll_Tabelle,4-AK124,IF(AH124=3,2,1)))</f>
        <v/>
      </c>
      <c r="S124" s="26" t="n"/>
      <c r="T124" s="22">
        <f>IF(AL124="","",MAX(0,AL124-N(P124)))</f>
        <v/>
      </c>
      <c r="U124" s="30" t="n"/>
      <c r="V124" s="31">
        <f>IF(OR(T124="",U124=""),"",T124*U124)</f>
        <v/>
      </c>
      <c r="W124" s="31">
        <f>IF(COUNT(AF124:AG124)&lt;2,"",INDEX(Stillstand_h,AG124)*INDEX(Kostensatz,AF124))</f>
        <v/>
      </c>
      <c r="X124" s="32">
        <f>IF(AK124="","",IF(T124=0,"Bestand ausreichend / stock sufficient",IF(U124="","Stückpreis fehlt / price missing",IF(V124=0,"–",IF(W124/V124&gt;=Faktor_wirtschaftlich,"wirtschaftlich (Faktor "&amp;FIXED(W124/V124,1)&amp;")","nicht wirtschaftlich (Faktor "&amp;FIXED(W124/V124,1)&amp;")")))))</f>
        <v/>
      </c>
      <c r="Y124" s="33">
        <f>IF(AK124="","",IF(AK124=3,IF(T124&gt;0,IF(AG124=3,"Sofort beschaffen: Restbestand / Gebrauchtmarkt / Alternative sichern","Mindestbestand aufbauen ("&amp;T124&amp;" Stk.)"),"Bestand halten, jährlich prüfen"),IF(AK124=2,IF(T124&gt;0,"Bevorratung nach Wirtschaftlichkeit entscheiden; Quelle / Reparatur klären","Lieferzeit und Teilestatus jährlich prüfen"),"Keine Bevorratung – Beschaffung bei Bedarf")))</f>
        <v/>
      </c>
      <c r="Z124" s="25" t="n"/>
      <c r="AA124" s="25" t="n"/>
      <c r="AB124" s="34" t="n"/>
      <c r="AC124" s="26" t="n"/>
      <c r="AD124" s="25" t="n"/>
      <c r="AE124" s="2" t="n"/>
      <c r="AF124" s="35">
        <f>IF(I124="","",VALUE(LEFT(I124,1)))</f>
        <v/>
      </c>
      <c r="AG124" s="35">
        <f>IF(J124="","",VALUE(LEFT(J124,1)))</f>
        <v/>
      </c>
      <c r="AH124" s="35">
        <f>IF(K124="","",VALUE(LEFT(K124,1)))</f>
        <v/>
      </c>
      <c r="AI124" s="35">
        <f>IF(LEFT(L124,2)="ja",1,0)</f>
        <v/>
      </c>
      <c r="AJ124" s="35">
        <f>IF(COUNT(AF124:AH124)&lt;3,"",FIND(INDEX(Matrix,4-AF124,AG124),"CBA"))</f>
        <v/>
      </c>
      <c r="AK124" s="35">
        <f>IF(AJ124="","",MIN(3,MAX(AJ124+IF(AND(Regel_haeufig="ja",AH124=3),1,0),IF(AND(Regel_sicherheit="ja",AI124=1),2,0))))</f>
        <v/>
      </c>
      <c r="AL124" s="35">
        <f>IF(S124&lt;&gt;"",S124,IF(R124="","",R124))</f>
        <v/>
      </c>
      <c r="AM124" s="35">
        <f>IF(AK124="","",AK124*1000+N124*10+(1000-ROW())/100000)</f>
        <v/>
      </c>
    </row>
    <row r="125" ht="45" customHeight="1">
      <c r="A125" s="22">
        <f>IF(C125="","",COUNTA($C$7:C125))</f>
        <v/>
      </c>
      <c r="B125" s="23" t="n"/>
      <c r="C125" s="24" t="n"/>
      <c r="D125" s="25" t="n"/>
      <c r="E125" s="23" t="n"/>
      <c r="F125" s="26" t="n"/>
      <c r="G125" s="25" t="n"/>
      <c r="H125" s="25" t="n"/>
      <c r="I125" s="24" t="n"/>
      <c r="J125" s="24" t="n"/>
      <c r="K125" s="24" t="n"/>
      <c r="L125" s="26" t="n"/>
      <c r="M125" s="27">
        <f>IF(AK125="","",MID("CBA",AK125,1))</f>
        <v/>
      </c>
      <c r="N125" s="22">
        <f>IF(COUNT(AF125:AH125)&lt;3,"",AF125*AG125*AH125)</f>
        <v/>
      </c>
      <c r="O125" s="28">
        <f>IF(C125="","",IF(AJ125="","Bewertung unvollständig / incomplete","Matrix "&amp;MID("CBA",AJ125,1)&amp;IF(AND(Regel_haeufig="ja",AH125=3,AJ125&lt;3)," · häufig +1","")&amp;IF(AND(Regel_sicherheit="ja",AI125=1,AJ125+IF(AND(Regel_haeufig="ja",AH125=3),1,0)&lt;2)," · Sicherheit ⇒ B","")&amp;" → "&amp;M125))</f>
        <v/>
      </c>
      <c r="P125" s="29" t="n"/>
      <c r="Q125" s="25" t="n"/>
      <c r="R125" s="22">
        <f>IF(AK125="","",INDEX(Soll_Tabelle,4-AK125,IF(AH125=3,2,1)))</f>
        <v/>
      </c>
      <c r="S125" s="26" t="n"/>
      <c r="T125" s="22">
        <f>IF(AL125="","",MAX(0,AL125-N(P125)))</f>
        <v/>
      </c>
      <c r="U125" s="30" t="n"/>
      <c r="V125" s="31">
        <f>IF(OR(T125="",U125=""),"",T125*U125)</f>
        <v/>
      </c>
      <c r="W125" s="31">
        <f>IF(COUNT(AF125:AG125)&lt;2,"",INDEX(Stillstand_h,AG125)*INDEX(Kostensatz,AF125))</f>
        <v/>
      </c>
      <c r="X125" s="32">
        <f>IF(AK125="","",IF(T125=0,"Bestand ausreichend / stock sufficient",IF(U125="","Stückpreis fehlt / price missing",IF(V125=0,"–",IF(W125/V125&gt;=Faktor_wirtschaftlich,"wirtschaftlich (Faktor "&amp;FIXED(W125/V125,1)&amp;")","nicht wirtschaftlich (Faktor "&amp;FIXED(W125/V125,1)&amp;")")))))</f>
        <v/>
      </c>
      <c r="Y125" s="33">
        <f>IF(AK125="","",IF(AK125=3,IF(T125&gt;0,IF(AG125=3,"Sofort beschaffen: Restbestand / Gebrauchtmarkt / Alternative sichern","Mindestbestand aufbauen ("&amp;T125&amp;" Stk.)"),"Bestand halten, jährlich prüfen"),IF(AK125=2,IF(T125&gt;0,"Bevorratung nach Wirtschaftlichkeit entscheiden; Quelle / Reparatur klären","Lieferzeit und Teilestatus jährlich prüfen"),"Keine Bevorratung – Beschaffung bei Bedarf")))</f>
        <v/>
      </c>
      <c r="Z125" s="25" t="n"/>
      <c r="AA125" s="25" t="n"/>
      <c r="AB125" s="34" t="n"/>
      <c r="AC125" s="26" t="n"/>
      <c r="AD125" s="25" t="n"/>
      <c r="AE125" s="2" t="n"/>
      <c r="AF125" s="35">
        <f>IF(I125="","",VALUE(LEFT(I125,1)))</f>
        <v/>
      </c>
      <c r="AG125" s="35">
        <f>IF(J125="","",VALUE(LEFT(J125,1)))</f>
        <v/>
      </c>
      <c r="AH125" s="35">
        <f>IF(K125="","",VALUE(LEFT(K125,1)))</f>
        <v/>
      </c>
      <c r="AI125" s="35">
        <f>IF(LEFT(L125,2)="ja",1,0)</f>
        <v/>
      </c>
      <c r="AJ125" s="35">
        <f>IF(COUNT(AF125:AH125)&lt;3,"",FIND(INDEX(Matrix,4-AF125,AG125),"CBA"))</f>
        <v/>
      </c>
      <c r="AK125" s="35">
        <f>IF(AJ125="","",MIN(3,MAX(AJ125+IF(AND(Regel_haeufig="ja",AH125=3),1,0),IF(AND(Regel_sicherheit="ja",AI125=1),2,0))))</f>
        <v/>
      </c>
      <c r="AL125" s="35">
        <f>IF(S125&lt;&gt;"",S125,IF(R125="","",R125))</f>
        <v/>
      </c>
      <c r="AM125" s="35">
        <f>IF(AK125="","",AK125*1000+N125*10+(1000-ROW())/100000)</f>
        <v/>
      </c>
    </row>
    <row r="126" ht="45" customHeight="1">
      <c r="A126" s="22">
        <f>IF(C126="","",COUNTA($C$7:C126))</f>
        <v/>
      </c>
      <c r="B126" s="23" t="n"/>
      <c r="C126" s="24" t="n"/>
      <c r="D126" s="25" t="n"/>
      <c r="E126" s="23" t="n"/>
      <c r="F126" s="26" t="n"/>
      <c r="G126" s="25" t="n"/>
      <c r="H126" s="25" t="n"/>
      <c r="I126" s="24" t="n"/>
      <c r="J126" s="24" t="n"/>
      <c r="K126" s="24" t="n"/>
      <c r="L126" s="26" t="n"/>
      <c r="M126" s="27">
        <f>IF(AK126="","",MID("CBA",AK126,1))</f>
        <v/>
      </c>
      <c r="N126" s="22">
        <f>IF(COUNT(AF126:AH126)&lt;3,"",AF126*AG126*AH126)</f>
        <v/>
      </c>
      <c r="O126" s="28">
        <f>IF(C126="","",IF(AJ126="","Bewertung unvollständig / incomplete","Matrix "&amp;MID("CBA",AJ126,1)&amp;IF(AND(Regel_haeufig="ja",AH126=3,AJ126&lt;3)," · häufig +1","")&amp;IF(AND(Regel_sicherheit="ja",AI126=1,AJ126+IF(AND(Regel_haeufig="ja",AH126=3),1,0)&lt;2)," · Sicherheit ⇒ B","")&amp;" → "&amp;M126))</f>
        <v/>
      </c>
      <c r="P126" s="29" t="n"/>
      <c r="Q126" s="25" t="n"/>
      <c r="R126" s="22">
        <f>IF(AK126="","",INDEX(Soll_Tabelle,4-AK126,IF(AH126=3,2,1)))</f>
        <v/>
      </c>
      <c r="S126" s="26" t="n"/>
      <c r="T126" s="22">
        <f>IF(AL126="","",MAX(0,AL126-N(P126)))</f>
        <v/>
      </c>
      <c r="U126" s="30" t="n"/>
      <c r="V126" s="31">
        <f>IF(OR(T126="",U126=""),"",T126*U126)</f>
        <v/>
      </c>
      <c r="W126" s="31">
        <f>IF(COUNT(AF126:AG126)&lt;2,"",INDEX(Stillstand_h,AG126)*INDEX(Kostensatz,AF126))</f>
        <v/>
      </c>
      <c r="X126" s="32">
        <f>IF(AK126="","",IF(T126=0,"Bestand ausreichend / stock sufficient",IF(U126="","Stückpreis fehlt / price missing",IF(V126=0,"–",IF(W126/V126&gt;=Faktor_wirtschaftlich,"wirtschaftlich (Faktor "&amp;FIXED(W126/V126,1)&amp;")","nicht wirtschaftlich (Faktor "&amp;FIXED(W126/V126,1)&amp;")")))))</f>
        <v/>
      </c>
      <c r="Y126" s="33">
        <f>IF(AK126="","",IF(AK126=3,IF(T126&gt;0,IF(AG126=3,"Sofort beschaffen: Restbestand / Gebrauchtmarkt / Alternative sichern","Mindestbestand aufbauen ("&amp;T126&amp;" Stk.)"),"Bestand halten, jährlich prüfen"),IF(AK126=2,IF(T126&gt;0,"Bevorratung nach Wirtschaftlichkeit entscheiden; Quelle / Reparatur klären","Lieferzeit und Teilestatus jährlich prüfen"),"Keine Bevorratung – Beschaffung bei Bedarf")))</f>
        <v/>
      </c>
      <c r="Z126" s="25" t="n"/>
      <c r="AA126" s="25" t="n"/>
      <c r="AB126" s="34" t="n"/>
      <c r="AC126" s="26" t="n"/>
      <c r="AD126" s="25" t="n"/>
      <c r="AE126" s="2" t="n"/>
      <c r="AF126" s="35">
        <f>IF(I126="","",VALUE(LEFT(I126,1)))</f>
        <v/>
      </c>
      <c r="AG126" s="35">
        <f>IF(J126="","",VALUE(LEFT(J126,1)))</f>
        <v/>
      </c>
      <c r="AH126" s="35">
        <f>IF(K126="","",VALUE(LEFT(K126,1)))</f>
        <v/>
      </c>
      <c r="AI126" s="35">
        <f>IF(LEFT(L126,2)="ja",1,0)</f>
        <v/>
      </c>
      <c r="AJ126" s="35">
        <f>IF(COUNT(AF126:AH126)&lt;3,"",FIND(INDEX(Matrix,4-AF126,AG126),"CBA"))</f>
        <v/>
      </c>
      <c r="AK126" s="35">
        <f>IF(AJ126="","",MIN(3,MAX(AJ126+IF(AND(Regel_haeufig="ja",AH126=3),1,0),IF(AND(Regel_sicherheit="ja",AI126=1),2,0))))</f>
        <v/>
      </c>
      <c r="AL126" s="35">
        <f>IF(S126&lt;&gt;"",S126,IF(R126="","",R126))</f>
        <v/>
      </c>
      <c r="AM126" s="35">
        <f>IF(AK126="","",AK126*1000+N126*10+(1000-ROW())/100000)</f>
        <v/>
      </c>
    </row>
    <row r="127" ht="45" customHeight="1">
      <c r="A127" s="22">
        <f>IF(C127="","",COUNTA($C$7:C127))</f>
        <v/>
      </c>
      <c r="B127" s="23" t="n"/>
      <c r="C127" s="24" t="n"/>
      <c r="D127" s="25" t="n"/>
      <c r="E127" s="23" t="n"/>
      <c r="F127" s="26" t="n"/>
      <c r="G127" s="25" t="n"/>
      <c r="H127" s="25" t="n"/>
      <c r="I127" s="24" t="n"/>
      <c r="J127" s="24" t="n"/>
      <c r="K127" s="24" t="n"/>
      <c r="L127" s="26" t="n"/>
      <c r="M127" s="27">
        <f>IF(AK127="","",MID("CBA",AK127,1))</f>
        <v/>
      </c>
      <c r="N127" s="22">
        <f>IF(COUNT(AF127:AH127)&lt;3,"",AF127*AG127*AH127)</f>
        <v/>
      </c>
      <c r="O127" s="28">
        <f>IF(C127="","",IF(AJ127="","Bewertung unvollständig / incomplete","Matrix "&amp;MID("CBA",AJ127,1)&amp;IF(AND(Regel_haeufig="ja",AH127=3,AJ127&lt;3)," · häufig +1","")&amp;IF(AND(Regel_sicherheit="ja",AI127=1,AJ127+IF(AND(Regel_haeufig="ja",AH127=3),1,0)&lt;2)," · Sicherheit ⇒ B","")&amp;" → "&amp;M127))</f>
        <v/>
      </c>
      <c r="P127" s="29" t="n"/>
      <c r="Q127" s="25" t="n"/>
      <c r="R127" s="22">
        <f>IF(AK127="","",INDEX(Soll_Tabelle,4-AK127,IF(AH127=3,2,1)))</f>
        <v/>
      </c>
      <c r="S127" s="26" t="n"/>
      <c r="T127" s="22">
        <f>IF(AL127="","",MAX(0,AL127-N(P127)))</f>
        <v/>
      </c>
      <c r="U127" s="30" t="n"/>
      <c r="V127" s="31">
        <f>IF(OR(T127="",U127=""),"",T127*U127)</f>
        <v/>
      </c>
      <c r="W127" s="31">
        <f>IF(COUNT(AF127:AG127)&lt;2,"",INDEX(Stillstand_h,AG127)*INDEX(Kostensatz,AF127))</f>
        <v/>
      </c>
      <c r="X127" s="32">
        <f>IF(AK127="","",IF(T127=0,"Bestand ausreichend / stock sufficient",IF(U127="","Stückpreis fehlt / price missing",IF(V127=0,"–",IF(W127/V127&gt;=Faktor_wirtschaftlich,"wirtschaftlich (Faktor "&amp;FIXED(W127/V127,1)&amp;")","nicht wirtschaftlich (Faktor "&amp;FIXED(W127/V127,1)&amp;")")))))</f>
        <v/>
      </c>
      <c r="Y127" s="33">
        <f>IF(AK127="","",IF(AK127=3,IF(T127&gt;0,IF(AG127=3,"Sofort beschaffen: Restbestand / Gebrauchtmarkt / Alternative sichern","Mindestbestand aufbauen ("&amp;T127&amp;" Stk.)"),"Bestand halten, jährlich prüfen"),IF(AK127=2,IF(T127&gt;0,"Bevorratung nach Wirtschaftlichkeit entscheiden; Quelle / Reparatur klären","Lieferzeit und Teilestatus jährlich prüfen"),"Keine Bevorratung – Beschaffung bei Bedarf")))</f>
        <v/>
      </c>
      <c r="Z127" s="25" t="n"/>
      <c r="AA127" s="25" t="n"/>
      <c r="AB127" s="34" t="n"/>
      <c r="AC127" s="26" t="n"/>
      <c r="AD127" s="25" t="n"/>
      <c r="AE127" s="2" t="n"/>
      <c r="AF127" s="35">
        <f>IF(I127="","",VALUE(LEFT(I127,1)))</f>
        <v/>
      </c>
      <c r="AG127" s="35">
        <f>IF(J127="","",VALUE(LEFT(J127,1)))</f>
        <v/>
      </c>
      <c r="AH127" s="35">
        <f>IF(K127="","",VALUE(LEFT(K127,1)))</f>
        <v/>
      </c>
      <c r="AI127" s="35">
        <f>IF(LEFT(L127,2)="ja",1,0)</f>
        <v/>
      </c>
      <c r="AJ127" s="35">
        <f>IF(COUNT(AF127:AH127)&lt;3,"",FIND(INDEX(Matrix,4-AF127,AG127),"CBA"))</f>
        <v/>
      </c>
      <c r="AK127" s="35">
        <f>IF(AJ127="","",MIN(3,MAX(AJ127+IF(AND(Regel_haeufig="ja",AH127=3),1,0),IF(AND(Regel_sicherheit="ja",AI127=1),2,0))))</f>
        <v/>
      </c>
      <c r="AL127" s="35">
        <f>IF(S127&lt;&gt;"",S127,IF(R127="","",R127))</f>
        <v/>
      </c>
      <c r="AM127" s="35">
        <f>IF(AK127="","",AK127*1000+N127*10+(1000-ROW())/100000)</f>
        <v/>
      </c>
    </row>
    <row r="128" ht="45" customHeight="1">
      <c r="A128" s="22">
        <f>IF(C128="","",COUNTA($C$7:C128))</f>
        <v/>
      </c>
      <c r="B128" s="23" t="n"/>
      <c r="C128" s="24" t="n"/>
      <c r="D128" s="25" t="n"/>
      <c r="E128" s="23" t="n"/>
      <c r="F128" s="26" t="n"/>
      <c r="G128" s="25" t="n"/>
      <c r="H128" s="25" t="n"/>
      <c r="I128" s="24" t="n"/>
      <c r="J128" s="24" t="n"/>
      <c r="K128" s="24" t="n"/>
      <c r="L128" s="26" t="n"/>
      <c r="M128" s="27">
        <f>IF(AK128="","",MID("CBA",AK128,1))</f>
        <v/>
      </c>
      <c r="N128" s="22">
        <f>IF(COUNT(AF128:AH128)&lt;3,"",AF128*AG128*AH128)</f>
        <v/>
      </c>
      <c r="O128" s="28">
        <f>IF(C128="","",IF(AJ128="","Bewertung unvollständig / incomplete","Matrix "&amp;MID("CBA",AJ128,1)&amp;IF(AND(Regel_haeufig="ja",AH128=3,AJ128&lt;3)," · häufig +1","")&amp;IF(AND(Regel_sicherheit="ja",AI128=1,AJ128+IF(AND(Regel_haeufig="ja",AH128=3),1,0)&lt;2)," · Sicherheit ⇒ B","")&amp;" → "&amp;M128))</f>
        <v/>
      </c>
      <c r="P128" s="29" t="n"/>
      <c r="Q128" s="25" t="n"/>
      <c r="R128" s="22">
        <f>IF(AK128="","",INDEX(Soll_Tabelle,4-AK128,IF(AH128=3,2,1)))</f>
        <v/>
      </c>
      <c r="S128" s="26" t="n"/>
      <c r="T128" s="22">
        <f>IF(AL128="","",MAX(0,AL128-N(P128)))</f>
        <v/>
      </c>
      <c r="U128" s="30" t="n"/>
      <c r="V128" s="31">
        <f>IF(OR(T128="",U128=""),"",T128*U128)</f>
        <v/>
      </c>
      <c r="W128" s="31">
        <f>IF(COUNT(AF128:AG128)&lt;2,"",INDEX(Stillstand_h,AG128)*INDEX(Kostensatz,AF128))</f>
        <v/>
      </c>
      <c r="X128" s="32">
        <f>IF(AK128="","",IF(T128=0,"Bestand ausreichend / stock sufficient",IF(U128="","Stückpreis fehlt / price missing",IF(V128=0,"–",IF(W128/V128&gt;=Faktor_wirtschaftlich,"wirtschaftlich (Faktor "&amp;FIXED(W128/V128,1)&amp;")","nicht wirtschaftlich (Faktor "&amp;FIXED(W128/V128,1)&amp;")")))))</f>
        <v/>
      </c>
      <c r="Y128" s="33">
        <f>IF(AK128="","",IF(AK128=3,IF(T128&gt;0,IF(AG128=3,"Sofort beschaffen: Restbestand / Gebrauchtmarkt / Alternative sichern","Mindestbestand aufbauen ("&amp;T128&amp;" Stk.)"),"Bestand halten, jährlich prüfen"),IF(AK128=2,IF(T128&gt;0,"Bevorratung nach Wirtschaftlichkeit entscheiden; Quelle / Reparatur klären","Lieferzeit und Teilestatus jährlich prüfen"),"Keine Bevorratung – Beschaffung bei Bedarf")))</f>
        <v/>
      </c>
      <c r="Z128" s="25" t="n"/>
      <c r="AA128" s="25" t="n"/>
      <c r="AB128" s="34" t="n"/>
      <c r="AC128" s="26" t="n"/>
      <c r="AD128" s="25" t="n"/>
      <c r="AE128" s="2" t="n"/>
      <c r="AF128" s="35">
        <f>IF(I128="","",VALUE(LEFT(I128,1)))</f>
        <v/>
      </c>
      <c r="AG128" s="35">
        <f>IF(J128="","",VALUE(LEFT(J128,1)))</f>
        <v/>
      </c>
      <c r="AH128" s="35">
        <f>IF(K128="","",VALUE(LEFT(K128,1)))</f>
        <v/>
      </c>
      <c r="AI128" s="35">
        <f>IF(LEFT(L128,2)="ja",1,0)</f>
        <v/>
      </c>
      <c r="AJ128" s="35">
        <f>IF(COUNT(AF128:AH128)&lt;3,"",FIND(INDEX(Matrix,4-AF128,AG128),"CBA"))</f>
        <v/>
      </c>
      <c r="AK128" s="35">
        <f>IF(AJ128="","",MIN(3,MAX(AJ128+IF(AND(Regel_haeufig="ja",AH128=3),1,0),IF(AND(Regel_sicherheit="ja",AI128=1),2,0))))</f>
        <v/>
      </c>
      <c r="AL128" s="35">
        <f>IF(S128&lt;&gt;"",S128,IF(R128="","",R128))</f>
        <v/>
      </c>
      <c r="AM128" s="35">
        <f>IF(AK128="","",AK128*1000+N128*10+(1000-ROW())/100000)</f>
        <v/>
      </c>
    </row>
    <row r="129" ht="45" customHeight="1">
      <c r="A129" s="22">
        <f>IF(C129="","",COUNTA($C$7:C129))</f>
        <v/>
      </c>
      <c r="B129" s="23" t="n"/>
      <c r="C129" s="24" t="n"/>
      <c r="D129" s="25" t="n"/>
      <c r="E129" s="23" t="n"/>
      <c r="F129" s="26" t="n"/>
      <c r="G129" s="25" t="n"/>
      <c r="H129" s="25" t="n"/>
      <c r="I129" s="24" t="n"/>
      <c r="J129" s="24" t="n"/>
      <c r="K129" s="24" t="n"/>
      <c r="L129" s="26" t="n"/>
      <c r="M129" s="27">
        <f>IF(AK129="","",MID("CBA",AK129,1))</f>
        <v/>
      </c>
      <c r="N129" s="22">
        <f>IF(COUNT(AF129:AH129)&lt;3,"",AF129*AG129*AH129)</f>
        <v/>
      </c>
      <c r="O129" s="28">
        <f>IF(C129="","",IF(AJ129="","Bewertung unvollständig / incomplete","Matrix "&amp;MID("CBA",AJ129,1)&amp;IF(AND(Regel_haeufig="ja",AH129=3,AJ129&lt;3)," · häufig +1","")&amp;IF(AND(Regel_sicherheit="ja",AI129=1,AJ129+IF(AND(Regel_haeufig="ja",AH129=3),1,0)&lt;2)," · Sicherheit ⇒ B","")&amp;" → "&amp;M129))</f>
        <v/>
      </c>
      <c r="P129" s="29" t="n"/>
      <c r="Q129" s="25" t="n"/>
      <c r="R129" s="22">
        <f>IF(AK129="","",INDEX(Soll_Tabelle,4-AK129,IF(AH129=3,2,1)))</f>
        <v/>
      </c>
      <c r="S129" s="26" t="n"/>
      <c r="T129" s="22">
        <f>IF(AL129="","",MAX(0,AL129-N(P129)))</f>
        <v/>
      </c>
      <c r="U129" s="30" t="n"/>
      <c r="V129" s="31">
        <f>IF(OR(T129="",U129=""),"",T129*U129)</f>
        <v/>
      </c>
      <c r="W129" s="31">
        <f>IF(COUNT(AF129:AG129)&lt;2,"",INDEX(Stillstand_h,AG129)*INDEX(Kostensatz,AF129))</f>
        <v/>
      </c>
      <c r="X129" s="32">
        <f>IF(AK129="","",IF(T129=0,"Bestand ausreichend / stock sufficient",IF(U129="","Stückpreis fehlt / price missing",IF(V129=0,"–",IF(W129/V129&gt;=Faktor_wirtschaftlich,"wirtschaftlich (Faktor "&amp;FIXED(W129/V129,1)&amp;")","nicht wirtschaftlich (Faktor "&amp;FIXED(W129/V129,1)&amp;")")))))</f>
        <v/>
      </c>
      <c r="Y129" s="33">
        <f>IF(AK129="","",IF(AK129=3,IF(T129&gt;0,IF(AG129=3,"Sofort beschaffen: Restbestand / Gebrauchtmarkt / Alternative sichern","Mindestbestand aufbauen ("&amp;T129&amp;" Stk.)"),"Bestand halten, jährlich prüfen"),IF(AK129=2,IF(T129&gt;0,"Bevorratung nach Wirtschaftlichkeit entscheiden; Quelle / Reparatur klären","Lieferzeit und Teilestatus jährlich prüfen"),"Keine Bevorratung – Beschaffung bei Bedarf")))</f>
        <v/>
      </c>
      <c r="Z129" s="25" t="n"/>
      <c r="AA129" s="25" t="n"/>
      <c r="AB129" s="34" t="n"/>
      <c r="AC129" s="26" t="n"/>
      <c r="AD129" s="25" t="n"/>
      <c r="AE129" s="2" t="n"/>
      <c r="AF129" s="35">
        <f>IF(I129="","",VALUE(LEFT(I129,1)))</f>
        <v/>
      </c>
      <c r="AG129" s="35">
        <f>IF(J129="","",VALUE(LEFT(J129,1)))</f>
        <v/>
      </c>
      <c r="AH129" s="35">
        <f>IF(K129="","",VALUE(LEFT(K129,1)))</f>
        <v/>
      </c>
      <c r="AI129" s="35">
        <f>IF(LEFT(L129,2)="ja",1,0)</f>
        <v/>
      </c>
      <c r="AJ129" s="35">
        <f>IF(COUNT(AF129:AH129)&lt;3,"",FIND(INDEX(Matrix,4-AF129,AG129),"CBA"))</f>
        <v/>
      </c>
      <c r="AK129" s="35">
        <f>IF(AJ129="","",MIN(3,MAX(AJ129+IF(AND(Regel_haeufig="ja",AH129=3),1,0),IF(AND(Regel_sicherheit="ja",AI129=1),2,0))))</f>
        <v/>
      </c>
      <c r="AL129" s="35">
        <f>IF(S129&lt;&gt;"",S129,IF(R129="","",R129))</f>
        <v/>
      </c>
      <c r="AM129" s="35">
        <f>IF(AK129="","",AK129*1000+N129*10+(1000-ROW())/100000)</f>
        <v/>
      </c>
    </row>
    <row r="130" ht="45" customHeight="1">
      <c r="A130" s="22">
        <f>IF(C130="","",COUNTA($C$7:C130))</f>
        <v/>
      </c>
      <c r="B130" s="23" t="n"/>
      <c r="C130" s="24" t="n"/>
      <c r="D130" s="25" t="n"/>
      <c r="E130" s="23" t="n"/>
      <c r="F130" s="26" t="n"/>
      <c r="G130" s="25" t="n"/>
      <c r="H130" s="25" t="n"/>
      <c r="I130" s="24" t="n"/>
      <c r="J130" s="24" t="n"/>
      <c r="K130" s="24" t="n"/>
      <c r="L130" s="26" t="n"/>
      <c r="M130" s="27">
        <f>IF(AK130="","",MID("CBA",AK130,1))</f>
        <v/>
      </c>
      <c r="N130" s="22">
        <f>IF(COUNT(AF130:AH130)&lt;3,"",AF130*AG130*AH130)</f>
        <v/>
      </c>
      <c r="O130" s="28">
        <f>IF(C130="","",IF(AJ130="","Bewertung unvollständig / incomplete","Matrix "&amp;MID("CBA",AJ130,1)&amp;IF(AND(Regel_haeufig="ja",AH130=3,AJ130&lt;3)," · häufig +1","")&amp;IF(AND(Regel_sicherheit="ja",AI130=1,AJ130+IF(AND(Regel_haeufig="ja",AH130=3),1,0)&lt;2)," · Sicherheit ⇒ B","")&amp;" → "&amp;M130))</f>
        <v/>
      </c>
      <c r="P130" s="29" t="n"/>
      <c r="Q130" s="25" t="n"/>
      <c r="R130" s="22">
        <f>IF(AK130="","",INDEX(Soll_Tabelle,4-AK130,IF(AH130=3,2,1)))</f>
        <v/>
      </c>
      <c r="S130" s="26" t="n"/>
      <c r="T130" s="22">
        <f>IF(AL130="","",MAX(0,AL130-N(P130)))</f>
        <v/>
      </c>
      <c r="U130" s="30" t="n"/>
      <c r="V130" s="31">
        <f>IF(OR(T130="",U130=""),"",T130*U130)</f>
        <v/>
      </c>
      <c r="W130" s="31">
        <f>IF(COUNT(AF130:AG130)&lt;2,"",INDEX(Stillstand_h,AG130)*INDEX(Kostensatz,AF130))</f>
        <v/>
      </c>
      <c r="X130" s="32">
        <f>IF(AK130="","",IF(T130=0,"Bestand ausreichend / stock sufficient",IF(U130="","Stückpreis fehlt / price missing",IF(V130=0,"–",IF(W130/V130&gt;=Faktor_wirtschaftlich,"wirtschaftlich (Faktor "&amp;FIXED(W130/V130,1)&amp;")","nicht wirtschaftlich (Faktor "&amp;FIXED(W130/V130,1)&amp;")")))))</f>
        <v/>
      </c>
      <c r="Y130" s="33">
        <f>IF(AK130="","",IF(AK130=3,IF(T130&gt;0,IF(AG130=3,"Sofort beschaffen: Restbestand / Gebrauchtmarkt / Alternative sichern","Mindestbestand aufbauen ("&amp;T130&amp;" Stk.)"),"Bestand halten, jährlich prüfen"),IF(AK130=2,IF(T130&gt;0,"Bevorratung nach Wirtschaftlichkeit entscheiden; Quelle / Reparatur klären","Lieferzeit und Teilestatus jährlich prüfen"),"Keine Bevorratung – Beschaffung bei Bedarf")))</f>
        <v/>
      </c>
      <c r="Z130" s="25" t="n"/>
      <c r="AA130" s="25" t="n"/>
      <c r="AB130" s="34" t="n"/>
      <c r="AC130" s="26" t="n"/>
      <c r="AD130" s="25" t="n"/>
      <c r="AE130" s="2" t="n"/>
      <c r="AF130" s="35">
        <f>IF(I130="","",VALUE(LEFT(I130,1)))</f>
        <v/>
      </c>
      <c r="AG130" s="35">
        <f>IF(J130="","",VALUE(LEFT(J130,1)))</f>
        <v/>
      </c>
      <c r="AH130" s="35">
        <f>IF(K130="","",VALUE(LEFT(K130,1)))</f>
        <v/>
      </c>
      <c r="AI130" s="35">
        <f>IF(LEFT(L130,2)="ja",1,0)</f>
        <v/>
      </c>
      <c r="AJ130" s="35">
        <f>IF(COUNT(AF130:AH130)&lt;3,"",FIND(INDEX(Matrix,4-AF130,AG130),"CBA"))</f>
        <v/>
      </c>
      <c r="AK130" s="35">
        <f>IF(AJ130="","",MIN(3,MAX(AJ130+IF(AND(Regel_haeufig="ja",AH130=3),1,0),IF(AND(Regel_sicherheit="ja",AI130=1),2,0))))</f>
        <v/>
      </c>
      <c r="AL130" s="35">
        <f>IF(S130&lt;&gt;"",S130,IF(R130="","",R130))</f>
        <v/>
      </c>
      <c r="AM130" s="35">
        <f>IF(AK130="","",AK130*1000+N130*10+(1000-ROW())/100000)</f>
        <v/>
      </c>
    </row>
    <row r="131" ht="45" customHeight="1">
      <c r="A131" s="22">
        <f>IF(C131="","",COUNTA($C$7:C131))</f>
        <v/>
      </c>
      <c r="B131" s="23" t="n"/>
      <c r="C131" s="24" t="n"/>
      <c r="D131" s="25" t="n"/>
      <c r="E131" s="23" t="n"/>
      <c r="F131" s="26" t="n"/>
      <c r="G131" s="25" t="n"/>
      <c r="H131" s="25" t="n"/>
      <c r="I131" s="24" t="n"/>
      <c r="J131" s="24" t="n"/>
      <c r="K131" s="24" t="n"/>
      <c r="L131" s="26" t="n"/>
      <c r="M131" s="27">
        <f>IF(AK131="","",MID("CBA",AK131,1))</f>
        <v/>
      </c>
      <c r="N131" s="22">
        <f>IF(COUNT(AF131:AH131)&lt;3,"",AF131*AG131*AH131)</f>
        <v/>
      </c>
      <c r="O131" s="28">
        <f>IF(C131="","",IF(AJ131="","Bewertung unvollständig / incomplete","Matrix "&amp;MID("CBA",AJ131,1)&amp;IF(AND(Regel_haeufig="ja",AH131=3,AJ131&lt;3)," · häufig +1","")&amp;IF(AND(Regel_sicherheit="ja",AI131=1,AJ131+IF(AND(Regel_haeufig="ja",AH131=3),1,0)&lt;2)," · Sicherheit ⇒ B","")&amp;" → "&amp;M131))</f>
        <v/>
      </c>
      <c r="P131" s="29" t="n"/>
      <c r="Q131" s="25" t="n"/>
      <c r="R131" s="22">
        <f>IF(AK131="","",INDEX(Soll_Tabelle,4-AK131,IF(AH131=3,2,1)))</f>
        <v/>
      </c>
      <c r="S131" s="26" t="n"/>
      <c r="T131" s="22">
        <f>IF(AL131="","",MAX(0,AL131-N(P131)))</f>
        <v/>
      </c>
      <c r="U131" s="30" t="n"/>
      <c r="V131" s="31">
        <f>IF(OR(T131="",U131=""),"",T131*U131)</f>
        <v/>
      </c>
      <c r="W131" s="31">
        <f>IF(COUNT(AF131:AG131)&lt;2,"",INDEX(Stillstand_h,AG131)*INDEX(Kostensatz,AF131))</f>
        <v/>
      </c>
      <c r="X131" s="32">
        <f>IF(AK131="","",IF(T131=0,"Bestand ausreichend / stock sufficient",IF(U131="","Stückpreis fehlt / price missing",IF(V131=0,"–",IF(W131/V131&gt;=Faktor_wirtschaftlich,"wirtschaftlich (Faktor "&amp;FIXED(W131/V131,1)&amp;")","nicht wirtschaftlich (Faktor "&amp;FIXED(W131/V131,1)&amp;")")))))</f>
        <v/>
      </c>
      <c r="Y131" s="33">
        <f>IF(AK131="","",IF(AK131=3,IF(T131&gt;0,IF(AG131=3,"Sofort beschaffen: Restbestand / Gebrauchtmarkt / Alternative sichern","Mindestbestand aufbauen ("&amp;T131&amp;" Stk.)"),"Bestand halten, jährlich prüfen"),IF(AK131=2,IF(T131&gt;0,"Bevorratung nach Wirtschaftlichkeit entscheiden; Quelle / Reparatur klären","Lieferzeit und Teilestatus jährlich prüfen"),"Keine Bevorratung – Beschaffung bei Bedarf")))</f>
        <v/>
      </c>
      <c r="Z131" s="25" t="n"/>
      <c r="AA131" s="25" t="n"/>
      <c r="AB131" s="34" t="n"/>
      <c r="AC131" s="26" t="n"/>
      <c r="AD131" s="25" t="n"/>
      <c r="AE131" s="2" t="n"/>
      <c r="AF131" s="35">
        <f>IF(I131="","",VALUE(LEFT(I131,1)))</f>
        <v/>
      </c>
      <c r="AG131" s="35">
        <f>IF(J131="","",VALUE(LEFT(J131,1)))</f>
        <v/>
      </c>
      <c r="AH131" s="35">
        <f>IF(K131="","",VALUE(LEFT(K131,1)))</f>
        <v/>
      </c>
      <c r="AI131" s="35">
        <f>IF(LEFT(L131,2)="ja",1,0)</f>
        <v/>
      </c>
      <c r="AJ131" s="35">
        <f>IF(COUNT(AF131:AH131)&lt;3,"",FIND(INDEX(Matrix,4-AF131,AG131),"CBA"))</f>
        <v/>
      </c>
      <c r="AK131" s="35">
        <f>IF(AJ131="","",MIN(3,MAX(AJ131+IF(AND(Regel_haeufig="ja",AH131=3),1,0),IF(AND(Regel_sicherheit="ja",AI131=1),2,0))))</f>
        <v/>
      </c>
      <c r="AL131" s="35">
        <f>IF(S131&lt;&gt;"",S131,IF(R131="","",R131))</f>
        <v/>
      </c>
      <c r="AM131" s="35">
        <f>IF(AK131="","",AK131*1000+N131*10+(1000-ROW())/100000)</f>
        <v/>
      </c>
    </row>
    <row r="132" ht="45" customHeight="1">
      <c r="A132" s="22">
        <f>IF(C132="","",COUNTA($C$7:C132))</f>
        <v/>
      </c>
      <c r="B132" s="23" t="n"/>
      <c r="C132" s="24" t="n"/>
      <c r="D132" s="25" t="n"/>
      <c r="E132" s="23" t="n"/>
      <c r="F132" s="26" t="n"/>
      <c r="G132" s="25" t="n"/>
      <c r="H132" s="25" t="n"/>
      <c r="I132" s="24" t="n"/>
      <c r="J132" s="24" t="n"/>
      <c r="K132" s="24" t="n"/>
      <c r="L132" s="26" t="n"/>
      <c r="M132" s="27">
        <f>IF(AK132="","",MID("CBA",AK132,1))</f>
        <v/>
      </c>
      <c r="N132" s="22">
        <f>IF(COUNT(AF132:AH132)&lt;3,"",AF132*AG132*AH132)</f>
        <v/>
      </c>
      <c r="O132" s="28">
        <f>IF(C132="","",IF(AJ132="","Bewertung unvollständig / incomplete","Matrix "&amp;MID("CBA",AJ132,1)&amp;IF(AND(Regel_haeufig="ja",AH132=3,AJ132&lt;3)," · häufig +1","")&amp;IF(AND(Regel_sicherheit="ja",AI132=1,AJ132+IF(AND(Regel_haeufig="ja",AH132=3),1,0)&lt;2)," · Sicherheit ⇒ B","")&amp;" → "&amp;M132))</f>
        <v/>
      </c>
      <c r="P132" s="29" t="n"/>
      <c r="Q132" s="25" t="n"/>
      <c r="R132" s="22">
        <f>IF(AK132="","",INDEX(Soll_Tabelle,4-AK132,IF(AH132=3,2,1)))</f>
        <v/>
      </c>
      <c r="S132" s="26" t="n"/>
      <c r="T132" s="22">
        <f>IF(AL132="","",MAX(0,AL132-N(P132)))</f>
        <v/>
      </c>
      <c r="U132" s="30" t="n"/>
      <c r="V132" s="31">
        <f>IF(OR(T132="",U132=""),"",T132*U132)</f>
        <v/>
      </c>
      <c r="W132" s="31">
        <f>IF(COUNT(AF132:AG132)&lt;2,"",INDEX(Stillstand_h,AG132)*INDEX(Kostensatz,AF132))</f>
        <v/>
      </c>
      <c r="X132" s="32">
        <f>IF(AK132="","",IF(T132=0,"Bestand ausreichend / stock sufficient",IF(U132="","Stückpreis fehlt / price missing",IF(V132=0,"–",IF(W132/V132&gt;=Faktor_wirtschaftlich,"wirtschaftlich (Faktor "&amp;FIXED(W132/V132,1)&amp;")","nicht wirtschaftlich (Faktor "&amp;FIXED(W132/V132,1)&amp;")")))))</f>
        <v/>
      </c>
      <c r="Y132" s="33">
        <f>IF(AK132="","",IF(AK132=3,IF(T132&gt;0,IF(AG132=3,"Sofort beschaffen: Restbestand / Gebrauchtmarkt / Alternative sichern","Mindestbestand aufbauen ("&amp;T132&amp;" Stk.)"),"Bestand halten, jährlich prüfen"),IF(AK132=2,IF(T132&gt;0,"Bevorratung nach Wirtschaftlichkeit entscheiden; Quelle / Reparatur klären","Lieferzeit und Teilestatus jährlich prüfen"),"Keine Bevorratung – Beschaffung bei Bedarf")))</f>
        <v/>
      </c>
      <c r="Z132" s="25" t="n"/>
      <c r="AA132" s="25" t="n"/>
      <c r="AB132" s="34" t="n"/>
      <c r="AC132" s="26" t="n"/>
      <c r="AD132" s="25" t="n"/>
      <c r="AE132" s="2" t="n"/>
      <c r="AF132" s="35">
        <f>IF(I132="","",VALUE(LEFT(I132,1)))</f>
        <v/>
      </c>
      <c r="AG132" s="35">
        <f>IF(J132="","",VALUE(LEFT(J132,1)))</f>
        <v/>
      </c>
      <c r="AH132" s="35">
        <f>IF(K132="","",VALUE(LEFT(K132,1)))</f>
        <v/>
      </c>
      <c r="AI132" s="35">
        <f>IF(LEFT(L132,2)="ja",1,0)</f>
        <v/>
      </c>
      <c r="AJ132" s="35">
        <f>IF(COUNT(AF132:AH132)&lt;3,"",FIND(INDEX(Matrix,4-AF132,AG132),"CBA"))</f>
        <v/>
      </c>
      <c r="AK132" s="35">
        <f>IF(AJ132="","",MIN(3,MAX(AJ132+IF(AND(Regel_haeufig="ja",AH132=3),1,0),IF(AND(Regel_sicherheit="ja",AI132=1),2,0))))</f>
        <v/>
      </c>
      <c r="AL132" s="35">
        <f>IF(S132&lt;&gt;"",S132,IF(R132="","",R132))</f>
        <v/>
      </c>
      <c r="AM132" s="35">
        <f>IF(AK132="","",AK132*1000+N132*10+(1000-ROW())/100000)</f>
        <v/>
      </c>
    </row>
    <row r="133" ht="45" customHeight="1">
      <c r="A133" s="22">
        <f>IF(C133="","",COUNTA($C$7:C133))</f>
        <v/>
      </c>
      <c r="B133" s="23" t="n"/>
      <c r="C133" s="24" t="n"/>
      <c r="D133" s="25" t="n"/>
      <c r="E133" s="23" t="n"/>
      <c r="F133" s="26" t="n"/>
      <c r="G133" s="25" t="n"/>
      <c r="H133" s="25" t="n"/>
      <c r="I133" s="24" t="n"/>
      <c r="J133" s="24" t="n"/>
      <c r="K133" s="24" t="n"/>
      <c r="L133" s="26" t="n"/>
      <c r="M133" s="27">
        <f>IF(AK133="","",MID("CBA",AK133,1))</f>
        <v/>
      </c>
      <c r="N133" s="22">
        <f>IF(COUNT(AF133:AH133)&lt;3,"",AF133*AG133*AH133)</f>
        <v/>
      </c>
      <c r="O133" s="28">
        <f>IF(C133="","",IF(AJ133="","Bewertung unvollständig / incomplete","Matrix "&amp;MID("CBA",AJ133,1)&amp;IF(AND(Regel_haeufig="ja",AH133=3,AJ133&lt;3)," · häufig +1","")&amp;IF(AND(Regel_sicherheit="ja",AI133=1,AJ133+IF(AND(Regel_haeufig="ja",AH133=3),1,0)&lt;2)," · Sicherheit ⇒ B","")&amp;" → "&amp;M133))</f>
        <v/>
      </c>
      <c r="P133" s="29" t="n"/>
      <c r="Q133" s="25" t="n"/>
      <c r="R133" s="22">
        <f>IF(AK133="","",INDEX(Soll_Tabelle,4-AK133,IF(AH133=3,2,1)))</f>
        <v/>
      </c>
      <c r="S133" s="26" t="n"/>
      <c r="T133" s="22">
        <f>IF(AL133="","",MAX(0,AL133-N(P133)))</f>
        <v/>
      </c>
      <c r="U133" s="30" t="n"/>
      <c r="V133" s="31">
        <f>IF(OR(T133="",U133=""),"",T133*U133)</f>
        <v/>
      </c>
      <c r="W133" s="31">
        <f>IF(COUNT(AF133:AG133)&lt;2,"",INDEX(Stillstand_h,AG133)*INDEX(Kostensatz,AF133))</f>
        <v/>
      </c>
      <c r="X133" s="32">
        <f>IF(AK133="","",IF(T133=0,"Bestand ausreichend / stock sufficient",IF(U133="","Stückpreis fehlt / price missing",IF(V133=0,"–",IF(W133/V133&gt;=Faktor_wirtschaftlich,"wirtschaftlich (Faktor "&amp;FIXED(W133/V133,1)&amp;")","nicht wirtschaftlich (Faktor "&amp;FIXED(W133/V133,1)&amp;")")))))</f>
        <v/>
      </c>
      <c r="Y133" s="33">
        <f>IF(AK133="","",IF(AK133=3,IF(T133&gt;0,IF(AG133=3,"Sofort beschaffen: Restbestand / Gebrauchtmarkt / Alternative sichern","Mindestbestand aufbauen ("&amp;T133&amp;" Stk.)"),"Bestand halten, jährlich prüfen"),IF(AK133=2,IF(T133&gt;0,"Bevorratung nach Wirtschaftlichkeit entscheiden; Quelle / Reparatur klären","Lieferzeit und Teilestatus jährlich prüfen"),"Keine Bevorratung – Beschaffung bei Bedarf")))</f>
        <v/>
      </c>
      <c r="Z133" s="25" t="n"/>
      <c r="AA133" s="25" t="n"/>
      <c r="AB133" s="34" t="n"/>
      <c r="AC133" s="26" t="n"/>
      <c r="AD133" s="25" t="n"/>
      <c r="AE133" s="2" t="n"/>
      <c r="AF133" s="35">
        <f>IF(I133="","",VALUE(LEFT(I133,1)))</f>
        <v/>
      </c>
      <c r="AG133" s="35">
        <f>IF(J133="","",VALUE(LEFT(J133,1)))</f>
        <v/>
      </c>
      <c r="AH133" s="35">
        <f>IF(K133="","",VALUE(LEFT(K133,1)))</f>
        <v/>
      </c>
      <c r="AI133" s="35">
        <f>IF(LEFT(L133,2)="ja",1,0)</f>
        <v/>
      </c>
      <c r="AJ133" s="35">
        <f>IF(COUNT(AF133:AH133)&lt;3,"",FIND(INDEX(Matrix,4-AF133,AG133),"CBA"))</f>
        <v/>
      </c>
      <c r="AK133" s="35">
        <f>IF(AJ133="","",MIN(3,MAX(AJ133+IF(AND(Regel_haeufig="ja",AH133=3),1,0),IF(AND(Regel_sicherheit="ja",AI133=1),2,0))))</f>
        <v/>
      </c>
      <c r="AL133" s="35">
        <f>IF(S133&lt;&gt;"",S133,IF(R133="","",R133))</f>
        <v/>
      </c>
      <c r="AM133" s="35">
        <f>IF(AK133="","",AK133*1000+N133*10+(1000-ROW())/100000)</f>
        <v/>
      </c>
    </row>
    <row r="134" ht="45" customHeight="1">
      <c r="A134" s="22">
        <f>IF(C134="","",COUNTA($C$7:C134))</f>
        <v/>
      </c>
      <c r="B134" s="23" t="n"/>
      <c r="C134" s="24" t="n"/>
      <c r="D134" s="25" t="n"/>
      <c r="E134" s="23" t="n"/>
      <c r="F134" s="26" t="n"/>
      <c r="G134" s="25" t="n"/>
      <c r="H134" s="25" t="n"/>
      <c r="I134" s="24" t="n"/>
      <c r="J134" s="24" t="n"/>
      <c r="K134" s="24" t="n"/>
      <c r="L134" s="26" t="n"/>
      <c r="M134" s="27">
        <f>IF(AK134="","",MID("CBA",AK134,1))</f>
        <v/>
      </c>
      <c r="N134" s="22">
        <f>IF(COUNT(AF134:AH134)&lt;3,"",AF134*AG134*AH134)</f>
        <v/>
      </c>
      <c r="O134" s="28">
        <f>IF(C134="","",IF(AJ134="","Bewertung unvollständig / incomplete","Matrix "&amp;MID("CBA",AJ134,1)&amp;IF(AND(Regel_haeufig="ja",AH134=3,AJ134&lt;3)," · häufig +1","")&amp;IF(AND(Regel_sicherheit="ja",AI134=1,AJ134+IF(AND(Regel_haeufig="ja",AH134=3),1,0)&lt;2)," · Sicherheit ⇒ B","")&amp;" → "&amp;M134))</f>
        <v/>
      </c>
      <c r="P134" s="29" t="n"/>
      <c r="Q134" s="25" t="n"/>
      <c r="R134" s="22">
        <f>IF(AK134="","",INDEX(Soll_Tabelle,4-AK134,IF(AH134=3,2,1)))</f>
        <v/>
      </c>
      <c r="S134" s="26" t="n"/>
      <c r="T134" s="22">
        <f>IF(AL134="","",MAX(0,AL134-N(P134)))</f>
        <v/>
      </c>
      <c r="U134" s="30" t="n"/>
      <c r="V134" s="31">
        <f>IF(OR(T134="",U134=""),"",T134*U134)</f>
        <v/>
      </c>
      <c r="W134" s="31">
        <f>IF(COUNT(AF134:AG134)&lt;2,"",INDEX(Stillstand_h,AG134)*INDEX(Kostensatz,AF134))</f>
        <v/>
      </c>
      <c r="X134" s="32">
        <f>IF(AK134="","",IF(T134=0,"Bestand ausreichend / stock sufficient",IF(U134="","Stückpreis fehlt / price missing",IF(V134=0,"–",IF(W134/V134&gt;=Faktor_wirtschaftlich,"wirtschaftlich (Faktor "&amp;FIXED(W134/V134,1)&amp;")","nicht wirtschaftlich (Faktor "&amp;FIXED(W134/V134,1)&amp;")")))))</f>
        <v/>
      </c>
      <c r="Y134" s="33">
        <f>IF(AK134="","",IF(AK134=3,IF(T134&gt;0,IF(AG134=3,"Sofort beschaffen: Restbestand / Gebrauchtmarkt / Alternative sichern","Mindestbestand aufbauen ("&amp;T134&amp;" Stk.)"),"Bestand halten, jährlich prüfen"),IF(AK134=2,IF(T134&gt;0,"Bevorratung nach Wirtschaftlichkeit entscheiden; Quelle / Reparatur klären","Lieferzeit und Teilestatus jährlich prüfen"),"Keine Bevorratung – Beschaffung bei Bedarf")))</f>
        <v/>
      </c>
      <c r="Z134" s="25" t="n"/>
      <c r="AA134" s="25" t="n"/>
      <c r="AB134" s="34" t="n"/>
      <c r="AC134" s="26" t="n"/>
      <c r="AD134" s="25" t="n"/>
      <c r="AE134" s="2" t="n"/>
      <c r="AF134" s="35">
        <f>IF(I134="","",VALUE(LEFT(I134,1)))</f>
        <v/>
      </c>
      <c r="AG134" s="35">
        <f>IF(J134="","",VALUE(LEFT(J134,1)))</f>
        <v/>
      </c>
      <c r="AH134" s="35">
        <f>IF(K134="","",VALUE(LEFT(K134,1)))</f>
        <v/>
      </c>
      <c r="AI134" s="35">
        <f>IF(LEFT(L134,2)="ja",1,0)</f>
        <v/>
      </c>
      <c r="AJ134" s="35">
        <f>IF(COUNT(AF134:AH134)&lt;3,"",FIND(INDEX(Matrix,4-AF134,AG134),"CBA"))</f>
        <v/>
      </c>
      <c r="AK134" s="35">
        <f>IF(AJ134="","",MIN(3,MAX(AJ134+IF(AND(Regel_haeufig="ja",AH134=3),1,0),IF(AND(Regel_sicherheit="ja",AI134=1),2,0))))</f>
        <v/>
      </c>
      <c r="AL134" s="35">
        <f>IF(S134&lt;&gt;"",S134,IF(R134="","",R134))</f>
        <v/>
      </c>
      <c r="AM134" s="35">
        <f>IF(AK134="","",AK134*1000+N134*10+(1000-ROW())/100000)</f>
        <v/>
      </c>
    </row>
    <row r="135" ht="45" customHeight="1">
      <c r="A135" s="22">
        <f>IF(C135="","",COUNTA($C$7:C135))</f>
        <v/>
      </c>
      <c r="B135" s="23" t="n"/>
      <c r="C135" s="24" t="n"/>
      <c r="D135" s="25" t="n"/>
      <c r="E135" s="23" t="n"/>
      <c r="F135" s="26" t="n"/>
      <c r="G135" s="25" t="n"/>
      <c r="H135" s="25" t="n"/>
      <c r="I135" s="24" t="n"/>
      <c r="J135" s="24" t="n"/>
      <c r="K135" s="24" t="n"/>
      <c r="L135" s="26" t="n"/>
      <c r="M135" s="27">
        <f>IF(AK135="","",MID("CBA",AK135,1))</f>
        <v/>
      </c>
      <c r="N135" s="22">
        <f>IF(COUNT(AF135:AH135)&lt;3,"",AF135*AG135*AH135)</f>
        <v/>
      </c>
      <c r="O135" s="28">
        <f>IF(C135="","",IF(AJ135="","Bewertung unvollständig / incomplete","Matrix "&amp;MID("CBA",AJ135,1)&amp;IF(AND(Regel_haeufig="ja",AH135=3,AJ135&lt;3)," · häufig +1","")&amp;IF(AND(Regel_sicherheit="ja",AI135=1,AJ135+IF(AND(Regel_haeufig="ja",AH135=3),1,0)&lt;2)," · Sicherheit ⇒ B","")&amp;" → "&amp;M135))</f>
        <v/>
      </c>
      <c r="P135" s="29" t="n"/>
      <c r="Q135" s="25" t="n"/>
      <c r="R135" s="22">
        <f>IF(AK135="","",INDEX(Soll_Tabelle,4-AK135,IF(AH135=3,2,1)))</f>
        <v/>
      </c>
      <c r="S135" s="26" t="n"/>
      <c r="T135" s="22">
        <f>IF(AL135="","",MAX(0,AL135-N(P135)))</f>
        <v/>
      </c>
      <c r="U135" s="30" t="n"/>
      <c r="V135" s="31">
        <f>IF(OR(T135="",U135=""),"",T135*U135)</f>
        <v/>
      </c>
      <c r="W135" s="31">
        <f>IF(COUNT(AF135:AG135)&lt;2,"",INDEX(Stillstand_h,AG135)*INDEX(Kostensatz,AF135))</f>
        <v/>
      </c>
      <c r="X135" s="32">
        <f>IF(AK135="","",IF(T135=0,"Bestand ausreichend / stock sufficient",IF(U135="","Stückpreis fehlt / price missing",IF(V135=0,"–",IF(W135/V135&gt;=Faktor_wirtschaftlich,"wirtschaftlich (Faktor "&amp;FIXED(W135/V135,1)&amp;")","nicht wirtschaftlich (Faktor "&amp;FIXED(W135/V135,1)&amp;")")))))</f>
        <v/>
      </c>
      <c r="Y135" s="33">
        <f>IF(AK135="","",IF(AK135=3,IF(T135&gt;0,IF(AG135=3,"Sofort beschaffen: Restbestand / Gebrauchtmarkt / Alternative sichern","Mindestbestand aufbauen ("&amp;T135&amp;" Stk.)"),"Bestand halten, jährlich prüfen"),IF(AK135=2,IF(T135&gt;0,"Bevorratung nach Wirtschaftlichkeit entscheiden; Quelle / Reparatur klären","Lieferzeit und Teilestatus jährlich prüfen"),"Keine Bevorratung – Beschaffung bei Bedarf")))</f>
        <v/>
      </c>
      <c r="Z135" s="25" t="n"/>
      <c r="AA135" s="25" t="n"/>
      <c r="AB135" s="34" t="n"/>
      <c r="AC135" s="26" t="n"/>
      <c r="AD135" s="25" t="n"/>
      <c r="AE135" s="2" t="n"/>
      <c r="AF135" s="35">
        <f>IF(I135="","",VALUE(LEFT(I135,1)))</f>
        <v/>
      </c>
      <c r="AG135" s="35">
        <f>IF(J135="","",VALUE(LEFT(J135,1)))</f>
        <v/>
      </c>
      <c r="AH135" s="35">
        <f>IF(K135="","",VALUE(LEFT(K135,1)))</f>
        <v/>
      </c>
      <c r="AI135" s="35">
        <f>IF(LEFT(L135,2)="ja",1,0)</f>
        <v/>
      </c>
      <c r="AJ135" s="35">
        <f>IF(COUNT(AF135:AH135)&lt;3,"",FIND(INDEX(Matrix,4-AF135,AG135),"CBA"))</f>
        <v/>
      </c>
      <c r="AK135" s="35">
        <f>IF(AJ135="","",MIN(3,MAX(AJ135+IF(AND(Regel_haeufig="ja",AH135=3),1,0),IF(AND(Regel_sicherheit="ja",AI135=1),2,0))))</f>
        <v/>
      </c>
      <c r="AL135" s="35">
        <f>IF(S135&lt;&gt;"",S135,IF(R135="","",R135))</f>
        <v/>
      </c>
      <c r="AM135" s="35">
        <f>IF(AK135="","",AK135*1000+N135*10+(1000-ROW())/100000)</f>
        <v/>
      </c>
    </row>
    <row r="136" ht="45" customHeight="1">
      <c r="A136" s="22">
        <f>IF(C136="","",COUNTA($C$7:C136))</f>
        <v/>
      </c>
      <c r="B136" s="23" t="n"/>
      <c r="C136" s="24" t="n"/>
      <c r="D136" s="25" t="n"/>
      <c r="E136" s="23" t="n"/>
      <c r="F136" s="26" t="n"/>
      <c r="G136" s="25" t="n"/>
      <c r="H136" s="25" t="n"/>
      <c r="I136" s="24" t="n"/>
      <c r="J136" s="24" t="n"/>
      <c r="K136" s="24" t="n"/>
      <c r="L136" s="26" t="n"/>
      <c r="M136" s="27">
        <f>IF(AK136="","",MID("CBA",AK136,1))</f>
        <v/>
      </c>
      <c r="N136" s="22">
        <f>IF(COUNT(AF136:AH136)&lt;3,"",AF136*AG136*AH136)</f>
        <v/>
      </c>
      <c r="O136" s="28">
        <f>IF(C136="","",IF(AJ136="","Bewertung unvollständig / incomplete","Matrix "&amp;MID("CBA",AJ136,1)&amp;IF(AND(Regel_haeufig="ja",AH136=3,AJ136&lt;3)," · häufig +1","")&amp;IF(AND(Regel_sicherheit="ja",AI136=1,AJ136+IF(AND(Regel_haeufig="ja",AH136=3),1,0)&lt;2)," · Sicherheit ⇒ B","")&amp;" → "&amp;M136))</f>
        <v/>
      </c>
      <c r="P136" s="29" t="n"/>
      <c r="Q136" s="25" t="n"/>
      <c r="R136" s="22">
        <f>IF(AK136="","",INDEX(Soll_Tabelle,4-AK136,IF(AH136=3,2,1)))</f>
        <v/>
      </c>
      <c r="S136" s="26" t="n"/>
      <c r="T136" s="22">
        <f>IF(AL136="","",MAX(0,AL136-N(P136)))</f>
        <v/>
      </c>
      <c r="U136" s="30" t="n"/>
      <c r="V136" s="31">
        <f>IF(OR(T136="",U136=""),"",T136*U136)</f>
        <v/>
      </c>
      <c r="W136" s="31">
        <f>IF(COUNT(AF136:AG136)&lt;2,"",INDEX(Stillstand_h,AG136)*INDEX(Kostensatz,AF136))</f>
        <v/>
      </c>
      <c r="X136" s="32">
        <f>IF(AK136="","",IF(T136=0,"Bestand ausreichend / stock sufficient",IF(U136="","Stückpreis fehlt / price missing",IF(V136=0,"–",IF(W136/V136&gt;=Faktor_wirtschaftlich,"wirtschaftlich (Faktor "&amp;FIXED(W136/V136,1)&amp;")","nicht wirtschaftlich (Faktor "&amp;FIXED(W136/V136,1)&amp;")")))))</f>
        <v/>
      </c>
      <c r="Y136" s="33">
        <f>IF(AK136="","",IF(AK136=3,IF(T136&gt;0,IF(AG136=3,"Sofort beschaffen: Restbestand / Gebrauchtmarkt / Alternative sichern","Mindestbestand aufbauen ("&amp;T136&amp;" Stk.)"),"Bestand halten, jährlich prüfen"),IF(AK136=2,IF(T136&gt;0,"Bevorratung nach Wirtschaftlichkeit entscheiden; Quelle / Reparatur klären","Lieferzeit und Teilestatus jährlich prüfen"),"Keine Bevorratung – Beschaffung bei Bedarf")))</f>
        <v/>
      </c>
      <c r="Z136" s="25" t="n"/>
      <c r="AA136" s="25" t="n"/>
      <c r="AB136" s="34" t="n"/>
      <c r="AC136" s="26" t="n"/>
      <c r="AD136" s="25" t="n"/>
      <c r="AE136" s="2" t="n"/>
      <c r="AF136" s="35">
        <f>IF(I136="","",VALUE(LEFT(I136,1)))</f>
        <v/>
      </c>
      <c r="AG136" s="35">
        <f>IF(J136="","",VALUE(LEFT(J136,1)))</f>
        <v/>
      </c>
      <c r="AH136" s="35">
        <f>IF(K136="","",VALUE(LEFT(K136,1)))</f>
        <v/>
      </c>
      <c r="AI136" s="35">
        <f>IF(LEFT(L136,2)="ja",1,0)</f>
        <v/>
      </c>
      <c r="AJ136" s="35">
        <f>IF(COUNT(AF136:AH136)&lt;3,"",FIND(INDEX(Matrix,4-AF136,AG136),"CBA"))</f>
        <v/>
      </c>
      <c r="AK136" s="35">
        <f>IF(AJ136="","",MIN(3,MAX(AJ136+IF(AND(Regel_haeufig="ja",AH136=3),1,0),IF(AND(Regel_sicherheit="ja",AI136=1),2,0))))</f>
        <v/>
      </c>
      <c r="AL136" s="35">
        <f>IF(S136&lt;&gt;"",S136,IF(R136="","",R136))</f>
        <v/>
      </c>
      <c r="AM136" s="35">
        <f>IF(AK136="","",AK136*1000+N136*10+(1000-ROW())/100000)</f>
        <v/>
      </c>
    </row>
    <row r="137" ht="45" customHeight="1">
      <c r="A137" s="22">
        <f>IF(C137="","",COUNTA($C$7:C137))</f>
        <v/>
      </c>
      <c r="B137" s="23" t="n"/>
      <c r="C137" s="24" t="n"/>
      <c r="D137" s="25" t="n"/>
      <c r="E137" s="23" t="n"/>
      <c r="F137" s="26" t="n"/>
      <c r="G137" s="25" t="n"/>
      <c r="H137" s="25" t="n"/>
      <c r="I137" s="24" t="n"/>
      <c r="J137" s="24" t="n"/>
      <c r="K137" s="24" t="n"/>
      <c r="L137" s="26" t="n"/>
      <c r="M137" s="27">
        <f>IF(AK137="","",MID("CBA",AK137,1))</f>
        <v/>
      </c>
      <c r="N137" s="22">
        <f>IF(COUNT(AF137:AH137)&lt;3,"",AF137*AG137*AH137)</f>
        <v/>
      </c>
      <c r="O137" s="28">
        <f>IF(C137="","",IF(AJ137="","Bewertung unvollständig / incomplete","Matrix "&amp;MID("CBA",AJ137,1)&amp;IF(AND(Regel_haeufig="ja",AH137=3,AJ137&lt;3)," · häufig +1","")&amp;IF(AND(Regel_sicherheit="ja",AI137=1,AJ137+IF(AND(Regel_haeufig="ja",AH137=3),1,0)&lt;2)," · Sicherheit ⇒ B","")&amp;" → "&amp;M137))</f>
        <v/>
      </c>
      <c r="P137" s="29" t="n"/>
      <c r="Q137" s="25" t="n"/>
      <c r="R137" s="22">
        <f>IF(AK137="","",INDEX(Soll_Tabelle,4-AK137,IF(AH137=3,2,1)))</f>
        <v/>
      </c>
      <c r="S137" s="26" t="n"/>
      <c r="T137" s="22">
        <f>IF(AL137="","",MAX(0,AL137-N(P137)))</f>
        <v/>
      </c>
      <c r="U137" s="30" t="n"/>
      <c r="V137" s="31">
        <f>IF(OR(T137="",U137=""),"",T137*U137)</f>
        <v/>
      </c>
      <c r="W137" s="31">
        <f>IF(COUNT(AF137:AG137)&lt;2,"",INDEX(Stillstand_h,AG137)*INDEX(Kostensatz,AF137))</f>
        <v/>
      </c>
      <c r="X137" s="32">
        <f>IF(AK137="","",IF(T137=0,"Bestand ausreichend / stock sufficient",IF(U137="","Stückpreis fehlt / price missing",IF(V137=0,"–",IF(W137/V137&gt;=Faktor_wirtschaftlich,"wirtschaftlich (Faktor "&amp;FIXED(W137/V137,1)&amp;")","nicht wirtschaftlich (Faktor "&amp;FIXED(W137/V137,1)&amp;")")))))</f>
        <v/>
      </c>
      <c r="Y137" s="33">
        <f>IF(AK137="","",IF(AK137=3,IF(T137&gt;0,IF(AG137=3,"Sofort beschaffen: Restbestand / Gebrauchtmarkt / Alternative sichern","Mindestbestand aufbauen ("&amp;T137&amp;" Stk.)"),"Bestand halten, jährlich prüfen"),IF(AK137=2,IF(T137&gt;0,"Bevorratung nach Wirtschaftlichkeit entscheiden; Quelle / Reparatur klären","Lieferzeit und Teilestatus jährlich prüfen"),"Keine Bevorratung – Beschaffung bei Bedarf")))</f>
        <v/>
      </c>
      <c r="Z137" s="25" t="n"/>
      <c r="AA137" s="25" t="n"/>
      <c r="AB137" s="34" t="n"/>
      <c r="AC137" s="26" t="n"/>
      <c r="AD137" s="25" t="n"/>
      <c r="AE137" s="2" t="n"/>
      <c r="AF137" s="35">
        <f>IF(I137="","",VALUE(LEFT(I137,1)))</f>
        <v/>
      </c>
      <c r="AG137" s="35">
        <f>IF(J137="","",VALUE(LEFT(J137,1)))</f>
        <v/>
      </c>
      <c r="AH137" s="35">
        <f>IF(K137="","",VALUE(LEFT(K137,1)))</f>
        <v/>
      </c>
      <c r="AI137" s="35">
        <f>IF(LEFT(L137,2)="ja",1,0)</f>
        <v/>
      </c>
      <c r="AJ137" s="35">
        <f>IF(COUNT(AF137:AH137)&lt;3,"",FIND(INDEX(Matrix,4-AF137,AG137),"CBA"))</f>
        <v/>
      </c>
      <c r="AK137" s="35">
        <f>IF(AJ137="","",MIN(3,MAX(AJ137+IF(AND(Regel_haeufig="ja",AH137=3),1,0),IF(AND(Regel_sicherheit="ja",AI137=1),2,0))))</f>
        <v/>
      </c>
      <c r="AL137" s="35">
        <f>IF(S137&lt;&gt;"",S137,IF(R137="","",R137))</f>
        <v/>
      </c>
      <c r="AM137" s="35">
        <f>IF(AK137="","",AK137*1000+N137*10+(1000-ROW())/100000)</f>
        <v/>
      </c>
    </row>
    <row r="138" ht="45" customHeight="1">
      <c r="A138" s="22">
        <f>IF(C138="","",COUNTA($C$7:C138))</f>
        <v/>
      </c>
      <c r="B138" s="23" t="n"/>
      <c r="C138" s="24" t="n"/>
      <c r="D138" s="25" t="n"/>
      <c r="E138" s="23" t="n"/>
      <c r="F138" s="26" t="n"/>
      <c r="G138" s="25" t="n"/>
      <c r="H138" s="25" t="n"/>
      <c r="I138" s="24" t="n"/>
      <c r="J138" s="24" t="n"/>
      <c r="K138" s="24" t="n"/>
      <c r="L138" s="26" t="n"/>
      <c r="M138" s="27">
        <f>IF(AK138="","",MID("CBA",AK138,1))</f>
        <v/>
      </c>
      <c r="N138" s="22">
        <f>IF(COUNT(AF138:AH138)&lt;3,"",AF138*AG138*AH138)</f>
        <v/>
      </c>
      <c r="O138" s="28">
        <f>IF(C138="","",IF(AJ138="","Bewertung unvollständig / incomplete","Matrix "&amp;MID("CBA",AJ138,1)&amp;IF(AND(Regel_haeufig="ja",AH138=3,AJ138&lt;3)," · häufig +1","")&amp;IF(AND(Regel_sicherheit="ja",AI138=1,AJ138+IF(AND(Regel_haeufig="ja",AH138=3),1,0)&lt;2)," · Sicherheit ⇒ B","")&amp;" → "&amp;M138))</f>
        <v/>
      </c>
      <c r="P138" s="29" t="n"/>
      <c r="Q138" s="25" t="n"/>
      <c r="R138" s="22">
        <f>IF(AK138="","",INDEX(Soll_Tabelle,4-AK138,IF(AH138=3,2,1)))</f>
        <v/>
      </c>
      <c r="S138" s="26" t="n"/>
      <c r="T138" s="22">
        <f>IF(AL138="","",MAX(0,AL138-N(P138)))</f>
        <v/>
      </c>
      <c r="U138" s="30" t="n"/>
      <c r="V138" s="31">
        <f>IF(OR(T138="",U138=""),"",T138*U138)</f>
        <v/>
      </c>
      <c r="W138" s="31">
        <f>IF(COUNT(AF138:AG138)&lt;2,"",INDEX(Stillstand_h,AG138)*INDEX(Kostensatz,AF138))</f>
        <v/>
      </c>
      <c r="X138" s="32">
        <f>IF(AK138="","",IF(T138=0,"Bestand ausreichend / stock sufficient",IF(U138="","Stückpreis fehlt / price missing",IF(V138=0,"–",IF(W138/V138&gt;=Faktor_wirtschaftlich,"wirtschaftlich (Faktor "&amp;FIXED(W138/V138,1)&amp;")","nicht wirtschaftlich (Faktor "&amp;FIXED(W138/V138,1)&amp;")")))))</f>
        <v/>
      </c>
      <c r="Y138" s="33">
        <f>IF(AK138="","",IF(AK138=3,IF(T138&gt;0,IF(AG138=3,"Sofort beschaffen: Restbestand / Gebrauchtmarkt / Alternative sichern","Mindestbestand aufbauen ("&amp;T138&amp;" Stk.)"),"Bestand halten, jährlich prüfen"),IF(AK138=2,IF(T138&gt;0,"Bevorratung nach Wirtschaftlichkeit entscheiden; Quelle / Reparatur klären","Lieferzeit und Teilestatus jährlich prüfen"),"Keine Bevorratung – Beschaffung bei Bedarf")))</f>
        <v/>
      </c>
      <c r="Z138" s="25" t="n"/>
      <c r="AA138" s="25" t="n"/>
      <c r="AB138" s="34" t="n"/>
      <c r="AC138" s="26" t="n"/>
      <c r="AD138" s="25" t="n"/>
      <c r="AE138" s="2" t="n"/>
      <c r="AF138" s="35">
        <f>IF(I138="","",VALUE(LEFT(I138,1)))</f>
        <v/>
      </c>
      <c r="AG138" s="35">
        <f>IF(J138="","",VALUE(LEFT(J138,1)))</f>
        <v/>
      </c>
      <c r="AH138" s="35">
        <f>IF(K138="","",VALUE(LEFT(K138,1)))</f>
        <v/>
      </c>
      <c r="AI138" s="35">
        <f>IF(LEFT(L138,2)="ja",1,0)</f>
        <v/>
      </c>
      <c r="AJ138" s="35">
        <f>IF(COUNT(AF138:AH138)&lt;3,"",FIND(INDEX(Matrix,4-AF138,AG138),"CBA"))</f>
        <v/>
      </c>
      <c r="AK138" s="35">
        <f>IF(AJ138="","",MIN(3,MAX(AJ138+IF(AND(Regel_haeufig="ja",AH138=3),1,0),IF(AND(Regel_sicherheit="ja",AI138=1),2,0))))</f>
        <v/>
      </c>
      <c r="AL138" s="35">
        <f>IF(S138&lt;&gt;"",S138,IF(R138="","",R138))</f>
        <v/>
      </c>
      <c r="AM138" s="35">
        <f>IF(AK138="","",AK138*1000+N138*10+(1000-ROW())/100000)</f>
        <v/>
      </c>
    </row>
    <row r="139" ht="45" customHeight="1">
      <c r="A139" s="22">
        <f>IF(C139="","",COUNTA($C$7:C139))</f>
        <v/>
      </c>
      <c r="B139" s="23" t="n"/>
      <c r="C139" s="24" t="n"/>
      <c r="D139" s="25" t="n"/>
      <c r="E139" s="23" t="n"/>
      <c r="F139" s="26" t="n"/>
      <c r="G139" s="25" t="n"/>
      <c r="H139" s="25" t="n"/>
      <c r="I139" s="24" t="n"/>
      <c r="J139" s="24" t="n"/>
      <c r="K139" s="24" t="n"/>
      <c r="L139" s="26" t="n"/>
      <c r="M139" s="27">
        <f>IF(AK139="","",MID("CBA",AK139,1))</f>
        <v/>
      </c>
      <c r="N139" s="22">
        <f>IF(COUNT(AF139:AH139)&lt;3,"",AF139*AG139*AH139)</f>
        <v/>
      </c>
      <c r="O139" s="28">
        <f>IF(C139="","",IF(AJ139="","Bewertung unvollständig / incomplete","Matrix "&amp;MID("CBA",AJ139,1)&amp;IF(AND(Regel_haeufig="ja",AH139=3,AJ139&lt;3)," · häufig +1","")&amp;IF(AND(Regel_sicherheit="ja",AI139=1,AJ139+IF(AND(Regel_haeufig="ja",AH139=3),1,0)&lt;2)," · Sicherheit ⇒ B","")&amp;" → "&amp;M139))</f>
        <v/>
      </c>
      <c r="P139" s="29" t="n"/>
      <c r="Q139" s="25" t="n"/>
      <c r="R139" s="22">
        <f>IF(AK139="","",INDEX(Soll_Tabelle,4-AK139,IF(AH139=3,2,1)))</f>
        <v/>
      </c>
      <c r="S139" s="26" t="n"/>
      <c r="T139" s="22">
        <f>IF(AL139="","",MAX(0,AL139-N(P139)))</f>
        <v/>
      </c>
      <c r="U139" s="30" t="n"/>
      <c r="V139" s="31">
        <f>IF(OR(T139="",U139=""),"",T139*U139)</f>
        <v/>
      </c>
      <c r="W139" s="31">
        <f>IF(COUNT(AF139:AG139)&lt;2,"",INDEX(Stillstand_h,AG139)*INDEX(Kostensatz,AF139))</f>
        <v/>
      </c>
      <c r="X139" s="32">
        <f>IF(AK139="","",IF(T139=0,"Bestand ausreichend / stock sufficient",IF(U139="","Stückpreis fehlt / price missing",IF(V139=0,"–",IF(W139/V139&gt;=Faktor_wirtschaftlich,"wirtschaftlich (Faktor "&amp;FIXED(W139/V139,1)&amp;")","nicht wirtschaftlich (Faktor "&amp;FIXED(W139/V139,1)&amp;")")))))</f>
        <v/>
      </c>
      <c r="Y139" s="33">
        <f>IF(AK139="","",IF(AK139=3,IF(T139&gt;0,IF(AG139=3,"Sofort beschaffen: Restbestand / Gebrauchtmarkt / Alternative sichern","Mindestbestand aufbauen ("&amp;T139&amp;" Stk.)"),"Bestand halten, jährlich prüfen"),IF(AK139=2,IF(T139&gt;0,"Bevorratung nach Wirtschaftlichkeit entscheiden; Quelle / Reparatur klären","Lieferzeit und Teilestatus jährlich prüfen"),"Keine Bevorratung – Beschaffung bei Bedarf")))</f>
        <v/>
      </c>
      <c r="Z139" s="25" t="n"/>
      <c r="AA139" s="25" t="n"/>
      <c r="AB139" s="34" t="n"/>
      <c r="AC139" s="26" t="n"/>
      <c r="AD139" s="25" t="n"/>
      <c r="AE139" s="2" t="n"/>
      <c r="AF139" s="35">
        <f>IF(I139="","",VALUE(LEFT(I139,1)))</f>
        <v/>
      </c>
      <c r="AG139" s="35">
        <f>IF(J139="","",VALUE(LEFT(J139,1)))</f>
        <v/>
      </c>
      <c r="AH139" s="35">
        <f>IF(K139="","",VALUE(LEFT(K139,1)))</f>
        <v/>
      </c>
      <c r="AI139" s="35">
        <f>IF(LEFT(L139,2)="ja",1,0)</f>
        <v/>
      </c>
      <c r="AJ139" s="35">
        <f>IF(COUNT(AF139:AH139)&lt;3,"",FIND(INDEX(Matrix,4-AF139,AG139),"CBA"))</f>
        <v/>
      </c>
      <c r="AK139" s="35">
        <f>IF(AJ139="","",MIN(3,MAX(AJ139+IF(AND(Regel_haeufig="ja",AH139=3),1,0),IF(AND(Regel_sicherheit="ja",AI139=1),2,0))))</f>
        <v/>
      </c>
      <c r="AL139" s="35">
        <f>IF(S139&lt;&gt;"",S139,IF(R139="","",R139))</f>
        <v/>
      </c>
      <c r="AM139" s="35">
        <f>IF(AK139="","",AK139*1000+N139*10+(1000-ROW())/100000)</f>
        <v/>
      </c>
    </row>
    <row r="140" ht="45" customHeight="1">
      <c r="A140" s="22">
        <f>IF(C140="","",COUNTA($C$7:C140))</f>
        <v/>
      </c>
      <c r="B140" s="23" t="n"/>
      <c r="C140" s="24" t="n"/>
      <c r="D140" s="25" t="n"/>
      <c r="E140" s="23" t="n"/>
      <c r="F140" s="26" t="n"/>
      <c r="G140" s="25" t="n"/>
      <c r="H140" s="25" t="n"/>
      <c r="I140" s="24" t="n"/>
      <c r="J140" s="24" t="n"/>
      <c r="K140" s="24" t="n"/>
      <c r="L140" s="26" t="n"/>
      <c r="M140" s="27">
        <f>IF(AK140="","",MID("CBA",AK140,1))</f>
        <v/>
      </c>
      <c r="N140" s="22">
        <f>IF(COUNT(AF140:AH140)&lt;3,"",AF140*AG140*AH140)</f>
        <v/>
      </c>
      <c r="O140" s="28">
        <f>IF(C140="","",IF(AJ140="","Bewertung unvollständig / incomplete","Matrix "&amp;MID("CBA",AJ140,1)&amp;IF(AND(Regel_haeufig="ja",AH140=3,AJ140&lt;3)," · häufig +1","")&amp;IF(AND(Regel_sicherheit="ja",AI140=1,AJ140+IF(AND(Regel_haeufig="ja",AH140=3),1,0)&lt;2)," · Sicherheit ⇒ B","")&amp;" → "&amp;M140))</f>
        <v/>
      </c>
      <c r="P140" s="29" t="n"/>
      <c r="Q140" s="25" t="n"/>
      <c r="R140" s="22">
        <f>IF(AK140="","",INDEX(Soll_Tabelle,4-AK140,IF(AH140=3,2,1)))</f>
        <v/>
      </c>
      <c r="S140" s="26" t="n"/>
      <c r="T140" s="22">
        <f>IF(AL140="","",MAX(0,AL140-N(P140)))</f>
        <v/>
      </c>
      <c r="U140" s="30" t="n"/>
      <c r="V140" s="31">
        <f>IF(OR(T140="",U140=""),"",T140*U140)</f>
        <v/>
      </c>
      <c r="W140" s="31">
        <f>IF(COUNT(AF140:AG140)&lt;2,"",INDEX(Stillstand_h,AG140)*INDEX(Kostensatz,AF140))</f>
        <v/>
      </c>
      <c r="X140" s="32">
        <f>IF(AK140="","",IF(T140=0,"Bestand ausreichend / stock sufficient",IF(U140="","Stückpreis fehlt / price missing",IF(V140=0,"–",IF(W140/V140&gt;=Faktor_wirtschaftlich,"wirtschaftlich (Faktor "&amp;FIXED(W140/V140,1)&amp;")","nicht wirtschaftlich (Faktor "&amp;FIXED(W140/V140,1)&amp;")")))))</f>
        <v/>
      </c>
      <c r="Y140" s="33">
        <f>IF(AK140="","",IF(AK140=3,IF(T140&gt;0,IF(AG140=3,"Sofort beschaffen: Restbestand / Gebrauchtmarkt / Alternative sichern","Mindestbestand aufbauen ("&amp;T140&amp;" Stk.)"),"Bestand halten, jährlich prüfen"),IF(AK140=2,IF(T140&gt;0,"Bevorratung nach Wirtschaftlichkeit entscheiden; Quelle / Reparatur klären","Lieferzeit und Teilestatus jährlich prüfen"),"Keine Bevorratung – Beschaffung bei Bedarf")))</f>
        <v/>
      </c>
      <c r="Z140" s="25" t="n"/>
      <c r="AA140" s="25" t="n"/>
      <c r="AB140" s="34" t="n"/>
      <c r="AC140" s="26" t="n"/>
      <c r="AD140" s="25" t="n"/>
      <c r="AE140" s="2" t="n"/>
      <c r="AF140" s="35">
        <f>IF(I140="","",VALUE(LEFT(I140,1)))</f>
        <v/>
      </c>
      <c r="AG140" s="35">
        <f>IF(J140="","",VALUE(LEFT(J140,1)))</f>
        <v/>
      </c>
      <c r="AH140" s="35">
        <f>IF(K140="","",VALUE(LEFT(K140,1)))</f>
        <v/>
      </c>
      <c r="AI140" s="35">
        <f>IF(LEFT(L140,2)="ja",1,0)</f>
        <v/>
      </c>
      <c r="AJ140" s="35">
        <f>IF(COUNT(AF140:AH140)&lt;3,"",FIND(INDEX(Matrix,4-AF140,AG140),"CBA"))</f>
        <v/>
      </c>
      <c r="AK140" s="35">
        <f>IF(AJ140="","",MIN(3,MAX(AJ140+IF(AND(Regel_haeufig="ja",AH140=3),1,0),IF(AND(Regel_sicherheit="ja",AI140=1),2,0))))</f>
        <v/>
      </c>
      <c r="AL140" s="35">
        <f>IF(S140&lt;&gt;"",S140,IF(R140="","",R140))</f>
        <v/>
      </c>
      <c r="AM140" s="35">
        <f>IF(AK140="","",AK140*1000+N140*10+(1000-ROW())/100000)</f>
        <v/>
      </c>
    </row>
    <row r="141" ht="45" customHeight="1">
      <c r="A141" s="22">
        <f>IF(C141="","",COUNTA($C$7:C141))</f>
        <v/>
      </c>
      <c r="B141" s="23" t="n"/>
      <c r="C141" s="24" t="n"/>
      <c r="D141" s="25" t="n"/>
      <c r="E141" s="23" t="n"/>
      <c r="F141" s="26" t="n"/>
      <c r="G141" s="25" t="n"/>
      <c r="H141" s="25" t="n"/>
      <c r="I141" s="24" t="n"/>
      <c r="J141" s="24" t="n"/>
      <c r="K141" s="24" t="n"/>
      <c r="L141" s="26" t="n"/>
      <c r="M141" s="27">
        <f>IF(AK141="","",MID("CBA",AK141,1))</f>
        <v/>
      </c>
      <c r="N141" s="22">
        <f>IF(COUNT(AF141:AH141)&lt;3,"",AF141*AG141*AH141)</f>
        <v/>
      </c>
      <c r="O141" s="28">
        <f>IF(C141="","",IF(AJ141="","Bewertung unvollständig / incomplete","Matrix "&amp;MID("CBA",AJ141,1)&amp;IF(AND(Regel_haeufig="ja",AH141=3,AJ141&lt;3)," · häufig +1","")&amp;IF(AND(Regel_sicherheit="ja",AI141=1,AJ141+IF(AND(Regel_haeufig="ja",AH141=3),1,0)&lt;2)," · Sicherheit ⇒ B","")&amp;" → "&amp;M141))</f>
        <v/>
      </c>
      <c r="P141" s="29" t="n"/>
      <c r="Q141" s="25" t="n"/>
      <c r="R141" s="22">
        <f>IF(AK141="","",INDEX(Soll_Tabelle,4-AK141,IF(AH141=3,2,1)))</f>
        <v/>
      </c>
      <c r="S141" s="26" t="n"/>
      <c r="T141" s="22">
        <f>IF(AL141="","",MAX(0,AL141-N(P141)))</f>
        <v/>
      </c>
      <c r="U141" s="30" t="n"/>
      <c r="V141" s="31">
        <f>IF(OR(T141="",U141=""),"",T141*U141)</f>
        <v/>
      </c>
      <c r="W141" s="31">
        <f>IF(COUNT(AF141:AG141)&lt;2,"",INDEX(Stillstand_h,AG141)*INDEX(Kostensatz,AF141))</f>
        <v/>
      </c>
      <c r="X141" s="32">
        <f>IF(AK141="","",IF(T141=0,"Bestand ausreichend / stock sufficient",IF(U141="","Stückpreis fehlt / price missing",IF(V141=0,"–",IF(W141/V141&gt;=Faktor_wirtschaftlich,"wirtschaftlich (Faktor "&amp;FIXED(W141/V141,1)&amp;")","nicht wirtschaftlich (Faktor "&amp;FIXED(W141/V141,1)&amp;")")))))</f>
        <v/>
      </c>
      <c r="Y141" s="33">
        <f>IF(AK141="","",IF(AK141=3,IF(T141&gt;0,IF(AG141=3,"Sofort beschaffen: Restbestand / Gebrauchtmarkt / Alternative sichern","Mindestbestand aufbauen ("&amp;T141&amp;" Stk.)"),"Bestand halten, jährlich prüfen"),IF(AK141=2,IF(T141&gt;0,"Bevorratung nach Wirtschaftlichkeit entscheiden; Quelle / Reparatur klären","Lieferzeit und Teilestatus jährlich prüfen"),"Keine Bevorratung – Beschaffung bei Bedarf")))</f>
        <v/>
      </c>
      <c r="Z141" s="25" t="n"/>
      <c r="AA141" s="25" t="n"/>
      <c r="AB141" s="34" t="n"/>
      <c r="AC141" s="26" t="n"/>
      <c r="AD141" s="25" t="n"/>
      <c r="AE141" s="2" t="n"/>
      <c r="AF141" s="35">
        <f>IF(I141="","",VALUE(LEFT(I141,1)))</f>
        <v/>
      </c>
      <c r="AG141" s="35">
        <f>IF(J141="","",VALUE(LEFT(J141,1)))</f>
        <v/>
      </c>
      <c r="AH141" s="35">
        <f>IF(K141="","",VALUE(LEFT(K141,1)))</f>
        <v/>
      </c>
      <c r="AI141" s="35">
        <f>IF(LEFT(L141,2)="ja",1,0)</f>
        <v/>
      </c>
      <c r="AJ141" s="35">
        <f>IF(COUNT(AF141:AH141)&lt;3,"",FIND(INDEX(Matrix,4-AF141,AG141),"CBA"))</f>
        <v/>
      </c>
      <c r="AK141" s="35">
        <f>IF(AJ141="","",MIN(3,MAX(AJ141+IF(AND(Regel_haeufig="ja",AH141=3),1,0),IF(AND(Regel_sicherheit="ja",AI141=1),2,0))))</f>
        <v/>
      </c>
      <c r="AL141" s="35">
        <f>IF(S141&lt;&gt;"",S141,IF(R141="","",R141))</f>
        <v/>
      </c>
      <c r="AM141" s="35">
        <f>IF(AK141="","",AK141*1000+N141*10+(1000-ROW())/100000)</f>
        <v/>
      </c>
    </row>
    <row r="142" ht="45" customHeight="1">
      <c r="A142" s="22">
        <f>IF(C142="","",COUNTA($C$7:C142))</f>
        <v/>
      </c>
      <c r="B142" s="23" t="n"/>
      <c r="C142" s="24" t="n"/>
      <c r="D142" s="25" t="n"/>
      <c r="E142" s="23" t="n"/>
      <c r="F142" s="26" t="n"/>
      <c r="G142" s="25" t="n"/>
      <c r="H142" s="25" t="n"/>
      <c r="I142" s="24" t="n"/>
      <c r="J142" s="24" t="n"/>
      <c r="K142" s="24" t="n"/>
      <c r="L142" s="26" t="n"/>
      <c r="M142" s="27">
        <f>IF(AK142="","",MID("CBA",AK142,1))</f>
        <v/>
      </c>
      <c r="N142" s="22">
        <f>IF(COUNT(AF142:AH142)&lt;3,"",AF142*AG142*AH142)</f>
        <v/>
      </c>
      <c r="O142" s="28">
        <f>IF(C142="","",IF(AJ142="","Bewertung unvollständig / incomplete","Matrix "&amp;MID("CBA",AJ142,1)&amp;IF(AND(Regel_haeufig="ja",AH142=3,AJ142&lt;3)," · häufig +1","")&amp;IF(AND(Regel_sicherheit="ja",AI142=1,AJ142+IF(AND(Regel_haeufig="ja",AH142=3),1,0)&lt;2)," · Sicherheit ⇒ B","")&amp;" → "&amp;M142))</f>
        <v/>
      </c>
      <c r="P142" s="29" t="n"/>
      <c r="Q142" s="25" t="n"/>
      <c r="R142" s="22">
        <f>IF(AK142="","",INDEX(Soll_Tabelle,4-AK142,IF(AH142=3,2,1)))</f>
        <v/>
      </c>
      <c r="S142" s="26" t="n"/>
      <c r="T142" s="22">
        <f>IF(AL142="","",MAX(0,AL142-N(P142)))</f>
        <v/>
      </c>
      <c r="U142" s="30" t="n"/>
      <c r="V142" s="31">
        <f>IF(OR(T142="",U142=""),"",T142*U142)</f>
        <v/>
      </c>
      <c r="W142" s="31">
        <f>IF(COUNT(AF142:AG142)&lt;2,"",INDEX(Stillstand_h,AG142)*INDEX(Kostensatz,AF142))</f>
        <v/>
      </c>
      <c r="X142" s="32">
        <f>IF(AK142="","",IF(T142=0,"Bestand ausreichend / stock sufficient",IF(U142="","Stückpreis fehlt / price missing",IF(V142=0,"–",IF(W142/V142&gt;=Faktor_wirtschaftlich,"wirtschaftlich (Faktor "&amp;FIXED(W142/V142,1)&amp;")","nicht wirtschaftlich (Faktor "&amp;FIXED(W142/V142,1)&amp;")")))))</f>
        <v/>
      </c>
      <c r="Y142" s="33">
        <f>IF(AK142="","",IF(AK142=3,IF(T142&gt;0,IF(AG142=3,"Sofort beschaffen: Restbestand / Gebrauchtmarkt / Alternative sichern","Mindestbestand aufbauen ("&amp;T142&amp;" Stk.)"),"Bestand halten, jährlich prüfen"),IF(AK142=2,IF(T142&gt;0,"Bevorratung nach Wirtschaftlichkeit entscheiden; Quelle / Reparatur klären","Lieferzeit und Teilestatus jährlich prüfen"),"Keine Bevorratung – Beschaffung bei Bedarf")))</f>
        <v/>
      </c>
      <c r="Z142" s="25" t="n"/>
      <c r="AA142" s="25" t="n"/>
      <c r="AB142" s="34" t="n"/>
      <c r="AC142" s="26" t="n"/>
      <c r="AD142" s="25" t="n"/>
      <c r="AE142" s="2" t="n"/>
      <c r="AF142" s="35">
        <f>IF(I142="","",VALUE(LEFT(I142,1)))</f>
        <v/>
      </c>
      <c r="AG142" s="35">
        <f>IF(J142="","",VALUE(LEFT(J142,1)))</f>
        <v/>
      </c>
      <c r="AH142" s="35">
        <f>IF(K142="","",VALUE(LEFT(K142,1)))</f>
        <v/>
      </c>
      <c r="AI142" s="35">
        <f>IF(LEFT(L142,2)="ja",1,0)</f>
        <v/>
      </c>
      <c r="AJ142" s="35">
        <f>IF(COUNT(AF142:AH142)&lt;3,"",FIND(INDEX(Matrix,4-AF142,AG142),"CBA"))</f>
        <v/>
      </c>
      <c r="AK142" s="35">
        <f>IF(AJ142="","",MIN(3,MAX(AJ142+IF(AND(Regel_haeufig="ja",AH142=3),1,0),IF(AND(Regel_sicherheit="ja",AI142=1),2,0))))</f>
        <v/>
      </c>
      <c r="AL142" s="35">
        <f>IF(S142&lt;&gt;"",S142,IF(R142="","",R142))</f>
        <v/>
      </c>
      <c r="AM142" s="35">
        <f>IF(AK142="","",AK142*1000+N142*10+(1000-ROW())/100000)</f>
        <v/>
      </c>
    </row>
    <row r="143" ht="45" customHeight="1">
      <c r="A143" s="22">
        <f>IF(C143="","",COUNTA($C$7:C143))</f>
        <v/>
      </c>
      <c r="B143" s="23" t="n"/>
      <c r="C143" s="24" t="n"/>
      <c r="D143" s="25" t="n"/>
      <c r="E143" s="23" t="n"/>
      <c r="F143" s="26" t="n"/>
      <c r="G143" s="25" t="n"/>
      <c r="H143" s="25" t="n"/>
      <c r="I143" s="24" t="n"/>
      <c r="J143" s="24" t="n"/>
      <c r="K143" s="24" t="n"/>
      <c r="L143" s="26" t="n"/>
      <c r="M143" s="27">
        <f>IF(AK143="","",MID("CBA",AK143,1))</f>
        <v/>
      </c>
      <c r="N143" s="22">
        <f>IF(COUNT(AF143:AH143)&lt;3,"",AF143*AG143*AH143)</f>
        <v/>
      </c>
      <c r="O143" s="28">
        <f>IF(C143="","",IF(AJ143="","Bewertung unvollständig / incomplete","Matrix "&amp;MID("CBA",AJ143,1)&amp;IF(AND(Regel_haeufig="ja",AH143=3,AJ143&lt;3)," · häufig +1","")&amp;IF(AND(Regel_sicherheit="ja",AI143=1,AJ143+IF(AND(Regel_haeufig="ja",AH143=3),1,0)&lt;2)," · Sicherheit ⇒ B","")&amp;" → "&amp;M143))</f>
        <v/>
      </c>
      <c r="P143" s="29" t="n"/>
      <c r="Q143" s="25" t="n"/>
      <c r="R143" s="22">
        <f>IF(AK143="","",INDEX(Soll_Tabelle,4-AK143,IF(AH143=3,2,1)))</f>
        <v/>
      </c>
      <c r="S143" s="26" t="n"/>
      <c r="T143" s="22">
        <f>IF(AL143="","",MAX(0,AL143-N(P143)))</f>
        <v/>
      </c>
      <c r="U143" s="30" t="n"/>
      <c r="V143" s="31">
        <f>IF(OR(T143="",U143=""),"",T143*U143)</f>
        <v/>
      </c>
      <c r="W143" s="31">
        <f>IF(COUNT(AF143:AG143)&lt;2,"",INDEX(Stillstand_h,AG143)*INDEX(Kostensatz,AF143))</f>
        <v/>
      </c>
      <c r="X143" s="32">
        <f>IF(AK143="","",IF(T143=0,"Bestand ausreichend / stock sufficient",IF(U143="","Stückpreis fehlt / price missing",IF(V143=0,"–",IF(W143/V143&gt;=Faktor_wirtschaftlich,"wirtschaftlich (Faktor "&amp;FIXED(W143/V143,1)&amp;")","nicht wirtschaftlich (Faktor "&amp;FIXED(W143/V143,1)&amp;")")))))</f>
        <v/>
      </c>
      <c r="Y143" s="33">
        <f>IF(AK143="","",IF(AK143=3,IF(T143&gt;0,IF(AG143=3,"Sofort beschaffen: Restbestand / Gebrauchtmarkt / Alternative sichern","Mindestbestand aufbauen ("&amp;T143&amp;" Stk.)"),"Bestand halten, jährlich prüfen"),IF(AK143=2,IF(T143&gt;0,"Bevorratung nach Wirtschaftlichkeit entscheiden; Quelle / Reparatur klären","Lieferzeit und Teilestatus jährlich prüfen"),"Keine Bevorratung – Beschaffung bei Bedarf")))</f>
        <v/>
      </c>
      <c r="Z143" s="25" t="n"/>
      <c r="AA143" s="25" t="n"/>
      <c r="AB143" s="34" t="n"/>
      <c r="AC143" s="26" t="n"/>
      <c r="AD143" s="25" t="n"/>
      <c r="AE143" s="2" t="n"/>
      <c r="AF143" s="35">
        <f>IF(I143="","",VALUE(LEFT(I143,1)))</f>
        <v/>
      </c>
      <c r="AG143" s="35">
        <f>IF(J143="","",VALUE(LEFT(J143,1)))</f>
        <v/>
      </c>
      <c r="AH143" s="35">
        <f>IF(K143="","",VALUE(LEFT(K143,1)))</f>
        <v/>
      </c>
      <c r="AI143" s="35">
        <f>IF(LEFT(L143,2)="ja",1,0)</f>
        <v/>
      </c>
      <c r="AJ143" s="35">
        <f>IF(COUNT(AF143:AH143)&lt;3,"",FIND(INDEX(Matrix,4-AF143,AG143),"CBA"))</f>
        <v/>
      </c>
      <c r="AK143" s="35">
        <f>IF(AJ143="","",MIN(3,MAX(AJ143+IF(AND(Regel_haeufig="ja",AH143=3),1,0),IF(AND(Regel_sicherheit="ja",AI143=1),2,0))))</f>
        <v/>
      </c>
      <c r="AL143" s="35">
        <f>IF(S143&lt;&gt;"",S143,IF(R143="","",R143))</f>
        <v/>
      </c>
      <c r="AM143" s="35">
        <f>IF(AK143="","",AK143*1000+N143*10+(1000-ROW())/100000)</f>
        <v/>
      </c>
    </row>
    <row r="144" ht="45" customHeight="1">
      <c r="A144" s="22">
        <f>IF(C144="","",COUNTA($C$7:C144))</f>
        <v/>
      </c>
      <c r="B144" s="23" t="n"/>
      <c r="C144" s="24" t="n"/>
      <c r="D144" s="25" t="n"/>
      <c r="E144" s="23" t="n"/>
      <c r="F144" s="26" t="n"/>
      <c r="G144" s="25" t="n"/>
      <c r="H144" s="25" t="n"/>
      <c r="I144" s="24" t="n"/>
      <c r="J144" s="24" t="n"/>
      <c r="K144" s="24" t="n"/>
      <c r="L144" s="26" t="n"/>
      <c r="M144" s="27">
        <f>IF(AK144="","",MID("CBA",AK144,1))</f>
        <v/>
      </c>
      <c r="N144" s="22">
        <f>IF(COUNT(AF144:AH144)&lt;3,"",AF144*AG144*AH144)</f>
        <v/>
      </c>
      <c r="O144" s="28">
        <f>IF(C144="","",IF(AJ144="","Bewertung unvollständig / incomplete","Matrix "&amp;MID("CBA",AJ144,1)&amp;IF(AND(Regel_haeufig="ja",AH144=3,AJ144&lt;3)," · häufig +1","")&amp;IF(AND(Regel_sicherheit="ja",AI144=1,AJ144+IF(AND(Regel_haeufig="ja",AH144=3),1,0)&lt;2)," · Sicherheit ⇒ B","")&amp;" → "&amp;M144))</f>
        <v/>
      </c>
      <c r="P144" s="29" t="n"/>
      <c r="Q144" s="25" t="n"/>
      <c r="R144" s="22">
        <f>IF(AK144="","",INDEX(Soll_Tabelle,4-AK144,IF(AH144=3,2,1)))</f>
        <v/>
      </c>
      <c r="S144" s="26" t="n"/>
      <c r="T144" s="22">
        <f>IF(AL144="","",MAX(0,AL144-N(P144)))</f>
        <v/>
      </c>
      <c r="U144" s="30" t="n"/>
      <c r="V144" s="31">
        <f>IF(OR(T144="",U144=""),"",T144*U144)</f>
        <v/>
      </c>
      <c r="W144" s="31">
        <f>IF(COUNT(AF144:AG144)&lt;2,"",INDEX(Stillstand_h,AG144)*INDEX(Kostensatz,AF144))</f>
        <v/>
      </c>
      <c r="X144" s="32">
        <f>IF(AK144="","",IF(T144=0,"Bestand ausreichend / stock sufficient",IF(U144="","Stückpreis fehlt / price missing",IF(V144=0,"–",IF(W144/V144&gt;=Faktor_wirtschaftlich,"wirtschaftlich (Faktor "&amp;FIXED(W144/V144,1)&amp;")","nicht wirtschaftlich (Faktor "&amp;FIXED(W144/V144,1)&amp;")")))))</f>
        <v/>
      </c>
      <c r="Y144" s="33">
        <f>IF(AK144="","",IF(AK144=3,IF(T144&gt;0,IF(AG144=3,"Sofort beschaffen: Restbestand / Gebrauchtmarkt / Alternative sichern","Mindestbestand aufbauen ("&amp;T144&amp;" Stk.)"),"Bestand halten, jährlich prüfen"),IF(AK144=2,IF(T144&gt;0,"Bevorratung nach Wirtschaftlichkeit entscheiden; Quelle / Reparatur klären","Lieferzeit und Teilestatus jährlich prüfen"),"Keine Bevorratung – Beschaffung bei Bedarf")))</f>
        <v/>
      </c>
      <c r="Z144" s="25" t="n"/>
      <c r="AA144" s="25" t="n"/>
      <c r="AB144" s="34" t="n"/>
      <c r="AC144" s="26" t="n"/>
      <c r="AD144" s="25" t="n"/>
      <c r="AE144" s="2" t="n"/>
      <c r="AF144" s="35">
        <f>IF(I144="","",VALUE(LEFT(I144,1)))</f>
        <v/>
      </c>
      <c r="AG144" s="35">
        <f>IF(J144="","",VALUE(LEFT(J144,1)))</f>
        <v/>
      </c>
      <c r="AH144" s="35">
        <f>IF(K144="","",VALUE(LEFT(K144,1)))</f>
        <v/>
      </c>
      <c r="AI144" s="35">
        <f>IF(LEFT(L144,2)="ja",1,0)</f>
        <v/>
      </c>
      <c r="AJ144" s="35">
        <f>IF(COUNT(AF144:AH144)&lt;3,"",FIND(INDEX(Matrix,4-AF144,AG144),"CBA"))</f>
        <v/>
      </c>
      <c r="AK144" s="35">
        <f>IF(AJ144="","",MIN(3,MAX(AJ144+IF(AND(Regel_haeufig="ja",AH144=3),1,0),IF(AND(Regel_sicherheit="ja",AI144=1),2,0))))</f>
        <v/>
      </c>
      <c r="AL144" s="35">
        <f>IF(S144&lt;&gt;"",S144,IF(R144="","",R144))</f>
        <v/>
      </c>
      <c r="AM144" s="35">
        <f>IF(AK144="","",AK144*1000+N144*10+(1000-ROW())/100000)</f>
        <v/>
      </c>
    </row>
    <row r="145" ht="45" customHeight="1">
      <c r="A145" s="22">
        <f>IF(C145="","",COUNTA($C$7:C145))</f>
        <v/>
      </c>
      <c r="B145" s="23" t="n"/>
      <c r="C145" s="24" t="n"/>
      <c r="D145" s="25" t="n"/>
      <c r="E145" s="23" t="n"/>
      <c r="F145" s="26" t="n"/>
      <c r="G145" s="25" t="n"/>
      <c r="H145" s="25" t="n"/>
      <c r="I145" s="24" t="n"/>
      <c r="J145" s="24" t="n"/>
      <c r="K145" s="24" t="n"/>
      <c r="L145" s="26" t="n"/>
      <c r="M145" s="27">
        <f>IF(AK145="","",MID("CBA",AK145,1))</f>
        <v/>
      </c>
      <c r="N145" s="22">
        <f>IF(COUNT(AF145:AH145)&lt;3,"",AF145*AG145*AH145)</f>
        <v/>
      </c>
      <c r="O145" s="28">
        <f>IF(C145="","",IF(AJ145="","Bewertung unvollständig / incomplete","Matrix "&amp;MID("CBA",AJ145,1)&amp;IF(AND(Regel_haeufig="ja",AH145=3,AJ145&lt;3)," · häufig +1","")&amp;IF(AND(Regel_sicherheit="ja",AI145=1,AJ145+IF(AND(Regel_haeufig="ja",AH145=3),1,0)&lt;2)," · Sicherheit ⇒ B","")&amp;" → "&amp;M145))</f>
        <v/>
      </c>
      <c r="P145" s="29" t="n"/>
      <c r="Q145" s="25" t="n"/>
      <c r="R145" s="22">
        <f>IF(AK145="","",INDEX(Soll_Tabelle,4-AK145,IF(AH145=3,2,1)))</f>
        <v/>
      </c>
      <c r="S145" s="26" t="n"/>
      <c r="T145" s="22">
        <f>IF(AL145="","",MAX(0,AL145-N(P145)))</f>
        <v/>
      </c>
      <c r="U145" s="30" t="n"/>
      <c r="V145" s="31">
        <f>IF(OR(T145="",U145=""),"",T145*U145)</f>
        <v/>
      </c>
      <c r="W145" s="31">
        <f>IF(COUNT(AF145:AG145)&lt;2,"",INDEX(Stillstand_h,AG145)*INDEX(Kostensatz,AF145))</f>
        <v/>
      </c>
      <c r="X145" s="32">
        <f>IF(AK145="","",IF(T145=0,"Bestand ausreichend / stock sufficient",IF(U145="","Stückpreis fehlt / price missing",IF(V145=0,"–",IF(W145/V145&gt;=Faktor_wirtschaftlich,"wirtschaftlich (Faktor "&amp;FIXED(W145/V145,1)&amp;")","nicht wirtschaftlich (Faktor "&amp;FIXED(W145/V145,1)&amp;")")))))</f>
        <v/>
      </c>
      <c r="Y145" s="33">
        <f>IF(AK145="","",IF(AK145=3,IF(T145&gt;0,IF(AG145=3,"Sofort beschaffen: Restbestand / Gebrauchtmarkt / Alternative sichern","Mindestbestand aufbauen ("&amp;T145&amp;" Stk.)"),"Bestand halten, jährlich prüfen"),IF(AK145=2,IF(T145&gt;0,"Bevorratung nach Wirtschaftlichkeit entscheiden; Quelle / Reparatur klären","Lieferzeit und Teilestatus jährlich prüfen"),"Keine Bevorratung – Beschaffung bei Bedarf")))</f>
        <v/>
      </c>
      <c r="Z145" s="25" t="n"/>
      <c r="AA145" s="25" t="n"/>
      <c r="AB145" s="34" t="n"/>
      <c r="AC145" s="26" t="n"/>
      <c r="AD145" s="25" t="n"/>
      <c r="AE145" s="2" t="n"/>
      <c r="AF145" s="35">
        <f>IF(I145="","",VALUE(LEFT(I145,1)))</f>
        <v/>
      </c>
      <c r="AG145" s="35">
        <f>IF(J145="","",VALUE(LEFT(J145,1)))</f>
        <v/>
      </c>
      <c r="AH145" s="35">
        <f>IF(K145="","",VALUE(LEFT(K145,1)))</f>
        <v/>
      </c>
      <c r="AI145" s="35">
        <f>IF(LEFT(L145,2)="ja",1,0)</f>
        <v/>
      </c>
      <c r="AJ145" s="35">
        <f>IF(COUNT(AF145:AH145)&lt;3,"",FIND(INDEX(Matrix,4-AF145,AG145),"CBA"))</f>
        <v/>
      </c>
      <c r="AK145" s="35">
        <f>IF(AJ145="","",MIN(3,MAX(AJ145+IF(AND(Regel_haeufig="ja",AH145=3),1,0),IF(AND(Regel_sicherheit="ja",AI145=1),2,0))))</f>
        <v/>
      </c>
      <c r="AL145" s="35">
        <f>IF(S145&lt;&gt;"",S145,IF(R145="","",R145))</f>
        <v/>
      </c>
      <c r="AM145" s="35">
        <f>IF(AK145="","",AK145*1000+N145*10+(1000-ROW())/100000)</f>
        <v/>
      </c>
    </row>
    <row r="146" ht="45" customHeight="1">
      <c r="A146" s="22">
        <f>IF(C146="","",COUNTA($C$7:C146))</f>
        <v/>
      </c>
      <c r="B146" s="23" t="n"/>
      <c r="C146" s="24" t="n"/>
      <c r="D146" s="25" t="n"/>
      <c r="E146" s="23" t="n"/>
      <c r="F146" s="26" t="n"/>
      <c r="G146" s="25" t="n"/>
      <c r="H146" s="25" t="n"/>
      <c r="I146" s="24" t="n"/>
      <c r="J146" s="24" t="n"/>
      <c r="K146" s="24" t="n"/>
      <c r="L146" s="26" t="n"/>
      <c r="M146" s="27">
        <f>IF(AK146="","",MID("CBA",AK146,1))</f>
        <v/>
      </c>
      <c r="N146" s="22">
        <f>IF(COUNT(AF146:AH146)&lt;3,"",AF146*AG146*AH146)</f>
        <v/>
      </c>
      <c r="O146" s="28">
        <f>IF(C146="","",IF(AJ146="","Bewertung unvollständig / incomplete","Matrix "&amp;MID("CBA",AJ146,1)&amp;IF(AND(Regel_haeufig="ja",AH146=3,AJ146&lt;3)," · häufig +1","")&amp;IF(AND(Regel_sicherheit="ja",AI146=1,AJ146+IF(AND(Regel_haeufig="ja",AH146=3),1,0)&lt;2)," · Sicherheit ⇒ B","")&amp;" → "&amp;M146))</f>
        <v/>
      </c>
      <c r="P146" s="29" t="n"/>
      <c r="Q146" s="25" t="n"/>
      <c r="R146" s="22">
        <f>IF(AK146="","",INDEX(Soll_Tabelle,4-AK146,IF(AH146=3,2,1)))</f>
        <v/>
      </c>
      <c r="S146" s="26" t="n"/>
      <c r="T146" s="22">
        <f>IF(AL146="","",MAX(0,AL146-N(P146)))</f>
        <v/>
      </c>
      <c r="U146" s="30" t="n"/>
      <c r="V146" s="31">
        <f>IF(OR(T146="",U146=""),"",T146*U146)</f>
        <v/>
      </c>
      <c r="W146" s="31">
        <f>IF(COUNT(AF146:AG146)&lt;2,"",INDEX(Stillstand_h,AG146)*INDEX(Kostensatz,AF146))</f>
        <v/>
      </c>
      <c r="X146" s="32">
        <f>IF(AK146="","",IF(T146=0,"Bestand ausreichend / stock sufficient",IF(U146="","Stückpreis fehlt / price missing",IF(V146=0,"–",IF(W146/V146&gt;=Faktor_wirtschaftlich,"wirtschaftlich (Faktor "&amp;FIXED(W146/V146,1)&amp;")","nicht wirtschaftlich (Faktor "&amp;FIXED(W146/V146,1)&amp;")")))))</f>
        <v/>
      </c>
      <c r="Y146" s="33">
        <f>IF(AK146="","",IF(AK146=3,IF(T146&gt;0,IF(AG146=3,"Sofort beschaffen: Restbestand / Gebrauchtmarkt / Alternative sichern","Mindestbestand aufbauen ("&amp;T146&amp;" Stk.)"),"Bestand halten, jährlich prüfen"),IF(AK146=2,IF(T146&gt;0,"Bevorratung nach Wirtschaftlichkeit entscheiden; Quelle / Reparatur klären","Lieferzeit und Teilestatus jährlich prüfen"),"Keine Bevorratung – Beschaffung bei Bedarf")))</f>
        <v/>
      </c>
      <c r="Z146" s="25" t="n"/>
      <c r="AA146" s="25" t="n"/>
      <c r="AB146" s="34" t="n"/>
      <c r="AC146" s="26" t="n"/>
      <c r="AD146" s="25" t="n"/>
      <c r="AE146" s="2" t="n"/>
      <c r="AF146" s="35">
        <f>IF(I146="","",VALUE(LEFT(I146,1)))</f>
        <v/>
      </c>
      <c r="AG146" s="35">
        <f>IF(J146="","",VALUE(LEFT(J146,1)))</f>
        <v/>
      </c>
      <c r="AH146" s="35">
        <f>IF(K146="","",VALUE(LEFT(K146,1)))</f>
        <v/>
      </c>
      <c r="AI146" s="35">
        <f>IF(LEFT(L146,2)="ja",1,0)</f>
        <v/>
      </c>
      <c r="AJ146" s="35">
        <f>IF(COUNT(AF146:AH146)&lt;3,"",FIND(INDEX(Matrix,4-AF146,AG146),"CBA"))</f>
        <v/>
      </c>
      <c r="AK146" s="35">
        <f>IF(AJ146="","",MIN(3,MAX(AJ146+IF(AND(Regel_haeufig="ja",AH146=3),1,0),IF(AND(Regel_sicherheit="ja",AI146=1),2,0))))</f>
        <v/>
      </c>
      <c r="AL146" s="35">
        <f>IF(S146&lt;&gt;"",S146,IF(R146="","",R146))</f>
        <v/>
      </c>
      <c r="AM146" s="35">
        <f>IF(AK146="","",AK146*1000+N146*10+(1000-ROW())/100000)</f>
        <v/>
      </c>
    </row>
    <row r="147" ht="45" customHeight="1">
      <c r="A147" s="22">
        <f>IF(C147="","",COUNTA($C$7:C147))</f>
        <v/>
      </c>
      <c r="B147" s="23" t="n"/>
      <c r="C147" s="24" t="n"/>
      <c r="D147" s="25" t="n"/>
      <c r="E147" s="23" t="n"/>
      <c r="F147" s="26" t="n"/>
      <c r="G147" s="25" t="n"/>
      <c r="H147" s="25" t="n"/>
      <c r="I147" s="24" t="n"/>
      <c r="J147" s="24" t="n"/>
      <c r="K147" s="24" t="n"/>
      <c r="L147" s="26" t="n"/>
      <c r="M147" s="27">
        <f>IF(AK147="","",MID("CBA",AK147,1))</f>
        <v/>
      </c>
      <c r="N147" s="22">
        <f>IF(COUNT(AF147:AH147)&lt;3,"",AF147*AG147*AH147)</f>
        <v/>
      </c>
      <c r="O147" s="28">
        <f>IF(C147="","",IF(AJ147="","Bewertung unvollständig / incomplete","Matrix "&amp;MID("CBA",AJ147,1)&amp;IF(AND(Regel_haeufig="ja",AH147=3,AJ147&lt;3)," · häufig +1","")&amp;IF(AND(Regel_sicherheit="ja",AI147=1,AJ147+IF(AND(Regel_haeufig="ja",AH147=3),1,0)&lt;2)," · Sicherheit ⇒ B","")&amp;" → "&amp;M147))</f>
        <v/>
      </c>
      <c r="P147" s="29" t="n"/>
      <c r="Q147" s="25" t="n"/>
      <c r="R147" s="22">
        <f>IF(AK147="","",INDEX(Soll_Tabelle,4-AK147,IF(AH147=3,2,1)))</f>
        <v/>
      </c>
      <c r="S147" s="26" t="n"/>
      <c r="T147" s="22">
        <f>IF(AL147="","",MAX(0,AL147-N(P147)))</f>
        <v/>
      </c>
      <c r="U147" s="30" t="n"/>
      <c r="V147" s="31">
        <f>IF(OR(T147="",U147=""),"",T147*U147)</f>
        <v/>
      </c>
      <c r="W147" s="31">
        <f>IF(COUNT(AF147:AG147)&lt;2,"",INDEX(Stillstand_h,AG147)*INDEX(Kostensatz,AF147))</f>
        <v/>
      </c>
      <c r="X147" s="32">
        <f>IF(AK147="","",IF(T147=0,"Bestand ausreichend / stock sufficient",IF(U147="","Stückpreis fehlt / price missing",IF(V147=0,"–",IF(W147/V147&gt;=Faktor_wirtschaftlich,"wirtschaftlich (Faktor "&amp;FIXED(W147/V147,1)&amp;")","nicht wirtschaftlich (Faktor "&amp;FIXED(W147/V147,1)&amp;")")))))</f>
        <v/>
      </c>
      <c r="Y147" s="33">
        <f>IF(AK147="","",IF(AK147=3,IF(T147&gt;0,IF(AG147=3,"Sofort beschaffen: Restbestand / Gebrauchtmarkt / Alternative sichern","Mindestbestand aufbauen ("&amp;T147&amp;" Stk.)"),"Bestand halten, jährlich prüfen"),IF(AK147=2,IF(T147&gt;0,"Bevorratung nach Wirtschaftlichkeit entscheiden; Quelle / Reparatur klären","Lieferzeit und Teilestatus jährlich prüfen"),"Keine Bevorratung – Beschaffung bei Bedarf")))</f>
        <v/>
      </c>
      <c r="Z147" s="25" t="n"/>
      <c r="AA147" s="25" t="n"/>
      <c r="AB147" s="34" t="n"/>
      <c r="AC147" s="26" t="n"/>
      <c r="AD147" s="25" t="n"/>
      <c r="AE147" s="2" t="n"/>
      <c r="AF147" s="35">
        <f>IF(I147="","",VALUE(LEFT(I147,1)))</f>
        <v/>
      </c>
      <c r="AG147" s="35">
        <f>IF(J147="","",VALUE(LEFT(J147,1)))</f>
        <v/>
      </c>
      <c r="AH147" s="35">
        <f>IF(K147="","",VALUE(LEFT(K147,1)))</f>
        <v/>
      </c>
      <c r="AI147" s="35">
        <f>IF(LEFT(L147,2)="ja",1,0)</f>
        <v/>
      </c>
      <c r="AJ147" s="35">
        <f>IF(COUNT(AF147:AH147)&lt;3,"",FIND(INDEX(Matrix,4-AF147,AG147),"CBA"))</f>
        <v/>
      </c>
      <c r="AK147" s="35">
        <f>IF(AJ147="","",MIN(3,MAX(AJ147+IF(AND(Regel_haeufig="ja",AH147=3),1,0),IF(AND(Regel_sicherheit="ja",AI147=1),2,0))))</f>
        <v/>
      </c>
      <c r="AL147" s="35">
        <f>IF(S147&lt;&gt;"",S147,IF(R147="","",R147))</f>
        <v/>
      </c>
      <c r="AM147" s="35">
        <f>IF(AK147="","",AK147*1000+N147*10+(1000-ROW())/100000)</f>
        <v/>
      </c>
    </row>
    <row r="148" ht="45" customHeight="1">
      <c r="A148" s="22">
        <f>IF(C148="","",COUNTA($C$7:C148))</f>
        <v/>
      </c>
      <c r="B148" s="23" t="n"/>
      <c r="C148" s="24" t="n"/>
      <c r="D148" s="25" t="n"/>
      <c r="E148" s="23" t="n"/>
      <c r="F148" s="26" t="n"/>
      <c r="G148" s="25" t="n"/>
      <c r="H148" s="25" t="n"/>
      <c r="I148" s="24" t="n"/>
      <c r="J148" s="24" t="n"/>
      <c r="K148" s="24" t="n"/>
      <c r="L148" s="26" t="n"/>
      <c r="M148" s="27">
        <f>IF(AK148="","",MID("CBA",AK148,1))</f>
        <v/>
      </c>
      <c r="N148" s="22">
        <f>IF(COUNT(AF148:AH148)&lt;3,"",AF148*AG148*AH148)</f>
        <v/>
      </c>
      <c r="O148" s="28">
        <f>IF(C148="","",IF(AJ148="","Bewertung unvollständig / incomplete","Matrix "&amp;MID("CBA",AJ148,1)&amp;IF(AND(Regel_haeufig="ja",AH148=3,AJ148&lt;3)," · häufig +1","")&amp;IF(AND(Regel_sicherheit="ja",AI148=1,AJ148+IF(AND(Regel_haeufig="ja",AH148=3),1,0)&lt;2)," · Sicherheit ⇒ B","")&amp;" → "&amp;M148))</f>
        <v/>
      </c>
      <c r="P148" s="29" t="n"/>
      <c r="Q148" s="25" t="n"/>
      <c r="R148" s="22">
        <f>IF(AK148="","",INDEX(Soll_Tabelle,4-AK148,IF(AH148=3,2,1)))</f>
        <v/>
      </c>
      <c r="S148" s="26" t="n"/>
      <c r="T148" s="22">
        <f>IF(AL148="","",MAX(0,AL148-N(P148)))</f>
        <v/>
      </c>
      <c r="U148" s="30" t="n"/>
      <c r="V148" s="31">
        <f>IF(OR(T148="",U148=""),"",T148*U148)</f>
        <v/>
      </c>
      <c r="W148" s="31">
        <f>IF(COUNT(AF148:AG148)&lt;2,"",INDEX(Stillstand_h,AG148)*INDEX(Kostensatz,AF148))</f>
        <v/>
      </c>
      <c r="X148" s="32">
        <f>IF(AK148="","",IF(T148=0,"Bestand ausreichend / stock sufficient",IF(U148="","Stückpreis fehlt / price missing",IF(V148=0,"–",IF(W148/V148&gt;=Faktor_wirtschaftlich,"wirtschaftlich (Faktor "&amp;FIXED(W148/V148,1)&amp;")","nicht wirtschaftlich (Faktor "&amp;FIXED(W148/V148,1)&amp;")")))))</f>
        <v/>
      </c>
      <c r="Y148" s="33">
        <f>IF(AK148="","",IF(AK148=3,IF(T148&gt;0,IF(AG148=3,"Sofort beschaffen: Restbestand / Gebrauchtmarkt / Alternative sichern","Mindestbestand aufbauen ("&amp;T148&amp;" Stk.)"),"Bestand halten, jährlich prüfen"),IF(AK148=2,IF(T148&gt;0,"Bevorratung nach Wirtschaftlichkeit entscheiden; Quelle / Reparatur klären","Lieferzeit und Teilestatus jährlich prüfen"),"Keine Bevorratung – Beschaffung bei Bedarf")))</f>
        <v/>
      </c>
      <c r="Z148" s="25" t="n"/>
      <c r="AA148" s="25" t="n"/>
      <c r="AB148" s="34" t="n"/>
      <c r="AC148" s="26" t="n"/>
      <c r="AD148" s="25" t="n"/>
      <c r="AE148" s="2" t="n"/>
      <c r="AF148" s="35">
        <f>IF(I148="","",VALUE(LEFT(I148,1)))</f>
        <v/>
      </c>
      <c r="AG148" s="35">
        <f>IF(J148="","",VALUE(LEFT(J148,1)))</f>
        <v/>
      </c>
      <c r="AH148" s="35">
        <f>IF(K148="","",VALUE(LEFT(K148,1)))</f>
        <v/>
      </c>
      <c r="AI148" s="35">
        <f>IF(LEFT(L148,2)="ja",1,0)</f>
        <v/>
      </c>
      <c r="AJ148" s="35">
        <f>IF(COUNT(AF148:AH148)&lt;3,"",FIND(INDEX(Matrix,4-AF148,AG148),"CBA"))</f>
        <v/>
      </c>
      <c r="AK148" s="35">
        <f>IF(AJ148="","",MIN(3,MAX(AJ148+IF(AND(Regel_haeufig="ja",AH148=3),1,0),IF(AND(Regel_sicherheit="ja",AI148=1),2,0))))</f>
        <v/>
      </c>
      <c r="AL148" s="35">
        <f>IF(S148&lt;&gt;"",S148,IF(R148="","",R148))</f>
        <v/>
      </c>
      <c r="AM148" s="35">
        <f>IF(AK148="","",AK148*1000+N148*10+(1000-ROW())/100000)</f>
        <v/>
      </c>
    </row>
    <row r="149" ht="45" customHeight="1">
      <c r="A149" s="22">
        <f>IF(C149="","",COUNTA($C$7:C149))</f>
        <v/>
      </c>
      <c r="B149" s="23" t="n"/>
      <c r="C149" s="24" t="n"/>
      <c r="D149" s="25" t="n"/>
      <c r="E149" s="23" t="n"/>
      <c r="F149" s="26" t="n"/>
      <c r="G149" s="25" t="n"/>
      <c r="H149" s="25" t="n"/>
      <c r="I149" s="24" t="n"/>
      <c r="J149" s="24" t="n"/>
      <c r="K149" s="24" t="n"/>
      <c r="L149" s="26" t="n"/>
      <c r="M149" s="27">
        <f>IF(AK149="","",MID("CBA",AK149,1))</f>
        <v/>
      </c>
      <c r="N149" s="22">
        <f>IF(COUNT(AF149:AH149)&lt;3,"",AF149*AG149*AH149)</f>
        <v/>
      </c>
      <c r="O149" s="28">
        <f>IF(C149="","",IF(AJ149="","Bewertung unvollständig / incomplete","Matrix "&amp;MID("CBA",AJ149,1)&amp;IF(AND(Regel_haeufig="ja",AH149=3,AJ149&lt;3)," · häufig +1","")&amp;IF(AND(Regel_sicherheit="ja",AI149=1,AJ149+IF(AND(Regel_haeufig="ja",AH149=3),1,0)&lt;2)," · Sicherheit ⇒ B","")&amp;" → "&amp;M149))</f>
        <v/>
      </c>
      <c r="P149" s="29" t="n"/>
      <c r="Q149" s="25" t="n"/>
      <c r="R149" s="22">
        <f>IF(AK149="","",INDEX(Soll_Tabelle,4-AK149,IF(AH149=3,2,1)))</f>
        <v/>
      </c>
      <c r="S149" s="26" t="n"/>
      <c r="T149" s="22">
        <f>IF(AL149="","",MAX(0,AL149-N(P149)))</f>
        <v/>
      </c>
      <c r="U149" s="30" t="n"/>
      <c r="V149" s="31">
        <f>IF(OR(T149="",U149=""),"",T149*U149)</f>
        <v/>
      </c>
      <c r="W149" s="31">
        <f>IF(COUNT(AF149:AG149)&lt;2,"",INDEX(Stillstand_h,AG149)*INDEX(Kostensatz,AF149))</f>
        <v/>
      </c>
      <c r="X149" s="32">
        <f>IF(AK149="","",IF(T149=0,"Bestand ausreichend / stock sufficient",IF(U149="","Stückpreis fehlt / price missing",IF(V149=0,"–",IF(W149/V149&gt;=Faktor_wirtschaftlich,"wirtschaftlich (Faktor "&amp;FIXED(W149/V149,1)&amp;")","nicht wirtschaftlich (Faktor "&amp;FIXED(W149/V149,1)&amp;")")))))</f>
        <v/>
      </c>
      <c r="Y149" s="33">
        <f>IF(AK149="","",IF(AK149=3,IF(T149&gt;0,IF(AG149=3,"Sofort beschaffen: Restbestand / Gebrauchtmarkt / Alternative sichern","Mindestbestand aufbauen ("&amp;T149&amp;" Stk.)"),"Bestand halten, jährlich prüfen"),IF(AK149=2,IF(T149&gt;0,"Bevorratung nach Wirtschaftlichkeit entscheiden; Quelle / Reparatur klären","Lieferzeit und Teilestatus jährlich prüfen"),"Keine Bevorratung – Beschaffung bei Bedarf")))</f>
        <v/>
      </c>
      <c r="Z149" s="25" t="n"/>
      <c r="AA149" s="25" t="n"/>
      <c r="AB149" s="34" t="n"/>
      <c r="AC149" s="26" t="n"/>
      <c r="AD149" s="25" t="n"/>
      <c r="AE149" s="2" t="n"/>
      <c r="AF149" s="35">
        <f>IF(I149="","",VALUE(LEFT(I149,1)))</f>
        <v/>
      </c>
      <c r="AG149" s="35">
        <f>IF(J149="","",VALUE(LEFT(J149,1)))</f>
        <v/>
      </c>
      <c r="AH149" s="35">
        <f>IF(K149="","",VALUE(LEFT(K149,1)))</f>
        <v/>
      </c>
      <c r="AI149" s="35">
        <f>IF(LEFT(L149,2)="ja",1,0)</f>
        <v/>
      </c>
      <c r="AJ149" s="35">
        <f>IF(COUNT(AF149:AH149)&lt;3,"",FIND(INDEX(Matrix,4-AF149,AG149),"CBA"))</f>
        <v/>
      </c>
      <c r="AK149" s="35">
        <f>IF(AJ149="","",MIN(3,MAX(AJ149+IF(AND(Regel_haeufig="ja",AH149=3),1,0),IF(AND(Regel_sicherheit="ja",AI149=1),2,0))))</f>
        <v/>
      </c>
      <c r="AL149" s="35">
        <f>IF(S149&lt;&gt;"",S149,IF(R149="","",R149))</f>
        <v/>
      </c>
      <c r="AM149" s="35">
        <f>IF(AK149="","",AK149*1000+N149*10+(1000-ROW())/100000)</f>
        <v/>
      </c>
    </row>
    <row r="150" ht="45" customHeight="1">
      <c r="A150" s="22">
        <f>IF(C150="","",COUNTA($C$7:C150))</f>
        <v/>
      </c>
      <c r="B150" s="23" t="n"/>
      <c r="C150" s="24" t="n"/>
      <c r="D150" s="25" t="n"/>
      <c r="E150" s="23" t="n"/>
      <c r="F150" s="26" t="n"/>
      <c r="G150" s="25" t="n"/>
      <c r="H150" s="25" t="n"/>
      <c r="I150" s="24" t="n"/>
      <c r="J150" s="24" t="n"/>
      <c r="K150" s="24" t="n"/>
      <c r="L150" s="26" t="n"/>
      <c r="M150" s="27">
        <f>IF(AK150="","",MID("CBA",AK150,1))</f>
        <v/>
      </c>
      <c r="N150" s="22">
        <f>IF(COUNT(AF150:AH150)&lt;3,"",AF150*AG150*AH150)</f>
        <v/>
      </c>
      <c r="O150" s="28">
        <f>IF(C150="","",IF(AJ150="","Bewertung unvollständig / incomplete","Matrix "&amp;MID("CBA",AJ150,1)&amp;IF(AND(Regel_haeufig="ja",AH150=3,AJ150&lt;3)," · häufig +1","")&amp;IF(AND(Regel_sicherheit="ja",AI150=1,AJ150+IF(AND(Regel_haeufig="ja",AH150=3),1,0)&lt;2)," · Sicherheit ⇒ B","")&amp;" → "&amp;M150))</f>
        <v/>
      </c>
      <c r="P150" s="29" t="n"/>
      <c r="Q150" s="25" t="n"/>
      <c r="R150" s="22">
        <f>IF(AK150="","",INDEX(Soll_Tabelle,4-AK150,IF(AH150=3,2,1)))</f>
        <v/>
      </c>
      <c r="S150" s="26" t="n"/>
      <c r="T150" s="22">
        <f>IF(AL150="","",MAX(0,AL150-N(P150)))</f>
        <v/>
      </c>
      <c r="U150" s="30" t="n"/>
      <c r="V150" s="31">
        <f>IF(OR(T150="",U150=""),"",T150*U150)</f>
        <v/>
      </c>
      <c r="W150" s="31">
        <f>IF(COUNT(AF150:AG150)&lt;2,"",INDEX(Stillstand_h,AG150)*INDEX(Kostensatz,AF150))</f>
        <v/>
      </c>
      <c r="X150" s="32">
        <f>IF(AK150="","",IF(T150=0,"Bestand ausreichend / stock sufficient",IF(U150="","Stückpreis fehlt / price missing",IF(V150=0,"–",IF(W150/V150&gt;=Faktor_wirtschaftlich,"wirtschaftlich (Faktor "&amp;FIXED(W150/V150,1)&amp;")","nicht wirtschaftlich (Faktor "&amp;FIXED(W150/V150,1)&amp;")")))))</f>
        <v/>
      </c>
      <c r="Y150" s="33">
        <f>IF(AK150="","",IF(AK150=3,IF(T150&gt;0,IF(AG150=3,"Sofort beschaffen: Restbestand / Gebrauchtmarkt / Alternative sichern","Mindestbestand aufbauen ("&amp;T150&amp;" Stk.)"),"Bestand halten, jährlich prüfen"),IF(AK150=2,IF(T150&gt;0,"Bevorratung nach Wirtschaftlichkeit entscheiden; Quelle / Reparatur klären","Lieferzeit und Teilestatus jährlich prüfen"),"Keine Bevorratung – Beschaffung bei Bedarf")))</f>
        <v/>
      </c>
      <c r="Z150" s="25" t="n"/>
      <c r="AA150" s="25" t="n"/>
      <c r="AB150" s="34" t="n"/>
      <c r="AC150" s="26" t="n"/>
      <c r="AD150" s="25" t="n"/>
      <c r="AE150" s="2" t="n"/>
      <c r="AF150" s="35">
        <f>IF(I150="","",VALUE(LEFT(I150,1)))</f>
        <v/>
      </c>
      <c r="AG150" s="35">
        <f>IF(J150="","",VALUE(LEFT(J150,1)))</f>
        <v/>
      </c>
      <c r="AH150" s="35">
        <f>IF(K150="","",VALUE(LEFT(K150,1)))</f>
        <v/>
      </c>
      <c r="AI150" s="35">
        <f>IF(LEFT(L150,2)="ja",1,0)</f>
        <v/>
      </c>
      <c r="AJ150" s="35">
        <f>IF(COUNT(AF150:AH150)&lt;3,"",FIND(INDEX(Matrix,4-AF150,AG150),"CBA"))</f>
        <v/>
      </c>
      <c r="AK150" s="35">
        <f>IF(AJ150="","",MIN(3,MAX(AJ150+IF(AND(Regel_haeufig="ja",AH150=3),1,0),IF(AND(Regel_sicherheit="ja",AI150=1),2,0))))</f>
        <v/>
      </c>
      <c r="AL150" s="35">
        <f>IF(S150&lt;&gt;"",S150,IF(R150="","",R150))</f>
        <v/>
      </c>
      <c r="AM150" s="35">
        <f>IF(AK150="","",AK150*1000+N150*10+(1000-ROW())/100000)</f>
        <v/>
      </c>
    </row>
    <row r="151" ht="45" customHeight="1">
      <c r="A151" s="22">
        <f>IF(C151="","",COUNTA($C$7:C151))</f>
        <v/>
      </c>
      <c r="B151" s="23" t="n"/>
      <c r="C151" s="24" t="n"/>
      <c r="D151" s="25" t="n"/>
      <c r="E151" s="23" t="n"/>
      <c r="F151" s="26" t="n"/>
      <c r="G151" s="25" t="n"/>
      <c r="H151" s="25" t="n"/>
      <c r="I151" s="24" t="n"/>
      <c r="J151" s="24" t="n"/>
      <c r="K151" s="24" t="n"/>
      <c r="L151" s="26" t="n"/>
      <c r="M151" s="27">
        <f>IF(AK151="","",MID("CBA",AK151,1))</f>
        <v/>
      </c>
      <c r="N151" s="22">
        <f>IF(COUNT(AF151:AH151)&lt;3,"",AF151*AG151*AH151)</f>
        <v/>
      </c>
      <c r="O151" s="28">
        <f>IF(C151="","",IF(AJ151="","Bewertung unvollständig / incomplete","Matrix "&amp;MID("CBA",AJ151,1)&amp;IF(AND(Regel_haeufig="ja",AH151=3,AJ151&lt;3)," · häufig +1","")&amp;IF(AND(Regel_sicherheit="ja",AI151=1,AJ151+IF(AND(Regel_haeufig="ja",AH151=3),1,0)&lt;2)," · Sicherheit ⇒ B","")&amp;" → "&amp;M151))</f>
        <v/>
      </c>
      <c r="P151" s="29" t="n"/>
      <c r="Q151" s="25" t="n"/>
      <c r="R151" s="22">
        <f>IF(AK151="","",INDEX(Soll_Tabelle,4-AK151,IF(AH151=3,2,1)))</f>
        <v/>
      </c>
      <c r="S151" s="26" t="n"/>
      <c r="T151" s="22">
        <f>IF(AL151="","",MAX(0,AL151-N(P151)))</f>
        <v/>
      </c>
      <c r="U151" s="30" t="n"/>
      <c r="V151" s="31">
        <f>IF(OR(T151="",U151=""),"",T151*U151)</f>
        <v/>
      </c>
      <c r="W151" s="31">
        <f>IF(COUNT(AF151:AG151)&lt;2,"",INDEX(Stillstand_h,AG151)*INDEX(Kostensatz,AF151))</f>
        <v/>
      </c>
      <c r="X151" s="32">
        <f>IF(AK151="","",IF(T151=0,"Bestand ausreichend / stock sufficient",IF(U151="","Stückpreis fehlt / price missing",IF(V151=0,"–",IF(W151/V151&gt;=Faktor_wirtschaftlich,"wirtschaftlich (Faktor "&amp;FIXED(W151/V151,1)&amp;")","nicht wirtschaftlich (Faktor "&amp;FIXED(W151/V151,1)&amp;")")))))</f>
        <v/>
      </c>
      <c r="Y151" s="33">
        <f>IF(AK151="","",IF(AK151=3,IF(T151&gt;0,IF(AG151=3,"Sofort beschaffen: Restbestand / Gebrauchtmarkt / Alternative sichern","Mindestbestand aufbauen ("&amp;T151&amp;" Stk.)"),"Bestand halten, jährlich prüfen"),IF(AK151=2,IF(T151&gt;0,"Bevorratung nach Wirtschaftlichkeit entscheiden; Quelle / Reparatur klären","Lieferzeit und Teilestatus jährlich prüfen"),"Keine Bevorratung – Beschaffung bei Bedarf")))</f>
        <v/>
      </c>
      <c r="Z151" s="25" t="n"/>
      <c r="AA151" s="25" t="n"/>
      <c r="AB151" s="34" t="n"/>
      <c r="AC151" s="26" t="n"/>
      <c r="AD151" s="25" t="n"/>
      <c r="AE151" s="2" t="n"/>
      <c r="AF151" s="35">
        <f>IF(I151="","",VALUE(LEFT(I151,1)))</f>
        <v/>
      </c>
      <c r="AG151" s="35">
        <f>IF(J151="","",VALUE(LEFT(J151,1)))</f>
        <v/>
      </c>
      <c r="AH151" s="35">
        <f>IF(K151="","",VALUE(LEFT(K151,1)))</f>
        <v/>
      </c>
      <c r="AI151" s="35">
        <f>IF(LEFT(L151,2)="ja",1,0)</f>
        <v/>
      </c>
      <c r="AJ151" s="35">
        <f>IF(COUNT(AF151:AH151)&lt;3,"",FIND(INDEX(Matrix,4-AF151,AG151),"CBA"))</f>
        <v/>
      </c>
      <c r="AK151" s="35">
        <f>IF(AJ151="","",MIN(3,MAX(AJ151+IF(AND(Regel_haeufig="ja",AH151=3),1,0),IF(AND(Regel_sicherheit="ja",AI151=1),2,0))))</f>
        <v/>
      </c>
      <c r="AL151" s="35">
        <f>IF(S151&lt;&gt;"",S151,IF(R151="","",R151))</f>
        <v/>
      </c>
      <c r="AM151" s="35">
        <f>IF(AK151="","",AK151*1000+N151*10+(1000-ROW())/100000)</f>
        <v/>
      </c>
    </row>
    <row r="152" ht="45" customHeight="1">
      <c r="A152" s="22">
        <f>IF(C152="","",COUNTA($C$7:C152))</f>
        <v/>
      </c>
      <c r="B152" s="23" t="n"/>
      <c r="C152" s="24" t="n"/>
      <c r="D152" s="25" t="n"/>
      <c r="E152" s="23" t="n"/>
      <c r="F152" s="26" t="n"/>
      <c r="G152" s="25" t="n"/>
      <c r="H152" s="25" t="n"/>
      <c r="I152" s="24" t="n"/>
      <c r="J152" s="24" t="n"/>
      <c r="K152" s="24" t="n"/>
      <c r="L152" s="26" t="n"/>
      <c r="M152" s="27">
        <f>IF(AK152="","",MID("CBA",AK152,1))</f>
        <v/>
      </c>
      <c r="N152" s="22">
        <f>IF(COUNT(AF152:AH152)&lt;3,"",AF152*AG152*AH152)</f>
        <v/>
      </c>
      <c r="O152" s="28">
        <f>IF(C152="","",IF(AJ152="","Bewertung unvollständig / incomplete","Matrix "&amp;MID("CBA",AJ152,1)&amp;IF(AND(Regel_haeufig="ja",AH152=3,AJ152&lt;3)," · häufig +1","")&amp;IF(AND(Regel_sicherheit="ja",AI152=1,AJ152+IF(AND(Regel_haeufig="ja",AH152=3),1,0)&lt;2)," · Sicherheit ⇒ B","")&amp;" → "&amp;M152))</f>
        <v/>
      </c>
      <c r="P152" s="29" t="n"/>
      <c r="Q152" s="25" t="n"/>
      <c r="R152" s="22">
        <f>IF(AK152="","",INDEX(Soll_Tabelle,4-AK152,IF(AH152=3,2,1)))</f>
        <v/>
      </c>
      <c r="S152" s="26" t="n"/>
      <c r="T152" s="22">
        <f>IF(AL152="","",MAX(0,AL152-N(P152)))</f>
        <v/>
      </c>
      <c r="U152" s="30" t="n"/>
      <c r="V152" s="31">
        <f>IF(OR(T152="",U152=""),"",T152*U152)</f>
        <v/>
      </c>
      <c r="W152" s="31">
        <f>IF(COUNT(AF152:AG152)&lt;2,"",INDEX(Stillstand_h,AG152)*INDEX(Kostensatz,AF152))</f>
        <v/>
      </c>
      <c r="X152" s="32">
        <f>IF(AK152="","",IF(T152=0,"Bestand ausreichend / stock sufficient",IF(U152="","Stückpreis fehlt / price missing",IF(V152=0,"–",IF(W152/V152&gt;=Faktor_wirtschaftlich,"wirtschaftlich (Faktor "&amp;FIXED(W152/V152,1)&amp;")","nicht wirtschaftlich (Faktor "&amp;FIXED(W152/V152,1)&amp;")")))))</f>
        <v/>
      </c>
      <c r="Y152" s="33">
        <f>IF(AK152="","",IF(AK152=3,IF(T152&gt;0,IF(AG152=3,"Sofort beschaffen: Restbestand / Gebrauchtmarkt / Alternative sichern","Mindestbestand aufbauen ("&amp;T152&amp;" Stk.)"),"Bestand halten, jährlich prüfen"),IF(AK152=2,IF(T152&gt;0,"Bevorratung nach Wirtschaftlichkeit entscheiden; Quelle / Reparatur klären","Lieferzeit und Teilestatus jährlich prüfen"),"Keine Bevorratung – Beschaffung bei Bedarf")))</f>
        <v/>
      </c>
      <c r="Z152" s="25" t="n"/>
      <c r="AA152" s="25" t="n"/>
      <c r="AB152" s="34" t="n"/>
      <c r="AC152" s="26" t="n"/>
      <c r="AD152" s="25" t="n"/>
      <c r="AE152" s="2" t="n"/>
      <c r="AF152" s="35">
        <f>IF(I152="","",VALUE(LEFT(I152,1)))</f>
        <v/>
      </c>
      <c r="AG152" s="35">
        <f>IF(J152="","",VALUE(LEFT(J152,1)))</f>
        <v/>
      </c>
      <c r="AH152" s="35">
        <f>IF(K152="","",VALUE(LEFT(K152,1)))</f>
        <v/>
      </c>
      <c r="AI152" s="35">
        <f>IF(LEFT(L152,2)="ja",1,0)</f>
        <v/>
      </c>
      <c r="AJ152" s="35">
        <f>IF(COUNT(AF152:AH152)&lt;3,"",FIND(INDEX(Matrix,4-AF152,AG152),"CBA"))</f>
        <v/>
      </c>
      <c r="AK152" s="35">
        <f>IF(AJ152="","",MIN(3,MAX(AJ152+IF(AND(Regel_haeufig="ja",AH152=3),1,0),IF(AND(Regel_sicherheit="ja",AI152=1),2,0))))</f>
        <v/>
      </c>
      <c r="AL152" s="35">
        <f>IF(S152&lt;&gt;"",S152,IF(R152="","",R152))</f>
        <v/>
      </c>
      <c r="AM152" s="35">
        <f>IF(AK152="","",AK152*1000+N152*10+(1000-ROW())/100000)</f>
        <v/>
      </c>
    </row>
    <row r="153" ht="45" customHeight="1">
      <c r="A153" s="22">
        <f>IF(C153="","",COUNTA($C$7:C153))</f>
        <v/>
      </c>
      <c r="B153" s="23" t="n"/>
      <c r="C153" s="24" t="n"/>
      <c r="D153" s="25" t="n"/>
      <c r="E153" s="23" t="n"/>
      <c r="F153" s="26" t="n"/>
      <c r="G153" s="25" t="n"/>
      <c r="H153" s="25" t="n"/>
      <c r="I153" s="24" t="n"/>
      <c r="J153" s="24" t="n"/>
      <c r="K153" s="24" t="n"/>
      <c r="L153" s="26" t="n"/>
      <c r="M153" s="27">
        <f>IF(AK153="","",MID("CBA",AK153,1))</f>
        <v/>
      </c>
      <c r="N153" s="22">
        <f>IF(COUNT(AF153:AH153)&lt;3,"",AF153*AG153*AH153)</f>
        <v/>
      </c>
      <c r="O153" s="28">
        <f>IF(C153="","",IF(AJ153="","Bewertung unvollständig / incomplete","Matrix "&amp;MID("CBA",AJ153,1)&amp;IF(AND(Regel_haeufig="ja",AH153=3,AJ153&lt;3)," · häufig +1","")&amp;IF(AND(Regel_sicherheit="ja",AI153=1,AJ153+IF(AND(Regel_haeufig="ja",AH153=3),1,0)&lt;2)," · Sicherheit ⇒ B","")&amp;" → "&amp;M153))</f>
        <v/>
      </c>
      <c r="P153" s="29" t="n"/>
      <c r="Q153" s="25" t="n"/>
      <c r="R153" s="22">
        <f>IF(AK153="","",INDEX(Soll_Tabelle,4-AK153,IF(AH153=3,2,1)))</f>
        <v/>
      </c>
      <c r="S153" s="26" t="n"/>
      <c r="T153" s="22">
        <f>IF(AL153="","",MAX(0,AL153-N(P153)))</f>
        <v/>
      </c>
      <c r="U153" s="30" t="n"/>
      <c r="V153" s="31">
        <f>IF(OR(T153="",U153=""),"",T153*U153)</f>
        <v/>
      </c>
      <c r="W153" s="31">
        <f>IF(COUNT(AF153:AG153)&lt;2,"",INDEX(Stillstand_h,AG153)*INDEX(Kostensatz,AF153))</f>
        <v/>
      </c>
      <c r="X153" s="32">
        <f>IF(AK153="","",IF(T153=0,"Bestand ausreichend / stock sufficient",IF(U153="","Stückpreis fehlt / price missing",IF(V153=0,"–",IF(W153/V153&gt;=Faktor_wirtschaftlich,"wirtschaftlich (Faktor "&amp;FIXED(W153/V153,1)&amp;")","nicht wirtschaftlich (Faktor "&amp;FIXED(W153/V153,1)&amp;")")))))</f>
        <v/>
      </c>
      <c r="Y153" s="33">
        <f>IF(AK153="","",IF(AK153=3,IF(T153&gt;0,IF(AG153=3,"Sofort beschaffen: Restbestand / Gebrauchtmarkt / Alternative sichern","Mindestbestand aufbauen ("&amp;T153&amp;" Stk.)"),"Bestand halten, jährlich prüfen"),IF(AK153=2,IF(T153&gt;0,"Bevorratung nach Wirtschaftlichkeit entscheiden; Quelle / Reparatur klären","Lieferzeit und Teilestatus jährlich prüfen"),"Keine Bevorratung – Beschaffung bei Bedarf")))</f>
        <v/>
      </c>
      <c r="Z153" s="25" t="n"/>
      <c r="AA153" s="25" t="n"/>
      <c r="AB153" s="34" t="n"/>
      <c r="AC153" s="26" t="n"/>
      <c r="AD153" s="25" t="n"/>
      <c r="AE153" s="2" t="n"/>
      <c r="AF153" s="35">
        <f>IF(I153="","",VALUE(LEFT(I153,1)))</f>
        <v/>
      </c>
      <c r="AG153" s="35">
        <f>IF(J153="","",VALUE(LEFT(J153,1)))</f>
        <v/>
      </c>
      <c r="AH153" s="35">
        <f>IF(K153="","",VALUE(LEFT(K153,1)))</f>
        <v/>
      </c>
      <c r="AI153" s="35">
        <f>IF(LEFT(L153,2)="ja",1,0)</f>
        <v/>
      </c>
      <c r="AJ153" s="35">
        <f>IF(COUNT(AF153:AH153)&lt;3,"",FIND(INDEX(Matrix,4-AF153,AG153),"CBA"))</f>
        <v/>
      </c>
      <c r="AK153" s="35">
        <f>IF(AJ153="","",MIN(3,MAX(AJ153+IF(AND(Regel_haeufig="ja",AH153=3),1,0),IF(AND(Regel_sicherheit="ja",AI153=1),2,0))))</f>
        <v/>
      </c>
      <c r="AL153" s="35">
        <f>IF(S153&lt;&gt;"",S153,IF(R153="","",R153))</f>
        <v/>
      </c>
      <c r="AM153" s="35">
        <f>IF(AK153="","",AK153*1000+N153*10+(1000-ROW())/100000)</f>
        <v/>
      </c>
    </row>
    <row r="154" ht="45" customHeight="1">
      <c r="A154" s="22">
        <f>IF(C154="","",COUNTA($C$7:C154))</f>
        <v/>
      </c>
      <c r="B154" s="23" t="n"/>
      <c r="C154" s="24" t="n"/>
      <c r="D154" s="25" t="n"/>
      <c r="E154" s="23" t="n"/>
      <c r="F154" s="26" t="n"/>
      <c r="G154" s="25" t="n"/>
      <c r="H154" s="25" t="n"/>
      <c r="I154" s="24" t="n"/>
      <c r="J154" s="24" t="n"/>
      <c r="K154" s="24" t="n"/>
      <c r="L154" s="26" t="n"/>
      <c r="M154" s="27">
        <f>IF(AK154="","",MID("CBA",AK154,1))</f>
        <v/>
      </c>
      <c r="N154" s="22">
        <f>IF(COUNT(AF154:AH154)&lt;3,"",AF154*AG154*AH154)</f>
        <v/>
      </c>
      <c r="O154" s="28">
        <f>IF(C154="","",IF(AJ154="","Bewertung unvollständig / incomplete","Matrix "&amp;MID("CBA",AJ154,1)&amp;IF(AND(Regel_haeufig="ja",AH154=3,AJ154&lt;3)," · häufig +1","")&amp;IF(AND(Regel_sicherheit="ja",AI154=1,AJ154+IF(AND(Regel_haeufig="ja",AH154=3),1,0)&lt;2)," · Sicherheit ⇒ B","")&amp;" → "&amp;M154))</f>
        <v/>
      </c>
      <c r="P154" s="29" t="n"/>
      <c r="Q154" s="25" t="n"/>
      <c r="R154" s="22">
        <f>IF(AK154="","",INDEX(Soll_Tabelle,4-AK154,IF(AH154=3,2,1)))</f>
        <v/>
      </c>
      <c r="S154" s="26" t="n"/>
      <c r="T154" s="22">
        <f>IF(AL154="","",MAX(0,AL154-N(P154)))</f>
        <v/>
      </c>
      <c r="U154" s="30" t="n"/>
      <c r="V154" s="31">
        <f>IF(OR(T154="",U154=""),"",T154*U154)</f>
        <v/>
      </c>
      <c r="W154" s="31">
        <f>IF(COUNT(AF154:AG154)&lt;2,"",INDEX(Stillstand_h,AG154)*INDEX(Kostensatz,AF154))</f>
        <v/>
      </c>
      <c r="X154" s="32">
        <f>IF(AK154="","",IF(T154=0,"Bestand ausreichend / stock sufficient",IF(U154="","Stückpreis fehlt / price missing",IF(V154=0,"–",IF(W154/V154&gt;=Faktor_wirtschaftlich,"wirtschaftlich (Faktor "&amp;FIXED(W154/V154,1)&amp;")","nicht wirtschaftlich (Faktor "&amp;FIXED(W154/V154,1)&amp;")")))))</f>
        <v/>
      </c>
      <c r="Y154" s="33">
        <f>IF(AK154="","",IF(AK154=3,IF(T154&gt;0,IF(AG154=3,"Sofort beschaffen: Restbestand / Gebrauchtmarkt / Alternative sichern","Mindestbestand aufbauen ("&amp;T154&amp;" Stk.)"),"Bestand halten, jährlich prüfen"),IF(AK154=2,IF(T154&gt;0,"Bevorratung nach Wirtschaftlichkeit entscheiden; Quelle / Reparatur klären","Lieferzeit und Teilestatus jährlich prüfen"),"Keine Bevorratung – Beschaffung bei Bedarf")))</f>
        <v/>
      </c>
      <c r="Z154" s="25" t="n"/>
      <c r="AA154" s="25" t="n"/>
      <c r="AB154" s="34" t="n"/>
      <c r="AC154" s="26" t="n"/>
      <c r="AD154" s="25" t="n"/>
      <c r="AE154" s="2" t="n"/>
      <c r="AF154" s="35">
        <f>IF(I154="","",VALUE(LEFT(I154,1)))</f>
        <v/>
      </c>
      <c r="AG154" s="35">
        <f>IF(J154="","",VALUE(LEFT(J154,1)))</f>
        <v/>
      </c>
      <c r="AH154" s="35">
        <f>IF(K154="","",VALUE(LEFT(K154,1)))</f>
        <v/>
      </c>
      <c r="AI154" s="35">
        <f>IF(LEFT(L154,2)="ja",1,0)</f>
        <v/>
      </c>
      <c r="AJ154" s="35">
        <f>IF(COUNT(AF154:AH154)&lt;3,"",FIND(INDEX(Matrix,4-AF154,AG154),"CBA"))</f>
        <v/>
      </c>
      <c r="AK154" s="35">
        <f>IF(AJ154="","",MIN(3,MAX(AJ154+IF(AND(Regel_haeufig="ja",AH154=3),1,0),IF(AND(Regel_sicherheit="ja",AI154=1),2,0))))</f>
        <v/>
      </c>
      <c r="AL154" s="35">
        <f>IF(S154&lt;&gt;"",S154,IF(R154="","",R154))</f>
        <v/>
      </c>
      <c r="AM154" s="35">
        <f>IF(AK154="","",AK154*1000+N154*10+(1000-ROW())/100000)</f>
        <v/>
      </c>
    </row>
    <row r="155" ht="45" customHeight="1">
      <c r="A155" s="22">
        <f>IF(C155="","",COUNTA($C$7:C155))</f>
        <v/>
      </c>
      <c r="B155" s="23" t="n"/>
      <c r="C155" s="24" t="n"/>
      <c r="D155" s="25" t="n"/>
      <c r="E155" s="23" t="n"/>
      <c r="F155" s="26" t="n"/>
      <c r="G155" s="25" t="n"/>
      <c r="H155" s="25" t="n"/>
      <c r="I155" s="24" t="n"/>
      <c r="J155" s="24" t="n"/>
      <c r="K155" s="24" t="n"/>
      <c r="L155" s="26" t="n"/>
      <c r="M155" s="27">
        <f>IF(AK155="","",MID("CBA",AK155,1))</f>
        <v/>
      </c>
      <c r="N155" s="22">
        <f>IF(COUNT(AF155:AH155)&lt;3,"",AF155*AG155*AH155)</f>
        <v/>
      </c>
      <c r="O155" s="28">
        <f>IF(C155="","",IF(AJ155="","Bewertung unvollständig / incomplete","Matrix "&amp;MID("CBA",AJ155,1)&amp;IF(AND(Regel_haeufig="ja",AH155=3,AJ155&lt;3)," · häufig +1","")&amp;IF(AND(Regel_sicherheit="ja",AI155=1,AJ155+IF(AND(Regel_haeufig="ja",AH155=3),1,0)&lt;2)," · Sicherheit ⇒ B","")&amp;" → "&amp;M155))</f>
        <v/>
      </c>
      <c r="P155" s="29" t="n"/>
      <c r="Q155" s="25" t="n"/>
      <c r="R155" s="22">
        <f>IF(AK155="","",INDEX(Soll_Tabelle,4-AK155,IF(AH155=3,2,1)))</f>
        <v/>
      </c>
      <c r="S155" s="26" t="n"/>
      <c r="T155" s="22">
        <f>IF(AL155="","",MAX(0,AL155-N(P155)))</f>
        <v/>
      </c>
      <c r="U155" s="30" t="n"/>
      <c r="V155" s="31">
        <f>IF(OR(T155="",U155=""),"",T155*U155)</f>
        <v/>
      </c>
      <c r="W155" s="31">
        <f>IF(COUNT(AF155:AG155)&lt;2,"",INDEX(Stillstand_h,AG155)*INDEX(Kostensatz,AF155))</f>
        <v/>
      </c>
      <c r="X155" s="32">
        <f>IF(AK155="","",IF(T155=0,"Bestand ausreichend / stock sufficient",IF(U155="","Stückpreis fehlt / price missing",IF(V155=0,"–",IF(W155/V155&gt;=Faktor_wirtschaftlich,"wirtschaftlich (Faktor "&amp;FIXED(W155/V155,1)&amp;")","nicht wirtschaftlich (Faktor "&amp;FIXED(W155/V155,1)&amp;")")))))</f>
        <v/>
      </c>
      <c r="Y155" s="33">
        <f>IF(AK155="","",IF(AK155=3,IF(T155&gt;0,IF(AG155=3,"Sofort beschaffen: Restbestand / Gebrauchtmarkt / Alternative sichern","Mindestbestand aufbauen ("&amp;T155&amp;" Stk.)"),"Bestand halten, jährlich prüfen"),IF(AK155=2,IF(T155&gt;0,"Bevorratung nach Wirtschaftlichkeit entscheiden; Quelle / Reparatur klären","Lieferzeit und Teilestatus jährlich prüfen"),"Keine Bevorratung – Beschaffung bei Bedarf")))</f>
        <v/>
      </c>
      <c r="Z155" s="25" t="n"/>
      <c r="AA155" s="25" t="n"/>
      <c r="AB155" s="34" t="n"/>
      <c r="AC155" s="26" t="n"/>
      <c r="AD155" s="25" t="n"/>
      <c r="AE155" s="2" t="n"/>
      <c r="AF155" s="35">
        <f>IF(I155="","",VALUE(LEFT(I155,1)))</f>
        <v/>
      </c>
      <c r="AG155" s="35">
        <f>IF(J155="","",VALUE(LEFT(J155,1)))</f>
        <v/>
      </c>
      <c r="AH155" s="35">
        <f>IF(K155="","",VALUE(LEFT(K155,1)))</f>
        <v/>
      </c>
      <c r="AI155" s="35">
        <f>IF(LEFT(L155,2)="ja",1,0)</f>
        <v/>
      </c>
      <c r="AJ155" s="35">
        <f>IF(COUNT(AF155:AH155)&lt;3,"",FIND(INDEX(Matrix,4-AF155,AG155),"CBA"))</f>
        <v/>
      </c>
      <c r="AK155" s="35">
        <f>IF(AJ155="","",MIN(3,MAX(AJ155+IF(AND(Regel_haeufig="ja",AH155=3),1,0),IF(AND(Regel_sicherheit="ja",AI155=1),2,0))))</f>
        <v/>
      </c>
      <c r="AL155" s="35">
        <f>IF(S155&lt;&gt;"",S155,IF(R155="","",R155))</f>
        <v/>
      </c>
      <c r="AM155" s="35">
        <f>IF(AK155="","",AK155*1000+N155*10+(1000-ROW())/100000)</f>
        <v/>
      </c>
    </row>
    <row r="156" ht="45" customHeight="1">
      <c r="A156" s="22">
        <f>IF(C156="","",COUNTA($C$7:C156))</f>
        <v/>
      </c>
      <c r="B156" s="23" t="n"/>
      <c r="C156" s="24" t="n"/>
      <c r="D156" s="25" t="n"/>
      <c r="E156" s="23" t="n"/>
      <c r="F156" s="26" t="n"/>
      <c r="G156" s="25" t="n"/>
      <c r="H156" s="25" t="n"/>
      <c r="I156" s="24" t="n"/>
      <c r="J156" s="24" t="n"/>
      <c r="K156" s="24" t="n"/>
      <c r="L156" s="26" t="n"/>
      <c r="M156" s="27">
        <f>IF(AK156="","",MID("CBA",AK156,1))</f>
        <v/>
      </c>
      <c r="N156" s="22">
        <f>IF(COUNT(AF156:AH156)&lt;3,"",AF156*AG156*AH156)</f>
        <v/>
      </c>
      <c r="O156" s="28">
        <f>IF(C156="","",IF(AJ156="","Bewertung unvollständig / incomplete","Matrix "&amp;MID("CBA",AJ156,1)&amp;IF(AND(Regel_haeufig="ja",AH156=3,AJ156&lt;3)," · häufig +1","")&amp;IF(AND(Regel_sicherheit="ja",AI156=1,AJ156+IF(AND(Regel_haeufig="ja",AH156=3),1,0)&lt;2)," · Sicherheit ⇒ B","")&amp;" → "&amp;M156))</f>
        <v/>
      </c>
      <c r="P156" s="29" t="n"/>
      <c r="Q156" s="25" t="n"/>
      <c r="R156" s="22">
        <f>IF(AK156="","",INDEX(Soll_Tabelle,4-AK156,IF(AH156=3,2,1)))</f>
        <v/>
      </c>
      <c r="S156" s="26" t="n"/>
      <c r="T156" s="22">
        <f>IF(AL156="","",MAX(0,AL156-N(P156)))</f>
        <v/>
      </c>
      <c r="U156" s="30" t="n"/>
      <c r="V156" s="31">
        <f>IF(OR(T156="",U156=""),"",T156*U156)</f>
        <v/>
      </c>
      <c r="W156" s="31">
        <f>IF(COUNT(AF156:AG156)&lt;2,"",INDEX(Stillstand_h,AG156)*INDEX(Kostensatz,AF156))</f>
        <v/>
      </c>
      <c r="X156" s="32">
        <f>IF(AK156="","",IF(T156=0,"Bestand ausreichend / stock sufficient",IF(U156="","Stückpreis fehlt / price missing",IF(V156=0,"–",IF(W156/V156&gt;=Faktor_wirtschaftlich,"wirtschaftlich (Faktor "&amp;FIXED(W156/V156,1)&amp;")","nicht wirtschaftlich (Faktor "&amp;FIXED(W156/V156,1)&amp;")")))))</f>
        <v/>
      </c>
      <c r="Y156" s="33">
        <f>IF(AK156="","",IF(AK156=3,IF(T156&gt;0,IF(AG156=3,"Sofort beschaffen: Restbestand / Gebrauchtmarkt / Alternative sichern","Mindestbestand aufbauen ("&amp;T156&amp;" Stk.)"),"Bestand halten, jährlich prüfen"),IF(AK156=2,IF(T156&gt;0,"Bevorratung nach Wirtschaftlichkeit entscheiden; Quelle / Reparatur klären","Lieferzeit und Teilestatus jährlich prüfen"),"Keine Bevorratung – Beschaffung bei Bedarf")))</f>
        <v/>
      </c>
      <c r="Z156" s="25" t="n"/>
      <c r="AA156" s="25" t="n"/>
      <c r="AB156" s="34" t="n"/>
      <c r="AC156" s="26" t="n"/>
      <c r="AD156" s="25" t="n"/>
      <c r="AE156" s="2" t="n"/>
      <c r="AF156" s="35">
        <f>IF(I156="","",VALUE(LEFT(I156,1)))</f>
        <v/>
      </c>
      <c r="AG156" s="35">
        <f>IF(J156="","",VALUE(LEFT(J156,1)))</f>
        <v/>
      </c>
      <c r="AH156" s="35">
        <f>IF(K156="","",VALUE(LEFT(K156,1)))</f>
        <v/>
      </c>
      <c r="AI156" s="35">
        <f>IF(LEFT(L156,2)="ja",1,0)</f>
        <v/>
      </c>
      <c r="AJ156" s="35">
        <f>IF(COUNT(AF156:AH156)&lt;3,"",FIND(INDEX(Matrix,4-AF156,AG156),"CBA"))</f>
        <v/>
      </c>
      <c r="AK156" s="35">
        <f>IF(AJ156="","",MIN(3,MAX(AJ156+IF(AND(Regel_haeufig="ja",AH156=3),1,0),IF(AND(Regel_sicherheit="ja",AI156=1),2,0))))</f>
        <v/>
      </c>
      <c r="AL156" s="35">
        <f>IF(S156&lt;&gt;"",S156,IF(R156="","",R156))</f>
        <v/>
      </c>
      <c r="AM156" s="35">
        <f>IF(AK156="","",AK156*1000+N156*10+(1000-ROW())/100000)</f>
        <v/>
      </c>
    </row>
    <row r="157" ht="45" customHeight="1">
      <c r="A157" s="22">
        <f>IF(C157="","",COUNTA($C$7:C157))</f>
        <v/>
      </c>
      <c r="B157" s="23" t="n"/>
      <c r="C157" s="24" t="n"/>
      <c r="D157" s="25" t="n"/>
      <c r="E157" s="23" t="n"/>
      <c r="F157" s="26" t="n"/>
      <c r="G157" s="25" t="n"/>
      <c r="H157" s="25" t="n"/>
      <c r="I157" s="24" t="n"/>
      <c r="J157" s="24" t="n"/>
      <c r="K157" s="24" t="n"/>
      <c r="L157" s="26" t="n"/>
      <c r="M157" s="27">
        <f>IF(AK157="","",MID("CBA",AK157,1))</f>
        <v/>
      </c>
      <c r="N157" s="22">
        <f>IF(COUNT(AF157:AH157)&lt;3,"",AF157*AG157*AH157)</f>
        <v/>
      </c>
      <c r="O157" s="28">
        <f>IF(C157="","",IF(AJ157="","Bewertung unvollständig / incomplete","Matrix "&amp;MID("CBA",AJ157,1)&amp;IF(AND(Regel_haeufig="ja",AH157=3,AJ157&lt;3)," · häufig +1","")&amp;IF(AND(Regel_sicherheit="ja",AI157=1,AJ157+IF(AND(Regel_haeufig="ja",AH157=3),1,0)&lt;2)," · Sicherheit ⇒ B","")&amp;" → "&amp;M157))</f>
        <v/>
      </c>
      <c r="P157" s="29" t="n"/>
      <c r="Q157" s="25" t="n"/>
      <c r="R157" s="22">
        <f>IF(AK157="","",INDEX(Soll_Tabelle,4-AK157,IF(AH157=3,2,1)))</f>
        <v/>
      </c>
      <c r="S157" s="26" t="n"/>
      <c r="T157" s="22">
        <f>IF(AL157="","",MAX(0,AL157-N(P157)))</f>
        <v/>
      </c>
      <c r="U157" s="30" t="n"/>
      <c r="V157" s="31">
        <f>IF(OR(T157="",U157=""),"",T157*U157)</f>
        <v/>
      </c>
      <c r="W157" s="31">
        <f>IF(COUNT(AF157:AG157)&lt;2,"",INDEX(Stillstand_h,AG157)*INDEX(Kostensatz,AF157))</f>
        <v/>
      </c>
      <c r="X157" s="32">
        <f>IF(AK157="","",IF(T157=0,"Bestand ausreichend / stock sufficient",IF(U157="","Stückpreis fehlt / price missing",IF(V157=0,"–",IF(W157/V157&gt;=Faktor_wirtschaftlich,"wirtschaftlich (Faktor "&amp;FIXED(W157/V157,1)&amp;")","nicht wirtschaftlich (Faktor "&amp;FIXED(W157/V157,1)&amp;")")))))</f>
        <v/>
      </c>
      <c r="Y157" s="33">
        <f>IF(AK157="","",IF(AK157=3,IF(T157&gt;0,IF(AG157=3,"Sofort beschaffen: Restbestand / Gebrauchtmarkt / Alternative sichern","Mindestbestand aufbauen ("&amp;T157&amp;" Stk.)"),"Bestand halten, jährlich prüfen"),IF(AK157=2,IF(T157&gt;0,"Bevorratung nach Wirtschaftlichkeit entscheiden; Quelle / Reparatur klären","Lieferzeit und Teilestatus jährlich prüfen"),"Keine Bevorratung – Beschaffung bei Bedarf")))</f>
        <v/>
      </c>
      <c r="Z157" s="25" t="n"/>
      <c r="AA157" s="25" t="n"/>
      <c r="AB157" s="34" t="n"/>
      <c r="AC157" s="26" t="n"/>
      <c r="AD157" s="25" t="n"/>
      <c r="AE157" s="2" t="n"/>
      <c r="AF157" s="35">
        <f>IF(I157="","",VALUE(LEFT(I157,1)))</f>
        <v/>
      </c>
      <c r="AG157" s="35">
        <f>IF(J157="","",VALUE(LEFT(J157,1)))</f>
        <v/>
      </c>
      <c r="AH157" s="35">
        <f>IF(K157="","",VALUE(LEFT(K157,1)))</f>
        <v/>
      </c>
      <c r="AI157" s="35">
        <f>IF(LEFT(L157,2)="ja",1,0)</f>
        <v/>
      </c>
      <c r="AJ157" s="35">
        <f>IF(COUNT(AF157:AH157)&lt;3,"",FIND(INDEX(Matrix,4-AF157,AG157),"CBA"))</f>
        <v/>
      </c>
      <c r="AK157" s="35">
        <f>IF(AJ157="","",MIN(3,MAX(AJ157+IF(AND(Regel_haeufig="ja",AH157=3),1,0),IF(AND(Regel_sicherheit="ja",AI157=1),2,0))))</f>
        <v/>
      </c>
      <c r="AL157" s="35">
        <f>IF(S157&lt;&gt;"",S157,IF(R157="","",R157))</f>
        <v/>
      </c>
      <c r="AM157" s="35">
        <f>IF(AK157="","",AK157*1000+N157*10+(1000-ROW())/100000)</f>
        <v/>
      </c>
    </row>
    <row r="158" ht="45" customHeight="1">
      <c r="A158" s="22">
        <f>IF(C158="","",COUNTA($C$7:C158))</f>
        <v/>
      </c>
      <c r="B158" s="23" t="n"/>
      <c r="C158" s="24" t="n"/>
      <c r="D158" s="25" t="n"/>
      <c r="E158" s="23" t="n"/>
      <c r="F158" s="26" t="n"/>
      <c r="G158" s="25" t="n"/>
      <c r="H158" s="25" t="n"/>
      <c r="I158" s="24" t="n"/>
      <c r="J158" s="24" t="n"/>
      <c r="K158" s="24" t="n"/>
      <c r="L158" s="26" t="n"/>
      <c r="M158" s="27">
        <f>IF(AK158="","",MID("CBA",AK158,1))</f>
        <v/>
      </c>
      <c r="N158" s="22">
        <f>IF(COUNT(AF158:AH158)&lt;3,"",AF158*AG158*AH158)</f>
        <v/>
      </c>
      <c r="O158" s="28">
        <f>IF(C158="","",IF(AJ158="","Bewertung unvollständig / incomplete","Matrix "&amp;MID("CBA",AJ158,1)&amp;IF(AND(Regel_haeufig="ja",AH158=3,AJ158&lt;3)," · häufig +1","")&amp;IF(AND(Regel_sicherheit="ja",AI158=1,AJ158+IF(AND(Regel_haeufig="ja",AH158=3),1,0)&lt;2)," · Sicherheit ⇒ B","")&amp;" → "&amp;M158))</f>
        <v/>
      </c>
      <c r="P158" s="29" t="n"/>
      <c r="Q158" s="25" t="n"/>
      <c r="R158" s="22">
        <f>IF(AK158="","",INDEX(Soll_Tabelle,4-AK158,IF(AH158=3,2,1)))</f>
        <v/>
      </c>
      <c r="S158" s="26" t="n"/>
      <c r="T158" s="22">
        <f>IF(AL158="","",MAX(0,AL158-N(P158)))</f>
        <v/>
      </c>
      <c r="U158" s="30" t="n"/>
      <c r="V158" s="31">
        <f>IF(OR(T158="",U158=""),"",T158*U158)</f>
        <v/>
      </c>
      <c r="W158" s="31">
        <f>IF(COUNT(AF158:AG158)&lt;2,"",INDEX(Stillstand_h,AG158)*INDEX(Kostensatz,AF158))</f>
        <v/>
      </c>
      <c r="X158" s="32">
        <f>IF(AK158="","",IF(T158=0,"Bestand ausreichend / stock sufficient",IF(U158="","Stückpreis fehlt / price missing",IF(V158=0,"–",IF(W158/V158&gt;=Faktor_wirtschaftlich,"wirtschaftlich (Faktor "&amp;FIXED(W158/V158,1)&amp;")","nicht wirtschaftlich (Faktor "&amp;FIXED(W158/V158,1)&amp;")")))))</f>
        <v/>
      </c>
      <c r="Y158" s="33">
        <f>IF(AK158="","",IF(AK158=3,IF(T158&gt;0,IF(AG158=3,"Sofort beschaffen: Restbestand / Gebrauchtmarkt / Alternative sichern","Mindestbestand aufbauen ("&amp;T158&amp;" Stk.)"),"Bestand halten, jährlich prüfen"),IF(AK158=2,IF(T158&gt;0,"Bevorratung nach Wirtschaftlichkeit entscheiden; Quelle / Reparatur klären","Lieferzeit und Teilestatus jährlich prüfen"),"Keine Bevorratung – Beschaffung bei Bedarf")))</f>
        <v/>
      </c>
      <c r="Z158" s="25" t="n"/>
      <c r="AA158" s="25" t="n"/>
      <c r="AB158" s="34" t="n"/>
      <c r="AC158" s="26" t="n"/>
      <c r="AD158" s="25" t="n"/>
      <c r="AE158" s="2" t="n"/>
      <c r="AF158" s="35">
        <f>IF(I158="","",VALUE(LEFT(I158,1)))</f>
        <v/>
      </c>
      <c r="AG158" s="35">
        <f>IF(J158="","",VALUE(LEFT(J158,1)))</f>
        <v/>
      </c>
      <c r="AH158" s="35">
        <f>IF(K158="","",VALUE(LEFT(K158,1)))</f>
        <v/>
      </c>
      <c r="AI158" s="35">
        <f>IF(LEFT(L158,2)="ja",1,0)</f>
        <v/>
      </c>
      <c r="AJ158" s="35">
        <f>IF(COUNT(AF158:AH158)&lt;3,"",FIND(INDEX(Matrix,4-AF158,AG158),"CBA"))</f>
        <v/>
      </c>
      <c r="AK158" s="35">
        <f>IF(AJ158="","",MIN(3,MAX(AJ158+IF(AND(Regel_haeufig="ja",AH158=3),1,0),IF(AND(Regel_sicherheit="ja",AI158=1),2,0))))</f>
        <v/>
      </c>
      <c r="AL158" s="35">
        <f>IF(S158&lt;&gt;"",S158,IF(R158="","",R158))</f>
        <v/>
      </c>
      <c r="AM158" s="35">
        <f>IF(AK158="","",AK158*1000+N158*10+(1000-ROW())/100000)</f>
        <v/>
      </c>
    </row>
    <row r="159" ht="45" customHeight="1">
      <c r="A159" s="22">
        <f>IF(C159="","",COUNTA($C$7:C159))</f>
        <v/>
      </c>
      <c r="B159" s="23" t="n"/>
      <c r="C159" s="24" t="n"/>
      <c r="D159" s="25" t="n"/>
      <c r="E159" s="23" t="n"/>
      <c r="F159" s="26" t="n"/>
      <c r="G159" s="25" t="n"/>
      <c r="H159" s="25" t="n"/>
      <c r="I159" s="24" t="n"/>
      <c r="J159" s="24" t="n"/>
      <c r="K159" s="24" t="n"/>
      <c r="L159" s="26" t="n"/>
      <c r="M159" s="27">
        <f>IF(AK159="","",MID("CBA",AK159,1))</f>
        <v/>
      </c>
      <c r="N159" s="22">
        <f>IF(COUNT(AF159:AH159)&lt;3,"",AF159*AG159*AH159)</f>
        <v/>
      </c>
      <c r="O159" s="28">
        <f>IF(C159="","",IF(AJ159="","Bewertung unvollständig / incomplete","Matrix "&amp;MID("CBA",AJ159,1)&amp;IF(AND(Regel_haeufig="ja",AH159=3,AJ159&lt;3)," · häufig +1","")&amp;IF(AND(Regel_sicherheit="ja",AI159=1,AJ159+IF(AND(Regel_haeufig="ja",AH159=3),1,0)&lt;2)," · Sicherheit ⇒ B","")&amp;" → "&amp;M159))</f>
        <v/>
      </c>
      <c r="P159" s="29" t="n"/>
      <c r="Q159" s="25" t="n"/>
      <c r="R159" s="22">
        <f>IF(AK159="","",INDEX(Soll_Tabelle,4-AK159,IF(AH159=3,2,1)))</f>
        <v/>
      </c>
      <c r="S159" s="26" t="n"/>
      <c r="T159" s="22">
        <f>IF(AL159="","",MAX(0,AL159-N(P159)))</f>
        <v/>
      </c>
      <c r="U159" s="30" t="n"/>
      <c r="V159" s="31">
        <f>IF(OR(T159="",U159=""),"",T159*U159)</f>
        <v/>
      </c>
      <c r="W159" s="31">
        <f>IF(COUNT(AF159:AG159)&lt;2,"",INDEX(Stillstand_h,AG159)*INDEX(Kostensatz,AF159))</f>
        <v/>
      </c>
      <c r="X159" s="32">
        <f>IF(AK159="","",IF(T159=0,"Bestand ausreichend / stock sufficient",IF(U159="","Stückpreis fehlt / price missing",IF(V159=0,"–",IF(W159/V159&gt;=Faktor_wirtschaftlich,"wirtschaftlich (Faktor "&amp;FIXED(W159/V159,1)&amp;")","nicht wirtschaftlich (Faktor "&amp;FIXED(W159/V159,1)&amp;")")))))</f>
        <v/>
      </c>
      <c r="Y159" s="33">
        <f>IF(AK159="","",IF(AK159=3,IF(T159&gt;0,IF(AG159=3,"Sofort beschaffen: Restbestand / Gebrauchtmarkt / Alternative sichern","Mindestbestand aufbauen ("&amp;T159&amp;" Stk.)"),"Bestand halten, jährlich prüfen"),IF(AK159=2,IF(T159&gt;0,"Bevorratung nach Wirtschaftlichkeit entscheiden; Quelle / Reparatur klären","Lieferzeit und Teilestatus jährlich prüfen"),"Keine Bevorratung – Beschaffung bei Bedarf")))</f>
        <v/>
      </c>
      <c r="Z159" s="25" t="n"/>
      <c r="AA159" s="25" t="n"/>
      <c r="AB159" s="34" t="n"/>
      <c r="AC159" s="26" t="n"/>
      <c r="AD159" s="25" t="n"/>
      <c r="AE159" s="2" t="n"/>
      <c r="AF159" s="35">
        <f>IF(I159="","",VALUE(LEFT(I159,1)))</f>
        <v/>
      </c>
      <c r="AG159" s="35">
        <f>IF(J159="","",VALUE(LEFT(J159,1)))</f>
        <v/>
      </c>
      <c r="AH159" s="35">
        <f>IF(K159="","",VALUE(LEFT(K159,1)))</f>
        <v/>
      </c>
      <c r="AI159" s="35">
        <f>IF(LEFT(L159,2)="ja",1,0)</f>
        <v/>
      </c>
      <c r="AJ159" s="35">
        <f>IF(COUNT(AF159:AH159)&lt;3,"",FIND(INDEX(Matrix,4-AF159,AG159),"CBA"))</f>
        <v/>
      </c>
      <c r="AK159" s="35">
        <f>IF(AJ159="","",MIN(3,MAX(AJ159+IF(AND(Regel_haeufig="ja",AH159=3),1,0),IF(AND(Regel_sicherheit="ja",AI159=1),2,0))))</f>
        <v/>
      </c>
      <c r="AL159" s="35">
        <f>IF(S159&lt;&gt;"",S159,IF(R159="","",R159))</f>
        <v/>
      </c>
      <c r="AM159" s="35">
        <f>IF(AK159="","",AK159*1000+N159*10+(1000-ROW())/100000)</f>
        <v/>
      </c>
    </row>
    <row r="160" ht="45" customHeight="1">
      <c r="A160" s="22">
        <f>IF(C160="","",COUNTA($C$7:C160))</f>
        <v/>
      </c>
      <c r="B160" s="23" t="n"/>
      <c r="C160" s="24" t="n"/>
      <c r="D160" s="25" t="n"/>
      <c r="E160" s="23" t="n"/>
      <c r="F160" s="26" t="n"/>
      <c r="G160" s="25" t="n"/>
      <c r="H160" s="25" t="n"/>
      <c r="I160" s="24" t="n"/>
      <c r="J160" s="24" t="n"/>
      <c r="K160" s="24" t="n"/>
      <c r="L160" s="26" t="n"/>
      <c r="M160" s="27">
        <f>IF(AK160="","",MID("CBA",AK160,1))</f>
        <v/>
      </c>
      <c r="N160" s="22">
        <f>IF(COUNT(AF160:AH160)&lt;3,"",AF160*AG160*AH160)</f>
        <v/>
      </c>
      <c r="O160" s="28">
        <f>IF(C160="","",IF(AJ160="","Bewertung unvollständig / incomplete","Matrix "&amp;MID("CBA",AJ160,1)&amp;IF(AND(Regel_haeufig="ja",AH160=3,AJ160&lt;3)," · häufig +1","")&amp;IF(AND(Regel_sicherheit="ja",AI160=1,AJ160+IF(AND(Regel_haeufig="ja",AH160=3),1,0)&lt;2)," · Sicherheit ⇒ B","")&amp;" → "&amp;M160))</f>
        <v/>
      </c>
      <c r="P160" s="29" t="n"/>
      <c r="Q160" s="25" t="n"/>
      <c r="R160" s="22">
        <f>IF(AK160="","",INDEX(Soll_Tabelle,4-AK160,IF(AH160=3,2,1)))</f>
        <v/>
      </c>
      <c r="S160" s="26" t="n"/>
      <c r="T160" s="22">
        <f>IF(AL160="","",MAX(0,AL160-N(P160)))</f>
        <v/>
      </c>
      <c r="U160" s="30" t="n"/>
      <c r="V160" s="31">
        <f>IF(OR(T160="",U160=""),"",T160*U160)</f>
        <v/>
      </c>
      <c r="W160" s="31">
        <f>IF(COUNT(AF160:AG160)&lt;2,"",INDEX(Stillstand_h,AG160)*INDEX(Kostensatz,AF160))</f>
        <v/>
      </c>
      <c r="X160" s="32">
        <f>IF(AK160="","",IF(T160=0,"Bestand ausreichend / stock sufficient",IF(U160="","Stückpreis fehlt / price missing",IF(V160=0,"–",IF(W160/V160&gt;=Faktor_wirtschaftlich,"wirtschaftlich (Faktor "&amp;FIXED(W160/V160,1)&amp;")","nicht wirtschaftlich (Faktor "&amp;FIXED(W160/V160,1)&amp;")")))))</f>
        <v/>
      </c>
      <c r="Y160" s="33">
        <f>IF(AK160="","",IF(AK160=3,IF(T160&gt;0,IF(AG160=3,"Sofort beschaffen: Restbestand / Gebrauchtmarkt / Alternative sichern","Mindestbestand aufbauen ("&amp;T160&amp;" Stk.)"),"Bestand halten, jährlich prüfen"),IF(AK160=2,IF(T160&gt;0,"Bevorratung nach Wirtschaftlichkeit entscheiden; Quelle / Reparatur klären","Lieferzeit und Teilestatus jährlich prüfen"),"Keine Bevorratung – Beschaffung bei Bedarf")))</f>
        <v/>
      </c>
      <c r="Z160" s="25" t="n"/>
      <c r="AA160" s="25" t="n"/>
      <c r="AB160" s="34" t="n"/>
      <c r="AC160" s="26" t="n"/>
      <c r="AD160" s="25" t="n"/>
      <c r="AE160" s="2" t="n"/>
      <c r="AF160" s="35">
        <f>IF(I160="","",VALUE(LEFT(I160,1)))</f>
        <v/>
      </c>
      <c r="AG160" s="35">
        <f>IF(J160="","",VALUE(LEFT(J160,1)))</f>
        <v/>
      </c>
      <c r="AH160" s="35">
        <f>IF(K160="","",VALUE(LEFT(K160,1)))</f>
        <v/>
      </c>
      <c r="AI160" s="35">
        <f>IF(LEFT(L160,2)="ja",1,0)</f>
        <v/>
      </c>
      <c r="AJ160" s="35">
        <f>IF(COUNT(AF160:AH160)&lt;3,"",FIND(INDEX(Matrix,4-AF160,AG160),"CBA"))</f>
        <v/>
      </c>
      <c r="AK160" s="35">
        <f>IF(AJ160="","",MIN(3,MAX(AJ160+IF(AND(Regel_haeufig="ja",AH160=3),1,0),IF(AND(Regel_sicherheit="ja",AI160=1),2,0))))</f>
        <v/>
      </c>
      <c r="AL160" s="35">
        <f>IF(S160&lt;&gt;"",S160,IF(R160="","",R160))</f>
        <v/>
      </c>
      <c r="AM160" s="35">
        <f>IF(AK160="","",AK160*1000+N160*10+(1000-ROW())/100000)</f>
        <v/>
      </c>
    </row>
    <row r="161" ht="45" customHeight="1">
      <c r="A161" s="22">
        <f>IF(C161="","",COUNTA($C$7:C161))</f>
        <v/>
      </c>
      <c r="B161" s="23" t="n"/>
      <c r="C161" s="24" t="n"/>
      <c r="D161" s="25" t="n"/>
      <c r="E161" s="23" t="n"/>
      <c r="F161" s="26" t="n"/>
      <c r="G161" s="25" t="n"/>
      <c r="H161" s="25" t="n"/>
      <c r="I161" s="24" t="n"/>
      <c r="J161" s="24" t="n"/>
      <c r="K161" s="24" t="n"/>
      <c r="L161" s="26" t="n"/>
      <c r="M161" s="27">
        <f>IF(AK161="","",MID("CBA",AK161,1))</f>
        <v/>
      </c>
      <c r="N161" s="22">
        <f>IF(COUNT(AF161:AH161)&lt;3,"",AF161*AG161*AH161)</f>
        <v/>
      </c>
      <c r="O161" s="28">
        <f>IF(C161="","",IF(AJ161="","Bewertung unvollständig / incomplete","Matrix "&amp;MID("CBA",AJ161,1)&amp;IF(AND(Regel_haeufig="ja",AH161=3,AJ161&lt;3)," · häufig +1","")&amp;IF(AND(Regel_sicherheit="ja",AI161=1,AJ161+IF(AND(Regel_haeufig="ja",AH161=3),1,0)&lt;2)," · Sicherheit ⇒ B","")&amp;" → "&amp;M161))</f>
        <v/>
      </c>
      <c r="P161" s="29" t="n"/>
      <c r="Q161" s="25" t="n"/>
      <c r="R161" s="22">
        <f>IF(AK161="","",INDEX(Soll_Tabelle,4-AK161,IF(AH161=3,2,1)))</f>
        <v/>
      </c>
      <c r="S161" s="26" t="n"/>
      <c r="T161" s="22">
        <f>IF(AL161="","",MAX(0,AL161-N(P161)))</f>
        <v/>
      </c>
      <c r="U161" s="30" t="n"/>
      <c r="V161" s="31">
        <f>IF(OR(T161="",U161=""),"",T161*U161)</f>
        <v/>
      </c>
      <c r="W161" s="31">
        <f>IF(COUNT(AF161:AG161)&lt;2,"",INDEX(Stillstand_h,AG161)*INDEX(Kostensatz,AF161))</f>
        <v/>
      </c>
      <c r="X161" s="32">
        <f>IF(AK161="","",IF(T161=0,"Bestand ausreichend / stock sufficient",IF(U161="","Stückpreis fehlt / price missing",IF(V161=0,"–",IF(W161/V161&gt;=Faktor_wirtschaftlich,"wirtschaftlich (Faktor "&amp;FIXED(W161/V161,1)&amp;")","nicht wirtschaftlich (Faktor "&amp;FIXED(W161/V161,1)&amp;")")))))</f>
        <v/>
      </c>
      <c r="Y161" s="33">
        <f>IF(AK161="","",IF(AK161=3,IF(T161&gt;0,IF(AG161=3,"Sofort beschaffen: Restbestand / Gebrauchtmarkt / Alternative sichern","Mindestbestand aufbauen ("&amp;T161&amp;" Stk.)"),"Bestand halten, jährlich prüfen"),IF(AK161=2,IF(T161&gt;0,"Bevorratung nach Wirtschaftlichkeit entscheiden; Quelle / Reparatur klären","Lieferzeit und Teilestatus jährlich prüfen"),"Keine Bevorratung – Beschaffung bei Bedarf")))</f>
        <v/>
      </c>
      <c r="Z161" s="25" t="n"/>
      <c r="AA161" s="25" t="n"/>
      <c r="AB161" s="34" t="n"/>
      <c r="AC161" s="26" t="n"/>
      <c r="AD161" s="25" t="n"/>
      <c r="AE161" s="2" t="n"/>
      <c r="AF161" s="35">
        <f>IF(I161="","",VALUE(LEFT(I161,1)))</f>
        <v/>
      </c>
      <c r="AG161" s="35">
        <f>IF(J161="","",VALUE(LEFT(J161,1)))</f>
        <v/>
      </c>
      <c r="AH161" s="35">
        <f>IF(K161="","",VALUE(LEFT(K161,1)))</f>
        <v/>
      </c>
      <c r="AI161" s="35">
        <f>IF(LEFT(L161,2)="ja",1,0)</f>
        <v/>
      </c>
      <c r="AJ161" s="35">
        <f>IF(COUNT(AF161:AH161)&lt;3,"",FIND(INDEX(Matrix,4-AF161,AG161),"CBA"))</f>
        <v/>
      </c>
      <c r="AK161" s="35">
        <f>IF(AJ161="","",MIN(3,MAX(AJ161+IF(AND(Regel_haeufig="ja",AH161=3),1,0),IF(AND(Regel_sicherheit="ja",AI161=1),2,0))))</f>
        <v/>
      </c>
      <c r="AL161" s="35">
        <f>IF(S161&lt;&gt;"",S161,IF(R161="","",R161))</f>
        <v/>
      </c>
      <c r="AM161" s="35">
        <f>IF(AK161="","",AK161*1000+N161*10+(1000-ROW())/100000)</f>
        <v/>
      </c>
    </row>
    <row r="162" ht="45" customHeight="1">
      <c r="A162" s="22">
        <f>IF(C162="","",COUNTA($C$7:C162))</f>
        <v/>
      </c>
      <c r="B162" s="23" t="n"/>
      <c r="C162" s="24" t="n"/>
      <c r="D162" s="25" t="n"/>
      <c r="E162" s="23" t="n"/>
      <c r="F162" s="26" t="n"/>
      <c r="G162" s="25" t="n"/>
      <c r="H162" s="25" t="n"/>
      <c r="I162" s="24" t="n"/>
      <c r="J162" s="24" t="n"/>
      <c r="K162" s="24" t="n"/>
      <c r="L162" s="26" t="n"/>
      <c r="M162" s="27">
        <f>IF(AK162="","",MID("CBA",AK162,1))</f>
        <v/>
      </c>
      <c r="N162" s="22">
        <f>IF(COUNT(AF162:AH162)&lt;3,"",AF162*AG162*AH162)</f>
        <v/>
      </c>
      <c r="O162" s="28">
        <f>IF(C162="","",IF(AJ162="","Bewertung unvollständig / incomplete","Matrix "&amp;MID("CBA",AJ162,1)&amp;IF(AND(Regel_haeufig="ja",AH162=3,AJ162&lt;3)," · häufig +1","")&amp;IF(AND(Regel_sicherheit="ja",AI162=1,AJ162+IF(AND(Regel_haeufig="ja",AH162=3),1,0)&lt;2)," · Sicherheit ⇒ B","")&amp;" → "&amp;M162))</f>
        <v/>
      </c>
      <c r="P162" s="29" t="n"/>
      <c r="Q162" s="25" t="n"/>
      <c r="R162" s="22">
        <f>IF(AK162="","",INDEX(Soll_Tabelle,4-AK162,IF(AH162=3,2,1)))</f>
        <v/>
      </c>
      <c r="S162" s="26" t="n"/>
      <c r="T162" s="22">
        <f>IF(AL162="","",MAX(0,AL162-N(P162)))</f>
        <v/>
      </c>
      <c r="U162" s="30" t="n"/>
      <c r="V162" s="31">
        <f>IF(OR(T162="",U162=""),"",T162*U162)</f>
        <v/>
      </c>
      <c r="W162" s="31">
        <f>IF(COUNT(AF162:AG162)&lt;2,"",INDEX(Stillstand_h,AG162)*INDEX(Kostensatz,AF162))</f>
        <v/>
      </c>
      <c r="X162" s="32">
        <f>IF(AK162="","",IF(T162=0,"Bestand ausreichend / stock sufficient",IF(U162="","Stückpreis fehlt / price missing",IF(V162=0,"–",IF(W162/V162&gt;=Faktor_wirtschaftlich,"wirtschaftlich (Faktor "&amp;FIXED(W162/V162,1)&amp;")","nicht wirtschaftlich (Faktor "&amp;FIXED(W162/V162,1)&amp;")")))))</f>
        <v/>
      </c>
      <c r="Y162" s="33">
        <f>IF(AK162="","",IF(AK162=3,IF(T162&gt;0,IF(AG162=3,"Sofort beschaffen: Restbestand / Gebrauchtmarkt / Alternative sichern","Mindestbestand aufbauen ("&amp;T162&amp;" Stk.)"),"Bestand halten, jährlich prüfen"),IF(AK162=2,IF(T162&gt;0,"Bevorratung nach Wirtschaftlichkeit entscheiden; Quelle / Reparatur klären","Lieferzeit und Teilestatus jährlich prüfen"),"Keine Bevorratung – Beschaffung bei Bedarf")))</f>
        <v/>
      </c>
      <c r="Z162" s="25" t="n"/>
      <c r="AA162" s="25" t="n"/>
      <c r="AB162" s="34" t="n"/>
      <c r="AC162" s="26" t="n"/>
      <c r="AD162" s="25" t="n"/>
      <c r="AE162" s="2" t="n"/>
      <c r="AF162" s="35">
        <f>IF(I162="","",VALUE(LEFT(I162,1)))</f>
        <v/>
      </c>
      <c r="AG162" s="35">
        <f>IF(J162="","",VALUE(LEFT(J162,1)))</f>
        <v/>
      </c>
      <c r="AH162" s="35">
        <f>IF(K162="","",VALUE(LEFT(K162,1)))</f>
        <v/>
      </c>
      <c r="AI162" s="35">
        <f>IF(LEFT(L162,2)="ja",1,0)</f>
        <v/>
      </c>
      <c r="AJ162" s="35">
        <f>IF(COUNT(AF162:AH162)&lt;3,"",FIND(INDEX(Matrix,4-AF162,AG162),"CBA"))</f>
        <v/>
      </c>
      <c r="AK162" s="35">
        <f>IF(AJ162="","",MIN(3,MAX(AJ162+IF(AND(Regel_haeufig="ja",AH162=3),1,0),IF(AND(Regel_sicherheit="ja",AI162=1),2,0))))</f>
        <v/>
      </c>
      <c r="AL162" s="35">
        <f>IF(S162&lt;&gt;"",S162,IF(R162="","",R162))</f>
        <v/>
      </c>
      <c r="AM162" s="35">
        <f>IF(AK162="","",AK162*1000+N162*10+(1000-ROW())/100000)</f>
        <v/>
      </c>
    </row>
    <row r="163" ht="45" customHeight="1">
      <c r="A163" s="22">
        <f>IF(C163="","",COUNTA($C$7:C163))</f>
        <v/>
      </c>
      <c r="B163" s="23" t="n"/>
      <c r="C163" s="24" t="n"/>
      <c r="D163" s="25" t="n"/>
      <c r="E163" s="23" t="n"/>
      <c r="F163" s="26" t="n"/>
      <c r="G163" s="25" t="n"/>
      <c r="H163" s="25" t="n"/>
      <c r="I163" s="24" t="n"/>
      <c r="J163" s="24" t="n"/>
      <c r="K163" s="24" t="n"/>
      <c r="L163" s="26" t="n"/>
      <c r="M163" s="27">
        <f>IF(AK163="","",MID("CBA",AK163,1))</f>
        <v/>
      </c>
      <c r="N163" s="22">
        <f>IF(COUNT(AF163:AH163)&lt;3,"",AF163*AG163*AH163)</f>
        <v/>
      </c>
      <c r="O163" s="28">
        <f>IF(C163="","",IF(AJ163="","Bewertung unvollständig / incomplete","Matrix "&amp;MID("CBA",AJ163,1)&amp;IF(AND(Regel_haeufig="ja",AH163=3,AJ163&lt;3)," · häufig +1","")&amp;IF(AND(Regel_sicherheit="ja",AI163=1,AJ163+IF(AND(Regel_haeufig="ja",AH163=3),1,0)&lt;2)," · Sicherheit ⇒ B","")&amp;" → "&amp;M163))</f>
        <v/>
      </c>
      <c r="P163" s="29" t="n"/>
      <c r="Q163" s="25" t="n"/>
      <c r="R163" s="22">
        <f>IF(AK163="","",INDEX(Soll_Tabelle,4-AK163,IF(AH163=3,2,1)))</f>
        <v/>
      </c>
      <c r="S163" s="26" t="n"/>
      <c r="T163" s="22">
        <f>IF(AL163="","",MAX(0,AL163-N(P163)))</f>
        <v/>
      </c>
      <c r="U163" s="30" t="n"/>
      <c r="V163" s="31">
        <f>IF(OR(T163="",U163=""),"",T163*U163)</f>
        <v/>
      </c>
      <c r="W163" s="31">
        <f>IF(COUNT(AF163:AG163)&lt;2,"",INDEX(Stillstand_h,AG163)*INDEX(Kostensatz,AF163))</f>
        <v/>
      </c>
      <c r="X163" s="32">
        <f>IF(AK163="","",IF(T163=0,"Bestand ausreichend / stock sufficient",IF(U163="","Stückpreis fehlt / price missing",IF(V163=0,"–",IF(W163/V163&gt;=Faktor_wirtschaftlich,"wirtschaftlich (Faktor "&amp;FIXED(W163/V163,1)&amp;")","nicht wirtschaftlich (Faktor "&amp;FIXED(W163/V163,1)&amp;")")))))</f>
        <v/>
      </c>
      <c r="Y163" s="33">
        <f>IF(AK163="","",IF(AK163=3,IF(T163&gt;0,IF(AG163=3,"Sofort beschaffen: Restbestand / Gebrauchtmarkt / Alternative sichern","Mindestbestand aufbauen ("&amp;T163&amp;" Stk.)"),"Bestand halten, jährlich prüfen"),IF(AK163=2,IF(T163&gt;0,"Bevorratung nach Wirtschaftlichkeit entscheiden; Quelle / Reparatur klären","Lieferzeit und Teilestatus jährlich prüfen"),"Keine Bevorratung – Beschaffung bei Bedarf")))</f>
        <v/>
      </c>
      <c r="Z163" s="25" t="n"/>
      <c r="AA163" s="25" t="n"/>
      <c r="AB163" s="34" t="n"/>
      <c r="AC163" s="26" t="n"/>
      <c r="AD163" s="25" t="n"/>
      <c r="AE163" s="2" t="n"/>
      <c r="AF163" s="35">
        <f>IF(I163="","",VALUE(LEFT(I163,1)))</f>
        <v/>
      </c>
      <c r="AG163" s="35">
        <f>IF(J163="","",VALUE(LEFT(J163,1)))</f>
        <v/>
      </c>
      <c r="AH163" s="35">
        <f>IF(K163="","",VALUE(LEFT(K163,1)))</f>
        <v/>
      </c>
      <c r="AI163" s="35">
        <f>IF(LEFT(L163,2)="ja",1,0)</f>
        <v/>
      </c>
      <c r="AJ163" s="35">
        <f>IF(COUNT(AF163:AH163)&lt;3,"",FIND(INDEX(Matrix,4-AF163,AG163),"CBA"))</f>
        <v/>
      </c>
      <c r="AK163" s="35">
        <f>IF(AJ163="","",MIN(3,MAX(AJ163+IF(AND(Regel_haeufig="ja",AH163=3),1,0),IF(AND(Regel_sicherheit="ja",AI163=1),2,0))))</f>
        <v/>
      </c>
      <c r="AL163" s="35">
        <f>IF(S163&lt;&gt;"",S163,IF(R163="","",R163))</f>
        <v/>
      </c>
      <c r="AM163" s="35">
        <f>IF(AK163="","",AK163*1000+N163*10+(1000-ROW())/100000)</f>
        <v/>
      </c>
    </row>
    <row r="164" ht="45" customHeight="1">
      <c r="A164" s="22">
        <f>IF(C164="","",COUNTA($C$7:C164))</f>
        <v/>
      </c>
      <c r="B164" s="23" t="n"/>
      <c r="C164" s="24" t="n"/>
      <c r="D164" s="25" t="n"/>
      <c r="E164" s="23" t="n"/>
      <c r="F164" s="26" t="n"/>
      <c r="G164" s="25" t="n"/>
      <c r="H164" s="25" t="n"/>
      <c r="I164" s="24" t="n"/>
      <c r="J164" s="24" t="n"/>
      <c r="K164" s="24" t="n"/>
      <c r="L164" s="26" t="n"/>
      <c r="M164" s="27">
        <f>IF(AK164="","",MID("CBA",AK164,1))</f>
        <v/>
      </c>
      <c r="N164" s="22">
        <f>IF(COUNT(AF164:AH164)&lt;3,"",AF164*AG164*AH164)</f>
        <v/>
      </c>
      <c r="O164" s="28">
        <f>IF(C164="","",IF(AJ164="","Bewertung unvollständig / incomplete","Matrix "&amp;MID("CBA",AJ164,1)&amp;IF(AND(Regel_haeufig="ja",AH164=3,AJ164&lt;3)," · häufig +1","")&amp;IF(AND(Regel_sicherheit="ja",AI164=1,AJ164+IF(AND(Regel_haeufig="ja",AH164=3),1,0)&lt;2)," · Sicherheit ⇒ B","")&amp;" → "&amp;M164))</f>
        <v/>
      </c>
      <c r="P164" s="29" t="n"/>
      <c r="Q164" s="25" t="n"/>
      <c r="R164" s="22">
        <f>IF(AK164="","",INDEX(Soll_Tabelle,4-AK164,IF(AH164=3,2,1)))</f>
        <v/>
      </c>
      <c r="S164" s="26" t="n"/>
      <c r="T164" s="22">
        <f>IF(AL164="","",MAX(0,AL164-N(P164)))</f>
        <v/>
      </c>
      <c r="U164" s="30" t="n"/>
      <c r="V164" s="31">
        <f>IF(OR(T164="",U164=""),"",T164*U164)</f>
        <v/>
      </c>
      <c r="W164" s="31">
        <f>IF(COUNT(AF164:AG164)&lt;2,"",INDEX(Stillstand_h,AG164)*INDEX(Kostensatz,AF164))</f>
        <v/>
      </c>
      <c r="X164" s="32">
        <f>IF(AK164="","",IF(T164=0,"Bestand ausreichend / stock sufficient",IF(U164="","Stückpreis fehlt / price missing",IF(V164=0,"–",IF(W164/V164&gt;=Faktor_wirtschaftlich,"wirtschaftlich (Faktor "&amp;FIXED(W164/V164,1)&amp;")","nicht wirtschaftlich (Faktor "&amp;FIXED(W164/V164,1)&amp;")")))))</f>
        <v/>
      </c>
      <c r="Y164" s="33">
        <f>IF(AK164="","",IF(AK164=3,IF(T164&gt;0,IF(AG164=3,"Sofort beschaffen: Restbestand / Gebrauchtmarkt / Alternative sichern","Mindestbestand aufbauen ("&amp;T164&amp;" Stk.)"),"Bestand halten, jährlich prüfen"),IF(AK164=2,IF(T164&gt;0,"Bevorratung nach Wirtschaftlichkeit entscheiden; Quelle / Reparatur klären","Lieferzeit und Teilestatus jährlich prüfen"),"Keine Bevorratung – Beschaffung bei Bedarf")))</f>
        <v/>
      </c>
      <c r="Z164" s="25" t="n"/>
      <c r="AA164" s="25" t="n"/>
      <c r="AB164" s="34" t="n"/>
      <c r="AC164" s="26" t="n"/>
      <c r="AD164" s="25" t="n"/>
      <c r="AE164" s="2" t="n"/>
      <c r="AF164" s="35">
        <f>IF(I164="","",VALUE(LEFT(I164,1)))</f>
        <v/>
      </c>
      <c r="AG164" s="35">
        <f>IF(J164="","",VALUE(LEFT(J164,1)))</f>
        <v/>
      </c>
      <c r="AH164" s="35">
        <f>IF(K164="","",VALUE(LEFT(K164,1)))</f>
        <v/>
      </c>
      <c r="AI164" s="35">
        <f>IF(LEFT(L164,2)="ja",1,0)</f>
        <v/>
      </c>
      <c r="AJ164" s="35">
        <f>IF(COUNT(AF164:AH164)&lt;3,"",FIND(INDEX(Matrix,4-AF164,AG164),"CBA"))</f>
        <v/>
      </c>
      <c r="AK164" s="35">
        <f>IF(AJ164="","",MIN(3,MAX(AJ164+IF(AND(Regel_haeufig="ja",AH164=3),1,0),IF(AND(Regel_sicherheit="ja",AI164=1),2,0))))</f>
        <v/>
      </c>
      <c r="AL164" s="35">
        <f>IF(S164&lt;&gt;"",S164,IF(R164="","",R164))</f>
        <v/>
      </c>
      <c r="AM164" s="35">
        <f>IF(AK164="","",AK164*1000+N164*10+(1000-ROW())/100000)</f>
        <v/>
      </c>
    </row>
    <row r="165" ht="45" customHeight="1">
      <c r="A165" s="22">
        <f>IF(C165="","",COUNTA($C$7:C165))</f>
        <v/>
      </c>
      <c r="B165" s="23" t="n"/>
      <c r="C165" s="24" t="n"/>
      <c r="D165" s="25" t="n"/>
      <c r="E165" s="23" t="n"/>
      <c r="F165" s="26" t="n"/>
      <c r="G165" s="25" t="n"/>
      <c r="H165" s="25" t="n"/>
      <c r="I165" s="24" t="n"/>
      <c r="J165" s="24" t="n"/>
      <c r="K165" s="24" t="n"/>
      <c r="L165" s="26" t="n"/>
      <c r="M165" s="27">
        <f>IF(AK165="","",MID("CBA",AK165,1))</f>
        <v/>
      </c>
      <c r="N165" s="22">
        <f>IF(COUNT(AF165:AH165)&lt;3,"",AF165*AG165*AH165)</f>
        <v/>
      </c>
      <c r="O165" s="28">
        <f>IF(C165="","",IF(AJ165="","Bewertung unvollständig / incomplete","Matrix "&amp;MID("CBA",AJ165,1)&amp;IF(AND(Regel_haeufig="ja",AH165=3,AJ165&lt;3)," · häufig +1","")&amp;IF(AND(Regel_sicherheit="ja",AI165=1,AJ165+IF(AND(Regel_haeufig="ja",AH165=3),1,0)&lt;2)," · Sicherheit ⇒ B","")&amp;" → "&amp;M165))</f>
        <v/>
      </c>
      <c r="P165" s="29" t="n"/>
      <c r="Q165" s="25" t="n"/>
      <c r="R165" s="22">
        <f>IF(AK165="","",INDEX(Soll_Tabelle,4-AK165,IF(AH165=3,2,1)))</f>
        <v/>
      </c>
      <c r="S165" s="26" t="n"/>
      <c r="T165" s="22">
        <f>IF(AL165="","",MAX(0,AL165-N(P165)))</f>
        <v/>
      </c>
      <c r="U165" s="30" t="n"/>
      <c r="V165" s="31">
        <f>IF(OR(T165="",U165=""),"",T165*U165)</f>
        <v/>
      </c>
      <c r="W165" s="31">
        <f>IF(COUNT(AF165:AG165)&lt;2,"",INDEX(Stillstand_h,AG165)*INDEX(Kostensatz,AF165))</f>
        <v/>
      </c>
      <c r="X165" s="32">
        <f>IF(AK165="","",IF(T165=0,"Bestand ausreichend / stock sufficient",IF(U165="","Stückpreis fehlt / price missing",IF(V165=0,"–",IF(W165/V165&gt;=Faktor_wirtschaftlich,"wirtschaftlich (Faktor "&amp;FIXED(W165/V165,1)&amp;")","nicht wirtschaftlich (Faktor "&amp;FIXED(W165/V165,1)&amp;")")))))</f>
        <v/>
      </c>
      <c r="Y165" s="33">
        <f>IF(AK165="","",IF(AK165=3,IF(T165&gt;0,IF(AG165=3,"Sofort beschaffen: Restbestand / Gebrauchtmarkt / Alternative sichern","Mindestbestand aufbauen ("&amp;T165&amp;" Stk.)"),"Bestand halten, jährlich prüfen"),IF(AK165=2,IF(T165&gt;0,"Bevorratung nach Wirtschaftlichkeit entscheiden; Quelle / Reparatur klären","Lieferzeit und Teilestatus jährlich prüfen"),"Keine Bevorratung – Beschaffung bei Bedarf")))</f>
        <v/>
      </c>
      <c r="Z165" s="25" t="n"/>
      <c r="AA165" s="25" t="n"/>
      <c r="AB165" s="34" t="n"/>
      <c r="AC165" s="26" t="n"/>
      <c r="AD165" s="25" t="n"/>
      <c r="AE165" s="2" t="n"/>
      <c r="AF165" s="35">
        <f>IF(I165="","",VALUE(LEFT(I165,1)))</f>
        <v/>
      </c>
      <c r="AG165" s="35">
        <f>IF(J165="","",VALUE(LEFT(J165,1)))</f>
        <v/>
      </c>
      <c r="AH165" s="35">
        <f>IF(K165="","",VALUE(LEFT(K165,1)))</f>
        <v/>
      </c>
      <c r="AI165" s="35">
        <f>IF(LEFT(L165,2)="ja",1,0)</f>
        <v/>
      </c>
      <c r="AJ165" s="35">
        <f>IF(COUNT(AF165:AH165)&lt;3,"",FIND(INDEX(Matrix,4-AF165,AG165),"CBA"))</f>
        <v/>
      </c>
      <c r="AK165" s="35">
        <f>IF(AJ165="","",MIN(3,MAX(AJ165+IF(AND(Regel_haeufig="ja",AH165=3),1,0),IF(AND(Regel_sicherheit="ja",AI165=1),2,0))))</f>
        <v/>
      </c>
      <c r="AL165" s="35">
        <f>IF(S165&lt;&gt;"",S165,IF(R165="","",R165))</f>
        <v/>
      </c>
      <c r="AM165" s="35">
        <f>IF(AK165="","",AK165*1000+N165*10+(1000-ROW())/100000)</f>
        <v/>
      </c>
    </row>
    <row r="166" ht="45" customHeight="1">
      <c r="A166" s="22">
        <f>IF(C166="","",COUNTA($C$7:C166))</f>
        <v/>
      </c>
      <c r="B166" s="23" t="n"/>
      <c r="C166" s="24" t="n"/>
      <c r="D166" s="25" t="n"/>
      <c r="E166" s="23" t="n"/>
      <c r="F166" s="26" t="n"/>
      <c r="G166" s="25" t="n"/>
      <c r="H166" s="25" t="n"/>
      <c r="I166" s="24" t="n"/>
      <c r="J166" s="24" t="n"/>
      <c r="K166" s="24" t="n"/>
      <c r="L166" s="26" t="n"/>
      <c r="M166" s="27">
        <f>IF(AK166="","",MID("CBA",AK166,1))</f>
        <v/>
      </c>
      <c r="N166" s="22">
        <f>IF(COUNT(AF166:AH166)&lt;3,"",AF166*AG166*AH166)</f>
        <v/>
      </c>
      <c r="O166" s="28">
        <f>IF(C166="","",IF(AJ166="","Bewertung unvollständig / incomplete","Matrix "&amp;MID("CBA",AJ166,1)&amp;IF(AND(Regel_haeufig="ja",AH166=3,AJ166&lt;3)," · häufig +1","")&amp;IF(AND(Regel_sicherheit="ja",AI166=1,AJ166+IF(AND(Regel_haeufig="ja",AH166=3),1,0)&lt;2)," · Sicherheit ⇒ B","")&amp;" → "&amp;M166))</f>
        <v/>
      </c>
      <c r="P166" s="29" t="n"/>
      <c r="Q166" s="25" t="n"/>
      <c r="R166" s="22">
        <f>IF(AK166="","",INDEX(Soll_Tabelle,4-AK166,IF(AH166=3,2,1)))</f>
        <v/>
      </c>
      <c r="S166" s="26" t="n"/>
      <c r="T166" s="22">
        <f>IF(AL166="","",MAX(0,AL166-N(P166)))</f>
        <v/>
      </c>
      <c r="U166" s="30" t="n"/>
      <c r="V166" s="31">
        <f>IF(OR(T166="",U166=""),"",T166*U166)</f>
        <v/>
      </c>
      <c r="W166" s="31">
        <f>IF(COUNT(AF166:AG166)&lt;2,"",INDEX(Stillstand_h,AG166)*INDEX(Kostensatz,AF166))</f>
        <v/>
      </c>
      <c r="X166" s="32">
        <f>IF(AK166="","",IF(T166=0,"Bestand ausreichend / stock sufficient",IF(U166="","Stückpreis fehlt / price missing",IF(V166=0,"–",IF(W166/V166&gt;=Faktor_wirtschaftlich,"wirtschaftlich (Faktor "&amp;FIXED(W166/V166,1)&amp;")","nicht wirtschaftlich (Faktor "&amp;FIXED(W166/V166,1)&amp;")")))))</f>
        <v/>
      </c>
      <c r="Y166" s="33">
        <f>IF(AK166="","",IF(AK166=3,IF(T166&gt;0,IF(AG166=3,"Sofort beschaffen: Restbestand / Gebrauchtmarkt / Alternative sichern","Mindestbestand aufbauen ("&amp;T166&amp;" Stk.)"),"Bestand halten, jährlich prüfen"),IF(AK166=2,IF(T166&gt;0,"Bevorratung nach Wirtschaftlichkeit entscheiden; Quelle / Reparatur klären","Lieferzeit und Teilestatus jährlich prüfen"),"Keine Bevorratung – Beschaffung bei Bedarf")))</f>
        <v/>
      </c>
      <c r="Z166" s="25" t="n"/>
      <c r="AA166" s="25" t="n"/>
      <c r="AB166" s="34" t="n"/>
      <c r="AC166" s="26" t="n"/>
      <c r="AD166" s="25" t="n"/>
      <c r="AE166" s="2" t="n"/>
      <c r="AF166" s="35">
        <f>IF(I166="","",VALUE(LEFT(I166,1)))</f>
        <v/>
      </c>
      <c r="AG166" s="35">
        <f>IF(J166="","",VALUE(LEFT(J166,1)))</f>
        <v/>
      </c>
      <c r="AH166" s="35">
        <f>IF(K166="","",VALUE(LEFT(K166,1)))</f>
        <v/>
      </c>
      <c r="AI166" s="35">
        <f>IF(LEFT(L166,2)="ja",1,0)</f>
        <v/>
      </c>
      <c r="AJ166" s="35">
        <f>IF(COUNT(AF166:AH166)&lt;3,"",FIND(INDEX(Matrix,4-AF166,AG166),"CBA"))</f>
        <v/>
      </c>
      <c r="AK166" s="35">
        <f>IF(AJ166="","",MIN(3,MAX(AJ166+IF(AND(Regel_haeufig="ja",AH166=3),1,0),IF(AND(Regel_sicherheit="ja",AI166=1),2,0))))</f>
        <v/>
      </c>
      <c r="AL166" s="35">
        <f>IF(S166&lt;&gt;"",S166,IF(R166="","",R166))</f>
        <v/>
      </c>
      <c r="AM166" s="35">
        <f>IF(AK166="","",AK166*1000+N166*10+(1000-ROW())/100000)</f>
        <v/>
      </c>
    </row>
    <row r="167" ht="45" customHeight="1">
      <c r="A167" s="22">
        <f>IF(C167="","",COUNTA($C$7:C167))</f>
        <v/>
      </c>
      <c r="B167" s="23" t="n"/>
      <c r="C167" s="24" t="n"/>
      <c r="D167" s="25" t="n"/>
      <c r="E167" s="23" t="n"/>
      <c r="F167" s="26" t="n"/>
      <c r="G167" s="25" t="n"/>
      <c r="H167" s="25" t="n"/>
      <c r="I167" s="24" t="n"/>
      <c r="J167" s="24" t="n"/>
      <c r="K167" s="24" t="n"/>
      <c r="L167" s="26" t="n"/>
      <c r="M167" s="27">
        <f>IF(AK167="","",MID("CBA",AK167,1))</f>
        <v/>
      </c>
      <c r="N167" s="22">
        <f>IF(COUNT(AF167:AH167)&lt;3,"",AF167*AG167*AH167)</f>
        <v/>
      </c>
      <c r="O167" s="28">
        <f>IF(C167="","",IF(AJ167="","Bewertung unvollständig / incomplete","Matrix "&amp;MID("CBA",AJ167,1)&amp;IF(AND(Regel_haeufig="ja",AH167=3,AJ167&lt;3)," · häufig +1","")&amp;IF(AND(Regel_sicherheit="ja",AI167=1,AJ167+IF(AND(Regel_haeufig="ja",AH167=3),1,0)&lt;2)," · Sicherheit ⇒ B","")&amp;" → "&amp;M167))</f>
        <v/>
      </c>
      <c r="P167" s="29" t="n"/>
      <c r="Q167" s="25" t="n"/>
      <c r="R167" s="22">
        <f>IF(AK167="","",INDEX(Soll_Tabelle,4-AK167,IF(AH167=3,2,1)))</f>
        <v/>
      </c>
      <c r="S167" s="26" t="n"/>
      <c r="T167" s="22">
        <f>IF(AL167="","",MAX(0,AL167-N(P167)))</f>
        <v/>
      </c>
      <c r="U167" s="30" t="n"/>
      <c r="V167" s="31">
        <f>IF(OR(T167="",U167=""),"",T167*U167)</f>
        <v/>
      </c>
      <c r="W167" s="31">
        <f>IF(COUNT(AF167:AG167)&lt;2,"",INDEX(Stillstand_h,AG167)*INDEX(Kostensatz,AF167))</f>
        <v/>
      </c>
      <c r="X167" s="32">
        <f>IF(AK167="","",IF(T167=0,"Bestand ausreichend / stock sufficient",IF(U167="","Stückpreis fehlt / price missing",IF(V167=0,"–",IF(W167/V167&gt;=Faktor_wirtschaftlich,"wirtschaftlich (Faktor "&amp;FIXED(W167/V167,1)&amp;")","nicht wirtschaftlich (Faktor "&amp;FIXED(W167/V167,1)&amp;")")))))</f>
        <v/>
      </c>
      <c r="Y167" s="33">
        <f>IF(AK167="","",IF(AK167=3,IF(T167&gt;0,IF(AG167=3,"Sofort beschaffen: Restbestand / Gebrauchtmarkt / Alternative sichern","Mindestbestand aufbauen ("&amp;T167&amp;" Stk.)"),"Bestand halten, jährlich prüfen"),IF(AK167=2,IF(T167&gt;0,"Bevorratung nach Wirtschaftlichkeit entscheiden; Quelle / Reparatur klären","Lieferzeit und Teilestatus jährlich prüfen"),"Keine Bevorratung – Beschaffung bei Bedarf")))</f>
        <v/>
      </c>
      <c r="Z167" s="25" t="n"/>
      <c r="AA167" s="25" t="n"/>
      <c r="AB167" s="34" t="n"/>
      <c r="AC167" s="26" t="n"/>
      <c r="AD167" s="25" t="n"/>
      <c r="AE167" s="2" t="n"/>
      <c r="AF167" s="35">
        <f>IF(I167="","",VALUE(LEFT(I167,1)))</f>
        <v/>
      </c>
      <c r="AG167" s="35">
        <f>IF(J167="","",VALUE(LEFT(J167,1)))</f>
        <v/>
      </c>
      <c r="AH167" s="35">
        <f>IF(K167="","",VALUE(LEFT(K167,1)))</f>
        <v/>
      </c>
      <c r="AI167" s="35">
        <f>IF(LEFT(L167,2)="ja",1,0)</f>
        <v/>
      </c>
      <c r="AJ167" s="35">
        <f>IF(COUNT(AF167:AH167)&lt;3,"",FIND(INDEX(Matrix,4-AF167,AG167),"CBA"))</f>
        <v/>
      </c>
      <c r="AK167" s="35">
        <f>IF(AJ167="","",MIN(3,MAX(AJ167+IF(AND(Regel_haeufig="ja",AH167=3),1,0),IF(AND(Regel_sicherheit="ja",AI167=1),2,0))))</f>
        <v/>
      </c>
      <c r="AL167" s="35">
        <f>IF(S167&lt;&gt;"",S167,IF(R167="","",R167))</f>
        <v/>
      </c>
      <c r="AM167" s="35">
        <f>IF(AK167="","",AK167*1000+N167*10+(1000-ROW())/100000)</f>
        <v/>
      </c>
    </row>
    <row r="168" ht="45" customHeight="1">
      <c r="A168" s="22">
        <f>IF(C168="","",COUNTA($C$7:C168))</f>
        <v/>
      </c>
      <c r="B168" s="23" t="n"/>
      <c r="C168" s="24" t="n"/>
      <c r="D168" s="25" t="n"/>
      <c r="E168" s="23" t="n"/>
      <c r="F168" s="26" t="n"/>
      <c r="G168" s="25" t="n"/>
      <c r="H168" s="25" t="n"/>
      <c r="I168" s="24" t="n"/>
      <c r="J168" s="24" t="n"/>
      <c r="K168" s="24" t="n"/>
      <c r="L168" s="26" t="n"/>
      <c r="M168" s="27">
        <f>IF(AK168="","",MID("CBA",AK168,1))</f>
        <v/>
      </c>
      <c r="N168" s="22">
        <f>IF(COUNT(AF168:AH168)&lt;3,"",AF168*AG168*AH168)</f>
        <v/>
      </c>
      <c r="O168" s="28">
        <f>IF(C168="","",IF(AJ168="","Bewertung unvollständig / incomplete","Matrix "&amp;MID("CBA",AJ168,1)&amp;IF(AND(Regel_haeufig="ja",AH168=3,AJ168&lt;3)," · häufig +1","")&amp;IF(AND(Regel_sicherheit="ja",AI168=1,AJ168+IF(AND(Regel_haeufig="ja",AH168=3),1,0)&lt;2)," · Sicherheit ⇒ B","")&amp;" → "&amp;M168))</f>
        <v/>
      </c>
      <c r="P168" s="29" t="n"/>
      <c r="Q168" s="25" t="n"/>
      <c r="R168" s="22">
        <f>IF(AK168="","",INDEX(Soll_Tabelle,4-AK168,IF(AH168=3,2,1)))</f>
        <v/>
      </c>
      <c r="S168" s="26" t="n"/>
      <c r="T168" s="22">
        <f>IF(AL168="","",MAX(0,AL168-N(P168)))</f>
        <v/>
      </c>
      <c r="U168" s="30" t="n"/>
      <c r="V168" s="31">
        <f>IF(OR(T168="",U168=""),"",T168*U168)</f>
        <v/>
      </c>
      <c r="W168" s="31">
        <f>IF(COUNT(AF168:AG168)&lt;2,"",INDEX(Stillstand_h,AG168)*INDEX(Kostensatz,AF168))</f>
        <v/>
      </c>
      <c r="X168" s="32">
        <f>IF(AK168="","",IF(T168=0,"Bestand ausreichend / stock sufficient",IF(U168="","Stückpreis fehlt / price missing",IF(V168=0,"–",IF(W168/V168&gt;=Faktor_wirtschaftlich,"wirtschaftlich (Faktor "&amp;FIXED(W168/V168,1)&amp;")","nicht wirtschaftlich (Faktor "&amp;FIXED(W168/V168,1)&amp;")")))))</f>
        <v/>
      </c>
      <c r="Y168" s="33">
        <f>IF(AK168="","",IF(AK168=3,IF(T168&gt;0,IF(AG168=3,"Sofort beschaffen: Restbestand / Gebrauchtmarkt / Alternative sichern","Mindestbestand aufbauen ("&amp;T168&amp;" Stk.)"),"Bestand halten, jährlich prüfen"),IF(AK168=2,IF(T168&gt;0,"Bevorratung nach Wirtschaftlichkeit entscheiden; Quelle / Reparatur klären","Lieferzeit und Teilestatus jährlich prüfen"),"Keine Bevorratung – Beschaffung bei Bedarf")))</f>
        <v/>
      </c>
      <c r="Z168" s="25" t="n"/>
      <c r="AA168" s="25" t="n"/>
      <c r="AB168" s="34" t="n"/>
      <c r="AC168" s="26" t="n"/>
      <c r="AD168" s="25" t="n"/>
      <c r="AE168" s="2" t="n"/>
      <c r="AF168" s="35">
        <f>IF(I168="","",VALUE(LEFT(I168,1)))</f>
        <v/>
      </c>
      <c r="AG168" s="35">
        <f>IF(J168="","",VALUE(LEFT(J168,1)))</f>
        <v/>
      </c>
      <c r="AH168" s="35">
        <f>IF(K168="","",VALUE(LEFT(K168,1)))</f>
        <v/>
      </c>
      <c r="AI168" s="35">
        <f>IF(LEFT(L168,2)="ja",1,0)</f>
        <v/>
      </c>
      <c r="AJ168" s="35">
        <f>IF(COUNT(AF168:AH168)&lt;3,"",FIND(INDEX(Matrix,4-AF168,AG168),"CBA"))</f>
        <v/>
      </c>
      <c r="AK168" s="35">
        <f>IF(AJ168="","",MIN(3,MAX(AJ168+IF(AND(Regel_haeufig="ja",AH168=3),1,0),IF(AND(Regel_sicherheit="ja",AI168=1),2,0))))</f>
        <v/>
      </c>
      <c r="AL168" s="35">
        <f>IF(S168&lt;&gt;"",S168,IF(R168="","",R168))</f>
        <v/>
      </c>
      <c r="AM168" s="35">
        <f>IF(AK168="","",AK168*1000+N168*10+(1000-ROW())/100000)</f>
        <v/>
      </c>
    </row>
    <row r="169" ht="45" customHeight="1">
      <c r="A169" s="22">
        <f>IF(C169="","",COUNTA($C$7:C169))</f>
        <v/>
      </c>
      <c r="B169" s="23" t="n"/>
      <c r="C169" s="24" t="n"/>
      <c r="D169" s="25" t="n"/>
      <c r="E169" s="23" t="n"/>
      <c r="F169" s="26" t="n"/>
      <c r="G169" s="25" t="n"/>
      <c r="H169" s="25" t="n"/>
      <c r="I169" s="24" t="n"/>
      <c r="J169" s="24" t="n"/>
      <c r="K169" s="24" t="n"/>
      <c r="L169" s="26" t="n"/>
      <c r="M169" s="27">
        <f>IF(AK169="","",MID("CBA",AK169,1))</f>
        <v/>
      </c>
      <c r="N169" s="22">
        <f>IF(COUNT(AF169:AH169)&lt;3,"",AF169*AG169*AH169)</f>
        <v/>
      </c>
      <c r="O169" s="28">
        <f>IF(C169="","",IF(AJ169="","Bewertung unvollständig / incomplete","Matrix "&amp;MID("CBA",AJ169,1)&amp;IF(AND(Regel_haeufig="ja",AH169=3,AJ169&lt;3)," · häufig +1","")&amp;IF(AND(Regel_sicherheit="ja",AI169=1,AJ169+IF(AND(Regel_haeufig="ja",AH169=3),1,0)&lt;2)," · Sicherheit ⇒ B","")&amp;" → "&amp;M169))</f>
        <v/>
      </c>
      <c r="P169" s="29" t="n"/>
      <c r="Q169" s="25" t="n"/>
      <c r="R169" s="22">
        <f>IF(AK169="","",INDEX(Soll_Tabelle,4-AK169,IF(AH169=3,2,1)))</f>
        <v/>
      </c>
      <c r="S169" s="26" t="n"/>
      <c r="T169" s="22">
        <f>IF(AL169="","",MAX(0,AL169-N(P169)))</f>
        <v/>
      </c>
      <c r="U169" s="30" t="n"/>
      <c r="V169" s="31">
        <f>IF(OR(T169="",U169=""),"",T169*U169)</f>
        <v/>
      </c>
      <c r="W169" s="31">
        <f>IF(COUNT(AF169:AG169)&lt;2,"",INDEX(Stillstand_h,AG169)*INDEX(Kostensatz,AF169))</f>
        <v/>
      </c>
      <c r="X169" s="32">
        <f>IF(AK169="","",IF(T169=0,"Bestand ausreichend / stock sufficient",IF(U169="","Stückpreis fehlt / price missing",IF(V169=0,"–",IF(W169/V169&gt;=Faktor_wirtschaftlich,"wirtschaftlich (Faktor "&amp;FIXED(W169/V169,1)&amp;")","nicht wirtschaftlich (Faktor "&amp;FIXED(W169/V169,1)&amp;")")))))</f>
        <v/>
      </c>
      <c r="Y169" s="33">
        <f>IF(AK169="","",IF(AK169=3,IF(T169&gt;0,IF(AG169=3,"Sofort beschaffen: Restbestand / Gebrauchtmarkt / Alternative sichern","Mindestbestand aufbauen ("&amp;T169&amp;" Stk.)"),"Bestand halten, jährlich prüfen"),IF(AK169=2,IF(T169&gt;0,"Bevorratung nach Wirtschaftlichkeit entscheiden; Quelle / Reparatur klären","Lieferzeit und Teilestatus jährlich prüfen"),"Keine Bevorratung – Beschaffung bei Bedarf")))</f>
        <v/>
      </c>
      <c r="Z169" s="25" t="n"/>
      <c r="AA169" s="25" t="n"/>
      <c r="AB169" s="34" t="n"/>
      <c r="AC169" s="26" t="n"/>
      <c r="AD169" s="25" t="n"/>
      <c r="AE169" s="2" t="n"/>
      <c r="AF169" s="35">
        <f>IF(I169="","",VALUE(LEFT(I169,1)))</f>
        <v/>
      </c>
      <c r="AG169" s="35">
        <f>IF(J169="","",VALUE(LEFT(J169,1)))</f>
        <v/>
      </c>
      <c r="AH169" s="35">
        <f>IF(K169="","",VALUE(LEFT(K169,1)))</f>
        <v/>
      </c>
      <c r="AI169" s="35">
        <f>IF(LEFT(L169,2)="ja",1,0)</f>
        <v/>
      </c>
      <c r="AJ169" s="35">
        <f>IF(COUNT(AF169:AH169)&lt;3,"",FIND(INDEX(Matrix,4-AF169,AG169),"CBA"))</f>
        <v/>
      </c>
      <c r="AK169" s="35">
        <f>IF(AJ169="","",MIN(3,MAX(AJ169+IF(AND(Regel_haeufig="ja",AH169=3),1,0),IF(AND(Regel_sicherheit="ja",AI169=1),2,0))))</f>
        <v/>
      </c>
      <c r="AL169" s="35">
        <f>IF(S169&lt;&gt;"",S169,IF(R169="","",R169))</f>
        <v/>
      </c>
      <c r="AM169" s="35">
        <f>IF(AK169="","",AK169*1000+N169*10+(1000-ROW())/100000)</f>
        <v/>
      </c>
    </row>
    <row r="170" ht="45" customHeight="1">
      <c r="A170" s="22">
        <f>IF(C170="","",COUNTA($C$7:C170))</f>
        <v/>
      </c>
      <c r="B170" s="23" t="n"/>
      <c r="C170" s="24" t="n"/>
      <c r="D170" s="25" t="n"/>
      <c r="E170" s="23" t="n"/>
      <c r="F170" s="26" t="n"/>
      <c r="G170" s="25" t="n"/>
      <c r="H170" s="25" t="n"/>
      <c r="I170" s="24" t="n"/>
      <c r="J170" s="24" t="n"/>
      <c r="K170" s="24" t="n"/>
      <c r="L170" s="26" t="n"/>
      <c r="M170" s="27">
        <f>IF(AK170="","",MID("CBA",AK170,1))</f>
        <v/>
      </c>
      <c r="N170" s="22">
        <f>IF(COUNT(AF170:AH170)&lt;3,"",AF170*AG170*AH170)</f>
        <v/>
      </c>
      <c r="O170" s="28">
        <f>IF(C170="","",IF(AJ170="","Bewertung unvollständig / incomplete","Matrix "&amp;MID("CBA",AJ170,1)&amp;IF(AND(Regel_haeufig="ja",AH170=3,AJ170&lt;3)," · häufig +1","")&amp;IF(AND(Regel_sicherheit="ja",AI170=1,AJ170+IF(AND(Regel_haeufig="ja",AH170=3),1,0)&lt;2)," · Sicherheit ⇒ B","")&amp;" → "&amp;M170))</f>
        <v/>
      </c>
      <c r="P170" s="29" t="n"/>
      <c r="Q170" s="25" t="n"/>
      <c r="R170" s="22">
        <f>IF(AK170="","",INDEX(Soll_Tabelle,4-AK170,IF(AH170=3,2,1)))</f>
        <v/>
      </c>
      <c r="S170" s="26" t="n"/>
      <c r="T170" s="22">
        <f>IF(AL170="","",MAX(0,AL170-N(P170)))</f>
        <v/>
      </c>
      <c r="U170" s="30" t="n"/>
      <c r="V170" s="31">
        <f>IF(OR(T170="",U170=""),"",T170*U170)</f>
        <v/>
      </c>
      <c r="W170" s="31">
        <f>IF(COUNT(AF170:AG170)&lt;2,"",INDEX(Stillstand_h,AG170)*INDEX(Kostensatz,AF170))</f>
        <v/>
      </c>
      <c r="X170" s="32">
        <f>IF(AK170="","",IF(T170=0,"Bestand ausreichend / stock sufficient",IF(U170="","Stückpreis fehlt / price missing",IF(V170=0,"–",IF(W170/V170&gt;=Faktor_wirtschaftlich,"wirtschaftlich (Faktor "&amp;FIXED(W170/V170,1)&amp;")","nicht wirtschaftlich (Faktor "&amp;FIXED(W170/V170,1)&amp;")")))))</f>
        <v/>
      </c>
      <c r="Y170" s="33">
        <f>IF(AK170="","",IF(AK170=3,IF(T170&gt;0,IF(AG170=3,"Sofort beschaffen: Restbestand / Gebrauchtmarkt / Alternative sichern","Mindestbestand aufbauen ("&amp;T170&amp;" Stk.)"),"Bestand halten, jährlich prüfen"),IF(AK170=2,IF(T170&gt;0,"Bevorratung nach Wirtschaftlichkeit entscheiden; Quelle / Reparatur klären","Lieferzeit und Teilestatus jährlich prüfen"),"Keine Bevorratung – Beschaffung bei Bedarf")))</f>
        <v/>
      </c>
      <c r="Z170" s="25" t="n"/>
      <c r="AA170" s="25" t="n"/>
      <c r="AB170" s="34" t="n"/>
      <c r="AC170" s="26" t="n"/>
      <c r="AD170" s="25" t="n"/>
      <c r="AE170" s="2" t="n"/>
      <c r="AF170" s="35">
        <f>IF(I170="","",VALUE(LEFT(I170,1)))</f>
        <v/>
      </c>
      <c r="AG170" s="35">
        <f>IF(J170="","",VALUE(LEFT(J170,1)))</f>
        <v/>
      </c>
      <c r="AH170" s="35">
        <f>IF(K170="","",VALUE(LEFT(K170,1)))</f>
        <v/>
      </c>
      <c r="AI170" s="35">
        <f>IF(LEFT(L170,2)="ja",1,0)</f>
        <v/>
      </c>
      <c r="AJ170" s="35">
        <f>IF(COUNT(AF170:AH170)&lt;3,"",FIND(INDEX(Matrix,4-AF170,AG170),"CBA"))</f>
        <v/>
      </c>
      <c r="AK170" s="35">
        <f>IF(AJ170="","",MIN(3,MAX(AJ170+IF(AND(Regel_haeufig="ja",AH170=3),1,0),IF(AND(Regel_sicherheit="ja",AI170=1),2,0))))</f>
        <v/>
      </c>
      <c r="AL170" s="35">
        <f>IF(S170&lt;&gt;"",S170,IF(R170="","",R170))</f>
        <v/>
      </c>
      <c r="AM170" s="35">
        <f>IF(AK170="","",AK170*1000+N170*10+(1000-ROW())/100000)</f>
        <v/>
      </c>
    </row>
    <row r="171" ht="45" customHeight="1">
      <c r="A171" s="22">
        <f>IF(C171="","",COUNTA($C$7:C171))</f>
        <v/>
      </c>
      <c r="B171" s="23" t="n"/>
      <c r="C171" s="24" t="n"/>
      <c r="D171" s="25" t="n"/>
      <c r="E171" s="23" t="n"/>
      <c r="F171" s="26" t="n"/>
      <c r="G171" s="25" t="n"/>
      <c r="H171" s="25" t="n"/>
      <c r="I171" s="24" t="n"/>
      <c r="J171" s="24" t="n"/>
      <c r="K171" s="24" t="n"/>
      <c r="L171" s="26" t="n"/>
      <c r="M171" s="27">
        <f>IF(AK171="","",MID("CBA",AK171,1))</f>
        <v/>
      </c>
      <c r="N171" s="22">
        <f>IF(COUNT(AF171:AH171)&lt;3,"",AF171*AG171*AH171)</f>
        <v/>
      </c>
      <c r="O171" s="28">
        <f>IF(C171="","",IF(AJ171="","Bewertung unvollständig / incomplete","Matrix "&amp;MID("CBA",AJ171,1)&amp;IF(AND(Regel_haeufig="ja",AH171=3,AJ171&lt;3)," · häufig +1","")&amp;IF(AND(Regel_sicherheit="ja",AI171=1,AJ171+IF(AND(Regel_haeufig="ja",AH171=3),1,0)&lt;2)," · Sicherheit ⇒ B","")&amp;" → "&amp;M171))</f>
        <v/>
      </c>
      <c r="P171" s="29" t="n"/>
      <c r="Q171" s="25" t="n"/>
      <c r="R171" s="22">
        <f>IF(AK171="","",INDEX(Soll_Tabelle,4-AK171,IF(AH171=3,2,1)))</f>
        <v/>
      </c>
      <c r="S171" s="26" t="n"/>
      <c r="T171" s="22">
        <f>IF(AL171="","",MAX(0,AL171-N(P171)))</f>
        <v/>
      </c>
      <c r="U171" s="30" t="n"/>
      <c r="V171" s="31">
        <f>IF(OR(T171="",U171=""),"",T171*U171)</f>
        <v/>
      </c>
      <c r="W171" s="31">
        <f>IF(COUNT(AF171:AG171)&lt;2,"",INDEX(Stillstand_h,AG171)*INDEX(Kostensatz,AF171))</f>
        <v/>
      </c>
      <c r="X171" s="32">
        <f>IF(AK171="","",IF(T171=0,"Bestand ausreichend / stock sufficient",IF(U171="","Stückpreis fehlt / price missing",IF(V171=0,"–",IF(W171/V171&gt;=Faktor_wirtschaftlich,"wirtschaftlich (Faktor "&amp;FIXED(W171/V171,1)&amp;")","nicht wirtschaftlich (Faktor "&amp;FIXED(W171/V171,1)&amp;")")))))</f>
        <v/>
      </c>
      <c r="Y171" s="33">
        <f>IF(AK171="","",IF(AK171=3,IF(T171&gt;0,IF(AG171=3,"Sofort beschaffen: Restbestand / Gebrauchtmarkt / Alternative sichern","Mindestbestand aufbauen ("&amp;T171&amp;" Stk.)"),"Bestand halten, jährlich prüfen"),IF(AK171=2,IF(T171&gt;0,"Bevorratung nach Wirtschaftlichkeit entscheiden; Quelle / Reparatur klären","Lieferzeit und Teilestatus jährlich prüfen"),"Keine Bevorratung – Beschaffung bei Bedarf")))</f>
        <v/>
      </c>
      <c r="Z171" s="25" t="n"/>
      <c r="AA171" s="25" t="n"/>
      <c r="AB171" s="34" t="n"/>
      <c r="AC171" s="26" t="n"/>
      <c r="AD171" s="25" t="n"/>
      <c r="AE171" s="2" t="n"/>
      <c r="AF171" s="35">
        <f>IF(I171="","",VALUE(LEFT(I171,1)))</f>
        <v/>
      </c>
      <c r="AG171" s="35">
        <f>IF(J171="","",VALUE(LEFT(J171,1)))</f>
        <v/>
      </c>
      <c r="AH171" s="35">
        <f>IF(K171="","",VALUE(LEFT(K171,1)))</f>
        <v/>
      </c>
      <c r="AI171" s="35">
        <f>IF(LEFT(L171,2)="ja",1,0)</f>
        <v/>
      </c>
      <c r="AJ171" s="35">
        <f>IF(COUNT(AF171:AH171)&lt;3,"",FIND(INDEX(Matrix,4-AF171,AG171),"CBA"))</f>
        <v/>
      </c>
      <c r="AK171" s="35">
        <f>IF(AJ171="","",MIN(3,MAX(AJ171+IF(AND(Regel_haeufig="ja",AH171=3),1,0),IF(AND(Regel_sicherheit="ja",AI171=1),2,0))))</f>
        <v/>
      </c>
      <c r="AL171" s="35">
        <f>IF(S171&lt;&gt;"",S171,IF(R171="","",R171))</f>
        <v/>
      </c>
      <c r="AM171" s="35">
        <f>IF(AK171="","",AK171*1000+N171*10+(1000-ROW())/100000)</f>
        <v/>
      </c>
    </row>
    <row r="172" ht="45" customHeight="1">
      <c r="A172" s="22">
        <f>IF(C172="","",COUNTA($C$7:C172))</f>
        <v/>
      </c>
      <c r="B172" s="23" t="n"/>
      <c r="C172" s="24" t="n"/>
      <c r="D172" s="25" t="n"/>
      <c r="E172" s="23" t="n"/>
      <c r="F172" s="26" t="n"/>
      <c r="G172" s="25" t="n"/>
      <c r="H172" s="25" t="n"/>
      <c r="I172" s="24" t="n"/>
      <c r="J172" s="24" t="n"/>
      <c r="K172" s="24" t="n"/>
      <c r="L172" s="26" t="n"/>
      <c r="M172" s="27">
        <f>IF(AK172="","",MID("CBA",AK172,1))</f>
        <v/>
      </c>
      <c r="N172" s="22">
        <f>IF(COUNT(AF172:AH172)&lt;3,"",AF172*AG172*AH172)</f>
        <v/>
      </c>
      <c r="O172" s="28">
        <f>IF(C172="","",IF(AJ172="","Bewertung unvollständig / incomplete","Matrix "&amp;MID("CBA",AJ172,1)&amp;IF(AND(Regel_haeufig="ja",AH172=3,AJ172&lt;3)," · häufig +1","")&amp;IF(AND(Regel_sicherheit="ja",AI172=1,AJ172+IF(AND(Regel_haeufig="ja",AH172=3),1,0)&lt;2)," · Sicherheit ⇒ B","")&amp;" → "&amp;M172))</f>
        <v/>
      </c>
      <c r="P172" s="29" t="n"/>
      <c r="Q172" s="25" t="n"/>
      <c r="R172" s="22">
        <f>IF(AK172="","",INDEX(Soll_Tabelle,4-AK172,IF(AH172=3,2,1)))</f>
        <v/>
      </c>
      <c r="S172" s="26" t="n"/>
      <c r="T172" s="22">
        <f>IF(AL172="","",MAX(0,AL172-N(P172)))</f>
        <v/>
      </c>
      <c r="U172" s="30" t="n"/>
      <c r="V172" s="31">
        <f>IF(OR(T172="",U172=""),"",T172*U172)</f>
        <v/>
      </c>
      <c r="W172" s="31">
        <f>IF(COUNT(AF172:AG172)&lt;2,"",INDEX(Stillstand_h,AG172)*INDEX(Kostensatz,AF172))</f>
        <v/>
      </c>
      <c r="X172" s="32">
        <f>IF(AK172="","",IF(T172=0,"Bestand ausreichend / stock sufficient",IF(U172="","Stückpreis fehlt / price missing",IF(V172=0,"–",IF(W172/V172&gt;=Faktor_wirtschaftlich,"wirtschaftlich (Faktor "&amp;FIXED(W172/V172,1)&amp;")","nicht wirtschaftlich (Faktor "&amp;FIXED(W172/V172,1)&amp;")")))))</f>
        <v/>
      </c>
      <c r="Y172" s="33">
        <f>IF(AK172="","",IF(AK172=3,IF(T172&gt;0,IF(AG172=3,"Sofort beschaffen: Restbestand / Gebrauchtmarkt / Alternative sichern","Mindestbestand aufbauen ("&amp;T172&amp;" Stk.)"),"Bestand halten, jährlich prüfen"),IF(AK172=2,IF(T172&gt;0,"Bevorratung nach Wirtschaftlichkeit entscheiden; Quelle / Reparatur klären","Lieferzeit und Teilestatus jährlich prüfen"),"Keine Bevorratung – Beschaffung bei Bedarf")))</f>
        <v/>
      </c>
      <c r="Z172" s="25" t="n"/>
      <c r="AA172" s="25" t="n"/>
      <c r="AB172" s="34" t="n"/>
      <c r="AC172" s="26" t="n"/>
      <c r="AD172" s="25" t="n"/>
      <c r="AE172" s="2" t="n"/>
      <c r="AF172" s="35">
        <f>IF(I172="","",VALUE(LEFT(I172,1)))</f>
        <v/>
      </c>
      <c r="AG172" s="35">
        <f>IF(J172="","",VALUE(LEFT(J172,1)))</f>
        <v/>
      </c>
      <c r="AH172" s="35">
        <f>IF(K172="","",VALUE(LEFT(K172,1)))</f>
        <v/>
      </c>
      <c r="AI172" s="35">
        <f>IF(LEFT(L172,2)="ja",1,0)</f>
        <v/>
      </c>
      <c r="AJ172" s="35">
        <f>IF(COUNT(AF172:AH172)&lt;3,"",FIND(INDEX(Matrix,4-AF172,AG172),"CBA"))</f>
        <v/>
      </c>
      <c r="AK172" s="35">
        <f>IF(AJ172="","",MIN(3,MAX(AJ172+IF(AND(Regel_haeufig="ja",AH172=3),1,0),IF(AND(Regel_sicherheit="ja",AI172=1),2,0))))</f>
        <v/>
      </c>
      <c r="AL172" s="35">
        <f>IF(S172&lt;&gt;"",S172,IF(R172="","",R172))</f>
        <v/>
      </c>
      <c r="AM172" s="35">
        <f>IF(AK172="","",AK172*1000+N172*10+(1000-ROW())/100000)</f>
        <v/>
      </c>
    </row>
    <row r="173" ht="45" customHeight="1">
      <c r="A173" s="22">
        <f>IF(C173="","",COUNTA($C$7:C173))</f>
        <v/>
      </c>
      <c r="B173" s="23" t="n"/>
      <c r="C173" s="24" t="n"/>
      <c r="D173" s="25" t="n"/>
      <c r="E173" s="23" t="n"/>
      <c r="F173" s="26" t="n"/>
      <c r="G173" s="25" t="n"/>
      <c r="H173" s="25" t="n"/>
      <c r="I173" s="24" t="n"/>
      <c r="J173" s="24" t="n"/>
      <c r="K173" s="24" t="n"/>
      <c r="L173" s="26" t="n"/>
      <c r="M173" s="27">
        <f>IF(AK173="","",MID("CBA",AK173,1))</f>
        <v/>
      </c>
      <c r="N173" s="22">
        <f>IF(COUNT(AF173:AH173)&lt;3,"",AF173*AG173*AH173)</f>
        <v/>
      </c>
      <c r="O173" s="28">
        <f>IF(C173="","",IF(AJ173="","Bewertung unvollständig / incomplete","Matrix "&amp;MID("CBA",AJ173,1)&amp;IF(AND(Regel_haeufig="ja",AH173=3,AJ173&lt;3)," · häufig +1","")&amp;IF(AND(Regel_sicherheit="ja",AI173=1,AJ173+IF(AND(Regel_haeufig="ja",AH173=3),1,0)&lt;2)," · Sicherheit ⇒ B","")&amp;" → "&amp;M173))</f>
        <v/>
      </c>
      <c r="P173" s="29" t="n"/>
      <c r="Q173" s="25" t="n"/>
      <c r="R173" s="22">
        <f>IF(AK173="","",INDEX(Soll_Tabelle,4-AK173,IF(AH173=3,2,1)))</f>
        <v/>
      </c>
      <c r="S173" s="26" t="n"/>
      <c r="T173" s="22">
        <f>IF(AL173="","",MAX(0,AL173-N(P173)))</f>
        <v/>
      </c>
      <c r="U173" s="30" t="n"/>
      <c r="V173" s="31">
        <f>IF(OR(T173="",U173=""),"",T173*U173)</f>
        <v/>
      </c>
      <c r="W173" s="31">
        <f>IF(COUNT(AF173:AG173)&lt;2,"",INDEX(Stillstand_h,AG173)*INDEX(Kostensatz,AF173))</f>
        <v/>
      </c>
      <c r="X173" s="32">
        <f>IF(AK173="","",IF(T173=0,"Bestand ausreichend / stock sufficient",IF(U173="","Stückpreis fehlt / price missing",IF(V173=0,"–",IF(W173/V173&gt;=Faktor_wirtschaftlich,"wirtschaftlich (Faktor "&amp;FIXED(W173/V173,1)&amp;")","nicht wirtschaftlich (Faktor "&amp;FIXED(W173/V173,1)&amp;")")))))</f>
        <v/>
      </c>
      <c r="Y173" s="33">
        <f>IF(AK173="","",IF(AK173=3,IF(T173&gt;0,IF(AG173=3,"Sofort beschaffen: Restbestand / Gebrauchtmarkt / Alternative sichern","Mindestbestand aufbauen ("&amp;T173&amp;" Stk.)"),"Bestand halten, jährlich prüfen"),IF(AK173=2,IF(T173&gt;0,"Bevorratung nach Wirtschaftlichkeit entscheiden; Quelle / Reparatur klären","Lieferzeit und Teilestatus jährlich prüfen"),"Keine Bevorratung – Beschaffung bei Bedarf")))</f>
        <v/>
      </c>
      <c r="Z173" s="25" t="n"/>
      <c r="AA173" s="25" t="n"/>
      <c r="AB173" s="34" t="n"/>
      <c r="AC173" s="26" t="n"/>
      <c r="AD173" s="25" t="n"/>
      <c r="AE173" s="2" t="n"/>
      <c r="AF173" s="35">
        <f>IF(I173="","",VALUE(LEFT(I173,1)))</f>
        <v/>
      </c>
      <c r="AG173" s="35">
        <f>IF(J173="","",VALUE(LEFT(J173,1)))</f>
        <v/>
      </c>
      <c r="AH173" s="35">
        <f>IF(K173="","",VALUE(LEFT(K173,1)))</f>
        <v/>
      </c>
      <c r="AI173" s="35">
        <f>IF(LEFT(L173,2)="ja",1,0)</f>
        <v/>
      </c>
      <c r="AJ173" s="35">
        <f>IF(COUNT(AF173:AH173)&lt;3,"",FIND(INDEX(Matrix,4-AF173,AG173),"CBA"))</f>
        <v/>
      </c>
      <c r="AK173" s="35">
        <f>IF(AJ173="","",MIN(3,MAX(AJ173+IF(AND(Regel_haeufig="ja",AH173=3),1,0),IF(AND(Regel_sicherheit="ja",AI173=1),2,0))))</f>
        <v/>
      </c>
      <c r="AL173" s="35">
        <f>IF(S173&lt;&gt;"",S173,IF(R173="","",R173))</f>
        <v/>
      </c>
      <c r="AM173" s="35">
        <f>IF(AK173="","",AK173*1000+N173*10+(1000-ROW())/100000)</f>
        <v/>
      </c>
    </row>
    <row r="174" ht="45" customHeight="1">
      <c r="A174" s="22">
        <f>IF(C174="","",COUNTA($C$7:C174))</f>
        <v/>
      </c>
      <c r="B174" s="23" t="n"/>
      <c r="C174" s="24" t="n"/>
      <c r="D174" s="25" t="n"/>
      <c r="E174" s="23" t="n"/>
      <c r="F174" s="26" t="n"/>
      <c r="G174" s="25" t="n"/>
      <c r="H174" s="25" t="n"/>
      <c r="I174" s="24" t="n"/>
      <c r="J174" s="24" t="n"/>
      <c r="K174" s="24" t="n"/>
      <c r="L174" s="26" t="n"/>
      <c r="M174" s="27">
        <f>IF(AK174="","",MID("CBA",AK174,1))</f>
        <v/>
      </c>
      <c r="N174" s="22">
        <f>IF(COUNT(AF174:AH174)&lt;3,"",AF174*AG174*AH174)</f>
        <v/>
      </c>
      <c r="O174" s="28">
        <f>IF(C174="","",IF(AJ174="","Bewertung unvollständig / incomplete","Matrix "&amp;MID("CBA",AJ174,1)&amp;IF(AND(Regel_haeufig="ja",AH174=3,AJ174&lt;3)," · häufig +1","")&amp;IF(AND(Regel_sicherheit="ja",AI174=1,AJ174+IF(AND(Regel_haeufig="ja",AH174=3),1,0)&lt;2)," · Sicherheit ⇒ B","")&amp;" → "&amp;M174))</f>
        <v/>
      </c>
      <c r="P174" s="29" t="n"/>
      <c r="Q174" s="25" t="n"/>
      <c r="R174" s="22">
        <f>IF(AK174="","",INDEX(Soll_Tabelle,4-AK174,IF(AH174=3,2,1)))</f>
        <v/>
      </c>
      <c r="S174" s="26" t="n"/>
      <c r="T174" s="22">
        <f>IF(AL174="","",MAX(0,AL174-N(P174)))</f>
        <v/>
      </c>
      <c r="U174" s="30" t="n"/>
      <c r="V174" s="31">
        <f>IF(OR(T174="",U174=""),"",T174*U174)</f>
        <v/>
      </c>
      <c r="W174" s="31">
        <f>IF(COUNT(AF174:AG174)&lt;2,"",INDEX(Stillstand_h,AG174)*INDEX(Kostensatz,AF174))</f>
        <v/>
      </c>
      <c r="X174" s="32">
        <f>IF(AK174="","",IF(T174=0,"Bestand ausreichend / stock sufficient",IF(U174="","Stückpreis fehlt / price missing",IF(V174=0,"–",IF(W174/V174&gt;=Faktor_wirtschaftlich,"wirtschaftlich (Faktor "&amp;FIXED(W174/V174,1)&amp;")","nicht wirtschaftlich (Faktor "&amp;FIXED(W174/V174,1)&amp;")")))))</f>
        <v/>
      </c>
      <c r="Y174" s="33">
        <f>IF(AK174="","",IF(AK174=3,IF(T174&gt;0,IF(AG174=3,"Sofort beschaffen: Restbestand / Gebrauchtmarkt / Alternative sichern","Mindestbestand aufbauen ("&amp;T174&amp;" Stk.)"),"Bestand halten, jährlich prüfen"),IF(AK174=2,IF(T174&gt;0,"Bevorratung nach Wirtschaftlichkeit entscheiden; Quelle / Reparatur klären","Lieferzeit und Teilestatus jährlich prüfen"),"Keine Bevorratung – Beschaffung bei Bedarf")))</f>
        <v/>
      </c>
      <c r="Z174" s="25" t="n"/>
      <c r="AA174" s="25" t="n"/>
      <c r="AB174" s="34" t="n"/>
      <c r="AC174" s="26" t="n"/>
      <c r="AD174" s="25" t="n"/>
      <c r="AE174" s="2" t="n"/>
      <c r="AF174" s="35">
        <f>IF(I174="","",VALUE(LEFT(I174,1)))</f>
        <v/>
      </c>
      <c r="AG174" s="35">
        <f>IF(J174="","",VALUE(LEFT(J174,1)))</f>
        <v/>
      </c>
      <c r="AH174" s="35">
        <f>IF(K174="","",VALUE(LEFT(K174,1)))</f>
        <v/>
      </c>
      <c r="AI174" s="35">
        <f>IF(LEFT(L174,2)="ja",1,0)</f>
        <v/>
      </c>
      <c r="AJ174" s="35">
        <f>IF(COUNT(AF174:AH174)&lt;3,"",FIND(INDEX(Matrix,4-AF174,AG174),"CBA"))</f>
        <v/>
      </c>
      <c r="AK174" s="35">
        <f>IF(AJ174="","",MIN(3,MAX(AJ174+IF(AND(Regel_haeufig="ja",AH174=3),1,0),IF(AND(Regel_sicherheit="ja",AI174=1),2,0))))</f>
        <v/>
      </c>
      <c r="AL174" s="35">
        <f>IF(S174&lt;&gt;"",S174,IF(R174="","",R174))</f>
        <v/>
      </c>
      <c r="AM174" s="35">
        <f>IF(AK174="","",AK174*1000+N174*10+(1000-ROW())/100000)</f>
        <v/>
      </c>
    </row>
    <row r="175" ht="45" customHeight="1">
      <c r="A175" s="22">
        <f>IF(C175="","",COUNTA($C$7:C175))</f>
        <v/>
      </c>
      <c r="B175" s="23" t="n"/>
      <c r="C175" s="24" t="n"/>
      <c r="D175" s="25" t="n"/>
      <c r="E175" s="23" t="n"/>
      <c r="F175" s="26" t="n"/>
      <c r="G175" s="25" t="n"/>
      <c r="H175" s="25" t="n"/>
      <c r="I175" s="24" t="n"/>
      <c r="J175" s="24" t="n"/>
      <c r="K175" s="24" t="n"/>
      <c r="L175" s="26" t="n"/>
      <c r="M175" s="27">
        <f>IF(AK175="","",MID("CBA",AK175,1))</f>
        <v/>
      </c>
      <c r="N175" s="22">
        <f>IF(COUNT(AF175:AH175)&lt;3,"",AF175*AG175*AH175)</f>
        <v/>
      </c>
      <c r="O175" s="28">
        <f>IF(C175="","",IF(AJ175="","Bewertung unvollständig / incomplete","Matrix "&amp;MID("CBA",AJ175,1)&amp;IF(AND(Regel_haeufig="ja",AH175=3,AJ175&lt;3)," · häufig +1","")&amp;IF(AND(Regel_sicherheit="ja",AI175=1,AJ175+IF(AND(Regel_haeufig="ja",AH175=3),1,0)&lt;2)," · Sicherheit ⇒ B","")&amp;" → "&amp;M175))</f>
        <v/>
      </c>
      <c r="P175" s="29" t="n"/>
      <c r="Q175" s="25" t="n"/>
      <c r="R175" s="22">
        <f>IF(AK175="","",INDEX(Soll_Tabelle,4-AK175,IF(AH175=3,2,1)))</f>
        <v/>
      </c>
      <c r="S175" s="26" t="n"/>
      <c r="T175" s="22">
        <f>IF(AL175="","",MAX(0,AL175-N(P175)))</f>
        <v/>
      </c>
      <c r="U175" s="30" t="n"/>
      <c r="V175" s="31">
        <f>IF(OR(T175="",U175=""),"",T175*U175)</f>
        <v/>
      </c>
      <c r="W175" s="31">
        <f>IF(COUNT(AF175:AG175)&lt;2,"",INDEX(Stillstand_h,AG175)*INDEX(Kostensatz,AF175))</f>
        <v/>
      </c>
      <c r="X175" s="32">
        <f>IF(AK175="","",IF(T175=0,"Bestand ausreichend / stock sufficient",IF(U175="","Stückpreis fehlt / price missing",IF(V175=0,"–",IF(W175/V175&gt;=Faktor_wirtschaftlich,"wirtschaftlich (Faktor "&amp;FIXED(W175/V175,1)&amp;")","nicht wirtschaftlich (Faktor "&amp;FIXED(W175/V175,1)&amp;")")))))</f>
        <v/>
      </c>
      <c r="Y175" s="33">
        <f>IF(AK175="","",IF(AK175=3,IF(T175&gt;0,IF(AG175=3,"Sofort beschaffen: Restbestand / Gebrauchtmarkt / Alternative sichern","Mindestbestand aufbauen ("&amp;T175&amp;" Stk.)"),"Bestand halten, jährlich prüfen"),IF(AK175=2,IF(T175&gt;0,"Bevorratung nach Wirtschaftlichkeit entscheiden; Quelle / Reparatur klären","Lieferzeit und Teilestatus jährlich prüfen"),"Keine Bevorratung – Beschaffung bei Bedarf")))</f>
        <v/>
      </c>
      <c r="Z175" s="25" t="n"/>
      <c r="AA175" s="25" t="n"/>
      <c r="AB175" s="34" t="n"/>
      <c r="AC175" s="26" t="n"/>
      <c r="AD175" s="25" t="n"/>
      <c r="AE175" s="2" t="n"/>
      <c r="AF175" s="35">
        <f>IF(I175="","",VALUE(LEFT(I175,1)))</f>
        <v/>
      </c>
      <c r="AG175" s="35">
        <f>IF(J175="","",VALUE(LEFT(J175,1)))</f>
        <v/>
      </c>
      <c r="AH175" s="35">
        <f>IF(K175="","",VALUE(LEFT(K175,1)))</f>
        <v/>
      </c>
      <c r="AI175" s="35">
        <f>IF(LEFT(L175,2)="ja",1,0)</f>
        <v/>
      </c>
      <c r="AJ175" s="35">
        <f>IF(COUNT(AF175:AH175)&lt;3,"",FIND(INDEX(Matrix,4-AF175,AG175),"CBA"))</f>
        <v/>
      </c>
      <c r="AK175" s="35">
        <f>IF(AJ175="","",MIN(3,MAX(AJ175+IF(AND(Regel_haeufig="ja",AH175=3),1,0),IF(AND(Regel_sicherheit="ja",AI175=1),2,0))))</f>
        <v/>
      </c>
      <c r="AL175" s="35">
        <f>IF(S175&lt;&gt;"",S175,IF(R175="","",R175))</f>
        <v/>
      </c>
      <c r="AM175" s="35">
        <f>IF(AK175="","",AK175*1000+N175*10+(1000-ROW())/100000)</f>
        <v/>
      </c>
    </row>
    <row r="176" ht="45" customHeight="1">
      <c r="A176" s="22">
        <f>IF(C176="","",COUNTA($C$7:C176))</f>
        <v/>
      </c>
      <c r="B176" s="23" t="n"/>
      <c r="C176" s="24" t="n"/>
      <c r="D176" s="25" t="n"/>
      <c r="E176" s="23" t="n"/>
      <c r="F176" s="26" t="n"/>
      <c r="G176" s="25" t="n"/>
      <c r="H176" s="25" t="n"/>
      <c r="I176" s="24" t="n"/>
      <c r="J176" s="24" t="n"/>
      <c r="K176" s="24" t="n"/>
      <c r="L176" s="26" t="n"/>
      <c r="M176" s="27">
        <f>IF(AK176="","",MID("CBA",AK176,1))</f>
        <v/>
      </c>
      <c r="N176" s="22">
        <f>IF(COUNT(AF176:AH176)&lt;3,"",AF176*AG176*AH176)</f>
        <v/>
      </c>
      <c r="O176" s="28">
        <f>IF(C176="","",IF(AJ176="","Bewertung unvollständig / incomplete","Matrix "&amp;MID("CBA",AJ176,1)&amp;IF(AND(Regel_haeufig="ja",AH176=3,AJ176&lt;3)," · häufig +1","")&amp;IF(AND(Regel_sicherheit="ja",AI176=1,AJ176+IF(AND(Regel_haeufig="ja",AH176=3),1,0)&lt;2)," · Sicherheit ⇒ B","")&amp;" → "&amp;M176))</f>
        <v/>
      </c>
      <c r="P176" s="29" t="n"/>
      <c r="Q176" s="25" t="n"/>
      <c r="R176" s="22">
        <f>IF(AK176="","",INDEX(Soll_Tabelle,4-AK176,IF(AH176=3,2,1)))</f>
        <v/>
      </c>
      <c r="S176" s="26" t="n"/>
      <c r="T176" s="22">
        <f>IF(AL176="","",MAX(0,AL176-N(P176)))</f>
        <v/>
      </c>
      <c r="U176" s="30" t="n"/>
      <c r="V176" s="31">
        <f>IF(OR(T176="",U176=""),"",T176*U176)</f>
        <v/>
      </c>
      <c r="W176" s="31">
        <f>IF(COUNT(AF176:AG176)&lt;2,"",INDEX(Stillstand_h,AG176)*INDEX(Kostensatz,AF176))</f>
        <v/>
      </c>
      <c r="X176" s="32">
        <f>IF(AK176="","",IF(T176=0,"Bestand ausreichend / stock sufficient",IF(U176="","Stückpreis fehlt / price missing",IF(V176=0,"–",IF(W176/V176&gt;=Faktor_wirtschaftlich,"wirtschaftlich (Faktor "&amp;FIXED(W176/V176,1)&amp;")","nicht wirtschaftlich (Faktor "&amp;FIXED(W176/V176,1)&amp;")")))))</f>
        <v/>
      </c>
      <c r="Y176" s="33">
        <f>IF(AK176="","",IF(AK176=3,IF(T176&gt;0,IF(AG176=3,"Sofort beschaffen: Restbestand / Gebrauchtmarkt / Alternative sichern","Mindestbestand aufbauen ("&amp;T176&amp;" Stk.)"),"Bestand halten, jährlich prüfen"),IF(AK176=2,IF(T176&gt;0,"Bevorratung nach Wirtschaftlichkeit entscheiden; Quelle / Reparatur klären","Lieferzeit und Teilestatus jährlich prüfen"),"Keine Bevorratung – Beschaffung bei Bedarf")))</f>
        <v/>
      </c>
      <c r="Z176" s="25" t="n"/>
      <c r="AA176" s="25" t="n"/>
      <c r="AB176" s="34" t="n"/>
      <c r="AC176" s="26" t="n"/>
      <c r="AD176" s="25" t="n"/>
      <c r="AE176" s="2" t="n"/>
      <c r="AF176" s="35">
        <f>IF(I176="","",VALUE(LEFT(I176,1)))</f>
        <v/>
      </c>
      <c r="AG176" s="35">
        <f>IF(J176="","",VALUE(LEFT(J176,1)))</f>
        <v/>
      </c>
      <c r="AH176" s="35">
        <f>IF(K176="","",VALUE(LEFT(K176,1)))</f>
        <v/>
      </c>
      <c r="AI176" s="35">
        <f>IF(LEFT(L176,2)="ja",1,0)</f>
        <v/>
      </c>
      <c r="AJ176" s="35">
        <f>IF(COUNT(AF176:AH176)&lt;3,"",FIND(INDEX(Matrix,4-AF176,AG176),"CBA"))</f>
        <v/>
      </c>
      <c r="AK176" s="35">
        <f>IF(AJ176="","",MIN(3,MAX(AJ176+IF(AND(Regel_haeufig="ja",AH176=3),1,0),IF(AND(Regel_sicherheit="ja",AI176=1),2,0))))</f>
        <v/>
      </c>
      <c r="AL176" s="35">
        <f>IF(S176&lt;&gt;"",S176,IF(R176="","",R176))</f>
        <v/>
      </c>
      <c r="AM176" s="35">
        <f>IF(AK176="","",AK176*1000+N176*10+(1000-ROW())/100000)</f>
        <v/>
      </c>
    </row>
    <row r="177" ht="45" customHeight="1">
      <c r="A177" s="22">
        <f>IF(C177="","",COUNTA($C$7:C177))</f>
        <v/>
      </c>
      <c r="B177" s="23" t="n"/>
      <c r="C177" s="24" t="n"/>
      <c r="D177" s="25" t="n"/>
      <c r="E177" s="23" t="n"/>
      <c r="F177" s="26" t="n"/>
      <c r="G177" s="25" t="n"/>
      <c r="H177" s="25" t="n"/>
      <c r="I177" s="24" t="n"/>
      <c r="J177" s="24" t="n"/>
      <c r="K177" s="24" t="n"/>
      <c r="L177" s="26" t="n"/>
      <c r="M177" s="27">
        <f>IF(AK177="","",MID("CBA",AK177,1))</f>
        <v/>
      </c>
      <c r="N177" s="22">
        <f>IF(COUNT(AF177:AH177)&lt;3,"",AF177*AG177*AH177)</f>
        <v/>
      </c>
      <c r="O177" s="28">
        <f>IF(C177="","",IF(AJ177="","Bewertung unvollständig / incomplete","Matrix "&amp;MID("CBA",AJ177,1)&amp;IF(AND(Regel_haeufig="ja",AH177=3,AJ177&lt;3)," · häufig +1","")&amp;IF(AND(Regel_sicherheit="ja",AI177=1,AJ177+IF(AND(Regel_haeufig="ja",AH177=3),1,0)&lt;2)," · Sicherheit ⇒ B","")&amp;" → "&amp;M177))</f>
        <v/>
      </c>
      <c r="P177" s="29" t="n"/>
      <c r="Q177" s="25" t="n"/>
      <c r="R177" s="22">
        <f>IF(AK177="","",INDEX(Soll_Tabelle,4-AK177,IF(AH177=3,2,1)))</f>
        <v/>
      </c>
      <c r="S177" s="26" t="n"/>
      <c r="T177" s="22">
        <f>IF(AL177="","",MAX(0,AL177-N(P177)))</f>
        <v/>
      </c>
      <c r="U177" s="30" t="n"/>
      <c r="V177" s="31">
        <f>IF(OR(T177="",U177=""),"",T177*U177)</f>
        <v/>
      </c>
      <c r="W177" s="31">
        <f>IF(COUNT(AF177:AG177)&lt;2,"",INDEX(Stillstand_h,AG177)*INDEX(Kostensatz,AF177))</f>
        <v/>
      </c>
      <c r="X177" s="32">
        <f>IF(AK177="","",IF(T177=0,"Bestand ausreichend / stock sufficient",IF(U177="","Stückpreis fehlt / price missing",IF(V177=0,"–",IF(W177/V177&gt;=Faktor_wirtschaftlich,"wirtschaftlich (Faktor "&amp;FIXED(W177/V177,1)&amp;")","nicht wirtschaftlich (Faktor "&amp;FIXED(W177/V177,1)&amp;")")))))</f>
        <v/>
      </c>
      <c r="Y177" s="33">
        <f>IF(AK177="","",IF(AK177=3,IF(T177&gt;0,IF(AG177=3,"Sofort beschaffen: Restbestand / Gebrauchtmarkt / Alternative sichern","Mindestbestand aufbauen ("&amp;T177&amp;" Stk.)"),"Bestand halten, jährlich prüfen"),IF(AK177=2,IF(T177&gt;0,"Bevorratung nach Wirtschaftlichkeit entscheiden; Quelle / Reparatur klären","Lieferzeit und Teilestatus jährlich prüfen"),"Keine Bevorratung – Beschaffung bei Bedarf")))</f>
        <v/>
      </c>
      <c r="Z177" s="25" t="n"/>
      <c r="AA177" s="25" t="n"/>
      <c r="AB177" s="34" t="n"/>
      <c r="AC177" s="26" t="n"/>
      <c r="AD177" s="25" t="n"/>
      <c r="AE177" s="2" t="n"/>
      <c r="AF177" s="35">
        <f>IF(I177="","",VALUE(LEFT(I177,1)))</f>
        <v/>
      </c>
      <c r="AG177" s="35">
        <f>IF(J177="","",VALUE(LEFT(J177,1)))</f>
        <v/>
      </c>
      <c r="AH177" s="35">
        <f>IF(K177="","",VALUE(LEFT(K177,1)))</f>
        <v/>
      </c>
      <c r="AI177" s="35">
        <f>IF(LEFT(L177,2)="ja",1,0)</f>
        <v/>
      </c>
      <c r="AJ177" s="35">
        <f>IF(COUNT(AF177:AH177)&lt;3,"",FIND(INDEX(Matrix,4-AF177,AG177),"CBA"))</f>
        <v/>
      </c>
      <c r="AK177" s="35">
        <f>IF(AJ177="","",MIN(3,MAX(AJ177+IF(AND(Regel_haeufig="ja",AH177=3),1,0),IF(AND(Regel_sicherheit="ja",AI177=1),2,0))))</f>
        <v/>
      </c>
      <c r="AL177" s="35">
        <f>IF(S177&lt;&gt;"",S177,IF(R177="","",R177))</f>
        <v/>
      </c>
      <c r="AM177" s="35">
        <f>IF(AK177="","",AK177*1000+N177*10+(1000-ROW())/100000)</f>
        <v/>
      </c>
    </row>
    <row r="178" ht="45" customHeight="1">
      <c r="A178" s="22">
        <f>IF(C178="","",COUNTA($C$7:C178))</f>
        <v/>
      </c>
      <c r="B178" s="23" t="n"/>
      <c r="C178" s="24" t="n"/>
      <c r="D178" s="25" t="n"/>
      <c r="E178" s="23" t="n"/>
      <c r="F178" s="26" t="n"/>
      <c r="G178" s="25" t="n"/>
      <c r="H178" s="25" t="n"/>
      <c r="I178" s="24" t="n"/>
      <c r="J178" s="24" t="n"/>
      <c r="K178" s="24" t="n"/>
      <c r="L178" s="26" t="n"/>
      <c r="M178" s="27">
        <f>IF(AK178="","",MID("CBA",AK178,1))</f>
        <v/>
      </c>
      <c r="N178" s="22">
        <f>IF(COUNT(AF178:AH178)&lt;3,"",AF178*AG178*AH178)</f>
        <v/>
      </c>
      <c r="O178" s="28">
        <f>IF(C178="","",IF(AJ178="","Bewertung unvollständig / incomplete","Matrix "&amp;MID("CBA",AJ178,1)&amp;IF(AND(Regel_haeufig="ja",AH178=3,AJ178&lt;3)," · häufig +1","")&amp;IF(AND(Regel_sicherheit="ja",AI178=1,AJ178+IF(AND(Regel_haeufig="ja",AH178=3),1,0)&lt;2)," · Sicherheit ⇒ B","")&amp;" → "&amp;M178))</f>
        <v/>
      </c>
      <c r="P178" s="29" t="n"/>
      <c r="Q178" s="25" t="n"/>
      <c r="R178" s="22">
        <f>IF(AK178="","",INDEX(Soll_Tabelle,4-AK178,IF(AH178=3,2,1)))</f>
        <v/>
      </c>
      <c r="S178" s="26" t="n"/>
      <c r="T178" s="22">
        <f>IF(AL178="","",MAX(0,AL178-N(P178)))</f>
        <v/>
      </c>
      <c r="U178" s="30" t="n"/>
      <c r="V178" s="31">
        <f>IF(OR(T178="",U178=""),"",T178*U178)</f>
        <v/>
      </c>
      <c r="W178" s="31">
        <f>IF(COUNT(AF178:AG178)&lt;2,"",INDEX(Stillstand_h,AG178)*INDEX(Kostensatz,AF178))</f>
        <v/>
      </c>
      <c r="X178" s="32">
        <f>IF(AK178="","",IF(T178=0,"Bestand ausreichend / stock sufficient",IF(U178="","Stückpreis fehlt / price missing",IF(V178=0,"–",IF(W178/V178&gt;=Faktor_wirtschaftlich,"wirtschaftlich (Faktor "&amp;FIXED(W178/V178,1)&amp;")","nicht wirtschaftlich (Faktor "&amp;FIXED(W178/V178,1)&amp;")")))))</f>
        <v/>
      </c>
      <c r="Y178" s="33">
        <f>IF(AK178="","",IF(AK178=3,IF(T178&gt;0,IF(AG178=3,"Sofort beschaffen: Restbestand / Gebrauchtmarkt / Alternative sichern","Mindestbestand aufbauen ("&amp;T178&amp;" Stk.)"),"Bestand halten, jährlich prüfen"),IF(AK178=2,IF(T178&gt;0,"Bevorratung nach Wirtschaftlichkeit entscheiden; Quelle / Reparatur klären","Lieferzeit und Teilestatus jährlich prüfen"),"Keine Bevorratung – Beschaffung bei Bedarf")))</f>
        <v/>
      </c>
      <c r="Z178" s="25" t="n"/>
      <c r="AA178" s="25" t="n"/>
      <c r="AB178" s="34" t="n"/>
      <c r="AC178" s="26" t="n"/>
      <c r="AD178" s="25" t="n"/>
      <c r="AE178" s="2" t="n"/>
      <c r="AF178" s="35">
        <f>IF(I178="","",VALUE(LEFT(I178,1)))</f>
        <v/>
      </c>
      <c r="AG178" s="35">
        <f>IF(J178="","",VALUE(LEFT(J178,1)))</f>
        <v/>
      </c>
      <c r="AH178" s="35">
        <f>IF(K178="","",VALUE(LEFT(K178,1)))</f>
        <v/>
      </c>
      <c r="AI178" s="35">
        <f>IF(LEFT(L178,2)="ja",1,0)</f>
        <v/>
      </c>
      <c r="AJ178" s="35">
        <f>IF(COUNT(AF178:AH178)&lt;3,"",FIND(INDEX(Matrix,4-AF178,AG178),"CBA"))</f>
        <v/>
      </c>
      <c r="AK178" s="35">
        <f>IF(AJ178="","",MIN(3,MAX(AJ178+IF(AND(Regel_haeufig="ja",AH178=3),1,0),IF(AND(Regel_sicherheit="ja",AI178=1),2,0))))</f>
        <v/>
      </c>
      <c r="AL178" s="35">
        <f>IF(S178&lt;&gt;"",S178,IF(R178="","",R178))</f>
        <v/>
      </c>
      <c r="AM178" s="35">
        <f>IF(AK178="","",AK178*1000+N178*10+(1000-ROW())/100000)</f>
        <v/>
      </c>
    </row>
    <row r="179" ht="45" customHeight="1">
      <c r="A179" s="22">
        <f>IF(C179="","",COUNTA($C$7:C179))</f>
        <v/>
      </c>
      <c r="B179" s="23" t="n"/>
      <c r="C179" s="24" t="n"/>
      <c r="D179" s="25" t="n"/>
      <c r="E179" s="23" t="n"/>
      <c r="F179" s="26" t="n"/>
      <c r="G179" s="25" t="n"/>
      <c r="H179" s="25" t="n"/>
      <c r="I179" s="24" t="n"/>
      <c r="J179" s="24" t="n"/>
      <c r="K179" s="24" t="n"/>
      <c r="L179" s="26" t="n"/>
      <c r="M179" s="27">
        <f>IF(AK179="","",MID("CBA",AK179,1))</f>
        <v/>
      </c>
      <c r="N179" s="22">
        <f>IF(COUNT(AF179:AH179)&lt;3,"",AF179*AG179*AH179)</f>
        <v/>
      </c>
      <c r="O179" s="28">
        <f>IF(C179="","",IF(AJ179="","Bewertung unvollständig / incomplete","Matrix "&amp;MID("CBA",AJ179,1)&amp;IF(AND(Regel_haeufig="ja",AH179=3,AJ179&lt;3)," · häufig +1","")&amp;IF(AND(Regel_sicherheit="ja",AI179=1,AJ179+IF(AND(Regel_haeufig="ja",AH179=3),1,0)&lt;2)," · Sicherheit ⇒ B","")&amp;" → "&amp;M179))</f>
        <v/>
      </c>
      <c r="P179" s="29" t="n"/>
      <c r="Q179" s="25" t="n"/>
      <c r="R179" s="22">
        <f>IF(AK179="","",INDEX(Soll_Tabelle,4-AK179,IF(AH179=3,2,1)))</f>
        <v/>
      </c>
      <c r="S179" s="26" t="n"/>
      <c r="T179" s="22">
        <f>IF(AL179="","",MAX(0,AL179-N(P179)))</f>
        <v/>
      </c>
      <c r="U179" s="30" t="n"/>
      <c r="V179" s="31">
        <f>IF(OR(T179="",U179=""),"",T179*U179)</f>
        <v/>
      </c>
      <c r="W179" s="31">
        <f>IF(COUNT(AF179:AG179)&lt;2,"",INDEX(Stillstand_h,AG179)*INDEX(Kostensatz,AF179))</f>
        <v/>
      </c>
      <c r="X179" s="32">
        <f>IF(AK179="","",IF(T179=0,"Bestand ausreichend / stock sufficient",IF(U179="","Stückpreis fehlt / price missing",IF(V179=0,"–",IF(W179/V179&gt;=Faktor_wirtschaftlich,"wirtschaftlich (Faktor "&amp;FIXED(W179/V179,1)&amp;")","nicht wirtschaftlich (Faktor "&amp;FIXED(W179/V179,1)&amp;")")))))</f>
        <v/>
      </c>
      <c r="Y179" s="33">
        <f>IF(AK179="","",IF(AK179=3,IF(T179&gt;0,IF(AG179=3,"Sofort beschaffen: Restbestand / Gebrauchtmarkt / Alternative sichern","Mindestbestand aufbauen ("&amp;T179&amp;" Stk.)"),"Bestand halten, jährlich prüfen"),IF(AK179=2,IF(T179&gt;0,"Bevorratung nach Wirtschaftlichkeit entscheiden; Quelle / Reparatur klären","Lieferzeit und Teilestatus jährlich prüfen"),"Keine Bevorratung – Beschaffung bei Bedarf")))</f>
        <v/>
      </c>
      <c r="Z179" s="25" t="n"/>
      <c r="AA179" s="25" t="n"/>
      <c r="AB179" s="34" t="n"/>
      <c r="AC179" s="26" t="n"/>
      <c r="AD179" s="25" t="n"/>
      <c r="AE179" s="2" t="n"/>
      <c r="AF179" s="35">
        <f>IF(I179="","",VALUE(LEFT(I179,1)))</f>
        <v/>
      </c>
      <c r="AG179" s="35">
        <f>IF(J179="","",VALUE(LEFT(J179,1)))</f>
        <v/>
      </c>
      <c r="AH179" s="35">
        <f>IF(K179="","",VALUE(LEFT(K179,1)))</f>
        <v/>
      </c>
      <c r="AI179" s="35">
        <f>IF(LEFT(L179,2)="ja",1,0)</f>
        <v/>
      </c>
      <c r="AJ179" s="35">
        <f>IF(COUNT(AF179:AH179)&lt;3,"",FIND(INDEX(Matrix,4-AF179,AG179),"CBA"))</f>
        <v/>
      </c>
      <c r="AK179" s="35">
        <f>IF(AJ179="","",MIN(3,MAX(AJ179+IF(AND(Regel_haeufig="ja",AH179=3),1,0),IF(AND(Regel_sicherheit="ja",AI179=1),2,0))))</f>
        <v/>
      </c>
      <c r="AL179" s="35">
        <f>IF(S179&lt;&gt;"",S179,IF(R179="","",R179))</f>
        <v/>
      </c>
      <c r="AM179" s="35">
        <f>IF(AK179="","",AK179*1000+N179*10+(1000-ROW())/100000)</f>
        <v/>
      </c>
    </row>
    <row r="180" ht="45" customHeight="1">
      <c r="A180" s="22">
        <f>IF(C180="","",COUNTA($C$7:C180))</f>
        <v/>
      </c>
      <c r="B180" s="23" t="n"/>
      <c r="C180" s="24" t="n"/>
      <c r="D180" s="25" t="n"/>
      <c r="E180" s="23" t="n"/>
      <c r="F180" s="26" t="n"/>
      <c r="G180" s="25" t="n"/>
      <c r="H180" s="25" t="n"/>
      <c r="I180" s="24" t="n"/>
      <c r="J180" s="24" t="n"/>
      <c r="K180" s="24" t="n"/>
      <c r="L180" s="26" t="n"/>
      <c r="M180" s="27">
        <f>IF(AK180="","",MID("CBA",AK180,1))</f>
        <v/>
      </c>
      <c r="N180" s="22">
        <f>IF(COUNT(AF180:AH180)&lt;3,"",AF180*AG180*AH180)</f>
        <v/>
      </c>
      <c r="O180" s="28">
        <f>IF(C180="","",IF(AJ180="","Bewertung unvollständig / incomplete","Matrix "&amp;MID("CBA",AJ180,1)&amp;IF(AND(Regel_haeufig="ja",AH180=3,AJ180&lt;3)," · häufig +1","")&amp;IF(AND(Regel_sicherheit="ja",AI180=1,AJ180+IF(AND(Regel_haeufig="ja",AH180=3),1,0)&lt;2)," · Sicherheit ⇒ B","")&amp;" → "&amp;M180))</f>
        <v/>
      </c>
      <c r="P180" s="29" t="n"/>
      <c r="Q180" s="25" t="n"/>
      <c r="R180" s="22">
        <f>IF(AK180="","",INDEX(Soll_Tabelle,4-AK180,IF(AH180=3,2,1)))</f>
        <v/>
      </c>
      <c r="S180" s="26" t="n"/>
      <c r="T180" s="22">
        <f>IF(AL180="","",MAX(0,AL180-N(P180)))</f>
        <v/>
      </c>
      <c r="U180" s="30" t="n"/>
      <c r="V180" s="31">
        <f>IF(OR(T180="",U180=""),"",T180*U180)</f>
        <v/>
      </c>
      <c r="W180" s="31">
        <f>IF(COUNT(AF180:AG180)&lt;2,"",INDEX(Stillstand_h,AG180)*INDEX(Kostensatz,AF180))</f>
        <v/>
      </c>
      <c r="X180" s="32">
        <f>IF(AK180="","",IF(T180=0,"Bestand ausreichend / stock sufficient",IF(U180="","Stückpreis fehlt / price missing",IF(V180=0,"–",IF(W180/V180&gt;=Faktor_wirtschaftlich,"wirtschaftlich (Faktor "&amp;FIXED(W180/V180,1)&amp;")","nicht wirtschaftlich (Faktor "&amp;FIXED(W180/V180,1)&amp;")")))))</f>
        <v/>
      </c>
      <c r="Y180" s="33">
        <f>IF(AK180="","",IF(AK180=3,IF(T180&gt;0,IF(AG180=3,"Sofort beschaffen: Restbestand / Gebrauchtmarkt / Alternative sichern","Mindestbestand aufbauen ("&amp;T180&amp;" Stk.)"),"Bestand halten, jährlich prüfen"),IF(AK180=2,IF(T180&gt;0,"Bevorratung nach Wirtschaftlichkeit entscheiden; Quelle / Reparatur klären","Lieferzeit und Teilestatus jährlich prüfen"),"Keine Bevorratung – Beschaffung bei Bedarf")))</f>
        <v/>
      </c>
      <c r="Z180" s="25" t="n"/>
      <c r="AA180" s="25" t="n"/>
      <c r="AB180" s="34" t="n"/>
      <c r="AC180" s="26" t="n"/>
      <c r="AD180" s="25" t="n"/>
      <c r="AE180" s="2" t="n"/>
      <c r="AF180" s="35">
        <f>IF(I180="","",VALUE(LEFT(I180,1)))</f>
        <v/>
      </c>
      <c r="AG180" s="35">
        <f>IF(J180="","",VALUE(LEFT(J180,1)))</f>
        <v/>
      </c>
      <c r="AH180" s="35">
        <f>IF(K180="","",VALUE(LEFT(K180,1)))</f>
        <v/>
      </c>
      <c r="AI180" s="35">
        <f>IF(LEFT(L180,2)="ja",1,0)</f>
        <v/>
      </c>
      <c r="AJ180" s="35">
        <f>IF(COUNT(AF180:AH180)&lt;3,"",FIND(INDEX(Matrix,4-AF180,AG180),"CBA"))</f>
        <v/>
      </c>
      <c r="AK180" s="35">
        <f>IF(AJ180="","",MIN(3,MAX(AJ180+IF(AND(Regel_haeufig="ja",AH180=3),1,0),IF(AND(Regel_sicherheit="ja",AI180=1),2,0))))</f>
        <v/>
      </c>
      <c r="AL180" s="35">
        <f>IF(S180&lt;&gt;"",S180,IF(R180="","",R180))</f>
        <v/>
      </c>
      <c r="AM180" s="35">
        <f>IF(AK180="","",AK180*1000+N180*10+(1000-ROW())/100000)</f>
        <v/>
      </c>
    </row>
    <row r="181" ht="45" customHeight="1">
      <c r="A181" s="22">
        <f>IF(C181="","",COUNTA($C$7:C181))</f>
        <v/>
      </c>
      <c r="B181" s="23" t="n"/>
      <c r="C181" s="24" t="n"/>
      <c r="D181" s="25" t="n"/>
      <c r="E181" s="23" t="n"/>
      <c r="F181" s="26" t="n"/>
      <c r="G181" s="25" t="n"/>
      <c r="H181" s="25" t="n"/>
      <c r="I181" s="24" t="n"/>
      <c r="J181" s="24" t="n"/>
      <c r="K181" s="24" t="n"/>
      <c r="L181" s="26" t="n"/>
      <c r="M181" s="27">
        <f>IF(AK181="","",MID("CBA",AK181,1))</f>
        <v/>
      </c>
      <c r="N181" s="22">
        <f>IF(COUNT(AF181:AH181)&lt;3,"",AF181*AG181*AH181)</f>
        <v/>
      </c>
      <c r="O181" s="28">
        <f>IF(C181="","",IF(AJ181="","Bewertung unvollständig / incomplete","Matrix "&amp;MID("CBA",AJ181,1)&amp;IF(AND(Regel_haeufig="ja",AH181=3,AJ181&lt;3)," · häufig +1","")&amp;IF(AND(Regel_sicherheit="ja",AI181=1,AJ181+IF(AND(Regel_haeufig="ja",AH181=3),1,0)&lt;2)," · Sicherheit ⇒ B","")&amp;" → "&amp;M181))</f>
        <v/>
      </c>
      <c r="P181" s="29" t="n"/>
      <c r="Q181" s="25" t="n"/>
      <c r="R181" s="22">
        <f>IF(AK181="","",INDEX(Soll_Tabelle,4-AK181,IF(AH181=3,2,1)))</f>
        <v/>
      </c>
      <c r="S181" s="26" t="n"/>
      <c r="T181" s="22">
        <f>IF(AL181="","",MAX(0,AL181-N(P181)))</f>
        <v/>
      </c>
      <c r="U181" s="30" t="n"/>
      <c r="V181" s="31">
        <f>IF(OR(T181="",U181=""),"",T181*U181)</f>
        <v/>
      </c>
      <c r="W181" s="31">
        <f>IF(COUNT(AF181:AG181)&lt;2,"",INDEX(Stillstand_h,AG181)*INDEX(Kostensatz,AF181))</f>
        <v/>
      </c>
      <c r="X181" s="32">
        <f>IF(AK181="","",IF(T181=0,"Bestand ausreichend / stock sufficient",IF(U181="","Stückpreis fehlt / price missing",IF(V181=0,"–",IF(W181/V181&gt;=Faktor_wirtschaftlich,"wirtschaftlich (Faktor "&amp;FIXED(W181/V181,1)&amp;")","nicht wirtschaftlich (Faktor "&amp;FIXED(W181/V181,1)&amp;")")))))</f>
        <v/>
      </c>
      <c r="Y181" s="33">
        <f>IF(AK181="","",IF(AK181=3,IF(T181&gt;0,IF(AG181=3,"Sofort beschaffen: Restbestand / Gebrauchtmarkt / Alternative sichern","Mindestbestand aufbauen ("&amp;T181&amp;" Stk.)"),"Bestand halten, jährlich prüfen"),IF(AK181=2,IF(T181&gt;0,"Bevorratung nach Wirtschaftlichkeit entscheiden; Quelle / Reparatur klären","Lieferzeit und Teilestatus jährlich prüfen"),"Keine Bevorratung – Beschaffung bei Bedarf")))</f>
        <v/>
      </c>
      <c r="Z181" s="25" t="n"/>
      <c r="AA181" s="25" t="n"/>
      <c r="AB181" s="34" t="n"/>
      <c r="AC181" s="26" t="n"/>
      <c r="AD181" s="25" t="n"/>
      <c r="AE181" s="2" t="n"/>
      <c r="AF181" s="35">
        <f>IF(I181="","",VALUE(LEFT(I181,1)))</f>
        <v/>
      </c>
      <c r="AG181" s="35">
        <f>IF(J181="","",VALUE(LEFT(J181,1)))</f>
        <v/>
      </c>
      <c r="AH181" s="35">
        <f>IF(K181="","",VALUE(LEFT(K181,1)))</f>
        <v/>
      </c>
      <c r="AI181" s="35">
        <f>IF(LEFT(L181,2)="ja",1,0)</f>
        <v/>
      </c>
      <c r="AJ181" s="35">
        <f>IF(COUNT(AF181:AH181)&lt;3,"",FIND(INDEX(Matrix,4-AF181,AG181),"CBA"))</f>
        <v/>
      </c>
      <c r="AK181" s="35">
        <f>IF(AJ181="","",MIN(3,MAX(AJ181+IF(AND(Regel_haeufig="ja",AH181=3),1,0),IF(AND(Regel_sicherheit="ja",AI181=1),2,0))))</f>
        <v/>
      </c>
      <c r="AL181" s="35">
        <f>IF(S181&lt;&gt;"",S181,IF(R181="","",R181))</f>
        <v/>
      </c>
      <c r="AM181" s="35">
        <f>IF(AK181="","",AK181*1000+N181*10+(1000-ROW())/100000)</f>
        <v/>
      </c>
    </row>
    <row r="182" ht="45" customHeight="1">
      <c r="A182" s="22">
        <f>IF(C182="","",COUNTA($C$7:C182))</f>
        <v/>
      </c>
      <c r="B182" s="23" t="n"/>
      <c r="C182" s="24" t="n"/>
      <c r="D182" s="25" t="n"/>
      <c r="E182" s="23" t="n"/>
      <c r="F182" s="26" t="n"/>
      <c r="G182" s="25" t="n"/>
      <c r="H182" s="25" t="n"/>
      <c r="I182" s="24" t="n"/>
      <c r="J182" s="24" t="n"/>
      <c r="K182" s="24" t="n"/>
      <c r="L182" s="26" t="n"/>
      <c r="M182" s="27">
        <f>IF(AK182="","",MID("CBA",AK182,1))</f>
        <v/>
      </c>
      <c r="N182" s="22">
        <f>IF(COUNT(AF182:AH182)&lt;3,"",AF182*AG182*AH182)</f>
        <v/>
      </c>
      <c r="O182" s="28">
        <f>IF(C182="","",IF(AJ182="","Bewertung unvollständig / incomplete","Matrix "&amp;MID("CBA",AJ182,1)&amp;IF(AND(Regel_haeufig="ja",AH182=3,AJ182&lt;3)," · häufig +1","")&amp;IF(AND(Regel_sicherheit="ja",AI182=1,AJ182+IF(AND(Regel_haeufig="ja",AH182=3),1,0)&lt;2)," · Sicherheit ⇒ B","")&amp;" → "&amp;M182))</f>
        <v/>
      </c>
      <c r="P182" s="29" t="n"/>
      <c r="Q182" s="25" t="n"/>
      <c r="R182" s="22">
        <f>IF(AK182="","",INDEX(Soll_Tabelle,4-AK182,IF(AH182=3,2,1)))</f>
        <v/>
      </c>
      <c r="S182" s="26" t="n"/>
      <c r="T182" s="22">
        <f>IF(AL182="","",MAX(0,AL182-N(P182)))</f>
        <v/>
      </c>
      <c r="U182" s="30" t="n"/>
      <c r="V182" s="31">
        <f>IF(OR(T182="",U182=""),"",T182*U182)</f>
        <v/>
      </c>
      <c r="W182" s="31">
        <f>IF(COUNT(AF182:AG182)&lt;2,"",INDEX(Stillstand_h,AG182)*INDEX(Kostensatz,AF182))</f>
        <v/>
      </c>
      <c r="X182" s="32">
        <f>IF(AK182="","",IF(T182=0,"Bestand ausreichend / stock sufficient",IF(U182="","Stückpreis fehlt / price missing",IF(V182=0,"–",IF(W182/V182&gt;=Faktor_wirtschaftlich,"wirtschaftlich (Faktor "&amp;FIXED(W182/V182,1)&amp;")","nicht wirtschaftlich (Faktor "&amp;FIXED(W182/V182,1)&amp;")")))))</f>
        <v/>
      </c>
      <c r="Y182" s="33">
        <f>IF(AK182="","",IF(AK182=3,IF(T182&gt;0,IF(AG182=3,"Sofort beschaffen: Restbestand / Gebrauchtmarkt / Alternative sichern","Mindestbestand aufbauen ("&amp;T182&amp;" Stk.)"),"Bestand halten, jährlich prüfen"),IF(AK182=2,IF(T182&gt;0,"Bevorratung nach Wirtschaftlichkeit entscheiden; Quelle / Reparatur klären","Lieferzeit und Teilestatus jährlich prüfen"),"Keine Bevorratung – Beschaffung bei Bedarf")))</f>
        <v/>
      </c>
      <c r="Z182" s="25" t="n"/>
      <c r="AA182" s="25" t="n"/>
      <c r="AB182" s="34" t="n"/>
      <c r="AC182" s="26" t="n"/>
      <c r="AD182" s="25" t="n"/>
      <c r="AE182" s="2" t="n"/>
      <c r="AF182" s="35">
        <f>IF(I182="","",VALUE(LEFT(I182,1)))</f>
        <v/>
      </c>
      <c r="AG182" s="35">
        <f>IF(J182="","",VALUE(LEFT(J182,1)))</f>
        <v/>
      </c>
      <c r="AH182" s="35">
        <f>IF(K182="","",VALUE(LEFT(K182,1)))</f>
        <v/>
      </c>
      <c r="AI182" s="35">
        <f>IF(LEFT(L182,2)="ja",1,0)</f>
        <v/>
      </c>
      <c r="AJ182" s="35">
        <f>IF(COUNT(AF182:AH182)&lt;3,"",FIND(INDEX(Matrix,4-AF182,AG182),"CBA"))</f>
        <v/>
      </c>
      <c r="AK182" s="35">
        <f>IF(AJ182="","",MIN(3,MAX(AJ182+IF(AND(Regel_haeufig="ja",AH182=3),1,0),IF(AND(Regel_sicherheit="ja",AI182=1),2,0))))</f>
        <v/>
      </c>
      <c r="AL182" s="35">
        <f>IF(S182&lt;&gt;"",S182,IF(R182="","",R182))</f>
        <v/>
      </c>
      <c r="AM182" s="35">
        <f>IF(AK182="","",AK182*1000+N182*10+(1000-ROW())/100000)</f>
        <v/>
      </c>
    </row>
    <row r="183" ht="45" customHeight="1">
      <c r="A183" s="22">
        <f>IF(C183="","",COUNTA($C$7:C183))</f>
        <v/>
      </c>
      <c r="B183" s="23" t="n"/>
      <c r="C183" s="24" t="n"/>
      <c r="D183" s="25" t="n"/>
      <c r="E183" s="23" t="n"/>
      <c r="F183" s="26" t="n"/>
      <c r="G183" s="25" t="n"/>
      <c r="H183" s="25" t="n"/>
      <c r="I183" s="24" t="n"/>
      <c r="J183" s="24" t="n"/>
      <c r="K183" s="24" t="n"/>
      <c r="L183" s="26" t="n"/>
      <c r="M183" s="27">
        <f>IF(AK183="","",MID("CBA",AK183,1))</f>
        <v/>
      </c>
      <c r="N183" s="22">
        <f>IF(COUNT(AF183:AH183)&lt;3,"",AF183*AG183*AH183)</f>
        <v/>
      </c>
      <c r="O183" s="28">
        <f>IF(C183="","",IF(AJ183="","Bewertung unvollständig / incomplete","Matrix "&amp;MID("CBA",AJ183,1)&amp;IF(AND(Regel_haeufig="ja",AH183=3,AJ183&lt;3)," · häufig +1","")&amp;IF(AND(Regel_sicherheit="ja",AI183=1,AJ183+IF(AND(Regel_haeufig="ja",AH183=3),1,0)&lt;2)," · Sicherheit ⇒ B","")&amp;" → "&amp;M183))</f>
        <v/>
      </c>
      <c r="P183" s="29" t="n"/>
      <c r="Q183" s="25" t="n"/>
      <c r="R183" s="22">
        <f>IF(AK183="","",INDEX(Soll_Tabelle,4-AK183,IF(AH183=3,2,1)))</f>
        <v/>
      </c>
      <c r="S183" s="26" t="n"/>
      <c r="T183" s="22">
        <f>IF(AL183="","",MAX(0,AL183-N(P183)))</f>
        <v/>
      </c>
      <c r="U183" s="30" t="n"/>
      <c r="V183" s="31">
        <f>IF(OR(T183="",U183=""),"",T183*U183)</f>
        <v/>
      </c>
      <c r="W183" s="31">
        <f>IF(COUNT(AF183:AG183)&lt;2,"",INDEX(Stillstand_h,AG183)*INDEX(Kostensatz,AF183))</f>
        <v/>
      </c>
      <c r="X183" s="32">
        <f>IF(AK183="","",IF(T183=0,"Bestand ausreichend / stock sufficient",IF(U183="","Stückpreis fehlt / price missing",IF(V183=0,"–",IF(W183/V183&gt;=Faktor_wirtschaftlich,"wirtschaftlich (Faktor "&amp;FIXED(W183/V183,1)&amp;")","nicht wirtschaftlich (Faktor "&amp;FIXED(W183/V183,1)&amp;")")))))</f>
        <v/>
      </c>
      <c r="Y183" s="33">
        <f>IF(AK183="","",IF(AK183=3,IF(T183&gt;0,IF(AG183=3,"Sofort beschaffen: Restbestand / Gebrauchtmarkt / Alternative sichern","Mindestbestand aufbauen ("&amp;T183&amp;" Stk.)"),"Bestand halten, jährlich prüfen"),IF(AK183=2,IF(T183&gt;0,"Bevorratung nach Wirtschaftlichkeit entscheiden; Quelle / Reparatur klären","Lieferzeit und Teilestatus jährlich prüfen"),"Keine Bevorratung – Beschaffung bei Bedarf")))</f>
        <v/>
      </c>
      <c r="Z183" s="25" t="n"/>
      <c r="AA183" s="25" t="n"/>
      <c r="AB183" s="34" t="n"/>
      <c r="AC183" s="26" t="n"/>
      <c r="AD183" s="25" t="n"/>
      <c r="AE183" s="2" t="n"/>
      <c r="AF183" s="35">
        <f>IF(I183="","",VALUE(LEFT(I183,1)))</f>
        <v/>
      </c>
      <c r="AG183" s="35">
        <f>IF(J183="","",VALUE(LEFT(J183,1)))</f>
        <v/>
      </c>
      <c r="AH183" s="35">
        <f>IF(K183="","",VALUE(LEFT(K183,1)))</f>
        <v/>
      </c>
      <c r="AI183" s="35">
        <f>IF(LEFT(L183,2)="ja",1,0)</f>
        <v/>
      </c>
      <c r="AJ183" s="35">
        <f>IF(COUNT(AF183:AH183)&lt;3,"",FIND(INDEX(Matrix,4-AF183,AG183),"CBA"))</f>
        <v/>
      </c>
      <c r="AK183" s="35">
        <f>IF(AJ183="","",MIN(3,MAX(AJ183+IF(AND(Regel_haeufig="ja",AH183=3),1,0),IF(AND(Regel_sicherheit="ja",AI183=1),2,0))))</f>
        <v/>
      </c>
      <c r="AL183" s="35">
        <f>IF(S183&lt;&gt;"",S183,IF(R183="","",R183))</f>
        <v/>
      </c>
      <c r="AM183" s="35">
        <f>IF(AK183="","",AK183*1000+N183*10+(1000-ROW())/100000)</f>
        <v/>
      </c>
    </row>
    <row r="184" ht="45" customHeight="1">
      <c r="A184" s="22">
        <f>IF(C184="","",COUNTA($C$7:C184))</f>
        <v/>
      </c>
      <c r="B184" s="23" t="n"/>
      <c r="C184" s="24" t="n"/>
      <c r="D184" s="25" t="n"/>
      <c r="E184" s="23" t="n"/>
      <c r="F184" s="26" t="n"/>
      <c r="G184" s="25" t="n"/>
      <c r="H184" s="25" t="n"/>
      <c r="I184" s="24" t="n"/>
      <c r="J184" s="24" t="n"/>
      <c r="K184" s="24" t="n"/>
      <c r="L184" s="26" t="n"/>
      <c r="M184" s="27">
        <f>IF(AK184="","",MID("CBA",AK184,1))</f>
        <v/>
      </c>
      <c r="N184" s="22">
        <f>IF(COUNT(AF184:AH184)&lt;3,"",AF184*AG184*AH184)</f>
        <v/>
      </c>
      <c r="O184" s="28">
        <f>IF(C184="","",IF(AJ184="","Bewertung unvollständig / incomplete","Matrix "&amp;MID("CBA",AJ184,1)&amp;IF(AND(Regel_haeufig="ja",AH184=3,AJ184&lt;3)," · häufig +1","")&amp;IF(AND(Regel_sicherheit="ja",AI184=1,AJ184+IF(AND(Regel_haeufig="ja",AH184=3),1,0)&lt;2)," · Sicherheit ⇒ B","")&amp;" → "&amp;M184))</f>
        <v/>
      </c>
      <c r="P184" s="29" t="n"/>
      <c r="Q184" s="25" t="n"/>
      <c r="R184" s="22">
        <f>IF(AK184="","",INDEX(Soll_Tabelle,4-AK184,IF(AH184=3,2,1)))</f>
        <v/>
      </c>
      <c r="S184" s="26" t="n"/>
      <c r="T184" s="22">
        <f>IF(AL184="","",MAX(0,AL184-N(P184)))</f>
        <v/>
      </c>
      <c r="U184" s="30" t="n"/>
      <c r="V184" s="31">
        <f>IF(OR(T184="",U184=""),"",T184*U184)</f>
        <v/>
      </c>
      <c r="W184" s="31">
        <f>IF(COUNT(AF184:AG184)&lt;2,"",INDEX(Stillstand_h,AG184)*INDEX(Kostensatz,AF184))</f>
        <v/>
      </c>
      <c r="X184" s="32">
        <f>IF(AK184="","",IF(T184=0,"Bestand ausreichend / stock sufficient",IF(U184="","Stückpreis fehlt / price missing",IF(V184=0,"–",IF(W184/V184&gt;=Faktor_wirtschaftlich,"wirtschaftlich (Faktor "&amp;FIXED(W184/V184,1)&amp;")","nicht wirtschaftlich (Faktor "&amp;FIXED(W184/V184,1)&amp;")")))))</f>
        <v/>
      </c>
      <c r="Y184" s="33">
        <f>IF(AK184="","",IF(AK184=3,IF(T184&gt;0,IF(AG184=3,"Sofort beschaffen: Restbestand / Gebrauchtmarkt / Alternative sichern","Mindestbestand aufbauen ("&amp;T184&amp;" Stk.)"),"Bestand halten, jährlich prüfen"),IF(AK184=2,IF(T184&gt;0,"Bevorratung nach Wirtschaftlichkeit entscheiden; Quelle / Reparatur klären","Lieferzeit und Teilestatus jährlich prüfen"),"Keine Bevorratung – Beschaffung bei Bedarf")))</f>
        <v/>
      </c>
      <c r="Z184" s="25" t="n"/>
      <c r="AA184" s="25" t="n"/>
      <c r="AB184" s="34" t="n"/>
      <c r="AC184" s="26" t="n"/>
      <c r="AD184" s="25" t="n"/>
      <c r="AE184" s="2" t="n"/>
      <c r="AF184" s="35">
        <f>IF(I184="","",VALUE(LEFT(I184,1)))</f>
        <v/>
      </c>
      <c r="AG184" s="35">
        <f>IF(J184="","",VALUE(LEFT(J184,1)))</f>
        <v/>
      </c>
      <c r="AH184" s="35">
        <f>IF(K184="","",VALUE(LEFT(K184,1)))</f>
        <v/>
      </c>
      <c r="AI184" s="35">
        <f>IF(LEFT(L184,2)="ja",1,0)</f>
        <v/>
      </c>
      <c r="AJ184" s="35">
        <f>IF(COUNT(AF184:AH184)&lt;3,"",FIND(INDEX(Matrix,4-AF184,AG184),"CBA"))</f>
        <v/>
      </c>
      <c r="AK184" s="35">
        <f>IF(AJ184="","",MIN(3,MAX(AJ184+IF(AND(Regel_haeufig="ja",AH184=3),1,0),IF(AND(Regel_sicherheit="ja",AI184=1),2,0))))</f>
        <v/>
      </c>
      <c r="AL184" s="35">
        <f>IF(S184&lt;&gt;"",S184,IF(R184="","",R184))</f>
        <v/>
      </c>
      <c r="AM184" s="35">
        <f>IF(AK184="","",AK184*1000+N184*10+(1000-ROW())/100000)</f>
        <v/>
      </c>
    </row>
    <row r="185" ht="45" customHeight="1">
      <c r="A185" s="22">
        <f>IF(C185="","",COUNTA($C$7:C185))</f>
        <v/>
      </c>
      <c r="B185" s="23" t="n"/>
      <c r="C185" s="24" t="n"/>
      <c r="D185" s="25" t="n"/>
      <c r="E185" s="23" t="n"/>
      <c r="F185" s="26" t="n"/>
      <c r="G185" s="25" t="n"/>
      <c r="H185" s="25" t="n"/>
      <c r="I185" s="24" t="n"/>
      <c r="J185" s="24" t="n"/>
      <c r="K185" s="24" t="n"/>
      <c r="L185" s="26" t="n"/>
      <c r="M185" s="27">
        <f>IF(AK185="","",MID("CBA",AK185,1))</f>
        <v/>
      </c>
      <c r="N185" s="22">
        <f>IF(COUNT(AF185:AH185)&lt;3,"",AF185*AG185*AH185)</f>
        <v/>
      </c>
      <c r="O185" s="28">
        <f>IF(C185="","",IF(AJ185="","Bewertung unvollständig / incomplete","Matrix "&amp;MID("CBA",AJ185,1)&amp;IF(AND(Regel_haeufig="ja",AH185=3,AJ185&lt;3)," · häufig +1","")&amp;IF(AND(Regel_sicherheit="ja",AI185=1,AJ185+IF(AND(Regel_haeufig="ja",AH185=3),1,0)&lt;2)," · Sicherheit ⇒ B","")&amp;" → "&amp;M185))</f>
        <v/>
      </c>
      <c r="P185" s="29" t="n"/>
      <c r="Q185" s="25" t="n"/>
      <c r="R185" s="22">
        <f>IF(AK185="","",INDEX(Soll_Tabelle,4-AK185,IF(AH185=3,2,1)))</f>
        <v/>
      </c>
      <c r="S185" s="26" t="n"/>
      <c r="T185" s="22">
        <f>IF(AL185="","",MAX(0,AL185-N(P185)))</f>
        <v/>
      </c>
      <c r="U185" s="30" t="n"/>
      <c r="V185" s="31">
        <f>IF(OR(T185="",U185=""),"",T185*U185)</f>
        <v/>
      </c>
      <c r="W185" s="31">
        <f>IF(COUNT(AF185:AG185)&lt;2,"",INDEX(Stillstand_h,AG185)*INDEX(Kostensatz,AF185))</f>
        <v/>
      </c>
      <c r="X185" s="32">
        <f>IF(AK185="","",IF(T185=0,"Bestand ausreichend / stock sufficient",IF(U185="","Stückpreis fehlt / price missing",IF(V185=0,"–",IF(W185/V185&gt;=Faktor_wirtschaftlich,"wirtschaftlich (Faktor "&amp;FIXED(W185/V185,1)&amp;")","nicht wirtschaftlich (Faktor "&amp;FIXED(W185/V185,1)&amp;")")))))</f>
        <v/>
      </c>
      <c r="Y185" s="33">
        <f>IF(AK185="","",IF(AK185=3,IF(T185&gt;0,IF(AG185=3,"Sofort beschaffen: Restbestand / Gebrauchtmarkt / Alternative sichern","Mindestbestand aufbauen ("&amp;T185&amp;" Stk.)"),"Bestand halten, jährlich prüfen"),IF(AK185=2,IF(T185&gt;0,"Bevorratung nach Wirtschaftlichkeit entscheiden; Quelle / Reparatur klären","Lieferzeit und Teilestatus jährlich prüfen"),"Keine Bevorratung – Beschaffung bei Bedarf")))</f>
        <v/>
      </c>
      <c r="Z185" s="25" t="n"/>
      <c r="AA185" s="25" t="n"/>
      <c r="AB185" s="34" t="n"/>
      <c r="AC185" s="26" t="n"/>
      <c r="AD185" s="25" t="n"/>
      <c r="AE185" s="2" t="n"/>
      <c r="AF185" s="35">
        <f>IF(I185="","",VALUE(LEFT(I185,1)))</f>
        <v/>
      </c>
      <c r="AG185" s="35">
        <f>IF(J185="","",VALUE(LEFT(J185,1)))</f>
        <v/>
      </c>
      <c r="AH185" s="35">
        <f>IF(K185="","",VALUE(LEFT(K185,1)))</f>
        <v/>
      </c>
      <c r="AI185" s="35">
        <f>IF(LEFT(L185,2)="ja",1,0)</f>
        <v/>
      </c>
      <c r="AJ185" s="35">
        <f>IF(COUNT(AF185:AH185)&lt;3,"",FIND(INDEX(Matrix,4-AF185,AG185),"CBA"))</f>
        <v/>
      </c>
      <c r="AK185" s="35">
        <f>IF(AJ185="","",MIN(3,MAX(AJ185+IF(AND(Regel_haeufig="ja",AH185=3),1,0),IF(AND(Regel_sicherheit="ja",AI185=1),2,0))))</f>
        <v/>
      </c>
      <c r="AL185" s="35">
        <f>IF(S185&lt;&gt;"",S185,IF(R185="","",R185))</f>
        <v/>
      </c>
      <c r="AM185" s="35">
        <f>IF(AK185="","",AK185*1000+N185*10+(1000-ROW())/100000)</f>
        <v/>
      </c>
    </row>
    <row r="186" ht="45" customHeight="1">
      <c r="A186" s="22">
        <f>IF(C186="","",COUNTA($C$7:C186))</f>
        <v/>
      </c>
      <c r="B186" s="23" t="n"/>
      <c r="C186" s="24" t="n"/>
      <c r="D186" s="25" t="n"/>
      <c r="E186" s="23" t="n"/>
      <c r="F186" s="26" t="n"/>
      <c r="G186" s="25" t="n"/>
      <c r="H186" s="25" t="n"/>
      <c r="I186" s="24" t="n"/>
      <c r="J186" s="24" t="n"/>
      <c r="K186" s="24" t="n"/>
      <c r="L186" s="26" t="n"/>
      <c r="M186" s="27">
        <f>IF(AK186="","",MID("CBA",AK186,1))</f>
        <v/>
      </c>
      <c r="N186" s="22">
        <f>IF(COUNT(AF186:AH186)&lt;3,"",AF186*AG186*AH186)</f>
        <v/>
      </c>
      <c r="O186" s="28">
        <f>IF(C186="","",IF(AJ186="","Bewertung unvollständig / incomplete","Matrix "&amp;MID("CBA",AJ186,1)&amp;IF(AND(Regel_haeufig="ja",AH186=3,AJ186&lt;3)," · häufig +1","")&amp;IF(AND(Regel_sicherheit="ja",AI186=1,AJ186+IF(AND(Regel_haeufig="ja",AH186=3),1,0)&lt;2)," · Sicherheit ⇒ B","")&amp;" → "&amp;M186))</f>
        <v/>
      </c>
      <c r="P186" s="29" t="n"/>
      <c r="Q186" s="25" t="n"/>
      <c r="R186" s="22">
        <f>IF(AK186="","",INDEX(Soll_Tabelle,4-AK186,IF(AH186=3,2,1)))</f>
        <v/>
      </c>
      <c r="S186" s="26" t="n"/>
      <c r="T186" s="22">
        <f>IF(AL186="","",MAX(0,AL186-N(P186)))</f>
        <v/>
      </c>
      <c r="U186" s="30" t="n"/>
      <c r="V186" s="31">
        <f>IF(OR(T186="",U186=""),"",T186*U186)</f>
        <v/>
      </c>
      <c r="W186" s="31">
        <f>IF(COUNT(AF186:AG186)&lt;2,"",INDEX(Stillstand_h,AG186)*INDEX(Kostensatz,AF186))</f>
        <v/>
      </c>
      <c r="X186" s="32">
        <f>IF(AK186="","",IF(T186=0,"Bestand ausreichend / stock sufficient",IF(U186="","Stückpreis fehlt / price missing",IF(V186=0,"–",IF(W186/V186&gt;=Faktor_wirtschaftlich,"wirtschaftlich (Faktor "&amp;FIXED(W186/V186,1)&amp;")","nicht wirtschaftlich (Faktor "&amp;FIXED(W186/V186,1)&amp;")")))))</f>
        <v/>
      </c>
      <c r="Y186" s="33">
        <f>IF(AK186="","",IF(AK186=3,IF(T186&gt;0,IF(AG186=3,"Sofort beschaffen: Restbestand / Gebrauchtmarkt / Alternative sichern","Mindestbestand aufbauen ("&amp;T186&amp;" Stk.)"),"Bestand halten, jährlich prüfen"),IF(AK186=2,IF(T186&gt;0,"Bevorratung nach Wirtschaftlichkeit entscheiden; Quelle / Reparatur klären","Lieferzeit und Teilestatus jährlich prüfen"),"Keine Bevorratung – Beschaffung bei Bedarf")))</f>
        <v/>
      </c>
      <c r="Z186" s="25" t="n"/>
      <c r="AA186" s="25" t="n"/>
      <c r="AB186" s="34" t="n"/>
      <c r="AC186" s="26" t="n"/>
      <c r="AD186" s="25" t="n"/>
      <c r="AE186" s="2" t="n"/>
      <c r="AF186" s="35">
        <f>IF(I186="","",VALUE(LEFT(I186,1)))</f>
        <v/>
      </c>
      <c r="AG186" s="35">
        <f>IF(J186="","",VALUE(LEFT(J186,1)))</f>
        <v/>
      </c>
      <c r="AH186" s="35">
        <f>IF(K186="","",VALUE(LEFT(K186,1)))</f>
        <v/>
      </c>
      <c r="AI186" s="35">
        <f>IF(LEFT(L186,2)="ja",1,0)</f>
        <v/>
      </c>
      <c r="AJ186" s="35">
        <f>IF(COUNT(AF186:AH186)&lt;3,"",FIND(INDEX(Matrix,4-AF186,AG186),"CBA"))</f>
        <v/>
      </c>
      <c r="AK186" s="35">
        <f>IF(AJ186="","",MIN(3,MAX(AJ186+IF(AND(Regel_haeufig="ja",AH186=3),1,0),IF(AND(Regel_sicherheit="ja",AI186=1),2,0))))</f>
        <v/>
      </c>
      <c r="AL186" s="35">
        <f>IF(S186&lt;&gt;"",S186,IF(R186="","",R186))</f>
        <v/>
      </c>
      <c r="AM186" s="35">
        <f>IF(AK186="","",AK186*1000+N186*10+(1000-ROW())/100000)</f>
        <v/>
      </c>
    </row>
    <row r="187" ht="45" customHeight="1">
      <c r="A187" s="22">
        <f>IF(C187="","",COUNTA($C$7:C187))</f>
        <v/>
      </c>
      <c r="B187" s="23" t="n"/>
      <c r="C187" s="24" t="n"/>
      <c r="D187" s="25" t="n"/>
      <c r="E187" s="23" t="n"/>
      <c r="F187" s="26" t="n"/>
      <c r="G187" s="25" t="n"/>
      <c r="H187" s="25" t="n"/>
      <c r="I187" s="24" t="n"/>
      <c r="J187" s="24" t="n"/>
      <c r="K187" s="24" t="n"/>
      <c r="L187" s="26" t="n"/>
      <c r="M187" s="27">
        <f>IF(AK187="","",MID("CBA",AK187,1))</f>
        <v/>
      </c>
      <c r="N187" s="22">
        <f>IF(COUNT(AF187:AH187)&lt;3,"",AF187*AG187*AH187)</f>
        <v/>
      </c>
      <c r="O187" s="28">
        <f>IF(C187="","",IF(AJ187="","Bewertung unvollständig / incomplete","Matrix "&amp;MID("CBA",AJ187,1)&amp;IF(AND(Regel_haeufig="ja",AH187=3,AJ187&lt;3)," · häufig +1","")&amp;IF(AND(Regel_sicherheit="ja",AI187=1,AJ187+IF(AND(Regel_haeufig="ja",AH187=3),1,0)&lt;2)," · Sicherheit ⇒ B","")&amp;" → "&amp;M187))</f>
        <v/>
      </c>
      <c r="P187" s="29" t="n"/>
      <c r="Q187" s="25" t="n"/>
      <c r="R187" s="22">
        <f>IF(AK187="","",INDEX(Soll_Tabelle,4-AK187,IF(AH187=3,2,1)))</f>
        <v/>
      </c>
      <c r="S187" s="26" t="n"/>
      <c r="T187" s="22">
        <f>IF(AL187="","",MAX(0,AL187-N(P187)))</f>
        <v/>
      </c>
      <c r="U187" s="30" t="n"/>
      <c r="V187" s="31">
        <f>IF(OR(T187="",U187=""),"",T187*U187)</f>
        <v/>
      </c>
      <c r="W187" s="31">
        <f>IF(COUNT(AF187:AG187)&lt;2,"",INDEX(Stillstand_h,AG187)*INDEX(Kostensatz,AF187))</f>
        <v/>
      </c>
      <c r="X187" s="32">
        <f>IF(AK187="","",IF(T187=0,"Bestand ausreichend / stock sufficient",IF(U187="","Stückpreis fehlt / price missing",IF(V187=0,"–",IF(W187/V187&gt;=Faktor_wirtschaftlich,"wirtschaftlich (Faktor "&amp;FIXED(W187/V187,1)&amp;")","nicht wirtschaftlich (Faktor "&amp;FIXED(W187/V187,1)&amp;")")))))</f>
        <v/>
      </c>
      <c r="Y187" s="33">
        <f>IF(AK187="","",IF(AK187=3,IF(T187&gt;0,IF(AG187=3,"Sofort beschaffen: Restbestand / Gebrauchtmarkt / Alternative sichern","Mindestbestand aufbauen ("&amp;T187&amp;" Stk.)"),"Bestand halten, jährlich prüfen"),IF(AK187=2,IF(T187&gt;0,"Bevorratung nach Wirtschaftlichkeit entscheiden; Quelle / Reparatur klären","Lieferzeit und Teilestatus jährlich prüfen"),"Keine Bevorratung – Beschaffung bei Bedarf")))</f>
        <v/>
      </c>
      <c r="Z187" s="25" t="n"/>
      <c r="AA187" s="25" t="n"/>
      <c r="AB187" s="34" t="n"/>
      <c r="AC187" s="26" t="n"/>
      <c r="AD187" s="25" t="n"/>
      <c r="AE187" s="2" t="n"/>
      <c r="AF187" s="35">
        <f>IF(I187="","",VALUE(LEFT(I187,1)))</f>
        <v/>
      </c>
      <c r="AG187" s="35">
        <f>IF(J187="","",VALUE(LEFT(J187,1)))</f>
        <v/>
      </c>
      <c r="AH187" s="35">
        <f>IF(K187="","",VALUE(LEFT(K187,1)))</f>
        <v/>
      </c>
      <c r="AI187" s="35">
        <f>IF(LEFT(L187,2)="ja",1,0)</f>
        <v/>
      </c>
      <c r="AJ187" s="35">
        <f>IF(COUNT(AF187:AH187)&lt;3,"",FIND(INDEX(Matrix,4-AF187,AG187),"CBA"))</f>
        <v/>
      </c>
      <c r="AK187" s="35">
        <f>IF(AJ187="","",MIN(3,MAX(AJ187+IF(AND(Regel_haeufig="ja",AH187=3),1,0),IF(AND(Regel_sicherheit="ja",AI187=1),2,0))))</f>
        <v/>
      </c>
      <c r="AL187" s="35">
        <f>IF(S187&lt;&gt;"",S187,IF(R187="","",R187))</f>
        <v/>
      </c>
      <c r="AM187" s="35">
        <f>IF(AK187="","",AK187*1000+N187*10+(1000-ROW())/100000)</f>
        <v/>
      </c>
    </row>
    <row r="188" ht="45" customHeight="1">
      <c r="A188" s="22">
        <f>IF(C188="","",COUNTA($C$7:C188))</f>
        <v/>
      </c>
      <c r="B188" s="23" t="n"/>
      <c r="C188" s="24" t="n"/>
      <c r="D188" s="25" t="n"/>
      <c r="E188" s="23" t="n"/>
      <c r="F188" s="26" t="n"/>
      <c r="G188" s="25" t="n"/>
      <c r="H188" s="25" t="n"/>
      <c r="I188" s="24" t="n"/>
      <c r="J188" s="24" t="n"/>
      <c r="K188" s="24" t="n"/>
      <c r="L188" s="26" t="n"/>
      <c r="M188" s="27">
        <f>IF(AK188="","",MID("CBA",AK188,1))</f>
        <v/>
      </c>
      <c r="N188" s="22">
        <f>IF(COUNT(AF188:AH188)&lt;3,"",AF188*AG188*AH188)</f>
        <v/>
      </c>
      <c r="O188" s="28">
        <f>IF(C188="","",IF(AJ188="","Bewertung unvollständig / incomplete","Matrix "&amp;MID("CBA",AJ188,1)&amp;IF(AND(Regel_haeufig="ja",AH188=3,AJ188&lt;3)," · häufig +1","")&amp;IF(AND(Regel_sicherheit="ja",AI188=1,AJ188+IF(AND(Regel_haeufig="ja",AH188=3),1,0)&lt;2)," · Sicherheit ⇒ B","")&amp;" → "&amp;M188))</f>
        <v/>
      </c>
      <c r="P188" s="29" t="n"/>
      <c r="Q188" s="25" t="n"/>
      <c r="R188" s="22">
        <f>IF(AK188="","",INDEX(Soll_Tabelle,4-AK188,IF(AH188=3,2,1)))</f>
        <v/>
      </c>
      <c r="S188" s="26" t="n"/>
      <c r="T188" s="22">
        <f>IF(AL188="","",MAX(0,AL188-N(P188)))</f>
        <v/>
      </c>
      <c r="U188" s="30" t="n"/>
      <c r="V188" s="31">
        <f>IF(OR(T188="",U188=""),"",T188*U188)</f>
        <v/>
      </c>
      <c r="W188" s="31">
        <f>IF(COUNT(AF188:AG188)&lt;2,"",INDEX(Stillstand_h,AG188)*INDEX(Kostensatz,AF188))</f>
        <v/>
      </c>
      <c r="X188" s="32">
        <f>IF(AK188="","",IF(T188=0,"Bestand ausreichend / stock sufficient",IF(U188="","Stückpreis fehlt / price missing",IF(V188=0,"–",IF(W188/V188&gt;=Faktor_wirtschaftlich,"wirtschaftlich (Faktor "&amp;FIXED(W188/V188,1)&amp;")","nicht wirtschaftlich (Faktor "&amp;FIXED(W188/V188,1)&amp;")")))))</f>
        <v/>
      </c>
      <c r="Y188" s="33">
        <f>IF(AK188="","",IF(AK188=3,IF(T188&gt;0,IF(AG188=3,"Sofort beschaffen: Restbestand / Gebrauchtmarkt / Alternative sichern","Mindestbestand aufbauen ("&amp;T188&amp;" Stk.)"),"Bestand halten, jährlich prüfen"),IF(AK188=2,IF(T188&gt;0,"Bevorratung nach Wirtschaftlichkeit entscheiden; Quelle / Reparatur klären","Lieferzeit und Teilestatus jährlich prüfen"),"Keine Bevorratung – Beschaffung bei Bedarf")))</f>
        <v/>
      </c>
      <c r="Z188" s="25" t="n"/>
      <c r="AA188" s="25" t="n"/>
      <c r="AB188" s="34" t="n"/>
      <c r="AC188" s="26" t="n"/>
      <c r="AD188" s="25" t="n"/>
      <c r="AE188" s="2" t="n"/>
      <c r="AF188" s="35">
        <f>IF(I188="","",VALUE(LEFT(I188,1)))</f>
        <v/>
      </c>
      <c r="AG188" s="35">
        <f>IF(J188="","",VALUE(LEFT(J188,1)))</f>
        <v/>
      </c>
      <c r="AH188" s="35">
        <f>IF(K188="","",VALUE(LEFT(K188,1)))</f>
        <v/>
      </c>
      <c r="AI188" s="35">
        <f>IF(LEFT(L188,2)="ja",1,0)</f>
        <v/>
      </c>
      <c r="AJ188" s="35">
        <f>IF(COUNT(AF188:AH188)&lt;3,"",FIND(INDEX(Matrix,4-AF188,AG188),"CBA"))</f>
        <v/>
      </c>
      <c r="AK188" s="35">
        <f>IF(AJ188="","",MIN(3,MAX(AJ188+IF(AND(Regel_haeufig="ja",AH188=3),1,0),IF(AND(Regel_sicherheit="ja",AI188=1),2,0))))</f>
        <v/>
      </c>
      <c r="AL188" s="35">
        <f>IF(S188&lt;&gt;"",S188,IF(R188="","",R188))</f>
        <v/>
      </c>
      <c r="AM188" s="35">
        <f>IF(AK188="","",AK188*1000+N188*10+(1000-ROW())/100000)</f>
        <v/>
      </c>
    </row>
    <row r="189" ht="45" customHeight="1">
      <c r="A189" s="22">
        <f>IF(C189="","",COUNTA($C$7:C189))</f>
        <v/>
      </c>
      <c r="B189" s="23" t="n"/>
      <c r="C189" s="24" t="n"/>
      <c r="D189" s="25" t="n"/>
      <c r="E189" s="23" t="n"/>
      <c r="F189" s="26" t="n"/>
      <c r="G189" s="25" t="n"/>
      <c r="H189" s="25" t="n"/>
      <c r="I189" s="24" t="n"/>
      <c r="J189" s="24" t="n"/>
      <c r="K189" s="24" t="n"/>
      <c r="L189" s="26" t="n"/>
      <c r="M189" s="27">
        <f>IF(AK189="","",MID("CBA",AK189,1))</f>
        <v/>
      </c>
      <c r="N189" s="22">
        <f>IF(COUNT(AF189:AH189)&lt;3,"",AF189*AG189*AH189)</f>
        <v/>
      </c>
      <c r="O189" s="28">
        <f>IF(C189="","",IF(AJ189="","Bewertung unvollständig / incomplete","Matrix "&amp;MID("CBA",AJ189,1)&amp;IF(AND(Regel_haeufig="ja",AH189=3,AJ189&lt;3)," · häufig +1","")&amp;IF(AND(Regel_sicherheit="ja",AI189=1,AJ189+IF(AND(Regel_haeufig="ja",AH189=3),1,0)&lt;2)," · Sicherheit ⇒ B","")&amp;" → "&amp;M189))</f>
        <v/>
      </c>
      <c r="P189" s="29" t="n"/>
      <c r="Q189" s="25" t="n"/>
      <c r="R189" s="22">
        <f>IF(AK189="","",INDEX(Soll_Tabelle,4-AK189,IF(AH189=3,2,1)))</f>
        <v/>
      </c>
      <c r="S189" s="26" t="n"/>
      <c r="T189" s="22">
        <f>IF(AL189="","",MAX(0,AL189-N(P189)))</f>
        <v/>
      </c>
      <c r="U189" s="30" t="n"/>
      <c r="V189" s="31">
        <f>IF(OR(T189="",U189=""),"",T189*U189)</f>
        <v/>
      </c>
      <c r="W189" s="31">
        <f>IF(COUNT(AF189:AG189)&lt;2,"",INDEX(Stillstand_h,AG189)*INDEX(Kostensatz,AF189))</f>
        <v/>
      </c>
      <c r="X189" s="32">
        <f>IF(AK189="","",IF(T189=0,"Bestand ausreichend / stock sufficient",IF(U189="","Stückpreis fehlt / price missing",IF(V189=0,"–",IF(W189/V189&gt;=Faktor_wirtschaftlich,"wirtschaftlich (Faktor "&amp;FIXED(W189/V189,1)&amp;")","nicht wirtschaftlich (Faktor "&amp;FIXED(W189/V189,1)&amp;")")))))</f>
        <v/>
      </c>
      <c r="Y189" s="33">
        <f>IF(AK189="","",IF(AK189=3,IF(T189&gt;0,IF(AG189=3,"Sofort beschaffen: Restbestand / Gebrauchtmarkt / Alternative sichern","Mindestbestand aufbauen ("&amp;T189&amp;" Stk.)"),"Bestand halten, jährlich prüfen"),IF(AK189=2,IF(T189&gt;0,"Bevorratung nach Wirtschaftlichkeit entscheiden; Quelle / Reparatur klären","Lieferzeit und Teilestatus jährlich prüfen"),"Keine Bevorratung – Beschaffung bei Bedarf")))</f>
        <v/>
      </c>
      <c r="Z189" s="25" t="n"/>
      <c r="AA189" s="25" t="n"/>
      <c r="AB189" s="34" t="n"/>
      <c r="AC189" s="26" t="n"/>
      <c r="AD189" s="25" t="n"/>
      <c r="AE189" s="2" t="n"/>
      <c r="AF189" s="35">
        <f>IF(I189="","",VALUE(LEFT(I189,1)))</f>
        <v/>
      </c>
      <c r="AG189" s="35">
        <f>IF(J189="","",VALUE(LEFT(J189,1)))</f>
        <v/>
      </c>
      <c r="AH189" s="35">
        <f>IF(K189="","",VALUE(LEFT(K189,1)))</f>
        <v/>
      </c>
      <c r="AI189" s="35">
        <f>IF(LEFT(L189,2)="ja",1,0)</f>
        <v/>
      </c>
      <c r="AJ189" s="35">
        <f>IF(COUNT(AF189:AH189)&lt;3,"",FIND(INDEX(Matrix,4-AF189,AG189),"CBA"))</f>
        <v/>
      </c>
      <c r="AK189" s="35">
        <f>IF(AJ189="","",MIN(3,MAX(AJ189+IF(AND(Regel_haeufig="ja",AH189=3),1,0),IF(AND(Regel_sicherheit="ja",AI189=1),2,0))))</f>
        <v/>
      </c>
      <c r="AL189" s="35">
        <f>IF(S189&lt;&gt;"",S189,IF(R189="","",R189))</f>
        <v/>
      </c>
      <c r="AM189" s="35">
        <f>IF(AK189="","",AK189*1000+N189*10+(1000-ROW())/100000)</f>
        <v/>
      </c>
    </row>
    <row r="190" ht="45" customHeight="1">
      <c r="A190" s="22">
        <f>IF(C190="","",COUNTA($C$7:C190))</f>
        <v/>
      </c>
      <c r="B190" s="23" t="n"/>
      <c r="C190" s="24" t="n"/>
      <c r="D190" s="25" t="n"/>
      <c r="E190" s="23" t="n"/>
      <c r="F190" s="26" t="n"/>
      <c r="G190" s="25" t="n"/>
      <c r="H190" s="25" t="n"/>
      <c r="I190" s="24" t="n"/>
      <c r="J190" s="24" t="n"/>
      <c r="K190" s="24" t="n"/>
      <c r="L190" s="26" t="n"/>
      <c r="M190" s="27">
        <f>IF(AK190="","",MID("CBA",AK190,1))</f>
        <v/>
      </c>
      <c r="N190" s="22">
        <f>IF(COUNT(AF190:AH190)&lt;3,"",AF190*AG190*AH190)</f>
        <v/>
      </c>
      <c r="O190" s="28">
        <f>IF(C190="","",IF(AJ190="","Bewertung unvollständig / incomplete","Matrix "&amp;MID("CBA",AJ190,1)&amp;IF(AND(Regel_haeufig="ja",AH190=3,AJ190&lt;3)," · häufig +1","")&amp;IF(AND(Regel_sicherheit="ja",AI190=1,AJ190+IF(AND(Regel_haeufig="ja",AH190=3),1,0)&lt;2)," · Sicherheit ⇒ B","")&amp;" → "&amp;M190))</f>
        <v/>
      </c>
      <c r="P190" s="29" t="n"/>
      <c r="Q190" s="25" t="n"/>
      <c r="R190" s="22">
        <f>IF(AK190="","",INDEX(Soll_Tabelle,4-AK190,IF(AH190=3,2,1)))</f>
        <v/>
      </c>
      <c r="S190" s="26" t="n"/>
      <c r="T190" s="22">
        <f>IF(AL190="","",MAX(0,AL190-N(P190)))</f>
        <v/>
      </c>
      <c r="U190" s="30" t="n"/>
      <c r="V190" s="31">
        <f>IF(OR(T190="",U190=""),"",T190*U190)</f>
        <v/>
      </c>
      <c r="W190" s="31">
        <f>IF(COUNT(AF190:AG190)&lt;2,"",INDEX(Stillstand_h,AG190)*INDEX(Kostensatz,AF190))</f>
        <v/>
      </c>
      <c r="X190" s="32">
        <f>IF(AK190="","",IF(T190=0,"Bestand ausreichend / stock sufficient",IF(U190="","Stückpreis fehlt / price missing",IF(V190=0,"–",IF(W190/V190&gt;=Faktor_wirtschaftlich,"wirtschaftlich (Faktor "&amp;FIXED(W190/V190,1)&amp;")","nicht wirtschaftlich (Faktor "&amp;FIXED(W190/V190,1)&amp;")")))))</f>
        <v/>
      </c>
      <c r="Y190" s="33">
        <f>IF(AK190="","",IF(AK190=3,IF(T190&gt;0,IF(AG190=3,"Sofort beschaffen: Restbestand / Gebrauchtmarkt / Alternative sichern","Mindestbestand aufbauen ("&amp;T190&amp;" Stk.)"),"Bestand halten, jährlich prüfen"),IF(AK190=2,IF(T190&gt;0,"Bevorratung nach Wirtschaftlichkeit entscheiden; Quelle / Reparatur klären","Lieferzeit und Teilestatus jährlich prüfen"),"Keine Bevorratung – Beschaffung bei Bedarf")))</f>
        <v/>
      </c>
      <c r="Z190" s="25" t="n"/>
      <c r="AA190" s="25" t="n"/>
      <c r="AB190" s="34" t="n"/>
      <c r="AC190" s="26" t="n"/>
      <c r="AD190" s="25" t="n"/>
      <c r="AE190" s="2" t="n"/>
      <c r="AF190" s="35">
        <f>IF(I190="","",VALUE(LEFT(I190,1)))</f>
        <v/>
      </c>
      <c r="AG190" s="35">
        <f>IF(J190="","",VALUE(LEFT(J190,1)))</f>
        <v/>
      </c>
      <c r="AH190" s="35">
        <f>IF(K190="","",VALUE(LEFT(K190,1)))</f>
        <v/>
      </c>
      <c r="AI190" s="35">
        <f>IF(LEFT(L190,2)="ja",1,0)</f>
        <v/>
      </c>
      <c r="AJ190" s="35">
        <f>IF(COUNT(AF190:AH190)&lt;3,"",FIND(INDEX(Matrix,4-AF190,AG190),"CBA"))</f>
        <v/>
      </c>
      <c r="AK190" s="35">
        <f>IF(AJ190="","",MIN(3,MAX(AJ190+IF(AND(Regel_haeufig="ja",AH190=3),1,0),IF(AND(Regel_sicherheit="ja",AI190=1),2,0))))</f>
        <v/>
      </c>
      <c r="AL190" s="35">
        <f>IF(S190&lt;&gt;"",S190,IF(R190="","",R190))</f>
        <v/>
      </c>
      <c r="AM190" s="35">
        <f>IF(AK190="","",AK190*1000+N190*10+(1000-ROW())/100000)</f>
        <v/>
      </c>
    </row>
    <row r="191" ht="45" customHeight="1">
      <c r="A191" s="22">
        <f>IF(C191="","",COUNTA($C$7:C191))</f>
        <v/>
      </c>
      <c r="B191" s="23" t="n"/>
      <c r="C191" s="24" t="n"/>
      <c r="D191" s="25" t="n"/>
      <c r="E191" s="23" t="n"/>
      <c r="F191" s="26" t="n"/>
      <c r="G191" s="25" t="n"/>
      <c r="H191" s="25" t="n"/>
      <c r="I191" s="24" t="n"/>
      <c r="J191" s="24" t="n"/>
      <c r="K191" s="24" t="n"/>
      <c r="L191" s="26" t="n"/>
      <c r="M191" s="27">
        <f>IF(AK191="","",MID("CBA",AK191,1))</f>
        <v/>
      </c>
      <c r="N191" s="22">
        <f>IF(COUNT(AF191:AH191)&lt;3,"",AF191*AG191*AH191)</f>
        <v/>
      </c>
      <c r="O191" s="28">
        <f>IF(C191="","",IF(AJ191="","Bewertung unvollständig / incomplete","Matrix "&amp;MID("CBA",AJ191,1)&amp;IF(AND(Regel_haeufig="ja",AH191=3,AJ191&lt;3)," · häufig +1","")&amp;IF(AND(Regel_sicherheit="ja",AI191=1,AJ191+IF(AND(Regel_haeufig="ja",AH191=3),1,0)&lt;2)," · Sicherheit ⇒ B","")&amp;" → "&amp;M191))</f>
        <v/>
      </c>
      <c r="P191" s="29" t="n"/>
      <c r="Q191" s="25" t="n"/>
      <c r="R191" s="22">
        <f>IF(AK191="","",INDEX(Soll_Tabelle,4-AK191,IF(AH191=3,2,1)))</f>
        <v/>
      </c>
      <c r="S191" s="26" t="n"/>
      <c r="T191" s="22">
        <f>IF(AL191="","",MAX(0,AL191-N(P191)))</f>
        <v/>
      </c>
      <c r="U191" s="30" t="n"/>
      <c r="V191" s="31">
        <f>IF(OR(T191="",U191=""),"",T191*U191)</f>
        <v/>
      </c>
      <c r="W191" s="31">
        <f>IF(COUNT(AF191:AG191)&lt;2,"",INDEX(Stillstand_h,AG191)*INDEX(Kostensatz,AF191))</f>
        <v/>
      </c>
      <c r="X191" s="32">
        <f>IF(AK191="","",IF(T191=0,"Bestand ausreichend / stock sufficient",IF(U191="","Stückpreis fehlt / price missing",IF(V191=0,"–",IF(W191/V191&gt;=Faktor_wirtschaftlich,"wirtschaftlich (Faktor "&amp;FIXED(W191/V191,1)&amp;")","nicht wirtschaftlich (Faktor "&amp;FIXED(W191/V191,1)&amp;")")))))</f>
        <v/>
      </c>
      <c r="Y191" s="33">
        <f>IF(AK191="","",IF(AK191=3,IF(T191&gt;0,IF(AG191=3,"Sofort beschaffen: Restbestand / Gebrauchtmarkt / Alternative sichern","Mindestbestand aufbauen ("&amp;T191&amp;" Stk.)"),"Bestand halten, jährlich prüfen"),IF(AK191=2,IF(T191&gt;0,"Bevorratung nach Wirtschaftlichkeit entscheiden; Quelle / Reparatur klären","Lieferzeit und Teilestatus jährlich prüfen"),"Keine Bevorratung – Beschaffung bei Bedarf")))</f>
        <v/>
      </c>
      <c r="Z191" s="25" t="n"/>
      <c r="AA191" s="25" t="n"/>
      <c r="AB191" s="34" t="n"/>
      <c r="AC191" s="26" t="n"/>
      <c r="AD191" s="25" t="n"/>
      <c r="AE191" s="2" t="n"/>
      <c r="AF191" s="35">
        <f>IF(I191="","",VALUE(LEFT(I191,1)))</f>
        <v/>
      </c>
      <c r="AG191" s="35">
        <f>IF(J191="","",VALUE(LEFT(J191,1)))</f>
        <v/>
      </c>
      <c r="AH191" s="35">
        <f>IF(K191="","",VALUE(LEFT(K191,1)))</f>
        <v/>
      </c>
      <c r="AI191" s="35">
        <f>IF(LEFT(L191,2)="ja",1,0)</f>
        <v/>
      </c>
      <c r="AJ191" s="35">
        <f>IF(COUNT(AF191:AH191)&lt;3,"",FIND(INDEX(Matrix,4-AF191,AG191),"CBA"))</f>
        <v/>
      </c>
      <c r="AK191" s="35">
        <f>IF(AJ191="","",MIN(3,MAX(AJ191+IF(AND(Regel_haeufig="ja",AH191=3),1,0),IF(AND(Regel_sicherheit="ja",AI191=1),2,0))))</f>
        <v/>
      </c>
      <c r="AL191" s="35">
        <f>IF(S191&lt;&gt;"",S191,IF(R191="","",R191))</f>
        <v/>
      </c>
      <c r="AM191" s="35">
        <f>IF(AK191="","",AK191*1000+N191*10+(1000-ROW())/100000)</f>
        <v/>
      </c>
    </row>
    <row r="192" ht="45" customHeight="1">
      <c r="A192" s="22">
        <f>IF(C192="","",COUNTA($C$7:C192))</f>
        <v/>
      </c>
      <c r="B192" s="23" t="n"/>
      <c r="C192" s="24" t="n"/>
      <c r="D192" s="25" t="n"/>
      <c r="E192" s="23" t="n"/>
      <c r="F192" s="26" t="n"/>
      <c r="G192" s="25" t="n"/>
      <c r="H192" s="25" t="n"/>
      <c r="I192" s="24" t="n"/>
      <c r="J192" s="24" t="n"/>
      <c r="K192" s="24" t="n"/>
      <c r="L192" s="26" t="n"/>
      <c r="M192" s="27">
        <f>IF(AK192="","",MID("CBA",AK192,1))</f>
        <v/>
      </c>
      <c r="N192" s="22">
        <f>IF(COUNT(AF192:AH192)&lt;3,"",AF192*AG192*AH192)</f>
        <v/>
      </c>
      <c r="O192" s="28">
        <f>IF(C192="","",IF(AJ192="","Bewertung unvollständig / incomplete","Matrix "&amp;MID("CBA",AJ192,1)&amp;IF(AND(Regel_haeufig="ja",AH192=3,AJ192&lt;3)," · häufig +1","")&amp;IF(AND(Regel_sicherheit="ja",AI192=1,AJ192+IF(AND(Regel_haeufig="ja",AH192=3),1,0)&lt;2)," · Sicherheit ⇒ B","")&amp;" → "&amp;M192))</f>
        <v/>
      </c>
      <c r="P192" s="29" t="n"/>
      <c r="Q192" s="25" t="n"/>
      <c r="R192" s="22">
        <f>IF(AK192="","",INDEX(Soll_Tabelle,4-AK192,IF(AH192=3,2,1)))</f>
        <v/>
      </c>
      <c r="S192" s="26" t="n"/>
      <c r="T192" s="22">
        <f>IF(AL192="","",MAX(0,AL192-N(P192)))</f>
        <v/>
      </c>
      <c r="U192" s="30" t="n"/>
      <c r="V192" s="31">
        <f>IF(OR(T192="",U192=""),"",T192*U192)</f>
        <v/>
      </c>
      <c r="W192" s="31">
        <f>IF(COUNT(AF192:AG192)&lt;2,"",INDEX(Stillstand_h,AG192)*INDEX(Kostensatz,AF192))</f>
        <v/>
      </c>
      <c r="X192" s="32">
        <f>IF(AK192="","",IF(T192=0,"Bestand ausreichend / stock sufficient",IF(U192="","Stückpreis fehlt / price missing",IF(V192=0,"–",IF(W192/V192&gt;=Faktor_wirtschaftlich,"wirtschaftlich (Faktor "&amp;FIXED(W192/V192,1)&amp;")","nicht wirtschaftlich (Faktor "&amp;FIXED(W192/V192,1)&amp;")")))))</f>
        <v/>
      </c>
      <c r="Y192" s="33">
        <f>IF(AK192="","",IF(AK192=3,IF(T192&gt;0,IF(AG192=3,"Sofort beschaffen: Restbestand / Gebrauchtmarkt / Alternative sichern","Mindestbestand aufbauen ("&amp;T192&amp;" Stk.)"),"Bestand halten, jährlich prüfen"),IF(AK192=2,IF(T192&gt;0,"Bevorratung nach Wirtschaftlichkeit entscheiden; Quelle / Reparatur klären","Lieferzeit und Teilestatus jährlich prüfen"),"Keine Bevorratung – Beschaffung bei Bedarf")))</f>
        <v/>
      </c>
      <c r="Z192" s="25" t="n"/>
      <c r="AA192" s="25" t="n"/>
      <c r="AB192" s="34" t="n"/>
      <c r="AC192" s="26" t="n"/>
      <c r="AD192" s="25" t="n"/>
      <c r="AE192" s="2" t="n"/>
      <c r="AF192" s="35">
        <f>IF(I192="","",VALUE(LEFT(I192,1)))</f>
        <v/>
      </c>
      <c r="AG192" s="35">
        <f>IF(J192="","",VALUE(LEFT(J192,1)))</f>
        <v/>
      </c>
      <c r="AH192" s="35">
        <f>IF(K192="","",VALUE(LEFT(K192,1)))</f>
        <v/>
      </c>
      <c r="AI192" s="35">
        <f>IF(LEFT(L192,2)="ja",1,0)</f>
        <v/>
      </c>
      <c r="AJ192" s="35">
        <f>IF(COUNT(AF192:AH192)&lt;3,"",FIND(INDEX(Matrix,4-AF192,AG192),"CBA"))</f>
        <v/>
      </c>
      <c r="AK192" s="35">
        <f>IF(AJ192="","",MIN(3,MAX(AJ192+IF(AND(Regel_haeufig="ja",AH192=3),1,0),IF(AND(Regel_sicherheit="ja",AI192=1),2,0))))</f>
        <v/>
      </c>
      <c r="AL192" s="35">
        <f>IF(S192&lt;&gt;"",S192,IF(R192="","",R192))</f>
        <v/>
      </c>
      <c r="AM192" s="35">
        <f>IF(AK192="","",AK192*1000+N192*10+(1000-ROW())/100000)</f>
        <v/>
      </c>
    </row>
    <row r="193" ht="45" customHeight="1">
      <c r="A193" s="22">
        <f>IF(C193="","",COUNTA($C$7:C193))</f>
        <v/>
      </c>
      <c r="B193" s="23" t="n"/>
      <c r="C193" s="24" t="n"/>
      <c r="D193" s="25" t="n"/>
      <c r="E193" s="23" t="n"/>
      <c r="F193" s="26" t="n"/>
      <c r="G193" s="25" t="n"/>
      <c r="H193" s="25" t="n"/>
      <c r="I193" s="24" t="n"/>
      <c r="J193" s="24" t="n"/>
      <c r="K193" s="24" t="n"/>
      <c r="L193" s="26" t="n"/>
      <c r="M193" s="27">
        <f>IF(AK193="","",MID("CBA",AK193,1))</f>
        <v/>
      </c>
      <c r="N193" s="22">
        <f>IF(COUNT(AF193:AH193)&lt;3,"",AF193*AG193*AH193)</f>
        <v/>
      </c>
      <c r="O193" s="28">
        <f>IF(C193="","",IF(AJ193="","Bewertung unvollständig / incomplete","Matrix "&amp;MID("CBA",AJ193,1)&amp;IF(AND(Regel_haeufig="ja",AH193=3,AJ193&lt;3)," · häufig +1","")&amp;IF(AND(Regel_sicherheit="ja",AI193=1,AJ193+IF(AND(Regel_haeufig="ja",AH193=3),1,0)&lt;2)," · Sicherheit ⇒ B","")&amp;" → "&amp;M193))</f>
        <v/>
      </c>
      <c r="P193" s="29" t="n"/>
      <c r="Q193" s="25" t="n"/>
      <c r="R193" s="22">
        <f>IF(AK193="","",INDEX(Soll_Tabelle,4-AK193,IF(AH193=3,2,1)))</f>
        <v/>
      </c>
      <c r="S193" s="26" t="n"/>
      <c r="T193" s="22">
        <f>IF(AL193="","",MAX(0,AL193-N(P193)))</f>
        <v/>
      </c>
      <c r="U193" s="30" t="n"/>
      <c r="V193" s="31">
        <f>IF(OR(T193="",U193=""),"",T193*U193)</f>
        <v/>
      </c>
      <c r="W193" s="31">
        <f>IF(COUNT(AF193:AG193)&lt;2,"",INDEX(Stillstand_h,AG193)*INDEX(Kostensatz,AF193))</f>
        <v/>
      </c>
      <c r="X193" s="32">
        <f>IF(AK193="","",IF(T193=0,"Bestand ausreichend / stock sufficient",IF(U193="","Stückpreis fehlt / price missing",IF(V193=0,"–",IF(W193/V193&gt;=Faktor_wirtschaftlich,"wirtschaftlich (Faktor "&amp;FIXED(W193/V193,1)&amp;")","nicht wirtschaftlich (Faktor "&amp;FIXED(W193/V193,1)&amp;")")))))</f>
        <v/>
      </c>
      <c r="Y193" s="33">
        <f>IF(AK193="","",IF(AK193=3,IF(T193&gt;0,IF(AG193=3,"Sofort beschaffen: Restbestand / Gebrauchtmarkt / Alternative sichern","Mindestbestand aufbauen ("&amp;T193&amp;" Stk.)"),"Bestand halten, jährlich prüfen"),IF(AK193=2,IF(T193&gt;0,"Bevorratung nach Wirtschaftlichkeit entscheiden; Quelle / Reparatur klären","Lieferzeit und Teilestatus jährlich prüfen"),"Keine Bevorratung – Beschaffung bei Bedarf")))</f>
        <v/>
      </c>
      <c r="Z193" s="25" t="n"/>
      <c r="AA193" s="25" t="n"/>
      <c r="AB193" s="34" t="n"/>
      <c r="AC193" s="26" t="n"/>
      <c r="AD193" s="25" t="n"/>
      <c r="AE193" s="2" t="n"/>
      <c r="AF193" s="35">
        <f>IF(I193="","",VALUE(LEFT(I193,1)))</f>
        <v/>
      </c>
      <c r="AG193" s="35">
        <f>IF(J193="","",VALUE(LEFT(J193,1)))</f>
        <v/>
      </c>
      <c r="AH193" s="35">
        <f>IF(K193="","",VALUE(LEFT(K193,1)))</f>
        <v/>
      </c>
      <c r="AI193" s="35">
        <f>IF(LEFT(L193,2)="ja",1,0)</f>
        <v/>
      </c>
      <c r="AJ193" s="35">
        <f>IF(COUNT(AF193:AH193)&lt;3,"",FIND(INDEX(Matrix,4-AF193,AG193),"CBA"))</f>
        <v/>
      </c>
      <c r="AK193" s="35">
        <f>IF(AJ193="","",MIN(3,MAX(AJ193+IF(AND(Regel_haeufig="ja",AH193=3),1,0),IF(AND(Regel_sicherheit="ja",AI193=1),2,0))))</f>
        <v/>
      </c>
      <c r="AL193" s="35">
        <f>IF(S193&lt;&gt;"",S193,IF(R193="","",R193))</f>
        <v/>
      </c>
      <c r="AM193" s="35">
        <f>IF(AK193="","",AK193*1000+N193*10+(1000-ROW())/100000)</f>
        <v/>
      </c>
    </row>
    <row r="194" ht="45" customHeight="1">
      <c r="A194" s="22">
        <f>IF(C194="","",COUNTA($C$7:C194))</f>
        <v/>
      </c>
      <c r="B194" s="23" t="n"/>
      <c r="C194" s="24" t="n"/>
      <c r="D194" s="25" t="n"/>
      <c r="E194" s="23" t="n"/>
      <c r="F194" s="26" t="n"/>
      <c r="G194" s="25" t="n"/>
      <c r="H194" s="25" t="n"/>
      <c r="I194" s="24" t="n"/>
      <c r="J194" s="24" t="n"/>
      <c r="K194" s="24" t="n"/>
      <c r="L194" s="26" t="n"/>
      <c r="M194" s="27">
        <f>IF(AK194="","",MID("CBA",AK194,1))</f>
        <v/>
      </c>
      <c r="N194" s="22">
        <f>IF(COUNT(AF194:AH194)&lt;3,"",AF194*AG194*AH194)</f>
        <v/>
      </c>
      <c r="O194" s="28">
        <f>IF(C194="","",IF(AJ194="","Bewertung unvollständig / incomplete","Matrix "&amp;MID("CBA",AJ194,1)&amp;IF(AND(Regel_haeufig="ja",AH194=3,AJ194&lt;3)," · häufig +1","")&amp;IF(AND(Regel_sicherheit="ja",AI194=1,AJ194+IF(AND(Regel_haeufig="ja",AH194=3),1,0)&lt;2)," · Sicherheit ⇒ B","")&amp;" → "&amp;M194))</f>
        <v/>
      </c>
      <c r="P194" s="29" t="n"/>
      <c r="Q194" s="25" t="n"/>
      <c r="R194" s="22">
        <f>IF(AK194="","",INDEX(Soll_Tabelle,4-AK194,IF(AH194=3,2,1)))</f>
        <v/>
      </c>
      <c r="S194" s="26" t="n"/>
      <c r="T194" s="22">
        <f>IF(AL194="","",MAX(0,AL194-N(P194)))</f>
        <v/>
      </c>
      <c r="U194" s="30" t="n"/>
      <c r="V194" s="31">
        <f>IF(OR(T194="",U194=""),"",T194*U194)</f>
        <v/>
      </c>
      <c r="W194" s="31">
        <f>IF(COUNT(AF194:AG194)&lt;2,"",INDEX(Stillstand_h,AG194)*INDEX(Kostensatz,AF194))</f>
        <v/>
      </c>
      <c r="X194" s="32">
        <f>IF(AK194="","",IF(T194=0,"Bestand ausreichend / stock sufficient",IF(U194="","Stückpreis fehlt / price missing",IF(V194=0,"–",IF(W194/V194&gt;=Faktor_wirtschaftlich,"wirtschaftlich (Faktor "&amp;FIXED(W194/V194,1)&amp;")","nicht wirtschaftlich (Faktor "&amp;FIXED(W194/V194,1)&amp;")")))))</f>
        <v/>
      </c>
      <c r="Y194" s="33">
        <f>IF(AK194="","",IF(AK194=3,IF(T194&gt;0,IF(AG194=3,"Sofort beschaffen: Restbestand / Gebrauchtmarkt / Alternative sichern","Mindestbestand aufbauen ("&amp;T194&amp;" Stk.)"),"Bestand halten, jährlich prüfen"),IF(AK194=2,IF(T194&gt;0,"Bevorratung nach Wirtschaftlichkeit entscheiden; Quelle / Reparatur klären","Lieferzeit und Teilestatus jährlich prüfen"),"Keine Bevorratung – Beschaffung bei Bedarf")))</f>
        <v/>
      </c>
      <c r="Z194" s="25" t="n"/>
      <c r="AA194" s="25" t="n"/>
      <c r="AB194" s="34" t="n"/>
      <c r="AC194" s="26" t="n"/>
      <c r="AD194" s="25" t="n"/>
      <c r="AE194" s="2" t="n"/>
      <c r="AF194" s="35">
        <f>IF(I194="","",VALUE(LEFT(I194,1)))</f>
        <v/>
      </c>
      <c r="AG194" s="35">
        <f>IF(J194="","",VALUE(LEFT(J194,1)))</f>
        <v/>
      </c>
      <c r="AH194" s="35">
        <f>IF(K194="","",VALUE(LEFT(K194,1)))</f>
        <v/>
      </c>
      <c r="AI194" s="35">
        <f>IF(LEFT(L194,2)="ja",1,0)</f>
        <v/>
      </c>
      <c r="AJ194" s="35">
        <f>IF(COUNT(AF194:AH194)&lt;3,"",FIND(INDEX(Matrix,4-AF194,AG194),"CBA"))</f>
        <v/>
      </c>
      <c r="AK194" s="35">
        <f>IF(AJ194="","",MIN(3,MAX(AJ194+IF(AND(Regel_haeufig="ja",AH194=3),1,0),IF(AND(Regel_sicherheit="ja",AI194=1),2,0))))</f>
        <v/>
      </c>
      <c r="AL194" s="35">
        <f>IF(S194&lt;&gt;"",S194,IF(R194="","",R194))</f>
        <v/>
      </c>
      <c r="AM194" s="35">
        <f>IF(AK194="","",AK194*1000+N194*10+(1000-ROW())/100000)</f>
        <v/>
      </c>
    </row>
    <row r="195" ht="45" customHeight="1">
      <c r="A195" s="22">
        <f>IF(C195="","",COUNTA($C$7:C195))</f>
        <v/>
      </c>
      <c r="B195" s="23" t="n"/>
      <c r="C195" s="24" t="n"/>
      <c r="D195" s="25" t="n"/>
      <c r="E195" s="23" t="n"/>
      <c r="F195" s="26" t="n"/>
      <c r="G195" s="25" t="n"/>
      <c r="H195" s="25" t="n"/>
      <c r="I195" s="24" t="n"/>
      <c r="J195" s="24" t="n"/>
      <c r="K195" s="24" t="n"/>
      <c r="L195" s="26" t="n"/>
      <c r="M195" s="27">
        <f>IF(AK195="","",MID("CBA",AK195,1))</f>
        <v/>
      </c>
      <c r="N195" s="22">
        <f>IF(COUNT(AF195:AH195)&lt;3,"",AF195*AG195*AH195)</f>
        <v/>
      </c>
      <c r="O195" s="28">
        <f>IF(C195="","",IF(AJ195="","Bewertung unvollständig / incomplete","Matrix "&amp;MID("CBA",AJ195,1)&amp;IF(AND(Regel_haeufig="ja",AH195=3,AJ195&lt;3)," · häufig +1","")&amp;IF(AND(Regel_sicherheit="ja",AI195=1,AJ195+IF(AND(Regel_haeufig="ja",AH195=3),1,0)&lt;2)," · Sicherheit ⇒ B","")&amp;" → "&amp;M195))</f>
        <v/>
      </c>
      <c r="P195" s="29" t="n"/>
      <c r="Q195" s="25" t="n"/>
      <c r="R195" s="22">
        <f>IF(AK195="","",INDEX(Soll_Tabelle,4-AK195,IF(AH195=3,2,1)))</f>
        <v/>
      </c>
      <c r="S195" s="26" t="n"/>
      <c r="T195" s="22">
        <f>IF(AL195="","",MAX(0,AL195-N(P195)))</f>
        <v/>
      </c>
      <c r="U195" s="30" t="n"/>
      <c r="V195" s="31">
        <f>IF(OR(T195="",U195=""),"",T195*U195)</f>
        <v/>
      </c>
      <c r="W195" s="31">
        <f>IF(COUNT(AF195:AG195)&lt;2,"",INDEX(Stillstand_h,AG195)*INDEX(Kostensatz,AF195))</f>
        <v/>
      </c>
      <c r="X195" s="32">
        <f>IF(AK195="","",IF(T195=0,"Bestand ausreichend / stock sufficient",IF(U195="","Stückpreis fehlt / price missing",IF(V195=0,"–",IF(W195/V195&gt;=Faktor_wirtschaftlich,"wirtschaftlich (Faktor "&amp;FIXED(W195/V195,1)&amp;")","nicht wirtschaftlich (Faktor "&amp;FIXED(W195/V195,1)&amp;")")))))</f>
        <v/>
      </c>
      <c r="Y195" s="33">
        <f>IF(AK195="","",IF(AK195=3,IF(T195&gt;0,IF(AG195=3,"Sofort beschaffen: Restbestand / Gebrauchtmarkt / Alternative sichern","Mindestbestand aufbauen ("&amp;T195&amp;" Stk.)"),"Bestand halten, jährlich prüfen"),IF(AK195=2,IF(T195&gt;0,"Bevorratung nach Wirtschaftlichkeit entscheiden; Quelle / Reparatur klären","Lieferzeit und Teilestatus jährlich prüfen"),"Keine Bevorratung – Beschaffung bei Bedarf")))</f>
        <v/>
      </c>
      <c r="Z195" s="25" t="n"/>
      <c r="AA195" s="25" t="n"/>
      <c r="AB195" s="34" t="n"/>
      <c r="AC195" s="26" t="n"/>
      <c r="AD195" s="25" t="n"/>
      <c r="AE195" s="2" t="n"/>
      <c r="AF195" s="35">
        <f>IF(I195="","",VALUE(LEFT(I195,1)))</f>
        <v/>
      </c>
      <c r="AG195" s="35">
        <f>IF(J195="","",VALUE(LEFT(J195,1)))</f>
        <v/>
      </c>
      <c r="AH195" s="35">
        <f>IF(K195="","",VALUE(LEFT(K195,1)))</f>
        <v/>
      </c>
      <c r="AI195" s="35">
        <f>IF(LEFT(L195,2)="ja",1,0)</f>
        <v/>
      </c>
      <c r="AJ195" s="35">
        <f>IF(COUNT(AF195:AH195)&lt;3,"",FIND(INDEX(Matrix,4-AF195,AG195),"CBA"))</f>
        <v/>
      </c>
      <c r="AK195" s="35">
        <f>IF(AJ195="","",MIN(3,MAX(AJ195+IF(AND(Regel_haeufig="ja",AH195=3),1,0),IF(AND(Regel_sicherheit="ja",AI195=1),2,0))))</f>
        <v/>
      </c>
      <c r="AL195" s="35">
        <f>IF(S195&lt;&gt;"",S195,IF(R195="","",R195))</f>
        <v/>
      </c>
      <c r="AM195" s="35">
        <f>IF(AK195="","",AK195*1000+N195*10+(1000-ROW())/100000)</f>
        <v/>
      </c>
    </row>
    <row r="196" ht="45" customHeight="1">
      <c r="A196" s="22">
        <f>IF(C196="","",COUNTA($C$7:C196))</f>
        <v/>
      </c>
      <c r="B196" s="23" t="n"/>
      <c r="C196" s="24" t="n"/>
      <c r="D196" s="25" t="n"/>
      <c r="E196" s="23" t="n"/>
      <c r="F196" s="26" t="n"/>
      <c r="G196" s="25" t="n"/>
      <c r="H196" s="25" t="n"/>
      <c r="I196" s="24" t="n"/>
      <c r="J196" s="24" t="n"/>
      <c r="K196" s="24" t="n"/>
      <c r="L196" s="26" t="n"/>
      <c r="M196" s="27">
        <f>IF(AK196="","",MID("CBA",AK196,1))</f>
        <v/>
      </c>
      <c r="N196" s="22">
        <f>IF(COUNT(AF196:AH196)&lt;3,"",AF196*AG196*AH196)</f>
        <v/>
      </c>
      <c r="O196" s="28">
        <f>IF(C196="","",IF(AJ196="","Bewertung unvollständig / incomplete","Matrix "&amp;MID("CBA",AJ196,1)&amp;IF(AND(Regel_haeufig="ja",AH196=3,AJ196&lt;3)," · häufig +1","")&amp;IF(AND(Regel_sicherheit="ja",AI196=1,AJ196+IF(AND(Regel_haeufig="ja",AH196=3),1,0)&lt;2)," · Sicherheit ⇒ B","")&amp;" → "&amp;M196))</f>
        <v/>
      </c>
      <c r="P196" s="29" t="n"/>
      <c r="Q196" s="25" t="n"/>
      <c r="R196" s="22">
        <f>IF(AK196="","",INDEX(Soll_Tabelle,4-AK196,IF(AH196=3,2,1)))</f>
        <v/>
      </c>
      <c r="S196" s="26" t="n"/>
      <c r="T196" s="22">
        <f>IF(AL196="","",MAX(0,AL196-N(P196)))</f>
        <v/>
      </c>
      <c r="U196" s="30" t="n"/>
      <c r="V196" s="31">
        <f>IF(OR(T196="",U196=""),"",T196*U196)</f>
        <v/>
      </c>
      <c r="W196" s="31">
        <f>IF(COUNT(AF196:AG196)&lt;2,"",INDEX(Stillstand_h,AG196)*INDEX(Kostensatz,AF196))</f>
        <v/>
      </c>
      <c r="X196" s="32">
        <f>IF(AK196="","",IF(T196=0,"Bestand ausreichend / stock sufficient",IF(U196="","Stückpreis fehlt / price missing",IF(V196=0,"–",IF(W196/V196&gt;=Faktor_wirtschaftlich,"wirtschaftlich (Faktor "&amp;FIXED(W196/V196,1)&amp;")","nicht wirtschaftlich (Faktor "&amp;FIXED(W196/V196,1)&amp;")")))))</f>
        <v/>
      </c>
      <c r="Y196" s="33">
        <f>IF(AK196="","",IF(AK196=3,IF(T196&gt;0,IF(AG196=3,"Sofort beschaffen: Restbestand / Gebrauchtmarkt / Alternative sichern","Mindestbestand aufbauen ("&amp;T196&amp;" Stk.)"),"Bestand halten, jährlich prüfen"),IF(AK196=2,IF(T196&gt;0,"Bevorratung nach Wirtschaftlichkeit entscheiden; Quelle / Reparatur klären","Lieferzeit und Teilestatus jährlich prüfen"),"Keine Bevorratung – Beschaffung bei Bedarf")))</f>
        <v/>
      </c>
      <c r="Z196" s="25" t="n"/>
      <c r="AA196" s="25" t="n"/>
      <c r="AB196" s="34" t="n"/>
      <c r="AC196" s="26" t="n"/>
      <c r="AD196" s="25" t="n"/>
      <c r="AE196" s="2" t="n"/>
      <c r="AF196" s="35">
        <f>IF(I196="","",VALUE(LEFT(I196,1)))</f>
        <v/>
      </c>
      <c r="AG196" s="35">
        <f>IF(J196="","",VALUE(LEFT(J196,1)))</f>
        <v/>
      </c>
      <c r="AH196" s="35">
        <f>IF(K196="","",VALUE(LEFT(K196,1)))</f>
        <v/>
      </c>
      <c r="AI196" s="35">
        <f>IF(LEFT(L196,2)="ja",1,0)</f>
        <v/>
      </c>
      <c r="AJ196" s="35">
        <f>IF(COUNT(AF196:AH196)&lt;3,"",FIND(INDEX(Matrix,4-AF196,AG196),"CBA"))</f>
        <v/>
      </c>
      <c r="AK196" s="35">
        <f>IF(AJ196="","",MIN(3,MAX(AJ196+IF(AND(Regel_haeufig="ja",AH196=3),1,0),IF(AND(Regel_sicherheit="ja",AI196=1),2,0))))</f>
        <v/>
      </c>
      <c r="AL196" s="35">
        <f>IF(S196&lt;&gt;"",S196,IF(R196="","",R196))</f>
        <v/>
      </c>
      <c r="AM196" s="35">
        <f>IF(AK196="","",AK196*1000+N196*10+(1000-ROW())/100000)</f>
        <v/>
      </c>
    </row>
    <row r="197" ht="45" customHeight="1">
      <c r="A197" s="22">
        <f>IF(C197="","",COUNTA($C$7:C197))</f>
        <v/>
      </c>
      <c r="B197" s="23" t="n"/>
      <c r="C197" s="24" t="n"/>
      <c r="D197" s="25" t="n"/>
      <c r="E197" s="23" t="n"/>
      <c r="F197" s="26" t="n"/>
      <c r="G197" s="25" t="n"/>
      <c r="H197" s="25" t="n"/>
      <c r="I197" s="24" t="n"/>
      <c r="J197" s="24" t="n"/>
      <c r="K197" s="24" t="n"/>
      <c r="L197" s="26" t="n"/>
      <c r="M197" s="27">
        <f>IF(AK197="","",MID("CBA",AK197,1))</f>
        <v/>
      </c>
      <c r="N197" s="22">
        <f>IF(COUNT(AF197:AH197)&lt;3,"",AF197*AG197*AH197)</f>
        <v/>
      </c>
      <c r="O197" s="28">
        <f>IF(C197="","",IF(AJ197="","Bewertung unvollständig / incomplete","Matrix "&amp;MID("CBA",AJ197,1)&amp;IF(AND(Regel_haeufig="ja",AH197=3,AJ197&lt;3)," · häufig +1","")&amp;IF(AND(Regel_sicherheit="ja",AI197=1,AJ197+IF(AND(Regel_haeufig="ja",AH197=3),1,0)&lt;2)," · Sicherheit ⇒ B","")&amp;" → "&amp;M197))</f>
        <v/>
      </c>
      <c r="P197" s="29" t="n"/>
      <c r="Q197" s="25" t="n"/>
      <c r="R197" s="22">
        <f>IF(AK197="","",INDEX(Soll_Tabelle,4-AK197,IF(AH197=3,2,1)))</f>
        <v/>
      </c>
      <c r="S197" s="26" t="n"/>
      <c r="T197" s="22">
        <f>IF(AL197="","",MAX(0,AL197-N(P197)))</f>
        <v/>
      </c>
      <c r="U197" s="30" t="n"/>
      <c r="V197" s="31">
        <f>IF(OR(T197="",U197=""),"",T197*U197)</f>
        <v/>
      </c>
      <c r="W197" s="31">
        <f>IF(COUNT(AF197:AG197)&lt;2,"",INDEX(Stillstand_h,AG197)*INDEX(Kostensatz,AF197))</f>
        <v/>
      </c>
      <c r="X197" s="32">
        <f>IF(AK197="","",IF(T197=0,"Bestand ausreichend / stock sufficient",IF(U197="","Stückpreis fehlt / price missing",IF(V197=0,"–",IF(W197/V197&gt;=Faktor_wirtschaftlich,"wirtschaftlich (Faktor "&amp;FIXED(W197/V197,1)&amp;")","nicht wirtschaftlich (Faktor "&amp;FIXED(W197/V197,1)&amp;")")))))</f>
        <v/>
      </c>
      <c r="Y197" s="33">
        <f>IF(AK197="","",IF(AK197=3,IF(T197&gt;0,IF(AG197=3,"Sofort beschaffen: Restbestand / Gebrauchtmarkt / Alternative sichern","Mindestbestand aufbauen ("&amp;T197&amp;" Stk.)"),"Bestand halten, jährlich prüfen"),IF(AK197=2,IF(T197&gt;0,"Bevorratung nach Wirtschaftlichkeit entscheiden; Quelle / Reparatur klären","Lieferzeit und Teilestatus jährlich prüfen"),"Keine Bevorratung – Beschaffung bei Bedarf")))</f>
        <v/>
      </c>
      <c r="Z197" s="25" t="n"/>
      <c r="AA197" s="25" t="n"/>
      <c r="AB197" s="34" t="n"/>
      <c r="AC197" s="26" t="n"/>
      <c r="AD197" s="25" t="n"/>
      <c r="AE197" s="2" t="n"/>
      <c r="AF197" s="35">
        <f>IF(I197="","",VALUE(LEFT(I197,1)))</f>
        <v/>
      </c>
      <c r="AG197" s="35">
        <f>IF(J197="","",VALUE(LEFT(J197,1)))</f>
        <v/>
      </c>
      <c r="AH197" s="35">
        <f>IF(K197="","",VALUE(LEFT(K197,1)))</f>
        <v/>
      </c>
      <c r="AI197" s="35">
        <f>IF(LEFT(L197,2)="ja",1,0)</f>
        <v/>
      </c>
      <c r="AJ197" s="35">
        <f>IF(COUNT(AF197:AH197)&lt;3,"",FIND(INDEX(Matrix,4-AF197,AG197),"CBA"))</f>
        <v/>
      </c>
      <c r="AK197" s="35">
        <f>IF(AJ197="","",MIN(3,MAX(AJ197+IF(AND(Regel_haeufig="ja",AH197=3),1,0),IF(AND(Regel_sicherheit="ja",AI197=1),2,0))))</f>
        <v/>
      </c>
      <c r="AL197" s="35">
        <f>IF(S197&lt;&gt;"",S197,IF(R197="","",R197))</f>
        <v/>
      </c>
      <c r="AM197" s="35">
        <f>IF(AK197="","",AK197*1000+N197*10+(1000-ROW())/100000)</f>
        <v/>
      </c>
    </row>
    <row r="198" ht="45" customHeight="1">
      <c r="A198" s="22">
        <f>IF(C198="","",COUNTA($C$7:C198))</f>
        <v/>
      </c>
      <c r="B198" s="23" t="n"/>
      <c r="C198" s="24" t="n"/>
      <c r="D198" s="25" t="n"/>
      <c r="E198" s="23" t="n"/>
      <c r="F198" s="26" t="n"/>
      <c r="G198" s="25" t="n"/>
      <c r="H198" s="25" t="n"/>
      <c r="I198" s="24" t="n"/>
      <c r="J198" s="24" t="n"/>
      <c r="K198" s="24" t="n"/>
      <c r="L198" s="26" t="n"/>
      <c r="M198" s="27">
        <f>IF(AK198="","",MID("CBA",AK198,1))</f>
        <v/>
      </c>
      <c r="N198" s="22">
        <f>IF(COUNT(AF198:AH198)&lt;3,"",AF198*AG198*AH198)</f>
        <v/>
      </c>
      <c r="O198" s="28">
        <f>IF(C198="","",IF(AJ198="","Bewertung unvollständig / incomplete","Matrix "&amp;MID("CBA",AJ198,1)&amp;IF(AND(Regel_haeufig="ja",AH198=3,AJ198&lt;3)," · häufig +1","")&amp;IF(AND(Regel_sicherheit="ja",AI198=1,AJ198+IF(AND(Regel_haeufig="ja",AH198=3),1,0)&lt;2)," · Sicherheit ⇒ B","")&amp;" → "&amp;M198))</f>
        <v/>
      </c>
      <c r="P198" s="29" t="n"/>
      <c r="Q198" s="25" t="n"/>
      <c r="R198" s="22">
        <f>IF(AK198="","",INDEX(Soll_Tabelle,4-AK198,IF(AH198=3,2,1)))</f>
        <v/>
      </c>
      <c r="S198" s="26" t="n"/>
      <c r="T198" s="22">
        <f>IF(AL198="","",MAX(0,AL198-N(P198)))</f>
        <v/>
      </c>
      <c r="U198" s="30" t="n"/>
      <c r="V198" s="31">
        <f>IF(OR(T198="",U198=""),"",T198*U198)</f>
        <v/>
      </c>
      <c r="W198" s="31">
        <f>IF(COUNT(AF198:AG198)&lt;2,"",INDEX(Stillstand_h,AG198)*INDEX(Kostensatz,AF198))</f>
        <v/>
      </c>
      <c r="X198" s="32">
        <f>IF(AK198="","",IF(T198=0,"Bestand ausreichend / stock sufficient",IF(U198="","Stückpreis fehlt / price missing",IF(V198=0,"–",IF(W198/V198&gt;=Faktor_wirtschaftlich,"wirtschaftlich (Faktor "&amp;FIXED(W198/V198,1)&amp;")","nicht wirtschaftlich (Faktor "&amp;FIXED(W198/V198,1)&amp;")")))))</f>
        <v/>
      </c>
      <c r="Y198" s="33">
        <f>IF(AK198="","",IF(AK198=3,IF(T198&gt;0,IF(AG198=3,"Sofort beschaffen: Restbestand / Gebrauchtmarkt / Alternative sichern","Mindestbestand aufbauen ("&amp;T198&amp;" Stk.)"),"Bestand halten, jährlich prüfen"),IF(AK198=2,IF(T198&gt;0,"Bevorratung nach Wirtschaftlichkeit entscheiden; Quelle / Reparatur klären","Lieferzeit und Teilestatus jährlich prüfen"),"Keine Bevorratung – Beschaffung bei Bedarf")))</f>
        <v/>
      </c>
      <c r="Z198" s="25" t="n"/>
      <c r="AA198" s="25" t="n"/>
      <c r="AB198" s="34" t="n"/>
      <c r="AC198" s="26" t="n"/>
      <c r="AD198" s="25" t="n"/>
      <c r="AE198" s="2" t="n"/>
      <c r="AF198" s="35">
        <f>IF(I198="","",VALUE(LEFT(I198,1)))</f>
        <v/>
      </c>
      <c r="AG198" s="35">
        <f>IF(J198="","",VALUE(LEFT(J198,1)))</f>
        <v/>
      </c>
      <c r="AH198" s="35">
        <f>IF(K198="","",VALUE(LEFT(K198,1)))</f>
        <v/>
      </c>
      <c r="AI198" s="35">
        <f>IF(LEFT(L198,2)="ja",1,0)</f>
        <v/>
      </c>
      <c r="AJ198" s="35">
        <f>IF(COUNT(AF198:AH198)&lt;3,"",FIND(INDEX(Matrix,4-AF198,AG198),"CBA"))</f>
        <v/>
      </c>
      <c r="AK198" s="35">
        <f>IF(AJ198="","",MIN(3,MAX(AJ198+IF(AND(Regel_haeufig="ja",AH198=3),1,0),IF(AND(Regel_sicherheit="ja",AI198=1),2,0))))</f>
        <v/>
      </c>
      <c r="AL198" s="35">
        <f>IF(S198&lt;&gt;"",S198,IF(R198="","",R198))</f>
        <v/>
      </c>
      <c r="AM198" s="35">
        <f>IF(AK198="","",AK198*1000+N198*10+(1000-ROW())/100000)</f>
        <v/>
      </c>
    </row>
    <row r="199" ht="45" customHeight="1">
      <c r="A199" s="22">
        <f>IF(C199="","",COUNTA($C$7:C199))</f>
        <v/>
      </c>
      <c r="B199" s="23" t="n"/>
      <c r="C199" s="24" t="n"/>
      <c r="D199" s="25" t="n"/>
      <c r="E199" s="23" t="n"/>
      <c r="F199" s="26" t="n"/>
      <c r="G199" s="25" t="n"/>
      <c r="H199" s="25" t="n"/>
      <c r="I199" s="24" t="n"/>
      <c r="J199" s="24" t="n"/>
      <c r="K199" s="24" t="n"/>
      <c r="L199" s="26" t="n"/>
      <c r="M199" s="27">
        <f>IF(AK199="","",MID("CBA",AK199,1))</f>
        <v/>
      </c>
      <c r="N199" s="22">
        <f>IF(COUNT(AF199:AH199)&lt;3,"",AF199*AG199*AH199)</f>
        <v/>
      </c>
      <c r="O199" s="28">
        <f>IF(C199="","",IF(AJ199="","Bewertung unvollständig / incomplete","Matrix "&amp;MID("CBA",AJ199,1)&amp;IF(AND(Regel_haeufig="ja",AH199=3,AJ199&lt;3)," · häufig +1","")&amp;IF(AND(Regel_sicherheit="ja",AI199=1,AJ199+IF(AND(Regel_haeufig="ja",AH199=3),1,0)&lt;2)," · Sicherheit ⇒ B","")&amp;" → "&amp;M199))</f>
        <v/>
      </c>
      <c r="P199" s="29" t="n"/>
      <c r="Q199" s="25" t="n"/>
      <c r="R199" s="22">
        <f>IF(AK199="","",INDEX(Soll_Tabelle,4-AK199,IF(AH199=3,2,1)))</f>
        <v/>
      </c>
      <c r="S199" s="26" t="n"/>
      <c r="T199" s="22">
        <f>IF(AL199="","",MAX(0,AL199-N(P199)))</f>
        <v/>
      </c>
      <c r="U199" s="30" t="n"/>
      <c r="V199" s="31">
        <f>IF(OR(T199="",U199=""),"",T199*U199)</f>
        <v/>
      </c>
      <c r="W199" s="31">
        <f>IF(COUNT(AF199:AG199)&lt;2,"",INDEX(Stillstand_h,AG199)*INDEX(Kostensatz,AF199))</f>
        <v/>
      </c>
      <c r="X199" s="32">
        <f>IF(AK199="","",IF(T199=0,"Bestand ausreichend / stock sufficient",IF(U199="","Stückpreis fehlt / price missing",IF(V199=0,"–",IF(W199/V199&gt;=Faktor_wirtschaftlich,"wirtschaftlich (Faktor "&amp;FIXED(W199/V199,1)&amp;")","nicht wirtschaftlich (Faktor "&amp;FIXED(W199/V199,1)&amp;")")))))</f>
        <v/>
      </c>
      <c r="Y199" s="33">
        <f>IF(AK199="","",IF(AK199=3,IF(T199&gt;0,IF(AG199=3,"Sofort beschaffen: Restbestand / Gebrauchtmarkt / Alternative sichern","Mindestbestand aufbauen ("&amp;T199&amp;" Stk.)"),"Bestand halten, jährlich prüfen"),IF(AK199=2,IF(T199&gt;0,"Bevorratung nach Wirtschaftlichkeit entscheiden; Quelle / Reparatur klären","Lieferzeit und Teilestatus jährlich prüfen"),"Keine Bevorratung – Beschaffung bei Bedarf")))</f>
        <v/>
      </c>
      <c r="Z199" s="25" t="n"/>
      <c r="AA199" s="25" t="n"/>
      <c r="AB199" s="34" t="n"/>
      <c r="AC199" s="26" t="n"/>
      <c r="AD199" s="25" t="n"/>
      <c r="AE199" s="2" t="n"/>
      <c r="AF199" s="35">
        <f>IF(I199="","",VALUE(LEFT(I199,1)))</f>
        <v/>
      </c>
      <c r="AG199" s="35">
        <f>IF(J199="","",VALUE(LEFT(J199,1)))</f>
        <v/>
      </c>
      <c r="AH199" s="35">
        <f>IF(K199="","",VALUE(LEFT(K199,1)))</f>
        <v/>
      </c>
      <c r="AI199" s="35">
        <f>IF(LEFT(L199,2)="ja",1,0)</f>
        <v/>
      </c>
      <c r="AJ199" s="35">
        <f>IF(COUNT(AF199:AH199)&lt;3,"",FIND(INDEX(Matrix,4-AF199,AG199),"CBA"))</f>
        <v/>
      </c>
      <c r="AK199" s="35">
        <f>IF(AJ199="","",MIN(3,MAX(AJ199+IF(AND(Regel_haeufig="ja",AH199=3),1,0),IF(AND(Regel_sicherheit="ja",AI199=1),2,0))))</f>
        <v/>
      </c>
      <c r="AL199" s="35">
        <f>IF(S199&lt;&gt;"",S199,IF(R199="","",R199))</f>
        <v/>
      </c>
      <c r="AM199" s="35">
        <f>IF(AK199="","",AK199*1000+N199*10+(1000-ROW())/100000)</f>
        <v/>
      </c>
    </row>
    <row r="200" ht="45" customHeight="1">
      <c r="A200" s="22">
        <f>IF(C200="","",COUNTA($C$7:C200))</f>
        <v/>
      </c>
      <c r="B200" s="23" t="n"/>
      <c r="C200" s="24" t="n"/>
      <c r="D200" s="25" t="n"/>
      <c r="E200" s="23" t="n"/>
      <c r="F200" s="26" t="n"/>
      <c r="G200" s="25" t="n"/>
      <c r="H200" s="25" t="n"/>
      <c r="I200" s="24" t="n"/>
      <c r="J200" s="24" t="n"/>
      <c r="K200" s="24" t="n"/>
      <c r="L200" s="26" t="n"/>
      <c r="M200" s="27">
        <f>IF(AK200="","",MID("CBA",AK200,1))</f>
        <v/>
      </c>
      <c r="N200" s="22">
        <f>IF(COUNT(AF200:AH200)&lt;3,"",AF200*AG200*AH200)</f>
        <v/>
      </c>
      <c r="O200" s="28">
        <f>IF(C200="","",IF(AJ200="","Bewertung unvollständig / incomplete","Matrix "&amp;MID("CBA",AJ200,1)&amp;IF(AND(Regel_haeufig="ja",AH200=3,AJ200&lt;3)," · häufig +1","")&amp;IF(AND(Regel_sicherheit="ja",AI200=1,AJ200+IF(AND(Regel_haeufig="ja",AH200=3),1,0)&lt;2)," · Sicherheit ⇒ B","")&amp;" → "&amp;M200))</f>
        <v/>
      </c>
      <c r="P200" s="29" t="n"/>
      <c r="Q200" s="25" t="n"/>
      <c r="R200" s="22">
        <f>IF(AK200="","",INDEX(Soll_Tabelle,4-AK200,IF(AH200=3,2,1)))</f>
        <v/>
      </c>
      <c r="S200" s="26" t="n"/>
      <c r="T200" s="22">
        <f>IF(AL200="","",MAX(0,AL200-N(P200)))</f>
        <v/>
      </c>
      <c r="U200" s="30" t="n"/>
      <c r="V200" s="31">
        <f>IF(OR(T200="",U200=""),"",T200*U200)</f>
        <v/>
      </c>
      <c r="W200" s="31">
        <f>IF(COUNT(AF200:AG200)&lt;2,"",INDEX(Stillstand_h,AG200)*INDEX(Kostensatz,AF200))</f>
        <v/>
      </c>
      <c r="X200" s="32">
        <f>IF(AK200="","",IF(T200=0,"Bestand ausreichend / stock sufficient",IF(U200="","Stückpreis fehlt / price missing",IF(V200=0,"–",IF(W200/V200&gt;=Faktor_wirtschaftlich,"wirtschaftlich (Faktor "&amp;FIXED(W200/V200,1)&amp;")","nicht wirtschaftlich (Faktor "&amp;FIXED(W200/V200,1)&amp;")")))))</f>
        <v/>
      </c>
      <c r="Y200" s="33">
        <f>IF(AK200="","",IF(AK200=3,IF(T200&gt;0,IF(AG200=3,"Sofort beschaffen: Restbestand / Gebrauchtmarkt / Alternative sichern","Mindestbestand aufbauen ("&amp;T200&amp;" Stk.)"),"Bestand halten, jährlich prüfen"),IF(AK200=2,IF(T200&gt;0,"Bevorratung nach Wirtschaftlichkeit entscheiden; Quelle / Reparatur klären","Lieferzeit und Teilestatus jährlich prüfen"),"Keine Bevorratung – Beschaffung bei Bedarf")))</f>
        <v/>
      </c>
      <c r="Z200" s="25" t="n"/>
      <c r="AA200" s="25" t="n"/>
      <c r="AB200" s="34" t="n"/>
      <c r="AC200" s="26" t="n"/>
      <c r="AD200" s="25" t="n"/>
      <c r="AE200" s="2" t="n"/>
      <c r="AF200" s="35">
        <f>IF(I200="","",VALUE(LEFT(I200,1)))</f>
        <v/>
      </c>
      <c r="AG200" s="35">
        <f>IF(J200="","",VALUE(LEFT(J200,1)))</f>
        <v/>
      </c>
      <c r="AH200" s="35">
        <f>IF(K200="","",VALUE(LEFT(K200,1)))</f>
        <v/>
      </c>
      <c r="AI200" s="35">
        <f>IF(LEFT(L200,2)="ja",1,0)</f>
        <v/>
      </c>
      <c r="AJ200" s="35">
        <f>IF(COUNT(AF200:AH200)&lt;3,"",FIND(INDEX(Matrix,4-AF200,AG200),"CBA"))</f>
        <v/>
      </c>
      <c r="AK200" s="35">
        <f>IF(AJ200="","",MIN(3,MAX(AJ200+IF(AND(Regel_haeufig="ja",AH200=3),1,0),IF(AND(Regel_sicherheit="ja",AI200=1),2,0))))</f>
        <v/>
      </c>
      <c r="AL200" s="35">
        <f>IF(S200&lt;&gt;"",S200,IF(R200="","",R200))</f>
        <v/>
      </c>
      <c r="AM200" s="35">
        <f>IF(AK200="","",AK200*1000+N200*10+(1000-ROW())/100000)</f>
        <v/>
      </c>
    </row>
    <row r="201" ht="45" customHeight="1">
      <c r="A201" s="22">
        <f>IF(C201="","",COUNTA($C$7:C201))</f>
        <v/>
      </c>
      <c r="B201" s="23" t="n"/>
      <c r="C201" s="24" t="n"/>
      <c r="D201" s="25" t="n"/>
      <c r="E201" s="23" t="n"/>
      <c r="F201" s="26" t="n"/>
      <c r="G201" s="25" t="n"/>
      <c r="H201" s="25" t="n"/>
      <c r="I201" s="24" t="n"/>
      <c r="J201" s="24" t="n"/>
      <c r="K201" s="24" t="n"/>
      <c r="L201" s="26" t="n"/>
      <c r="M201" s="27">
        <f>IF(AK201="","",MID("CBA",AK201,1))</f>
        <v/>
      </c>
      <c r="N201" s="22">
        <f>IF(COUNT(AF201:AH201)&lt;3,"",AF201*AG201*AH201)</f>
        <v/>
      </c>
      <c r="O201" s="28">
        <f>IF(C201="","",IF(AJ201="","Bewertung unvollständig / incomplete","Matrix "&amp;MID("CBA",AJ201,1)&amp;IF(AND(Regel_haeufig="ja",AH201=3,AJ201&lt;3)," · häufig +1","")&amp;IF(AND(Regel_sicherheit="ja",AI201=1,AJ201+IF(AND(Regel_haeufig="ja",AH201=3),1,0)&lt;2)," · Sicherheit ⇒ B","")&amp;" → "&amp;M201))</f>
        <v/>
      </c>
      <c r="P201" s="29" t="n"/>
      <c r="Q201" s="25" t="n"/>
      <c r="R201" s="22">
        <f>IF(AK201="","",INDEX(Soll_Tabelle,4-AK201,IF(AH201=3,2,1)))</f>
        <v/>
      </c>
      <c r="S201" s="26" t="n"/>
      <c r="T201" s="22">
        <f>IF(AL201="","",MAX(0,AL201-N(P201)))</f>
        <v/>
      </c>
      <c r="U201" s="30" t="n"/>
      <c r="V201" s="31">
        <f>IF(OR(T201="",U201=""),"",T201*U201)</f>
        <v/>
      </c>
      <c r="W201" s="31">
        <f>IF(COUNT(AF201:AG201)&lt;2,"",INDEX(Stillstand_h,AG201)*INDEX(Kostensatz,AF201))</f>
        <v/>
      </c>
      <c r="X201" s="32">
        <f>IF(AK201="","",IF(T201=0,"Bestand ausreichend / stock sufficient",IF(U201="","Stückpreis fehlt / price missing",IF(V201=0,"–",IF(W201/V201&gt;=Faktor_wirtschaftlich,"wirtschaftlich (Faktor "&amp;FIXED(W201/V201,1)&amp;")","nicht wirtschaftlich (Faktor "&amp;FIXED(W201/V201,1)&amp;")")))))</f>
        <v/>
      </c>
      <c r="Y201" s="33">
        <f>IF(AK201="","",IF(AK201=3,IF(T201&gt;0,IF(AG201=3,"Sofort beschaffen: Restbestand / Gebrauchtmarkt / Alternative sichern","Mindestbestand aufbauen ("&amp;T201&amp;" Stk.)"),"Bestand halten, jährlich prüfen"),IF(AK201=2,IF(T201&gt;0,"Bevorratung nach Wirtschaftlichkeit entscheiden; Quelle / Reparatur klären","Lieferzeit und Teilestatus jährlich prüfen"),"Keine Bevorratung – Beschaffung bei Bedarf")))</f>
        <v/>
      </c>
      <c r="Z201" s="25" t="n"/>
      <c r="AA201" s="25" t="n"/>
      <c r="AB201" s="34" t="n"/>
      <c r="AC201" s="26" t="n"/>
      <c r="AD201" s="25" t="n"/>
      <c r="AE201" s="2" t="n"/>
      <c r="AF201" s="35">
        <f>IF(I201="","",VALUE(LEFT(I201,1)))</f>
        <v/>
      </c>
      <c r="AG201" s="35">
        <f>IF(J201="","",VALUE(LEFT(J201,1)))</f>
        <v/>
      </c>
      <c r="AH201" s="35">
        <f>IF(K201="","",VALUE(LEFT(K201,1)))</f>
        <v/>
      </c>
      <c r="AI201" s="35">
        <f>IF(LEFT(L201,2)="ja",1,0)</f>
        <v/>
      </c>
      <c r="AJ201" s="35">
        <f>IF(COUNT(AF201:AH201)&lt;3,"",FIND(INDEX(Matrix,4-AF201,AG201),"CBA"))</f>
        <v/>
      </c>
      <c r="AK201" s="35">
        <f>IF(AJ201="","",MIN(3,MAX(AJ201+IF(AND(Regel_haeufig="ja",AH201=3),1,0),IF(AND(Regel_sicherheit="ja",AI201=1),2,0))))</f>
        <v/>
      </c>
      <c r="AL201" s="35">
        <f>IF(S201&lt;&gt;"",S201,IF(R201="","",R201))</f>
        <v/>
      </c>
      <c r="AM201" s="35">
        <f>IF(AK201="","",AK201*1000+N201*10+(1000-ROW())/100000)</f>
        <v/>
      </c>
    </row>
    <row r="202" ht="45" customHeight="1">
      <c r="A202" s="22">
        <f>IF(C202="","",COUNTA($C$7:C202))</f>
        <v/>
      </c>
      <c r="B202" s="23" t="n"/>
      <c r="C202" s="24" t="n"/>
      <c r="D202" s="25" t="n"/>
      <c r="E202" s="23" t="n"/>
      <c r="F202" s="26" t="n"/>
      <c r="G202" s="25" t="n"/>
      <c r="H202" s="25" t="n"/>
      <c r="I202" s="24" t="n"/>
      <c r="J202" s="24" t="n"/>
      <c r="K202" s="24" t="n"/>
      <c r="L202" s="26" t="n"/>
      <c r="M202" s="27">
        <f>IF(AK202="","",MID("CBA",AK202,1))</f>
        <v/>
      </c>
      <c r="N202" s="22">
        <f>IF(COUNT(AF202:AH202)&lt;3,"",AF202*AG202*AH202)</f>
        <v/>
      </c>
      <c r="O202" s="28">
        <f>IF(C202="","",IF(AJ202="","Bewertung unvollständig / incomplete","Matrix "&amp;MID("CBA",AJ202,1)&amp;IF(AND(Regel_haeufig="ja",AH202=3,AJ202&lt;3)," · häufig +1","")&amp;IF(AND(Regel_sicherheit="ja",AI202=1,AJ202+IF(AND(Regel_haeufig="ja",AH202=3),1,0)&lt;2)," · Sicherheit ⇒ B","")&amp;" → "&amp;M202))</f>
        <v/>
      </c>
      <c r="P202" s="29" t="n"/>
      <c r="Q202" s="25" t="n"/>
      <c r="R202" s="22">
        <f>IF(AK202="","",INDEX(Soll_Tabelle,4-AK202,IF(AH202=3,2,1)))</f>
        <v/>
      </c>
      <c r="S202" s="26" t="n"/>
      <c r="T202" s="22">
        <f>IF(AL202="","",MAX(0,AL202-N(P202)))</f>
        <v/>
      </c>
      <c r="U202" s="30" t="n"/>
      <c r="V202" s="31">
        <f>IF(OR(T202="",U202=""),"",T202*U202)</f>
        <v/>
      </c>
      <c r="W202" s="31">
        <f>IF(COUNT(AF202:AG202)&lt;2,"",INDEX(Stillstand_h,AG202)*INDEX(Kostensatz,AF202))</f>
        <v/>
      </c>
      <c r="X202" s="32">
        <f>IF(AK202="","",IF(T202=0,"Bestand ausreichend / stock sufficient",IF(U202="","Stückpreis fehlt / price missing",IF(V202=0,"–",IF(W202/V202&gt;=Faktor_wirtschaftlich,"wirtschaftlich (Faktor "&amp;FIXED(W202/V202,1)&amp;")","nicht wirtschaftlich (Faktor "&amp;FIXED(W202/V202,1)&amp;")")))))</f>
        <v/>
      </c>
      <c r="Y202" s="33">
        <f>IF(AK202="","",IF(AK202=3,IF(T202&gt;0,IF(AG202=3,"Sofort beschaffen: Restbestand / Gebrauchtmarkt / Alternative sichern","Mindestbestand aufbauen ("&amp;T202&amp;" Stk.)"),"Bestand halten, jährlich prüfen"),IF(AK202=2,IF(T202&gt;0,"Bevorratung nach Wirtschaftlichkeit entscheiden; Quelle / Reparatur klären","Lieferzeit und Teilestatus jährlich prüfen"),"Keine Bevorratung – Beschaffung bei Bedarf")))</f>
        <v/>
      </c>
      <c r="Z202" s="25" t="n"/>
      <c r="AA202" s="25" t="n"/>
      <c r="AB202" s="34" t="n"/>
      <c r="AC202" s="26" t="n"/>
      <c r="AD202" s="25" t="n"/>
      <c r="AE202" s="2" t="n"/>
      <c r="AF202" s="35">
        <f>IF(I202="","",VALUE(LEFT(I202,1)))</f>
        <v/>
      </c>
      <c r="AG202" s="35">
        <f>IF(J202="","",VALUE(LEFT(J202,1)))</f>
        <v/>
      </c>
      <c r="AH202" s="35">
        <f>IF(K202="","",VALUE(LEFT(K202,1)))</f>
        <v/>
      </c>
      <c r="AI202" s="35">
        <f>IF(LEFT(L202,2)="ja",1,0)</f>
        <v/>
      </c>
      <c r="AJ202" s="35">
        <f>IF(COUNT(AF202:AH202)&lt;3,"",FIND(INDEX(Matrix,4-AF202,AG202),"CBA"))</f>
        <v/>
      </c>
      <c r="AK202" s="35">
        <f>IF(AJ202="","",MIN(3,MAX(AJ202+IF(AND(Regel_haeufig="ja",AH202=3),1,0),IF(AND(Regel_sicherheit="ja",AI202=1),2,0))))</f>
        <v/>
      </c>
      <c r="AL202" s="35">
        <f>IF(S202&lt;&gt;"",S202,IF(R202="","",R202))</f>
        <v/>
      </c>
      <c r="AM202" s="35">
        <f>IF(AK202="","",AK202*1000+N202*10+(1000-ROW())/100000)</f>
        <v/>
      </c>
    </row>
    <row r="203" ht="45" customHeight="1">
      <c r="A203" s="22">
        <f>IF(C203="","",COUNTA($C$7:C203))</f>
        <v/>
      </c>
      <c r="B203" s="23" t="n"/>
      <c r="C203" s="24" t="n"/>
      <c r="D203" s="25" t="n"/>
      <c r="E203" s="23" t="n"/>
      <c r="F203" s="26" t="n"/>
      <c r="G203" s="25" t="n"/>
      <c r="H203" s="25" t="n"/>
      <c r="I203" s="24" t="n"/>
      <c r="J203" s="24" t="n"/>
      <c r="K203" s="24" t="n"/>
      <c r="L203" s="26" t="n"/>
      <c r="M203" s="27">
        <f>IF(AK203="","",MID("CBA",AK203,1))</f>
        <v/>
      </c>
      <c r="N203" s="22">
        <f>IF(COUNT(AF203:AH203)&lt;3,"",AF203*AG203*AH203)</f>
        <v/>
      </c>
      <c r="O203" s="28">
        <f>IF(C203="","",IF(AJ203="","Bewertung unvollständig / incomplete","Matrix "&amp;MID("CBA",AJ203,1)&amp;IF(AND(Regel_haeufig="ja",AH203=3,AJ203&lt;3)," · häufig +1","")&amp;IF(AND(Regel_sicherheit="ja",AI203=1,AJ203+IF(AND(Regel_haeufig="ja",AH203=3),1,0)&lt;2)," · Sicherheit ⇒ B","")&amp;" → "&amp;M203))</f>
        <v/>
      </c>
      <c r="P203" s="29" t="n"/>
      <c r="Q203" s="25" t="n"/>
      <c r="R203" s="22">
        <f>IF(AK203="","",INDEX(Soll_Tabelle,4-AK203,IF(AH203=3,2,1)))</f>
        <v/>
      </c>
      <c r="S203" s="26" t="n"/>
      <c r="T203" s="22">
        <f>IF(AL203="","",MAX(0,AL203-N(P203)))</f>
        <v/>
      </c>
      <c r="U203" s="30" t="n"/>
      <c r="V203" s="31">
        <f>IF(OR(T203="",U203=""),"",T203*U203)</f>
        <v/>
      </c>
      <c r="W203" s="31">
        <f>IF(COUNT(AF203:AG203)&lt;2,"",INDEX(Stillstand_h,AG203)*INDEX(Kostensatz,AF203))</f>
        <v/>
      </c>
      <c r="X203" s="32">
        <f>IF(AK203="","",IF(T203=0,"Bestand ausreichend / stock sufficient",IF(U203="","Stückpreis fehlt / price missing",IF(V203=0,"–",IF(W203/V203&gt;=Faktor_wirtschaftlich,"wirtschaftlich (Faktor "&amp;FIXED(W203/V203,1)&amp;")","nicht wirtschaftlich (Faktor "&amp;FIXED(W203/V203,1)&amp;")")))))</f>
        <v/>
      </c>
      <c r="Y203" s="33">
        <f>IF(AK203="","",IF(AK203=3,IF(T203&gt;0,IF(AG203=3,"Sofort beschaffen: Restbestand / Gebrauchtmarkt / Alternative sichern","Mindestbestand aufbauen ("&amp;T203&amp;" Stk.)"),"Bestand halten, jährlich prüfen"),IF(AK203=2,IF(T203&gt;0,"Bevorratung nach Wirtschaftlichkeit entscheiden; Quelle / Reparatur klären","Lieferzeit und Teilestatus jährlich prüfen"),"Keine Bevorratung – Beschaffung bei Bedarf")))</f>
        <v/>
      </c>
      <c r="Z203" s="25" t="n"/>
      <c r="AA203" s="25" t="n"/>
      <c r="AB203" s="34" t="n"/>
      <c r="AC203" s="26" t="n"/>
      <c r="AD203" s="25" t="n"/>
      <c r="AE203" s="2" t="n"/>
      <c r="AF203" s="35">
        <f>IF(I203="","",VALUE(LEFT(I203,1)))</f>
        <v/>
      </c>
      <c r="AG203" s="35">
        <f>IF(J203="","",VALUE(LEFT(J203,1)))</f>
        <v/>
      </c>
      <c r="AH203" s="35">
        <f>IF(K203="","",VALUE(LEFT(K203,1)))</f>
        <v/>
      </c>
      <c r="AI203" s="35">
        <f>IF(LEFT(L203,2)="ja",1,0)</f>
        <v/>
      </c>
      <c r="AJ203" s="35">
        <f>IF(COUNT(AF203:AH203)&lt;3,"",FIND(INDEX(Matrix,4-AF203,AG203),"CBA"))</f>
        <v/>
      </c>
      <c r="AK203" s="35">
        <f>IF(AJ203="","",MIN(3,MAX(AJ203+IF(AND(Regel_haeufig="ja",AH203=3),1,0),IF(AND(Regel_sicherheit="ja",AI203=1),2,0))))</f>
        <v/>
      </c>
      <c r="AL203" s="35">
        <f>IF(S203&lt;&gt;"",S203,IF(R203="","",R203))</f>
        <v/>
      </c>
      <c r="AM203" s="35">
        <f>IF(AK203="","",AK203*1000+N203*10+(1000-ROW())/100000)</f>
        <v/>
      </c>
    </row>
    <row r="204" ht="45" customHeight="1">
      <c r="A204" s="22">
        <f>IF(C204="","",COUNTA($C$7:C204))</f>
        <v/>
      </c>
      <c r="B204" s="23" t="n"/>
      <c r="C204" s="24" t="n"/>
      <c r="D204" s="25" t="n"/>
      <c r="E204" s="23" t="n"/>
      <c r="F204" s="26" t="n"/>
      <c r="G204" s="25" t="n"/>
      <c r="H204" s="25" t="n"/>
      <c r="I204" s="24" t="n"/>
      <c r="J204" s="24" t="n"/>
      <c r="K204" s="24" t="n"/>
      <c r="L204" s="26" t="n"/>
      <c r="M204" s="27">
        <f>IF(AK204="","",MID("CBA",AK204,1))</f>
        <v/>
      </c>
      <c r="N204" s="22">
        <f>IF(COUNT(AF204:AH204)&lt;3,"",AF204*AG204*AH204)</f>
        <v/>
      </c>
      <c r="O204" s="28">
        <f>IF(C204="","",IF(AJ204="","Bewertung unvollständig / incomplete","Matrix "&amp;MID("CBA",AJ204,1)&amp;IF(AND(Regel_haeufig="ja",AH204=3,AJ204&lt;3)," · häufig +1","")&amp;IF(AND(Regel_sicherheit="ja",AI204=1,AJ204+IF(AND(Regel_haeufig="ja",AH204=3),1,0)&lt;2)," · Sicherheit ⇒ B","")&amp;" → "&amp;M204))</f>
        <v/>
      </c>
      <c r="P204" s="29" t="n"/>
      <c r="Q204" s="25" t="n"/>
      <c r="R204" s="22">
        <f>IF(AK204="","",INDEX(Soll_Tabelle,4-AK204,IF(AH204=3,2,1)))</f>
        <v/>
      </c>
      <c r="S204" s="26" t="n"/>
      <c r="T204" s="22">
        <f>IF(AL204="","",MAX(0,AL204-N(P204)))</f>
        <v/>
      </c>
      <c r="U204" s="30" t="n"/>
      <c r="V204" s="31">
        <f>IF(OR(T204="",U204=""),"",T204*U204)</f>
        <v/>
      </c>
      <c r="W204" s="31">
        <f>IF(COUNT(AF204:AG204)&lt;2,"",INDEX(Stillstand_h,AG204)*INDEX(Kostensatz,AF204))</f>
        <v/>
      </c>
      <c r="X204" s="32">
        <f>IF(AK204="","",IF(T204=0,"Bestand ausreichend / stock sufficient",IF(U204="","Stückpreis fehlt / price missing",IF(V204=0,"–",IF(W204/V204&gt;=Faktor_wirtschaftlich,"wirtschaftlich (Faktor "&amp;FIXED(W204/V204,1)&amp;")","nicht wirtschaftlich (Faktor "&amp;FIXED(W204/V204,1)&amp;")")))))</f>
        <v/>
      </c>
      <c r="Y204" s="33">
        <f>IF(AK204="","",IF(AK204=3,IF(T204&gt;0,IF(AG204=3,"Sofort beschaffen: Restbestand / Gebrauchtmarkt / Alternative sichern","Mindestbestand aufbauen ("&amp;T204&amp;" Stk.)"),"Bestand halten, jährlich prüfen"),IF(AK204=2,IF(T204&gt;0,"Bevorratung nach Wirtschaftlichkeit entscheiden; Quelle / Reparatur klären","Lieferzeit und Teilestatus jährlich prüfen"),"Keine Bevorratung – Beschaffung bei Bedarf")))</f>
        <v/>
      </c>
      <c r="Z204" s="25" t="n"/>
      <c r="AA204" s="25" t="n"/>
      <c r="AB204" s="34" t="n"/>
      <c r="AC204" s="26" t="n"/>
      <c r="AD204" s="25" t="n"/>
      <c r="AE204" s="2" t="n"/>
      <c r="AF204" s="35">
        <f>IF(I204="","",VALUE(LEFT(I204,1)))</f>
        <v/>
      </c>
      <c r="AG204" s="35">
        <f>IF(J204="","",VALUE(LEFT(J204,1)))</f>
        <v/>
      </c>
      <c r="AH204" s="35">
        <f>IF(K204="","",VALUE(LEFT(K204,1)))</f>
        <v/>
      </c>
      <c r="AI204" s="35">
        <f>IF(LEFT(L204,2)="ja",1,0)</f>
        <v/>
      </c>
      <c r="AJ204" s="35">
        <f>IF(COUNT(AF204:AH204)&lt;3,"",FIND(INDEX(Matrix,4-AF204,AG204),"CBA"))</f>
        <v/>
      </c>
      <c r="AK204" s="35">
        <f>IF(AJ204="","",MIN(3,MAX(AJ204+IF(AND(Regel_haeufig="ja",AH204=3),1,0),IF(AND(Regel_sicherheit="ja",AI204=1),2,0))))</f>
        <v/>
      </c>
      <c r="AL204" s="35">
        <f>IF(S204&lt;&gt;"",S204,IF(R204="","",R204))</f>
        <v/>
      </c>
      <c r="AM204" s="35">
        <f>IF(AK204="","",AK204*1000+N204*10+(1000-ROW())/100000)</f>
        <v/>
      </c>
    </row>
    <row r="205" ht="45" customHeight="1">
      <c r="A205" s="22">
        <f>IF(C205="","",COUNTA($C$7:C205))</f>
        <v/>
      </c>
      <c r="B205" s="23" t="n"/>
      <c r="C205" s="24" t="n"/>
      <c r="D205" s="25" t="n"/>
      <c r="E205" s="23" t="n"/>
      <c r="F205" s="26" t="n"/>
      <c r="G205" s="25" t="n"/>
      <c r="H205" s="25" t="n"/>
      <c r="I205" s="24" t="n"/>
      <c r="J205" s="24" t="n"/>
      <c r="K205" s="24" t="n"/>
      <c r="L205" s="26" t="n"/>
      <c r="M205" s="27">
        <f>IF(AK205="","",MID("CBA",AK205,1))</f>
        <v/>
      </c>
      <c r="N205" s="22">
        <f>IF(COUNT(AF205:AH205)&lt;3,"",AF205*AG205*AH205)</f>
        <v/>
      </c>
      <c r="O205" s="28">
        <f>IF(C205="","",IF(AJ205="","Bewertung unvollständig / incomplete","Matrix "&amp;MID("CBA",AJ205,1)&amp;IF(AND(Regel_haeufig="ja",AH205=3,AJ205&lt;3)," · häufig +1","")&amp;IF(AND(Regel_sicherheit="ja",AI205=1,AJ205+IF(AND(Regel_haeufig="ja",AH205=3),1,0)&lt;2)," · Sicherheit ⇒ B","")&amp;" → "&amp;M205))</f>
        <v/>
      </c>
      <c r="P205" s="29" t="n"/>
      <c r="Q205" s="25" t="n"/>
      <c r="R205" s="22">
        <f>IF(AK205="","",INDEX(Soll_Tabelle,4-AK205,IF(AH205=3,2,1)))</f>
        <v/>
      </c>
      <c r="S205" s="26" t="n"/>
      <c r="T205" s="22">
        <f>IF(AL205="","",MAX(0,AL205-N(P205)))</f>
        <v/>
      </c>
      <c r="U205" s="30" t="n"/>
      <c r="V205" s="31">
        <f>IF(OR(T205="",U205=""),"",T205*U205)</f>
        <v/>
      </c>
      <c r="W205" s="31">
        <f>IF(COUNT(AF205:AG205)&lt;2,"",INDEX(Stillstand_h,AG205)*INDEX(Kostensatz,AF205))</f>
        <v/>
      </c>
      <c r="X205" s="32">
        <f>IF(AK205="","",IF(T205=0,"Bestand ausreichend / stock sufficient",IF(U205="","Stückpreis fehlt / price missing",IF(V205=0,"–",IF(W205/V205&gt;=Faktor_wirtschaftlich,"wirtschaftlich (Faktor "&amp;FIXED(W205/V205,1)&amp;")","nicht wirtschaftlich (Faktor "&amp;FIXED(W205/V205,1)&amp;")")))))</f>
        <v/>
      </c>
      <c r="Y205" s="33">
        <f>IF(AK205="","",IF(AK205=3,IF(T205&gt;0,IF(AG205=3,"Sofort beschaffen: Restbestand / Gebrauchtmarkt / Alternative sichern","Mindestbestand aufbauen ("&amp;T205&amp;" Stk.)"),"Bestand halten, jährlich prüfen"),IF(AK205=2,IF(T205&gt;0,"Bevorratung nach Wirtschaftlichkeit entscheiden; Quelle / Reparatur klären","Lieferzeit und Teilestatus jährlich prüfen"),"Keine Bevorratung – Beschaffung bei Bedarf")))</f>
        <v/>
      </c>
      <c r="Z205" s="25" t="n"/>
      <c r="AA205" s="25" t="n"/>
      <c r="AB205" s="34" t="n"/>
      <c r="AC205" s="26" t="n"/>
      <c r="AD205" s="25" t="n"/>
      <c r="AE205" s="2" t="n"/>
      <c r="AF205" s="35">
        <f>IF(I205="","",VALUE(LEFT(I205,1)))</f>
        <v/>
      </c>
      <c r="AG205" s="35">
        <f>IF(J205="","",VALUE(LEFT(J205,1)))</f>
        <v/>
      </c>
      <c r="AH205" s="35">
        <f>IF(K205="","",VALUE(LEFT(K205,1)))</f>
        <v/>
      </c>
      <c r="AI205" s="35">
        <f>IF(LEFT(L205,2)="ja",1,0)</f>
        <v/>
      </c>
      <c r="AJ205" s="35">
        <f>IF(COUNT(AF205:AH205)&lt;3,"",FIND(INDEX(Matrix,4-AF205,AG205),"CBA"))</f>
        <v/>
      </c>
      <c r="AK205" s="35">
        <f>IF(AJ205="","",MIN(3,MAX(AJ205+IF(AND(Regel_haeufig="ja",AH205=3),1,0),IF(AND(Regel_sicherheit="ja",AI205=1),2,0))))</f>
        <v/>
      </c>
      <c r="AL205" s="35">
        <f>IF(S205&lt;&gt;"",S205,IF(R205="","",R205))</f>
        <v/>
      </c>
      <c r="AM205" s="35">
        <f>IF(AK205="","",AK205*1000+N205*10+(1000-ROW())/100000)</f>
        <v/>
      </c>
    </row>
    <row r="206" ht="45" customHeight="1">
      <c r="A206" s="22">
        <f>IF(C206="","",COUNTA($C$7:C206))</f>
        <v/>
      </c>
      <c r="B206" s="23" t="n"/>
      <c r="C206" s="24" t="n"/>
      <c r="D206" s="25" t="n"/>
      <c r="E206" s="23" t="n"/>
      <c r="F206" s="26" t="n"/>
      <c r="G206" s="25" t="n"/>
      <c r="H206" s="25" t="n"/>
      <c r="I206" s="24" t="n"/>
      <c r="J206" s="24" t="n"/>
      <c r="K206" s="24" t="n"/>
      <c r="L206" s="26" t="n"/>
      <c r="M206" s="27">
        <f>IF(AK206="","",MID("CBA",AK206,1))</f>
        <v/>
      </c>
      <c r="N206" s="22">
        <f>IF(COUNT(AF206:AH206)&lt;3,"",AF206*AG206*AH206)</f>
        <v/>
      </c>
      <c r="O206" s="28">
        <f>IF(C206="","",IF(AJ206="","Bewertung unvollständig / incomplete","Matrix "&amp;MID("CBA",AJ206,1)&amp;IF(AND(Regel_haeufig="ja",AH206=3,AJ206&lt;3)," · häufig +1","")&amp;IF(AND(Regel_sicherheit="ja",AI206=1,AJ206+IF(AND(Regel_haeufig="ja",AH206=3),1,0)&lt;2)," · Sicherheit ⇒ B","")&amp;" → "&amp;M206))</f>
        <v/>
      </c>
      <c r="P206" s="29" t="n"/>
      <c r="Q206" s="25" t="n"/>
      <c r="R206" s="22">
        <f>IF(AK206="","",INDEX(Soll_Tabelle,4-AK206,IF(AH206=3,2,1)))</f>
        <v/>
      </c>
      <c r="S206" s="26" t="n"/>
      <c r="T206" s="22">
        <f>IF(AL206="","",MAX(0,AL206-N(P206)))</f>
        <v/>
      </c>
      <c r="U206" s="30" t="n"/>
      <c r="V206" s="31">
        <f>IF(OR(T206="",U206=""),"",T206*U206)</f>
        <v/>
      </c>
      <c r="W206" s="31">
        <f>IF(COUNT(AF206:AG206)&lt;2,"",INDEX(Stillstand_h,AG206)*INDEX(Kostensatz,AF206))</f>
        <v/>
      </c>
      <c r="X206" s="32">
        <f>IF(AK206="","",IF(T206=0,"Bestand ausreichend / stock sufficient",IF(U206="","Stückpreis fehlt / price missing",IF(V206=0,"–",IF(W206/V206&gt;=Faktor_wirtschaftlich,"wirtschaftlich (Faktor "&amp;FIXED(W206/V206,1)&amp;")","nicht wirtschaftlich (Faktor "&amp;FIXED(W206/V206,1)&amp;")")))))</f>
        <v/>
      </c>
      <c r="Y206" s="33">
        <f>IF(AK206="","",IF(AK206=3,IF(T206&gt;0,IF(AG206=3,"Sofort beschaffen: Restbestand / Gebrauchtmarkt / Alternative sichern","Mindestbestand aufbauen ("&amp;T206&amp;" Stk.)"),"Bestand halten, jährlich prüfen"),IF(AK206=2,IF(T206&gt;0,"Bevorratung nach Wirtschaftlichkeit entscheiden; Quelle / Reparatur klären","Lieferzeit und Teilestatus jährlich prüfen"),"Keine Bevorratung – Beschaffung bei Bedarf")))</f>
        <v/>
      </c>
      <c r="Z206" s="25" t="n"/>
      <c r="AA206" s="25" t="n"/>
      <c r="AB206" s="34" t="n"/>
      <c r="AC206" s="26" t="n"/>
      <c r="AD206" s="25" t="n"/>
      <c r="AE206" s="2" t="n"/>
      <c r="AF206" s="35">
        <f>IF(I206="","",VALUE(LEFT(I206,1)))</f>
        <v/>
      </c>
      <c r="AG206" s="35">
        <f>IF(J206="","",VALUE(LEFT(J206,1)))</f>
        <v/>
      </c>
      <c r="AH206" s="35">
        <f>IF(K206="","",VALUE(LEFT(K206,1)))</f>
        <v/>
      </c>
      <c r="AI206" s="35">
        <f>IF(LEFT(L206,2)="ja",1,0)</f>
        <v/>
      </c>
      <c r="AJ206" s="35">
        <f>IF(COUNT(AF206:AH206)&lt;3,"",FIND(INDEX(Matrix,4-AF206,AG206),"CBA"))</f>
        <v/>
      </c>
      <c r="AK206" s="35">
        <f>IF(AJ206="","",MIN(3,MAX(AJ206+IF(AND(Regel_haeufig="ja",AH206=3),1,0),IF(AND(Regel_sicherheit="ja",AI206=1),2,0))))</f>
        <v/>
      </c>
      <c r="AL206" s="35">
        <f>IF(S206&lt;&gt;"",S206,IF(R206="","",R206))</f>
        <v/>
      </c>
      <c r="AM206" s="35">
        <f>IF(AK206="","",AK206*1000+N206*10+(1000-ROW())/100000)</f>
        <v/>
      </c>
    </row>
  </sheetData>
  <autoFilter ref="A6:AD206"/>
  <mergeCells count="15">
    <mergeCell ref="L3:M3"/>
    <mergeCell ref="O3:P3"/>
    <mergeCell ref="W3:X3"/>
    <mergeCell ref="Y5:AD5"/>
    <mergeCell ref="U3:V3"/>
    <mergeCell ref="M5:O5"/>
    <mergeCell ref="A2:Q2"/>
    <mergeCell ref="P5:X5"/>
    <mergeCell ref="AF5:AM5"/>
    <mergeCell ref="R3:S3"/>
    <mergeCell ref="A5:H5"/>
    <mergeCell ref="F3:H3"/>
    <mergeCell ref="C3:D3"/>
    <mergeCell ref="A3:B3"/>
    <mergeCell ref="I5:L5"/>
  </mergeCells>
  <conditionalFormatting sqref="C7:C206">
    <cfRule type="expression" priority="1" dxfId="0">
      <formula>AND(COUNTA($B7:$F7,$I7:$L7,$P7,$U7)&gt;0,C7="")</formula>
    </cfRule>
  </conditionalFormatting>
  <conditionalFormatting sqref="I7:I206">
    <cfRule type="expression" priority="2" dxfId="0">
      <formula>AND(COUNTA($B7:$F7,$I7:$L7,$P7,$U7)&gt;0,I7="")</formula>
    </cfRule>
  </conditionalFormatting>
  <conditionalFormatting sqref="J7:J206">
    <cfRule type="expression" priority="3" dxfId="0">
      <formula>AND(COUNTA($B7:$F7,$I7:$L7,$P7,$U7)&gt;0,J7="")</formula>
    </cfRule>
  </conditionalFormatting>
  <conditionalFormatting sqref="K7:K206">
    <cfRule type="expression" priority="4" dxfId="0">
      <formula>AND(COUNTA($B7:$F7,$I7:$L7,$P7,$U7)&gt;0,K7="")</formula>
    </cfRule>
  </conditionalFormatting>
  <conditionalFormatting sqref="M7:M206">
    <cfRule type="expression" priority="5" dxfId="1">
      <formula>M7="A"</formula>
    </cfRule>
    <cfRule type="expression" priority="6" dxfId="2">
      <formula>M7="B"</formula>
    </cfRule>
    <cfRule type="expression" priority="7" dxfId="3">
      <formula>M7="C"</formula>
    </cfRule>
  </conditionalFormatting>
  <conditionalFormatting sqref="T7:T206">
    <cfRule type="cellIs" priority="8" operator="greaterThan" dxfId="4">
      <formula>0</formula>
    </cfRule>
  </conditionalFormatting>
  <conditionalFormatting sqref="X7:X206">
    <cfRule type="expression" priority="9" dxfId="5">
      <formula>LEFT(X7,14)="wirtschaftlich"</formula>
    </cfRule>
    <cfRule type="expression" priority="10" dxfId="6">
      <formula>LEFT(X7,5)="nicht"</formula>
    </cfRule>
  </conditionalFormatting>
  <conditionalFormatting sqref="O7:O206">
    <cfRule type="expression" priority="11" dxfId="7">
      <formula>LEFT(O7,9)="Bewertung"</formula>
    </cfRule>
  </conditionalFormatting>
  <conditionalFormatting sqref="AC7:AC206">
    <cfRule type="expression" priority="12" dxfId="8">
      <formula>LEFT(AC7,8)="erledigt"</formula>
    </cfRule>
    <cfRule type="expression" priority="13" dxfId="9">
      <formula>LEFT(AC7,4)="offen"</formula>
    </cfRule>
  </conditionalFormatting>
  <conditionalFormatting sqref="AB7:AB206">
    <cfRule type="expression" priority="14" dxfId="7">
      <formula>AND(AB7&lt;&gt;"",AB7&lt;TODAY(),LEFT(AC7,8)&lt;&gt;"erledigt")</formula>
    </cfRule>
  </conditionalFormatting>
  <dataValidations count="12">
    <dataValidation sqref="I7:I206" showDropDown="0" showInputMessage="1" showErrorMessage="0" allowBlank="1" errorTitle="Eingabe / Input" error="Bitte einen Wert aus der Liste wählen. / Please select a value from the list." promptTitle="Ausfallwirkung / Impact" prompt="1 = kein Stillstand (Redundanz / Ausweichen)&#10;2 = Maschine steht, Ausweichen möglich&#10;3 = Linie / Engpass steht, Kunde betroffen" type="list">
      <formula1>=L_Wirkung</formula1>
    </dataValidation>
    <dataValidation sqref="J7:J206" showDropDown="0" showInputMessage="1" showErrorMessage="0" allowBlank="1" errorTitle="Eingabe / Input" error="Bitte einen Wert aus der Liste wählen. / Please select a value from the list." promptTitle="Wiederbeschaffung / Availab." prompt="1 = ≤ 1 Woche, mehrere Quellen&#10;2 = 1–8 Wochen oder nur eine Quelle&#10;3 = &gt; 8 Wochen, abgekündigt, Gebrauchtmarkt oder nur mit Umbau" type="list">
      <formula1>=L_Beschaffung</formula1>
    </dataValidation>
    <dataValidation sqref="K7:K206" showDropDown="0" showInputMessage="1" showErrorMessage="0" allowBlank="1" errorTitle="Eingabe / Input" error="Bitte einen Wert aus der Liste wählen. / Please select a value from the list." promptTitle="Ausfallhäufigkeit / Frequency" prompt="1 = selten (seltener als alle 5 Jahre)&#10;2 = gelegentlich (alle 2–5 Jahre)&#10;3 = häufig (öfter als alle 2 Jahre) oder Verschleißteil" type="list">
      <formula1>=L_Haeufigkeit</formula1>
    </dataValidation>
    <dataValidation sqref="L7:L206" showDropDown="0" showInputMessage="1" showErrorMessage="0" allowBlank="1" errorTitle="Eingabe / Input" error="Bitte einen Wert aus der Liste wählen. / Please select a value from the list." promptTitle="Sicherheit / Safety" prompt="ja = Ausfall gefährdet Sicherheit, Umwelt oder Qualität (Ausschuss)&#10;leer = nein" type="list">
      <formula1>=L_JaNein</formula1>
    </dataValidation>
    <dataValidation sqref="Z7:Z206" showDropDown="0" showInputMessage="1" showErrorMessage="0" allowBlank="1" errorTitle="Eingabe / Input" error="Bitte einen Wert aus der Liste wählen. / Please select a value from the list." promptTitle="Bezugsquelle / Source" prompt="Aus Liste wählen oder eigenen Text eingeben. / Select or type." type="list" errorStyle="information">
      <formula1>=L_Quelle</formula1>
    </dataValidation>
    <dataValidation sqref="AC7:AC206" showDropDown="0" showInputMessage="0" showErrorMessage="0" allowBlank="1" errorTitle="Eingabe / Input" error="Bitte einen Wert aus der Liste wählen. / Please select a value from the list." type="list">
      <formula1>=L_Status</formula1>
    </dataValidation>
    <dataValidation sqref="F7:F206" showDropDown="0" showInputMessage="0" showErrorMessage="0" allowBlank="1" errorTitle="Eingabe / Input" error="Ganze Zahl / whole number" type="whole" operator="between">
      <formula1>0</formula1>
      <formula2>100000</formula2>
    </dataValidation>
    <dataValidation sqref="P7:P206" showDropDown="0" showInputMessage="0" showErrorMessage="0" allowBlank="1" errorTitle="Eingabe / Input" error="Ganze Zahl / whole number" type="whole" operator="between">
      <formula1>0</formula1>
      <formula2>100000</formula2>
    </dataValidation>
    <dataValidation sqref="S7:S206" showDropDown="0" showInputMessage="0" showErrorMessage="0" allowBlank="1" errorTitle="Eingabe / Input" error="Ganze Zahl / whole number" type="whole" operator="between">
      <formula1>0</formula1>
      <formula2>100000</formula2>
    </dataValidation>
    <dataValidation sqref="U7:U206" showDropDown="0" showInputMessage="0" showErrorMessage="0" allowBlank="1" errorTitle="Eingabe / Input" error="Zahl / number" type="decimal" operator="between">
      <formula1>0</formula1>
      <formula2>100000000</formula2>
    </dataValidation>
    <dataValidation sqref="AB7:AB206" showDropDown="0" showInputMessage="0" showErrorMessage="0" allowBlank="1" type="date" operator="greaterThan">
      <formula1>36526</formula1>
    </dataValidation>
    <dataValidation sqref="L3" showDropDown="0" showInputMessage="0" showErrorMessage="0" allowBlank="1" type="date" operator="greaterThan">
      <formula1>36526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&amp;L&amp;8 Bewertung Ersatzteilkritikalität – Bewertung&amp;R&amp;8 Seite / Page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41339"/>
    <outlinePr summaryBelow="1" summaryRight="1"/>
    <pageSetUpPr fitToPage="1"/>
  </sheetPr>
  <dimension ref="A1:X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3" max="23"/>
    <col width="10" customWidth="1" min="24" max="24"/>
    <col width="10" customWidth="1" min="25" max="25"/>
    <col width="10" customWidth="1" min="26" max="26"/>
  </cols>
  <sheetData>
    <row r="1" ht="30" customHeight="1">
      <c r="A1" s="2" t="n"/>
      <c r="B1" s="36" t="inlineStr">
        <is>
          <t>Übersicht Ersatzteilkritikalität / Overview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2" t="n"/>
      <c r="B2" s="37" t="inlineStr">
        <is>
          <t>Alle Werte werden automatisch aus dem Blatt „Bewertung“ berechnet. / All values are calculated from sheet “Bewertung”.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2" t="n"/>
      <c r="B3" s="38" t="inlineStr">
        <is>
          <t>Werk / Plant</t>
        </is>
      </c>
      <c r="C3" s="2" t="n"/>
      <c r="D3" s="2" t="n"/>
      <c r="E3" s="2" t="n"/>
      <c r="F3" s="38" t="inlineStr">
        <is>
          <t>Bereich / Area</t>
        </is>
      </c>
      <c r="G3" s="2" t="n"/>
      <c r="H3" s="2" t="n"/>
      <c r="I3" s="2" t="n"/>
      <c r="J3" s="38" t="inlineStr">
        <is>
          <t>Erstellt von / Prepared by</t>
        </is>
      </c>
      <c r="K3" s="2" t="n"/>
      <c r="L3" s="2" t="n"/>
      <c r="M3" s="2" t="n"/>
      <c r="N3" s="38" t="inlineStr">
        <is>
          <t>Datum / Date</t>
        </is>
      </c>
      <c r="O3" s="2" t="n"/>
      <c r="P3" s="2" t="n"/>
      <c r="Q3" s="38" t="inlineStr">
        <is>
          <t>Währung / Currency</t>
        </is>
      </c>
      <c r="R3" s="2" t="n"/>
      <c r="S3" s="2" t="n"/>
      <c r="T3" s="2" t="n"/>
      <c r="U3" s="2" t="n"/>
      <c r="V3" s="2" t="n"/>
      <c r="W3" s="2" t="n"/>
      <c r="X3" s="2" t="n"/>
    </row>
    <row r="4">
      <c r="A4" s="2" t="n"/>
      <c r="B4" s="39">
        <f>IF(Bewertung!$C$3="","–",Bewertung!$C$3)</f>
        <v/>
      </c>
      <c r="C4" s="40" t="n"/>
      <c r="D4" s="40" t="n"/>
      <c r="E4" s="40" t="n"/>
      <c r="F4" s="39">
        <f>IF(Bewertung!$F$3="","–",Bewertung!$F$3)</f>
        <v/>
      </c>
      <c r="G4" s="40" t="n"/>
      <c r="H4" s="40" t="n"/>
      <c r="I4" s="40" t="n"/>
      <c r="J4" s="39">
        <f>IF(Bewertung!$J$3="","–",Bewertung!$J$3)</f>
        <v/>
      </c>
      <c r="K4" s="40" t="n"/>
      <c r="L4" s="40" t="n"/>
      <c r="M4" s="40" t="n"/>
      <c r="N4" s="41">
        <f>IF(Bewertung!$L$3="","–",Bewertung!$L$3)</f>
        <v/>
      </c>
      <c r="O4" s="40" t="n"/>
      <c r="P4" s="40" t="n"/>
      <c r="Q4" s="39">
        <f>IF(Waehrung="","–",Waehrung)</f>
        <v/>
      </c>
      <c r="R4" s="40" t="n"/>
      <c r="S4" s="2" t="n"/>
      <c r="T4" s="2" t="n"/>
      <c r="U4" s="2" t="n"/>
      <c r="V4" s="2" t="n"/>
      <c r="W4" s="2" t="n"/>
      <c r="X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  <row r="6">
      <c r="A6" s="2" t="n"/>
      <c r="B6" s="42" t="inlineStr">
        <is>
          <t>Gesamtergebnis / Summary</t>
        </is>
      </c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2" t="n"/>
      <c r="W6" s="2" t="n"/>
      <c r="X6" s="2" t="n"/>
    </row>
    <row r="7" ht="16" customHeight="1">
      <c r="A7" s="2" t="n"/>
      <c r="B7" s="44" t="inlineStr">
        <is>
          <t>Teile erfasst / parts</t>
        </is>
      </c>
      <c r="C7" s="45" t="n"/>
      <c r="D7" s="45" t="n"/>
      <c r="E7" s="44" t="inlineStr">
        <is>
          <t>A – kritisch</t>
        </is>
      </c>
      <c r="F7" s="45" t="n"/>
      <c r="G7" s="45" t="n"/>
      <c r="H7" s="44" t="inlineStr">
        <is>
          <t>B – absichern</t>
        </is>
      </c>
      <c r="I7" s="45" t="n"/>
      <c r="J7" s="45" t="n"/>
      <c r="K7" s="44" t="inlineStr">
        <is>
          <t>C – unkritisch</t>
        </is>
      </c>
      <c r="L7" s="45" t="n"/>
      <c r="M7" s="45" t="n"/>
      <c r="N7" s="44" t="inlineStr">
        <is>
          <t>Teile mit Fehlmenge</t>
        </is>
      </c>
      <c r="O7" s="45" t="n"/>
      <c r="P7" s="45" t="n"/>
      <c r="Q7" s="44" t="inlineStr">
        <is>
          <t>Kosten Bevorratung</t>
        </is>
      </c>
      <c r="R7" s="45" t="n"/>
      <c r="S7" s="44" t="inlineStr">
        <is>
          <t>offene Maßnahmen</t>
        </is>
      </c>
      <c r="T7" s="45" t="n"/>
      <c r="U7" s="45" t="n"/>
      <c r="V7" s="2" t="n"/>
      <c r="W7" s="2" t="n"/>
      <c r="X7" s="2" t="n"/>
    </row>
    <row r="8" ht="36" customHeight="1">
      <c r="A8" s="2" t="n"/>
      <c r="B8" s="46">
        <f>COUNTIF(B_Bez,"?*")</f>
        <v/>
      </c>
      <c r="C8" s="45" t="n"/>
      <c r="D8" s="45" t="n"/>
      <c r="E8" s="47">
        <f>COUNTIF(B_Klasse,"A")</f>
        <v/>
      </c>
      <c r="F8" s="45" t="n"/>
      <c r="G8" s="45" t="n"/>
      <c r="H8" s="48">
        <f>COUNTIF(B_Klasse,"B")</f>
        <v/>
      </c>
      <c r="I8" s="45" t="n"/>
      <c r="J8" s="45" t="n"/>
      <c r="K8" s="49">
        <f>COUNTIF(B_Klasse,"C")</f>
        <v/>
      </c>
      <c r="L8" s="45" t="n"/>
      <c r="M8" s="45" t="n"/>
      <c r="N8" s="46">
        <f>COUNTIF(B_Fehl,"&gt;0")</f>
        <v/>
      </c>
      <c r="O8" s="45" t="n"/>
      <c r="P8" s="45" t="n"/>
      <c r="Q8" s="50">
        <f>SUM(B_Kosten)</f>
        <v/>
      </c>
      <c r="R8" s="45" t="n"/>
      <c r="S8" s="46">
        <f>COUNTIF(B_Status,"offen*")+COUNTIF(B_Status,"in Arbeit*")</f>
        <v/>
      </c>
      <c r="T8" s="45" t="n"/>
      <c r="U8" s="45" t="n"/>
      <c r="V8" s="2" t="n"/>
      <c r="W8" s="2" t="n"/>
      <c r="X8" s="2" t="n"/>
    </row>
    <row r="9" ht="16" customHeight="1">
      <c r="A9" s="2" t="n"/>
      <c r="B9" s="44">
        <f>"bewertet / assessed: "&amp;COUNTIF(B_Klasse,"?*")&amp;" · unvollständig: "&amp;(COUNTIF(B_Bez,"?*")-COUNTIF(B_Klasse,"?*"))</f>
        <v/>
      </c>
      <c r="C9" s="45" t="n"/>
      <c r="D9" s="45" t="n"/>
      <c r="E9" s="44">
        <f>"bevorraten / keep in stock"</f>
        <v/>
      </c>
      <c r="F9" s="45" t="n"/>
      <c r="G9" s="45" t="n"/>
      <c r="H9" s="44">
        <f>"secure"</f>
        <v/>
      </c>
      <c r="I9" s="45" t="n"/>
      <c r="J9" s="45" t="n"/>
      <c r="K9" s="44">
        <f>"non-critical"</f>
        <v/>
      </c>
      <c r="L9" s="45" t="n"/>
      <c r="M9" s="45" t="n"/>
      <c r="N9" s="44">
        <f>"davon A: "&amp;COUNTIFS(B_Fehl,"&gt;0",B_Klasse,"A")</f>
        <v/>
      </c>
      <c r="O9" s="45" t="n"/>
      <c r="P9" s="45" t="n"/>
      <c r="Q9" s="44">
        <f>"alle Fehlmengen"</f>
        <v/>
      </c>
      <c r="R9" s="45" t="n"/>
      <c r="S9" s="44">
        <f>"überfällig: "&amp;SUMPRODUCT((B_Termin&lt;&gt;"")*(B_Termin&lt;TODAY())*(LEFT(B_Status,8)&lt;&gt;"erledigt"))</f>
        <v/>
      </c>
      <c r="T9" s="45" t="n"/>
      <c r="U9" s="45" t="n"/>
      <c r="V9" s="2" t="n"/>
      <c r="W9" s="2" t="n"/>
      <c r="X9" s="2" t="n"/>
    </row>
    <row r="10" ht="10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</row>
    <row r="11">
      <c r="A11" s="2" t="n"/>
      <c r="B11" s="42" t="inlineStr">
        <is>
          <t>Ergebnis je Klasse / Result by class</t>
        </is>
      </c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3" t="n"/>
      <c r="M11" s="43" t="n"/>
      <c r="N11" s="2" t="n"/>
      <c r="O11" s="42" t="inlineStr">
        <is>
          <t>Verteilung / Distribution</t>
        </is>
      </c>
      <c r="P11" s="43" t="n"/>
      <c r="Q11" s="43" t="n"/>
      <c r="R11" s="43" t="n"/>
      <c r="S11" s="43" t="n"/>
      <c r="T11" s="43" t="n"/>
      <c r="U11" s="43" t="n"/>
      <c r="V11" s="2" t="n"/>
      <c r="W11" s="2" t="n"/>
      <c r="X11" s="2" t="n"/>
    </row>
    <row r="12" ht="30" customHeight="1">
      <c r="A12" s="2" t="n"/>
      <c r="B12" s="51" t="inlineStr">
        <is>
          <t>Klasse / Class</t>
        </is>
      </c>
      <c r="C12" s="51" t="n"/>
      <c r="D12" s="51" t="n"/>
      <c r="E12" s="51" t="inlineStr">
        <is>
          <t>Teile</t>
        </is>
      </c>
      <c r="F12" s="51" t="inlineStr">
        <is>
          <t>mit Fehlmenge</t>
        </is>
      </c>
      <c r="G12" s="51" t="inlineStr">
        <is>
          <t>Kosten Bevorratung</t>
        </is>
      </c>
      <c r="H12" s="51" t="n"/>
      <c r="I12" s="51" t="inlineStr">
        <is>
          <t>Ausfallkosten (Schätzung)</t>
        </is>
      </c>
      <c r="J12" s="51" t="n"/>
      <c r="K12" s="51" t="inlineStr">
        <is>
          <t>davon wirtschaftlich zu bevorraten</t>
        </is>
      </c>
      <c r="L12" s="51" t="n"/>
      <c r="M12" s="51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52" t="inlineStr">
        <is>
          <t>Hilfswerte</t>
        </is>
      </c>
      <c r="X12" s="2" t="n"/>
    </row>
    <row r="13" ht="20" customHeight="1">
      <c r="A13" s="2" t="n"/>
      <c r="B13" s="53" t="inlineStr">
        <is>
          <t>A – kritisch / critical</t>
        </is>
      </c>
      <c r="C13" s="54" t="n"/>
      <c r="D13" s="54" t="n"/>
      <c r="E13" s="54">
        <f>COUNTIF(B_Klasse,"A")</f>
        <v/>
      </c>
      <c r="F13" s="54">
        <f>COUNTIFS(B_Klasse,"A",B_Fehl,"&gt;0")</f>
        <v/>
      </c>
      <c r="G13" s="55">
        <f>SUMIFS(B_Kosten,B_Klasse,"A")</f>
        <v/>
      </c>
      <c r="H13" s="54" t="n"/>
      <c r="I13" s="55">
        <f>SUMIFS(B_Ausfall,B_Klasse,"A",B_Fehl,"&gt;0")</f>
        <v/>
      </c>
      <c r="J13" s="54" t="n"/>
      <c r="K13" s="54">
        <f>COUNTIFS(B_Klasse,"A",B_Wirt,"wirtschaftlich*")&amp;" von "&amp;COUNTIFS(B_Klasse,"A",B_Fehl,"&gt;0")</f>
        <v/>
      </c>
      <c r="L13" s="54" t="n"/>
      <c r="M13" s="54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56" t="inlineStr">
        <is>
          <t>A</t>
        </is>
      </c>
      <c r="X13" s="56">
        <f>E13</f>
        <v/>
      </c>
    </row>
    <row r="14" ht="20" customHeight="1">
      <c r="A14" s="2" t="n"/>
      <c r="B14" s="53" t="inlineStr">
        <is>
          <t>B – absichern / secure</t>
        </is>
      </c>
      <c r="C14" s="54" t="n"/>
      <c r="D14" s="54" t="n"/>
      <c r="E14" s="54">
        <f>COUNTIF(B_Klasse,"B")</f>
        <v/>
      </c>
      <c r="F14" s="54">
        <f>COUNTIFS(B_Klasse,"B",B_Fehl,"&gt;0")</f>
        <v/>
      </c>
      <c r="G14" s="55">
        <f>SUMIFS(B_Kosten,B_Klasse,"B")</f>
        <v/>
      </c>
      <c r="H14" s="54" t="n"/>
      <c r="I14" s="55">
        <f>SUMIFS(B_Ausfall,B_Klasse,"B",B_Fehl,"&gt;0")</f>
        <v/>
      </c>
      <c r="J14" s="54" t="n"/>
      <c r="K14" s="54">
        <f>COUNTIFS(B_Klasse,"B",B_Wirt,"wirtschaftlich*")&amp;" von "&amp;COUNTIFS(B_Klasse,"B",B_Fehl,"&gt;0")</f>
        <v/>
      </c>
      <c r="L14" s="54" t="n"/>
      <c r="M14" s="54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56" t="inlineStr">
        <is>
          <t>B</t>
        </is>
      </c>
      <c r="X14" s="56">
        <f>E14</f>
        <v/>
      </c>
    </row>
    <row r="15" ht="20" customHeight="1">
      <c r="A15" s="2" t="n"/>
      <c r="B15" s="53" t="inlineStr">
        <is>
          <t>C – unkritisch / non-critical</t>
        </is>
      </c>
      <c r="C15" s="54" t="n"/>
      <c r="D15" s="54" t="n"/>
      <c r="E15" s="54">
        <f>COUNTIF(B_Klasse,"C")</f>
        <v/>
      </c>
      <c r="F15" s="54">
        <f>COUNTIFS(B_Klasse,"C",B_Fehl,"&gt;0")</f>
        <v/>
      </c>
      <c r="G15" s="55">
        <f>SUMIFS(B_Kosten,B_Klasse,"C")</f>
        <v/>
      </c>
      <c r="H15" s="54" t="n"/>
      <c r="I15" s="55">
        <f>SUMIFS(B_Ausfall,B_Klasse,"C",B_Fehl,"&gt;0")</f>
        <v/>
      </c>
      <c r="J15" s="54" t="n"/>
      <c r="K15" s="54">
        <f>COUNTIFS(B_Klasse,"C",B_Wirt,"wirtschaftlich*")&amp;" von "&amp;COUNTIFS(B_Klasse,"C",B_Fehl,"&gt;0")</f>
        <v/>
      </c>
      <c r="L15" s="54" t="n"/>
      <c r="M15" s="54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56" t="inlineStr">
        <is>
          <t>C</t>
        </is>
      </c>
      <c r="X15" s="56">
        <f>E15</f>
        <v/>
      </c>
    </row>
    <row r="16" ht="20" customHeight="1">
      <c r="A16" s="2" t="n"/>
      <c r="B16" s="57" t="inlineStr">
        <is>
          <t>Gesamt / total</t>
        </is>
      </c>
      <c r="C16" s="58" t="n"/>
      <c r="D16" s="58" t="n"/>
      <c r="E16" s="58">
        <f>SUM(E13:E15)</f>
        <v/>
      </c>
      <c r="F16" s="58">
        <f>SUM(F13:F15)</f>
        <v/>
      </c>
      <c r="G16" s="59">
        <f>SUM(G13:G15)</f>
        <v/>
      </c>
      <c r="H16" s="58" t="n"/>
      <c r="I16" s="59">
        <f>SUM(I13:I15)</f>
        <v/>
      </c>
      <c r="J16" s="58" t="n"/>
      <c r="K16" s="58">
        <f>COUNTIF(B_Wirt,"wirtschaftlich*")&amp;" von "&amp;COUNTIF(B_Fehl,"&gt;0")</f>
        <v/>
      </c>
      <c r="L16" s="58" t="n"/>
      <c r="M16" s="58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</row>
    <row r="17">
      <c r="A17" s="2" t="n"/>
      <c r="B17" s="60" t="inlineStr">
        <is>
          <t>Ausfallkosten = geschätzte Kosten eines Ausfalls ohne Lagerteil (Stillstandsstunden aus Wiederbeschaffung × Kostensatz aus Ausfallwirkung, Blatt „Einstellungen“), nur für Teile mit Fehlmenge. Eintrittswahrscheinlichkeit ist nicht eingerechnet – sie wirkt über die Ausfallhäufigkeit auf die Klasse.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</row>
    <row r="20">
      <c r="A20" s="2" t="n"/>
      <c r="B20" s="42" t="inlineStr">
        <is>
          <t>Kritikalitätsmatrix – Anzahl Teile / Criticality matrix – number of parts</t>
        </is>
      </c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2" t="n"/>
      <c r="M20" s="42" t="inlineStr">
        <is>
          <t>Maßnahmenstand / Action status</t>
        </is>
      </c>
      <c r="N20" s="43" t="n"/>
      <c r="O20" s="43" t="n"/>
      <c r="P20" s="43" t="n"/>
      <c r="Q20" s="43" t="n"/>
      <c r="R20" s="43" t="n"/>
      <c r="S20" s="43" t="n"/>
      <c r="T20" s="43" t="n"/>
      <c r="U20" s="43" t="n"/>
      <c r="V20" s="2" t="n"/>
      <c r="W20" s="2" t="n"/>
      <c r="X20" s="2" t="n"/>
    </row>
    <row r="21">
      <c r="A21" s="2" t="n"/>
      <c r="B21" s="61" t="inlineStr">
        <is>
          <t>Ausfallwirkung ↓ · Wiederbeschaffung →</t>
        </is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51" t="inlineStr">
        <is>
          <t>Status</t>
        </is>
      </c>
      <c r="N21" s="51" t="n"/>
      <c r="O21" s="51" t="n"/>
      <c r="P21" s="51" t="n"/>
      <c r="Q21" s="51" t="inlineStr">
        <is>
          <t>Anzahl</t>
        </is>
      </c>
      <c r="R21" s="51" t="n"/>
      <c r="S21" s="51" t="inlineStr">
        <is>
          <t>Anteil</t>
        </is>
      </c>
      <c r="T21" s="51" t="n"/>
      <c r="U21" s="51" t="n"/>
      <c r="V21" s="2" t="n"/>
      <c r="W21" s="2" t="n"/>
      <c r="X21" s="2" t="n"/>
    </row>
    <row r="22" ht="26" customHeight="1">
      <c r="A22" s="2" t="n"/>
      <c r="B22" s="2" t="n"/>
      <c r="C22" s="2" t="n"/>
      <c r="D22" s="2" t="n"/>
      <c r="E22" s="51" t="inlineStr">
        <is>
          <t>1 – ≤ 1 Woche</t>
        </is>
      </c>
      <c r="F22" s="51" t="n"/>
      <c r="G22" s="51" t="inlineStr">
        <is>
          <t>2 – 1–8 Wochen</t>
        </is>
      </c>
      <c r="H22" s="51" t="n"/>
      <c r="I22" s="51" t="inlineStr">
        <is>
          <t>3 – &gt; 8 Wo. / abgek.</t>
        </is>
      </c>
      <c r="J22" s="51" t="n"/>
      <c r="K22" s="2" t="n"/>
      <c r="L22" s="2" t="n"/>
      <c r="M22" s="62" t="inlineStr">
        <is>
          <t>offen / open</t>
        </is>
      </c>
      <c r="N22" s="54" t="n"/>
      <c r="O22" s="54" t="n"/>
      <c r="P22" s="54" t="n"/>
      <c r="Q22" s="54">
        <f>COUNTIF(B_Status,"offen*")</f>
        <v/>
      </c>
      <c r="R22" s="54" t="n"/>
      <c r="S22" s="63">
        <f>IF(COUNTIF(B_Bez,"?*")=0,"",Q22/COUNTIF(B_Bez,"?*"))</f>
        <v/>
      </c>
      <c r="T22" s="54" t="n"/>
      <c r="U22" s="54" t="n"/>
      <c r="V22" s="2" t="n"/>
      <c r="W22" s="2" t="n"/>
      <c r="X22" s="2" t="n"/>
    </row>
    <row r="23" ht="26" customHeight="1">
      <c r="A23" s="2" t="n"/>
      <c r="B23" s="64" t="inlineStr">
        <is>
          <t>3 – Linie / Kunde</t>
        </is>
      </c>
      <c r="C23" s="51" t="n"/>
      <c r="D23" s="51" t="n"/>
      <c r="E23" s="65">
        <f>COUNTIFS(B_PW,3,B_PB,1)</f>
        <v/>
      </c>
      <c r="F23" s="66" t="n"/>
      <c r="G23" s="65">
        <f>COUNTIFS(B_PW,3,B_PB,2)</f>
        <v/>
      </c>
      <c r="H23" s="66" t="n"/>
      <c r="I23" s="65">
        <f>COUNTIFS(B_PW,3,B_PB,3)</f>
        <v/>
      </c>
      <c r="J23" s="66" t="n"/>
      <c r="K23" s="2" t="n"/>
      <c r="L23" s="2" t="n"/>
      <c r="M23" s="62" t="inlineStr">
        <is>
          <t>in Arbeit / in progress</t>
        </is>
      </c>
      <c r="N23" s="54" t="n"/>
      <c r="O23" s="54" t="n"/>
      <c r="P23" s="54" t="n"/>
      <c r="Q23" s="54">
        <f>COUNTIF(B_Status,"in Arbeit*")</f>
        <v/>
      </c>
      <c r="R23" s="54" t="n"/>
      <c r="S23" s="63">
        <f>IF(COUNTIF(B_Bez,"?*")=0,"",Q23/COUNTIF(B_Bez,"?*"))</f>
        <v/>
      </c>
      <c r="T23" s="54" t="n"/>
      <c r="U23" s="54" t="n"/>
      <c r="V23" s="2" t="n"/>
      <c r="W23" s="2" t="n"/>
      <c r="X23" s="2" t="n"/>
    </row>
    <row r="24" ht="26" customHeight="1">
      <c r="A24" s="2" t="n"/>
      <c r="B24" s="64" t="inlineStr">
        <is>
          <t>2 – Maschine steht</t>
        </is>
      </c>
      <c r="C24" s="51" t="n"/>
      <c r="D24" s="51" t="n"/>
      <c r="E24" s="65">
        <f>COUNTIFS(B_PW,2,B_PB,1)</f>
        <v/>
      </c>
      <c r="F24" s="66" t="n"/>
      <c r="G24" s="65">
        <f>COUNTIFS(B_PW,2,B_PB,2)</f>
        <v/>
      </c>
      <c r="H24" s="66" t="n"/>
      <c r="I24" s="65">
        <f>COUNTIFS(B_PW,2,B_PB,3)</f>
        <v/>
      </c>
      <c r="J24" s="66" t="n"/>
      <c r="K24" s="2" t="n"/>
      <c r="L24" s="2" t="n"/>
      <c r="M24" s="62" t="inlineStr">
        <is>
          <t>erledigt / done</t>
        </is>
      </c>
      <c r="N24" s="54" t="n"/>
      <c r="O24" s="54" t="n"/>
      <c r="P24" s="54" t="n"/>
      <c r="Q24" s="54">
        <f>COUNTIF(B_Status,"erledigt*")</f>
        <v/>
      </c>
      <c r="R24" s="54" t="n"/>
      <c r="S24" s="63">
        <f>IF(COUNTIF(B_Bez,"?*")=0,"",Q24/COUNTIF(B_Bez,"?*"))</f>
        <v/>
      </c>
      <c r="T24" s="54" t="n"/>
      <c r="U24" s="54" t="n"/>
      <c r="V24" s="2" t="n"/>
      <c r="W24" s="2" t="n"/>
      <c r="X24" s="2" t="n"/>
    </row>
    <row r="25" ht="26" customHeight="1">
      <c r="A25" s="2" t="n"/>
      <c r="B25" s="64" t="inlineStr">
        <is>
          <t>1 – kein Stillstand</t>
        </is>
      </c>
      <c r="C25" s="51" t="n"/>
      <c r="D25" s="51" t="n"/>
      <c r="E25" s="65">
        <f>COUNTIFS(B_PW,1,B_PB,1)</f>
        <v/>
      </c>
      <c r="F25" s="66" t="n"/>
      <c r="G25" s="65">
        <f>COUNTIFS(B_PW,1,B_PB,2)</f>
        <v/>
      </c>
      <c r="H25" s="66" t="n"/>
      <c r="I25" s="65">
        <f>COUNTIFS(B_PW,1,B_PB,3)</f>
        <v/>
      </c>
      <c r="J25" s="66" t="n"/>
      <c r="K25" s="2" t="n"/>
      <c r="L25" s="2" t="n"/>
      <c r="M25" s="62" t="inlineStr">
        <is>
          <t>ohne Status / none</t>
        </is>
      </c>
      <c r="N25" s="54" t="n"/>
      <c r="O25" s="54" t="n"/>
      <c r="P25" s="54" t="n"/>
      <c r="Q25" s="54">
        <f>COUNTIF(B_Bez,"?*")-SUM(Q22:Q24)</f>
        <v/>
      </c>
      <c r="R25" s="54" t="n"/>
      <c r="S25" s="63">
        <f>IF(COUNTIF(B_Bez,"?*")=0,"",Q25/COUNTIF(B_Bez,"?*"))</f>
        <v/>
      </c>
      <c r="T25" s="54" t="n"/>
      <c r="U25" s="54" t="n"/>
      <c r="V25" s="2" t="n"/>
      <c r="W25" s="2" t="n"/>
      <c r="X25" s="2" t="n"/>
    </row>
    <row r="26">
      <c r="A26" s="2" t="n"/>
      <c r="B26" s="60" t="inlineStr">
        <is>
          <t>Farbe = Grundklasse laut Matrix (Blatt „Einstellungen“). Die Endklasse eines Teils kann durch die Regeln „häufig +1“ und „Sicherheit mind. B“ höher liegen.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67">
        <f>"Überfällige Termine / overdue: "&amp;SUMPRODUCT((B_Termin&lt;&gt;"")*(B_Termin&lt;TODAY())*(LEFT(B_Status,8)&lt;&gt;"erledigt"))</f>
        <v/>
      </c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</row>
    <row r="29">
      <c r="A29" s="2" t="n"/>
      <c r="B29" s="42" t="inlineStr">
        <is>
          <t>Wichtigste Teile – nach Klasse und Priorität (Top 15) / Most critical parts</t>
        </is>
      </c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  <c r="S29" s="43" t="n"/>
      <c r="T29" s="43" t="n"/>
      <c r="U29" s="43" t="n"/>
      <c r="V29" s="2" t="n"/>
      <c r="W29" s="2" t="n"/>
      <c r="X29" s="2" t="n"/>
    </row>
    <row r="30" ht="28" customHeight="1">
      <c r="A30" s="2" t="n"/>
      <c r="B30" s="51" t="inlineStr">
        <is>
          <t>Pos.</t>
        </is>
      </c>
      <c r="C30" s="51" t="inlineStr">
        <is>
          <t>Material-Nr.</t>
        </is>
      </c>
      <c r="D30" s="51" t="n"/>
      <c r="E30" s="51" t="inlineStr">
        <is>
          <t>Bezeichnung</t>
        </is>
      </c>
      <c r="F30" s="51" t="n"/>
      <c r="G30" s="51" t="n"/>
      <c r="H30" s="51" t="n"/>
      <c r="I30" s="51" t="inlineStr">
        <is>
          <t>Maschine</t>
        </is>
      </c>
      <c r="J30" s="51" t="n"/>
      <c r="K30" s="51" t="n"/>
      <c r="L30" s="51" t="inlineStr">
        <is>
          <t>Klasse</t>
        </is>
      </c>
      <c r="M30" s="51" t="inlineStr">
        <is>
          <t>Prio.</t>
        </is>
      </c>
      <c r="N30" s="51" t="inlineStr">
        <is>
          <t>Ist</t>
        </is>
      </c>
      <c r="O30" s="51" t="inlineStr">
        <is>
          <t>Fehl-menge</t>
        </is>
      </c>
      <c r="P30" s="51" t="inlineStr">
        <is>
          <t>Kosten Bevorratung</t>
        </is>
      </c>
      <c r="Q30" s="51" t="n"/>
      <c r="R30" s="51" t="inlineStr">
        <is>
          <t>Empfohlene Maßnahme</t>
        </is>
      </c>
      <c r="S30" s="51" t="n"/>
      <c r="T30" s="51" t="n"/>
      <c r="U30" s="51" t="n"/>
      <c r="V30" s="2" t="n"/>
      <c r="W30" s="52" t="inlineStr">
        <is>
          <t>k-größter</t>
        </is>
      </c>
      <c r="X30" s="52" t="inlineStr">
        <is>
          <t>Position</t>
        </is>
      </c>
    </row>
    <row r="31" ht="20" customHeight="1">
      <c r="A31" s="2" t="n"/>
      <c r="B31" s="68">
        <f>IF($X31="","",IF(INDEX(B_Pos,$X31)="","–",INDEX(B_Pos,$X31)))</f>
        <v/>
      </c>
      <c r="C31" s="68">
        <f>IF($X31="","",IF(INDEX(B_Mat,$X31)="","–",INDEX(B_Mat,$X31)))</f>
        <v/>
      </c>
      <c r="D31" s="68" t="n"/>
      <c r="E31" s="69">
        <f>IF($X31="","",IF(INDEX(B_Bez,$X31)="","–",INDEX(B_Bez,$X31)))</f>
        <v/>
      </c>
      <c r="F31" s="68" t="n"/>
      <c r="G31" s="68" t="n"/>
      <c r="H31" s="68" t="n"/>
      <c r="I31" s="69">
        <f>IF($X31="","",IF(INDEX(B_Masch,$X31)="","–",INDEX(B_Masch,$X31)))</f>
        <v/>
      </c>
      <c r="J31" s="68" t="n"/>
      <c r="K31" s="68" t="n"/>
      <c r="L31" s="70">
        <f>IF($X31="","",IF(INDEX(B_Klasse,$X31)="","–",INDEX(B_Klasse,$X31)))</f>
        <v/>
      </c>
      <c r="M31" s="68">
        <f>IF($X31="","",IF(INDEX(B_Prio,$X31)="","–",INDEX(B_Prio,$X31)))</f>
        <v/>
      </c>
      <c r="N31" s="68">
        <f>IF($X31="","",IF(INDEX(B_Ist,$X31)="","–",INDEX(B_Ist,$X31)))</f>
        <v/>
      </c>
      <c r="O31" s="68">
        <f>IF($X31="","",IF(INDEX(B_Fehl,$X31)="","–",INDEX(B_Fehl,$X31)))</f>
        <v/>
      </c>
      <c r="P31" s="71">
        <f>IF($X31="","",IF(INDEX(B_Kosten,$X31)="","–",INDEX(B_Kosten,$X31)))</f>
        <v/>
      </c>
      <c r="Q31" s="68" t="n"/>
      <c r="R31" s="69">
        <f>IF($X31="","",IF(INDEX(B_Massn,$X31)="","–",INDEX(B_Massn,$X31)))</f>
        <v/>
      </c>
      <c r="S31" s="68" t="n"/>
      <c r="T31" s="68" t="n"/>
      <c r="U31" s="68" t="n"/>
      <c r="V31" s="2" t="n"/>
      <c r="W31" s="56">
        <f>IFERROR(LARGE(B_Key,1),"")</f>
        <v/>
      </c>
      <c r="X31" s="56">
        <f>IF(W31="","",MATCH(W31,B_Key,0))</f>
        <v/>
      </c>
    </row>
    <row r="32" ht="20" customHeight="1">
      <c r="A32" s="2" t="n"/>
      <c r="B32" s="68">
        <f>IF($X32="","",IF(INDEX(B_Pos,$X32)="","–",INDEX(B_Pos,$X32)))</f>
        <v/>
      </c>
      <c r="C32" s="68">
        <f>IF($X32="","",IF(INDEX(B_Mat,$X32)="","–",INDEX(B_Mat,$X32)))</f>
        <v/>
      </c>
      <c r="D32" s="68" t="n"/>
      <c r="E32" s="69">
        <f>IF($X32="","",IF(INDEX(B_Bez,$X32)="","–",INDEX(B_Bez,$X32)))</f>
        <v/>
      </c>
      <c r="F32" s="68" t="n"/>
      <c r="G32" s="68" t="n"/>
      <c r="H32" s="68" t="n"/>
      <c r="I32" s="69">
        <f>IF($X32="","",IF(INDEX(B_Masch,$X32)="","–",INDEX(B_Masch,$X32)))</f>
        <v/>
      </c>
      <c r="J32" s="68" t="n"/>
      <c r="K32" s="68" t="n"/>
      <c r="L32" s="70">
        <f>IF($X32="","",IF(INDEX(B_Klasse,$X32)="","–",INDEX(B_Klasse,$X32)))</f>
        <v/>
      </c>
      <c r="M32" s="68">
        <f>IF($X32="","",IF(INDEX(B_Prio,$X32)="","–",INDEX(B_Prio,$X32)))</f>
        <v/>
      </c>
      <c r="N32" s="68">
        <f>IF($X32="","",IF(INDEX(B_Ist,$X32)="","–",INDEX(B_Ist,$X32)))</f>
        <v/>
      </c>
      <c r="O32" s="68">
        <f>IF($X32="","",IF(INDEX(B_Fehl,$X32)="","–",INDEX(B_Fehl,$X32)))</f>
        <v/>
      </c>
      <c r="P32" s="71">
        <f>IF($X32="","",IF(INDEX(B_Kosten,$X32)="","–",INDEX(B_Kosten,$X32)))</f>
        <v/>
      </c>
      <c r="Q32" s="68" t="n"/>
      <c r="R32" s="69">
        <f>IF($X32="","",IF(INDEX(B_Massn,$X32)="","–",INDEX(B_Massn,$X32)))</f>
        <v/>
      </c>
      <c r="S32" s="68" t="n"/>
      <c r="T32" s="68" t="n"/>
      <c r="U32" s="68" t="n"/>
      <c r="V32" s="2" t="n"/>
      <c r="W32" s="56">
        <f>IFERROR(LARGE(B_Key,2),"")</f>
        <v/>
      </c>
      <c r="X32" s="56">
        <f>IF(W32="","",MATCH(W32,B_Key,0))</f>
        <v/>
      </c>
    </row>
    <row r="33" ht="20" customHeight="1">
      <c r="A33" s="2" t="n"/>
      <c r="B33" s="68">
        <f>IF($X33="","",IF(INDEX(B_Pos,$X33)="","–",INDEX(B_Pos,$X33)))</f>
        <v/>
      </c>
      <c r="C33" s="68">
        <f>IF($X33="","",IF(INDEX(B_Mat,$X33)="","–",INDEX(B_Mat,$X33)))</f>
        <v/>
      </c>
      <c r="D33" s="68" t="n"/>
      <c r="E33" s="69">
        <f>IF($X33="","",IF(INDEX(B_Bez,$X33)="","–",INDEX(B_Bez,$X33)))</f>
        <v/>
      </c>
      <c r="F33" s="68" t="n"/>
      <c r="G33" s="68" t="n"/>
      <c r="H33" s="68" t="n"/>
      <c r="I33" s="69">
        <f>IF($X33="","",IF(INDEX(B_Masch,$X33)="","–",INDEX(B_Masch,$X33)))</f>
        <v/>
      </c>
      <c r="J33" s="68" t="n"/>
      <c r="K33" s="68" t="n"/>
      <c r="L33" s="70">
        <f>IF($X33="","",IF(INDEX(B_Klasse,$X33)="","–",INDEX(B_Klasse,$X33)))</f>
        <v/>
      </c>
      <c r="M33" s="68">
        <f>IF($X33="","",IF(INDEX(B_Prio,$X33)="","–",INDEX(B_Prio,$X33)))</f>
        <v/>
      </c>
      <c r="N33" s="68">
        <f>IF($X33="","",IF(INDEX(B_Ist,$X33)="","–",INDEX(B_Ist,$X33)))</f>
        <v/>
      </c>
      <c r="O33" s="68">
        <f>IF($X33="","",IF(INDEX(B_Fehl,$X33)="","–",INDEX(B_Fehl,$X33)))</f>
        <v/>
      </c>
      <c r="P33" s="71">
        <f>IF($X33="","",IF(INDEX(B_Kosten,$X33)="","–",INDEX(B_Kosten,$X33)))</f>
        <v/>
      </c>
      <c r="Q33" s="68" t="n"/>
      <c r="R33" s="69">
        <f>IF($X33="","",IF(INDEX(B_Massn,$X33)="","–",INDEX(B_Massn,$X33)))</f>
        <v/>
      </c>
      <c r="S33" s="68" t="n"/>
      <c r="T33" s="68" t="n"/>
      <c r="U33" s="68" t="n"/>
      <c r="V33" s="2" t="n"/>
      <c r="W33" s="56">
        <f>IFERROR(LARGE(B_Key,3),"")</f>
        <v/>
      </c>
      <c r="X33" s="56">
        <f>IF(W33="","",MATCH(W33,B_Key,0))</f>
        <v/>
      </c>
    </row>
    <row r="34" ht="20" customHeight="1">
      <c r="A34" s="2" t="n"/>
      <c r="B34" s="68">
        <f>IF($X34="","",IF(INDEX(B_Pos,$X34)="","–",INDEX(B_Pos,$X34)))</f>
        <v/>
      </c>
      <c r="C34" s="68">
        <f>IF($X34="","",IF(INDEX(B_Mat,$X34)="","–",INDEX(B_Mat,$X34)))</f>
        <v/>
      </c>
      <c r="D34" s="68" t="n"/>
      <c r="E34" s="69">
        <f>IF($X34="","",IF(INDEX(B_Bez,$X34)="","–",INDEX(B_Bez,$X34)))</f>
        <v/>
      </c>
      <c r="F34" s="68" t="n"/>
      <c r="G34" s="68" t="n"/>
      <c r="H34" s="68" t="n"/>
      <c r="I34" s="69">
        <f>IF($X34="","",IF(INDEX(B_Masch,$X34)="","–",INDEX(B_Masch,$X34)))</f>
        <v/>
      </c>
      <c r="J34" s="68" t="n"/>
      <c r="K34" s="68" t="n"/>
      <c r="L34" s="70">
        <f>IF($X34="","",IF(INDEX(B_Klasse,$X34)="","–",INDEX(B_Klasse,$X34)))</f>
        <v/>
      </c>
      <c r="M34" s="68">
        <f>IF($X34="","",IF(INDEX(B_Prio,$X34)="","–",INDEX(B_Prio,$X34)))</f>
        <v/>
      </c>
      <c r="N34" s="68">
        <f>IF($X34="","",IF(INDEX(B_Ist,$X34)="","–",INDEX(B_Ist,$X34)))</f>
        <v/>
      </c>
      <c r="O34" s="68">
        <f>IF($X34="","",IF(INDEX(B_Fehl,$X34)="","–",INDEX(B_Fehl,$X34)))</f>
        <v/>
      </c>
      <c r="P34" s="71">
        <f>IF($X34="","",IF(INDEX(B_Kosten,$X34)="","–",INDEX(B_Kosten,$X34)))</f>
        <v/>
      </c>
      <c r="Q34" s="68" t="n"/>
      <c r="R34" s="69">
        <f>IF($X34="","",IF(INDEX(B_Massn,$X34)="","–",INDEX(B_Massn,$X34)))</f>
        <v/>
      </c>
      <c r="S34" s="68" t="n"/>
      <c r="T34" s="68" t="n"/>
      <c r="U34" s="68" t="n"/>
      <c r="V34" s="2" t="n"/>
      <c r="W34" s="56">
        <f>IFERROR(LARGE(B_Key,4),"")</f>
        <v/>
      </c>
      <c r="X34" s="56">
        <f>IF(W34="","",MATCH(W34,B_Key,0))</f>
        <v/>
      </c>
    </row>
    <row r="35" ht="20" customHeight="1">
      <c r="A35" s="2" t="n"/>
      <c r="B35" s="68">
        <f>IF($X35="","",IF(INDEX(B_Pos,$X35)="","–",INDEX(B_Pos,$X35)))</f>
        <v/>
      </c>
      <c r="C35" s="68">
        <f>IF($X35="","",IF(INDEX(B_Mat,$X35)="","–",INDEX(B_Mat,$X35)))</f>
        <v/>
      </c>
      <c r="D35" s="68" t="n"/>
      <c r="E35" s="69">
        <f>IF($X35="","",IF(INDEX(B_Bez,$X35)="","–",INDEX(B_Bez,$X35)))</f>
        <v/>
      </c>
      <c r="F35" s="68" t="n"/>
      <c r="G35" s="68" t="n"/>
      <c r="H35" s="68" t="n"/>
      <c r="I35" s="69">
        <f>IF($X35="","",IF(INDEX(B_Masch,$X35)="","–",INDEX(B_Masch,$X35)))</f>
        <v/>
      </c>
      <c r="J35" s="68" t="n"/>
      <c r="K35" s="68" t="n"/>
      <c r="L35" s="70">
        <f>IF($X35="","",IF(INDEX(B_Klasse,$X35)="","–",INDEX(B_Klasse,$X35)))</f>
        <v/>
      </c>
      <c r="M35" s="68">
        <f>IF($X35="","",IF(INDEX(B_Prio,$X35)="","–",INDEX(B_Prio,$X35)))</f>
        <v/>
      </c>
      <c r="N35" s="68">
        <f>IF($X35="","",IF(INDEX(B_Ist,$X35)="","–",INDEX(B_Ist,$X35)))</f>
        <v/>
      </c>
      <c r="O35" s="68">
        <f>IF($X35="","",IF(INDEX(B_Fehl,$X35)="","–",INDEX(B_Fehl,$X35)))</f>
        <v/>
      </c>
      <c r="P35" s="71">
        <f>IF($X35="","",IF(INDEX(B_Kosten,$X35)="","–",INDEX(B_Kosten,$X35)))</f>
        <v/>
      </c>
      <c r="Q35" s="68" t="n"/>
      <c r="R35" s="69">
        <f>IF($X35="","",IF(INDEX(B_Massn,$X35)="","–",INDEX(B_Massn,$X35)))</f>
        <v/>
      </c>
      <c r="S35" s="68" t="n"/>
      <c r="T35" s="68" t="n"/>
      <c r="U35" s="68" t="n"/>
      <c r="V35" s="2" t="n"/>
      <c r="W35" s="56">
        <f>IFERROR(LARGE(B_Key,5),"")</f>
        <v/>
      </c>
      <c r="X35" s="56">
        <f>IF(W35="","",MATCH(W35,B_Key,0))</f>
        <v/>
      </c>
    </row>
    <row r="36" ht="20" customHeight="1">
      <c r="A36" s="2" t="n"/>
      <c r="B36" s="68">
        <f>IF($X36="","",IF(INDEX(B_Pos,$X36)="","–",INDEX(B_Pos,$X36)))</f>
        <v/>
      </c>
      <c r="C36" s="68">
        <f>IF($X36="","",IF(INDEX(B_Mat,$X36)="","–",INDEX(B_Mat,$X36)))</f>
        <v/>
      </c>
      <c r="D36" s="68" t="n"/>
      <c r="E36" s="69">
        <f>IF($X36="","",IF(INDEX(B_Bez,$X36)="","–",INDEX(B_Bez,$X36)))</f>
        <v/>
      </c>
      <c r="F36" s="68" t="n"/>
      <c r="G36" s="68" t="n"/>
      <c r="H36" s="68" t="n"/>
      <c r="I36" s="69">
        <f>IF($X36="","",IF(INDEX(B_Masch,$X36)="","–",INDEX(B_Masch,$X36)))</f>
        <v/>
      </c>
      <c r="J36" s="68" t="n"/>
      <c r="K36" s="68" t="n"/>
      <c r="L36" s="70">
        <f>IF($X36="","",IF(INDEX(B_Klasse,$X36)="","–",INDEX(B_Klasse,$X36)))</f>
        <v/>
      </c>
      <c r="M36" s="68">
        <f>IF($X36="","",IF(INDEX(B_Prio,$X36)="","–",INDEX(B_Prio,$X36)))</f>
        <v/>
      </c>
      <c r="N36" s="68">
        <f>IF($X36="","",IF(INDEX(B_Ist,$X36)="","–",INDEX(B_Ist,$X36)))</f>
        <v/>
      </c>
      <c r="O36" s="68">
        <f>IF($X36="","",IF(INDEX(B_Fehl,$X36)="","–",INDEX(B_Fehl,$X36)))</f>
        <v/>
      </c>
      <c r="P36" s="71">
        <f>IF($X36="","",IF(INDEX(B_Kosten,$X36)="","–",INDEX(B_Kosten,$X36)))</f>
        <v/>
      </c>
      <c r="Q36" s="68" t="n"/>
      <c r="R36" s="69">
        <f>IF($X36="","",IF(INDEX(B_Massn,$X36)="","–",INDEX(B_Massn,$X36)))</f>
        <v/>
      </c>
      <c r="S36" s="68" t="n"/>
      <c r="T36" s="68" t="n"/>
      <c r="U36" s="68" t="n"/>
      <c r="V36" s="2" t="n"/>
      <c r="W36" s="56">
        <f>IFERROR(LARGE(B_Key,6),"")</f>
        <v/>
      </c>
      <c r="X36" s="56">
        <f>IF(W36="","",MATCH(W36,B_Key,0))</f>
        <v/>
      </c>
    </row>
    <row r="37" ht="20" customHeight="1">
      <c r="A37" s="2" t="n"/>
      <c r="B37" s="68">
        <f>IF($X37="","",IF(INDEX(B_Pos,$X37)="","–",INDEX(B_Pos,$X37)))</f>
        <v/>
      </c>
      <c r="C37" s="68">
        <f>IF($X37="","",IF(INDEX(B_Mat,$X37)="","–",INDEX(B_Mat,$X37)))</f>
        <v/>
      </c>
      <c r="D37" s="68" t="n"/>
      <c r="E37" s="69">
        <f>IF($X37="","",IF(INDEX(B_Bez,$X37)="","–",INDEX(B_Bez,$X37)))</f>
        <v/>
      </c>
      <c r="F37" s="68" t="n"/>
      <c r="G37" s="68" t="n"/>
      <c r="H37" s="68" t="n"/>
      <c r="I37" s="69">
        <f>IF($X37="","",IF(INDEX(B_Masch,$X37)="","–",INDEX(B_Masch,$X37)))</f>
        <v/>
      </c>
      <c r="J37" s="68" t="n"/>
      <c r="K37" s="68" t="n"/>
      <c r="L37" s="70">
        <f>IF($X37="","",IF(INDEX(B_Klasse,$X37)="","–",INDEX(B_Klasse,$X37)))</f>
        <v/>
      </c>
      <c r="M37" s="68">
        <f>IF($X37="","",IF(INDEX(B_Prio,$X37)="","–",INDEX(B_Prio,$X37)))</f>
        <v/>
      </c>
      <c r="N37" s="68">
        <f>IF($X37="","",IF(INDEX(B_Ist,$X37)="","–",INDEX(B_Ist,$X37)))</f>
        <v/>
      </c>
      <c r="O37" s="68">
        <f>IF($X37="","",IF(INDEX(B_Fehl,$X37)="","–",INDEX(B_Fehl,$X37)))</f>
        <v/>
      </c>
      <c r="P37" s="71">
        <f>IF($X37="","",IF(INDEX(B_Kosten,$X37)="","–",INDEX(B_Kosten,$X37)))</f>
        <v/>
      </c>
      <c r="Q37" s="68" t="n"/>
      <c r="R37" s="69">
        <f>IF($X37="","",IF(INDEX(B_Massn,$X37)="","–",INDEX(B_Massn,$X37)))</f>
        <v/>
      </c>
      <c r="S37" s="68" t="n"/>
      <c r="T37" s="68" t="n"/>
      <c r="U37" s="68" t="n"/>
      <c r="V37" s="2" t="n"/>
      <c r="W37" s="56">
        <f>IFERROR(LARGE(B_Key,7),"")</f>
        <v/>
      </c>
      <c r="X37" s="56">
        <f>IF(W37="","",MATCH(W37,B_Key,0))</f>
        <v/>
      </c>
    </row>
    <row r="38" ht="20" customHeight="1">
      <c r="A38" s="2" t="n"/>
      <c r="B38" s="68">
        <f>IF($X38="","",IF(INDEX(B_Pos,$X38)="","–",INDEX(B_Pos,$X38)))</f>
        <v/>
      </c>
      <c r="C38" s="68">
        <f>IF($X38="","",IF(INDEX(B_Mat,$X38)="","–",INDEX(B_Mat,$X38)))</f>
        <v/>
      </c>
      <c r="D38" s="68" t="n"/>
      <c r="E38" s="69">
        <f>IF($X38="","",IF(INDEX(B_Bez,$X38)="","–",INDEX(B_Bez,$X38)))</f>
        <v/>
      </c>
      <c r="F38" s="68" t="n"/>
      <c r="G38" s="68" t="n"/>
      <c r="H38" s="68" t="n"/>
      <c r="I38" s="69">
        <f>IF($X38="","",IF(INDEX(B_Masch,$X38)="","–",INDEX(B_Masch,$X38)))</f>
        <v/>
      </c>
      <c r="J38" s="68" t="n"/>
      <c r="K38" s="68" t="n"/>
      <c r="L38" s="70">
        <f>IF($X38="","",IF(INDEX(B_Klasse,$X38)="","–",INDEX(B_Klasse,$X38)))</f>
        <v/>
      </c>
      <c r="M38" s="68">
        <f>IF($X38="","",IF(INDEX(B_Prio,$X38)="","–",INDEX(B_Prio,$X38)))</f>
        <v/>
      </c>
      <c r="N38" s="68">
        <f>IF($X38="","",IF(INDEX(B_Ist,$X38)="","–",INDEX(B_Ist,$X38)))</f>
        <v/>
      </c>
      <c r="O38" s="68">
        <f>IF($X38="","",IF(INDEX(B_Fehl,$X38)="","–",INDEX(B_Fehl,$X38)))</f>
        <v/>
      </c>
      <c r="P38" s="71">
        <f>IF($X38="","",IF(INDEX(B_Kosten,$X38)="","–",INDEX(B_Kosten,$X38)))</f>
        <v/>
      </c>
      <c r="Q38" s="68" t="n"/>
      <c r="R38" s="69">
        <f>IF($X38="","",IF(INDEX(B_Massn,$X38)="","–",INDEX(B_Massn,$X38)))</f>
        <v/>
      </c>
      <c r="S38" s="68" t="n"/>
      <c r="T38" s="68" t="n"/>
      <c r="U38" s="68" t="n"/>
      <c r="V38" s="2" t="n"/>
      <c r="W38" s="56">
        <f>IFERROR(LARGE(B_Key,8),"")</f>
        <v/>
      </c>
      <c r="X38" s="56">
        <f>IF(W38="","",MATCH(W38,B_Key,0))</f>
        <v/>
      </c>
    </row>
    <row r="39" ht="20" customHeight="1">
      <c r="A39" s="2" t="n"/>
      <c r="B39" s="68">
        <f>IF($X39="","",IF(INDEX(B_Pos,$X39)="","–",INDEX(B_Pos,$X39)))</f>
        <v/>
      </c>
      <c r="C39" s="68">
        <f>IF($X39="","",IF(INDEX(B_Mat,$X39)="","–",INDEX(B_Mat,$X39)))</f>
        <v/>
      </c>
      <c r="D39" s="68" t="n"/>
      <c r="E39" s="69">
        <f>IF($X39="","",IF(INDEX(B_Bez,$X39)="","–",INDEX(B_Bez,$X39)))</f>
        <v/>
      </c>
      <c r="F39" s="68" t="n"/>
      <c r="G39" s="68" t="n"/>
      <c r="H39" s="68" t="n"/>
      <c r="I39" s="69">
        <f>IF($X39="","",IF(INDEX(B_Masch,$X39)="","–",INDEX(B_Masch,$X39)))</f>
        <v/>
      </c>
      <c r="J39" s="68" t="n"/>
      <c r="K39" s="68" t="n"/>
      <c r="L39" s="70">
        <f>IF($X39="","",IF(INDEX(B_Klasse,$X39)="","–",INDEX(B_Klasse,$X39)))</f>
        <v/>
      </c>
      <c r="M39" s="68">
        <f>IF($X39="","",IF(INDEX(B_Prio,$X39)="","–",INDEX(B_Prio,$X39)))</f>
        <v/>
      </c>
      <c r="N39" s="68">
        <f>IF($X39="","",IF(INDEX(B_Ist,$X39)="","–",INDEX(B_Ist,$X39)))</f>
        <v/>
      </c>
      <c r="O39" s="68">
        <f>IF($X39="","",IF(INDEX(B_Fehl,$X39)="","–",INDEX(B_Fehl,$X39)))</f>
        <v/>
      </c>
      <c r="P39" s="71">
        <f>IF($X39="","",IF(INDEX(B_Kosten,$X39)="","–",INDEX(B_Kosten,$X39)))</f>
        <v/>
      </c>
      <c r="Q39" s="68" t="n"/>
      <c r="R39" s="69">
        <f>IF($X39="","",IF(INDEX(B_Massn,$X39)="","–",INDEX(B_Massn,$X39)))</f>
        <v/>
      </c>
      <c r="S39" s="68" t="n"/>
      <c r="T39" s="68" t="n"/>
      <c r="U39" s="68" t="n"/>
      <c r="V39" s="2" t="n"/>
      <c r="W39" s="56">
        <f>IFERROR(LARGE(B_Key,9),"")</f>
        <v/>
      </c>
      <c r="X39" s="56">
        <f>IF(W39="","",MATCH(W39,B_Key,0))</f>
        <v/>
      </c>
    </row>
    <row r="40" ht="20" customHeight="1">
      <c r="A40" s="2" t="n"/>
      <c r="B40" s="68">
        <f>IF($X40="","",IF(INDEX(B_Pos,$X40)="","–",INDEX(B_Pos,$X40)))</f>
        <v/>
      </c>
      <c r="C40" s="68">
        <f>IF($X40="","",IF(INDEX(B_Mat,$X40)="","–",INDEX(B_Mat,$X40)))</f>
        <v/>
      </c>
      <c r="D40" s="68" t="n"/>
      <c r="E40" s="69">
        <f>IF($X40="","",IF(INDEX(B_Bez,$X40)="","–",INDEX(B_Bez,$X40)))</f>
        <v/>
      </c>
      <c r="F40" s="68" t="n"/>
      <c r="G40" s="68" t="n"/>
      <c r="H40" s="68" t="n"/>
      <c r="I40" s="69">
        <f>IF($X40="","",IF(INDEX(B_Masch,$X40)="","–",INDEX(B_Masch,$X40)))</f>
        <v/>
      </c>
      <c r="J40" s="68" t="n"/>
      <c r="K40" s="68" t="n"/>
      <c r="L40" s="70">
        <f>IF($X40="","",IF(INDEX(B_Klasse,$X40)="","–",INDEX(B_Klasse,$X40)))</f>
        <v/>
      </c>
      <c r="M40" s="68">
        <f>IF($X40="","",IF(INDEX(B_Prio,$X40)="","–",INDEX(B_Prio,$X40)))</f>
        <v/>
      </c>
      <c r="N40" s="68">
        <f>IF($X40="","",IF(INDEX(B_Ist,$X40)="","–",INDEX(B_Ist,$X40)))</f>
        <v/>
      </c>
      <c r="O40" s="68">
        <f>IF($X40="","",IF(INDEX(B_Fehl,$X40)="","–",INDEX(B_Fehl,$X40)))</f>
        <v/>
      </c>
      <c r="P40" s="71">
        <f>IF($X40="","",IF(INDEX(B_Kosten,$X40)="","–",INDEX(B_Kosten,$X40)))</f>
        <v/>
      </c>
      <c r="Q40" s="68" t="n"/>
      <c r="R40" s="69">
        <f>IF($X40="","",IF(INDEX(B_Massn,$X40)="","–",INDEX(B_Massn,$X40)))</f>
        <v/>
      </c>
      <c r="S40" s="68" t="n"/>
      <c r="T40" s="68" t="n"/>
      <c r="U40" s="68" t="n"/>
      <c r="V40" s="2" t="n"/>
      <c r="W40" s="56">
        <f>IFERROR(LARGE(B_Key,10),"")</f>
        <v/>
      </c>
      <c r="X40" s="56">
        <f>IF(W40="","",MATCH(W40,B_Key,0))</f>
        <v/>
      </c>
    </row>
    <row r="41" ht="20" customHeight="1">
      <c r="A41" s="2" t="n"/>
      <c r="B41" s="68">
        <f>IF($X41="","",IF(INDEX(B_Pos,$X41)="","–",INDEX(B_Pos,$X41)))</f>
        <v/>
      </c>
      <c r="C41" s="68">
        <f>IF($X41="","",IF(INDEX(B_Mat,$X41)="","–",INDEX(B_Mat,$X41)))</f>
        <v/>
      </c>
      <c r="D41" s="68" t="n"/>
      <c r="E41" s="69">
        <f>IF($X41="","",IF(INDEX(B_Bez,$X41)="","–",INDEX(B_Bez,$X41)))</f>
        <v/>
      </c>
      <c r="F41" s="68" t="n"/>
      <c r="G41" s="68" t="n"/>
      <c r="H41" s="68" t="n"/>
      <c r="I41" s="69">
        <f>IF($X41="","",IF(INDEX(B_Masch,$X41)="","–",INDEX(B_Masch,$X41)))</f>
        <v/>
      </c>
      <c r="J41" s="68" t="n"/>
      <c r="K41" s="68" t="n"/>
      <c r="L41" s="70">
        <f>IF($X41="","",IF(INDEX(B_Klasse,$X41)="","–",INDEX(B_Klasse,$X41)))</f>
        <v/>
      </c>
      <c r="M41" s="68">
        <f>IF($X41="","",IF(INDEX(B_Prio,$X41)="","–",INDEX(B_Prio,$X41)))</f>
        <v/>
      </c>
      <c r="N41" s="68">
        <f>IF($X41="","",IF(INDEX(B_Ist,$X41)="","–",INDEX(B_Ist,$X41)))</f>
        <v/>
      </c>
      <c r="O41" s="68">
        <f>IF($X41="","",IF(INDEX(B_Fehl,$X41)="","–",INDEX(B_Fehl,$X41)))</f>
        <v/>
      </c>
      <c r="P41" s="71">
        <f>IF($X41="","",IF(INDEX(B_Kosten,$X41)="","–",INDEX(B_Kosten,$X41)))</f>
        <v/>
      </c>
      <c r="Q41" s="68" t="n"/>
      <c r="R41" s="69">
        <f>IF($X41="","",IF(INDEX(B_Massn,$X41)="","–",INDEX(B_Massn,$X41)))</f>
        <v/>
      </c>
      <c r="S41" s="68" t="n"/>
      <c r="T41" s="68" t="n"/>
      <c r="U41" s="68" t="n"/>
      <c r="V41" s="2" t="n"/>
      <c r="W41" s="56">
        <f>IFERROR(LARGE(B_Key,11),"")</f>
        <v/>
      </c>
      <c r="X41" s="56">
        <f>IF(W41="","",MATCH(W41,B_Key,0))</f>
        <v/>
      </c>
    </row>
    <row r="42" ht="20" customHeight="1">
      <c r="A42" s="2" t="n"/>
      <c r="B42" s="68">
        <f>IF($X42="","",IF(INDEX(B_Pos,$X42)="","–",INDEX(B_Pos,$X42)))</f>
        <v/>
      </c>
      <c r="C42" s="68">
        <f>IF($X42="","",IF(INDEX(B_Mat,$X42)="","–",INDEX(B_Mat,$X42)))</f>
        <v/>
      </c>
      <c r="D42" s="68" t="n"/>
      <c r="E42" s="69">
        <f>IF($X42="","",IF(INDEX(B_Bez,$X42)="","–",INDEX(B_Bez,$X42)))</f>
        <v/>
      </c>
      <c r="F42" s="68" t="n"/>
      <c r="G42" s="68" t="n"/>
      <c r="H42" s="68" t="n"/>
      <c r="I42" s="69">
        <f>IF($X42="","",IF(INDEX(B_Masch,$X42)="","–",INDEX(B_Masch,$X42)))</f>
        <v/>
      </c>
      <c r="J42" s="68" t="n"/>
      <c r="K42" s="68" t="n"/>
      <c r="L42" s="70">
        <f>IF($X42="","",IF(INDEX(B_Klasse,$X42)="","–",INDEX(B_Klasse,$X42)))</f>
        <v/>
      </c>
      <c r="M42" s="68">
        <f>IF($X42="","",IF(INDEX(B_Prio,$X42)="","–",INDEX(B_Prio,$X42)))</f>
        <v/>
      </c>
      <c r="N42" s="68">
        <f>IF($X42="","",IF(INDEX(B_Ist,$X42)="","–",INDEX(B_Ist,$X42)))</f>
        <v/>
      </c>
      <c r="O42" s="68">
        <f>IF($X42="","",IF(INDEX(B_Fehl,$X42)="","–",INDEX(B_Fehl,$X42)))</f>
        <v/>
      </c>
      <c r="P42" s="71">
        <f>IF($X42="","",IF(INDEX(B_Kosten,$X42)="","–",INDEX(B_Kosten,$X42)))</f>
        <v/>
      </c>
      <c r="Q42" s="68" t="n"/>
      <c r="R42" s="69">
        <f>IF($X42="","",IF(INDEX(B_Massn,$X42)="","–",INDEX(B_Massn,$X42)))</f>
        <v/>
      </c>
      <c r="S42" s="68" t="n"/>
      <c r="T42" s="68" t="n"/>
      <c r="U42" s="68" t="n"/>
      <c r="V42" s="2" t="n"/>
      <c r="W42" s="56">
        <f>IFERROR(LARGE(B_Key,12),"")</f>
        <v/>
      </c>
      <c r="X42" s="56">
        <f>IF(W42="","",MATCH(W42,B_Key,0))</f>
        <v/>
      </c>
    </row>
    <row r="43" ht="20" customHeight="1">
      <c r="A43" s="2" t="n"/>
      <c r="B43" s="68">
        <f>IF($X43="","",IF(INDEX(B_Pos,$X43)="","–",INDEX(B_Pos,$X43)))</f>
        <v/>
      </c>
      <c r="C43" s="68">
        <f>IF($X43="","",IF(INDEX(B_Mat,$X43)="","–",INDEX(B_Mat,$X43)))</f>
        <v/>
      </c>
      <c r="D43" s="68" t="n"/>
      <c r="E43" s="69">
        <f>IF($X43="","",IF(INDEX(B_Bez,$X43)="","–",INDEX(B_Bez,$X43)))</f>
        <v/>
      </c>
      <c r="F43" s="68" t="n"/>
      <c r="G43" s="68" t="n"/>
      <c r="H43" s="68" t="n"/>
      <c r="I43" s="69">
        <f>IF($X43="","",IF(INDEX(B_Masch,$X43)="","–",INDEX(B_Masch,$X43)))</f>
        <v/>
      </c>
      <c r="J43" s="68" t="n"/>
      <c r="K43" s="68" t="n"/>
      <c r="L43" s="70">
        <f>IF($X43="","",IF(INDEX(B_Klasse,$X43)="","–",INDEX(B_Klasse,$X43)))</f>
        <v/>
      </c>
      <c r="M43" s="68">
        <f>IF($X43="","",IF(INDEX(B_Prio,$X43)="","–",INDEX(B_Prio,$X43)))</f>
        <v/>
      </c>
      <c r="N43" s="68">
        <f>IF($X43="","",IF(INDEX(B_Ist,$X43)="","–",INDEX(B_Ist,$X43)))</f>
        <v/>
      </c>
      <c r="O43" s="68">
        <f>IF($X43="","",IF(INDEX(B_Fehl,$X43)="","–",INDEX(B_Fehl,$X43)))</f>
        <v/>
      </c>
      <c r="P43" s="71">
        <f>IF($X43="","",IF(INDEX(B_Kosten,$X43)="","–",INDEX(B_Kosten,$X43)))</f>
        <v/>
      </c>
      <c r="Q43" s="68" t="n"/>
      <c r="R43" s="69">
        <f>IF($X43="","",IF(INDEX(B_Massn,$X43)="","–",INDEX(B_Massn,$X43)))</f>
        <v/>
      </c>
      <c r="S43" s="68" t="n"/>
      <c r="T43" s="68" t="n"/>
      <c r="U43" s="68" t="n"/>
      <c r="V43" s="2" t="n"/>
      <c r="W43" s="56">
        <f>IFERROR(LARGE(B_Key,13),"")</f>
        <v/>
      </c>
      <c r="X43" s="56">
        <f>IF(W43="","",MATCH(W43,B_Key,0))</f>
        <v/>
      </c>
    </row>
    <row r="44" ht="20" customHeight="1">
      <c r="A44" s="2" t="n"/>
      <c r="B44" s="68">
        <f>IF($X44="","",IF(INDEX(B_Pos,$X44)="","–",INDEX(B_Pos,$X44)))</f>
        <v/>
      </c>
      <c r="C44" s="68">
        <f>IF($X44="","",IF(INDEX(B_Mat,$X44)="","–",INDEX(B_Mat,$X44)))</f>
        <v/>
      </c>
      <c r="D44" s="68" t="n"/>
      <c r="E44" s="69">
        <f>IF($X44="","",IF(INDEX(B_Bez,$X44)="","–",INDEX(B_Bez,$X44)))</f>
        <v/>
      </c>
      <c r="F44" s="68" t="n"/>
      <c r="G44" s="68" t="n"/>
      <c r="H44" s="68" t="n"/>
      <c r="I44" s="69">
        <f>IF($X44="","",IF(INDEX(B_Masch,$X44)="","–",INDEX(B_Masch,$X44)))</f>
        <v/>
      </c>
      <c r="J44" s="68" t="n"/>
      <c r="K44" s="68" t="n"/>
      <c r="L44" s="70">
        <f>IF($X44="","",IF(INDEX(B_Klasse,$X44)="","–",INDEX(B_Klasse,$X44)))</f>
        <v/>
      </c>
      <c r="M44" s="68">
        <f>IF($X44="","",IF(INDEX(B_Prio,$X44)="","–",INDEX(B_Prio,$X44)))</f>
        <v/>
      </c>
      <c r="N44" s="68">
        <f>IF($X44="","",IF(INDEX(B_Ist,$X44)="","–",INDEX(B_Ist,$X44)))</f>
        <v/>
      </c>
      <c r="O44" s="68">
        <f>IF($X44="","",IF(INDEX(B_Fehl,$X44)="","–",INDEX(B_Fehl,$X44)))</f>
        <v/>
      </c>
      <c r="P44" s="71">
        <f>IF($X44="","",IF(INDEX(B_Kosten,$X44)="","–",INDEX(B_Kosten,$X44)))</f>
        <v/>
      </c>
      <c r="Q44" s="68" t="n"/>
      <c r="R44" s="69">
        <f>IF($X44="","",IF(INDEX(B_Massn,$X44)="","–",INDEX(B_Massn,$X44)))</f>
        <v/>
      </c>
      <c r="S44" s="68" t="n"/>
      <c r="T44" s="68" t="n"/>
      <c r="U44" s="68" t="n"/>
      <c r="V44" s="2" t="n"/>
      <c r="W44" s="56">
        <f>IFERROR(LARGE(B_Key,14),"")</f>
        <v/>
      </c>
      <c r="X44" s="56">
        <f>IF(W44="","",MATCH(W44,B_Key,0))</f>
        <v/>
      </c>
    </row>
    <row r="45" ht="20" customHeight="1">
      <c r="A45" s="2" t="n"/>
      <c r="B45" s="68">
        <f>IF($X45="","",IF(INDEX(B_Pos,$X45)="","–",INDEX(B_Pos,$X45)))</f>
        <v/>
      </c>
      <c r="C45" s="68">
        <f>IF($X45="","",IF(INDEX(B_Mat,$X45)="","–",INDEX(B_Mat,$X45)))</f>
        <v/>
      </c>
      <c r="D45" s="68" t="n"/>
      <c r="E45" s="69">
        <f>IF($X45="","",IF(INDEX(B_Bez,$X45)="","–",INDEX(B_Bez,$X45)))</f>
        <v/>
      </c>
      <c r="F45" s="68" t="n"/>
      <c r="G45" s="68" t="n"/>
      <c r="H45" s="68" t="n"/>
      <c r="I45" s="69">
        <f>IF($X45="","",IF(INDEX(B_Masch,$X45)="","–",INDEX(B_Masch,$X45)))</f>
        <v/>
      </c>
      <c r="J45" s="68" t="n"/>
      <c r="K45" s="68" t="n"/>
      <c r="L45" s="70">
        <f>IF($X45="","",IF(INDEX(B_Klasse,$X45)="","–",INDEX(B_Klasse,$X45)))</f>
        <v/>
      </c>
      <c r="M45" s="68">
        <f>IF($X45="","",IF(INDEX(B_Prio,$X45)="","–",INDEX(B_Prio,$X45)))</f>
        <v/>
      </c>
      <c r="N45" s="68">
        <f>IF($X45="","",IF(INDEX(B_Ist,$X45)="","–",INDEX(B_Ist,$X45)))</f>
        <v/>
      </c>
      <c r="O45" s="68">
        <f>IF($X45="","",IF(INDEX(B_Fehl,$X45)="","–",INDEX(B_Fehl,$X45)))</f>
        <v/>
      </c>
      <c r="P45" s="71">
        <f>IF($X45="","",IF(INDEX(B_Kosten,$X45)="","–",INDEX(B_Kosten,$X45)))</f>
        <v/>
      </c>
      <c r="Q45" s="68" t="n"/>
      <c r="R45" s="69">
        <f>IF($X45="","",IF(INDEX(B_Massn,$X45)="","–",INDEX(B_Massn,$X45)))</f>
        <v/>
      </c>
      <c r="S45" s="68" t="n"/>
      <c r="T45" s="68" t="n"/>
      <c r="U45" s="68" t="n"/>
      <c r="V45" s="2" t="n"/>
      <c r="W45" s="56">
        <f>IFERROR(LARGE(B_Key,15),"")</f>
        <v/>
      </c>
      <c r="X45" s="56">
        <f>IF(W45="","",MATCH(W45,B_Key,0))</f>
        <v/>
      </c>
    </row>
    <row r="46">
      <c r="A46" s="2" t="n"/>
      <c r="B46" s="38">
        <f>IF(COUNTIF(B_Klasse,"?*")&gt;15,"Weitere "&amp;(COUNTIF(B_Klasse,"?*")-15)&amp;" bewertete Teile im Blatt „Bewertung“ (Filter nach Klasse).","")</f>
        <v/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</row>
  </sheetData>
  <mergeCells count="171">
    <mergeCell ref="I32:K32"/>
    <mergeCell ref="Q7:R7"/>
    <mergeCell ref="B11:M11"/>
    <mergeCell ref="Q21:R21"/>
    <mergeCell ref="S23:U23"/>
    <mergeCell ref="E23:F23"/>
    <mergeCell ref="O11:U11"/>
    <mergeCell ref="G23:H23"/>
    <mergeCell ref="B20:K20"/>
    <mergeCell ref="E32:H32"/>
    <mergeCell ref="M23:P23"/>
    <mergeCell ref="E37:H37"/>
    <mergeCell ref="I16:J16"/>
    <mergeCell ref="S24:U24"/>
    <mergeCell ref="I25:J25"/>
    <mergeCell ref="C41:D41"/>
    <mergeCell ref="R44:U44"/>
    <mergeCell ref="N9:P9"/>
    <mergeCell ref="E7:G7"/>
    <mergeCell ref="P39:Q39"/>
    <mergeCell ref="C43:D43"/>
    <mergeCell ref="P32:Q32"/>
    <mergeCell ref="C36:D36"/>
    <mergeCell ref="R30:U30"/>
    <mergeCell ref="I34:K34"/>
    <mergeCell ref="Q9:R9"/>
    <mergeCell ref="N4:P4"/>
    <mergeCell ref="K16:M16"/>
    <mergeCell ref="S25:U25"/>
    <mergeCell ref="P43:Q43"/>
    <mergeCell ref="I36:K36"/>
    <mergeCell ref="B1:N1"/>
    <mergeCell ref="K9:M9"/>
    <mergeCell ref="E34:H34"/>
    <mergeCell ref="I45:K45"/>
    <mergeCell ref="J4:M4"/>
    <mergeCell ref="M25:P25"/>
    <mergeCell ref="P33:Q33"/>
    <mergeCell ref="E22:F22"/>
    <mergeCell ref="I13:J13"/>
    <mergeCell ref="G22:H22"/>
    <mergeCell ref="R32:U32"/>
    <mergeCell ref="B26:K27"/>
    <mergeCell ref="E36:H36"/>
    <mergeCell ref="R41:U41"/>
    <mergeCell ref="E45:H45"/>
    <mergeCell ref="G12:H12"/>
    <mergeCell ref="Q3:R3"/>
    <mergeCell ref="C30:D30"/>
    <mergeCell ref="P35:Q35"/>
    <mergeCell ref="I15:J15"/>
    <mergeCell ref="B8:D8"/>
    <mergeCell ref="I37:K37"/>
    <mergeCell ref="C45:D45"/>
    <mergeCell ref="R43:U43"/>
    <mergeCell ref="N8:P8"/>
    <mergeCell ref="K12:M12"/>
    <mergeCell ref="H7:J7"/>
    <mergeCell ref="P34:Q34"/>
    <mergeCell ref="R33:U33"/>
    <mergeCell ref="K8:M8"/>
    <mergeCell ref="K14:M14"/>
    <mergeCell ref="Q23:R23"/>
    <mergeCell ref="B9:D9"/>
    <mergeCell ref="P36:Q36"/>
    <mergeCell ref="B3:E3"/>
    <mergeCell ref="C40:D40"/>
    <mergeCell ref="K7:M7"/>
    <mergeCell ref="G24:H24"/>
    <mergeCell ref="I24:J24"/>
    <mergeCell ref="B29:U29"/>
    <mergeCell ref="E38:H38"/>
    <mergeCell ref="P37:Q37"/>
    <mergeCell ref="E40:H40"/>
    <mergeCell ref="R45:U45"/>
    <mergeCell ref="P30:Q30"/>
    <mergeCell ref="G16:H16"/>
    <mergeCell ref="E25:F25"/>
    <mergeCell ref="G25:H25"/>
    <mergeCell ref="E8:G8"/>
    <mergeCell ref="M21:P21"/>
    <mergeCell ref="S8:U8"/>
    <mergeCell ref="C34:D34"/>
    <mergeCell ref="B14:D14"/>
    <mergeCell ref="B23:D23"/>
    <mergeCell ref="J3:M3"/>
    <mergeCell ref="B13:D13"/>
    <mergeCell ref="E9:G9"/>
    <mergeCell ref="P41:Q41"/>
    <mergeCell ref="F4:I4"/>
    <mergeCell ref="I39:K39"/>
    <mergeCell ref="C44:D44"/>
    <mergeCell ref="B2:U2"/>
    <mergeCell ref="G13:H13"/>
    <mergeCell ref="C31:D31"/>
    <mergeCell ref="Q4:R4"/>
    <mergeCell ref="I38:K38"/>
    <mergeCell ref="B17:M18"/>
    <mergeCell ref="E39:H39"/>
    <mergeCell ref="K13:M13"/>
    <mergeCell ref="G15:H15"/>
    <mergeCell ref="H8:J8"/>
    <mergeCell ref="I31:K31"/>
    <mergeCell ref="S22:U22"/>
    <mergeCell ref="I23:J23"/>
    <mergeCell ref="R34:U34"/>
    <mergeCell ref="I40:K40"/>
    <mergeCell ref="B25:D25"/>
    <mergeCell ref="K15:M15"/>
    <mergeCell ref="S21:U21"/>
    <mergeCell ref="C32:D32"/>
    <mergeCell ref="C38:D38"/>
    <mergeCell ref="E31:H31"/>
    <mergeCell ref="R36:U36"/>
    <mergeCell ref="B6:U6"/>
    <mergeCell ref="H9:J9"/>
    <mergeCell ref="B12:D12"/>
    <mergeCell ref="R42:U42"/>
    <mergeCell ref="P45:Q45"/>
    <mergeCell ref="N3:P3"/>
    <mergeCell ref="I41:K41"/>
    <mergeCell ref="M20:U20"/>
    <mergeCell ref="S7:U7"/>
    <mergeCell ref="Q25:R25"/>
    <mergeCell ref="E24:F24"/>
    <mergeCell ref="C33:D33"/>
    <mergeCell ref="P38:Q38"/>
    <mergeCell ref="C42:D42"/>
    <mergeCell ref="Q24:R24"/>
    <mergeCell ref="M24:P24"/>
    <mergeCell ref="I43:K43"/>
    <mergeCell ref="P44:Q44"/>
    <mergeCell ref="E41:H41"/>
    <mergeCell ref="P31:Q31"/>
    <mergeCell ref="Q8:R8"/>
    <mergeCell ref="C35:D35"/>
    <mergeCell ref="P40:Q40"/>
    <mergeCell ref="I33:K33"/>
    <mergeCell ref="I42:K42"/>
    <mergeCell ref="B4:E4"/>
    <mergeCell ref="R39:U39"/>
    <mergeCell ref="E43:H43"/>
    <mergeCell ref="S9:U9"/>
    <mergeCell ref="I35:K35"/>
    <mergeCell ref="I22:J22"/>
    <mergeCell ref="B15:D15"/>
    <mergeCell ref="E33:H33"/>
    <mergeCell ref="R38:U38"/>
    <mergeCell ref="I44:K44"/>
    <mergeCell ref="B24:D24"/>
    <mergeCell ref="E42:H42"/>
    <mergeCell ref="I12:J12"/>
    <mergeCell ref="R31:U31"/>
    <mergeCell ref="F3:I3"/>
    <mergeCell ref="E35:H35"/>
    <mergeCell ref="R40:U40"/>
    <mergeCell ref="E44:H44"/>
    <mergeCell ref="Q22:R22"/>
    <mergeCell ref="G14:H14"/>
    <mergeCell ref="I14:J14"/>
    <mergeCell ref="B7:D7"/>
    <mergeCell ref="I30:K30"/>
    <mergeCell ref="R37:U37"/>
    <mergeCell ref="C39:D39"/>
    <mergeCell ref="B16:D16"/>
    <mergeCell ref="N7:P7"/>
    <mergeCell ref="M22:P22"/>
    <mergeCell ref="C37:D37"/>
    <mergeCell ref="E30:H30"/>
    <mergeCell ref="R35:U35"/>
    <mergeCell ref="P42:Q42"/>
  </mergeCells>
  <conditionalFormatting sqref="N8">
    <cfRule type="cellIs" priority="1" operator="greaterThan" dxfId="10">
      <formula>0</formula>
    </cfRule>
  </conditionalFormatting>
  <conditionalFormatting sqref="B13:D13">
    <cfRule type="expression" priority="2" dxfId="0">
      <formula>TRUE</formula>
    </cfRule>
  </conditionalFormatting>
  <conditionalFormatting sqref="B14:D14">
    <cfRule type="expression" priority="3" dxfId="9">
      <formula>TRUE</formula>
    </cfRule>
  </conditionalFormatting>
  <conditionalFormatting sqref="B15:D15">
    <cfRule type="expression" priority="4" dxfId="8">
      <formula>TRUE</formula>
    </cfRule>
  </conditionalFormatting>
  <conditionalFormatting sqref="E23:F23">
    <cfRule type="expression" priority="5" dxfId="0">
      <formula>INDEX(Matrix,1,1)="A"</formula>
    </cfRule>
    <cfRule type="expression" priority="6" dxfId="9">
      <formula>INDEX(Matrix,1,1)="B"</formula>
    </cfRule>
    <cfRule type="expression" priority="7" dxfId="8">
      <formula>INDEX(Matrix,1,1)="C"</formula>
    </cfRule>
  </conditionalFormatting>
  <conditionalFormatting sqref="G23:H23">
    <cfRule type="expression" priority="8" dxfId="0">
      <formula>INDEX(Matrix,1,2)="A"</formula>
    </cfRule>
    <cfRule type="expression" priority="9" dxfId="9">
      <formula>INDEX(Matrix,1,2)="B"</formula>
    </cfRule>
    <cfRule type="expression" priority="10" dxfId="8">
      <formula>INDEX(Matrix,1,2)="C"</formula>
    </cfRule>
  </conditionalFormatting>
  <conditionalFormatting sqref="I23:J23">
    <cfRule type="expression" priority="11" dxfId="0">
      <formula>INDEX(Matrix,1,3)="A"</formula>
    </cfRule>
    <cfRule type="expression" priority="12" dxfId="9">
      <formula>INDEX(Matrix,1,3)="B"</formula>
    </cfRule>
    <cfRule type="expression" priority="13" dxfId="8">
      <formula>INDEX(Matrix,1,3)="C"</formula>
    </cfRule>
  </conditionalFormatting>
  <conditionalFormatting sqref="E24:F24">
    <cfRule type="expression" priority="14" dxfId="0">
      <formula>INDEX(Matrix,2,1)="A"</formula>
    </cfRule>
    <cfRule type="expression" priority="15" dxfId="9">
      <formula>INDEX(Matrix,2,1)="B"</formula>
    </cfRule>
    <cfRule type="expression" priority="16" dxfId="8">
      <formula>INDEX(Matrix,2,1)="C"</formula>
    </cfRule>
  </conditionalFormatting>
  <conditionalFormatting sqref="G24:H24">
    <cfRule type="expression" priority="17" dxfId="0">
      <formula>INDEX(Matrix,2,2)="A"</formula>
    </cfRule>
    <cfRule type="expression" priority="18" dxfId="9">
      <formula>INDEX(Matrix,2,2)="B"</formula>
    </cfRule>
    <cfRule type="expression" priority="19" dxfId="8">
      <formula>INDEX(Matrix,2,2)="C"</formula>
    </cfRule>
  </conditionalFormatting>
  <conditionalFormatting sqref="I24:J24">
    <cfRule type="expression" priority="20" dxfId="0">
      <formula>INDEX(Matrix,2,3)="A"</formula>
    </cfRule>
    <cfRule type="expression" priority="21" dxfId="9">
      <formula>INDEX(Matrix,2,3)="B"</formula>
    </cfRule>
    <cfRule type="expression" priority="22" dxfId="8">
      <formula>INDEX(Matrix,2,3)="C"</formula>
    </cfRule>
  </conditionalFormatting>
  <conditionalFormatting sqref="E25:F25">
    <cfRule type="expression" priority="23" dxfId="0">
      <formula>INDEX(Matrix,3,1)="A"</formula>
    </cfRule>
    <cfRule type="expression" priority="24" dxfId="9">
      <formula>INDEX(Matrix,3,1)="B"</formula>
    </cfRule>
    <cfRule type="expression" priority="25" dxfId="8">
      <formula>INDEX(Matrix,3,1)="C"</formula>
    </cfRule>
  </conditionalFormatting>
  <conditionalFormatting sqref="G25:H25">
    <cfRule type="expression" priority="26" dxfId="0">
      <formula>INDEX(Matrix,3,2)="A"</formula>
    </cfRule>
    <cfRule type="expression" priority="27" dxfId="9">
      <formula>INDEX(Matrix,3,2)="B"</formula>
    </cfRule>
    <cfRule type="expression" priority="28" dxfId="8">
      <formula>INDEX(Matrix,3,2)="C"</formula>
    </cfRule>
  </conditionalFormatting>
  <conditionalFormatting sqref="I25:J25">
    <cfRule type="expression" priority="29" dxfId="0">
      <formula>INDEX(Matrix,3,3)="A"</formula>
    </cfRule>
    <cfRule type="expression" priority="30" dxfId="9">
      <formula>INDEX(Matrix,3,3)="B"</formula>
    </cfRule>
    <cfRule type="expression" priority="31" dxfId="8">
      <formula>INDEX(Matrix,3,3)="C"</formula>
    </cfRule>
  </conditionalFormatting>
  <conditionalFormatting sqref="S22">
    <cfRule type="dataBar" priority="32">
      <dataBar>
        <cfvo type="num" val="0"/>
        <cfvo type="num" val="1"/>
        <color rgb="00F3CF7A"/>
      </dataBar>
    </cfRule>
  </conditionalFormatting>
  <conditionalFormatting sqref="S23">
    <cfRule type="dataBar" priority="33">
      <dataBar>
        <cfvo type="num" val="0"/>
        <cfvo type="num" val="1"/>
        <color rgb="00B8C7E0"/>
      </dataBar>
    </cfRule>
  </conditionalFormatting>
  <conditionalFormatting sqref="S24">
    <cfRule type="dataBar" priority="34">
      <dataBar>
        <cfvo type="num" val="0"/>
        <cfvo type="num" val="1"/>
        <color rgb="008FD9A3"/>
      </dataBar>
    </cfRule>
  </conditionalFormatting>
  <conditionalFormatting sqref="S25">
    <cfRule type="dataBar" priority="35">
      <dataBar>
        <cfvo type="num" val="0"/>
        <cfvo type="num" val="1"/>
        <color rgb="00D5DCE6"/>
      </dataBar>
    </cfRule>
  </conditionalFormatting>
  <conditionalFormatting sqref="M26">
    <cfRule type="expression" priority="36" dxfId="7">
      <formula>SUMPRODUCT((B_Termin&lt;&gt;"")*(B_Termin&lt;TODAY())*(LEFT(B_Status,8)&lt;&gt;"erledigt"))&gt;0</formula>
    </cfRule>
  </conditionalFormatting>
  <conditionalFormatting sqref="L31:L45">
    <cfRule type="expression" priority="37" dxfId="1">
      <formula>L31="A"</formula>
    </cfRule>
    <cfRule type="expression" priority="38" dxfId="2">
      <formula>L31="B"</formula>
    </cfRule>
    <cfRule type="expression" priority="39" dxfId="3">
      <formula>L31="C"</formula>
    </cfRule>
  </conditionalFormatting>
  <conditionalFormatting sqref="O31:O45">
    <cfRule type="cellIs" priority="40" operator="greaterThan" dxfId="7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&amp;L&amp;8 Bewertung Ersatzteilkritikalität – Übersicht&amp;R&amp;8 Seite / Page 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D9EC"/>
    <outlinePr summaryBelow="1" summaryRight="1"/>
    <pageSetUpPr fitToPage="1"/>
  </sheetPr>
  <dimension ref="A1:J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</cols>
  <sheetData>
    <row r="1" ht="30" customHeight="1">
      <c r="A1" s="2" t="n"/>
      <c r="B1" s="72" t="inlineStr">
        <is>
          <t>Ersatzteil-Steckbrief / Spare part data sheet</t>
        </is>
      </c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2" t="n"/>
      <c r="B2" s="60" t="inlineStr">
        <is>
          <t>Pos.-Nr. eintragen – die Daten kommen aus dem Blatt „Bewertung“. Fotos in die Rahmen einfügen. Für jedes A-Teil das Blatt kopieren (Blatt › Verschieben/Kopieren) und am Lagerort / an der Anlage aushängen.</t>
        </is>
      </c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4" customHeight="1">
      <c r="A4" s="2" t="n"/>
      <c r="B4" s="73" t="inlineStr">
        <is>
          <t>Pos.-Nr.</t>
        </is>
      </c>
      <c r="C4" s="74" t="n">
        <v>1</v>
      </c>
      <c r="D4" s="75" t="n"/>
      <c r="E4" s="2" t="n"/>
      <c r="F4" s="76" t="inlineStr">
        <is>
          <t>Kritikalität</t>
        </is>
      </c>
      <c r="G4" s="77">
        <f>IFERROR(IF(INDEX(B_Klasse,MATCH($C$4,B_Pos,0))="","–",INDEX(B_Klasse,MATCH($C$4,B_Pos,0))),"–")</f>
        <v/>
      </c>
      <c r="H4" s="2" t="n"/>
      <c r="I4" s="78">
        <f>IFERROR(INDEX(B_Begr,MATCH($C$4,B_Pos,0)),"")</f>
        <v/>
      </c>
      <c r="J4" s="2" t="n"/>
    </row>
    <row r="5" ht="24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 ht="18" customHeight="1">
      <c r="A7" s="2" t="n"/>
      <c r="B7" s="79" t="inlineStr">
        <is>
          <t>Materialnummer / Material no.</t>
        </is>
      </c>
      <c r="C7" s="79" t="n"/>
      <c r="D7" s="79" t="n"/>
      <c r="E7" s="80">
        <f>IFERROR(IF(INDEX(B_Mat,MATCH($C$4,B_Pos,0))="","–",INDEX(B_Mat,MATCH($C$4,B_Pos,0))),"–")</f>
        <v/>
      </c>
      <c r="F7" s="80" t="n"/>
      <c r="G7" s="80" t="n"/>
      <c r="H7" s="80" t="n"/>
      <c r="I7" s="80" t="n"/>
      <c r="J7" s="80" t="n"/>
    </row>
    <row r="8" ht="18" customHeight="1">
      <c r="A8" s="2" t="n"/>
      <c r="B8" s="79" t="inlineStr">
        <is>
          <t>Bezeichnung / Description</t>
        </is>
      </c>
      <c r="C8" s="79" t="n"/>
      <c r="D8" s="79" t="n"/>
      <c r="E8" s="80">
        <f>IFERROR(IF(INDEX(B_Bez,MATCH($C$4,B_Pos,0))="","–",INDEX(B_Bez,MATCH($C$4,B_Pos,0))),"–")</f>
        <v/>
      </c>
      <c r="F8" s="80" t="n"/>
      <c r="G8" s="80" t="n"/>
      <c r="H8" s="80" t="n"/>
      <c r="I8" s="80" t="n"/>
      <c r="J8" s="80" t="n"/>
    </row>
    <row r="9" ht="18" customHeight="1">
      <c r="A9" s="2" t="n"/>
      <c r="B9" s="79" t="inlineStr">
        <is>
          <t>Hersteller / Typ</t>
        </is>
      </c>
      <c r="C9" s="79" t="n"/>
      <c r="D9" s="79" t="n"/>
      <c r="E9" s="80">
        <f>IFERROR(IF(INDEX(B_Herst,MATCH($C$4,B_Pos,0))="","–",INDEX(B_Herst,MATCH($C$4,B_Pos,0))),"–")</f>
        <v/>
      </c>
      <c r="F9" s="80" t="n"/>
      <c r="G9" s="80" t="n"/>
      <c r="H9" s="80" t="n"/>
      <c r="I9" s="80" t="n"/>
      <c r="J9" s="80" t="n"/>
    </row>
    <row r="10" ht="18" customHeight="1">
      <c r="A10" s="2" t="n"/>
      <c r="B10" s="79" t="inlineStr">
        <is>
          <t>Maschine / Anlage</t>
        </is>
      </c>
      <c r="C10" s="79" t="n"/>
      <c r="D10" s="79" t="n"/>
      <c r="E10" s="80">
        <f>IFERROR(IF(INDEX(B_Masch,MATCH($C$4,B_Pos,0))="","–",INDEX(B_Masch,MATCH($C$4,B_Pos,0))),"–")</f>
        <v/>
      </c>
      <c r="F10" s="80" t="n"/>
      <c r="G10" s="80" t="n"/>
      <c r="H10" s="80" t="n"/>
      <c r="I10" s="80" t="n"/>
      <c r="J10" s="80" t="n"/>
    </row>
    <row r="11" ht="18" customHeight="1">
      <c r="A11" s="2" t="n"/>
      <c r="B11" s="79" t="inlineStr">
        <is>
          <t>Verbaut (Stk.) / Installed</t>
        </is>
      </c>
      <c r="C11" s="79" t="n"/>
      <c r="D11" s="79" t="n"/>
      <c r="E11" s="80">
        <f>IFERROR(IF(INDEX(B_Verbaut,MATCH($C$4,B_Pos,0))="","–",INDEX(B_Verbaut,MATCH($C$4,B_Pos,0))),"–")</f>
        <v/>
      </c>
      <c r="F11" s="80" t="n"/>
      <c r="G11" s="80" t="n"/>
      <c r="H11" s="80" t="n"/>
      <c r="I11" s="80" t="n"/>
      <c r="J11" s="80" t="n"/>
    </row>
    <row r="12" ht="18" customHeight="1">
      <c r="A12" s="2" t="n"/>
      <c r="B12" s="79" t="inlineStr">
        <is>
          <t>Ausfallwirkung / Impact</t>
        </is>
      </c>
      <c r="C12" s="79" t="n"/>
      <c r="D12" s="79" t="n"/>
      <c r="E12" s="80">
        <f>IFERROR(IF(INDEX(B_Wirkung,MATCH($C$4,B_Pos,0))="","–",INDEX(B_Wirkung,MATCH($C$4,B_Pos,0))),"–")</f>
        <v/>
      </c>
      <c r="F12" s="80" t="n"/>
      <c r="G12" s="80" t="n"/>
      <c r="H12" s="80" t="n"/>
      <c r="I12" s="80" t="n"/>
      <c r="J12" s="80" t="n"/>
    </row>
    <row r="13" ht="18" customHeight="1">
      <c r="A13" s="2" t="n"/>
      <c r="B13" s="79" t="inlineStr">
        <is>
          <t>Wiederbeschaffung / Availability</t>
        </is>
      </c>
      <c r="C13" s="79" t="n"/>
      <c r="D13" s="79" t="n"/>
      <c r="E13" s="80">
        <f>IFERROR(IF(INDEX(B_Beschaff,MATCH($C$4,B_Pos,0))="","–",INDEX(B_Beschaff,MATCH($C$4,B_Pos,0))),"–")</f>
        <v/>
      </c>
      <c r="F13" s="80" t="n"/>
      <c r="G13" s="80" t="n"/>
      <c r="H13" s="80" t="n"/>
      <c r="I13" s="80" t="n"/>
      <c r="J13" s="80" t="n"/>
    </row>
    <row r="14" ht="18" customHeight="1">
      <c r="A14" s="2" t="n"/>
      <c r="B14" s="79" t="inlineStr">
        <is>
          <t>Ausfallhäufigkeit / Frequency</t>
        </is>
      </c>
      <c r="C14" s="79" t="n"/>
      <c r="D14" s="79" t="n"/>
      <c r="E14" s="80">
        <f>IFERROR(IF(INDEX(B_Haeuf,MATCH($C$4,B_Pos,0))="","–",INDEX(B_Haeuf,MATCH($C$4,B_Pos,0))),"–")</f>
        <v/>
      </c>
      <c r="F14" s="80" t="n"/>
      <c r="G14" s="80" t="n"/>
      <c r="H14" s="80" t="n"/>
      <c r="I14" s="80" t="n"/>
      <c r="J14" s="80" t="n"/>
    </row>
    <row r="15" ht="18" customHeight="1">
      <c r="A15" s="2" t="n"/>
      <c r="B15" s="79" t="inlineStr">
        <is>
          <t>Sicherheit / Safety</t>
        </is>
      </c>
      <c r="C15" s="79" t="n"/>
      <c r="D15" s="79" t="n"/>
      <c r="E15" s="80">
        <f>IFERROR(IF(INDEX(B_Sich,MATCH($C$4,B_Pos,0))="","–",INDEX(B_Sich,MATCH($C$4,B_Pos,0))),"–")</f>
        <v/>
      </c>
      <c r="F15" s="80" t="n"/>
      <c r="G15" s="80" t="n"/>
      <c r="H15" s="80" t="n"/>
      <c r="I15" s="80" t="n"/>
      <c r="J15" s="80" t="n"/>
    </row>
    <row r="16" ht="18" customHeight="1">
      <c r="A16" s="2" t="n"/>
      <c r="B16" s="79" t="inlineStr">
        <is>
          <t>Lagerort / Storage location</t>
        </is>
      </c>
      <c r="C16" s="79" t="n"/>
      <c r="D16" s="79" t="n"/>
      <c r="E16" s="80">
        <f>IFERROR(IF(INDEX(B_Lager,MATCH($C$4,B_Pos,0))="","–",INDEX(B_Lager,MATCH($C$4,B_Pos,0))),"–")</f>
        <v/>
      </c>
      <c r="F16" s="80" t="n"/>
      <c r="G16" s="80" t="n"/>
      <c r="H16" s="80" t="n"/>
      <c r="I16" s="80" t="n"/>
      <c r="J16" s="80" t="n"/>
    </row>
    <row r="17" ht="18" customHeight="1">
      <c r="A17" s="2" t="n"/>
      <c r="B17" s="79" t="inlineStr">
        <is>
          <t>Ist-Bestand / Stock</t>
        </is>
      </c>
      <c r="C17" s="79" t="n"/>
      <c r="D17" s="79" t="n"/>
      <c r="E17" s="80">
        <f>IFERROR(IF(INDEX(B_Ist,MATCH($C$4,B_Pos,0))="","–",INDEX(B_Ist,MATCH($C$4,B_Pos,0))),"–")</f>
        <v/>
      </c>
      <c r="F17" s="80" t="n"/>
      <c r="G17" s="80" t="n"/>
      <c r="H17" s="80" t="n"/>
      <c r="I17" s="80" t="n"/>
      <c r="J17" s="80" t="n"/>
    </row>
    <row r="18" ht="18" customHeight="1">
      <c r="A18" s="2" t="n"/>
      <c r="B18" s="79" t="inlineStr">
        <is>
          <t>Soll-Bestand / Min. stock</t>
        </is>
      </c>
      <c r="C18" s="79" t="n"/>
      <c r="D18" s="79" t="n"/>
      <c r="E18" s="80">
        <f>IFERROR(IF(INDEX(B_Soll,MATCH($C$4,B_Pos,0))="","–",INDEX(B_Soll,MATCH($C$4,B_Pos,0))),"–")</f>
        <v/>
      </c>
      <c r="F18" s="80" t="n"/>
      <c r="G18" s="80" t="n"/>
      <c r="H18" s="80" t="n"/>
      <c r="I18" s="80" t="n"/>
      <c r="J18" s="80" t="n"/>
    </row>
    <row r="19" ht="18" customHeight="1">
      <c r="A19" s="2" t="n"/>
      <c r="B19" s="79" t="inlineStr">
        <is>
          <t>Fehlmenge / Shortage</t>
        </is>
      </c>
      <c r="C19" s="79" t="n"/>
      <c r="D19" s="79" t="n"/>
      <c r="E19" s="81">
        <f>IFERROR(IF(INDEX(B_Fehl,MATCH($C$4,B_Pos,0))="","–",INDEX(B_Fehl,MATCH($C$4,B_Pos,0))),"–")</f>
        <v/>
      </c>
      <c r="F19" s="80" t="n"/>
      <c r="G19" s="80" t="n"/>
      <c r="H19" s="80" t="n"/>
      <c r="I19" s="80" t="n"/>
      <c r="J19" s="80" t="n"/>
    </row>
    <row r="20" ht="18" customHeight="1">
      <c r="A20" s="2" t="n"/>
      <c r="B20" s="79" t="inlineStr">
        <is>
          <t>Bezugsquelle / Source</t>
        </is>
      </c>
      <c r="C20" s="79" t="n"/>
      <c r="D20" s="79" t="n"/>
      <c r="E20" s="80">
        <f>IFERROR(IF(INDEX(B_Quelle,MATCH($C$4,B_Pos,0))="","–",INDEX(B_Quelle,MATCH($C$4,B_Pos,0))),"–")</f>
        <v/>
      </c>
      <c r="F20" s="80" t="n"/>
      <c r="G20" s="80" t="n"/>
      <c r="H20" s="80" t="n"/>
      <c r="I20" s="80" t="n"/>
      <c r="J20" s="80" t="n"/>
    </row>
    <row r="21" ht="18" customHeight="1">
      <c r="A21" s="2" t="n"/>
      <c r="B21" s="79" t="inlineStr">
        <is>
          <t>Empfohlene Maßnahme / Action</t>
        </is>
      </c>
      <c r="C21" s="79" t="n"/>
      <c r="D21" s="79" t="n"/>
      <c r="E21" s="80">
        <f>IFERROR(IF(INDEX(B_Massn,MATCH($C$4,B_Pos,0))="","–",INDEX(B_Massn,MATCH($C$4,B_Pos,0))),"–")</f>
        <v/>
      </c>
      <c r="F21" s="80" t="n"/>
      <c r="G21" s="80" t="n"/>
      <c r="H21" s="80" t="n"/>
      <c r="I21" s="80" t="n"/>
      <c r="J21" s="80" t="n"/>
    </row>
    <row r="22" ht="18" customHeight="1">
      <c r="A22" s="2" t="n"/>
      <c r="B22" s="79" t="inlineStr">
        <is>
          <t>Foto-Ablage / Photo link</t>
        </is>
      </c>
      <c r="C22" s="79" t="n"/>
      <c r="D22" s="79" t="n"/>
      <c r="E22" s="80">
        <f>IFERROR(IF(INDEX(B_Link,MATCH($C$4,B_Pos,0))="","–",INDEX(B_Link,MATCH($C$4,B_Pos,0))),"–")</f>
        <v/>
      </c>
      <c r="F22" s="80" t="n"/>
      <c r="G22" s="80" t="n"/>
      <c r="H22" s="80" t="n"/>
      <c r="I22" s="80" t="n"/>
      <c r="J22" s="80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82" t="inlineStr">
        <is>
          <t>Foto Ersatzteil / Photo spare part</t>
        </is>
      </c>
      <c r="C24" s="83" t="n"/>
      <c r="D24" s="83" t="n"/>
      <c r="E24" s="83" t="n"/>
      <c r="F24" s="2" t="n"/>
      <c r="G24" s="82" t="inlineStr">
        <is>
          <t>Foto Einbauort / Location</t>
        </is>
      </c>
      <c r="H24" s="83" t="n"/>
      <c r="I24" s="83" t="n"/>
      <c r="J24" s="83" t="n"/>
    </row>
    <row r="25" ht="16" customHeight="1">
      <c r="A25" s="2" t="n"/>
      <c r="B25" s="84" t="inlineStr">
        <is>
          <t>Foto hier einfügen
Insert photo here</t>
        </is>
      </c>
      <c r="C25" s="85" t="n"/>
      <c r="D25" s="85" t="n"/>
      <c r="E25" s="86" t="n"/>
      <c r="F25" s="2" t="n"/>
      <c r="G25" s="84" t="inlineStr">
        <is>
          <t>Foto hier einfügen
Insert photo here</t>
        </is>
      </c>
      <c r="H25" s="85" t="n"/>
      <c r="I25" s="85" t="n"/>
      <c r="J25" s="86" t="n"/>
    </row>
    <row r="26" ht="16" customHeight="1">
      <c r="A26" s="2" t="n"/>
      <c r="B26" s="87" t="n"/>
      <c r="C26" s="88" t="n"/>
      <c r="D26" s="88" t="n"/>
      <c r="E26" s="89" t="n"/>
      <c r="F26" s="2" t="n"/>
      <c r="G26" s="87" t="n"/>
      <c r="H26" s="88" t="n"/>
      <c r="I26" s="88" t="n"/>
      <c r="J26" s="89" t="n"/>
    </row>
    <row r="27" ht="16" customHeight="1">
      <c r="A27" s="2" t="n"/>
      <c r="B27" s="87" t="n"/>
      <c r="C27" s="88" t="n"/>
      <c r="D27" s="88" t="n"/>
      <c r="E27" s="89" t="n"/>
      <c r="F27" s="2" t="n"/>
      <c r="G27" s="87" t="n"/>
      <c r="H27" s="88" t="n"/>
      <c r="I27" s="88" t="n"/>
      <c r="J27" s="89" t="n"/>
    </row>
    <row r="28" ht="16" customHeight="1">
      <c r="A28" s="2" t="n"/>
      <c r="B28" s="87" t="n"/>
      <c r="C28" s="88" t="n"/>
      <c r="D28" s="88" t="n"/>
      <c r="E28" s="89" t="n"/>
      <c r="F28" s="2" t="n"/>
      <c r="G28" s="87" t="n"/>
      <c r="H28" s="88" t="n"/>
      <c r="I28" s="88" t="n"/>
      <c r="J28" s="89" t="n"/>
    </row>
    <row r="29" ht="16" customHeight="1">
      <c r="A29" s="2" t="n"/>
      <c r="B29" s="87" t="n"/>
      <c r="C29" s="88" t="n"/>
      <c r="D29" s="88" t="n"/>
      <c r="E29" s="89" t="n"/>
      <c r="F29" s="2" t="n"/>
      <c r="G29" s="87" t="n"/>
      <c r="H29" s="88" t="n"/>
      <c r="I29" s="88" t="n"/>
      <c r="J29" s="89" t="n"/>
    </row>
    <row r="30" ht="16" customHeight="1">
      <c r="A30" s="2" t="n"/>
      <c r="B30" s="87" t="n"/>
      <c r="C30" s="88" t="n"/>
      <c r="D30" s="88" t="n"/>
      <c r="E30" s="89" t="n"/>
      <c r="F30" s="2" t="n"/>
      <c r="G30" s="87" t="n"/>
      <c r="H30" s="88" t="n"/>
      <c r="I30" s="88" t="n"/>
      <c r="J30" s="89" t="n"/>
    </row>
    <row r="31" ht="16" customHeight="1">
      <c r="A31" s="2" t="n"/>
      <c r="B31" s="87" t="n"/>
      <c r="C31" s="88" t="n"/>
      <c r="D31" s="88" t="n"/>
      <c r="E31" s="89" t="n"/>
      <c r="F31" s="2" t="n"/>
      <c r="G31" s="87" t="n"/>
      <c r="H31" s="88" t="n"/>
      <c r="I31" s="88" t="n"/>
      <c r="J31" s="89" t="n"/>
    </row>
    <row r="32" ht="16" customHeight="1">
      <c r="A32" s="2" t="n"/>
      <c r="B32" s="87" t="n"/>
      <c r="C32" s="88" t="n"/>
      <c r="D32" s="88" t="n"/>
      <c r="E32" s="89" t="n"/>
      <c r="F32" s="2" t="n"/>
      <c r="G32" s="87" t="n"/>
      <c r="H32" s="88" t="n"/>
      <c r="I32" s="88" t="n"/>
      <c r="J32" s="89" t="n"/>
    </row>
    <row r="33" ht="16" customHeight="1">
      <c r="A33" s="2" t="n"/>
      <c r="B33" s="87" t="n"/>
      <c r="C33" s="88" t="n"/>
      <c r="D33" s="88" t="n"/>
      <c r="E33" s="89" t="n"/>
      <c r="F33" s="2" t="n"/>
      <c r="G33" s="87" t="n"/>
      <c r="H33" s="88" t="n"/>
      <c r="I33" s="88" t="n"/>
      <c r="J33" s="89" t="n"/>
    </row>
    <row r="34" ht="16" customHeight="1">
      <c r="A34" s="2" t="n"/>
      <c r="B34" s="90" t="n"/>
      <c r="C34" s="91" t="n"/>
      <c r="D34" s="91" t="n"/>
      <c r="E34" s="92" t="n"/>
      <c r="F34" s="2" t="n"/>
      <c r="G34" s="90" t="n"/>
      <c r="H34" s="91" t="n"/>
      <c r="I34" s="91" t="n"/>
      <c r="J34" s="9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82" t="inlineStr">
        <is>
          <t>Foto Typenschild / Type plate</t>
        </is>
      </c>
      <c r="C36" s="83" t="n"/>
      <c r="D36" s="83" t="n"/>
      <c r="E36" s="83" t="n"/>
      <c r="F36" s="2" t="n"/>
      <c r="G36" s="82" t="inlineStr">
        <is>
          <t>Foto Lagerort / Storage location</t>
        </is>
      </c>
      <c r="H36" s="83" t="n"/>
      <c r="I36" s="83" t="n"/>
      <c r="J36" s="83" t="n"/>
    </row>
    <row r="37" ht="16" customHeight="1">
      <c r="A37" s="2" t="n"/>
      <c r="B37" s="84" t="inlineStr">
        <is>
          <t>Foto hier einfügen
Insert photo here</t>
        </is>
      </c>
      <c r="C37" s="85" t="n"/>
      <c r="D37" s="85" t="n"/>
      <c r="E37" s="86" t="n"/>
      <c r="F37" s="2" t="n"/>
      <c r="G37" s="84" t="inlineStr">
        <is>
          <t>Foto hier einfügen
Insert photo here</t>
        </is>
      </c>
      <c r="H37" s="85" t="n"/>
      <c r="I37" s="85" t="n"/>
      <c r="J37" s="86" t="n"/>
    </row>
    <row r="38" ht="16" customHeight="1">
      <c r="A38" s="2" t="n"/>
      <c r="B38" s="87" t="n"/>
      <c r="C38" s="88" t="n"/>
      <c r="D38" s="88" t="n"/>
      <c r="E38" s="89" t="n"/>
      <c r="F38" s="2" t="n"/>
      <c r="G38" s="87" t="n"/>
      <c r="H38" s="88" t="n"/>
      <c r="I38" s="88" t="n"/>
      <c r="J38" s="89" t="n"/>
    </row>
    <row r="39" ht="16" customHeight="1">
      <c r="A39" s="2" t="n"/>
      <c r="B39" s="87" t="n"/>
      <c r="C39" s="88" t="n"/>
      <c r="D39" s="88" t="n"/>
      <c r="E39" s="89" t="n"/>
      <c r="F39" s="2" t="n"/>
      <c r="G39" s="87" t="n"/>
      <c r="H39" s="88" t="n"/>
      <c r="I39" s="88" t="n"/>
      <c r="J39" s="89" t="n"/>
    </row>
    <row r="40" ht="16" customHeight="1">
      <c r="A40" s="2" t="n"/>
      <c r="B40" s="87" t="n"/>
      <c r="C40" s="88" t="n"/>
      <c r="D40" s="88" t="n"/>
      <c r="E40" s="89" t="n"/>
      <c r="F40" s="2" t="n"/>
      <c r="G40" s="87" t="n"/>
      <c r="H40" s="88" t="n"/>
      <c r="I40" s="88" t="n"/>
      <c r="J40" s="89" t="n"/>
    </row>
    <row r="41" ht="16" customHeight="1">
      <c r="A41" s="2" t="n"/>
      <c r="B41" s="87" t="n"/>
      <c r="C41" s="88" t="n"/>
      <c r="D41" s="88" t="n"/>
      <c r="E41" s="89" t="n"/>
      <c r="F41" s="2" t="n"/>
      <c r="G41" s="87" t="n"/>
      <c r="H41" s="88" t="n"/>
      <c r="I41" s="88" t="n"/>
      <c r="J41" s="89" t="n"/>
    </row>
    <row r="42" ht="16" customHeight="1">
      <c r="A42" s="2" t="n"/>
      <c r="B42" s="87" t="n"/>
      <c r="C42" s="88" t="n"/>
      <c r="D42" s="88" t="n"/>
      <c r="E42" s="89" t="n"/>
      <c r="F42" s="2" t="n"/>
      <c r="G42" s="87" t="n"/>
      <c r="H42" s="88" t="n"/>
      <c r="I42" s="88" t="n"/>
      <c r="J42" s="89" t="n"/>
    </row>
    <row r="43" ht="16" customHeight="1">
      <c r="A43" s="2" t="n"/>
      <c r="B43" s="87" t="n"/>
      <c r="C43" s="88" t="n"/>
      <c r="D43" s="88" t="n"/>
      <c r="E43" s="89" t="n"/>
      <c r="F43" s="2" t="n"/>
      <c r="G43" s="87" t="n"/>
      <c r="H43" s="88" t="n"/>
      <c r="I43" s="88" t="n"/>
      <c r="J43" s="89" t="n"/>
    </row>
    <row r="44" ht="16" customHeight="1">
      <c r="A44" s="2" t="n"/>
      <c r="B44" s="87" t="n"/>
      <c r="C44" s="88" t="n"/>
      <c r="D44" s="88" t="n"/>
      <c r="E44" s="89" t="n"/>
      <c r="F44" s="2" t="n"/>
      <c r="G44" s="87" t="n"/>
      <c r="H44" s="88" t="n"/>
      <c r="I44" s="88" t="n"/>
      <c r="J44" s="89" t="n"/>
    </row>
    <row r="45" ht="16" customHeight="1">
      <c r="A45" s="2" t="n"/>
      <c r="B45" s="87" t="n"/>
      <c r="C45" s="88" t="n"/>
      <c r="D45" s="88" t="n"/>
      <c r="E45" s="89" t="n"/>
      <c r="F45" s="2" t="n"/>
      <c r="G45" s="87" t="n"/>
      <c r="H45" s="88" t="n"/>
      <c r="I45" s="88" t="n"/>
      <c r="J45" s="89" t="n"/>
    </row>
    <row r="46" ht="16" customHeight="1">
      <c r="A46" s="2" t="n"/>
      <c r="B46" s="90" t="n"/>
      <c r="C46" s="91" t="n"/>
      <c r="D46" s="91" t="n"/>
      <c r="E46" s="92" t="n"/>
      <c r="F46" s="2" t="n"/>
      <c r="G46" s="90" t="n"/>
      <c r="H46" s="91" t="n"/>
      <c r="I46" s="91" t="n"/>
      <c r="J46" s="9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38" t="inlineStr">
        <is>
          <t>Stand / as of:</t>
        </is>
      </c>
      <c r="C48" s="93">
        <f>IF(Bewertung!$L$3="",TODAY(),Bewertung!$L$3)</f>
        <v/>
      </c>
      <c r="D48" s="2" t="n"/>
      <c r="E48" s="38">
        <f>"Werk / plant: "&amp;IF(Bewertung!$C$3="","–",Bewertung!$C$3)</f>
        <v/>
      </c>
      <c r="F48" s="2" t="n"/>
      <c r="G48" s="2" t="n"/>
      <c r="H48" s="2" t="n"/>
      <c r="I48" s="2" t="n"/>
      <c r="J48" s="2" t="n"/>
    </row>
  </sheetData>
  <mergeCells count="46">
    <mergeCell ref="B11:D11"/>
    <mergeCell ref="E19:J19"/>
    <mergeCell ref="B14:D14"/>
    <mergeCell ref="E10:J10"/>
    <mergeCell ref="E13:J13"/>
    <mergeCell ref="B8:D8"/>
    <mergeCell ref="B1:G1"/>
    <mergeCell ref="E9:J9"/>
    <mergeCell ref="B17:D17"/>
    <mergeCell ref="B13:D13"/>
    <mergeCell ref="G25:J34"/>
    <mergeCell ref="B24:E24"/>
    <mergeCell ref="B36:E36"/>
    <mergeCell ref="E15:J15"/>
    <mergeCell ref="C4:D4"/>
    <mergeCell ref="B10:D10"/>
    <mergeCell ref="G4:H5"/>
    <mergeCell ref="E11:J11"/>
    <mergeCell ref="B19:D19"/>
    <mergeCell ref="I4:J5"/>
    <mergeCell ref="B25:E34"/>
    <mergeCell ref="B9:D9"/>
    <mergeCell ref="B15:D15"/>
    <mergeCell ref="B20:D20"/>
    <mergeCell ref="E7:J7"/>
    <mergeCell ref="G36:J36"/>
    <mergeCell ref="E16:J16"/>
    <mergeCell ref="E22:J22"/>
    <mergeCell ref="E18:J18"/>
    <mergeCell ref="E12:J12"/>
    <mergeCell ref="G37:J46"/>
    <mergeCell ref="B7:D7"/>
    <mergeCell ref="C48:D48"/>
    <mergeCell ref="E21:J21"/>
    <mergeCell ref="B16:D16"/>
    <mergeCell ref="E14:J14"/>
    <mergeCell ref="B22:D22"/>
    <mergeCell ref="E17:J17"/>
    <mergeCell ref="B18:D18"/>
    <mergeCell ref="E8:J8"/>
    <mergeCell ref="G24:J24"/>
    <mergeCell ref="B37:E46"/>
    <mergeCell ref="B21:D21"/>
    <mergeCell ref="B12:D12"/>
    <mergeCell ref="E20:J20"/>
    <mergeCell ref="B2:J2"/>
  </mergeCells>
  <conditionalFormatting sqref="G4:H5">
    <cfRule type="expression" priority="1" dxfId="1">
      <formula>$G$4="A"</formula>
    </cfRule>
    <cfRule type="expression" priority="2" dxfId="2">
      <formula>$G$4="B"</formula>
    </cfRule>
    <cfRule type="expression" priority="3" dxfId="3">
      <formula>$G$4="C"</formula>
    </cfRule>
  </conditionalFormatting>
  <dataValidations count="1">
    <dataValidation sqref="C4" showDropDown="0" showInputMessage="0" showErrorMessage="0" allowBlank="1" errorTitle="Eingabe / Input" error="Pos.-Nr. aus dem Blatt „Bewertung“ eingeben." type="whole" operator="between">
      <formula1>1</formula1>
      <formula2>100000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&amp;L&amp;8 Bewertung Ersatzteilkritikalität – Steckbrief&amp;R&amp;8 Seite / Page &amp;P /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8A94A6"/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4" customWidth="1" min="3" max="3"/>
    <col width="52" customWidth="1" min="4" max="4"/>
    <col width="52" customWidth="1" min="5" max="5"/>
    <col width="14" customWidth="1" min="6" max="6"/>
  </cols>
  <sheetData>
    <row r="1" ht="25.5" customHeight="1">
      <c r="A1" s="1" t="inlineStr">
        <is>
          <t>Einstellungen / Settings</t>
        </is>
      </c>
      <c r="B1" s="2" t="n"/>
      <c r="C1" s="2" t="n"/>
      <c r="D1" s="2" t="n"/>
      <c r="E1" s="2" t="n"/>
    </row>
    <row r="2">
      <c r="A2" s="37" t="inlineStr">
        <is>
          <t>Weiße Felder mit blauer Schrift sind änderbar – einmal je Werk festlegen. Das Blatt „Bewertung“ rechnet automatisch mit. / Blue values can be adapted once per plant.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2" t="inlineStr">
        <is>
          <t>1  Allgemein / General</t>
        </is>
      </c>
      <c r="B4" s="43" t="n"/>
      <c r="C4" s="43" t="n"/>
      <c r="D4" s="43" t="n"/>
      <c r="E4" s="43" t="n"/>
    </row>
    <row r="5" ht="24" customHeight="1">
      <c r="A5" s="94" t="inlineStr">
        <is>
          <t>Währung / Currency</t>
        </is>
      </c>
      <c r="B5" s="2" t="n"/>
      <c r="C5" s="95" t="inlineStr">
        <is>
          <t>EUR</t>
        </is>
      </c>
      <c r="D5" s="96" t="inlineStr">
        <is>
          <t>Nur Anzeige. Alle Beträge in dieser Währung eingeben. / Display only – enter all amounts in this currency.</t>
        </is>
      </c>
      <c r="E5" s="2" t="n"/>
    </row>
    <row r="6" ht="24" customHeight="1">
      <c r="A6" s="94" t="inlineStr">
        <is>
          <t>Wirtschaftlichkeit ab Faktor / Economic from factor</t>
        </is>
      </c>
      <c r="B6" s="2" t="n"/>
      <c r="C6" s="97" t="n">
        <v>1</v>
      </c>
      <c r="D6" s="96" t="inlineStr">
        <is>
          <t>Bevorratung gilt als wirtschaftlich, wenn geschätzte Ausfallkosten ÷ Kosten Bevorratung ≥ diesem Faktor. / Stocking is economic if downtime cost ÷ stocking cost ≥ factor.</t>
        </is>
      </c>
      <c r="E6" s="2" t="n"/>
    </row>
    <row r="7" ht="24" customHeight="1">
      <c r="A7" s="94" t="inlineStr">
        <is>
          <t>Regel: häufiger Ausfall hebt Klasse / Rule: frequent failure raises class</t>
        </is>
      </c>
      <c r="B7" s="2" t="n"/>
      <c r="C7" s="95" t="inlineStr">
        <is>
          <t>ja</t>
        </is>
      </c>
      <c r="D7" s="96" t="inlineStr">
        <is>
          <t>„ja“: Bei Ausfallhäufigkeit 3 (häufig / Verschleißteil) steigt die Klasse um eine Stufe (C→B, B→A).</t>
        </is>
      </c>
      <c r="E7" s="2" t="n"/>
    </row>
    <row r="8" ht="24" customHeight="1">
      <c r="A8" s="94" t="inlineStr">
        <is>
          <t>Regel: Sicherheit mind. B / Rule: safety at least B</t>
        </is>
      </c>
      <c r="B8" s="2" t="n"/>
      <c r="C8" s="95" t="inlineStr">
        <is>
          <t>ja</t>
        </is>
      </c>
      <c r="D8" s="96" t="inlineStr">
        <is>
          <t>„ja“: Sicherheits-, umwelt- oder qualitätsrelevante Teile werden mindestens als B eingestuft.</t>
        </is>
      </c>
      <c r="E8" s="2" t="n"/>
    </row>
    <row r="9">
      <c r="A9" s="2" t="n"/>
      <c r="B9" s="2" t="n"/>
      <c r="C9" s="2" t="n"/>
      <c r="D9" s="2" t="n"/>
      <c r="E9" s="2" t="n"/>
    </row>
    <row r="10">
      <c r="A10" s="42" t="inlineStr">
        <is>
          <t>2  Bewertungskriterien und Auswahltexte / Criteria and drop-down texts</t>
        </is>
      </c>
      <c r="B10" s="43" t="n"/>
      <c r="C10" s="43" t="n"/>
      <c r="D10" s="43" t="n"/>
      <c r="E10" s="43" t="n"/>
    </row>
    <row r="11">
      <c r="A11" s="51" t="inlineStr">
        <is>
          <t>Kriterium / Criterion</t>
        </is>
      </c>
      <c r="B11" s="51" t="inlineStr">
        <is>
          <t>Auswahltext (Liste) / Drop-down text</t>
        </is>
      </c>
      <c r="C11" s="51" t="inlineStr">
        <is>
          <t>Stufe / Level</t>
        </is>
      </c>
      <c r="D11" s="51" t="inlineStr">
        <is>
          <t>Bedeutung (DE)</t>
        </is>
      </c>
      <c r="E11" s="51" t="inlineStr">
        <is>
          <t>Meaning (EN)</t>
        </is>
      </c>
    </row>
    <row r="12" ht="27" customHeight="1">
      <c r="A12" s="98" t="inlineStr">
        <is>
          <t>Ausfallwirkung
Failure impact</t>
        </is>
      </c>
      <c r="B12" s="25" t="inlineStr">
        <is>
          <t>1 – kein Stillstand / no stop</t>
        </is>
      </c>
      <c r="C12" s="70" t="n">
        <v>1</v>
      </c>
      <c r="D12" s="99" t="inlineStr">
        <is>
          <t>Kein Stillstand: Redundanz, Ausweichanlage oder Teil nicht produktionsrelevant.</t>
        </is>
      </c>
      <c r="E12" s="100" t="inlineStr">
        <is>
          <t>No downtime: redundancy, alternative machine or part not production-relevant.</t>
        </is>
      </c>
    </row>
    <row r="13" ht="27" customHeight="1">
      <c r="A13" s="98" t="n"/>
      <c r="B13" s="25" t="inlineStr">
        <is>
          <t>2 – Maschine steht / machine stops</t>
        </is>
      </c>
      <c r="C13" s="70" t="n">
        <v>2</v>
      </c>
      <c r="D13" s="99" t="inlineStr">
        <is>
          <t>Maschine steht, Produktion kann ausweichen oder Puffer reicht.</t>
        </is>
      </c>
      <c r="E13" s="100" t="inlineStr">
        <is>
          <t>Machine stops, production can be shifted or buffer is sufficient.</t>
        </is>
      </c>
    </row>
    <row r="14" ht="27" customHeight="1">
      <c r="A14" s="98" t="n"/>
      <c r="B14" s="25" t="inlineStr">
        <is>
          <t>3 – Linie / Kunde betroffen</t>
        </is>
      </c>
      <c r="C14" s="70" t="n">
        <v>3</v>
      </c>
      <c r="D14" s="99" t="inlineStr">
        <is>
          <t>Linie bzw. Engpass steht, kein Ausweichen – Lieferfähigkeit zum Kunden gefährdet.</t>
        </is>
      </c>
      <c r="E14" s="100" t="inlineStr">
        <is>
          <t>Line / bottleneck stops, no alternative – customer supply at risk.</t>
        </is>
      </c>
    </row>
    <row r="15" ht="27" customHeight="1">
      <c r="A15" s="98" t="inlineStr">
        <is>
          <t>Wiederbeschaffung
Availability</t>
        </is>
      </c>
      <c r="B15" s="25" t="inlineStr">
        <is>
          <t>1 – ≤ 1 Woche / ≤ 1 week</t>
        </is>
      </c>
      <c r="C15" s="70" t="n">
        <v>1</v>
      </c>
      <c r="D15" s="99" t="inlineStr">
        <is>
          <t>Ab Lager oder innerhalb 1 Woche lieferbar, mehrere Bezugsquellen.</t>
        </is>
      </c>
      <c r="E15" s="100" t="inlineStr">
        <is>
          <t>Available from stock or within 1 week, several sources.</t>
        </is>
      </c>
    </row>
    <row r="16" ht="27" customHeight="1">
      <c r="A16" s="98" t="n"/>
      <c r="B16" s="25" t="inlineStr">
        <is>
          <t>2 – 1–8 Wochen / 1–8 weeks</t>
        </is>
      </c>
      <c r="C16" s="70" t="n">
        <v>2</v>
      </c>
      <c r="D16" s="99" t="inlineStr">
        <is>
          <t>1 bis 8 Wochen Lieferzeit oder nur eine Bezugsquelle.</t>
        </is>
      </c>
      <c r="E16" s="100" t="inlineStr">
        <is>
          <t>1 to 8 weeks lead time or only one source.</t>
        </is>
      </c>
    </row>
    <row r="17" ht="27" customHeight="1">
      <c r="A17" s="98" t="n"/>
      <c r="B17" s="25" t="inlineStr">
        <is>
          <t>3 – &gt; 8 Wochen / abgekündigt</t>
        </is>
      </c>
      <c r="C17" s="70" t="n">
        <v>3</v>
      </c>
      <c r="D17" s="99" t="inlineStr">
        <is>
          <t>Über 8 Wochen, nicht planbar, abgekündigt, nur Gebrauchtmarkt oder nur mit Umbau ersetzbar.</t>
        </is>
      </c>
      <c r="E17" s="100" t="inlineStr">
        <is>
          <t>Over 8 weeks, unpredictable, discontinued, used market only or replaceable only by modification.</t>
        </is>
      </c>
    </row>
    <row r="18" ht="27" customHeight="1">
      <c r="A18" s="98" t="inlineStr">
        <is>
          <t>Ausfallhäufigkeit
Failure frequency</t>
        </is>
      </c>
      <c r="B18" s="25" t="inlineStr">
        <is>
          <t>1 – selten / rare</t>
        </is>
      </c>
      <c r="C18" s="70" t="n">
        <v>1</v>
      </c>
      <c r="D18" s="99" t="inlineStr">
        <is>
          <t>Selten: seltener als alle 5 Jahre, kein Ausfall bekannt.</t>
        </is>
      </c>
      <c r="E18" s="100" t="inlineStr">
        <is>
          <t>Rare: less than once in 5 years, no failure known.</t>
        </is>
      </c>
    </row>
    <row r="19" ht="27" customHeight="1">
      <c r="A19" s="98" t="n"/>
      <c r="B19" s="25" t="inlineStr">
        <is>
          <t>2 – gelegentlich / occasional</t>
        </is>
      </c>
      <c r="C19" s="70" t="n">
        <v>2</v>
      </c>
      <c r="D19" s="99" t="inlineStr">
        <is>
          <t>Gelegentlich: etwa alle 2 bis 5 Jahre.</t>
        </is>
      </c>
      <c r="E19" s="100" t="inlineStr">
        <is>
          <t>Occasional: about every 2 to 5 years.</t>
        </is>
      </c>
    </row>
    <row r="20" ht="27" customHeight="1">
      <c r="A20" s="98" t="n"/>
      <c r="B20" s="25" t="inlineStr">
        <is>
          <t>3 – häufig / frequent</t>
        </is>
      </c>
      <c r="C20" s="70" t="n">
        <v>3</v>
      </c>
      <c r="D20" s="99" t="inlineStr">
        <is>
          <t>Häufig: öfter als alle 2 Jahre oder Verschleißteil.</t>
        </is>
      </c>
      <c r="E20" s="100" t="inlineStr">
        <is>
          <t>Frequent: more than once in 2 years or wear part.</t>
        </is>
      </c>
    </row>
    <row r="21" ht="27" customHeight="1">
      <c r="A21" s="98" t="inlineStr">
        <is>
          <t>Sicherheit / Umwelt / Qualität
Safety / env. / quality</t>
        </is>
      </c>
      <c r="B21" s="101" t="inlineStr">
        <is>
          <t>ja / yes</t>
        </is>
      </c>
      <c r="C21" s="54" t="inlineStr">
        <is>
          <t>–</t>
        </is>
      </c>
      <c r="D21" s="99" t="inlineStr">
        <is>
          <t>Ausfall gefährdet Sicherheit oder Umwelt oder erzeugt Ausschuss / Qualitätsrisiko.</t>
        </is>
      </c>
      <c r="E21" s="100" t="inlineStr">
        <is>
          <t>Failure affects safety or environment or causes scrap / quality risk.</t>
        </is>
      </c>
    </row>
    <row r="22" ht="27" customHeight="1">
      <c r="A22" s="98" t="n"/>
      <c r="B22" s="101" t="inlineStr">
        <is>
          <t>nein / no</t>
        </is>
      </c>
      <c r="C22" s="54" t="inlineStr">
        <is>
          <t>–</t>
        </is>
      </c>
      <c r="D22" s="99" t="inlineStr">
        <is>
          <t>Keine Auswirkung auf Sicherheit, Umwelt oder Qualität.</t>
        </is>
      </c>
      <c r="E22" s="100" t="inlineStr">
        <is>
          <t>No effect on safety, environment or quality.</t>
        </is>
      </c>
    </row>
    <row r="23">
      <c r="A23" s="38" t="inlineStr">
        <is>
          <t>Die Auswahltexte dürfen umformuliert oder übersetzt werden, müssen aber mit der Ziffer 1, 2 oder 3 beginnen (bzw. mit „ja“ / „nein“).</t>
        </is>
      </c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42" t="inlineStr">
        <is>
          <t>3  Kritikalitätsmatrix / Criticality matrix</t>
        </is>
      </c>
      <c r="B25" s="43" t="n"/>
      <c r="C25" s="43" t="n"/>
      <c r="D25" s="43" t="n"/>
      <c r="E25" s="43" t="n"/>
    </row>
    <row r="26">
      <c r="A26" s="67" t="inlineStr">
        <is>
          <t>Ausfallwirkung ↓  ·  Wiederbeschaffung →</t>
        </is>
      </c>
      <c r="B26" s="51" t="inlineStr">
        <is>
          <t>1 – ≤ 1 Woche</t>
        </is>
      </c>
      <c r="C26" s="51" t="inlineStr">
        <is>
          <t>2 – 1–8 Wochen</t>
        </is>
      </c>
      <c r="D26" s="51" t="inlineStr">
        <is>
          <t>3 – &gt; 8 Wochen / abgekündigt</t>
        </is>
      </c>
      <c r="E26" s="2" t="n"/>
    </row>
    <row r="27" ht="26" customHeight="1">
      <c r="A27" s="102" t="inlineStr">
        <is>
          <t>3 – Linie / Kunde betroffen</t>
        </is>
      </c>
      <c r="B27" s="103" t="inlineStr">
        <is>
          <t>B</t>
        </is>
      </c>
      <c r="C27" s="103" t="inlineStr">
        <is>
          <t>A</t>
        </is>
      </c>
      <c r="D27" s="103" t="inlineStr">
        <is>
          <t>A</t>
        </is>
      </c>
      <c r="E27" s="96" t="inlineStr">
        <is>
          <t>Grundklasse aus Ausfallwirkung × Wiederbeschaffung. Danach gelten die Regeln aus Abschnitt 1: häufiger Ausfall +1 Stufe, Sicherheit mindestens B. Die Buchstaben sind änderbar.</t>
        </is>
      </c>
    </row>
    <row r="28" ht="26" customHeight="1">
      <c r="A28" s="102" t="inlineStr">
        <is>
          <t>2 – Maschine steht</t>
        </is>
      </c>
      <c r="B28" s="103" t="inlineStr">
        <is>
          <t>C</t>
        </is>
      </c>
      <c r="C28" s="103" t="inlineStr">
        <is>
          <t>B</t>
        </is>
      </c>
      <c r="D28" s="103" t="inlineStr">
        <is>
          <t>A</t>
        </is>
      </c>
      <c r="E28" s="2" t="n"/>
    </row>
    <row r="29" ht="26" customHeight="1">
      <c r="A29" s="102" t="inlineStr">
        <is>
          <t>1 – kein Stillstand</t>
        </is>
      </c>
      <c r="B29" s="103" t="inlineStr">
        <is>
          <t>C</t>
        </is>
      </c>
      <c r="C29" s="103" t="inlineStr">
        <is>
          <t>C</t>
        </is>
      </c>
      <c r="D29" s="103" t="inlineStr">
        <is>
          <t>B</t>
        </is>
      </c>
      <c r="E29" s="2" t="n"/>
    </row>
    <row r="30">
      <c r="A30" s="2" t="n"/>
      <c r="B30" s="2" t="n"/>
      <c r="C30" s="2" t="n"/>
      <c r="D30" s="2" t="n"/>
      <c r="E30" s="2" t="n"/>
    </row>
    <row r="31">
      <c r="A31" s="42" t="inlineStr">
        <is>
          <t>4  Klassen und Maßnahmen / Classes and actions</t>
        </is>
      </c>
      <c r="B31" s="43" t="n"/>
      <c r="C31" s="43" t="n"/>
      <c r="D31" s="43" t="n"/>
      <c r="E31" s="43" t="n"/>
    </row>
    <row r="32">
      <c r="A32" s="51" t="inlineStr">
        <is>
          <t>Klasse / Class</t>
        </is>
      </c>
      <c r="B32" s="51" t="inlineStr">
        <is>
          <t>Bedeutung / Meaning</t>
        </is>
      </c>
      <c r="C32" s="51" t="inlineStr">
        <is>
          <t>Soll-Bestand Vorschlag</t>
        </is>
      </c>
      <c r="D32" s="51" t="inlineStr">
        <is>
          <t>Standardmaßnahme (DE)</t>
        </is>
      </c>
      <c r="E32" s="51" t="inlineStr">
        <is>
          <t>Standard action (EN)</t>
        </is>
      </c>
    </row>
    <row r="33" ht="36" customHeight="1">
      <c r="A33" s="104" t="inlineStr">
        <is>
          <t>A</t>
        </is>
      </c>
      <c r="B33" s="105" t="inlineStr">
        <is>
          <t>kritisch – bevorraten / critical – keep in stock</t>
        </is>
      </c>
      <c r="C33" s="106" t="inlineStr">
        <is>
          <t>1 (häufig: 2)</t>
        </is>
      </c>
      <c r="D33" s="99" t="inlineStr">
        <is>
          <t>Teil muss am Lager liegen. Fehlmenge sofort beschaffen – bei abgekündigten Teilen Restbestand, Gebrauchtmarkt oder Alternative sichern.</t>
        </is>
      </c>
      <c r="E33" s="99" t="inlineStr">
        <is>
          <t>Part must be in stock. Procure shortage now – for discontinued parts secure last stock, used market or alternative.</t>
        </is>
      </c>
    </row>
    <row r="34" ht="36" customHeight="1">
      <c r="A34" s="104" t="inlineStr">
        <is>
          <t>B</t>
        </is>
      </c>
      <c r="B34" s="105" t="inlineStr">
        <is>
          <t>absichern / secure</t>
        </is>
      </c>
      <c r="C34" s="106" t="inlineStr">
        <is>
          <t>0 (häufig: 1)</t>
        </is>
      </c>
      <c r="D34" s="99" t="inlineStr">
        <is>
          <t>Bezugsquelle, Lieferzeit und Reparaturmöglichkeit klären; Bevorratung nach Wirtschaftlichkeit entscheiden.</t>
        </is>
      </c>
      <c r="E34" s="99" t="inlineStr">
        <is>
          <t>Clarify source, lead time and repair option; decide stocking by economic result.</t>
        </is>
      </c>
    </row>
    <row r="35" ht="36" customHeight="1">
      <c r="A35" s="104" t="inlineStr">
        <is>
          <t>C</t>
        </is>
      </c>
      <c r="B35" s="105" t="inlineStr">
        <is>
          <t>unkritisch / non-critical</t>
        </is>
      </c>
      <c r="C35" s="106" t="inlineStr">
        <is>
          <t>0</t>
        </is>
      </c>
      <c r="D35" s="99" t="inlineStr">
        <is>
          <t>Keine Bevorratung – Beschaffung bei Bedarf.</t>
        </is>
      </c>
      <c r="E35" s="99" t="inlineStr">
        <is>
          <t>No stocking – procure when needed.</t>
        </is>
      </c>
    </row>
    <row r="36">
      <c r="A36" s="2" t="n"/>
      <c r="B36" s="2" t="n"/>
      <c r="C36" s="2" t="n"/>
      <c r="D36" s="2" t="n"/>
      <c r="E36" s="2" t="n"/>
    </row>
    <row r="37">
      <c r="A37" s="42" t="inlineStr">
        <is>
          <t>5  Soll-Bestand (Vorschlag) / Suggested minimum stock</t>
        </is>
      </c>
      <c r="B37" s="43" t="n"/>
      <c r="C37" s="43" t="n"/>
      <c r="D37" s="43" t="n"/>
      <c r="E37" s="43" t="n"/>
    </row>
    <row r="38">
      <c r="A38" s="51" t="inlineStr">
        <is>
          <t>Klasse / Class</t>
        </is>
      </c>
      <c r="B38" s="51" t="inlineStr">
        <is>
          <t>Ausfallhäufigkeit 1 oder 2</t>
        </is>
      </c>
      <c r="C38" s="51" t="inlineStr">
        <is>
          <t>Ausfallhäufigkeit 3 (häufig)</t>
        </is>
      </c>
      <c r="D38" s="51" t="inlineStr">
        <is>
          <t>Hinweis</t>
        </is>
      </c>
      <c r="E38" s="2" t="n"/>
    </row>
    <row r="39">
      <c r="A39" s="70" t="inlineStr">
        <is>
          <t>A</t>
        </is>
      </c>
      <c r="B39" s="95" t="n">
        <v>1</v>
      </c>
      <c r="C39" s="95" t="n">
        <v>2</v>
      </c>
      <c r="D39" s="96" t="inlineStr">
        <is>
          <t>Stück je Werk; kann je Teil in der Spalte „Soll festgelegt“ überschrieben werden.</t>
        </is>
      </c>
      <c r="E39" s="2" t="n"/>
    </row>
    <row r="40">
      <c r="A40" s="70" t="inlineStr">
        <is>
          <t>B</t>
        </is>
      </c>
      <c r="B40" s="95" t="n">
        <v>0</v>
      </c>
      <c r="C40" s="95" t="n">
        <v>1</v>
      </c>
      <c r="D40" s="96" t="n"/>
      <c r="E40" s="2" t="n"/>
    </row>
    <row r="41">
      <c r="A41" s="70" t="inlineStr">
        <is>
          <t>C</t>
        </is>
      </c>
      <c r="B41" s="95" t="n">
        <v>0</v>
      </c>
      <c r="C41" s="95" t="n">
        <v>0</v>
      </c>
      <c r="D41" s="96" t="n"/>
      <c r="E41" s="2" t="n"/>
    </row>
    <row r="42">
      <c r="A42" s="2" t="n"/>
      <c r="B42" s="2" t="n"/>
      <c r="C42" s="2" t="n"/>
      <c r="D42" s="2" t="n"/>
      <c r="E42" s="2" t="n"/>
    </row>
    <row r="43">
      <c r="A43" s="42" t="inlineStr">
        <is>
          <t>6  Ausfallkosten (Schätzung) / Downtime cost estimate</t>
        </is>
      </c>
      <c r="B43" s="43" t="n"/>
      <c r="C43" s="43" t="n"/>
      <c r="D43" s="43" t="n"/>
      <c r="E43" s="43" t="n"/>
    </row>
    <row r="44" ht="26" customHeight="1">
      <c r="A44" s="3" t="inlineStr">
        <is>
          <t>Statt Stillstandskosten und -dauer je Teil zu ermitteln, werden zwei Werkstabellen einmal festgelegt. Ausfallkosten = Stillstandsstunden (aus Wiederbeschaffung) × Kostensatz je Stunde (aus Ausfallwirkung).</t>
        </is>
      </c>
      <c r="B44" s="2" t="n"/>
      <c r="C44" s="2" t="n"/>
      <c r="D44" s="2" t="n"/>
      <c r="E44" s="2" t="n"/>
    </row>
    <row r="45">
      <c r="A45" s="51" t="inlineStr">
        <is>
          <t>Wiederbeschaffung / Availability</t>
        </is>
      </c>
      <c r="B45" s="75" t="n"/>
      <c r="C45" s="51" t="inlineStr">
        <is>
          <t>Stillstand ohne Teil (h)</t>
        </is>
      </c>
      <c r="D45" s="2" t="n"/>
      <c r="E45" s="2" t="n"/>
    </row>
    <row r="46">
      <c r="A46" s="107" t="inlineStr">
        <is>
          <t>1 – ≤ 1 Woche</t>
        </is>
      </c>
      <c r="B46" s="107" t="n"/>
      <c r="C46" s="108" t="n">
        <v>24</v>
      </c>
      <c r="D46" s="96" t="inlineStr">
        <is>
          <t>Annahme (Vorschlag): Produktionsstunden, bis das Teil ohne Lagerbestand beschafft oder ersetzt ist. Bitte je Werk an Schichtmodell und Erfahrung anpassen.</t>
        </is>
      </c>
      <c r="E46" s="2" t="n"/>
    </row>
    <row r="47">
      <c r="A47" s="107" t="inlineStr">
        <is>
          <t>2 – 1–8 Wochen</t>
        </is>
      </c>
      <c r="B47" s="107" t="n"/>
      <c r="C47" s="108" t="n">
        <v>160</v>
      </c>
      <c r="D47" s="2" t="n"/>
      <c r="E47" s="2" t="n"/>
    </row>
    <row r="48">
      <c r="A48" s="107" t="inlineStr">
        <is>
          <t>3 – &gt; 8 Wochen / abgekündigt</t>
        </is>
      </c>
      <c r="B48" s="107" t="n"/>
      <c r="C48" s="108" t="n">
        <v>480</v>
      </c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51" t="inlineStr">
        <is>
          <t>Ausfallwirkung / Impact</t>
        </is>
      </c>
      <c r="B50" s="75" t="n"/>
      <c r="C50" s="51" t="inlineStr">
        <is>
          <t>Kostensatz je Stunde</t>
        </is>
      </c>
      <c r="D50" s="2" t="n"/>
      <c r="E50" s="2" t="n"/>
    </row>
    <row r="51">
      <c r="A51" s="107" t="inlineStr">
        <is>
          <t>1 – kein Stillstand</t>
        </is>
      </c>
      <c r="B51" s="107" t="n"/>
      <c r="C51" s="108" t="n">
        <v>0</v>
      </c>
      <c r="D51" s="96" t="inlineStr">
        <is>
          <t>Annahme (Vorschlag): Kosten je Stunde Stillstand (entgangener Deckungsbeitrag, Personal, Sonderfahrten). Wert mit dem Controlling des Werks abstimmen.</t>
        </is>
      </c>
      <c r="E51" s="2" t="n"/>
    </row>
    <row r="52">
      <c r="A52" s="107" t="inlineStr">
        <is>
          <t>2 – Maschine steht</t>
        </is>
      </c>
      <c r="B52" s="107" t="n"/>
      <c r="C52" s="108" t="n">
        <v>200</v>
      </c>
      <c r="D52" s="2" t="n"/>
      <c r="E52" s="2" t="n"/>
    </row>
    <row r="53">
      <c r="A53" s="107" t="inlineStr">
        <is>
          <t>3 – Linie / Kunde betroffen</t>
        </is>
      </c>
      <c r="B53" s="107" t="n"/>
      <c r="C53" s="108" t="n">
        <v>1000</v>
      </c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42" t="inlineStr">
        <is>
          <t>7  Weitere Auswahllisten / Other lists</t>
        </is>
      </c>
      <c r="B55" s="43" t="n"/>
      <c r="C55" s="43" t="n"/>
      <c r="D55" s="43" t="n"/>
      <c r="E55" s="43" t="n"/>
    </row>
    <row r="56">
      <c r="A56" s="51" t="inlineStr">
        <is>
          <t>Bezugsquelle / Source</t>
        </is>
      </c>
      <c r="B56" s="51" t="inlineStr">
        <is>
          <t>Status Maßnahme / Action status</t>
        </is>
      </c>
      <c r="C56" s="2" t="inlineStr"/>
      <c r="D56" s="2" t="n"/>
      <c r="E56" s="2" t="n"/>
    </row>
    <row r="57">
      <c r="A57" s="101" t="inlineStr">
        <is>
          <t>Hersteller / OEM</t>
        </is>
      </c>
      <c r="B57" s="101" t="inlineStr">
        <is>
          <t>offen / open</t>
        </is>
      </c>
      <c r="C57" s="2" t="n"/>
      <c r="D57" s="2" t="n"/>
      <c r="E57" s="2" t="n"/>
    </row>
    <row r="58">
      <c r="A58" s="101" t="inlineStr">
        <is>
          <t>Händler / Restbestand</t>
        </is>
      </c>
      <c r="B58" s="101" t="inlineStr">
        <is>
          <t>in Arbeit / in progress</t>
        </is>
      </c>
      <c r="C58" s="2" t="n"/>
      <c r="D58" s="2" t="n"/>
      <c r="E58" s="2" t="n"/>
    </row>
    <row r="59">
      <c r="A59" s="101" t="inlineStr">
        <is>
          <t>Gebrauchtmarkt / used market</t>
        </is>
      </c>
      <c r="B59" s="101" t="inlineStr">
        <is>
          <t>erledigt / done</t>
        </is>
      </c>
      <c r="C59" s="2" t="n"/>
      <c r="D59" s="2" t="n"/>
      <c r="E59" s="2" t="n"/>
    </row>
    <row r="60">
      <c r="A60" s="101" t="inlineStr">
        <is>
          <t>Reparatur / Aufarbeitung</t>
        </is>
      </c>
      <c r="B60" s="2" t="n"/>
      <c r="C60" s="2" t="n"/>
      <c r="D60" s="2" t="n"/>
      <c r="E60" s="2" t="n"/>
    </row>
    <row r="61">
      <c r="A61" s="101" t="inlineStr">
        <is>
          <t>Nachfertigung / re-manufacturing</t>
        </is>
      </c>
      <c r="B61" s="2" t="n"/>
      <c r="C61" s="2" t="n"/>
      <c r="D61" s="2" t="n"/>
      <c r="E61" s="2" t="n"/>
    </row>
    <row r="62">
      <c r="A62" s="101" t="inlineStr">
        <is>
          <t>Anderer Standort / other plant</t>
        </is>
      </c>
      <c r="B62" s="2" t="n"/>
      <c r="C62" s="2" t="n"/>
      <c r="D62" s="2" t="n"/>
      <c r="E62" s="2" t="n"/>
    </row>
    <row r="63">
      <c r="A63" s="101" t="inlineStr">
        <is>
          <t>Alternativteil / alternative part</t>
        </is>
      </c>
      <c r="B63" s="2" t="n"/>
      <c r="C63" s="2" t="n"/>
      <c r="D63" s="2" t="n"/>
      <c r="E63" s="2" t="n"/>
    </row>
    <row r="64">
      <c r="A64" s="101" t="inlineStr">
        <is>
          <t>Keine Quelle bekannt / none known</t>
        </is>
      </c>
      <c r="B64" s="2" t="n"/>
      <c r="C64" s="2" t="n"/>
      <c r="D64" s="2" t="n"/>
      <c r="E64" s="2" t="n"/>
    </row>
  </sheetData>
  <mergeCells count="27">
    <mergeCell ref="A48:B48"/>
    <mergeCell ref="E27:E29"/>
    <mergeCell ref="A12:A14"/>
    <mergeCell ref="D51:E53"/>
    <mergeCell ref="A51:B51"/>
    <mergeCell ref="A45:B45"/>
    <mergeCell ref="D6:E6"/>
    <mergeCell ref="D46:E48"/>
    <mergeCell ref="A25:E25"/>
    <mergeCell ref="A46:B46"/>
    <mergeCell ref="A15:A17"/>
    <mergeCell ref="A37:E37"/>
    <mergeCell ref="A21:A22"/>
    <mergeCell ref="A50:B50"/>
    <mergeCell ref="A55:E55"/>
    <mergeCell ref="D7:E7"/>
    <mergeCell ref="A47:B47"/>
    <mergeCell ref="A53:B53"/>
    <mergeCell ref="D8:E8"/>
    <mergeCell ref="A4:E4"/>
    <mergeCell ref="A43:E43"/>
    <mergeCell ref="A52:B52"/>
    <mergeCell ref="A10:E10"/>
    <mergeCell ref="D5:E5"/>
    <mergeCell ref="A31:E31"/>
    <mergeCell ref="A44:E44"/>
    <mergeCell ref="A18:A20"/>
  </mergeCells>
  <conditionalFormatting sqref="B27:D29">
    <cfRule type="expression" priority="1" dxfId="1">
      <formula>B27="A"</formula>
    </cfRule>
    <cfRule type="expression" priority="2" dxfId="2">
      <formula>B27="B"</formula>
    </cfRule>
    <cfRule type="expression" priority="3" dxfId="3">
      <formula>B27="C"</formula>
    </cfRule>
  </conditionalFormatting>
  <conditionalFormatting sqref="A33:A35">
    <cfRule type="expression" priority="4" dxfId="1">
      <formula>A33="A"</formula>
    </cfRule>
    <cfRule type="expression" priority="5" dxfId="2">
      <formula>A33="B"</formula>
    </cfRule>
    <cfRule type="expression" priority="6" dxfId="3">
      <formula>A33="C"</formula>
    </cfRule>
  </conditionalFormatting>
  <conditionalFormatting sqref="A39:A41">
    <cfRule type="expression" priority="7" dxfId="1">
      <formula>A39="A"</formula>
    </cfRule>
    <cfRule type="expression" priority="8" dxfId="2">
      <formula>A39="B"</formula>
    </cfRule>
    <cfRule type="expression" priority="9" dxfId="3">
      <formula>A39="C"</formula>
    </cfRule>
  </conditionalFormatting>
  <dataValidations count="3">
    <dataValidation sqref="C7" showDropDown="0" showInputMessage="0" showErrorMessage="0" allowBlank="1" errorTitle="Eingabe / Input" error="Bitte einen Wert aus der Liste wählen. / Please select a value from the list." type="list">
      <formula1>"ja,nein"</formula1>
    </dataValidation>
    <dataValidation sqref="C8" showDropDown="0" showInputMessage="0" showErrorMessage="0" allowBlank="1" errorTitle="Eingabe / Input" error="Bitte einen Wert aus der Liste wählen. / Please select a value from the list." type="list">
      <formula1>"ja,nein"</formula1>
    </dataValidation>
    <dataValidation sqref="B27:D29" showDropDown="0" showInputMessage="0" showErrorMessage="0" allowBlank="1" errorTitle="Eingabe / Input" error="Bitte einen Wert aus der Liste wählen. / Please select a value from the list." type="list">
      <formula1>"A,B,C"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&amp;L&amp;8 Bewertung Ersatzteilkritikalität – Einstellungen&amp;R&amp;8 Seite / 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A94A6"/>
    <outlinePr summaryBelow="1" summaryRight="1"/>
    <pageSetUpPr fitToPage="1"/>
  </sheetPr>
  <dimension ref="A1:B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 ht="25.5" customHeight="1">
      <c r="A1" s="1" t="inlineStr">
        <is>
          <t>Anleitung / Instructions</t>
        </is>
      </c>
      <c r="B1" s="2" t="n"/>
    </row>
    <row r="2">
      <c r="A2" s="37" t="inlineStr">
        <is>
          <t>Bewertung der Ersatzteilkritikalität – schlank, nachvollziehbar, weltweit einsetzbar. Ohne Makros. / Lean spare part criticality assessment, no macros.</t>
        </is>
      </c>
      <c r="B2" s="2" t="n"/>
    </row>
    <row r="3">
      <c r="A3" s="2" t="n"/>
      <c r="B3" s="2" t="n"/>
    </row>
    <row r="4" ht="18" customHeight="1">
      <c r="A4" s="109" t="inlineStr">
        <is>
          <t>So geht's (5 Minuten je Teil)</t>
        </is>
      </c>
      <c r="B4" s="2" t="n"/>
    </row>
    <row r="5" ht="28" customHeight="1">
      <c r="A5" s="110" t="inlineStr">
        <is>
          <t>1. Kopf</t>
        </is>
      </c>
      <c r="B5" s="111" t="inlineStr">
        <is>
          <t>Im Blatt „Bewertung“ Werk, Bereich, Ersteller und Datum eintragen. Einmalig je Werk: Kostensätze und Stillstandsstunden im Blatt „Einstellungen“ prüfen.</t>
        </is>
      </c>
    </row>
    <row r="6" ht="28" customHeight="1">
      <c r="A6" s="110" t="inlineStr">
        <is>
          <t>2. Teil erfassen</t>
        </is>
      </c>
      <c r="B6" s="111" t="inlineStr">
        <is>
          <t>Pflicht (★, orange): Bezeichnung. Empfohlen (☆, hellblau): Materialnummer und Maschine. Optional: Hersteller / Typ, verbaute Menge.</t>
        </is>
      </c>
    </row>
    <row r="7" ht="42" customHeight="1">
      <c r="A7" s="110" t="inlineStr">
        <is>
          <t>3. Bewerten</t>
        </is>
      </c>
      <c r="B7" s="111" t="inlineStr">
        <is>
          <t>Drei Auswahlfelder beantworten – Instandhaltung, Produktion oder Technik können sie ohne Recherche beantworten: Was passiert bei Ausfall? Wie schnell bekomme ich das Teil? Wie oft fällt es aus? Dazu „ja“, wenn Sicherheit, Umwelt oder Qualität betroffen sind.</t>
        </is>
      </c>
    </row>
    <row r="8" ht="28" customHeight="1">
      <c r="A8" s="110" t="inlineStr">
        <is>
          <t>4. Bestand</t>
        </is>
      </c>
      <c r="B8" s="111" t="inlineStr">
        <is>
          <t>Ist-Bestand und Lagerort eintragen. Der Soll-Bestand wird je Klasse vorgeschlagen; nur bei Bedarf in „Soll festgelegt“ überschreiben. Stückpreis eintragen – dann rechnet die Wirtschaftlichkeit.</t>
        </is>
      </c>
    </row>
    <row r="9" ht="42" customHeight="1">
      <c r="A9" s="110" t="inlineStr">
        <is>
          <t>5. Foto</t>
        </is>
      </c>
      <c r="B9" s="111" t="inlineStr">
        <is>
          <t>Foto in die Spalte „Foto“ einfügen: Excel 365 › Einfügen › Bilder › In Zelle platzieren (das Bild bleibt beim Sortieren und Filtern in der Zeile). Alternativ Link zur Fotoablage (SharePoint / Laufwerk) in „Foto-Ablage“. Für A-Teile zusätzlich das Blatt „Steckbrief“ nutzen (4 Fotofelder).</t>
        </is>
      </c>
    </row>
    <row r="10" ht="14" customHeight="1">
      <c r="A10" s="110" t="inlineStr">
        <is>
          <t>6. Maßnahme</t>
        </is>
      </c>
      <c r="B10" s="111" t="inlineStr">
        <is>
          <t>Die empfohlene Maßnahme steht automatisch da. Bezugsquelle, Verantwortlich, Termin und Status ergänzen.</t>
        </is>
      </c>
    </row>
    <row r="11" ht="14" customHeight="1">
      <c r="A11" s="110" t="inlineStr">
        <is>
          <t>7. Auswerten</t>
        </is>
      </c>
      <c r="B11" s="111" t="inlineStr">
        <is>
          <t>Blatt „Übersicht“: Anzahl je Klasse, Fehlmengen, Kosten, Matrix, Maßnahmenstand und die wichtigsten 15 Teile.</t>
        </is>
      </c>
    </row>
    <row r="12">
      <c r="A12" s="2" t="n"/>
      <c r="B12" s="2" t="n"/>
    </row>
    <row r="13" ht="18" customHeight="1">
      <c r="A13" s="109" t="inlineStr">
        <is>
          <t>Bewertungslogik</t>
        </is>
      </c>
      <c r="B13" s="2" t="n"/>
    </row>
    <row r="14" ht="42" customHeight="1">
      <c r="A14" s="110" t="inlineStr">
        <is>
          <t>Kritikalität A / B / C</t>
        </is>
      </c>
      <c r="B14" s="111" t="inlineStr">
        <is>
          <t>1) Grundklasse aus der Matrix Ausfallwirkung × Wiederbeschaffung (Blatt „Einstellungen“). 2) Ausfallhäufigkeit „häufig“ hebt die Klasse um eine Stufe. 3) Sicherheits-, umwelt- oder qualitätsrelevante Teile sind mindestens B. Die Spalte „Begründung“ zeigt den Weg, z. B. „Matrix B · häufig +1 → A“.</t>
        </is>
      </c>
    </row>
    <row r="15" ht="14" customHeight="1">
      <c r="A15" s="110" t="inlineStr">
        <is>
          <t>Priorität (1–27)</t>
        </is>
      </c>
      <c r="B15" s="111" t="inlineStr">
        <is>
          <t>Ausfallwirkung × Wiederbeschaffung × Ausfallhäufigkeit. Dient zum Sortieren innerhalb einer Klasse.</t>
        </is>
      </c>
    </row>
    <row r="16" ht="28" customHeight="1">
      <c r="A16" s="110" t="inlineStr">
        <is>
          <t>Soll-Bestand</t>
        </is>
      </c>
      <c r="B16" s="111" t="inlineStr">
        <is>
          <t>Vorschlag aus Tabelle im Blatt „Einstellungen“: A = 1 (häufig 2), B = 0 (häufig 1), C = 0. Ein Wert in „Soll festgelegt“ hat Vorrang.</t>
        </is>
      </c>
    </row>
    <row r="17" ht="42" customHeight="1">
      <c r="A17" s="110" t="inlineStr">
        <is>
          <t>Wirtschaftlichkeit</t>
        </is>
      </c>
      <c r="B17" s="111" t="inlineStr">
        <is>
          <t>Kosten Bevorratung = Fehlmenge × Stückpreis. Ausfallkosten (Schätzung) = Stillstandsstunden (aus Wiederbeschaffung) × Kostensatz je Stunde (aus Ausfallwirkung). Wirtschaftlich, wenn Ausfallkosten ÷ Kosten Bevorratung ≥ Faktor (Standard 1). Bezug: ein Ausfall.</t>
        </is>
      </c>
    </row>
    <row r="18">
      <c r="A18" s="2" t="n"/>
      <c r="B18" s="2" t="n"/>
    </row>
    <row r="19" ht="18" customHeight="1">
      <c r="A19" s="109" t="inlineStr">
        <is>
          <t>Farben</t>
        </is>
      </c>
      <c r="B19" s="2" t="n"/>
    </row>
    <row r="20" ht="28" customHeight="1">
      <c r="A20" s="110" t="inlineStr">
        <is>
          <t>★ Orange Spalten (Pflicht)</t>
        </is>
      </c>
      <c r="B20" s="111" t="inlineStr">
        <is>
          <t>Bezeichnung, Ausfallwirkung, Wiederbeschaffung, Ausfallhäufigkeit – genügen für die Kritikalität A / B / C, Priorität, Soll-Vorschlag und empfohlene Maßnahme. Fehlt eines davon in einer begonnenen Zeile, wird die Zelle rot.</t>
        </is>
      </c>
    </row>
    <row r="21" ht="14" customHeight="1">
      <c r="A21" s="110" t="inlineStr">
        <is>
          <t>☆ Hellblaue Spalten (empfohlen)</t>
        </is>
      </c>
      <c r="B21" s="111" t="inlineStr">
        <is>
          <t>Materialnummer und Maschine (Identifikation), Ist-Bestand (Fehlmenge) und Stückpreis (Kosten, Wirtschaftlichkeit).</t>
        </is>
      </c>
    </row>
    <row r="22" ht="14" customHeight="1">
      <c r="A22" s="110" t="inlineStr">
        <is>
          <t>Weiße Zellen, blaue Schrift</t>
        </is>
      </c>
      <c r="B22" s="111" t="inlineStr">
        <is>
          <t>Optionale Eingabe (Foto, Sicherheit, Lagerort, Maßnahme usw.).</t>
        </is>
      </c>
    </row>
    <row r="23" ht="14" customHeight="1">
      <c r="A23" s="110" t="inlineStr">
        <is>
          <t>Graue Zellen</t>
        </is>
      </c>
      <c r="B23" s="111" t="inlineStr">
        <is>
          <t>Berechnet – nicht überschreiben.</t>
        </is>
      </c>
    </row>
    <row r="24" ht="14" customHeight="1">
      <c r="A24" s="110" t="inlineStr">
        <is>
          <t>Cyanfarbene Spaltenköpfe</t>
        </is>
      </c>
      <c r="B24" s="111" t="inlineStr">
        <is>
          <t>Eingabespalten; graue Spaltenköpfe = berechnete Spalten.</t>
        </is>
      </c>
    </row>
    <row r="25">
      <c r="A25" s="2" t="n"/>
      <c r="B25" s="2" t="n"/>
    </row>
    <row r="26" ht="18" customHeight="1">
      <c r="A26" s="109" t="inlineStr">
        <is>
          <t>Wesentliche Änderungen gegenüber „2026_Bewertung_Kritische_Ersatzteile“</t>
        </is>
      </c>
      <c r="B26" s="2" t="n"/>
    </row>
    <row r="27" ht="28" customHeight="1">
      <c r="A27" s="110" t="inlineStr">
        <is>
          <t>6 → 3 Kriterien (+ ja/nein)</t>
        </is>
      </c>
      <c r="B27" s="111" t="inlineStr">
        <is>
          <t>Marktverfügbarkeit, Lieferzeit und Umbauaufwand sind zu „Wiederbeschaffung“ zusammengefasst; Ausfallwirkung und Ausfallhäufigkeit bleiben; Sicherheit/Umwelt/Qualität ist eine Ja/Nein-Frage.</t>
        </is>
      </c>
    </row>
    <row r="28" ht="14" customHeight="1">
      <c r="A28" s="110" t="inlineStr">
        <is>
          <t>4 → 3 Stufen</t>
        </is>
      </c>
      <c r="B28" s="111" t="inlineStr">
        <is>
          <t>Drei klar beschriebene Stufen statt vier; Auswahltexte statt Ziffern.</t>
        </is>
      </c>
    </row>
    <row r="29" ht="14" customHeight="1">
      <c r="A29" s="110" t="inlineStr">
        <is>
          <t>Matrix statt Gewichtungsformel</t>
        </is>
      </c>
      <c r="B29" s="111" t="inlineStr">
        <is>
          <t>Statt Punktzahl 25–100 mit Gewichten eine sichtbare 3×3-Matrix mit zwei Regeln – Ergebnis direkt A / B / C und begründet.</t>
        </is>
      </c>
    </row>
    <row r="30" ht="28" customHeight="1">
      <c r="A30" s="110" t="inlineStr">
        <is>
          <t>Wirtschaftlichkeit ohne Recherche</t>
        </is>
      </c>
      <c r="B30" s="111" t="inlineStr">
        <is>
          <t>Stillstandskosten je Stunde, Stillstandsdauer und Umbaukosten je Teil entfallen. Zwei Werkstabellen ersetzen sie. Eingabe je Teil nur noch Stückpreis und Ist-Bestand.</t>
        </is>
      </c>
    </row>
    <row r="31" ht="14" customHeight="1">
      <c r="A31" s="110" t="inlineStr">
        <is>
          <t>Soll-Bestand vorgeschlagen</t>
        </is>
      </c>
      <c r="B31" s="111" t="inlineStr">
        <is>
          <t>Wird aus Klasse und Häufigkeit vorgeschlagen, statt für jedes Teil frei festgelegt.</t>
        </is>
      </c>
    </row>
    <row r="32" ht="28" customHeight="1">
      <c r="A32" s="110" t="inlineStr">
        <is>
          <t>Neu</t>
        </is>
      </c>
      <c r="B32" s="111" t="inlineStr">
        <is>
          <t>Lagerort, Foto-Spalte und Foto-Link, Steckbrief mit 4 Fotofeldern, Begründung, Priorität, Kritikalitätsmatrix in der Übersicht, Top-15-Liste, zweisprachige Spaltenköpfe (DE/EN), Währung als Einstellung.</t>
        </is>
      </c>
    </row>
    <row r="33" ht="28" customHeight="1">
      <c r="A33" s="110" t="inlineStr">
        <is>
          <t>Entfallen</t>
        </is>
      </c>
      <c r="B33" s="111" t="inlineStr">
        <is>
          <t>Teilestatus (geht in „Wiederbeschaffung“ auf), Nächster Schritt (→ Bemerkung), Faktorspalte (→ Text in „Wirtschaftlichkeit“), Stillstandskosten/h, Stillstand ohne Teil (h), Umbaukosten.</t>
        </is>
      </c>
    </row>
    <row r="34">
      <c r="A34" s="2" t="n"/>
      <c r="B34" s="2" t="n"/>
    </row>
    <row r="35" ht="18" customHeight="1">
      <c r="A35" s="109" t="inlineStr">
        <is>
          <t>Annahmen – bitte je Werk prüfen</t>
        </is>
      </c>
      <c r="B35" s="2" t="n"/>
    </row>
    <row r="36" ht="14" customHeight="1">
      <c r="A36" s="110" t="inlineStr">
        <is>
          <t>Stillstandsstunden</t>
        </is>
      </c>
      <c r="B36" s="111" t="inlineStr">
        <is>
          <t>24 h / 160 h / 480 h je Stufe der Wiederbeschaffung.</t>
        </is>
      </c>
    </row>
    <row r="37" ht="14" customHeight="1">
      <c r="A37" s="110" t="inlineStr">
        <is>
          <t>Kostensatz</t>
        </is>
      </c>
      <c r="B37" s="111" t="inlineStr">
        <is>
          <t>0 / 200 / 1.000 je Stunde je Stufe der Ausfallwirkung.</t>
        </is>
      </c>
    </row>
    <row r="38" ht="14" customHeight="1">
      <c r="A38" s="110" t="inlineStr">
        <is>
          <t>Matrix und Regeln</t>
        </is>
      </c>
      <c r="B38" s="111" t="inlineStr">
        <is>
          <t>Matrixbelegung, „häufig +1“ und „Sicherheit mind. B“ sind ein Vorschlag und im Blatt „Einstellungen“ änderbar.</t>
        </is>
      </c>
    </row>
    <row r="39">
      <c r="A39" s="2" t="n"/>
      <c r="B39" s="2" t="n"/>
    </row>
    <row r="40" ht="18" customHeight="1">
      <c r="A40" s="109" t="inlineStr">
        <is>
          <t>Short guide (EN)</t>
        </is>
      </c>
      <c r="B40" s="2" t="n"/>
    </row>
    <row r="41" ht="42" customHeight="1">
      <c r="A41" s="110" t="inlineStr">
        <is>
          <t>How to</t>
        </is>
      </c>
      <c r="B41" s="111" t="inlineStr">
        <is>
          <t>Enter plant data. Per part: description, three drop-downs (failure impact, availability, failure frequency) and safety yes/no. Criticality A/B/C, priority, suggested minimum stock, shortage, stocking cost, downtime cost estimate and recommended action are calculated. Add stock, unit price, photo and action owner. Sheet “Übersicht” summarises; sheet “Steckbrief” is a printable data sheet with four photo fields.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&amp;L&amp;8 Bewertung Ersatzteilkritikalität – Anleitung&amp;R&amp;8 Seite /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2026-10-09T12:13:13Z</dcterms:created>
  <dcterms:modified xmlns:dcterms="http://purl.org/dc/terms/" xmlns:xsi="http://www.w3.org/2001/XMLSchema-instance" xsi:type="dcterms:W3CDTF">2026-10-09T12:13:14Z</dcterms:modified>
</cp:coreProperties>
</file>