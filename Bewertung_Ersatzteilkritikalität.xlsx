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wertung" sheetId="1" state="visible" r:id="rId1"/>
    <sheet xmlns:r="http://schemas.openxmlformats.org/officeDocument/2006/relationships" name="Übersicht" sheetId="2" state="visible" r:id="rId2"/>
    <sheet xmlns:r="http://schemas.openxmlformats.org/officeDocument/2006/relationships" name="Einstellungen" sheetId="3" state="visible" r:id="rId3"/>
    <sheet xmlns:r="http://schemas.openxmlformats.org/officeDocument/2006/relationships" name="Anleitung" sheetId="4" state="visible" r:id="rId4"/>
  </sheets>
  <definedNames>
    <definedName name="Krit_Liste">Einstellungen!$A$6:$A$8</definedName>
    <definedName name="Krit_Faktor">Einstellungen!$B$6:$B$8</definedName>
    <definedName name="Krit_Kosten">Einstellungen!$C$6:$C$8</definedName>
    <definedName name="Gruen_bis">Einstellungen!$B$22</definedName>
    <definedName name="Gelb_bis">Einstellungen!$B$23</definedName>
    <definedName name="Pkt_Abk_ohne">Einstellungen!$C$28</definedName>
    <definedName name="Pkt_Abk_mit">Einstellungen!$C$29</definedName>
    <definedName name="Tage_beschaffbar">Einstellungen!$C$32</definedName>
    <definedName name="Tage_nicht_beschaffbar">Einstellungen!$C$33</definedName>
    <definedName name="Faktor_lohnt">Einstellungen!$C$34</definedName>
    <definedName name="Waehrung">Einstellungen!$C$35</definedName>
    <definedName name="L_Status">Einstellungen!$A$38:$A$40</definedName>
    <definedName name="B_Nr">Bewertung!$A$9:$A$208</definedName>
    <definedName name="B_Teil">Bewertung!$B$9:$B$208</definedName>
    <definedName name="B_Mat">Bewertung!$C$9:$C$208</definedName>
    <definedName name="B_Masch">Bewertung!$D$9:$D$208</definedName>
    <definedName name="B_Krit">Bewertung!$F$9:$F$208</definedName>
    <definedName name="B_Abk">Bewertung!$G$9:$G$208</definedName>
    <definedName name="B_Nachf">Bewertung!$H$9:$H$208</definedName>
    <definedName name="B_Besch">Bewertung!$I$9:$I$208</definedName>
    <definedName name="B_Rep">Bewertung!$J$9:$J$208</definedName>
    <definedName name="B_Lager">Bewertung!$K$9:$K$208</definedName>
    <definedName name="B_Punkte">Bewertung!$L$9:$L$208</definedName>
    <definedName name="B_Risiko">Bewertung!$M$9:$M$208</definedName>
    <definedName name="B_Ampel">Bewertung!$N$9:$N$208</definedName>
    <definedName name="B_Massn">Bewertung!$O$9:$O$208</definedName>
    <definedName name="B_Preis">Bewertung!$P$9:$P$208</definedName>
    <definedName name="B_Ausfall">Bewertung!$R$9:$R$208</definedName>
    <definedName name="B_Lohnt">Bewertung!$S$9:$S$208</definedName>
    <definedName name="B_Termin">Bewertung!$U$9:$U$208</definedName>
    <definedName name="B_Status">Bewertung!$V$9:$V$208</definedName>
    <definedName name="B_NeinBesch">Bewertung!$Z$9:$Z$208</definedName>
    <definedName name="B_NeinRep">Bewertung!$AA$9:$AA$208</definedName>
    <definedName name="B_NeinLager">Bewertung!$AB$9:$AB$208</definedName>
    <definedName name="B_IstAbk">Bewertung!$AC$9:$AC$208</definedName>
    <definedName name="B_HatNachf">Bewertung!$AD$9:$AD$208</definedName>
    <definedName name="B_Key">Bewertung!$AH$9:$AH$208</definedName>
    <definedName name="_xlnm._FilterDatabase" localSheetId="0" hidden="1">'Bewertung'!$A$8:$W$208</definedName>
    <definedName name="_xlnm.Print_Titles" localSheetId="0">'Bewertung'!$8:$8</definedName>
    <definedName name="_xlnm.Print_Area" localSheetId="0">'Bewertung'!$A$1:$W$208</definedName>
    <definedName name="_xlnm.Print_Area" localSheetId="1">'Übersicht'!$A$1:$R$48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dd.mm.yyyy"/>
    <numFmt numFmtId="166" formatCode="#,##0;-#,##0;&quot;–&quot;"/>
  </numFmts>
  <fonts count="28">
    <font>
      <name val="Calibri"/>
      <family val="2"/>
      <color theme="1"/>
      <sz val="11"/>
      <scheme val="minor"/>
    </font>
    <font>
      <name val="Arial"/>
      <b val="1"/>
      <color rgb="00141339"/>
      <sz val="16"/>
    </font>
    <font>
      <name val="Arial"/>
      <color rgb="005B6678"/>
      <sz val="9"/>
    </font>
    <font>
      <name val="Arial"/>
      <b val="1"/>
      <color rgb="00141339"/>
      <sz val="11"/>
    </font>
    <font>
      <name val="Arial"/>
      <b val="1"/>
      <color rgb="00FFFFFF"/>
      <sz val="9"/>
    </font>
    <font>
      <name val="Arial"/>
      <b val="1"/>
      <sz val="14"/>
    </font>
    <font>
      <name val="Arial"/>
      <color rgb="000000FF"/>
      <sz val="10"/>
    </font>
    <font>
      <name val="Arial"/>
      <sz val="9"/>
    </font>
    <font>
      <name val="Arial"/>
      <color rgb="005B6678"/>
      <sz val="8"/>
    </font>
    <font>
      <name val="Arial"/>
      <b val="1"/>
      <sz val="10"/>
    </font>
    <font>
      <name val="Arial"/>
      <b val="1"/>
      <color rgb="00141339"/>
      <sz val="9"/>
    </font>
    <font>
      <name val="Arial"/>
      <b val="1"/>
      <color rgb="00141339"/>
      <sz val="10"/>
    </font>
    <font>
      <name val="Arial"/>
      <color rgb="00141339"/>
      <sz val="10"/>
    </font>
    <font>
      <name val="Arial"/>
      <b val="1"/>
      <color rgb="00C62F2F"/>
      <sz val="22"/>
    </font>
    <font>
      <name val="Arial"/>
      <color rgb="00141339"/>
      <sz val="9"/>
    </font>
    <font>
      <name val="Arial"/>
      <b val="1"/>
      <color rgb="00141339"/>
      <sz val="22"/>
    </font>
    <font>
      <name val="Arial"/>
      <b val="1"/>
      <color rgb="008A94A6"/>
      <sz val="8"/>
    </font>
    <font>
      <name val="Arial"/>
      <sz val="10"/>
    </font>
    <font>
      <name val="Arial"/>
      <color rgb="008A94A6"/>
      <sz val="8"/>
    </font>
    <font>
      <name val="Arial"/>
      <b val="1"/>
      <sz val="9"/>
    </font>
    <font>
      <name val="Arial"/>
      <b val="1"/>
      <color rgb="00141339"/>
      <sz val="18"/>
    </font>
    <font>
      <name val="Arial"/>
      <sz val="11"/>
    </font>
    <font>
      <name val="Arial"/>
      <b val="1"/>
      <sz val="11"/>
    </font>
    <font>
      <name val="Arial"/>
      <b val="1"/>
      <color rgb="00C62F2F"/>
      <sz val="8"/>
    </font>
    <font>
      <name val="Arial"/>
      <b val="1"/>
      <color rgb="00C62F2F"/>
      <sz val="10"/>
    </font>
    <font>
      <name val="Arial"/>
      <b val="1"/>
      <color rgb="005B6678"/>
      <sz val="8"/>
    </font>
    <font>
      <name val="Arial"/>
      <b val="1"/>
      <color rgb="00141339"/>
      <sz val="12"/>
    </font>
    <font>
      <name val="Arial"/>
      <color theme="1"/>
      <sz val="11"/>
    </font>
  </fonts>
  <fills count="10">
    <fill>
      <patternFill/>
    </fill>
    <fill>
      <patternFill patternType="gray125"/>
    </fill>
    <fill>
      <patternFill patternType="solid">
        <fgColor rgb="00141339"/>
      </patternFill>
    </fill>
    <fill>
      <patternFill patternType="solid">
        <fgColor rgb="00FFFFFF"/>
      </patternFill>
    </fill>
    <fill>
      <patternFill patternType="solid">
        <fgColor rgb="00D3F0DB"/>
      </patternFill>
    </fill>
    <fill>
      <patternFill patternType="solid">
        <fgColor rgb="00FCEBC2"/>
      </patternFill>
    </fill>
    <fill>
      <patternFill patternType="solid">
        <fgColor rgb="00FBDADA"/>
      </patternFill>
    </fill>
    <fill>
      <patternFill patternType="solid">
        <fgColor rgb="00F2F3F7"/>
      </patternFill>
    </fill>
    <fill>
      <patternFill patternType="solid">
        <fgColor rgb="00F7A600"/>
      </patternFill>
    </fill>
    <fill>
      <patternFill patternType="solid">
        <fgColor rgb="00FFF8E6"/>
      </patternFill>
    </fill>
  </fills>
  <borders count="9">
    <border>
      <left/>
      <right/>
      <top/>
      <bottom/>
      <diagonal/>
    </border>
    <border>
      <bottom style="medium">
        <color rgb="00141339"/>
      </bottom>
    </border>
    <border>
      <left style="thin">
        <color rgb="00D5DCE6"/>
      </left>
      <right style="thin">
        <color rgb="00D5DCE6"/>
      </right>
      <top style="thin">
        <color rgb="00D5DCE6"/>
      </top>
      <bottom style="thin">
        <color rgb="00D5DCE6"/>
      </bottom>
    </border>
    <border>
      <left/>
      <right/>
      <top style="thin">
        <color rgb="00D5DCE6"/>
      </top>
      <bottom/>
      <diagonal/>
    </border>
    <border>
      <left/>
      <right style="thin">
        <color rgb="00D5DCE6"/>
      </right>
      <top style="thin">
        <color rgb="00D5DCE6"/>
      </top>
      <bottom/>
      <diagonal/>
    </border>
    <border>
      <left/>
      <right/>
      <top style="thin">
        <color rgb="00D5DCE6"/>
      </top>
      <bottom style="thin">
        <color rgb="00D5DCE6"/>
      </bottom>
      <diagonal/>
    </border>
    <border>
      <left/>
      <right style="thin">
        <color rgb="00D5DCE6"/>
      </right>
      <top style="thin">
        <color rgb="00D5DCE6"/>
      </top>
      <bottom style="thin">
        <color rgb="00D5DCE6"/>
      </bottom>
      <diagonal/>
    </border>
    <border>
      <bottom style="thin">
        <color rgb="00D5DCE6"/>
      </bottom>
    </border>
    <border>
      <top style="thin">
        <color rgb="00141339"/>
      </top>
      <bottom style="thin">
        <color rgb="00141339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7" fillId="0" borderId="0" pivotButton="0" quotePrefix="0" xfId="0"/>
    <xf numFmtId="0" fontId="2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right" vertical="center"/>
    </xf>
    <xf numFmtId="0" fontId="6" fillId="3" borderId="2" applyAlignment="1" pivotButton="0" quotePrefix="0" xfId="0">
      <alignment horizontal="left" vertical="center"/>
    </xf>
    <xf numFmtId="165" fontId="6" fillId="3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27" fillId="4" borderId="2" pivotButton="0" quotePrefix="0" xfId="0"/>
    <xf numFmtId="0" fontId="12" fillId="0" borderId="2" applyAlignment="1" pivotButton="0" quotePrefix="0" xfId="0">
      <alignment horizontal="center" vertical="center"/>
    </xf>
    <xf numFmtId="0" fontId="11" fillId="5" borderId="2" applyAlignment="1" pivotButton="0" quotePrefix="0" xfId="0">
      <alignment horizontal="center" vertical="center"/>
    </xf>
    <xf numFmtId="0" fontId="27" fillId="5" borderId="2" pivotButton="0" quotePrefix="0" xfId="0"/>
    <xf numFmtId="0" fontId="11" fillId="6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27" fillId="0" borderId="2" pivotButton="0" quotePrefix="0" xfId="0"/>
    <xf numFmtId="3" fontId="13" fillId="0" borderId="2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/>
    </xf>
    <xf numFmtId="0" fontId="14" fillId="7" borderId="2" applyAlignment="1" pivotButton="0" quotePrefix="0" xfId="0">
      <alignment horizontal="center" vertical="center" wrapText="1"/>
    </xf>
    <xf numFmtId="0" fontId="27" fillId="7" borderId="2" pivotButton="0" quotePrefix="0" xfId="0"/>
    <xf numFmtId="3" fontId="14" fillId="7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16" fillId="7" borderId="2" applyAlignment="1" pivotButton="0" quotePrefix="0" xfId="0">
      <alignment horizontal="center" vertical="center" wrapText="1"/>
    </xf>
    <xf numFmtId="0" fontId="17" fillId="7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vertical="center" wrapText="1"/>
    </xf>
    <xf numFmtId="0" fontId="6" fillId="3" borderId="2" applyAlignment="1" pivotButton="0" quotePrefix="0" xfId="0">
      <alignment vertical="center" wrapText="1"/>
    </xf>
    <xf numFmtId="0" fontId="6" fillId="9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vertical="center" wrapText="1"/>
    </xf>
    <xf numFmtId="3" fontId="6" fillId="3" borderId="2" applyAlignment="1" pivotButton="0" quotePrefix="0" xfId="0">
      <alignment vertical="center" wrapText="1"/>
    </xf>
    <xf numFmtId="3" fontId="17" fillId="7" borderId="2" applyAlignment="1" pivotButton="0" quotePrefix="0" xfId="0">
      <alignment vertical="center" wrapText="1"/>
    </xf>
    <xf numFmtId="0" fontId="19" fillId="7" borderId="2" applyAlignment="1" pivotButton="0" quotePrefix="0" xfId="0">
      <alignment vertical="center" wrapText="1"/>
    </xf>
    <xf numFmtId="165" fontId="6" fillId="3" borderId="2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/>
    </xf>
    <xf numFmtId="0" fontId="20" fillId="0" borderId="0" applyAlignment="1" pivotButton="0" quotePrefix="0" xfId="0">
      <alignment vertical="center"/>
    </xf>
    <xf numFmtId="0" fontId="2" fillId="0" borderId="0" pivotButton="0" quotePrefix="0" xfId="0"/>
    <xf numFmtId="0" fontId="8" fillId="0" borderId="0" pivotButton="0" quotePrefix="0" xfId="0"/>
    <xf numFmtId="0" fontId="11" fillId="0" borderId="7" pivotButton="0" quotePrefix="0" xfId="0"/>
    <xf numFmtId="0" fontId="27" fillId="0" borderId="7" pivotButton="0" quotePrefix="0" xfId="0"/>
    <xf numFmtId="165" fontId="11" fillId="0" borderId="7" pivotButton="0" quotePrefix="0" xfId="0"/>
    <xf numFmtId="0" fontId="3" fillId="0" borderId="1" applyAlignment="1" pivotButton="0" quotePrefix="0" xfId="0">
      <alignment vertical="center"/>
    </xf>
    <xf numFmtId="0" fontId="27" fillId="0" borderId="1" pivotButton="0" quotePrefix="0" xfId="0"/>
    <xf numFmtId="0" fontId="16" fillId="0" borderId="0" pivotButton="0" quotePrefix="0" xfId="0"/>
    <xf numFmtId="0" fontId="9" fillId="0" borderId="2" applyAlignment="1" pivotButton="0" quotePrefix="0" xfId="0">
      <alignment horizontal="left" vertical="center"/>
    </xf>
    <xf numFmtId="0" fontId="21" fillId="0" borderId="2" applyAlignment="1" pivotButton="0" quotePrefix="0" xfId="0">
      <alignment horizontal="center" vertical="center"/>
    </xf>
    <xf numFmtId="0" fontId="18" fillId="0" borderId="0" pivotButton="0" quotePrefix="0" xfId="0"/>
    <xf numFmtId="0" fontId="22" fillId="7" borderId="8" applyAlignment="1" pivotButton="0" quotePrefix="0" xfId="0">
      <alignment horizontal="left" vertical="center"/>
    </xf>
    <xf numFmtId="0" fontId="22" fillId="7" borderId="8" applyAlignment="1" pivotButton="0" quotePrefix="0" xfId="0">
      <alignment horizontal="center" vertical="center"/>
    </xf>
    <xf numFmtId="0" fontId="23" fillId="0" borderId="0" pivotButton="0" quotePrefix="0" xfId="0"/>
    <xf numFmtId="0" fontId="17" fillId="0" borderId="2" applyAlignment="1" pivotButton="0" quotePrefix="0" xfId="0">
      <alignment horizontal="left" vertical="center"/>
    </xf>
    <xf numFmtId="0" fontId="17" fillId="0" borderId="2" applyAlignment="1" pivotButton="0" quotePrefix="0" xfId="0">
      <alignment horizontal="center" vertical="center"/>
    </xf>
    <xf numFmtId="0" fontId="24" fillId="0" borderId="2" applyAlignment="1" pivotButton="0" quotePrefix="0" xfId="0">
      <alignment horizontal="left" vertical="center"/>
    </xf>
    <xf numFmtId="0" fontId="25" fillId="0" borderId="0" pivotButton="0" quotePrefix="0" xfId="0"/>
    <xf numFmtId="166" fontId="1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 wrapText="1"/>
    </xf>
    <xf numFmtId="0" fontId="22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3" fontId="6" fillId="3" borderId="2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27" fillId="0" borderId="5" pivotButton="0" quotePrefix="0" xfId="0"/>
    <xf numFmtId="0" fontId="27" fillId="0" borderId="6" pivotButton="0" quotePrefix="0" xfId="0"/>
    <xf numFmtId="0" fontId="9" fillId="0" borderId="2" applyAlignment="1" pivotButton="0" quotePrefix="0" xfId="0">
      <alignment vertical="center"/>
    </xf>
    <xf numFmtId="0" fontId="9" fillId="4" borderId="2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/>
    </xf>
    <xf numFmtId="0" fontId="9" fillId="5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 wrapText="1"/>
    </xf>
    <xf numFmtId="1" fontId="6" fillId="3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164" fontId="6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vertical="center"/>
    </xf>
    <xf numFmtId="0" fontId="26" fillId="0" borderId="0" pivotButton="0" quotePrefix="0" xfId="0"/>
    <xf numFmtId="0" fontId="9" fillId="0" borderId="0" applyAlignment="1" pivotButton="0" quotePrefix="0" xfId="0">
      <alignment vertical="top"/>
    </xf>
    <xf numFmtId="0" fontId="17" fillId="0" borderId="0" applyAlignment="1" pivotButton="0" quotePrefix="0" xfId="0">
      <alignment vertical="top" wrapText="1"/>
    </xf>
  </cellXfs>
  <cellStyles count="1">
    <cellStyle name="Normal" xfId="0" builtinId="0" hidden="0"/>
  </cellStyles>
  <dxfs count="16">
    <dxf>
      <font>
        <b val="1"/>
        <color rgb="00FFFFFF"/>
      </font>
      <fill>
        <patternFill patternType="solid">
          <bgColor rgb="00C62F2F"/>
        </patternFill>
      </fill>
    </dxf>
    <dxf>
      <font>
        <b val="1"/>
        <color rgb="00141339"/>
      </font>
      <fill>
        <patternFill patternType="solid">
          <bgColor rgb="00F0A812"/>
        </patternFill>
      </fill>
    </dxf>
    <dxf>
      <font>
        <b val="1"/>
        <color rgb="00FFFFFF"/>
      </font>
      <fill>
        <patternFill patternType="solid">
          <bgColor rgb="0013A13D"/>
        </patternFill>
      </fill>
    </dxf>
    <dxf>
      <fill>
        <patternFill patternType="solid">
          <bgColor rgb="00FBDADA"/>
        </patternFill>
      </fill>
    </dxf>
    <dxf>
      <font>
        <b val="1"/>
        <color rgb="00C62F2F"/>
      </font>
      <fill>
        <patternFill patternType="solid">
          <bgColor rgb="00FBE3E3"/>
        </patternFill>
      </fill>
    </dxf>
    <dxf>
      <font>
        <b val="1"/>
        <color rgb="0013A13D"/>
      </font>
      <fill>
        <patternFill patternType="solid">
          <bgColor rgb="00E3F5E8"/>
        </patternFill>
      </fill>
    </dxf>
    <dxf>
      <fill>
        <patternFill patternType="solid">
          <bgColor rgb="00FCEBC2"/>
        </patternFill>
      </fill>
    </dxf>
    <dxf>
      <font>
        <color rgb="008A94A6"/>
      </font>
      <fill>
        <patternFill patternType="solid">
          <bgColor rgb="00F7F7F7"/>
        </patternFill>
      </fill>
    </dxf>
    <dxf>
      <font>
        <b val="1"/>
        <color rgb="0013A13D"/>
      </font>
      <fill>
        <patternFill patternType="solid">
          <bgColor rgb="00D3F0DB"/>
        </patternFill>
      </fill>
    </dxf>
    <dxf>
      <font>
        <b val="1"/>
        <color rgb="009A6700"/>
      </font>
      <fill>
        <patternFill patternType="solid">
          <bgColor rgb="00FCEBC2"/>
        </patternFill>
      </fill>
    </dxf>
    <dxf>
      <font>
        <b val="1"/>
        <color rgb="00C62F2F"/>
      </font>
    </dxf>
    <dxf>
      <font>
        <b val="1"/>
        <color rgb="009A6700"/>
      </font>
    </dxf>
    <dxf>
      <font>
        <b val="1"/>
        <color rgb="0013A13D"/>
      </font>
    </dxf>
    <dxf>
      <font>
        <b val="1"/>
        <color rgb="005B6678"/>
      </font>
    </dxf>
    <dxf>
      <fill>
        <patternFill patternType="solid">
          <bgColor rgb="00D3F0DB"/>
        </patternFill>
      </fill>
    </dxf>
    <dxf>
      <font>
        <b val="1"/>
        <color rgb="00C62F2F"/>
      </font>
      <fill>
        <patternFill patternType="solid">
          <bgColor rgb="00FBDA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3A13D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0A812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C62F2F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Lbls>
            <showLegendKey val="0"/>
            <showVal val="1"/>
            <showCatName val="0"/>
            <showSerName val="0"/>
            <showPercent val="0"/>
          </dLbls>
          <cat>
            <numRef>
              <f>'Übersicht'!$T$8:$T$10</f>
            </numRef>
          </cat>
          <val>
            <numRef>
              <f>'Übersicht'!$U$8:$U$10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3.png" Id="rId2"/></Relationships>
</file>

<file path=xl/drawings/drawing1.xml><?xml version="1.0" encoding="utf-8"?>
<wsDr xmlns="http://schemas.openxmlformats.org/drawingml/2006/spreadsheetDrawing">
  <oneCellAnchor>
    <from>
      <col>20</col>
      <colOff>0</colOff>
      <row>0</row>
      <rowOff>60000</rowOff>
    </from>
    <ext cx="1350465" cy="269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200000</colOff>
      <row>10</row>
      <rowOff>25000</rowOff>
    </from>
    <ext cx="299000" cy="376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14</col>
      <colOff>0</colOff>
      <row>6</row>
      <rowOff>0</rowOff>
    </from>
    <ext cx="3060000" cy="1655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0</row>
      <rowOff>60000</rowOff>
    </from>
    <ext cx="1350465" cy="2698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00D9EC"/>
    <outlinePr summaryBelow="1" summaryRight="1"/>
    <pageSetUpPr fitToPage="1"/>
  </sheetPr>
  <dimension ref="A1:AH208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13" customWidth="1" min="3" max="3"/>
    <col width="18" customWidth="1" min="4" max="4"/>
    <col width="11" customWidth="1" min="5" max="5"/>
    <col width="1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9" customWidth="1" min="12" max="12"/>
    <col width="9" customWidth="1" min="13" max="13"/>
    <col width="9" customWidth="1" min="14" max="14"/>
    <col width="42" customWidth="1" min="15" max="15"/>
    <col width="11" customWidth="1" min="16" max="16"/>
    <col width="11" customWidth="1" min="17" max="17"/>
    <col width="12" customWidth="1" min="18" max="18"/>
    <col width="17" customWidth="1" min="19" max="19"/>
    <col width="13" customWidth="1" min="20" max="20"/>
    <col width="11" customWidth="1" min="21" max="21"/>
    <col width="13" customWidth="1" min="22" max="22"/>
    <col width="30" customWidth="1" min="23" max="23"/>
    <col width="3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</cols>
  <sheetData>
    <row r="1" ht="28" customHeight="1">
      <c r="A1" s="1" t="inlineStr">
        <is>
          <t>Bewertung Ersatzteilkritikalität / Spare part criticality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6" customHeight="1">
      <c r="A2" s="3" t="inlineStr">
        <is>
          <t>Je Teil 5 Eingaben (★): Ersatzteil, Kritikalität A/B/C und vier Fragen ja / nein. Ist das Teil abgekündigt, zusätzlich „Nachfolger verfügbar?“. Risiko, Ampel und Maßnahme rechnen automatisch. Foto: Einfügen › Bilder › In Zelle platzieren. / 5 inputs per part (★); everything else is calculated.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</row>
    <row r="3" ht="20" customHeight="1">
      <c r="A3" s="4" t="inlineStr">
        <is>
          <t>Werk / Plant</t>
        </is>
      </c>
      <c r="B3" s="2" t="n"/>
      <c r="C3" s="5" t="n"/>
      <c r="D3" s="5" t="n"/>
      <c r="E3" s="2" t="n"/>
      <c r="F3" s="4" t="inlineStr">
        <is>
          <t>Datum / Date</t>
        </is>
      </c>
      <c r="G3" s="6" t="n"/>
      <c r="H3" s="5" t="n"/>
      <c r="I3" s="2" t="n"/>
      <c r="J3" s="2" t="n"/>
      <c r="K3" s="2" t="n"/>
      <c r="L3" s="7" t="inlineStr">
        <is>
          <t>grün</t>
        </is>
      </c>
      <c r="M3" s="8" t="n"/>
      <c r="N3" s="9">
        <f>"0 – "&amp;Gruen_bis</f>
        <v/>
      </c>
      <c r="O3" s="2" t="n"/>
      <c r="P3" s="10" t="inlineStr">
        <is>
          <t>gelb</t>
        </is>
      </c>
      <c r="Q3" s="11" t="n"/>
      <c r="R3" s="9">
        <f>(Gruen_bis+1)&amp;" – "&amp;Gelb_bis</f>
        <v/>
      </c>
      <c r="S3" s="12" t="inlineStr">
        <is>
          <t>rot</t>
        </is>
      </c>
      <c r="T3" s="9">
        <f>"ab "&amp;(Gelb_bis+1)</f>
        <v/>
      </c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40" customHeight="1">
      <c r="A5" s="2" t="n"/>
      <c r="B5" s="13">
        <f>(COUNTIF($G$9:$G$208,"ja")+COUNTIF($G$9:$G$208,"yes"))&amp;" von "&amp;COUNTIF($B$9:$B$208,"?*")</f>
        <v/>
      </c>
      <c r="C5" s="13">
        <f>(COUNTIF($I$9:$I$208,"nein")+COUNTIF($I$9:$I$208,"no"))&amp;" von "&amp;COUNTIF($B$9:$B$208,"?*")</f>
        <v/>
      </c>
      <c r="D5" s="14" t="n"/>
      <c r="E5" s="14" t="n"/>
      <c r="F5" s="13">
        <f>(COUNTIF($J$9:$J$208,"nein")+COUNTIF($J$9:$J$208,"no"))&amp;" von "&amp;COUNTIF($B$9:$B$208,"?*")</f>
        <v/>
      </c>
      <c r="G5" s="14" t="n"/>
      <c r="H5" s="14" t="n"/>
      <c r="I5" s="13">
        <f>(COUNTIF($K$9:$K$208,"nein")+COUNTIF($K$9:$K$208,"no"))&amp;" von "&amp;COUNTIF($B$9:$B$208,"?*")</f>
        <v/>
      </c>
      <c r="J5" s="14" t="n"/>
      <c r="K5" s="14" t="n"/>
      <c r="L5" s="13">
        <f>COUNTIF($N$9:$N$208,"rot")&amp;" von "&amp;COUNTIF($B$9:$B$208,"?*")</f>
        <v/>
      </c>
      <c r="M5" s="14" t="n"/>
      <c r="N5" s="14" t="n"/>
      <c r="O5" s="14" t="n"/>
      <c r="P5" s="15">
        <f>SUMPRODUCT(($N$9:$N$208="rot")*$AB$9:$AB$208,$P$9:$P$208)</f>
        <v/>
      </c>
      <c r="Q5" s="14" t="n"/>
      <c r="R5" s="14" t="n"/>
      <c r="S5" s="14" t="n"/>
      <c r="T5" s="16">
        <f>COUNT($M$9:$M$208)&amp;" von "&amp;COUNTIF($B$9:$B$208,"?*")</f>
        <v/>
      </c>
      <c r="U5" s="14" t="n"/>
      <c r="V5" s="14" t="n"/>
      <c r="W5" s="14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</row>
    <row r="6" ht="24" customHeight="1">
      <c r="A6" s="2" t="n"/>
      <c r="B6" s="17">
        <f>"abgekündigt – davon ohne Nachfolger: "&amp;SUMPRODUCT($AC$9:$AC$208*(1-$AD$9:$AD$208))</f>
        <v/>
      </c>
      <c r="C6" s="17" t="inlineStr">
        <is>
          <t>nicht beschaffbar</t>
        </is>
      </c>
      <c r="D6" s="18" t="n"/>
      <c r="E6" s="18" t="n"/>
      <c r="F6" s="17" t="inlineStr">
        <is>
          <t>nicht reparierbar</t>
        </is>
      </c>
      <c r="G6" s="18" t="n"/>
      <c r="H6" s="18" t="n"/>
      <c r="I6" s="17" t="inlineStr">
        <is>
          <t>nicht vor Ort auf Lager</t>
        </is>
      </c>
      <c r="J6" s="18" t="n"/>
      <c r="K6" s="18" t="n"/>
      <c r="L6" s="17" t="inlineStr">
        <is>
          <t>Ampel rot</t>
        </is>
      </c>
      <c r="M6" s="18" t="n"/>
      <c r="N6" s="18" t="n"/>
      <c r="O6" s="18" t="n"/>
      <c r="P6" s="19" t="inlineStr">
        <is>
          <t>Stückpreise rote Teile ohne Lager (1 Stk. je Teil)</t>
        </is>
      </c>
      <c r="Q6" s="18" t="n"/>
      <c r="R6" s="18" t="n"/>
      <c r="S6" s="18" t="n"/>
      <c r="T6" s="17" t="inlineStr">
        <is>
          <t>vollständig bewertet</t>
        </is>
      </c>
      <c r="U6" s="18" t="n"/>
      <c r="V6" s="18" t="n"/>
      <c r="W6" s="18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</row>
    <row r="7" ht="8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</row>
    <row r="8" ht="40" customHeight="1">
      <c r="A8" s="20" t="inlineStr">
        <is>
          <t>Nr.</t>
        </is>
      </c>
      <c r="B8" s="21" t="inlineStr">
        <is>
          <t>★ Ersatzteil
Spare part</t>
        </is>
      </c>
      <c r="C8" s="20" t="inlineStr">
        <is>
          <t>Material-Nr.
Material no.</t>
        </is>
      </c>
      <c r="D8" s="20" t="inlineStr">
        <is>
          <t>Maschine / Anlage
Machine</t>
        </is>
      </c>
      <c r="E8" s="20" t="inlineStr">
        <is>
          <t>Foto
Photo</t>
        </is>
      </c>
      <c r="F8" s="21" t="inlineStr">
        <is>
          <t>★ Kritikalität
Criticality</t>
        </is>
      </c>
      <c r="G8" s="21" t="inlineStr">
        <is>
          <t>★ Abgekündigt?
Discontinued?</t>
        </is>
      </c>
      <c r="H8" s="20" t="inlineStr">
        <is>
          <t>Nachfolger verfügbar?
Successor?</t>
        </is>
      </c>
      <c r="I8" s="21" t="inlineStr">
        <is>
          <t>★ Beschaffbar?
Available?</t>
        </is>
      </c>
      <c r="J8" s="21" t="inlineStr">
        <is>
          <t>★ Reparierbar?
Repairable?</t>
        </is>
      </c>
      <c r="K8" s="21" t="inlineStr">
        <is>
          <t>★ Lager vor Ort?
In stock?</t>
        </is>
      </c>
      <c r="L8" s="20" t="inlineStr">
        <is>
          <t>Risiko-punkte
Risk points</t>
        </is>
      </c>
      <c r="M8" s="20" t="inlineStr">
        <is>
          <t>Risiko
Risk</t>
        </is>
      </c>
      <c r="N8" s="20" t="inlineStr">
        <is>
          <t>Ampel
Status</t>
        </is>
      </c>
      <c r="O8" s="20" t="inlineStr">
        <is>
          <t>Empfohlene Maßnahme
Recommended action</t>
        </is>
      </c>
      <c r="P8" s="20" t="inlineStr">
        <is>
          <t>Stückpreis
Unit price</t>
        </is>
      </c>
      <c r="Q8" s="20" t="inlineStr">
        <is>
          <t>Ausfallzeit ohne Teil (Tage) – optional</t>
        </is>
      </c>
      <c r="R8" s="20" t="inlineStr">
        <is>
          <t>Ausfallkosten
Downtime cost</t>
        </is>
      </c>
      <c r="S8" s="20" t="inlineStr">
        <is>
          <t>Bevorratung lohnt?
Worth stocking?</t>
        </is>
      </c>
      <c r="T8" s="20" t="inlineStr">
        <is>
          <t>Verantwortlich
Owner</t>
        </is>
      </c>
      <c r="U8" s="20" t="inlineStr">
        <is>
          <t>Termin
Due</t>
        </is>
      </c>
      <c r="V8" s="20" t="inlineStr">
        <is>
          <t>Status</t>
        </is>
      </c>
      <c r="W8" s="20" t="inlineStr">
        <is>
          <t>Bemerkung
Remarks</t>
        </is>
      </c>
      <c r="X8" s="2" t="n"/>
      <c r="Y8" s="22" t="inlineStr">
        <is>
          <t>Faktor</t>
        </is>
      </c>
      <c r="Z8" s="22" t="inlineStr">
        <is>
          <t>nein Beschaff.</t>
        </is>
      </c>
      <c r="AA8" s="22" t="inlineStr">
        <is>
          <t>nein Repar.</t>
        </is>
      </c>
      <c r="AB8" s="22" t="inlineStr">
        <is>
          <t>nein Lager</t>
        </is>
      </c>
      <c r="AC8" s="22" t="inlineStr">
        <is>
          <t>abgekündigt</t>
        </is>
      </c>
      <c r="AD8" s="22" t="inlineStr">
        <is>
          <t>Nachfolger</t>
        </is>
      </c>
      <c r="AE8" s="22" t="inlineStr">
        <is>
          <t>Pkt. Abkünd.</t>
        </is>
      </c>
      <c r="AF8" s="22" t="inlineStr">
        <is>
          <t>beantwortet</t>
        </is>
      </c>
      <c r="AG8" s="22" t="inlineStr">
        <is>
          <t>Tage wirksam</t>
        </is>
      </c>
      <c r="AH8" s="22" t="inlineStr">
        <is>
          <t>Sortierschlüssel</t>
        </is>
      </c>
    </row>
    <row r="9" ht="34" customHeight="1">
      <c r="A9" s="23">
        <f>IF(B9="","",COUNTA($B$9:B9))</f>
        <v/>
      </c>
      <c r="B9" s="24" t="inlineStr">
        <is>
          <t>Antriebe / Antriebssoftware (Besäumschere SP 1406, SP7 SP 2402)</t>
        </is>
      </c>
      <c r="C9" s="25" t="n"/>
      <c r="D9" s="25" t="n"/>
      <c r="E9" s="25" t="n"/>
      <c r="F9" s="26" t="inlineStr">
        <is>
          <t>C</t>
        </is>
      </c>
      <c r="G9" s="26" t="inlineStr">
        <is>
          <t>nein</t>
        </is>
      </c>
      <c r="H9" s="27" t="n"/>
      <c r="I9" s="26" t="inlineStr">
        <is>
          <t>ja</t>
        </is>
      </c>
      <c r="J9" s="26" t="inlineStr">
        <is>
          <t>ja</t>
        </is>
      </c>
      <c r="K9" s="26" t="inlineStr">
        <is>
          <t>nein</t>
        </is>
      </c>
      <c r="L9" s="23">
        <f>IF(AF9&lt;4,"",Z9+AA9+AB9+AE9)</f>
        <v/>
      </c>
      <c r="M9" s="28">
        <f>IF(OR(L9="",Y9=""),"",Y9*L9)</f>
        <v/>
      </c>
      <c r="N9" s="29">
        <f>IF(M9="","",IF(M9&lt;=Gruen_bis,"grün",IF(M9&lt;=Gelb_bis,"gelb","rot")))</f>
        <v/>
      </c>
      <c r="O9" s="30">
        <f>IF(N9="",IF(B9="","","Bewertung unvollständig – ★-Felder ausfüllen"),IF(N9="grün",IF(AC9=1,IF(AD9=1,"Abgekündigt, Nachfolger vorhanden: Umstieg bei nächster Gelegenheit planen","Abgekündigt: Endbevorratung (Last-Time-Buy) prüfen, Ersatzlösung planen"),"Keine aktive Maßnahme – jährlich prüfen"),IF(AND(Z9=1,AA9=1,AB9=1),"Sofort sichern: Restbestand / Gebrauchtteil kaufen und Ersatzlösung (Retrofit) planen",IF(AND(Z9=1,AB9=1),"Reparaturweg absichern (Dienstleister, Tauschteil), Gebrauchtteil prüfen",IF(AD9=1,"Auf Nachfolgeprodukt umstellen: Kompatibilität prüfen, Umstieg planen",IF(AC9=1,IF(AB9=1,"Abgekündigt ohne Nachfolger: sofort Endbevorratung (Last-Time-Buy) und Ersatzlösung planen","Abgekündigt ohne Nachfolger: Lagerteil sichern, Ersatzlösung (Retrofit) planen"),IF(Z9=1,"Nicht beschaffbar: Lagerteil schützen, Ersatzlösung mittelfristig planen",IF(AB9=1,IF(LEFT(S9,4)="nein","Bevorratung lohnt nicht – Lieferzeit und Reparaturweg absichern","Lagerbestand anlegen (mind. 1 Stk.)"),"Reparaturmöglichkeit klären"))))))))</f>
        <v/>
      </c>
      <c r="P9" s="31" t="n"/>
      <c r="Q9" s="27" t="n"/>
      <c r="R9" s="32">
        <f>IF(OR(AG9="",Y9="",AB9=0),"",AG9*INDEX(Krit_Kosten,MATCH(F9,Krit_Liste,0)))</f>
        <v/>
      </c>
      <c r="S9" s="33">
        <f>IF(N9="","",IF(N9="grün","–",IF(AB9=0,"am Lager / in stock",IF(N(P9)&lt;=0,"Stückpreis fehlt",IF(R9&gt;=Faktor_lohnt*P9,"ja – "&amp;FIXED(R9/P9,0)&amp;"-fach","nein – "&amp;FIXED(R9/P9,IF(R9/P9&lt;1,2,1))&amp;"-fach")))))</f>
        <v/>
      </c>
      <c r="T9" s="25" t="n"/>
      <c r="U9" s="34" t="n"/>
      <c r="V9" s="27" t="n"/>
      <c r="W9" s="25" t="inlineStr">
        <is>
          <t>Beispiel – bitte überschreiben</t>
        </is>
      </c>
      <c r="X9" s="2" t="n"/>
      <c r="Y9" s="35">
        <f>IFERROR(INDEX(Krit_Faktor,MATCH(F9,Krit_Liste,0)),"")</f>
        <v/>
      </c>
      <c r="Z9" s="35">
        <f>IF(OR(I9="nein",I9="no"),1,0)</f>
        <v/>
      </c>
      <c r="AA9" s="35">
        <f>IF(OR(J9="nein",J9="no"),1,0)</f>
        <v/>
      </c>
      <c r="AB9" s="35">
        <f>IF(OR(K9="nein",K9="no"),1,0)</f>
        <v/>
      </c>
      <c r="AC9" s="35">
        <f>IF(OR(G9="ja",G9="yes"),1,0)</f>
        <v/>
      </c>
      <c r="AD9" s="35">
        <f>IF(AND(AC9=1,OR(H9="ja",H9="yes")),1,0)</f>
        <v/>
      </c>
      <c r="AE9" s="35">
        <f>IF(AC9=1,IF(AD9=1,Pkt_Abk_mit,Pkt_Abk_ohne),0)</f>
        <v/>
      </c>
      <c r="AF9" s="35">
        <f>(G9&lt;&gt;"")+(I9&lt;&gt;"")+(J9&lt;&gt;"")+(K9&lt;&gt;"")</f>
        <v/>
      </c>
      <c r="AG9" s="35">
        <f>IF(Q9&lt;&gt;"",Q9,IF(AF9&lt;4,"",IF(Z9=1,Tage_nicht_beschaffbar,Tage_beschaffbar)))</f>
        <v/>
      </c>
      <c r="AH9" s="35">
        <f>IF(M9="","",M9*1000+Y9*10+(1000-ROW())/100000)</f>
        <v/>
      </c>
    </row>
    <row r="10" ht="34" customHeight="1">
      <c r="A10" s="23">
        <f>IF(B10="","",COUNTA($B$9:B10))</f>
        <v/>
      </c>
      <c r="B10" s="24" t="inlineStr">
        <is>
          <t>HMI-Software Rohrtrennung</t>
        </is>
      </c>
      <c r="C10" s="25" t="n"/>
      <c r="D10" s="25" t="n"/>
      <c r="E10" s="25" t="n"/>
      <c r="F10" s="26" t="inlineStr">
        <is>
          <t>A</t>
        </is>
      </c>
      <c r="G10" s="26" t="inlineStr">
        <is>
          <t>nein</t>
        </is>
      </c>
      <c r="H10" s="27" t="n"/>
      <c r="I10" s="26" t="inlineStr">
        <is>
          <t>ja</t>
        </is>
      </c>
      <c r="J10" s="26" t="inlineStr">
        <is>
          <t>nein</t>
        </is>
      </c>
      <c r="K10" s="26" t="inlineStr">
        <is>
          <t>nein</t>
        </is>
      </c>
      <c r="L10" s="23">
        <f>IF(AF10&lt;4,"",Z10+AA10+AB10+AE10)</f>
        <v/>
      </c>
      <c r="M10" s="28">
        <f>IF(OR(L10="",Y10=""),"",Y10*L10)</f>
        <v/>
      </c>
      <c r="N10" s="29">
        <f>IF(M10="","",IF(M10&lt;=Gruen_bis,"grün",IF(M10&lt;=Gelb_bis,"gelb","rot")))</f>
        <v/>
      </c>
      <c r="O10" s="30">
        <f>IF(N10="",IF(B10="","","Bewertung unvollständig – ★-Felder ausfüllen"),IF(N10="grün",IF(AC10=1,IF(AD10=1,"Abgekündigt, Nachfolger vorhanden: Umstieg bei nächster Gelegenheit planen","Abgekündigt: Endbevorratung (Last-Time-Buy) prüfen, Ersatzlösung planen"),"Keine aktive Maßnahme – jährlich prüfen"),IF(AND(Z10=1,AA10=1,AB10=1),"Sofort sichern: Restbestand / Gebrauchtteil kaufen und Ersatzlösung (Retrofit) planen",IF(AND(Z10=1,AB10=1),"Reparaturweg absichern (Dienstleister, Tauschteil), Gebrauchtteil prüfen",IF(AD10=1,"Auf Nachfolgeprodukt umstellen: Kompatibilität prüfen, Umstieg planen",IF(AC10=1,IF(AB10=1,"Abgekündigt ohne Nachfolger: sofort Endbevorratung (Last-Time-Buy) und Ersatzlösung planen","Abgekündigt ohne Nachfolger: Lagerteil sichern, Ersatzlösung (Retrofit) planen"),IF(Z10=1,"Nicht beschaffbar: Lagerteil schützen, Ersatzlösung mittelfristig planen",IF(AB10=1,IF(LEFT(S10,4)="nein","Bevorratung lohnt nicht – Lieferzeit und Reparaturweg absichern","Lagerbestand anlegen (mind. 1 Stk.)"),"Reparaturmöglichkeit klären"))))))))</f>
        <v/>
      </c>
      <c r="P10" s="31" t="n"/>
      <c r="Q10" s="27" t="n"/>
      <c r="R10" s="32">
        <f>IF(OR(AG10="",Y10="",AB10=0),"",AG10*INDEX(Krit_Kosten,MATCH(F10,Krit_Liste,0)))</f>
        <v/>
      </c>
      <c r="S10" s="33">
        <f>IF(N10="","",IF(N10="grün","–",IF(AB10=0,"am Lager / in stock",IF(N(P10)&lt;=0,"Stückpreis fehlt",IF(R10&gt;=Faktor_lohnt*P10,"ja – "&amp;FIXED(R10/P10,0)&amp;"-fach","nein – "&amp;FIXED(R10/P10,IF(R10/P10&lt;1,2,1))&amp;"-fach")))))</f>
        <v/>
      </c>
      <c r="T10" s="25" t="n"/>
      <c r="U10" s="34" t="n"/>
      <c r="V10" s="27" t="n"/>
      <c r="W10" s="25" t="inlineStr">
        <is>
          <t>Beispiel – bitte überschreiben</t>
        </is>
      </c>
      <c r="X10" s="2" t="n"/>
      <c r="Y10" s="35">
        <f>IFERROR(INDEX(Krit_Faktor,MATCH(F10,Krit_Liste,0)),"")</f>
        <v/>
      </c>
      <c r="Z10" s="35">
        <f>IF(OR(I10="nein",I10="no"),1,0)</f>
        <v/>
      </c>
      <c r="AA10" s="35">
        <f>IF(OR(J10="nein",J10="no"),1,0)</f>
        <v/>
      </c>
      <c r="AB10" s="35">
        <f>IF(OR(K10="nein",K10="no"),1,0)</f>
        <v/>
      </c>
      <c r="AC10" s="35">
        <f>IF(OR(G10="ja",G10="yes"),1,0)</f>
        <v/>
      </c>
      <c r="AD10" s="35">
        <f>IF(AND(AC10=1,OR(H10="ja",H10="yes")),1,0)</f>
        <v/>
      </c>
      <c r="AE10" s="35">
        <f>IF(AC10=1,IF(AD10=1,Pkt_Abk_mit,Pkt_Abk_ohne),0)</f>
        <v/>
      </c>
      <c r="AF10" s="35">
        <f>(G10&lt;&gt;"")+(I10&lt;&gt;"")+(J10&lt;&gt;"")+(K10&lt;&gt;"")</f>
        <v/>
      </c>
      <c r="AG10" s="35">
        <f>IF(Q10&lt;&gt;"",Q10,IF(AF10&lt;4,"",IF(Z10=1,Tage_nicht_beschaffbar,Tage_beschaffbar)))</f>
        <v/>
      </c>
      <c r="AH10" s="35">
        <f>IF(M10="","",M10*1000+Y10*10+(1000-ROW())/100000)</f>
        <v/>
      </c>
    </row>
    <row r="11" ht="34" customHeight="1">
      <c r="A11" s="23">
        <f>IF(B11="","",COUNTA($B$9:B11))</f>
        <v/>
      </c>
      <c r="B11" s="24" t="inlineStr">
        <is>
          <t>Antriebe Rohrtrennung (Umrichter / CPU)</t>
        </is>
      </c>
      <c r="C11" s="25" t="n"/>
      <c r="D11" s="25" t="n"/>
      <c r="E11" s="25" t="n"/>
      <c r="F11" s="26" t="inlineStr">
        <is>
          <t>A</t>
        </is>
      </c>
      <c r="G11" s="26" t="inlineStr">
        <is>
          <t>ja</t>
        </is>
      </c>
      <c r="H11" s="27" t="inlineStr">
        <is>
          <t>ja</t>
        </is>
      </c>
      <c r="I11" s="26" t="inlineStr">
        <is>
          <t>ja</t>
        </is>
      </c>
      <c r="J11" s="26" t="inlineStr">
        <is>
          <t>nein</t>
        </is>
      </c>
      <c r="K11" s="26" t="inlineStr">
        <is>
          <t>nein</t>
        </is>
      </c>
      <c r="L11" s="23">
        <f>IF(AF11&lt;4,"",Z11+AA11+AB11+AE11)</f>
        <v/>
      </c>
      <c r="M11" s="28">
        <f>IF(OR(L11="",Y11=""),"",Y11*L11)</f>
        <v/>
      </c>
      <c r="N11" s="29">
        <f>IF(M11="","",IF(M11&lt;=Gruen_bis,"grün",IF(M11&lt;=Gelb_bis,"gelb","rot")))</f>
        <v/>
      </c>
      <c r="O11" s="30">
        <f>IF(N11="",IF(B11="","","Bewertung unvollständig – ★-Felder ausfüllen"),IF(N11="grün",IF(AC11=1,IF(AD11=1,"Abgekündigt, Nachfolger vorhanden: Umstieg bei nächster Gelegenheit planen","Abgekündigt: Endbevorratung (Last-Time-Buy) prüfen, Ersatzlösung planen"),"Keine aktive Maßnahme – jährlich prüfen"),IF(AND(Z11=1,AA11=1,AB11=1),"Sofort sichern: Restbestand / Gebrauchtteil kaufen und Ersatzlösung (Retrofit) planen",IF(AND(Z11=1,AB11=1),"Reparaturweg absichern (Dienstleister, Tauschteil), Gebrauchtteil prüfen",IF(AD11=1,"Auf Nachfolgeprodukt umstellen: Kompatibilität prüfen, Umstieg planen",IF(AC11=1,IF(AB11=1,"Abgekündigt ohne Nachfolger: sofort Endbevorratung (Last-Time-Buy) und Ersatzlösung planen","Abgekündigt ohne Nachfolger: Lagerteil sichern, Ersatzlösung (Retrofit) planen"),IF(Z11=1,"Nicht beschaffbar: Lagerteil schützen, Ersatzlösung mittelfristig planen",IF(AB11=1,IF(LEFT(S11,4)="nein","Bevorratung lohnt nicht – Lieferzeit und Reparaturweg absichern","Lagerbestand anlegen (mind. 1 Stk.)"),"Reparaturmöglichkeit klären"))))))))</f>
        <v/>
      </c>
      <c r="P11" s="31" t="n"/>
      <c r="Q11" s="27" t="n"/>
      <c r="R11" s="32">
        <f>IF(OR(AG11="",Y11="",AB11=0),"",AG11*INDEX(Krit_Kosten,MATCH(F11,Krit_Liste,0)))</f>
        <v/>
      </c>
      <c r="S11" s="33">
        <f>IF(N11="","",IF(N11="grün","–",IF(AB11=0,"am Lager / in stock",IF(N(P11)&lt;=0,"Stückpreis fehlt",IF(R11&gt;=Faktor_lohnt*P11,"ja – "&amp;FIXED(R11/P11,0)&amp;"-fach","nein – "&amp;FIXED(R11/P11,IF(R11/P11&lt;1,2,1))&amp;"-fach")))))</f>
        <v/>
      </c>
      <c r="T11" s="25" t="n"/>
      <c r="U11" s="34" t="n"/>
      <c r="V11" s="27" t="n"/>
      <c r="W11" s="25" t="inlineStr">
        <is>
          <t>Beispiel mit Foto, Abkündigung angenommen – bitte überschreiben</t>
        </is>
      </c>
      <c r="X11" s="2" t="n"/>
      <c r="Y11" s="35">
        <f>IFERROR(INDEX(Krit_Faktor,MATCH(F11,Krit_Liste,0)),"")</f>
        <v/>
      </c>
      <c r="Z11" s="35">
        <f>IF(OR(I11="nein",I11="no"),1,0)</f>
        <v/>
      </c>
      <c r="AA11" s="35">
        <f>IF(OR(J11="nein",J11="no"),1,0)</f>
        <v/>
      </c>
      <c r="AB11" s="35">
        <f>IF(OR(K11="nein",K11="no"),1,0)</f>
        <v/>
      </c>
      <c r="AC11" s="35">
        <f>IF(OR(G11="ja",G11="yes"),1,0)</f>
        <v/>
      </c>
      <c r="AD11" s="35">
        <f>IF(AND(AC11=1,OR(H11="ja",H11="yes")),1,0)</f>
        <v/>
      </c>
      <c r="AE11" s="35">
        <f>IF(AC11=1,IF(AD11=1,Pkt_Abk_mit,Pkt_Abk_ohne),0)</f>
        <v/>
      </c>
      <c r="AF11" s="35">
        <f>(G11&lt;&gt;"")+(I11&lt;&gt;"")+(J11&lt;&gt;"")+(K11&lt;&gt;"")</f>
        <v/>
      </c>
      <c r="AG11" s="35">
        <f>IF(Q11&lt;&gt;"",Q11,IF(AF11&lt;4,"",IF(Z11=1,Tage_nicht_beschaffbar,Tage_beschaffbar)))</f>
        <v/>
      </c>
      <c r="AH11" s="35">
        <f>IF(M11="","",M11*1000+Y11*10+(1000-ROW())/100000)</f>
        <v/>
      </c>
    </row>
    <row r="12" ht="34" customHeight="1">
      <c r="A12" s="23">
        <f>IF(B12="","",COUNTA($B$9:B12))</f>
        <v/>
      </c>
      <c r="B12" s="24" t="n"/>
      <c r="C12" s="25" t="n"/>
      <c r="D12" s="25" t="n"/>
      <c r="E12" s="25" t="n"/>
      <c r="F12" s="26" t="n"/>
      <c r="G12" s="26" t="n"/>
      <c r="H12" s="27" t="n"/>
      <c r="I12" s="26" t="n"/>
      <c r="J12" s="26" t="n"/>
      <c r="K12" s="26" t="n"/>
      <c r="L12" s="23">
        <f>IF(AF12&lt;4,"",Z12+AA12+AB12+AE12)</f>
        <v/>
      </c>
      <c r="M12" s="28">
        <f>IF(OR(L12="",Y12=""),"",Y12*L12)</f>
        <v/>
      </c>
      <c r="N12" s="29">
        <f>IF(M12="","",IF(M12&lt;=Gruen_bis,"grün",IF(M12&lt;=Gelb_bis,"gelb","rot")))</f>
        <v/>
      </c>
      <c r="O12" s="30">
        <f>IF(N12="",IF(B12="","","Bewertung unvollständig – ★-Felder ausfüllen"),IF(N12="grün",IF(AC12=1,IF(AD12=1,"Abgekündigt, Nachfolger vorhanden: Umstieg bei nächster Gelegenheit planen","Abgekündigt: Endbevorratung (Last-Time-Buy) prüfen, Ersatzlösung planen"),"Keine aktive Maßnahme – jährlich prüfen"),IF(AND(Z12=1,AA12=1,AB12=1),"Sofort sichern: Restbestand / Gebrauchtteil kaufen und Ersatzlösung (Retrofit) planen",IF(AND(Z12=1,AB12=1),"Reparaturweg absichern (Dienstleister, Tauschteil), Gebrauchtteil prüfen",IF(AD12=1,"Auf Nachfolgeprodukt umstellen: Kompatibilität prüfen, Umstieg planen",IF(AC12=1,IF(AB12=1,"Abgekündigt ohne Nachfolger: sofort Endbevorratung (Last-Time-Buy) und Ersatzlösung planen","Abgekündigt ohne Nachfolger: Lagerteil sichern, Ersatzlösung (Retrofit) planen"),IF(Z12=1,"Nicht beschaffbar: Lagerteil schützen, Ersatzlösung mittelfristig planen",IF(AB12=1,IF(LEFT(S12,4)="nein","Bevorratung lohnt nicht – Lieferzeit und Reparaturweg absichern","Lagerbestand anlegen (mind. 1 Stk.)"),"Reparaturmöglichkeit klären"))))))))</f>
        <v/>
      </c>
      <c r="P12" s="31" t="n"/>
      <c r="Q12" s="27" t="n"/>
      <c r="R12" s="32">
        <f>IF(OR(AG12="",Y12="",AB12=0),"",AG12*INDEX(Krit_Kosten,MATCH(F12,Krit_Liste,0)))</f>
        <v/>
      </c>
      <c r="S12" s="33">
        <f>IF(N12="","",IF(N12="grün","–",IF(AB12=0,"am Lager / in stock",IF(N(P12)&lt;=0,"Stückpreis fehlt",IF(R12&gt;=Faktor_lohnt*P12,"ja – "&amp;FIXED(R12/P12,0)&amp;"-fach","nein – "&amp;FIXED(R12/P12,IF(R12/P12&lt;1,2,1))&amp;"-fach")))))</f>
        <v/>
      </c>
      <c r="T12" s="25" t="n"/>
      <c r="U12" s="34" t="n"/>
      <c r="V12" s="27" t="n"/>
      <c r="W12" s="25" t="n"/>
      <c r="X12" s="2" t="n"/>
      <c r="Y12" s="35">
        <f>IFERROR(INDEX(Krit_Faktor,MATCH(F12,Krit_Liste,0)),"")</f>
        <v/>
      </c>
      <c r="Z12" s="35">
        <f>IF(OR(I12="nein",I12="no"),1,0)</f>
        <v/>
      </c>
      <c r="AA12" s="35">
        <f>IF(OR(J12="nein",J12="no"),1,0)</f>
        <v/>
      </c>
      <c r="AB12" s="35">
        <f>IF(OR(K12="nein",K12="no"),1,0)</f>
        <v/>
      </c>
      <c r="AC12" s="35">
        <f>IF(OR(G12="ja",G12="yes"),1,0)</f>
        <v/>
      </c>
      <c r="AD12" s="35">
        <f>IF(AND(AC12=1,OR(H12="ja",H12="yes")),1,0)</f>
        <v/>
      </c>
      <c r="AE12" s="35">
        <f>IF(AC12=1,IF(AD12=1,Pkt_Abk_mit,Pkt_Abk_ohne),0)</f>
        <v/>
      </c>
      <c r="AF12" s="35">
        <f>(G12&lt;&gt;"")+(I12&lt;&gt;"")+(J12&lt;&gt;"")+(K12&lt;&gt;"")</f>
        <v/>
      </c>
      <c r="AG12" s="35">
        <f>IF(Q12&lt;&gt;"",Q12,IF(AF12&lt;4,"",IF(Z12=1,Tage_nicht_beschaffbar,Tage_beschaffbar)))</f>
        <v/>
      </c>
      <c r="AH12" s="35">
        <f>IF(M12="","",M12*1000+Y12*10+(1000-ROW())/100000)</f>
        <v/>
      </c>
    </row>
    <row r="13" ht="34" customHeight="1">
      <c r="A13" s="23">
        <f>IF(B13="","",COUNTA($B$9:B13))</f>
        <v/>
      </c>
      <c r="B13" s="24" t="n"/>
      <c r="C13" s="25" t="n"/>
      <c r="D13" s="25" t="n"/>
      <c r="E13" s="25" t="n"/>
      <c r="F13" s="26" t="n"/>
      <c r="G13" s="26" t="n"/>
      <c r="H13" s="27" t="n"/>
      <c r="I13" s="26" t="n"/>
      <c r="J13" s="26" t="n"/>
      <c r="K13" s="26" t="n"/>
      <c r="L13" s="23">
        <f>IF(AF13&lt;4,"",Z13+AA13+AB13+AE13)</f>
        <v/>
      </c>
      <c r="M13" s="28">
        <f>IF(OR(L13="",Y13=""),"",Y13*L13)</f>
        <v/>
      </c>
      <c r="N13" s="29">
        <f>IF(M13="","",IF(M13&lt;=Gruen_bis,"grün",IF(M13&lt;=Gelb_bis,"gelb","rot")))</f>
        <v/>
      </c>
      <c r="O13" s="30">
        <f>IF(N13="",IF(B13="","","Bewertung unvollständig – ★-Felder ausfüllen"),IF(N13="grün",IF(AC13=1,IF(AD13=1,"Abgekündigt, Nachfolger vorhanden: Umstieg bei nächster Gelegenheit planen","Abgekündigt: Endbevorratung (Last-Time-Buy) prüfen, Ersatzlösung planen"),"Keine aktive Maßnahme – jährlich prüfen"),IF(AND(Z13=1,AA13=1,AB13=1),"Sofort sichern: Restbestand / Gebrauchtteil kaufen und Ersatzlösung (Retrofit) planen",IF(AND(Z13=1,AB13=1),"Reparaturweg absichern (Dienstleister, Tauschteil), Gebrauchtteil prüfen",IF(AD13=1,"Auf Nachfolgeprodukt umstellen: Kompatibilität prüfen, Umstieg planen",IF(AC13=1,IF(AB13=1,"Abgekündigt ohne Nachfolger: sofort Endbevorratung (Last-Time-Buy) und Ersatzlösung planen","Abgekündigt ohne Nachfolger: Lagerteil sichern, Ersatzlösung (Retrofit) planen"),IF(Z13=1,"Nicht beschaffbar: Lagerteil schützen, Ersatzlösung mittelfristig planen",IF(AB13=1,IF(LEFT(S13,4)="nein","Bevorratung lohnt nicht – Lieferzeit und Reparaturweg absichern","Lagerbestand anlegen (mind. 1 Stk.)"),"Reparaturmöglichkeit klären"))))))))</f>
        <v/>
      </c>
      <c r="P13" s="31" t="n"/>
      <c r="Q13" s="27" t="n"/>
      <c r="R13" s="32">
        <f>IF(OR(AG13="",Y13="",AB13=0),"",AG13*INDEX(Krit_Kosten,MATCH(F13,Krit_Liste,0)))</f>
        <v/>
      </c>
      <c r="S13" s="33">
        <f>IF(N13="","",IF(N13="grün","–",IF(AB13=0,"am Lager / in stock",IF(N(P13)&lt;=0,"Stückpreis fehlt",IF(R13&gt;=Faktor_lohnt*P13,"ja – "&amp;FIXED(R13/P13,0)&amp;"-fach","nein – "&amp;FIXED(R13/P13,IF(R13/P13&lt;1,2,1))&amp;"-fach")))))</f>
        <v/>
      </c>
      <c r="T13" s="25" t="n"/>
      <c r="U13" s="34" t="n"/>
      <c r="V13" s="27" t="n"/>
      <c r="W13" s="25" t="n"/>
      <c r="X13" s="2" t="n"/>
      <c r="Y13" s="35">
        <f>IFERROR(INDEX(Krit_Faktor,MATCH(F13,Krit_Liste,0)),"")</f>
        <v/>
      </c>
      <c r="Z13" s="35">
        <f>IF(OR(I13="nein",I13="no"),1,0)</f>
        <v/>
      </c>
      <c r="AA13" s="35">
        <f>IF(OR(J13="nein",J13="no"),1,0)</f>
        <v/>
      </c>
      <c r="AB13" s="35">
        <f>IF(OR(K13="nein",K13="no"),1,0)</f>
        <v/>
      </c>
      <c r="AC13" s="35">
        <f>IF(OR(G13="ja",G13="yes"),1,0)</f>
        <v/>
      </c>
      <c r="AD13" s="35">
        <f>IF(AND(AC13=1,OR(H13="ja",H13="yes")),1,0)</f>
        <v/>
      </c>
      <c r="AE13" s="35">
        <f>IF(AC13=1,IF(AD13=1,Pkt_Abk_mit,Pkt_Abk_ohne),0)</f>
        <v/>
      </c>
      <c r="AF13" s="35">
        <f>(G13&lt;&gt;"")+(I13&lt;&gt;"")+(J13&lt;&gt;"")+(K13&lt;&gt;"")</f>
        <v/>
      </c>
      <c r="AG13" s="35">
        <f>IF(Q13&lt;&gt;"",Q13,IF(AF13&lt;4,"",IF(Z13=1,Tage_nicht_beschaffbar,Tage_beschaffbar)))</f>
        <v/>
      </c>
      <c r="AH13" s="35">
        <f>IF(M13="","",M13*1000+Y13*10+(1000-ROW())/100000)</f>
        <v/>
      </c>
    </row>
    <row r="14" ht="34" customHeight="1">
      <c r="A14" s="23">
        <f>IF(B14="","",COUNTA($B$9:B14))</f>
        <v/>
      </c>
      <c r="B14" s="24" t="n"/>
      <c r="C14" s="25" t="n"/>
      <c r="D14" s="25" t="n"/>
      <c r="E14" s="25" t="n"/>
      <c r="F14" s="26" t="n"/>
      <c r="G14" s="26" t="n"/>
      <c r="H14" s="27" t="n"/>
      <c r="I14" s="26" t="n"/>
      <c r="J14" s="26" t="n"/>
      <c r="K14" s="26" t="n"/>
      <c r="L14" s="23">
        <f>IF(AF14&lt;4,"",Z14+AA14+AB14+AE14)</f>
        <v/>
      </c>
      <c r="M14" s="28">
        <f>IF(OR(L14="",Y14=""),"",Y14*L14)</f>
        <v/>
      </c>
      <c r="N14" s="29">
        <f>IF(M14="","",IF(M14&lt;=Gruen_bis,"grün",IF(M14&lt;=Gelb_bis,"gelb","rot")))</f>
        <v/>
      </c>
      <c r="O14" s="30">
        <f>IF(N14="",IF(B14="","","Bewertung unvollständig – ★-Felder ausfüllen"),IF(N14="grün",IF(AC14=1,IF(AD14=1,"Abgekündigt, Nachfolger vorhanden: Umstieg bei nächster Gelegenheit planen","Abgekündigt: Endbevorratung (Last-Time-Buy) prüfen, Ersatzlösung planen"),"Keine aktive Maßnahme – jährlich prüfen"),IF(AND(Z14=1,AA14=1,AB14=1),"Sofort sichern: Restbestand / Gebrauchtteil kaufen und Ersatzlösung (Retrofit) planen",IF(AND(Z14=1,AB14=1),"Reparaturweg absichern (Dienstleister, Tauschteil), Gebrauchtteil prüfen",IF(AD14=1,"Auf Nachfolgeprodukt umstellen: Kompatibilität prüfen, Umstieg planen",IF(AC14=1,IF(AB14=1,"Abgekündigt ohne Nachfolger: sofort Endbevorratung (Last-Time-Buy) und Ersatzlösung planen","Abgekündigt ohne Nachfolger: Lagerteil sichern, Ersatzlösung (Retrofit) planen"),IF(Z14=1,"Nicht beschaffbar: Lagerteil schützen, Ersatzlösung mittelfristig planen",IF(AB14=1,IF(LEFT(S14,4)="nein","Bevorratung lohnt nicht – Lieferzeit und Reparaturweg absichern","Lagerbestand anlegen (mind. 1 Stk.)"),"Reparaturmöglichkeit klären"))))))))</f>
        <v/>
      </c>
      <c r="P14" s="31" t="n"/>
      <c r="Q14" s="27" t="n"/>
      <c r="R14" s="32">
        <f>IF(OR(AG14="",Y14="",AB14=0),"",AG14*INDEX(Krit_Kosten,MATCH(F14,Krit_Liste,0)))</f>
        <v/>
      </c>
      <c r="S14" s="33">
        <f>IF(N14="","",IF(N14="grün","–",IF(AB14=0,"am Lager / in stock",IF(N(P14)&lt;=0,"Stückpreis fehlt",IF(R14&gt;=Faktor_lohnt*P14,"ja – "&amp;FIXED(R14/P14,0)&amp;"-fach","nein – "&amp;FIXED(R14/P14,IF(R14/P14&lt;1,2,1))&amp;"-fach")))))</f>
        <v/>
      </c>
      <c r="T14" s="25" t="n"/>
      <c r="U14" s="34" t="n"/>
      <c r="V14" s="27" t="n"/>
      <c r="W14" s="25" t="n"/>
      <c r="X14" s="2" t="n"/>
      <c r="Y14" s="35">
        <f>IFERROR(INDEX(Krit_Faktor,MATCH(F14,Krit_Liste,0)),"")</f>
        <v/>
      </c>
      <c r="Z14" s="35">
        <f>IF(OR(I14="nein",I14="no"),1,0)</f>
        <v/>
      </c>
      <c r="AA14" s="35">
        <f>IF(OR(J14="nein",J14="no"),1,0)</f>
        <v/>
      </c>
      <c r="AB14" s="35">
        <f>IF(OR(K14="nein",K14="no"),1,0)</f>
        <v/>
      </c>
      <c r="AC14" s="35">
        <f>IF(OR(G14="ja",G14="yes"),1,0)</f>
        <v/>
      </c>
      <c r="AD14" s="35">
        <f>IF(AND(AC14=1,OR(H14="ja",H14="yes")),1,0)</f>
        <v/>
      </c>
      <c r="AE14" s="35">
        <f>IF(AC14=1,IF(AD14=1,Pkt_Abk_mit,Pkt_Abk_ohne),0)</f>
        <v/>
      </c>
      <c r="AF14" s="35">
        <f>(G14&lt;&gt;"")+(I14&lt;&gt;"")+(J14&lt;&gt;"")+(K14&lt;&gt;"")</f>
        <v/>
      </c>
      <c r="AG14" s="35">
        <f>IF(Q14&lt;&gt;"",Q14,IF(AF14&lt;4,"",IF(Z14=1,Tage_nicht_beschaffbar,Tage_beschaffbar)))</f>
        <v/>
      </c>
      <c r="AH14" s="35">
        <f>IF(M14="","",M14*1000+Y14*10+(1000-ROW())/100000)</f>
        <v/>
      </c>
    </row>
    <row r="15" ht="34" customHeight="1">
      <c r="A15" s="23">
        <f>IF(B15="","",COUNTA($B$9:B15))</f>
        <v/>
      </c>
      <c r="B15" s="24" t="n"/>
      <c r="C15" s="25" t="n"/>
      <c r="D15" s="25" t="n"/>
      <c r="E15" s="25" t="n"/>
      <c r="F15" s="26" t="n"/>
      <c r="G15" s="26" t="n"/>
      <c r="H15" s="27" t="n"/>
      <c r="I15" s="26" t="n"/>
      <c r="J15" s="26" t="n"/>
      <c r="K15" s="26" t="n"/>
      <c r="L15" s="23">
        <f>IF(AF15&lt;4,"",Z15+AA15+AB15+AE15)</f>
        <v/>
      </c>
      <c r="M15" s="28">
        <f>IF(OR(L15="",Y15=""),"",Y15*L15)</f>
        <v/>
      </c>
      <c r="N15" s="29">
        <f>IF(M15="","",IF(M15&lt;=Gruen_bis,"grün",IF(M15&lt;=Gelb_bis,"gelb","rot")))</f>
        <v/>
      </c>
      <c r="O15" s="30">
        <f>IF(N15="",IF(B15="","","Bewertung unvollständig – ★-Felder ausfüllen"),IF(N15="grün",IF(AC15=1,IF(AD15=1,"Abgekündigt, Nachfolger vorhanden: Umstieg bei nächster Gelegenheit planen","Abgekündigt: Endbevorratung (Last-Time-Buy) prüfen, Ersatzlösung planen"),"Keine aktive Maßnahme – jährlich prüfen"),IF(AND(Z15=1,AA15=1,AB15=1),"Sofort sichern: Restbestand / Gebrauchtteil kaufen und Ersatzlösung (Retrofit) planen",IF(AND(Z15=1,AB15=1),"Reparaturweg absichern (Dienstleister, Tauschteil), Gebrauchtteil prüfen",IF(AD15=1,"Auf Nachfolgeprodukt umstellen: Kompatibilität prüfen, Umstieg planen",IF(AC15=1,IF(AB15=1,"Abgekündigt ohne Nachfolger: sofort Endbevorratung (Last-Time-Buy) und Ersatzlösung planen","Abgekündigt ohne Nachfolger: Lagerteil sichern, Ersatzlösung (Retrofit) planen"),IF(Z15=1,"Nicht beschaffbar: Lagerteil schützen, Ersatzlösung mittelfristig planen",IF(AB15=1,IF(LEFT(S15,4)="nein","Bevorratung lohnt nicht – Lieferzeit und Reparaturweg absichern","Lagerbestand anlegen (mind. 1 Stk.)"),"Reparaturmöglichkeit klären"))))))))</f>
        <v/>
      </c>
      <c r="P15" s="31" t="n"/>
      <c r="Q15" s="27" t="n"/>
      <c r="R15" s="32">
        <f>IF(OR(AG15="",Y15="",AB15=0),"",AG15*INDEX(Krit_Kosten,MATCH(F15,Krit_Liste,0)))</f>
        <v/>
      </c>
      <c r="S15" s="33">
        <f>IF(N15="","",IF(N15="grün","–",IF(AB15=0,"am Lager / in stock",IF(N(P15)&lt;=0,"Stückpreis fehlt",IF(R15&gt;=Faktor_lohnt*P15,"ja – "&amp;FIXED(R15/P15,0)&amp;"-fach","nein – "&amp;FIXED(R15/P15,IF(R15/P15&lt;1,2,1))&amp;"-fach")))))</f>
        <v/>
      </c>
      <c r="T15" s="25" t="n"/>
      <c r="U15" s="34" t="n"/>
      <c r="V15" s="27" t="n"/>
      <c r="W15" s="25" t="n"/>
      <c r="X15" s="2" t="n"/>
      <c r="Y15" s="35">
        <f>IFERROR(INDEX(Krit_Faktor,MATCH(F15,Krit_Liste,0)),"")</f>
        <v/>
      </c>
      <c r="Z15" s="35">
        <f>IF(OR(I15="nein",I15="no"),1,0)</f>
        <v/>
      </c>
      <c r="AA15" s="35">
        <f>IF(OR(J15="nein",J15="no"),1,0)</f>
        <v/>
      </c>
      <c r="AB15" s="35">
        <f>IF(OR(K15="nein",K15="no"),1,0)</f>
        <v/>
      </c>
      <c r="AC15" s="35">
        <f>IF(OR(G15="ja",G15="yes"),1,0)</f>
        <v/>
      </c>
      <c r="AD15" s="35">
        <f>IF(AND(AC15=1,OR(H15="ja",H15="yes")),1,0)</f>
        <v/>
      </c>
      <c r="AE15" s="35">
        <f>IF(AC15=1,IF(AD15=1,Pkt_Abk_mit,Pkt_Abk_ohne),0)</f>
        <v/>
      </c>
      <c r="AF15" s="35">
        <f>(G15&lt;&gt;"")+(I15&lt;&gt;"")+(J15&lt;&gt;"")+(K15&lt;&gt;"")</f>
        <v/>
      </c>
      <c r="AG15" s="35">
        <f>IF(Q15&lt;&gt;"",Q15,IF(AF15&lt;4,"",IF(Z15=1,Tage_nicht_beschaffbar,Tage_beschaffbar)))</f>
        <v/>
      </c>
      <c r="AH15" s="35">
        <f>IF(M15="","",M15*1000+Y15*10+(1000-ROW())/100000)</f>
        <v/>
      </c>
    </row>
    <row r="16" ht="34" customHeight="1">
      <c r="A16" s="23">
        <f>IF(B16="","",COUNTA($B$9:B16))</f>
        <v/>
      </c>
      <c r="B16" s="24" t="n"/>
      <c r="C16" s="25" t="n"/>
      <c r="D16" s="25" t="n"/>
      <c r="E16" s="25" t="n"/>
      <c r="F16" s="26" t="n"/>
      <c r="G16" s="26" t="n"/>
      <c r="H16" s="27" t="n"/>
      <c r="I16" s="26" t="n"/>
      <c r="J16" s="26" t="n"/>
      <c r="K16" s="26" t="n"/>
      <c r="L16" s="23">
        <f>IF(AF16&lt;4,"",Z16+AA16+AB16+AE16)</f>
        <v/>
      </c>
      <c r="M16" s="28">
        <f>IF(OR(L16="",Y16=""),"",Y16*L16)</f>
        <v/>
      </c>
      <c r="N16" s="29">
        <f>IF(M16="","",IF(M16&lt;=Gruen_bis,"grün",IF(M16&lt;=Gelb_bis,"gelb","rot")))</f>
        <v/>
      </c>
      <c r="O16" s="30">
        <f>IF(N16="",IF(B16="","","Bewertung unvollständig – ★-Felder ausfüllen"),IF(N16="grün",IF(AC16=1,IF(AD16=1,"Abgekündigt, Nachfolger vorhanden: Umstieg bei nächster Gelegenheit planen","Abgekündigt: Endbevorratung (Last-Time-Buy) prüfen, Ersatzlösung planen"),"Keine aktive Maßnahme – jährlich prüfen"),IF(AND(Z16=1,AA16=1,AB16=1),"Sofort sichern: Restbestand / Gebrauchtteil kaufen und Ersatzlösung (Retrofit) planen",IF(AND(Z16=1,AB16=1),"Reparaturweg absichern (Dienstleister, Tauschteil), Gebrauchtteil prüfen",IF(AD16=1,"Auf Nachfolgeprodukt umstellen: Kompatibilität prüfen, Umstieg planen",IF(AC16=1,IF(AB16=1,"Abgekündigt ohne Nachfolger: sofort Endbevorratung (Last-Time-Buy) und Ersatzlösung planen","Abgekündigt ohne Nachfolger: Lagerteil sichern, Ersatzlösung (Retrofit) planen"),IF(Z16=1,"Nicht beschaffbar: Lagerteil schützen, Ersatzlösung mittelfristig planen",IF(AB16=1,IF(LEFT(S16,4)="nein","Bevorratung lohnt nicht – Lieferzeit und Reparaturweg absichern","Lagerbestand anlegen (mind. 1 Stk.)"),"Reparaturmöglichkeit klären"))))))))</f>
        <v/>
      </c>
      <c r="P16" s="31" t="n"/>
      <c r="Q16" s="27" t="n"/>
      <c r="R16" s="32">
        <f>IF(OR(AG16="",Y16="",AB16=0),"",AG16*INDEX(Krit_Kosten,MATCH(F16,Krit_Liste,0)))</f>
        <v/>
      </c>
      <c r="S16" s="33">
        <f>IF(N16="","",IF(N16="grün","–",IF(AB16=0,"am Lager / in stock",IF(N(P16)&lt;=0,"Stückpreis fehlt",IF(R16&gt;=Faktor_lohnt*P16,"ja – "&amp;FIXED(R16/P16,0)&amp;"-fach","nein – "&amp;FIXED(R16/P16,IF(R16/P16&lt;1,2,1))&amp;"-fach")))))</f>
        <v/>
      </c>
      <c r="T16" s="25" t="n"/>
      <c r="U16" s="34" t="n"/>
      <c r="V16" s="27" t="n"/>
      <c r="W16" s="25" t="n"/>
      <c r="X16" s="2" t="n"/>
      <c r="Y16" s="35">
        <f>IFERROR(INDEX(Krit_Faktor,MATCH(F16,Krit_Liste,0)),"")</f>
        <v/>
      </c>
      <c r="Z16" s="35">
        <f>IF(OR(I16="nein",I16="no"),1,0)</f>
        <v/>
      </c>
      <c r="AA16" s="35">
        <f>IF(OR(J16="nein",J16="no"),1,0)</f>
        <v/>
      </c>
      <c r="AB16" s="35">
        <f>IF(OR(K16="nein",K16="no"),1,0)</f>
        <v/>
      </c>
      <c r="AC16" s="35">
        <f>IF(OR(G16="ja",G16="yes"),1,0)</f>
        <v/>
      </c>
      <c r="AD16" s="35">
        <f>IF(AND(AC16=1,OR(H16="ja",H16="yes")),1,0)</f>
        <v/>
      </c>
      <c r="AE16" s="35">
        <f>IF(AC16=1,IF(AD16=1,Pkt_Abk_mit,Pkt_Abk_ohne),0)</f>
        <v/>
      </c>
      <c r="AF16" s="35">
        <f>(G16&lt;&gt;"")+(I16&lt;&gt;"")+(J16&lt;&gt;"")+(K16&lt;&gt;"")</f>
        <v/>
      </c>
      <c r="AG16" s="35">
        <f>IF(Q16&lt;&gt;"",Q16,IF(AF16&lt;4,"",IF(Z16=1,Tage_nicht_beschaffbar,Tage_beschaffbar)))</f>
        <v/>
      </c>
      <c r="AH16" s="35">
        <f>IF(M16="","",M16*1000+Y16*10+(1000-ROW())/100000)</f>
        <v/>
      </c>
    </row>
    <row r="17" ht="34" customHeight="1">
      <c r="A17" s="23">
        <f>IF(B17="","",COUNTA($B$9:B17))</f>
        <v/>
      </c>
      <c r="B17" s="24" t="n"/>
      <c r="C17" s="25" t="n"/>
      <c r="D17" s="25" t="n"/>
      <c r="E17" s="25" t="n"/>
      <c r="F17" s="26" t="n"/>
      <c r="G17" s="26" t="n"/>
      <c r="H17" s="27" t="n"/>
      <c r="I17" s="26" t="n"/>
      <c r="J17" s="26" t="n"/>
      <c r="K17" s="26" t="n"/>
      <c r="L17" s="23">
        <f>IF(AF17&lt;4,"",Z17+AA17+AB17+AE17)</f>
        <v/>
      </c>
      <c r="M17" s="28">
        <f>IF(OR(L17="",Y17=""),"",Y17*L17)</f>
        <v/>
      </c>
      <c r="N17" s="29">
        <f>IF(M17="","",IF(M17&lt;=Gruen_bis,"grün",IF(M17&lt;=Gelb_bis,"gelb","rot")))</f>
        <v/>
      </c>
      <c r="O17" s="30">
        <f>IF(N17="",IF(B17="","","Bewertung unvollständig – ★-Felder ausfüllen"),IF(N17="grün",IF(AC17=1,IF(AD17=1,"Abgekündigt, Nachfolger vorhanden: Umstieg bei nächster Gelegenheit planen","Abgekündigt: Endbevorratung (Last-Time-Buy) prüfen, Ersatzlösung planen"),"Keine aktive Maßnahme – jährlich prüfen"),IF(AND(Z17=1,AA17=1,AB17=1),"Sofort sichern: Restbestand / Gebrauchtteil kaufen und Ersatzlösung (Retrofit) planen",IF(AND(Z17=1,AB17=1),"Reparaturweg absichern (Dienstleister, Tauschteil), Gebrauchtteil prüfen",IF(AD17=1,"Auf Nachfolgeprodukt umstellen: Kompatibilität prüfen, Umstieg planen",IF(AC17=1,IF(AB17=1,"Abgekündigt ohne Nachfolger: sofort Endbevorratung (Last-Time-Buy) und Ersatzlösung planen","Abgekündigt ohne Nachfolger: Lagerteil sichern, Ersatzlösung (Retrofit) planen"),IF(Z17=1,"Nicht beschaffbar: Lagerteil schützen, Ersatzlösung mittelfristig planen",IF(AB17=1,IF(LEFT(S17,4)="nein","Bevorratung lohnt nicht – Lieferzeit und Reparaturweg absichern","Lagerbestand anlegen (mind. 1 Stk.)"),"Reparaturmöglichkeit klären"))))))))</f>
        <v/>
      </c>
      <c r="P17" s="31" t="n"/>
      <c r="Q17" s="27" t="n"/>
      <c r="R17" s="32">
        <f>IF(OR(AG17="",Y17="",AB17=0),"",AG17*INDEX(Krit_Kosten,MATCH(F17,Krit_Liste,0)))</f>
        <v/>
      </c>
      <c r="S17" s="33">
        <f>IF(N17="","",IF(N17="grün","–",IF(AB17=0,"am Lager / in stock",IF(N(P17)&lt;=0,"Stückpreis fehlt",IF(R17&gt;=Faktor_lohnt*P17,"ja – "&amp;FIXED(R17/P17,0)&amp;"-fach","nein – "&amp;FIXED(R17/P17,IF(R17/P17&lt;1,2,1))&amp;"-fach")))))</f>
        <v/>
      </c>
      <c r="T17" s="25" t="n"/>
      <c r="U17" s="34" t="n"/>
      <c r="V17" s="27" t="n"/>
      <c r="W17" s="25" t="n"/>
      <c r="X17" s="2" t="n"/>
      <c r="Y17" s="35">
        <f>IFERROR(INDEX(Krit_Faktor,MATCH(F17,Krit_Liste,0)),"")</f>
        <v/>
      </c>
      <c r="Z17" s="35">
        <f>IF(OR(I17="nein",I17="no"),1,0)</f>
        <v/>
      </c>
      <c r="AA17" s="35">
        <f>IF(OR(J17="nein",J17="no"),1,0)</f>
        <v/>
      </c>
      <c r="AB17" s="35">
        <f>IF(OR(K17="nein",K17="no"),1,0)</f>
        <v/>
      </c>
      <c r="AC17" s="35">
        <f>IF(OR(G17="ja",G17="yes"),1,0)</f>
        <v/>
      </c>
      <c r="AD17" s="35">
        <f>IF(AND(AC17=1,OR(H17="ja",H17="yes")),1,0)</f>
        <v/>
      </c>
      <c r="AE17" s="35">
        <f>IF(AC17=1,IF(AD17=1,Pkt_Abk_mit,Pkt_Abk_ohne),0)</f>
        <v/>
      </c>
      <c r="AF17" s="35">
        <f>(G17&lt;&gt;"")+(I17&lt;&gt;"")+(J17&lt;&gt;"")+(K17&lt;&gt;"")</f>
        <v/>
      </c>
      <c r="AG17" s="35">
        <f>IF(Q17&lt;&gt;"",Q17,IF(AF17&lt;4,"",IF(Z17=1,Tage_nicht_beschaffbar,Tage_beschaffbar)))</f>
        <v/>
      </c>
      <c r="AH17" s="35">
        <f>IF(M17="","",M17*1000+Y17*10+(1000-ROW())/100000)</f>
        <v/>
      </c>
    </row>
    <row r="18" ht="34" customHeight="1">
      <c r="A18" s="23">
        <f>IF(B18="","",COUNTA($B$9:B18))</f>
        <v/>
      </c>
      <c r="B18" s="24" t="n"/>
      <c r="C18" s="25" t="n"/>
      <c r="D18" s="25" t="n"/>
      <c r="E18" s="25" t="n"/>
      <c r="F18" s="26" t="n"/>
      <c r="G18" s="26" t="n"/>
      <c r="H18" s="27" t="n"/>
      <c r="I18" s="26" t="n"/>
      <c r="J18" s="26" t="n"/>
      <c r="K18" s="26" t="n"/>
      <c r="L18" s="23">
        <f>IF(AF18&lt;4,"",Z18+AA18+AB18+AE18)</f>
        <v/>
      </c>
      <c r="M18" s="28">
        <f>IF(OR(L18="",Y18=""),"",Y18*L18)</f>
        <v/>
      </c>
      <c r="N18" s="29">
        <f>IF(M18="","",IF(M18&lt;=Gruen_bis,"grün",IF(M18&lt;=Gelb_bis,"gelb","rot")))</f>
        <v/>
      </c>
      <c r="O18" s="30">
        <f>IF(N18="",IF(B18="","","Bewertung unvollständig – ★-Felder ausfüllen"),IF(N18="grün",IF(AC18=1,IF(AD18=1,"Abgekündigt, Nachfolger vorhanden: Umstieg bei nächster Gelegenheit planen","Abgekündigt: Endbevorratung (Last-Time-Buy) prüfen, Ersatzlösung planen"),"Keine aktive Maßnahme – jährlich prüfen"),IF(AND(Z18=1,AA18=1,AB18=1),"Sofort sichern: Restbestand / Gebrauchtteil kaufen und Ersatzlösung (Retrofit) planen",IF(AND(Z18=1,AB18=1),"Reparaturweg absichern (Dienstleister, Tauschteil), Gebrauchtteil prüfen",IF(AD18=1,"Auf Nachfolgeprodukt umstellen: Kompatibilität prüfen, Umstieg planen",IF(AC18=1,IF(AB18=1,"Abgekündigt ohne Nachfolger: sofort Endbevorratung (Last-Time-Buy) und Ersatzlösung planen","Abgekündigt ohne Nachfolger: Lagerteil sichern, Ersatzlösung (Retrofit) planen"),IF(Z18=1,"Nicht beschaffbar: Lagerteil schützen, Ersatzlösung mittelfristig planen",IF(AB18=1,IF(LEFT(S18,4)="nein","Bevorratung lohnt nicht – Lieferzeit und Reparaturweg absichern","Lagerbestand anlegen (mind. 1 Stk.)"),"Reparaturmöglichkeit klären"))))))))</f>
        <v/>
      </c>
      <c r="P18" s="31" t="n"/>
      <c r="Q18" s="27" t="n"/>
      <c r="R18" s="32">
        <f>IF(OR(AG18="",Y18="",AB18=0),"",AG18*INDEX(Krit_Kosten,MATCH(F18,Krit_Liste,0)))</f>
        <v/>
      </c>
      <c r="S18" s="33">
        <f>IF(N18="","",IF(N18="grün","–",IF(AB18=0,"am Lager / in stock",IF(N(P18)&lt;=0,"Stückpreis fehlt",IF(R18&gt;=Faktor_lohnt*P18,"ja – "&amp;FIXED(R18/P18,0)&amp;"-fach","nein – "&amp;FIXED(R18/P18,IF(R18/P18&lt;1,2,1))&amp;"-fach")))))</f>
        <v/>
      </c>
      <c r="T18" s="25" t="n"/>
      <c r="U18" s="34" t="n"/>
      <c r="V18" s="27" t="n"/>
      <c r="W18" s="25" t="n"/>
      <c r="X18" s="2" t="n"/>
      <c r="Y18" s="35">
        <f>IFERROR(INDEX(Krit_Faktor,MATCH(F18,Krit_Liste,0)),"")</f>
        <v/>
      </c>
      <c r="Z18" s="35">
        <f>IF(OR(I18="nein",I18="no"),1,0)</f>
        <v/>
      </c>
      <c r="AA18" s="35">
        <f>IF(OR(J18="nein",J18="no"),1,0)</f>
        <v/>
      </c>
      <c r="AB18" s="35">
        <f>IF(OR(K18="nein",K18="no"),1,0)</f>
        <v/>
      </c>
      <c r="AC18" s="35">
        <f>IF(OR(G18="ja",G18="yes"),1,0)</f>
        <v/>
      </c>
      <c r="AD18" s="35">
        <f>IF(AND(AC18=1,OR(H18="ja",H18="yes")),1,0)</f>
        <v/>
      </c>
      <c r="AE18" s="35">
        <f>IF(AC18=1,IF(AD18=1,Pkt_Abk_mit,Pkt_Abk_ohne),0)</f>
        <v/>
      </c>
      <c r="AF18" s="35">
        <f>(G18&lt;&gt;"")+(I18&lt;&gt;"")+(J18&lt;&gt;"")+(K18&lt;&gt;"")</f>
        <v/>
      </c>
      <c r="AG18" s="35">
        <f>IF(Q18&lt;&gt;"",Q18,IF(AF18&lt;4,"",IF(Z18=1,Tage_nicht_beschaffbar,Tage_beschaffbar)))</f>
        <v/>
      </c>
      <c r="AH18" s="35">
        <f>IF(M18="","",M18*1000+Y18*10+(1000-ROW())/100000)</f>
        <v/>
      </c>
    </row>
    <row r="19" ht="34" customHeight="1">
      <c r="A19" s="23">
        <f>IF(B19="","",COUNTA($B$9:B19))</f>
        <v/>
      </c>
      <c r="B19" s="24" t="n"/>
      <c r="C19" s="25" t="n"/>
      <c r="D19" s="25" t="n"/>
      <c r="E19" s="25" t="n"/>
      <c r="F19" s="26" t="n"/>
      <c r="G19" s="26" t="n"/>
      <c r="H19" s="27" t="n"/>
      <c r="I19" s="26" t="n"/>
      <c r="J19" s="26" t="n"/>
      <c r="K19" s="26" t="n"/>
      <c r="L19" s="23">
        <f>IF(AF19&lt;4,"",Z19+AA19+AB19+AE19)</f>
        <v/>
      </c>
      <c r="M19" s="28">
        <f>IF(OR(L19="",Y19=""),"",Y19*L19)</f>
        <v/>
      </c>
      <c r="N19" s="29">
        <f>IF(M19="","",IF(M19&lt;=Gruen_bis,"grün",IF(M19&lt;=Gelb_bis,"gelb","rot")))</f>
        <v/>
      </c>
      <c r="O19" s="30">
        <f>IF(N19="",IF(B19="","","Bewertung unvollständig – ★-Felder ausfüllen"),IF(N19="grün",IF(AC19=1,IF(AD19=1,"Abgekündigt, Nachfolger vorhanden: Umstieg bei nächster Gelegenheit planen","Abgekündigt: Endbevorratung (Last-Time-Buy) prüfen, Ersatzlösung planen"),"Keine aktive Maßnahme – jährlich prüfen"),IF(AND(Z19=1,AA19=1,AB19=1),"Sofort sichern: Restbestand / Gebrauchtteil kaufen und Ersatzlösung (Retrofit) planen",IF(AND(Z19=1,AB19=1),"Reparaturweg absichern (Dienstleister, Tauschteil), Gebrauchtteil prüfen",IF(AD19=1,"Auf Nachfolgeprodukt umstellen: Kompatibilität prüfen, Umstieg planen",IF(AC19=1,IF(AB19=1,"Abgekündigt ohne Nachfolger: sofort Endbevorratung (Last-Time-Buy) und Ersatzlösung planen","Abgekündigt ohne Nachfolger: Lagerteil sichern, Ersatzlösung (Retrofit) planen"),IF(Z19=1,"Nicht beschaffbar: Lagerteil schützen, Ersatzlösung mittelfristig planen",IF(AB19=1,IF(LEFT(S19,4)="nein","Bevorratung lohnt nicht – Lieferzeit und Reparaturweg absichern","Lagerbestand anlegen (mind. 1 Stk.)"),"Reparaturmöglichkeit klären"))))))))</f>
        <v/>
      </c>
      <c r="P19" s="31" t="n"/>
      <c r="Q19" s="27" t="n"/>
      <c r="R19" s="32">
        <f>IF(OR(AG19="",Y19="",AB19=0),"",AG19*INDEX(Krit_Kosten,MATCH(F19,Krit_Liste,0)))</f>
        <v/>
      </c>
      <c r="S19" s="33">
        <f>IF(N19="","",IF(N19="grün","–",IF(AB19=0,"am Lager / in stock",IF(N(P19)&lt;=0,"Stückpreis fehlt",IF(R19&gt;=Faktor_lohnt*P19,"ja – "&amp;FIXED(R19/P19,0)&amp;"-fach","nein – "&amp;FIXED(R19/P19,IF(R19/P19&lt;1,2,1))&amp;"-fach")))))</f>
        <v/>
      </c>
      <c r="T19" s="25" t="n"/>
      <c r="U19" s="34" t="n"/>
      <c r="V19" s="27" t="n"/>
      <c r="W19" s="25" t="n"/>
      <c r="X19" s="2" t="n"/>
      <c r="Y19" s="35">
        <f>IFERROR(INDEX(Krit_Faktor,MATCH(F19,Krit_Liste,0)),"")</f>
        <v/>
      </c>
      <c r="Z19" s="35">
        <f>IF(OR(I19="nein",I19="no"),1,0)</f>
        <v/>
      </c>
      <c r="AA19" s="35">
        <f>IF(OR(J19="nein",J19="no"),1,0)</f>
        <v/>
      </c>
      <c r="AB19" s="35">
        <f>IF(OR(K19="nein",K19="no"),1,0)</f>
        <v/>
      </c>
      <c r="AC19" s="35">
        <f>IF(OR(G19="ja",G19="yes"),1,0)</f>
        <v/>
      </c>
      <c r="AD19" s="35">
        <f>IF(AND(AC19=1,OR(H19="ja",H19="yes")),1,0)</f>
        <v/>
      </c>
      <c r="AE19" s="35">
        <f>IF(AC19=1,IF(AD19=1,Pkt_Abk_mit,Pkt_Abk_ohne),0)</f>
        <v/>
      </c>
      <c r="AF19" s="35">
        <f>(G19&lt;&gt;"")+(I19&lt;&gt;"")+(J19&lt;&gt;"")+(K19&lt;&gt;"")</f>
        <v/>
      </c>
      <c r="AG19" s="35">
        <f>IF(Q19&lt;&gt;"",Q19,IF(AF19&lt;4,"",IF(Z19=1,Tage_nicht_beschaffbar,Tage_beschaffbar)))</f>
        <v/>
      </c>
      <c r="AH19" s="35">
        <f>IF(M19="","",M19*1000+Y19*10+(1000-ROW())/100000)</f>
        <v/>
      </c>
    </row>
    <row r="20" ht="34" customHeight="1">
      <c r="A20" s="23">
        <f>IF(B20="","",COUNTA($B$9:B20))</f>
        <v/>
      </c>
      <c r="B20" s="24" t="n"/>
      <c r="C20" s="25" t="n"/>
      <c r="D20" s="25" t="n"/>
      <c r="E20" s="25" t="n"/>
      <c r="F20" s="26" t="n"/>
      <c r="G20" s="26" t="n"/>
      <c r="H20" s="27" t="n"/>
      <c r="I20" s="26" t="n"/>
      <c r="J20" s="26" t="n"/>
      <c r="K20" s="26" t="n"/>
      <c r="L20" s="23">
        <f>IF(AF20&lt;4,"",Z20+AA20+AB20+AE20)</f>
        <v/>
      </c>
      <c r="M20" s="28">
        <f>IF(OR(L20="",Y20=""),"",Y20*L20)</f>
        <v/>
      </c>
      <c r="N20" s="29">
        <f>IF(M20="","",IF(M20&lt;=Gruen_bis,"grün",IF(M20&lt;=Gelb_bis,"gelb","rot")))</f>
        <v/>
      </c>
      <c r="O20" s="30">
        <f>IF(N20="",IF(B20="","","Bewertung unvollständig – ★-Felder ausfüllen"),IF(N20="grün",IF(AC20=1,IF(AD20=1,"Abgekündigt, Nachfolger vorhanden: Umstieg bei nächster Gelegenheit planen","Abgekündigt: Endbevorratung (Last-Time-Buy) prüfen, Ersatzlösung planen"),"Keine aktive Maßnahme – jährlich prüfen"),IF(AND(Z20=1,AA20=1,AB20=1),"Sofort sichern: Restbestand / Gebrauchtteil kaufen und Ersatzlösung (Retrofit) planen",IF(AND(Z20=1,AB20=1),"Reparaturweg absichern (Dienstleister, Tauschteil), Gebrauchtteil prüfen",IF(AD20=1,"Auf Nachfolgeprodukt umstellen: Kompatibilität prüfen, Umstieg planen",IF(AC20=1,IF(AB20=1,"Abgekündigt ohne Nachfolger: sofort Endbevorratung (Last-Time-Buy) und Ersatzlösung planen","Abgekündigt ohne Nachfolger: Lagerteil sichern, Ersatzlösung (Retrofit) planen"),IF(Z20=1,"Nicht beschaffbar: Lagerteil schützen, Ersatzlösung mittelfristig planen",IF(AB20=1,IF(LEFT(S20,4)="nein","Bevorratung lohnt nicht – Lieferzeit und Reparaturweg absichern","Lagerbestand anlegen (mind. 1 Stk.)"),"Reparaturmöglichkeit klären"))))))))</f>
        <v/>
      </c>
      <c r="P20" s="31" t="n"/>
      <c r="Q20" s="27" t="n"/>
      <c r="R20" s="32">
        <f>IF(OR(AG20="",Y20="",AB20=0),"",AG20*INDEX(Krit_Kosten,MATCH(F20,Krit_Liste,0)))</f>
        <v/>
      </c>
      <c r="S20" s="33">
        <f>IF(N20="","",IF(N20="grün","–",IF(AB20=0,"am Lager / in stock",IF(N(P20)&lt;=0,"Stückpreis fehlt",IF(R20&gt;=Faktor_lohnt*P20,"ja – "&amp;FIXED(R20/P20,0)&amp;"-fach","nein – "&amp;FIXED(R20/P20,IF(R20/P20&lt;1,2,1))&amp;"-fach")))))</f>
        <v/>
      </c>
      <c r="T20" s="25" t="n"/>
      <c r="U20" s="34" t="n"/>
      <c r="V20" s="27" t="n"/>
      <c r="W20" s="25" t="n"/>
      <c r="X20" s="2" t="n"/>
      <c r="Y20" s="35">
        <f>IFERROR(INDEX(Krit_Faktor,MATCH(F20,Krit_Liste,0)),"")</f>
        <v/>
      </c>
      <c r="Z20" s="35">
        <f>IF(OR(I20="nein",I20="no"),1,0)</f>
        <v/>
      </c>
      <c r="AA20" s="35">
        <f>IF(OR(J20="nein",J20="no"),1,0)</f>
        <v/>
      </c>
      <c r="AB20" s="35">
        <f>IF(OR(K20="nein",K20="no"),1,0)</f>
        <v/>
      </c>
      <c r="AC20" s="35">
        <f>IF(OR(G20="ja",G20="yes"),1,0)</f>
        <v/>
      </c>
      <c r="AD20" s="35">
        <f>IF(AND(AC20=1,OR(H20="ja",H20="yes")),1,0)</f>
        <v/>
      </c>
      <c r="AE20" s="35">
        <f>IF(AC20=1,IF(AD20=1,Pkt_Abk_mit,Pkt_Abk_ohne),0)</f>
        <v/>
      </c>
      <c r="AF20" s="35">
        <f>(G20&lt;&gt;"")+(I20&lt;&gt;"")+(J20&lt;&gt;"")+(K20&lt;&gt;"")</f>
        <v/>
      </c>
      <c r="AG20" s="35">
        <f>IF(Q20&lt;&gt;"",Q20,IF(AF20&lt;4,"",IF(Z20=1,Tage_nicht_beschaffbar,Tage_beschaffbar)))</f>
        <v/>
      </c>
      <c r="AH20" s="35">
        <f>IF(M20="","",M20*1000+Y20*10+(1000-ROW())/100000)</f>
        <v/>
      </c>
    </row>
    <row r="21" ht="34" customHeight="1">
      <c r="A21" s="23">
        <f>IF(B21="","",COUNTA($B$9:B21))</f>
        <v/>
      </c>
      <c r="B21" s="24" t="n"/>
      <c r="C21" s="25" t="n"/>
      <c r="D21" s="25" t="n"/>
      <c r="E21" s="25" t="n"/>
      <c r="F21" s="26" t="n"/>
      <c r="G21" s="26" t="n"/>
      <c r="H21" s="27" t="n"/>
      <c r="I21" s="26" t="n"/>
      <c r="J21" s="26" t="n"/>
      <c r="K21" s="26" t="n"/>
      <c r="L21" s="23">
        <f>IF(AF21&lt;4,"",Z21+AA21+AB21+AE21)</f>
        <v/>
      </c>
      <c r="M21" s="28">
        <f>IF(OR(L21="",Y21=""),"",Y21*L21)</f>
        <v/>
      </c>
      <c r="N21" s="29">
        <f>IF(M21="","",IF(M21&lt;=Gruen_bis,"grün",IF(M21&lt;=Gelb_bis,"gelb","rot")))</f>
        <v/>
      </c>
      <c r="O21" s="30">
        <f>IF(N21="",IF(B21="","","Bewertung unvollständig – ★-Felder ausfüllen"),IF(N21="grün",IF(AC21=1,IF(AD21=1,"Abgekündigt, Nachfolger vorhanden: Umstieg bei nächster Gelegenheit planen","Abgekündigt: Endbevorratung (Last-Time-Buy) prüfen, Ersatzlösung planen"),"Keine aktive Maßnahme – jährlich prüfen"),IF(AND(Z21=1,AA21=1,AB21=1),"Sofort sichern: Restbestand / Gebrauchtteil kaufen und Ersatzlösung (Retrofit) planen",IF(AND(Z21=1,AB21=1),"Reparaturweg absichern (Dienstleister, Tauschteil), Gebrauchtteil prüfen",IF(AD21=1,"Auf Nachfolgeprodukt umstellen: Kompatibilität prüfen, Umstieg planen",IF(AC21=1,IF(AB21=1,"Abgekündigt ohne Nachfolger: sofort Endbevorratung (Last-Time-Buy) und Ersatzlösung planen","Abgekündigt ohne Nachfolger: Lagerteil sichern, Ersatzlösung (Retrofit) planen"),IF(Z21=1,"Nicht beschaffbar: Lagerteil schützen, Ersatzlösung mittelfristig planen",IF(AB21=1,IF(LEFT(S21,4)="nein","Bevorratung lohnt nicht – Lieferzeit und Reparaturweg absichern","Lagerbestand anlegen (mind. 1 Stk.)"),"Reparaturmöglichkeit klären"))))))))</f>
        <v/>
      </c>
      <c r="P21" s="31" t="n"/>
      <c r="Q21" s="27" t="n"/>
      <c r="R21" s="32">
        <f>IF(OR(AG21="",Y21="",AB21=0),"",AG21*INDEX(Krit_Kosten,MATCH(F21,Krit_Liste,0)))</f>
        <v/>
      </c>
      <c r="S21" s="33">
        <f>IF(N21="","",IF(N21="grün","–",IF(AB21=0,"am Lager / in stock",IF(N(P21)&lt;=0,"Stückpreis fehlt",IF(R21&gt;=Faktor_lohnt*P21,"ja – "&amp;FIXED(R21/P21,0)&amp;"-fach","nein – "&amp;FIXED(R21/P21,IF(R21/P21&lt;1,2,1))&amp;"-fach")))))</f>
        <v/>
      </c>
      <c r="T21" s="25" t="n"/>
      <c r="U21" s="34" t="n"/>
      <c r="V21" s="27" t="n"/>
      <c r="W21" s="25" t="n"/>
      <c r="X21" s="2" t="n"/>
      <c r="Y21" s="35">
        <f>IFERROR(INDEX(Krit_Faktor,MATCH(F21,Krit_Liste,0)),"")</f>
        <v/>
      </c>
      <c r="Z21" s="35">
        <f>IF(OR(I21="nein",I21="no"),1,0)</f>
        <v/>
      </c>
      <c r="AA21" s="35">
        <f>IF(OR(J21="nein",J21="no"),1,0)</f>
        <v/>
      </c>
      <c r="AB21" s="35">
        <f>IF(OR(K21="nein",K21="no"),1,0)</f>
        <v/>
      </c>
      <c r="AC21" s="35">
        <f>IF(OR(G21="ja",G21="yes"),1,0)</f>
        <v/>
      </c>
      <c r="AD21" s="35">
        <f>IF(AND(AC21=1,OR(H21="ja",H21="yes")),1,0)</f>
        <v/>
      </c>
      <c r="AE21" s="35">
        <f>IF(AC21=1,IF(AD21=1,Pkt_Abk_mit,Pkt_Abk_ohne),0)</f>
        <v/>
      </c>
      <c r="AF21" s="35">
        <f>(G21&lt;&gt;"")+(I21&lt;&gt;"")+(J21&lt;&gt;"")+(K21&lt;&gt;"")</f>
        <v/>
      </c>
      <c r="AG21" s="35">
        <f>IF(Q21&lt;&gt;"",Q21,IF(AF21&lt;4,"",IF(Z21=1,Tage_nicht_beschaffbar,Tage_beschaffbar)))</f>
        <v/>
      </c>
      <c r="AH21" s="35">
        <f>IF(M21="","",M21*1000+Y21*10+(1000-ROW())/100000)</f>
        <v/>
      </c>
    </row>
    <row r="22" ht="34" customHeight="1">
      <c r="A22" s="23">
        <f>IF(B22="","",COUNTA($B$9:B22))</f>
        <v/>
      </c>
      <c r="B22" s="24" t="n"/>
      <c r="C22" s="25" t="n"/>
      <c r="D22" s="25" t="n"/>
      <c r="E22" s="25" t="n"/>
      <c r="F22" s="26" t="n"/>
      <c r="G22" s="26" t="n"/>
      <c r="H22" s="27" t="n"/>
      <c r="I22" s="26" t="n"/>
      <c r="J22" s="26" t="n"/>
      <c r="K22" s="26" t="n"/>
      <c r="L22" s="23">
        <f>IF(AF22&lt;4,"",Z22+AA22+AB22+AE22)</f>
        <v/>
      </c>
      <c r="M22" s="28">
        <f>IF(OR(L22="",Y22=""),"",Y22*L22)</f>
        <v/>
      </c>
      <c r="N22" s="29">
        <f>IF(M22="","",IF(M22&lt;=Gruen_bis,"grün",IF(M22&lt;=Gelb_bis,"gelb","rot")))</f>
        <v/>
      </c>
      <c r="O22" s="30">
        <f>IF(N22="",IF(B22="","","Bewertung unvollständig – ★-Felder ausfüllen"),IF(N22="grün",IF(AC22=1,IF(AD22=1,"Abgekündigt, Nachfolger vorhanden: Umstieg bei nächster Gelegenheit planen","Abgekündigt: Endbevorratung (Last-Time-Buy) prüfen, Ersatzlösung planen"),"Keine aktive Maßnahme – jährlich prüfen"),IF(AND(Z22=1,AA22=1,AB22=1),"Sofort sichern: Restbestand / Gebrauchtteil kaufen und Ersatzlösung (Retrofit) planen",IF(AND(Z22=1,AB22=1),"Reparaturweg absichern (Dienstleister, Tauschteil), Gebrauchtteil prüfen",IF(AD22=1,"Auf Nachfolgeprodukt umstellen: Kompatibilität prüfen, Umstieg planen",IF(AC22=1,IF(AB22=1,"Abgekündigt ohne Nachfolger: sofort Endbevorratung (Last-Time-Buy) und Ersatzlösung planen","Abgekündigt ohne Nachfolger: Lagerteil sichern, Ersatzlösung (Retrofit) planen"),IF(Z22=1,"Nicht beschaffbar: Lagerteil schützen, Ersatzlösung mittelfristig planen",IF(AB22=1,IF(LEFT(S22,4)="nein","Bevorratung lohnt nicht – Lieferzeit und Reparaturweg absichern","Lagerbestand anlegen (mind. 1 Stk.)"),"Reparaturmöglichkeit klären"))))))))</f>
        <v/>
      </c>
      <c r="P22" s="31" t="n"/>
      <c r="Q22" s="27" t="n"/>
      <c r="R22" s="32">
        <f>IF(OR(AG22="",Y22="",AB22=0),"",AG22*INDEX(Krit_Kosten,MATCH(F22,Krit_Liste,0)))</f>
        <v/>
      </c>
      <c r="S22" s="33">
        <f>IF(N22="","",IF(N22="grün","–",IF(AB22=0,"am Lager / in stock",IF(N(P22)&lt;=0,"Stückpreis fehlt",IF(R22&gt;=Faktor_lohnt*P22,"ja – "&amp;FIXED(R22/P22,0)&amp;"-fach","nein – "&amp;FIXED(R22/P22,IF(R22/P22&lt;1,2,1))&amp;"-fach")))))</f>
        <v/>
      </c>
      <c r="T22" s="25" t="n"/>
      <c r="U22" s="34" t="n"/>
      <c r="V22" s="27" t="n"/>
      <c r="W22" s="25" t="n"/>
      <c r="X22" s="2" t="n"/>
      <c r="Y22" s="35">
        <f>IFERROR(INDEX(Krit_Faktor,MATCH(F22,Krit_Liste,0)),"")</f>
        <v/>
      </c>
      <c r="Z22" s="35">
        <f>IF(OR(I22="nein",I22="no"),1,0)</f>
        <v/>
      </c>
      <c r="AA22" s="35">
        <f>IF(OR(J22="nein",J22="no"),1,0)</f>
        <v/>
      </c>
      <c r="AB22" s="35">
        <f>IF(OR(K22="nein",K22="no"),1,0)</f>
        <v/>
      </c>
      <c r="AC22" s="35">
        <f>IF(OR(G22="ja",G22="yes"),1,0)</f>
        <v/>
      </c>
      <c r="AD22" s="35">
        <f>IF(AND(AC22=1,OR(H22="ja",H22="yes")),1,0)</f>
        <v/>
      </c>
      <c r="AE22" s="35">
        <f>IF(AC22=1,IF(AD22=1,Pkt_Abk_mit,Pkt_Abk_ohne),0)</f>
        <v/>
      </c>
      <c r="AF22" s="35">
        <f>(G22&lt;&gt;"")+(I22&lt;&gt;"")+(J22&lt;&gt;"")+(K22&lt;&gt;"")</f>
        <v/>
      </c>
      <c r="AG22" s="35">
        <f>IF(Q22&lt;&gt;"",Q22,IF(AF22&lt;4,"",IF(Z22=1,Tage_nicht_beschaffbar,Tage_beschaffbar)))</f>
        <v/>
      </c>
      <c r="AH22" s="35">
        <f>IF(M22="","",M22*1000+Y22*10+(1000-ROW())/100000)</f>
        <v/>
      </c>
    </row>
    <row r="23" ht="34" customHeight="1">
      <c r="A23" s="23">
        <f>IF(B23="","",COUNTA($B$9:B23))</f>
        <v/>
      </c>
      <c r="B23" s="24" t="n"/>
      <c r="C23" s="25" t="n"/>
      <c r="D23" s="25" t="n"/>
      <c r="E23" s="25" t="n"/>
      <c r="F23" s="26" t="n"/>
      <c r="G23" s="26" t="n"/>
      <c r="H23" s="27" t="n"/>
      <c r="I23" s="26" t="n"/>
      <c r="J23" s="26" t="n"/>
      <c r="K23" s="26" t="n"/>
      <c r="L23" s="23">
        <f>IF(AF23&lt;4,"",Z23+AA23+AB23+AE23)</f>
        <v/>
      </c>
      <c r="M23" s="28">
        <f>IF(OR(L23="",Y23=""),"",Y23*L23)</f>
        <v/>
      </c>
      <c r="N23" s="29">
        <f>IF(M23="","",IF(M23&lt;=Gruen_bis,"grün",IF(M23&lt;=Gelb_bis,"gelb","rot")))</f>
        <v/>
      </c>
      <c r="O23" s="30">
        <f>IF(N23="",IF(B23="","","Bewertung unvollständig – ★-Felder ausfüllen"),IF(N23="grün",IF(AC23=1,IF(AD23=1,"Abgekündigt, Nachfolger vorhanden: Umstieg bei nächster Gelegenheit planen","Abgekündigt: Endbevorratung (Last-Time-Buy) prüfen, Ersatzlösung planen"),"Keine aktive Maßnahme – jährlich prüfen"),IF(AND(Z23=1,AA23=1,AB23=1),"Sofort sichern: Restbestand / Gebrauchtteil kaufen und Ersatzlösung (Retrofit) planen",IF(AND(Z23=1,AB23=1),"Reparaturweg absichern (Dienstleister, Tauschteil), Gebrauchtteil prüfen",IF(AD23=1,"Auf Nachfolgeprodukt umstellen: Kompatibilität prüfen, Umstieg planen",IF(AC23=1,IF(AB23=1,"Abgekündigt ohne Nachfolger: sofort Endbevorratung (Last-Time-Buy) und Ersatzlösung planen","Abgekündigt ohne Nachfolger: Lagerteil sichern, Ersatzlösung (Retrofit) planen"),IF(Z23=1,"Nicht beschaffbar: Lagerteil schützen, Ersatzlösung mittelfristig planen",IF(AB23=1,IF(LEFT(S23,4)="nein","Bevorratung lohnt nicht – Lieferzeit und Reparaturweg absichern","Lagerbestand anlegen (mind. 1 Stk.)"),"Reparaturmöglichkeit klären"))))))))</f>
        <v/>
      </c>
      <c r="P23" s="31" t="n"/>
      <c r="Q23" s="27" t="n"/>
      <c r="R23" s="32">
        <f>IF(OR(AG23="",Y23="",AB23=0),"",AG23*INDEX(Krit_Kosten,MATCH(F23,Krit_Liste,0)))</f>
        <v/>
      </c>
      <c r="S23" s="33">
        <f>IF(N23="","",IF(N23="grün","–",IF(AB23=0,"am Lager / in stock",IF(N(P23)&lt;=0,"Stückpreis fehlt",IF(R23&gt;=Faktor_lohnt*P23,"ja – "&amp;FIXED(R23/P23,0)&amp;"-fach","nein – "&amp;FIXED(R23/P23,IF(R23/P23&lt;1,2,1))&amp;"-fach")))))</f>
        <v/>
      </c>
      <c r="T23" s="25" t="n"/>
      <c r="U23" s="34" t="n"/>
      <c r="V23" s="27" t="n"/>
      <c r="W23" s="25" t="n"/>
      <c r="X23" s="2" t="n"/>
      <c r="Y23" s="35">
        <f>IFERROR(INDEX(Krit_Faktor,MATCH(F23,Krit_Liste,0)),"")</f>
        <v/>
      </c>
      <c r="Z23" s="35">
        <f>IF(OR(I23="nein",I23="no"),1,0)</f>
        <v/>
      </c>
      <c r="AA23" s="35">
        <f>IF(OR(J23="nein",J23="no"),1,0)</f>
        <v/>
      </c>
      <c r="AB23" s="35">
        <f>IF(OR(K23="nein",K23="no"),1,0)</f>
        <v/>
      </c>
      <c r="AC23" s="35">
        <f>IF(OR(G23="ja",G23="yes"),1,0)</f>
        <v/>
      </c>
      <c r="AD23" s="35">
        <f>IF(AND(AC23=1,OR(H23="ja",H23="yes")),1,0)</f>
        <v/>
      </c>
      <c r="AE23" s="35">
        <f>IF(AC23=1,IF(AD23=1,Pkt_Abk_mit,Pkt_Abk_ohne),0)</f>
        <v/>
      </c>
      <c r="AF23" s="35">
        <f>(G23&lt;&gt;"")+(I23&lt;&gt;"")+(J23&lt;&gt;"")+(K23&lt;&gt;"")</f>
        <v/>
      </c>
      <c r="AG23" s="35">
        <f>IF(Q23&lt;&gt;"",Q23,IF(AF23&lt;4,"",IF(Z23=1,Tage_nicht_beschaffbar,Tage_beschaffbar)))</f>
        <v/>
      </c>
      <c r="AH23" s="35">
        <f>IF(M23="","",M23*1000+Y23*10+(1000-ROW())/100000)</f>
        <v/>
      </c>
    </row>
    <row r="24" ht="34" customHeight="1">
      <c r="A24" s="23">
        <f>IF(B24="","",COUNTA($B$9:B24))</f>
        <v/>
      </c>
      <c r="B24" s="24" t="n"/>
      <c r="C24" s="25" t="n"/>
      <c r="D24" s="25" t="n"/>
      <c r="E24" s="25" t="n"/>
      <c r="F24" s="26" t="n"/>
      <c r="G24" s="26" t="n"/>
      <c r="H24" s="27" t="n"/>
      <c r="I24" s="26" t="n"/>
      <c r="J24" s="26" t="n"/>
      <c r="K24" s="26" t="n"/>
      <c r="L24" s="23">
        <f>IF(AF24&lt;4,"",Z24+AA24+AB24+AE24)</f>
        <v/>
      </c>
      <c r="M24" s="28">
        <f>IF(OR(L24="",Y24=""),"",Y24*L24)</f>
        <v/>
      </c>
      <c r="N24" s="29">
        <f>IF(M24="","",IF(M24&lt;=Gruen_bis,"grün",IF(M24&lt;=Gelb_bis,"gelb","rot")))</f>
        <v/>
      </c>
      <c r="O24" s="30">
        <f>IF(N24="",IF(B24="","","Bewertung unvollständig – ★-Felder ausfüllen"),IF(N24="grün",IF(AC24=1,IF(AD24=1,"Abgekündigt, Nachfolger vorhanden: Umstieg bei nächster Gelegenheit planen","Abgekündigt: Endbevorratung (Last-Time-Buy) prüfen, Ersatzlösung planen"),"Keine aktive Maßnahme – jährlich prüfen"),IF(AND(Z24=1,AA24=1,AB24=1),"Sofort sichern: Restbestand / Gebrauchtteil kaufen und Ersatzlösung (Retrofit) planen",IF(AND(Z24=1,AB24=1),"Reparaturweg absichern (Dienstleister, Tauschteil), Gebrauchtteil prüfen",IF(AD24=1,"Auf Nachfolgeprodukt umstellen: Kompatibilität prüfen, Umstieg planen",IF(AC24=1,IF(AB24=1,"Abgekündigt ohne Nachfolger: sofort Endbevorratung (Last-Time-Buy) und Ersatzlösung planen","Abgekündigt ohne Nachfolger: Lagerteil sichern, Ersatzlösung (Retrofit) planen"),IF(Z24=1,"Nicht beschaffbar: Lagerteil schützen, Ersatzlösung mittelfristig planen",IF(AB24=1,IF(LEFT(S24,4)="nein","Bevorratung lohnt nicht – Lieferzeit und Reparaturweg absichern","Lagerbestand anlegen (mind. 1 Stk.)"),"Reparaturmöglichkeit klären"))))))))</f>
        <v/>
      </c>
      <c r="P24" s="31" t="n"/>
      <c r="Q24" s="27" t="n"/>
      <c r="R24" s="32">
        <f>IF(OR(AG24="",Y24="",AB24=0),"",AG24*INDEX(Krit_Kosten,MATCH(F24,Krit_Liste,0)))</f>
        <v/>
      </c>
      <c r="S24" s="33">
        <f>IF(N24="","",IF(N24="grün","–",IF(AB24=0,"am Lager / in stock",IF(N(P24)&lt;=0,"Stückpreis fehlt",IF(R24&gt;=Faktor_lohnt*P24,"ja – "&amp;FIXED(R24/P24,0)&amp;"-fach","nein – "&amp;FIXED(R24/P24,IF(R24/P24&lt;1,2,1))&amp;"-fach")))))</f>
        <v/>
      </c>
      <c r="T24" s="25" t="n"/>
      <c r="U24" s="34" t="n"/>
      <c r="V24" s="27" t="n"/>
      <c r="W24" s="25" t="n"/>
      <c r="X24" s="2" t="n"/>
      <c r="Y24" s="35">
        <f>IFERROR(INDEX(Krit_Faktor,MATCH(F24,Krit_Liste,0)),"")</f>
        <v/>
      </c>
      <c r="Z24" s="35">
        <f>IF(OR(I24="nein",I24="no"),1,0)</f>
        <v/>
      </c>
      <c r="AA24" s="35">
        <f>IF(OR(J24="nein",J24="no"),1,0)</f>
        <v/>
      </c>
      <c r="AB24" s="35">
        <f>IF(OR(K24="nein",K24="no"),1,0)</f>
        <v/>
      </c>
      <c r="AC24" s="35">
        <f>IF(OR(G24="ja",G24="yes"),1,0)</f>
        <v/>
      </c>
      <c r="AD24" s="35">
        <f>IF(AND(AC24=1,OR(H24="ja",H24="yes")),1,0)</f>
        <v/>
      </c>
      <c r="AE24" s="35">
        <f>IF(AC24=1,IF(AD24=1,Pkt_Abk_mit,Pkt_Abk_ohne),0)</f>
        <v/>
      </c>
      <c r="AF24" s="35">
        <f>(G24&lt;&gt;"")+(I24&lt;&gt;"")+(J24&lt;&gt;"")+(K24&lt;&gt;"")</f>
        <v/>
      </c>
      <c r="AG24" s="35">
        <f>IF(Q24&lt;&gt;"",Q24,IF(AF24&lt;4,"",IF(Z24=1,Tage_nicht_beschaffbar,Tage_beschaffbar)))</f>
        <v/>
      </c>
      <c r="AH24" s="35">
        <f>IF(M24="","",M24*1000+Y24*10+(1000-ROW())/100000)</f>
        <v/>
      </c>
    </row>
    <row r="25" ht="34" customHeight="1">
      <c r="A25" s="23">
        <f>IF(B25="","",COUNTA($B$9:B25))</f>
        <v/>
      </c>
      <c r="B25" s="24" t="n"/>
      <c r="C25" s="25" t="n"/>
      <c r="D25" s="25" t="n"/>
      <c r="E25" s="25" t="n"/>
      <c r="F25" s="26" t="n"/>
      <c r="G25" s="26" t="n"/>
      <c r="H25" s="27" t="n"/>
      <c r="I25" s="26" t="n"/>
      <c r="J25" s="26" t="n"/>
      <c r="K25" s="26" t="n"/>
      <c r="L25" s="23">
        <f>IF(AF25&lt;4,"",Z25+AA25+AB25+AE25)</f>
        <v/>
      </c>
      <c r="M25" s="28">
        <f>IF(OR(L25="",Y25=""),"",Y25*L25)</f>
        <v/>
      </c>
      <c r="N25" s="29">
        <f>IF(M25="","",IF(M25&lt;=Gruen_bis,"grün",IF(M25&lt;=Gelb_bis,"gelb","rot")))</f>
        <v/>
      </c>
      <c r="O25" s="30">
        <f>IF(N25="",IF(B25="","","Bewertung unvollständig – ★-Felder ausfüllen"),IF(N25="grün",IF(AC25=1,IF(AD25=1,"Abgekündigt, Nachfolger vorhanden: Umstieg bei nächster Gelegenheit planen","Abgekündigt: Endbevorratung (Last-Time-Buy) prüfen, Ersatzlösung planen"),"Keine aktive Maßnahme – jährlich prüfen"),IF(AND(Z25=1,AA25=1,AB25=1),"Sofort sichern: Restbestand / Gebrauchtteil kaufen und Ersatzlösung (Retrofit) planen",IF(AND(Z25=1,AB25=1),"Reparaturweg absichern (Dienstleister, Tauschteil), Gebrauchtteil prüfen",IF(AD25=1,"Auf Nachfolgeprodukt umstellen: Kompatibilität prüfen, Umstieg planen",IF(AC25=1,IF(AB25=1,"Abgekündigt ohne Nachfolger: sofort Endbevorratung (Last-Time-Buy) und Ersatzlösung planen","Abgekündigt ohne Nachfolger: Lagerteil sichern, Ersatzlösung (Retrofit) planen"),IF(Z25=1,"Nicht beschaffbar: Lagerteil schützen, Ersatzlösung mittelfristig planen",IF(AB25=1,IF(LEFT(S25,4)="nein","Bevorratung lohnt nicht – Lieferzeit und Reparaturweg absichern","Lagerbestand anlegen (mind. 1 Stk.)"),"Reparaturmöglichkeit klären"))))))))</f>
        <v/>
      </c>
      <c r="P25" s="31" t="n"/>
      <c r="Q25" s="27" t="n"/>
      <c r="R25" s="32">
        <f>IF(OR(AG25="",Y25="",AB25=0),"",AG25*INDEX(Krit_Kosten,MATCH(F25,Krit_Liste,0)))</f>
        <v/>
      </c>
      <c r="S25" s="33">
        <f>IF(N25="","",IF(N25="grün","–",IF(AB25=0,"am Lager / in stock",IF(N(P25)&lt;=0,"Stückpreis fehlt",IF(R25&gt;=Faktor_lohnt*P25,"ja – "&amp;FIXED(R25/P25,0)&amp;"-fach","nein – "&amp;FIXED(R25/P25,IF(R25/P25&lt;1,2,1))&amp;"-fach")))))</f>
        <v/>
      </c>
      <c r="T25" s="25" t="n"/>
      <c r="U25" s="34" t="n"/>
      <c r="V25" s="27" t="n"/>
      <c r="W25" s="25" t="n"/>
      <c r="X25" s="2" t="n"/>
      <c r="Y25" s="35">
        <f>IFERROR(INDEX(Krit_Faktor,MATCH(F25,Krit_Liste,0)),"")</f>
        <v/>
      </c>
      <c r="Z25" s="35">
        <f>IF(OR(I25="nein",I25="no"),1,0)</f>
        <v/>
      </c>
      <c r="AA25" s="35">
        <f>IF(OR(J25="nein",J25="no"),1,0)</f>
        <v/>
      </c>
      <c r="AB25" s="35">
        <f>IF(OR(K25="nein",K25="no"),1,0)</f>
        <v/>
      </c>
      <c r="AC25" s="35">
        <f>IF(OR(G25="ja",G25="yes"),1,0)</f>
        <v/>
      </c>
      <c r="AD25" s="35">
        <f>IF(AND(AC25=1,OR(H25="ja",H25="yes")),1,0)</f>
        <v/>
      </c>
      <c r="AE25" s="35">
        <f>IF(AC25=1,IF(AD25=1,Pkt_Abk_mit,Pkt_Abk_ohne),0)</f>
        <v/>
      </c>
      <c r="AF25" s="35">
        <f>(G25&lt;&gt;"")+(I25&lt;&gt;"")+(J25&lt;&gt;"")+(K25&lt;&gt;"")</f>
        <v/>
      </c>
      <c r="AG25" s="35">
        <f>IF(Q25&lt;&gt;"",Q25,IF(AF25&lt;4,"",IF(Z25=1,Tage_nicht_beschaffbar,Tage_beschaffbar)))</f>
        <v/>
      </c>
      <c r="AH25" s="35">
        <f>IF(M25="","",M25*1000+Y25*10+(1000-ROW())/100000)</f>
        <v/>
      </c>
    </row>
    <row r="26" ht="34" customHeight="1">
      <c r="A26" s="23">
        <f>IF(B26="","",COUNTA($B$9:B26))</f>
        <v/>
      </c>
      <c r="B26" s="24" t="n"/>
      <c r="C26" s="25" t="n"/>
      <c r="D26" s="25" t="n"/>
      <c r="E26" s="25" t="n"/>
      <c r="F26" s="26" t="n"/>
      <c r="G26" s="26" t="n"/>
      <c r="H26" s="27" t="n"/>
      <c r="I26" s="26" t="n"/>
      <c r="J26" s="26" t="n"/>
      <c r="K26" s="26" t="n"/>
      <c r="L26" s="23">
        <f>IF(AF26&lt;4,"",Z26+AA26+AB26+AE26)</f>
        <v/>
      </c>
      <c r="M26" s="28">
        <f>IF(OR(L26="",Y26=""),"",Y26*L26)</f>
        <v/>
      </c>
      <c r="N26" s="29">
        <f>IF(M26="","",IF(M26&lt;=Gruen_bis,"grün",IF(M26&lt;=Gelb_bis,"gelb","rot")))</f>
        <v/>
      </c>
      <c r="O26" s="30">
        <f>IF(N26="",IF(B26="","","Bewertung unvollständig – ★-Felder ausfüllen"),IF(N26="grün",IF(AC26=1,IF(AD26=1,"Abgekündigt, Nachfolger vorhanden: Umstieg bei nächster Gelegenheit planen","Abgekündigt: Endbevorratung (Last-Time-Buy) prüfen, Ersatzlösung planen"),"Keine aktive Maßnahme – jährlich prüfen"),IF(AND(Z26=1,AA26=1,AB26=1),"Sofort sichern: Restbestand / Gebrauchtteil kaufen und Ersatzlösung (Retrofit) planen",IF(AND(Z26=1,AB26=1),"Reparaturweg absichern (Dienstleister, Tauschteil), Gebrauchtteil prüfen",IF(AD26=1,"Auf Nachfolgeprodukt umstellen: Kompatibilität prüfen, Umstieg planen",IF(AC26=1,IF(AB26=1,"Abgekündigt ohne Nachfolger: sofort Endbevorratung (Last-Time-Buy) und Ersatzlösung planen","Abgekündigt ohne Nachfolger: Lagerteil sichern, Ersatzlösung (Retrofit) planen"),IF(Z26=1,"Nicht beschaffbar: Lagerteil schützen, Ersatzlösung mittelfristig planen",IF(AB26=1,IF(LEFT(S26,4)="nein","Bevorratung lohnt nicht – Lieferzeit und Reparaturweg absichern","Lagerbestand anlegen (mind. 1 Stk.)"),"Reparaturmöglichkeit klären"))))))))</f>
        <v/>
      </c>
      <c r="P26" s="31" t="n"/>
      <c r="Q26" s="27" t="n"/>
      <c r="R26" s="32">
        <f>IF(OR(AG26="",Y26="",AB26=0),"",AG26*INDEX(Krit_Kosten,MATCH(F26,Krit_Liste,0)))</f>
        <v/>
      </c>
      <c r="S26" s="33">
        <f>IF(N26="","",IF(N26="grün","–",IF(AB26=0,"am Lager / in stock",IF(N(P26)&lt;=0,"Stückpreis fehlt",IF(R26&gt;=Faktor_lohnt*P26,"ja – "&amp;FIXED(R26/P26,0)&amp;"-fach","nein – "&amp;FIXED(R26/P26,IF(R26/P26&lt;1,2,1))&amp;"-fach")))))</f>
        <v/>
      </c>
      <c r="T26" s="25" t="n"/>
      <c r="U26" s="34" t="n"/>
      <c r="V26" s="27" t="n"/>
      <c r="W26" s="25" t="n"/>
      <c r="X26" s="2" t="n"/>
      <c r="Y26" s="35">
        <f>IFERROR(INDEX(Krit_Faktor,MATCH(F26,Krit_Liste,0)),"")</f>
        <v/>
      </c>
      <c r="Z26" s="35">
        <f>IF(OR(I26="nein",I26="no"),1,0)</f>
        <v/>
      </c>
      <c r="AA26" s="35">
        <f>IF(OR(J26="nein",J26="no"),1,0)</f>
        <v/>
      </c>
      <c r="AB26" s="35">
        <f>IF(OR(K26="nein",K26="no"),1,0)</f>
        <v/>
      </c>
      <c r="AC26" s="35">
        <f>IF(OR(G26="ja",G26="yes"),1,0)</f>
        <v/>
      </c>
      <c r="AD26" s="35">
        <f>IF(AND(AC26=1,OR(H26="ja",H26="yes")),1,0)</f>
        <v/>
      </c>
      <c r="AE26" s="35">
        <f>IF(AC26=1,IF(AD26=1,Pkt_Abk_mit,Pkt_Abk_ohne),0)</f>
        <v/>
      </c>
      <c r="AF26" s="35">
        <f>(G26&lt;&gt;"")+(I26&lt;&gt;"")+(J26&lt;&gt;"")+(K26&lt;&gt;"")</f>
        <v/>
      </c>
      <c r="AG26" s="35">
        <f>IF(Q26&lt;&gt;"",Q26,IF(AF26&lt;4,"",IF(Z26=1,Tage_nicht_beschaffbar,Tage_beschaffbar)))</f>
        <v/>
      </c>
      <c r="AH26" s="35">
        <f>IF(M26="","",M26*1000+Y26*10+(1000-ROW())/100000)</f>
        <v/>
      </c>
    </row>
    <row r="27" ht="34" customHeight="1">
      <c r="A27" s="23">
        <f>IF(B27="","",COUNTA($B$9:B27))</f>
        <v/>
      </c>
      <c r="B27" s="24" t="n"/>
      <c r="C27" s="25" t="n"/>
      <c r="D27" s="25" t="n"/>
      <c r="E27" s="25" t="n"/>
      <c r="F27" s="26" t="n"/>
      <c r="G27" s="26" t="n"/>
      <c r="H27" s="27" t="n"/>
      <c r="I27" s="26" t="n"/>
      <c r="J27" s="26" t="n"/>
      <c r="K27" s="26" t="n"/>
      <c r="L27" s="23">
        <f>IF(AF27&lt;4,"",Z27+AA27+AB27+AE27)</f>
        <v/>
      </c>
      <c r="M27" s="28">
        <f>IF(OR(L27="",Y27=""),"",Y27*L27)</f>
        <v/>
      </c>
      <c r="N27" s="29">
        <f>IF(M27="","",IF(M27&lt;=Gruen_bis,"grün",IF(M27&lt;=Gelb_bis,"gelb","rot")))</f>
        <v/>
      </c>
      <c r="O27" s="30">
        <f>IF(N27="",IF(B27="","","Bewertung unvollständig – ★-Felder ausfüllen"),IF(N27="grün",IF(AC27=1,IF(AD27=1,"Abgekündigt, Nachfolger vorhanden: Umstieg bei nächster Gelegenheit planen","Abgekündigt: Endbevorratung (Last-Time-Buy) prüfen, Ersatzlösung planen"),"Keine aktive Maßnahme – jährlich prüfen"),IF(AND(Z27=1,AA27=1,AB27=1),"Sofort sichern: Restbestand / Gebrauchtteil kaufen und Ersatzlösung (Retrofit) planen",IF(AND(Z27=1,AB27=1),"Reparaturweg absichern (Dienstleister, Tauschteil), Gebrauchtteil prüfen",IF(AD27=1,"Auf Nachfolgeprodukt umstellen: Kompatibilität prüfen, Umstieg planen",IF(AC27=1,IF(AB27=1,"Abgekündigt ohne Nachfolger: sofort Endbevorratung (Last-Time-Buy) und Ersatzlösung planen","Abgekündigt ohne Nachfolger: Lagerteil sichern, Ersatzlösung (Retrofit) planen"),IF(Z27=1,"Nicht beschaffbar: Lagerteil schützen, Ersatzlösung mittelfristig planen",IF(AB27=1,IF(LEFT(S27,4)="nein","Bevorratung lohnt nicht – Lieferzeit und Reparaturweg absichern","Lagerbestand anlegen (mind. 1 Stk.)"),"Reparaturmöglichkeit klären"))))))))</f>
        <v/>
      </c>
      <c r="P27" s="31" t="n"/>
      <c r="Q27" s="27" t="n"/>
      <c r="R27" s="32">
        <f>IF(OR(AG27="",Y27="",AB27=0),"",AG27*INDEX(Krit_Kosten,MATCH(F27,Krit_Liste,0)))</f>
        <v/>
      </c>
      <c r="S27" s="33">
        <f>IF(N27="","",IF(N27="grün","–",IF(AB27=0,"am Lager / in stock",IF(N(P27)&lt;=0,"Stückpreis fehlt",IF(R27&gt;=Faktor_lohnt*P27,"ja – "&amp;FIXED(R27/P27,0)&amp;"-fach","nein – "&amp;FIXED(R27/P27,IF(R27/P27&lt;1,2,1))&amp;"-fach")))))</f>
        <v/>
      </c>
      <c r="T27" s="25" t="n"/>
      <c r="U27" s="34" t="n"/>
      <c r="V27" s="27" t="n"/>
      <c r="W27" s="25" t="n"/>
      <c r="X27" s="2" t="n"/>
      <c r="Y27" s="35">
        <f>IFERROR(INDEX(Krit_Faktor,MATCH(F27,Krit_Liste,0)),"")</f>
        <v/>
      </c>
      <c r="Z27" s="35">
        <f>IF(OR(I27="nein",I27="no"),1,0)</f>
        <v/>
      </c>
      <c r="AA27" s="35">
        <f>IF(OR(J27="nein",J27="no"),1,0)</f>
        <v/>
      </c>
      <c r="AB27" s="35">
        <f>IF(OR(K27="nein",K27="no"),1,0)</f>
        <v/>
      </c>
      <c r="AC27" s="35">
        <f>IF(OR(G27="ja",G27="yes"),1,0)</f>
        <v/>
      </c>
      <c r="AD27" s="35">
        <f>IF(AND(AC27=1,OR(H27="ja",H27="yes")),1,0)</f>
        <v/>
      </c>
      <c r="AE27" s="35">
        <f>IF(AC27=1,IF(AD27=1,Pkt_Abk_mit,Pkt_Abk_ohne),0)</f>
        <v/>
      </c>
      <c r="AF27" s="35">
        <f>(G27&lt;&gt;"")+(I27&lt;&gt;"")+(J27&lt;&gt;"")+(K27&lt;&gt;"")</f>
        <v/>
      </c>
      <c r="AG27" s="35">
        <f>IF(Q27&lt;&gt;"",Q27,IF(AF27&lt;4,"",IF(Z27=1,Tage_nicht_beschaffbar,Tage_beschaffbar)))</f>
        <v/>
      </c>
      <c r="AH27" s="35">
        <f>IF(M27="","",M27*1000+Y27*10+(1000-ROW())/100000)</f>
        <v/>
      </c>
    </row>
    <row r="28" ht="34" customHeight="1">
      <c r="A28" s="23">
        <f>IF(B28="","",COUNTA($B$9:B28))</f>
        <v/>
      </c>
      <c r="B28" s="24" t="n"/>
      <c r="C28" s="25" t="n"/>
      <c r="D28" s="25" t="n"/>
      <c r="E28" s="25" t="n"/>
      <c r="F28" s="26" t="n"/>
      <c r="G28" s="26" t="n"/>
      <c r="H28" s="27" t="n"/>
      <c r="I28" s="26" t="n"/>
      <c r="J28" s="26" t="n"/>
      <c r="K28" s="26" t="n"/>
      <c r="L28" s="23">
        <f>IF(AF28&lt;4,"",Z28+AA28+AB28+AE28)</f>
        <v/>
      </c>
      <c r="M28" s="28">
        <f>IF(OR(L28="",Y28=""),"",Y28*L28)</f>
        <v/>
      </c>
      <c r="N28" s="29">
        <f>IF(M28="","",IF(M28&lt;=Gruen_bis,"grün",IF(M28&lt;=Gelb_bis,"gelb","rot")))</f>
        <v/>
      </c>
      <c r="O28" s="30">
        <f>IF(N28="",IF(B28="","","Bewertung unvollständig – ★-Felder ausfüllen"),IF(N28="grün",IF(AC28=1,IF(AD28=1,"Abgekündigt, Nachfolger vorhanden: Umstieg bei nächster Gelegenheit planen","Abgekündigt: Endbevorratung (Last-Time-Buy) prüfen, Ersatzlösung planen"),"Keine aktive Maßnahme – jährlich prüfen"),IF(AND(Z28=1,AA28=1,AB28=1),"Sofort sichern: Restbestand / Gebrauchtteil kaufen und Ersatzlösung (Retrofit) planen",IF(AND(Z28=1,AB28=1),"Reparaturweg absichern (Dienstleister, Tauschteil), Gebrauchtteil prüfen",IF(AD28=1,"Auf Nachfolgeprodukt umstellen: Kompatibilität prüfen, Umstieg planen",IF(AC28=1,IF(AB28=1,"Abgekündigt ohne Nachfolger: sofort Endbevorratung (Last-Time-Buy) und Ersatzlösung planen","Abgekündigt ohne Nachfolger: Lagerteil sichern, Ersatzlösung (Retrofit) planen"),IF(Z28=1,"Nicht beschaffbar: Lagerteil schützen, Ersatzlösung mittelfristig planen",IF(AB28=1,IF(LEFT(S28,4)="nein","Bevorratung lohnt nicht – Lieferzeit und Reparaturweg absichern","Lagerbestand anlegen (mind. 1 Stk.)"),"Reparaturmöglichkeit klären"))))))))</f>
        <v/>
      </c>
      <c r="P28" s="31" t="n"/>
      <c r="Q28" s="27" t="n"/>
      <c r="R28" s="32">
        <f>IF(OR(AG28="",Y28="",AB28=0),"",AG28*INDEX(Krit_Kosten,MATCH(F28,Krit_Liste,0)))</f>
        <v/>
      </c>
      <c r="S28" s="33">
        <f>IF(N28="","",IF(N28="grün","–",IF(AB28=0,"am Lager / in stock",IF(N(P28)&lt;=0,"Stückpreis fehlt",IF(R28&gt;=Faktor_lohnt*P28,"ja – "&amp;FIXED(R28/P28,0)&amp;"-fach","nein – "&amp;FIXED(R28/P28,IF(R28/P28&lt;1,2,1))&amp;"-fach")))))</f>
        <v/>
      </c>
      <c r="T28" s="25" t="n"/>
      <c r="U28" s="34" t="n"/>
      <c r="V28" s="27" t="n"/>
      <c r="W28" s="25" t="n"/>
      <c r="X28" s="2" t="n"/>
      <c r="Y28" s="35">
        <f>IFERROR(INDEX(Krit_Faktor,MATCH(F28,Krit_Liste,0)),"")</f>
        <v/>
      </c>
      <c r="Z28" s="35">
        <f>IF(OR(I28="nein",I28="no"),1,0)</f>
        <v/>
      </c>
      <c r="AA28" s="35">
        <f>IF(OR(J28="nein",J28="no"),1,0)</f>
        <v/>
      </c>
      <c r="AB28" s="35">
        <f>IF(OR(K28="nein",K28="no"),1,0)</f>
        <v/>
      </c>
      <c r="AC28" s="35">
        <f>IF(OR(G28="ja",G28="yes"),1,0)</f>
        <v/>
      </c>
      <c r="AD28" s="35">
        <f>IF(AND(AC28=1,OR(H28="ja",H28="yes")),1,0)</f>
        <v/>
      </c>
      <c r="AE28" s="35">
        <f>IF(AC28=1,IF(AD28=1,Pkt_Abk_mit,Pkt_Abk_ohne),0)</f>
        <v/>
      </c>
      <c r="AF28" s="35">
        <f>(G28&lt;&gt;"")+(I28&lt;&gt;"")+(J28&lt;&gt;"")+(K28&lt;&gt;"")</f>
        <v/>
      </c>
      <c r="AG28" s="35">
        <f>IF(Q28&lt;&gt;"",Q28,IF(AF28&lt;4,"",IF(Z28=1,Tage_nicht_beschaffbar,Tage_beschaffbar)))</f>
        <v/>
      </c>
      <c r="AH28" s="35">
        <f>IF(M28="","",M28*1000+Y28*10+(1000-ROW())/100000)</f>
        <v/>
      </c>
    </row>
    <row r="29" ht="34" customHeight="1">
      <c r="A29" s="23">
        <f>IF(B29="","",COUNTA($B$9:B29))</f>
        <v/>
      </c>
      <c r="B29" s="24" t="n"/>
      <c r="C29" s="25" t="n"/>
      <c r="D29" s="25" t="n"/>
      <c r="E29" s="25" t="n"/>
      <c r="F29" s="26" t="n"/>
      <c r="G29" s="26" t="n"/>
      <c r="H29" s="27" t="n"/>
      <c r="I29" s="26" t="n"/>
      <c r="J29" s="26" t="n"/>
      <c r="K29" s="26" t="n"/>
      <c r="L29" s="23">
        <f>IF(AF29&lt;4,"",Z29+AA29+AB29+AE29)</f>
        <v/>
      </c>
      <c r="M29" s="28">
        <f>IF(OR(L29="",Y29=""),"",Y29*L29)</f>
        <v/>
      </c>
      <c r="N29" s="29">
        <f>IF(M29="","",IF(M29&lt;=Gruen_bis,"grün",IF(M29&lt;=Gelb_bis,"gelb","rot")))</f>
        <v/>
      </c>
      <c r="O29" s="30">
        <f>IF(N29="",IF(B29="","","Bewertung unvollständig – ★-Felder ausfüllen"),IF(N29="grün",IF(AC29=1,IF(AD29=1,"Abgekündigt, Nachfolger vorhanden: Umstieg bei nächster Gelegenheit planen","Abgekündigt: Endbevorratung (Last-Time-Buy) prüfen, Ersatzlösung planen"),"Keine aktive Maßnahme – jährlich prüfen"),IF(AND(Z29=1,AA29=1,AB29=1),"Sofort sichern: Restbestand / Gebrauchtteil kaufen und Ersatzlösung (Retrofit) planen",IF(AND(Z29=1,AB29=1),"Reparaturweg absichern (Dienstleister, Tauschteil), Gebrauchtteil prüfen",IF(AD29=1,"Auf Nachfolgeprodukt umstellen: Kompatibilität prüfen, Umstieg planen",IF(AC29=1,IF(AB29=1,"Abgekündigt ohne Nachfolger: sofort Endbevorratung (Last-Time-Buy) und Ersatzlösung planen","Abgekündigt ohne Nachfolger: Lagerteil sichern, Ersatzlösung (Retrofit) planen"),IF(Z29=1,"Nicht beschaffbar: Lagerteil schützen, Ersatzlösung mittelfristig planen",IF(AB29=1,IF(LEFT(S29,4)="nein","Bevorratung lohnt nicht – Lieferzeit und Reparaturweg absichern","Lagerbestand anlegen (mind. 1 Stk.)"),"Reparaturmöglichkeit klären"))))))))</f>
        <v/>
      </c>
      <c r="P29" s="31" t="n"/>
      <c r="Q29" s="27" t="n"/>
      <c r="R29" s="32">
        <f>IF(OR(AG29="",Y29="",AB29=0),"",AG29*INDEX(Krit_Kosten,MATCH(F29,Krit_Liste,0)))</f>
        <v/>
      </c>
      <c r="S29" s="33">
        <f>IF(N29="","",IF(N29="grün","–",IF(AB29=0,"am Lager / in stock",IF(N(P29)&lt;=0,"Stückpreis fehlt",IF(R29&gt;=Faktor_lohnt*P29,"ja – "&amp;FIXED(R29/P29,0)&amp;"-fach","nein – "&amp;FIXED(R29/P29,IF(R29/P29&lt;1,2,1))&amp;"-fach")))))</f>
        <v/>
      </c>
      <c r="T29" s="25" t="n"/>
      <c r="U29" s="34" t="n"/>
      <c r="V29" s="27" t="n"/>
      <c r="W29" s="25" t="n"/>
      <c r="X29" s="2" t="n"/>
      <c r="Y29" s="35">
        <f>IFERROR(INDEX(Krit_Faktor,MATCH(F29,Krit_Liste,0)),"")</f>
        <v/>
      </c>
      <c r="Z29" s="35">
        <f>IF(OR(I29="nein",I29="no"),1,0)</f>
        <v/>
      </c>
      <c r="AA29" s="35">
        <f>IF(OR(J29="nein",J29="no"),1,0)</f>
        <v/>
      </c>
      <c r="AB29" s="35">
        <f>IF(OR(K29="nein",K29="no"),1,0)</f>
        <v/>
      </c>
      <c r="AC29" s="35">
        <f>IF(OR(G29="ja",G29="yes"),1,0)</f>
        <v/>
      </c>
      <c r="AD29" s="35">
        <f>IF(AND(AC29=1,OR(H29="ja",H29="yes")),1,0)</f>
        <v/>
      </c>
      <c r="AE29" s="35">
        <f>IF(AC29=1,IF(AD29=1,Pkt_Abk_mit,Pkt_Abk_ohne),0)</f>
        <v/>
      </c>
      <c r="AF29" s="35">
        <f>(G29&lt;&gt;"")+(I29&lt;&gt;"")+(J29&lt;&gt;"")+(K29&lt;&gt;"")</f>
        <v/>
      </c>
      <c r="AG29" s="35">
        <f>IF(Q29&lt;&gt;"",Q29,IF(AF29&lt;4,"",IF(Z29=1,Tage_nicht_beschaffbar,Tage_beschaffbar)))</f>
        <v/>
      </c>
      <c r="AH29" s="35">
        <f>IF(M29="","",M29*1000+Y29*10+(1000-ROW())/100000)</f>
        <v/>
      </c>
    </row>
    <row r="30" ht="34" customHeight="1">
      <c r="A30" s="23">
        <f>IF(B30="","",COUNTA($B$9:B30))</f>
        <v/>
      </c>
      <c r="B30" s="24" t="n"/>
      <c r="C30" s="25" t="n"/>
      <c r="D30" s="25" t="n"/>
      <c r="E30" s="25" t="n"/>
      <c r="F30" s="26" t="n"/>
      <c r="G30" s="26" t="n"/>
      <c r="H30" s="27" t="n"/>
      <c r="I30" s="26" t="n"/>
      <c r="J30" s="26" t="n"/>
      <c r="K30" s="26" t="n"/>
      <c r="L30" s="23">
        <f>IF(AF30&lt;4,"",Z30+AA30+AB30+AE30)</f>
        <v/>
      </c>
      <c r="M30" s="28">
        <f>IF(OR(L30="",Y30=""),"",Y30*L30)</f>
        <v/>
      </c>
      <c r="N30" s="29">
        <f>IF(M30="","",IF(M30&lt;=Gruen_bis,"grün",IF(M30&lt;=Gelb_bis,"gelb","rot")))</f>
        <v/>
      </c>
      <c r="O30" s="30">
        <f>IF(N30="",IF(B30="","","Bewertung unvollständig – ★-Felder ausfüllen"),IF(N30="grün",IF(AC30=1,IF(AD30=1,"Abgekündigt, Nachfolger vorhanden: Umstieg bei nächster Gelegenheit planen","Abgekündigt: Endbevorratung (Last-Time-Buy) prüfen, Ersatzlösung planen"),"Keine aktive Maßnahme – jährlich prüfen"),IF(AND(Z30=1,AA30=1,AB30=1),"Sofort sichern: Restbestand / Gebrauchtteil kaufen und Ersatzlösung (Retrofit) planen",IF(AND(Z30=1,AB30=1),"Reparaturweg absichern (Dienstleister, Tauschteil), Gebrauchtteil prüfen",IF(AD30=1,"Auf Nachfolgeprodukt umstellen: Kompatibilität prüfen, Umstieg planen",IF(AC30=1,IF(AB30=1,"Abgekündigt ohne Nachfolger: sofort Endbevorratung (Last-Time-Buy) und Ersatzlösung planen","Abgekündigt ohne Nachfolger: Lagerteil sichern, Ersatzlösung (Retrofit) planen"),IF(Z30=1,"Nicht beschaffbar: Lagerteil schützen, Ersatzlösung mittelfristig planen",IF(AB30=1,IF(LEFT(S30,4)="nein","Bevorratung lohnt nicht – Lieferzeit und Reparaturweg absichern","Lagerbestand anlegen (mind. 1 Stk.)"),"Reparaturmöglichkeit klären"))))))))</f>
        <v/>
      </c>
      <c r="P30" s="31" t="n"/>
      <c r="Q30" s="27" t="n"/>
      <c r="R30" s="32">
        <f>IF(OR(AG30="",Y30="",AB30=0),"",AG30*INDEX(Krit_Kosten,MATCH(F30,Krit_Liste,0)))</f>
        <v/>
      </c>
      <c r="S30" s="33">
        <f>IF(N30="","",IF(N30="grün","–",IF(AB30=0,"am Lager / in stock",IF(N(P30)&lt;=0,"Stückpreis fehlt",IF(R30&gt;=Faktor_lohnt*P30,"ja – "&amp;FIXED(R30/P30,0)&amp;"-fach","nein – "&amp;FIXED(R30/P30,IF(R30/P30&lt;1,2,1))&amp;"-fach")))))</f>
        <v/>
      </c>
      <c r="T30" s="25" t="n"/>
      <c r="U30" s="34" t="n"/>
      <c r="V30" s="27" t="n"/>
      <c r="W30" s="25" t="n"/>
      <c r="X30" s="2" t="n"/>
      <c r="Y30" s="35">
        <f>IFERROR(INDEX(Krit_Faktor,MATCH(F30,Krit_Liste,0)),"")</f>
        <v/>
      </c>
      <c r="Z30" s="35">
        <f>IF(OR(I30="nein",I30="no"),1,0)</f>
        <v/>
      </c>
      <c r="AA30" s="35">
        <f>IF(OR(J30="nein",J30="no"),1,0)</f>
        <v/>
      </c>
      <c r="AB30" s="35">
        <f>IF(OR(K30="nein",K30="no"),1,0)</f>
        <v/>
      </c>
      <c r="AC30" s="35">
        <f>IF(OR(G30="ja",G30="yes"),1,0)</f>
        <v/>
      </c>
      <c r="AD30" s="35">
        <f>IF(AND(AC30=1,OR(H30="ja",H30="yes")),1,0)</f>
        <v/>
      </c>
      <c r="AE30" s="35">
        <f>IF(AC30=1,IF(AD30=1,Pkt_Abk_mit,Pkt_Abk_ohne),0)</f>
        <v/>
      </c>
      <c r="AF30" s="35">
        <f>(G30&lt;&gt;"")+(I30&lt;&gt;"")+(J30&lt;&gt;"")+(K30&lt;&gt;"")</f>
        <v/>
      </c>
      <c r="AG30" s="35">
        <f>IF(Q30&lt;&gt;"",Q30,IF(AF30&lt;4,"",IF(Z30=1,Tage_nicht_beschaffbar,Tage_beschaffbar)))</f>
        <v/>
      </c>
      <c r="AH30" s="35">
        <f>IF(M30="","",M30*1000+Y30*10+(1000-ROW())/100000)</f>
        <v/>
      </c>
    </row>
    <row r="31" ht="34" customHeight="1">
      <c r="A31" s="23">
        <f>IF(B31="","",COUNTA($B$9:B31))</f>
        <v/>
      </c>
      <c r="B31" s="24" t="n"/>
      <c r="C31" s="25" t="n"/>
      <c r="D31" s="25" t="n"/>
      <c r="E31" s="25" t="n"/>
      <c r="F31" s="26" t="n"/>
      <c r="G31" s="26" t="n"/>
      <c r="H31" s="27" t="n"/>
      <c r="I31" s="26" t="n"/>
      <c r="J31" s="26" t="n"/>
      <c r="K31" s="26" t="n"/>
      <c r="L31" s="23">
        <f>IF(AF31&lt;4,"",Z31+AA31+AB31+AE31)</f>
        <v/>
      </c>
      <c r="M31" s="28">
        <f>IF(OR(L31="",Y31=""),"",Y31*L31)</f>
        <v/>
      </c>
      <c r="N31" s="29">
        <f>IF(M31="","",IF(M31&lt;=Gruen_bis,"grün",IF(M31&lt;=Gelb_bis,"gelb","rot")))</f>
        <v/>
      </c>
      <c r="O31" s="30">
        <f>IF(N31="",IF(B31="","","Bewertung unvollständig – ★-Felder ausfüllen"),IF(N31="grün",IF(AC31=1,IF(AD31=1,"Abgekündigt, Nachfolger vorhanden: Umstieg bei nächster Gelegenheit planen","Abgekündigt: Endbevorratung (Last-Time-Buy) prüfen, Ersatzlösung planen"),"Keine aktive Maßnahme – jährlich prüfen"),IF(AND(Z31=1,AA31=1,AB31=1),"Sofort sichern: Restbestand / Gebrauchtteil kaufen und Ersatzlösung (Retrofit) planen",IF(AND(Z31=1,AB31=1),"Reparaturweg absichern (Dienstleister, Tauschteil), Gebrauchtteil prüfen",IF(AD31=1,"Auf Nachfolgeprodukt umstellen: Kompatibilität prüfen, Umstieg planen",IF(AC31=1,IF(AB31=1,"Abgekündigt ohne Nachfolger: sofort Endbevorratung (Last-Time-Buy) und Ersatzlösung planen","Abgekündigt ohne Nachfolger: Lagerteil sichern, Ersatzlösung (Retrofit) planen"),IF(Z31=1,"Nicht beschaffbar: Lagerteil schützen, Ersatzlösung mittelfristig planen",IF(AB31=1,IF(LEFT(S31,4)="nein","Bevorratung lohnt nicht – Lieferzeit und Reparaturweg absichern","Lagerbestand anlegen (mind. 1 Stk.)"),"Reparaturmöglichkeit klären"))))))))</f>
        <v/>
      </c>
      <c r="P31" s="31" t="n"/>
      <c r="Q31" s="27" t="n"/>
      <c r="R31" s="32">
        <f>IF(OR(AG31="",Y31="",AB31=0),"",AG31*INDEX(Krit_Kosten,MATCH(F31,Krit_Liste,0)))</f>
        <v/>
      </c>
      <c r="S31" s="33">
        <f>IF(N31="","",IF(N31="grün","–",IF(AB31=0,"am Lager / in stock",IF(N(P31)&lt;=0,"Stückpreis fehlt",IF(R31&gt;=Faktor_lohnt*P31,"ja – "&amp;FIXED(R31/P31,0)&amp;"-fach","nein – "&amp;FIXED(R31/P31,IF(R31/P31&lt;1,2,1))&amp;"-fach")))))</f>
        <v/>
      </c>
      <c r="T31" s="25" t="n"/>
      <c r="U31" s="34" t="n"/>
      <c r="V31" s="27" t="n"/>
      <c r="W31" s="25" t="n"/>
      <c r="X31" s="2" t="n"/>
      <c r="Y31" s="35">
        <f>IFERROR(INDEX(Krit_Faktor,MATCH(F31,Krit_Liste,0)),"")</f>
        <v/>
      </c>
      <c r="Z31" s="35">
        <f>IF(OR(I31="nein",I31="no"),1,0)</f>
        <v/>
      </c>
      <c r="AA31" s="35">
        <f>IF(OR(J31="nein",J31="no"),1,0)</f>
        <v/>
      </c>
      <c r="AB31" s="35">
        <f>IF(OR(K31="nein",K31="no"),1,0)</f>
        <v/>
      </c>
      <c r="AC31" s="35">
        <f>IF(OR(G31="ja",G31="yes"),1,0)</f>
        <v/>
      </c>
      <c r="AD31" s="35">
        <f>IF(AND(AC31=1,OR(H31="ja",H31="yes")),1,0)</f>
        <v/>
      </c>
      <c r="AE31" s="35">
        <f>IF(AC31=1,IF(AD31=1,Pkt_Abk_mit,Pkt_Abk_ohne),0)</f>
        <v/>
      </c>
      <c r="AF31" s="35">
        <f>(G31&lt;&gt;"")+(I31&lt;&gt;"")+(J31&lt;&gt;"")+(K31&lt;&gt;"")</f>
        <v/>
      </c>
      <c r="AG31" s="35">
        <f>IF(Q31&lt;&gt;"",Q31,IF(AF31&lt;4,"",IF(Z31=1,Tage_nicht_beschaffbar,Tage_beschaffbar)))</f>
        <v/>
      </c>
      <c r="AH31" s="35">
        <f>IF(M31="","",M31*1000+Y31*10+(1000-ROW())/100000)</f>
        <v/>
      </c>
    </row>
    <row r="32" ht="34" customHeight="1">
      <c r="A32" s="23">
        <f>IF(B32="","",COUNTA($B$9:B32))</f>
        <v/>
      </c>
      <c r="B32" s="24" t="n"/>
      <c r="C32" s="25" t="n"/>
      <c r="D32" s="25" t="n"/>
      <c r="E32" s="25" t="n"/>
      <c r="F32" s="26" t="n"/>
      <c r="G32" s="26" t="n"/>
      <c r="H32" s="27" t="n"/>
      <c r="I32" s="26" t="n"/>
      <c r="J32" s="26" t="n"/>
      <c r="K32" s="26" t="n"/>
      <c r="L32" s="23">
        <f>IF(AF32&lt;4,"",Z32+AA32+AB32+AE32)</f>
        <v/>
      </c>
      <c r="M32" s="28">
        <f>IF(OR(L32="",Y32=""),"",Y32*L32)</f>
        <v/>
      </c>
      <c r="N32" s="29">
        <f>IF(M32="","",IF(M32&lt;=Gruen_bis,"grün",IF(M32&lt;=Gelb_bis,"gelb","rot")))</f>
        <v/>
      </c>
      <c r="O32" s="30">
        <f>IF(N32="",IF(B32="","","Bewertung unvollständig – ★-Felder ausfüllen"),IF(N32="grün",IF(AC32=1,IF(AD32=1,"Abgekündigt, Nachfolger vorhanden: Umstieg bei nächster Gelegenheit planen","Abgekündigt: Endbevorratung (Last-Time-Buy) prüfen, Ersatzlösung planen"),"Keine aktive Maßnahme – jährlich prüfen"),IF(AND(Z32=1,AA32=1,AB32=1),"Sofort sichern: Restbestand / Gebrauchtteil kaufen und Ersatzlösung (Retrofit) planen",IF(AND(Z32=1,AB32=1),"Reparaturweg absichern (Dienstleister, Tauschteil), Gebrauchtteil prüfen",IF(AD32=1,"Auf Nachfolgeprodukt umstellen: Kompatibilität prüfen, Umstieg planen",IF(AC32=1,IF(AB32=1,"Abgekündigt ohne Nachfolger: sofort Endbevorratung (Last-Time-Buy) und Ersatzlösung planen","Abgekündigt ohne Nachfolger: Lagerteil sichern, Ersatzlösung (Retrofit) planen"),IF(Z32=1,"Nicht beschaffbar: Lagerteil schützen, Ersatzlösung mittelfristig planen",IF(AB32=1,IF(LEFT(S32,4)="nein","Bevorratung lohnt nicht – Lieferzeit und Reparaturweg absichern","Lagerbestand anlegen (mind. 1 Stk.)"),"Reparaturmöglichkeit klären"))))))))</f>
        <v/>
      </c>
      <c r="P32" s="31" t="n"/>
      <c r="Q32" s="27" t="n"/>
      <c r="R32" s="32">
        <f>IF(OR(AG32="",Y32="",AB32=0),"",AG32*INDEX(Krit_Kosten,MATCH(F32,Krit_Liste,0)))</f>
        <v/>
      </c>
      <c r="S32" s="33">
        <f>IF(N32="","",IF(N32="grün","–",IF(AB32=0,"am Lager / in stock",IF(N(P32)&lt;=0,"Stückpreis fehlt",IF(R32&gt;=Faktor_lohnt*P32,"ja – "&amp;FIXED(R32/P32,0)&amp;"-fach","nein – "&amp;FIXED(R32/P32,IF(R32/P32&lt;1,2,1))&amp;"-fach")))))</f>
        <v/>
      </c>
      <c r="T32" s="25" t="n"/>
      <c r="U32" s="34" t="n"/>
      <c r="V32" s="27" t="n"/>
      <c r="W32" s="25" t="n"/>
      <c r="X32" s="2" t="n"/>
      <c r="Y32" s="35">
        <f>IFERROR(INDEX(Krit_Faktor,MATCH(F32,Krit_Liste,0)),"")</f>
        <v/>
      </c>
      <c r="Z32" s="35">
        <f>IF(OR(I32="nein",I32="no"),1,0)</f>
        <v/>
      </c>
      <c r="AA32" s="35">
        <f>IF(OR(J32="nein",J32="no"),1,0)</f>
        <v/>
      </c>
      <c r="AB32" s="35">
        <f>IF(OR(K32="nein",K32="no"),1,0)</f>
        <v/>
      </c>
      <c r="AC32" s="35">
        <f>IF(OR(G32="ja",G32="yes"),1,0)</f>
        <v/>
      </c>
      <c r="AD32" s="35">
        <f>IF(AND(AC32=1,OR(H32="ja",H32="yes")),1,0)</f>
        <v/>
      </c>
      <c r="AE32" s="35">
        <f>IF(AC32=1,IF(AD32=1,Pkt_Abk_mit,Pkt_Abk_ohne),0)</f>
        <v/>
      </c>
      <c r="AF32" s="35">
        <f>(G32&lt;&gt;"")+(I32&lt;&gt;"")+(J32&lt;&gt;"")+(K32&lt;&gt;"")</f>
        <v/>
      </c>
      <c r="AG32" s="35">
        <f>IF(Q32&lt;&gt;"",Q32,IF(AF32&lt;4,"",IF(Z32=1,Tage_nicht_beschaffbar,Tage_beschaffbar)))</f>
        <v/>
      </c>
      <c r="AH32" s="35">
        <f>IF(M32="","",M32*1000+Y32*10+(1000-ROW())/100000)</f>
        <v/>
      </c>
    </row>
    <row r="33" ht="34" customHeight="1">
      <c r="A33" s="23">
        <f>IF(B33="","",COUNTA($B$9:B33))</f>
        <v/>
      </c>
      <c r="B33" s="24" t="n"/>
      <c r="C33" s="25" t="n"/>
      <c r="D33" s="25" t="n"/>
      <c r="E33" s="25" t="n"/>
      <c r="F33" s="26" t="n"/>
      <c r="G33" s="26" t="n"/>
      <c r="H33" s="27" t="n"/>
      <c r="I33" s="26" t="n"/>
      <c r="J33" s="26" t="n"/>
      <c r="K33" s="26" t="n"/>
      <c r="L33" s="23">
        <f>IF(AF33&lt;4,"",Z33+AA33+AB33+AE33)</f>
        <v/>
      </c>
      <c r="M33" s="28">
        <f>IF(OR(L33="",Y33=""),"",Y33*L33)</f>
        <v/>
      </c>
      <c r="N33" s="29">
        <f>IF(M33="","",IF(M33&lt;=Gruen_bis,"grün",IF(M33&lt;=Gelb_bis,"gelb","rot")))</f>
        <v/>
      </c>
      <c r="O33" s="30">
        <f>IF(N33="",IF(B33="","","Bewertung unvollständig – ★-Felder ausfüllen"),IF(N33="grün",IF(AC33=1,IF(AD33=1,"Abgekündigt, Nachfolger vorhanden: Umstieg bei nächster Gelegenheit planen","Abgekündigt: Endbevorratung (Last-Time-Buy) prüfen, Ersatzlösung planen"),"Keine aktive Maßnahme – jährlich prüfen"),IF(AND(Z33=1,AA33=1,AB33=1),"Sofort sichern: Restbestand / Gebrauchtteil kaufen und Ersatzlösung (Retrofit) planen",IF(AND(Z33=1,AB33=1),"Reparaturweg absichern (Dienstleister, Tauschteil), Gebrauchtteil prüfen",IF(AD33=1,"Auf Nachfolgeprodukt umstellen: Kompatibilität prüfen, Umstieg planen",IF(AC33=1,IF(AB33=1,"Abgekündigt ohne Nachfolger: sofort Endbevorratung (Last-Time-Buy) und Ersatzlösung planen","Abgekündigt ohne Nachfolger: Lagerteil sichern, Ersatzlösung (Retrofit) planen"),IF(Z33=1,"Nicht beschaffbar: Lagerteil schützen, Ersatzlösung mittelfristig planen",IF(AB33=1,IF(LEFT(S33,4)="nein","Bevorratung lohnt nicht – Lieferzeit und Reparaturweg absichern","Lagerbestand anlegen (mind. 1 Stk.)"),"Reparaturmöglichkeit klären"))))))))</f>
        <v/>
      </c>
      <c r="P33" s="31" t="n"/>
      <c r="Q33" s="27" t="n"/>
      <c r="R33" s="32">
        <f>IF(OR(AG33="",Y33="",AB33=0),"",AG33*INDEX(Krit_Kosten,MATCH(F33,Krit_Liste,0)))</f>
        <v/>
      </c>
      <c r="S33" s="33">
        <f>IF(N33="","",IF(N33="grün","–",IF(AB33=0,"am Lager / in stock",IF(N(P33)&lt;=0,"Stückpreis fehlt",IF(R33&gt;=Faktor_lohnt*P33,"ja – "&amp;FIXED(R33/P33,0)&amp;"-fach","nein – "&amp;FIXED(R33/P33,IF(R33/P33&lt;1,2,1))&amp;"-fach")))))</f>
        <v/>
      </c>
      <c r="T33" s="25" t="n"/>
      <c r="U33" s="34" t="n"/>
      <c r="V33" s="27" t="n"/>
      <c r="W33" s="25" t="n"/>
      <c r="X33" s="2" t="n"/>
      <c r="Y33" s="35">
        <f>IFERROR(INDEX(Krit_Faktor,MATCH(F33,Krit_Liste,0)),"")</f>
        <v/>
      </c>
      <c r="Z33" s="35">
        <f>IF(OR(I33="nein",I33="no"),1,0)</f>
        <v/>
      </c>
      <c r="AA33" s="35">
        <f>IF(OR(J33="nein",J33="no"),1,0)</f>
        <v/>
      </c>
      <c r="AB33" s="35">
        <f>IF(OR(K33="nein",K33="no"),1,0)</f>
        <v/>
      </c>
      <c r="AC33" s="35">
        <f>IF(OR(G33="ja",G33="yes"),1,0)</f>
        <v/>
      </c>
      <c r="AD33" s="35">
        <f>IF(AND(AC33=1,OR(H33="ja",H33="yes")),1,0)</f>
        <v/>
      </c>
      <c r="AE33" s="35">
        <f>IF(AC33=1,IF(AD33=1,Pkt_Abk_mit,Pkt_Abk_ohne),0)</f>
        <v/>
      </c>
      <c r="AF33" s="35">
        <f>(G33&lt;&gt;"")+(I33&lt;&gt;"")+(J33&lt;&gt;"")+(K33&lt;&gt;"")</f>
        <v/>
      </c>
      <c r="AG33" s="35">
        <f>IF(Q33&lt;&gt;"",Q33,IF(AF33&lt;4,"",IF(Z33=1,Tage_nicht_beschaffbar,Tage_beschaffbar)))</f>
        <v/>
      </c>
      <c r="AH33" s="35">
        <f>IF(M33="","",M33*1000+Y33*10+(1000-ROW())/100000)</f>
        <v/>
      </c>
    </row>
    <row r="34" ht="34" customHeight="1">
      <c r="A34" s="23">
        <f>IF(B34="","",COUNTA($B$9:B34))</f>
        <v/>
      </c>
      <c r="B34" s="24" t="n"/>
      <c r="C34" s="25" t="n"/>
      <c r="D34" s="25" t="n"/>
      <c r="E34" s="25" t="n"/>
      <c r="F34" s="26" t="n"/>
      <c r="G34" s="26" t="n"/>
      <c r="H34" s="27" t="n"/>
      <c r="I34" s="26" t="n"/>
      <c r="J34" s="26" t="n"/>
      <c r="K34" s="26" t="n"/>
      <c r="L34" s="23">
        <f>IF(AF34&lt;4,"",Z34+AA34+AB34+AE34)</f>
        <v/>
      </c>
      <c r="M34" s="28">
        <f>IF(OR(L34="",Y34=""),"",Y34*L34)</f>
        <v/>
      </c>
      <c r="N34" s="29">
        <f>IF(M34="","",IF(M34&lt;=Gruen_bis,"grün",IF(M34&lt;=Gelb_bis,"gelb","rot")))</f>
        <v/>
      </c>
      <c r="O34" s="30">
        <f>IF(N34="",IF(B34="","","Bewertung unvollständig – ★-Felder ausfüllen"),IF(N34="grün",IF(AC34=1,IF(AD34=1,"Abgekündigt, Nachfolger vorhanden: Umstieg bei nächster Gelegenheit planen","Abgekündigt: Endbevorratung (Last-Time-Buy) prüfen, Ersatzlösung planen"),"Keine aktive Maßnahme – jährlich prüfen"),IF(AND(Z34=1,AA34=1,AB34=1),"Sofort sichern: Restbestand / Gebrauchtteil kaufen und Ersatzlösung (Retrofit) planen",IF(AND(Z34=1,AB34=1),"Reparaturweg absichern (Dienstleister, Tauschteil), Gebrauchtteil prüfen",IF(AD34=1,"Auf Nachfolgeprodukt umstellen: Kompatibilität prüfen, Umstieg planen",IF(AC34=1,IF(AB34=1,"Abgekündigt ohne Nachfolger: sofort Endbevorratung (Last-Time-Buy) und Ersatzlösung planen","Abgekündigt ohne Nachfolger: Lagerteil sichern, Ersatzlösung (Retrofit) planen"),IF(Z34=1,"Nicht beschaffbar: Lagerteil schützen, Ersatzlösung mittelfristig planen",IF(AB34=1,IF(LEFT(S34,4)="nein","Bevorratung lohnt nicht – Lieferzeit und Reparaturweg absichern","Lagerbestand anlegen (mind. 1 Stk.)"),"Reparaturmöglichkeit klären"))))))))</f>
        <v/>
      </c>
      <c r="P34" s="31" t="n"/>
      <c r="Q34" s="27" t="n"/>
      <c r="R34" s="32">
        <f>IF(OR(AG34="",Y34="",AB34=0),"",AG34*INDEX(Krit_Kosten,MATCH(F34,Krit_Liste,0)))</f>
        <v/>
      </c>
      <c r="S34" s="33">
        <f>IF(N34="","",IF(N34="grün","–",IF(AB34=0,"am Lager / in stock",IF(N(P34)&lt;=0,"Stückpreis fehlt",IF(R34&gt;=Faktor_lohnt*P34,"ja – "&amp;FIXED(R34/P34,0)&amp;"-fach","nein – "&amp;FIXED(R34/P34,IF(R34/P34&lt;1,2,1))&amp;"-fach")))))</f>
        <v/>
      </c>
      <c r="T34" s="25" t="n"/>
      <c r="U34" s="34" t="n"/>
      <c r="V34" s="27" t="n"/>
      <c r="W34" s="25" t="n"/>
      <c r="X34" s="2" t="n"/>
      <c r="Y34" s="35">
        <f>IFERROR(INDEX(Krit_Faktor,MATCH(F34,Krit_Liste,0)),"")</f>
        <v/>
      </c>
      <c r="Z34" s="35">
        <f>IF(OR(I34="nein",I34="no"),1,0)</f>
        <v/>
      </c>
      <c r="AA34" s="35">
        <f>IF(OR(J34="nein",J34="no"),1,0)</f>
        <v/>
      </c>
      <c r="AB34" s="35">
        <f>IF(OR(K34="nein",K34="no"),1,0)</f>
        <v/>
      </c>
      <c r="AC34" s="35">
        <f>IF(OR(G34="ja",G34="yes"),1,0)</f>
        <v/>
      </c>
      <c r="AD34" s="35">
        <f>IF(AND(AC34=1,OR(H34="ja",H34="yes")),1,0)</f>
        <v/>
      </c>
      <c r="AE34" s="35">
        <f>IF(AC34=1,IF(AD34=1,Pkt_Abk_mit,Pkt_Abk_ohne),0)</f>
        <v/>
      </c>
      <c r="AF34" s="35">
        <f>(G34&lt;&gt;"")+(I34&lt;&gt;"")+(J34&lt;&gt;"")+(K34&lt;&gt;"")</f>
        <v/>
      </c>
      <c r="AG34" s="35">
        <f>IF(Q34&lt;&gt;"",Q34,IF(AF34&lt;4,"",IF(Z34=1,Tage_nicht_beschaffbar,Tage_beschaffbar)))</f>
        <v/>
      </c>
      <c r="AH34" s="35">
        <f>IF(M34="","",M34*1000+Y34*10+(1000-ROW())/100000)</f>
        <v/>
      </c>
    </row>
    <row r="35" ht="34" customHeight="1">
      <c r="A35" s="23">
        <f>IF(B35="","",COUNTA($B$9:B35))</f>
        <v/>
      </c>
      <c r="B35" s="24" t="n"/>
      <c r="C35" s="25" t="n"/>
      <c r="D35" s="25" t="n"/>
      <c r="E35" s="25" t="n"/>
      <c r="F35" s="26" t="n"/>
      <c r="G35" s="26" t="n"/>
      <c r="H35" s="27" t="n"/>
      <c r="I35" s="26" t="n"/>
      <c r="J35" s="26" t="n"/>
      <c r="K35" s="26" t="n"/>
      <c r="L35" s="23">
        <f>IF(AF35&lt;4,"",Z35+AA35+AB35+AE35)</f>
        <v/>
      </c>
      <c r="M35" s="28">
        <f>IF(OR(L35="",Y35=""),"",Y35*L35)</f>
        <v/>
      </c>
      <c r="N35" s="29">
        <f>IF(M35="","",IF(M35&lt;=Gruen_bis,"grün",IF(M35&lt;=Gelb_bis,"gelb","rot")))</f>
        <v/>
      </c>
      <c r="O35" s="30">
        <f>IF(N35="",IF(B35="","","Bewertung unvollständig – ★-Felder ausfüllen"),IF(N35="grün",IF(AC35=1,IF(AD35=1,"Abgekündigt, Nachfolger vorhanden: Umstieg bei nächster Gelegenheit planen","Abgekündigt: Endbevorratung (Last-Time-Buy) prüfen, Ersatzlösung planen"),"Keine aktive Maßnahme – jährlich prüfen"),IF(AND(Z35=1,AA35=1,AB35=1),"Sofort sichern: Restbestand / Gebrauchtteil kaufen und Ersatzlösung (Retrofit) planen",IF(AND(Z35=1,AB35=1),"Reparaturweg absichern (Dienstleister, Tauschteil), Gebrauchtteil prüfen",IF(AD35=1,"Auf Nachfolgeprodukt umstellen: Kompatibilität prüfen, Umstieg planen",IF(AC35=1,IF(AB35=1,"Abgekündigt ohne Nachfolger: sofort Endbevorratung (Last-Time-Buy) und Ersatzlösung planen","Abgekündigt ohne Nachfolger: Lagerteil sichern, Ersatzlösung (Retrofit) planen"),IF(Z35=1,"Nicht beschaffbar: Lagerteil schützen, Ersatzlösung mittelfristig planen",IF(AB35=1,IF(LEFT(S35,4)="nein","Bevorratung lohnt nicht – Lieferzeit und Reparaturweg absichern","Lagerbestand anlegen (mind. 1 Stk.)"),"Reparaturmöglichkeit klären"))))))))</f>
        <v/>
      </c>
      <c r="P35" s="31" t="n"/>
      <c r="Q35" s="27" t="n"/>
      <c r="R35" s="32">
        <f>IF(OR(AG35="",Y35="",AB35=0),"",AG35*INDEX(Krit_Kosten,MATCH(F35,Krit_Liste,0)))</f>
        <v/>
      </c>
      <c r="S35" s="33">
        <f>IF(N35="","",IF(N35="grün","–",IF(AB35=0,"am Lager / in stock",IF(N(P35)&lt;=0,"Stückpreis fehlt",IF(R35&gt;=Faktor_lohnt*P35,"ja – "&amp;FIXED(R35/P35,0)&amp;"-fach","nein – "&amp;FIXED(R35/P35,IF(R35/P35&lt;1,2,1))&amp;"-fach")))))</f>
        <v/>
      </c>
      <c r="T35" s="25" t="n"/>
      <c r="U35" s="34" t="n"/>
      <c r="V35" s="27" t="n"/>
      <c r="W35" s="25" t="n"/>
      <c r="X35" s="2" t="n"/>
      <c r="Y35" s="35">
        <f>IFERROR(INDEX(Krit_Faktor,MATCH(F35,Krit_Liste,0)),"")</f>
        <v/>
      </c>
      <c r="Z35" s="35">
        <f>IF(OR(I35="nein",I35="no"),1,0)</f>
        <v/>
      </c>
      <c r="AA35" s="35">
        <f>IF(OR(J35="nein",J35="no"),1,0)</f>
        <v/>
      </c>
      <c r="AB35" s="35">
        <f>IF(OR(K35="nein",K35="no"),1,0)</f>
        <v/>
      </c>
      <c r="AC35" s="35">
        <f>IF(OR(G35="ja",G35="yes"),1,0)</f>
        <v/>
      </c>
      <c r="AD35" s="35">
        <f>IF(AND(AC35=1,OR(H35="ja",H35="yes")),1,0)</f>
        <v/>
      </c>
      <c r="AE35" s="35">
        <f>IF(AC35=1,IF(AD35=1,Pkt_Abk_mit,Pkt_Abk_ohne),0)</f>
        <v/>
      </c>
      <c r="AF35" s="35">
        <f>(G35&lt;&gt;"")+(I35&lt;&gt;"")+(J35&lt;&gt;"")+(K35&lt;&gt;"")</f>
        <v/>
      </c>
      <c r="AG35" s="35">
        <f>IF(Q35&lt;&gt;"",Q35,IF(AF35&lt;4,"",IF(Z35=1,Tage_nicht_beschaffbar,Tage_beschaffbar)))</f>
        <v/>
      </c>
      <c r="AH35" s="35">
        <f>IF(M35="","",M35*1000+Y35*10+(1000-ROW())/100000)</f>
        <v/>
      </c>
    </row>
    <row r="36" ht="34" customHeight="1">
      <c r="A36" s="23">
        <f>IF(B36="","",COUNTA($B$9:B36))</f>
        <v/>
      </c>
      <c r="B36" s="24" t="n"/>
      <c r="C36" s="25" t="n"/>
      <c r="D36" s="25" t="n"/>
      <c r="E36" s="25" t="n"/>
      <c r="F36" s="26" t="n"/>
      <c r="G36" s="26" t="n"/>
      <c r="H36" s="27" t="n"/>
      <c r="I36" s="26" t="n"/>
      <c r="J36" s="26" t="n"/>
      <c r="K36" s="26" t="n"/>
      <c r="L36" s="23">
        <f>IF(AF36&lt;4,"",Z36+AA36+AB36+AE36)</f>
        <v/>
      </c>
      <c r="M36" s="28">
        <f>IF(OR(L36="",Y36=""),"",Y36*L36)</f>
        <v/>
      </c>
      <c r="N36" s="29">
        <f>IF(M36="","",IF(M36&lt;=Gruen_bis,"grün",IF(M36&lt;=Gelb_bis,"gelb","rot")))</f>
        <v/>
      </c>
      <c r="O36" s="30">
        <f>IF(N36="",IF(B36="","","Bewertung unvollständig – ★-Felder ausfüllen"),IF(N36="grün",IF(AC36=1,IF(AD36=1,"Abgekündigt, Nachfolger vorhanden: Umstieg bei nächster Gelegenheit planen","Abgekündigt: Endbevorratung (Last-Time-Buy) prüfen, Ersatzlösung planen"),"Keine aktive Maßnahme – jährlich prüfen"),IF(AND(Z36=1,AA36=1,AB36=1),"Sofort sichern: Restbestand / Gebrauchtteil kaufen und Ersatzlösung (Retrofit) planen",IF(AND(Z36=1,AB36=1),"Reparaturweg absichern (Dienstleister, Tauschteil), Gebrauchtteil prüfen",IF(AD36=1,"Auf Nachfolgeprodukt umstellen: Kompatibilität prüfen, Umstieg planen",IF(AC36=1,IF(AB36=1,"Abgekündigt ohne Nachfolger: sofort Endbevorratung (Last-Time-Buy) und Ersatzlösung planen","Abgekündigt ohne Nachfolger: Lagerteil sichern, Ersatzlösung (Retrofit) planen"),IF(Z36=1,"Nicht beschaffbar: Lagerteil schützen, Ersatzlösung mittelfristig planen",IF(AB36=1,IF(LEFT(S36,4)="nein","Bevorratung lohnt nicht – Lieferzeit und Reparaturweg absichern","Lagerbestand anlegen (mind. 1 Stk.)"),"Reparaturmöglichkeit klären"))))))))</f>
        <v/>
      </c>
      <c r="P36" s="31" t="n"/>
      <c r="Q36" s="27" t="n"/>
      <c r="R36" s="32">
        <f>IF(OR(AG36="",Y36="",AB36=0),"",AG36*INDEX(Krit_Kosten,MATCH(F36,Krit_Liste,0)))</f>
        <v/>
      </c>
      <c r="S36" s="33">
        <f>IF(N36="","",IF(N36="grün","–",IF(AB36=0,"am Lager / in stock",IF(N(P36)&lt;=0,"Stückpreis fehlt",IF(R36&gt;=Faktor_lohnt*P36,"ja – "&amp;FIXED(R36/P36,0)&amp;"-fach","nein – "&amp;FIXED(R36/P36,IF(R36/P36&lt;1,2,1))&amp;"-fach")))))</f>
        <v/>
      </c>
      <c r="T36" s="25" t="n"/>
      <c r="U36" s="34" t="n"/>
      <c r="V36" s="27" t="n"/>
      <c r="W36" s="25" t="n"/>
      <c r="X36" s="2" t="n"/>
      <c r="Y36" s="35">
        <f>IFERROR(INDEX(Krit_Faktor,MATCH(F36,Krit_Liste,0)),"")</f>
        <v/>
      </c>
      <c r="Z36" s="35">
        <f>IF(OR(I36="nein",I36="no"),1,0)</f>
        <v/>
      </c>
      <c r="AA36" s="35">
        <f>IF(OR(J36="nein",J36="no"),1,0)</f>
        <v/>
      </c>
      <c r="AB36" s="35">
        <f>IF(OR(K36="nein",K36="no"),1,0)</f>
        <v/>
      </c>
      <c r="AC36" s="35">
        <f>IF(OR(G36="ja",G36="yes"),1,0)</f>
        <v/>
      </c>
      <c r="AD36" s="35">
        <f>IF(AND(AC36=1,OR(H36="ja",H36="yes")),1,0)</f>
        <v/>
      </c>
      <c r="AE36" s="35">
        <f>IF(AC36=1,IF(AD36=1,Pkt_Abk_mit,Pkt_Abk_ohne),0)</f>
        <v/>
      </c>
      <c r="AF36" s="35">
        <f>(G36&lt;&gt;"")+(I36&lt;&gt;"")+(J36&lt;&gt;"")+(K36&lt;&gt;"")</f>
        <v/>
      </c>
      <c r="AG36" s="35">
        <f>IF(Q36&lt;&gt;"",Q36,IF(AF36&lt;4,"",IF(Z36=1,Tage_nicht_beschaffbar,Tage_beschaffbar)))</f>
        <v/>
      </c>
      <c r="AH36" s="35">
        <f>IF(M36="","",M36*1000+Y36*10+(1000-ROW())/100000)</f>
        <v/>
      </c>
    </row>
    <row r="37" ht="34" customHeight="1">
      <c r="A37" s="23">
        <f>IF(B37="","",COUNTA($B$9:B37))</f>
        <v/>
      </c>
      <c r="B37" s="24" t="n"/>
      <c r="C37" s="25" t="n"/>
      <c r="D37" s="25" t="n"/>
      <c r="E37" s="25" t="n"/>
      <c r="F37" s="26" t="n"/>
      <c r="G37" s="26" t="n"/>
      <c r="H37" s="27" t="n"/>
      <c r="I37" s="26" t="n"/>
      <c r="J37" s="26" t="n"/>
      <c r="K37" s="26" t="n"/>
      <c r="L37" s="23">
        <f>IF(AF37&lt;4,"",Z37+AA37+AB37+AE37)</f>
        <v/>
      </c>
      <c r="M37" s="28">
        <f>IF(OR(L37="",Y37=""),"",Y37*L37)</f>
        <v/>
      </c>
      <c r="N37" s="29">
        <f>IF(M37="","",IF(M37&lt;=Gruen_bis,"grün",IF(M37&lt;=Gelb_bis,"gelb","rot")))</f>
        <v/>
      </c>
      <c r="O37" s="30">
        <f>IF(N37="",IF(B37="","","Bewertung unvollständig – ★-Felder ausfüllen"),IF(N37="grün",IF(AC37=1,IF(AD37=1,"Abgekündigt, Nachfolger vorhanden: Umstieg bei nächster Gelegenheit planen","Abgekündigt: Endbevorratung (Last-Time-Buy) prüfen, Ersatzlösung planen"),"Keine aktive Maßnahme – jährlich prüfen"),IF(AND(Z37=1,AA37=1,AB37=1),"Sofort sichern: Restbestand / Gebrauchtteil kaufen und Ersatzlösung (Retrofit) planen",IF(AND(Z37=1,AB37=1),"Reparaturweg absichern (Dienstleister, Tauschteil), Gebrauchtteil prüfen",IF(AD37=1,"Auf Nachfolgeprodukt umstellen: Kompatibilität prüfen, Umstieg planen",IF(AC37=1,IF(AB37=1,"Abgekündigt ohne Nachfolger: sofort Endbevorratung (Last-Time-Buy) und Ersatzlösung planen","Abgekündigt ohne Nachfolger: Lagerteil sichern, Ersatzlösung (Retrofit) planen"),IF(Z37=1,"Nicht beschaffbar: Lagerteil schützen, Ersatzlösung mittelfristig planen",IF(AB37=1,IF(LEFT(S37,4)="nein","Bevorratung lohnt nicht – Lieferzeit und Reparaturweg absichern","Lagerbestand anlegen (mind. 1 Stk.)"),"Reparaturmöglichkeit klären"))))))))</f>
        <v/>
      </c>
      <c r="P37" s="31" t="n"/>
      <c r="Q37" s="27" t="n"/>
      <c r="R37" s="32">
        <f>IF(OR(AG37="",Y37="",AB37=0),"",AG37*INDEX(Krit_Kosten,MATCH(F37,Krit_Liste,0)))</f>
        <v/>
      </c>
      <c r="S37" s="33">
        <f>IF(N37="","",IF(N37="grün","–",IF(AB37=0,"am Lager / in stock",IF(N(P37)&lt;=0,"Stückpreis fehlt",IF(R37&gt;=Faktor_lohnt*P37,"ja – "&amp;FIXED(R37/P37,0)&amp;"-fach","nein – "&amp;FIXED(R37/P37,IF(R37/P37&lt;1,2,1))&amp;"-fach")))))</f>
        <v/>
      </c>
      <c r="T37" s="25" t="n"/>
      <c r="U37" s="34" t="n"/>
      <c r="V37" s="27" t="n"/>
      <c r="W37" s="25" t="n"/>
      <c r="X37" s="2" t="n"/>
      <c r="Y37" s="35">
        <f>IFERROR(INDEX(Krit_Faktor,MATCH(F37,Krit_Liste,0)),"")</f>
        <v/>
      </c>
      <c r="Z37" s="35">
        <f>IF(OR(I37="nein",I37="no"),1,0)</f>
        <v/>
      </c>
      <c r="AA37" s="35">
        <f>IF(OR(J37="nein",J37="no"),1,0)</f>
        <v/>
      </c>
      <c r="AB37" s="35">
        <f>IF(OR(K37="nein",K37="no"),1,0)</f>
        <v/>
      </c>
      <c r="AC37" s="35">
        <f>IF(OR(G37="ja",G37="yes"),1,0)</f>
        <v/>
      </c>
      <c r="AD37" s="35">
        <f>IF(AND(AC37=1,OR(H37="ja",H37="yes")),1,0)</f>
        <v/>
      </c>
      <c r="AE37" s="35">
        <f>IF(AC37=1,IF(AD37=1,Pkt_Abk_mit,Pkt_Abk_ohne),0)</f>
        <v/>
      </c>
      <c r="AF37" s="35">
        <f>(G37&lt;&gt;"")+(I37&lt;&gt;"")+(J37&lt;&gt;"")+(K37&lt;&gt;"")</f>
        <v/>
      </c>
      <c r="AG37" s="35">
        <f>IF(Q37&lt;&gt;"",Q37,IF(AF37&lt;4,"",IF(Z37=1,Tage_nicht_beschaffbar,Tage_beschaffbar)))</f>
        <v/>
      </c>
      <c r="AH37" s="35">
        <f>IF(M37="","",M37*1000+Y37*10+(1000-ROW())/100000)</f>
        <v/>
      </c>
    </row>
    <row r="38" ht="34" customHeight="1">
      <c r="A38" s="23">
        <f>IF(B38="","",COUNTA($B$9:B38))</f>
        <v/>
      </c>
      <c r="B38" s="24" t="n"/>
      <c r="C38" s="25" t="n"/>
      <c r="D38" s="25" t="n"/>
      <c r="E38" s="25" t="n"/>
      <c r="F38" s="26" t="n"/>
      <c r="G38" s="26" t="n"/>
      <c r="H38" s="27" t="n"/>
      <c r="I38" s="26" t="n"/>
      <c r="J38" s="26" t="n"/>
      <c r="K38" s="26" t="n"/>
      <c r="L38" s="23">
        <f>IF(AF38&lt;4,"",Z38+AA38+AB38+AE38)</f>
        <v/>
      </c>
      <c r="M38" s="28">
        <f>IF(OR(L38="",Y38=""),"",Y38*L38)</f>
        <v/>
      </c>
      <c r="N38" s="29">
        <f>IF(M38="","",IF(M38&lt;=Gruen_bis,"grün",IF(M38&lt;=Gelb_bis,"gelb","rot")))</f>
        <v/>
      </c>
      <c r="O38" s="30">
        <f>IF(N38="",IF(B38="","","Bewertung unvollständig – ★-Felder ausfüllen"),IF(N38="grün",IF(AC38=1,IF(AD38=1,"Abgekündigt, Nachfolger vorhanden: Umstieg bei nächster Gelegenheit planen","Abgekündigt: Endbevorratung (Last-Time-Buy) prüfen, Ersatzlösung planen"),"Keine aktive Maßnahme – jährlich prüfen"),IF(AND(Z38=1,AA38=1,AB38=1),"Sofort sichern: Restbestand / Gebrauchtteil kaufen und Ersatzlösung (Retrofit) planen",IF(AND(Z38=1,AB38=1),"Reparaturweg absichern (Dienstleister, Tauschteil), Gebrauchtteil prüfen",IF(AD38=1,"Auf Nachfolgeprodukt umstellen: Kompatibilität prüfen, Umstieg planen",IF(AC38=1,IF(AB38=1,"Abgekündigt ohne Nachfolger: sofort Endbevorratung (Last-Time-Buy) und Ersatzlösung planen","Abgekündigt ohne Nachfolger: Lagerteil sichern, Ersatzlösung (Retrofit) planen"),IF(Z38=1,"Nicht beschaffbar: Lagerteil schützen, Ersatzlösung mittelfristig planen",IF(AB38=1,IF(LEFT(S38,4)="nein","Bevorratung lohnt nicht – Lieferzeit und Reparaturweg absichern","Lagerbestand anlegen (mind. 1 Stk.)"),"Reparaturmöglichkeit klären"))))))))</f>
        <v/>
      </c>
      <c r="P38" s="31" t="n"/>
      <c r="Q38" s="27" t="n"/>
      <c r="R38" s="32">
        <f>IF(OR(AG38="",Y38="",AB38=0),"",AG38*INDEX(Krit_Kosten,MATCH(F38,Krit_Liste,0)))</f>
        <v/>
      </c>
      <c r="S38" s="33">
        <f>IF(N38="","",IF(N38="grün","–",IF(AB38=0,"am Lager / in stock",IF(N(P38)&lt;=0,"Stückpreis fehlt",IF(R38&gt;=Faktor_lohnt*P38,"ja – "&amp;FIXED(R38/P38,0)&amp;"-fach","nein – "&amp;FIXED(R38/P38,IF(R38/P38&lt;1,2,1))&amp;"-fach")))))</f>
        <v/>
      </c>
      <c r="T38" s="25" t="n"/>
      <c r="U38" s="34" t="n"/>
      <c r="V38" s="27" t="n"/>
      <c r="W38" s="25" t="n"/>
      <c r="X38" s="2" t="n"/>
      <c r="Y38" s="35">
        <f>IFERROR(INDEX(Krit_Faktor,MATCH(F38,Krit_Liste,0)),"")</f>
        <v/>
      </c>
      <c r="Z38" s="35">
        <f>IF(OR(I38="nein",I38="no"),1,0)</f>
        <v/>
      </c>
      <c r="AA38" s="35">
        <f>IF(OR(J38="nein",J38="no"),1,0)</f>
        <v/>
      </c>
      <c r="AB38" s="35">
        <f>IF(OR(K38="nein",K38="no"),1,0)</f>
        <v/>
      </c>
      <c r="AC38" s="35">
        <f>IF(OR(G38="ja",G38="yes"),1,0)</f>
        <v/>
      </c>
      <c r="AD38" s="35">
        <f>IF(AND(AC38=1,OR(H38="ja",H38="yes")),1,0)</f>
        <v/>
      </c>
      <c r="AE38" s="35">
        <f>IF(AC38=1,IF(AD38=1,Pkt_Abk_mit,Pkt_Abk_ohne),0)</f>
        <v/>
      </c>
      <c r="AF38" s="35">
        <f>(G38&lt;&gt;"")+(I38&lt;&gt;"")+(J38&lt;&gt;"")+(K38&lt;&gt;"")</f>
        <v/>
      </c>
      <c r="AG38" s="35">
        <f>IF(Q38&lt;&gt;"",Q38,IF(AF38&lt;4,"",IF(Z38=1,Tage_nicht_beschaffbar,Tage_beschaffbar)))</f>
        <v/>
      </c>
      <c r="AH38" s="35">
        <f>IF(M38="","",M38*1000+Y38*10+(1000-ROW())/100000)</f>
        <v/>
      </c>
    </row>
    <row r="39" ht="34" customHeight="1">
      <c r="A39" s="23">
        <f>IF(B39="","",COUNTA($B$9:B39))</f>
        <v/>
      </c>
      <c r="B39" s="24" t="n"/>
      <c r="C39" s="25" t="n"/>
      <c r="D39" s="25" t="n"/>
      <c r="E39" s="25" t="n"/>
      <c r="F39" s="26" t="n"/>
      <c r="G39" s="26" t="n"/>
      <c r="H39" s="27" t="n"/>
      <c r="I39" s="26" t="n"/>
      <c r="J39" s="26" t="n"/>
      <c r="K39" s="26" t="n"/>
      <c r="L39" s="23">
        <f>IF(AF39&lt;4,"",Z39+AA39+AB39+AE39)</f>
        <v/>
      </c>
      <c r="M39" s="28">
        <f>IF(OR(L39="",Y39=""),"",Y39*L39)</f>
        <v/>
      </c>
      <c r="N39" s="29">
        <f>IF(M39="","",IF(M39&lt;=Gruen_bis,"grün",IF(M39&lt;=Gelb_bis,"gelb","rot")))</f>
        <v/>
      </c>
      <c r="O39" s="30">
        <f>IF(N39="",IF(B39="","","Bewertung unvollständig – ★-Felder ausfüllen"),IF(N39="grün",IF(AC39=1,IF(AD39=1,"Abgekündigt, Nachfolger vorhanden: Umstieg bei nächster Gelegenheit planen","Abgekündigt: Endbevorratung (Last-Time-Buy) prüfen, Ersatzlösung planen"),"Keine aktive Maßnahme – jährlich prüfen"),IF(AND(Z39=1,AA39=1,AB39=1),"Sofort sichern: Restbestand / Gebrauchtteil kaufen und Ersatzlösung (Retrofit) planen",IF(AND(Z39=1,AB39=1),"Reparaturweg absichern (Dienstleister, Tauschteil), Gebrauchtteil prüfen",IF(AD39=1,"Auf Nachfolgeprodukt umstellen: Kompatibilität prüfen, Umstieg planen",IF(AC39=1,IF(AB39=1,"Abgekündigt ohne Nachfolger: sofort Endbevorratung (Last-Time-Buy) und Ersatzlösung planen","Abgekündigt ohne Nachfolger: Lagerteil sichern, Ersatzlösung (Retrofit) planen"),IF(Z39=1,"Nicht beschaffbar: Lagerteil schützen, Ersatzlösung mittelfristig planen",IF(AB39=1,IF(LEFT(S39,4)="nein","Bevorratung lohnt nicht – Lieferzeit und Reparaturweg absichern","Lagerbestand anlegen (mind. 1 Stk.)"),"Reparaturmöglichkeit klären"))))))))</f>
        <v/>
      </c>
      <c r="P39" s="31" t="n"/>
      <c r="Q39" s="27" t="n"/>
      <c r="R39" s="32">
        <f>IF(OR(AG39="",Y39="",AB39=0),"",AG39*INDEX(Krit_Kosten,MATCH(F39,Krit_Liste,0)))</f>
        <v/>
      </c>
      <c r="S39" s="33">
        <f>IF(N39="","",IF(N39="grün","–",IF(AB39=0,"am Lager / in stock",IF(N(P39)&lt;=0,"Stückpreis fehlt",IF(R39&gt;=Faktor_lohnt*P39,"ja – "&amp;FIXED(R39/P39,0)&amp;"-fach","nein – "&amp;FIXED(R39/P39,IF(R39/P39&lt;1,2,1))&amp;"-fach")))))</f>
        <v/>
      </c>
      <c r="T39" s="25" t="n"/>
      <c r="U39" s="34" t="n"/>
      <c r="V39" s="27" t="n"/>
      <c r="W39" s="25" t="n"/>
      <c r="X39" s="2" t="n"/>
      <c r="Y39" s="35">
        <f>IFERROR(INDEX(Krit_Faktor,MATCH(F39,Krit_Liste,0)),"")</f>
        <v/>
      </c>
      <c r="Z39" s="35">
        <f>IF(OR(I39="nein",I39="no"),1,0)</f>
        <v/>
      </c>
      <c r="AA39" s="35">
        <f>IF(OR(J39="nein",J39="no"),1,0)</f>
        <v/>
      </c>
      <c r="AB39" s="35">
        <f>IF(OR(K39="nein",K39="no"),1,0)</f>
        <v/>
      </c>
      <c r="AC39" s="35">
        <f>IF(OR(G39="ja",G39="yes"),1,0)</f>
        <v/>
      </c>
      <c r="AD39" s="35">
        <f>IF(AND(AC39=1,OR(H39="ja",H39="yes")),1,0)</f>
        <v/>
      </c>
      <c r="AE39" s="35">
        <f>IF(AC39=1,IF(AD39=1,Pkt_Abk_mit,Pkt_Abk_ohne),0)</f>
        <v/>
      </c>
      <c r="AF39" s="35">
        <f>(G39&lt;&gt;"")+(I39&lt;&gt;"")+(J39&lt;&gt;"")+(K39&lt;&gt;"")</f>
        <v/>
      </c>
      <c r="AG39" s="35">
        <f>IF(Q39&lt;&gt;"",Q39,IF(AF39&lt;4,"",IF(Z39=1,Tage_nicht_beschaffbar,Tage_beschaffbar)))</f>
        <v/>
      </c>
      <c r="AH39" s="35">
        <f>IF(M39="","",M39*1000+Y39*10+(1000-ROW())/100000)</f>
        <v/>
      </c>
    </row>
    <row r="40" ht="34" customHeight="1">
      <c r="A40" s="23">
        <f>IF(B40="","",COUNTA($B$9:B40))</f>
        <v/>
      </c>
      <c r="B40" s="24" t="n"/>
      <c r="C40" s="25" t="n"/>
      <c r="D40" s="25" t="n"/>
      <c r="E40" s="25" t="n"/>
      <c r="F40" s="26" t="n"/>
      <c r="G40" s="26" t="n"/>
      <c r="H40" s="27" t="n"/>
      <c r="I40" s="26" t="n"/>
      <c r="J40" s="26" t="n"/>
      <c r="K40" s="26" t="n"/>
      <c r="L40" s="23">
        <f>IF(AF40&lt;4,"",Z40+AA40+AB40+AE40)</f>
        <v/>
      </c>
      <c r="M40" s="28">
        <f>IF(OR(L40="",Y40=""),"",Y40*L40)</f>
        <v/>
      </c>
      <c r="N40" s="29">
        <f>IF(M40="","",IF(M40&lt;=Gruen_bis,"grün",IF(M40&lt;=Gelb_bis,"gelb","rot")))</f>
        <v/>
      </c>
      <c r="O40" s="30">
        <f>IF(N40="",IF(B40="","","Bewertung unvollständig – ★-Felder ausfüllen"),IF(N40="grün",IF(AC40=1,IF(AD40=1,"Abgekündigt, Nachfolger vorhanden: Umstieg bei nächster Gelegenheit planen","Abgekündigt: Endbevorratung (Last-Time-Buy) prüfen, Ersatzlösung planen"),"Keine aktive Maßnahme – jährlich prüfen"),IF(AND(Z40=1,AA40=1,AB40=1),"Sofort sichern: Restbestand / Gebrauchtteil kaufen und Ersatzlösung (Retrofit) planen",IF(AND(Z40=1,AB40=1),"Reparaturweg absichern (Dienstleister, Tauschteil), Gebrauchtteil prüfen",IF(AD40=1,"Auf Nachfolgeprodukt umstellen: Kompatibilität prüfen, Umstieg planen",IF(AC40=1,IF(AB40=1,"Abgekündigt ohne Nachfolger: sofort Endbevorratung (Last-Time-Buy) und Ersatzlösung planen","Abgekündigt ohne Nachfolger: Lagerteil sichern, Ersatzlösung (Retrofit) planen"),IF(Z40=1,"Nicht beschaffbar: Lagerteil schützen, Ersatzlösung mittelfristig planen",IF(AB40=1,IF(LEFT(S40,4)="nein","Bevorratung lohnt nicht – Lieferzeit und Reparaturweg absichern","Lagerbestand anlegen (mind. 1 Stk.)"),"Reparaturmöglichkeit klären"))))))))</f>
        <v/>
      </c>
      <c r="P40" s="31" t="n"/>
      <c r="Q40" s="27" t="n"/>
      <c r="R40" s="32">
        <f>IF(OR(AG40="",Y40="",AB40=0),"",AG40*INDEX(Krit_Kosten,MATCH(F40,Krit_Liste,0)))</f>
        <v/>
      </c>
      <c r="S40" s="33">
        <f>IF(N40="","",IF(N40="grün","–",IF(AB40=0,"am Lager / in stock",IF(N(P40)&lt;=0,"Stückpreis fehlt",IF(R40&gt;=Faktor_lohnt*P40,"ja – "&amp;FIXED(R40/P40,0)&amp;"-fach","nein – "&amp;FIXED(R40/P40,IF(R40/P40&lt;1,2,1))&amp;"-fach")))))</f>
        <v/>
      </c>
      <c r="T40" s="25" t="n"/>
      <c r="U40" s="34" t="n"/>
      <c r="V40" s="27" t="n"/>
      <c r="W40" s="25" t="n"/>
      <c r="X40" s="2" t="n"/>
      <c r="Y40" s="35">
        <f>IFERROR(INDEX(Krit_Faktor,MATCH(F40,Krit_Liste,0)),"")</f>
        <v/>
      </c>
      <c r="Z40" s="35">
        <f>IF(OR(I40="nein",I40="no"),1,0)</f>
        <v/>
      </c>
      <c r="AA40" s="35">
        <f>IF(OR(J40="nein",J40="no"),1,0)</f>
        <v/>
      </c>
      <c r="AB40" s="35">
        <f>IF(OR(K40="nein",K40="no"),1,0)</f>
        <v/>
      </c>
      <c r="AC40" s="35">
        <f>IF(OR(G40="ja",G40="yes"),1,0)</f>
        <v/>
      </c>
      <c r="AD40" s="35">
        <f>IF(AND(AC40=1,OR(H40="ja",H40="yes")),1,0)</f>
        <v/>
      </c>
      <c r="AE40" s="35">
        <f>IF(AC40=1,IF(AD40=1,Pkt_Abk_mit,Pkt_Abk_ohne),0)</f>
        <v/>
      </c>
      <c r="AF40" s="35">
        <f>(G40&lt;&gt;"")+(I40&lt;&gt;"")+(J40&lt;&gt;"")+(K40&lt;&gt;"")</f>
        <v/>
      </c>
      <c r="AG40" s="35">
        <f>IF(Q40&lt;&gt;"",Q40,IF(AF40&lt;4,"",IF(Z40=1,Tage_nicht_beschaffbar,Tage_beschaffbar)))</f>
        <v/>
      </c>
      <c r="AH40" s="35">
        <f>IF(M40="","",M40*1000+Y40*10+(1000-ROW())/100000)</f>
        <v/>
      </c>
    </row>
    <row r="41" ht="34" customHeight="1">
      <c r="A41" s="23">
        <f>IF(B41="","",COUNTA($B$9:B41))</f>
        <v/>
      </c>
      <c r="B41" s="24" t="n"/>
      <c r="C41" s="25" t="n"/>
      <c r="D41" s="25" t="n"/>
      <c r="E41" s="25" t="n"/>
      <c r="F41" s="26" t="n"/>
      <c r="G41" s="26" t="n"/>
      <c r="H41" s="27" t="n"/>
      <c r="I41" s="26" t="n"/>
      <c r="J41" s="26" t="n"/>
      <c r="K41" s="26" t="n"/>
      <c r="L41" s="23">
        <f>IF(AF41&lt;4,"",Z41+AA41+AB41+AE41)</f>
        <v/>
      </c>
      <c r="M41" s="28">
        <f>IF(OR(L41="",Y41=""),"",Y41*L41)</f>
        <v/>
      </c>
      <c r="N41" s="29">
        <f>IF(M41="","",IF(M41&lt;=Gruen_bis,"grün",IF(M41&lt;=Gelb_bis,"gelb","rot")))</f>
        <v/>
      </c>
      <c r="O41" s="30">
        <f>IF(N41="",IF(B41="","","Bewertung unvollständig – ★-Felder ausfüllen"),IF(N41="grün",IF(AC41=1,IF(AD41=1,"Abgekündigt, Nachfolger vorhanden: Umstieg bei nächster Gelegenheit planen","Abgekündigt: Endbevorratung (Last-Time-Buy) prüfen, Ersatzlösung planen"),"Keine aktive Maßnahme – jährlich prüfen"),IF(AND(Z41=1,AA41=1,AB41=1),"Sofort sichern: Restbestand / Gebrauchtteil kaufen und Ersatzlösung (Retrofit) planen",IF(AND(Z41=1,AB41=1),"Reparaturweg absichern (Dienstleister, Tauschteil), Gebrauchtteil prüfen",IF(AD41=1,"Auf Nachfolgeprodukt umstellen: Kompatibilität prüfen, Umstieg planen",IF(AC41=1,IF(AB41=1,"Abgekündigt ohne Nachfolger: sofort Endbevorratung (Last-Time-Buy) und Ersatzlösung planen","Abgekündigt ohne Nachfolger: Lagerteil sichern, Ersatzlösung (Retrofit) planen"),IF(Z41=1,"Nicht beschaffbar: Lagerteil schützen, Ersatzlösung mittelfristig planen",IF(AB41=1,IF(LEFT(S41,4)="nein","Bevorratung lohnt nicht – Lieferzeit und Reparaturweg absichern","Lagerbestand anlegen (mind. 1 Stk.)"),"Reparaturmöglichkeit klären"))))))))</f>
        <v/>
      </c>
      <c r="P41" s="31" t="n"/>
      <c r="Q41" s="27" t="n"/>
      <c r="R41" s="32">
        <f>IF(OR(AG41="",Y41="",AB41=0),"",AG41*INDEX(Krit_Kosten,MATCH(F41,Krit_Liste,0)))</f>
        <v/>
      </c>
      <c r="S41" s="33">
        <f>IF(N41="","",IF(N41="grün","–",IF(AB41=0,"am Lager / in stock",IF(N(P41)&lt;=0,"Stückpreis fehlt",IF(R41&gt;=Faktor_lohnt*P41,"ja – "&amp;FIXED(R41/P41,0)&amp;"-fach","nein – "&amp;FIXED(R41/P41,IF(R41/P41&lt;1,2,1))&amp;"-fach")))))</f>
        <v/>
      </c>
      <c r="T41" s="25" t="n"/>
      <c r="U41" s="34" t="n"/>
      <c r="V41" s="27" t="n"/>
      <c r="W41" s="25" t="n"/>
      <c r="X41" s="2" t="n"/>
      <c r="Y41" s="35">
        <f>IFERROR(INDEX(Krit_Faktor,MATCH(F41,Krit_Liste,0)),"")</f>
        <v/>
      </c>
      <c r="Z41" s="35">
        <f>IF(OR(I41="nein",I41="no"),1,0)</f>
        <v/>
      </c>
      <c r="AA41" s="35">
        <f>IF(OR(J41="nein",J41="no"),1,0)</f>
        <v/>
      </c>
      <c r="AB41" s="35">
        <f>IF(OR(K41="nein",K41="no"),1,0)</f>
        <v/>
      </c>
      <c r="AC41" s="35">
        <f>IF(OR(G41="ja",G41="yes"),1,0)</f>
        <v/>
      </c>
      <c r="AD41" s="35">
        <f>IF(AND(AC41=1,OR(H41="ja",H41="yes")),1,0)</f>
        <v/>
      </c>
      <c r="AE41" s="35">
        <f>IF(AC41=1,IF(AD41=1,Pkt_Abk_mit,Pkt_Abk_ohne),0)</f>
        <v/>
      </c>
      <c r="AF41" s="35">
        <f>(G41&lt;&gt;"")+(I41&lt;&gt;"")+(J41&lt;&gt;"")+(K41&lt;&gt;"")</f>
        <v/>
      </c>
      <c r="AG41" s="35">
        <f>IF(Q41&lt;&gt;"",Q41,IF(AF41&lt;4,"",IF(Z41=1,Tage_nicht_beschaffbar,Tage_beschaffbar)))</f>
        <v/>
      </c>
      <c r="AH41" s="35">
        <f>IF(M41="","",M41*1000+Y41*10+(1000-ROW())/100000)</f>
        <v/>
      </c>
    </row>
    <row r="42" ht="34" customHeight="1">
      <c r="A42" s="23">
        <f>IF(B42="","",COUNTA($B$9:B42))</f>
        <v/>
      </c>
      <c r="B42" s="24" t="n"/>
      <c r="C42" s="25" t="n"/>
      <c r="D42" s="25" t="n"/>
      <c r="E42" s="25" t="n"/>
      <c r="F42" s="26" t="n"/>
      <c r="G42" s="26" t="n"/>
      <c r="H42" s="27" t="n"/>
      <c r="I42" s="26" t="n"/>
      <c r="J42" s="26" t="n"/>
      <c r="K42" s="26" t="n"/>
      <c r="L42" s="23">
        <f>IF(AF42&lt;4,"",Z42+AA42+AB42+AE42)</f>
        <v/>
      </c>
      <c r="M42" s="28">
        <f>IF(OR(L42="",Y42=""),"",Y42*L42)</f>
        <v/>
      </c>
      <c r="N42" s="29">
        <f>IF(M42="","",IF(M42&lt;=Gruen_bis,"grün",IF(M42&lt;=Gelb_bis,"gelb","rot")))</f>
        <v/>
      </c>
      <c r="O42" s="30">
        <f>IF(N42="",IF(B42="","","Bewertung unvollständig – ★-Felder ausfüllen"),IF(N42="grün",IF(AC42=1,IF(AD42=1,"Abgekündigt, Nachfolger vorhanden: Umstieg bei nächster Gelegenheit planen","Abgekündigt: Endbevorratung (Last-Time-Buy) prüfen, Ersatzlösung planen"),"Keine aktive Maßnahme – jährlich prüfen"),IF(AND(Z42=1,AA42=1,AB42=1),"Sofort sichern: Restbestand / Gebrauchtteil kaufen und Ersatzlösung (Retrofit) planen",IF(AND(Z42=1,AB42=1),"Reparaturweg absichern (Dienstleister, Tauschteil), Gebrauchtteil prüfen",IF(AD42=1,"Auf Nachfolgeprodukt umstellen: Kompatibilität prüfen, Umstieg planen",IF(AC42=1,IF(AB42=1,"Abgekündigt ohne Nachfolger: sofort Endbevorratung (Last-Time-Buy) und Ersatzlösung planen","Abgekündigt ohne Nachfolger: Lagerteil sichern, Ersatzlösung (Retrofit) planen"),IF(Z42=1,"Nicht beschaffbar: Lagerteil schützen, Ersatzlösung mittelfristig planen",IF(AB42=1,IF(LEFT(S42,4)="nein","Bevorratung lohnt nicht – Lieferzeit und Reparaturweg absichern","Lagerbestand anlegen (mind. 1 Stk.)"),"Reparaturmöglichkeit klären"))))))))</f>
        <v/>
      </c>
      <c r="P42" s="31" t="n"/>
      <c r="Q42" s="27" t="n"/>
      <c r="R42" s="32">
        <f>IF(OR(AG42="",Y42="",AB42=0),"",AG42*INDEX(Krit_Kosten,MATCH(F42,Krit_Liste,0)))</f>
        <v/>
      </c>
      <c r="S42" s="33">
        <f>IF(N42="","",IF(N42="grün","–",IF(AB42=0,"am Lager / in stock",IF(N(P42)&lt;=0,"Stückpreis fehlt",IF(R42&gt;=Faktor_lohnt*P42,"ja – "&amp;FIXED(R42/P42,0)&amp;"-fach","nein – "&amp;FIXED(R42/P42,IF(R42/P42&lt;1,2,1))&amp;"-fach")))))</f>
        <v/>
      </c>
      <c r="T42" s="25" t="n"/>
      <c r="U42" s="34" t="n"/>
      <c r="V42" s="27" t="n"/>
      <c r="W42" s="25" t="n"/>
      <c r="X42" s="2" t="n"/>
      <c r="Y42" s="35">
        <f>IFERROR(INDEX(Krit_Faktor,MATCH(F42,Krit_Liste,0)),"")</f>
        <v/>
      </c>
      <c r="Z42" s="35">
        <f>IF(OR(I42="nein",I42="no"),1,0)</f>
        <v/>
      </c>
      <c r="AA42" s="35">
        <f>IF(OR(J42="nein",J42="no"),1,0)</f>
        <v/>
      </c>
      <c r="AB42" s="35">
        <f>IF(OR(K42="nein",K42="no"),1,0)</f>
        <v/>
      </c>
      <c r="AC42" s="35">
        <f>IF(OR(G42="ja",G42="yes"),1,0)</f>
        <v/>
      </c>
      <c r="AD42" s="35">
        <f>IF(AND(AC42=1,OR(H42="ja",H42="yes")),1,0)</f>
        <v/>
      </c>
      <c r="AE42" s="35">
        <f>IF(AC42=1,IF(AD42=1,Pkt_Abk_mit,Pkt_Abk_ohne),0)</f>
        <v/>
      </c>
      <c r="AF42" s="35">
        <f>(G42&lt;&gt;"")+(I42&lt;&gt;"")+(J42&lt;&gt;"")+(K42&lt;&gt;"")</f>
        <v/>
      </c>
      <c r="AG42" s="35">
        <f>IF(Q42&lt;&gt;"",Q42,IF(AF42&lt;4,"",IF(Z42=1,Tage_nicht_beschaffbar,Tage_beschaffbar)))</f>
        <v/>
      </c>
      <c r="AH42" s="35">
        <f>IF(M42="","",M42*1000+Y42*10+(1000-ROW())/100000)</f>
        <v/>
      </c>
    </row>
    <row r="43" ht="34" customHeight="1">
      <c r="A43" s="23">
        <f>IF(B43="","",COUNTA($B$9:B43))</f>
        <v/>
      </c>
      <c r="B43" s="24" t="n"/>
      <c r="C43" s="25" t="n"/>
      <c r="D43" s="25" t="n"/>
      <c r="E43" s="25" t="n"/>
      <c r="F43" s="26" t="n"/>
      <c r="G43" s="26" t="n"/>
      <c r="H43" s="27" t="n"/>
      <c r="I43" s="26" t="n"/>
      <c r="J43" s="26" t="n"/>
      <c r="K43" s="26" t="n"/>
      <c r="L43" s="23">
        <f>IF(AF43&lt;4,"",Z43+AA43+AB43+AE43)</f>
        <v/>
      </c>
      <c r="M43" s="28">
        <f>IF(OR(L43="",Y43=""),"",Y43*L43)</f>
        <v/>
      </c>
      <c r="N43" s="29">
        <f>IF(M43="","",IF(M43&lt;=Gruen_bis,"grün",IF(M43&lt;=Gelb_bis,"gelb","rot")))</f>
        <v/>
      </c>
      <c r="O43" s="30">
        <f>IF(N43="",IF(B43="","","Bewertung unvollständig – ★-Felder ausfüllen"),IF(N43="grün",IF(AC43=1,IF(AD43=1,"Abgekündigt, Nachfolger vorhanden: Umstieg bei nächster Gelegenheit planen","Abgekündigt: Endbevorratung (Last-Time-Buy) prüfen, Ersatzlösung planen"),"Keine aktive Maßnahme – jährlich prüfen"),IF(AND(Z43=1,AA43=1,AB43=1),"Sofort sichern: Restbestand / Gebrauchtteil kaufen und Ersatzlösung (Retrofit) planen",IF(AND(Z43=1,AB43=1),"Reparaturweg absichern (Dienstleister, Tauschteil), Gebrauchtteil prüfen",IF(AD43=1,"Auf Nachfolgeprodukt umstellen: Kompatibilität prüfen, Umstieg planen",IF(AC43=1,IF(AB43=1,"Abgekündigt ohne Nachfolger: sofort Endbevorratung (Last-Time-Buy) und Ersatzlösung planen","Abgekündigt ohne Nachfolger: Lagerteil sichern, Ersatzlösung (Retrofit) planen"),IF(Z43=1,"Nicht beschaffbar: Lagerteil schützen, Ersatzlösung mittelfristig planen",IF(AB43=1,IF(LEFT(S43,4)="nein","Bevorratung lohnt nicht – Lieferzeit und Reparaturweg absichern","Lagerbestand anlegen (mind. 1 Stk.)"),"Reparaturmöglichkeit klären"))))))))</f>
        <v/>
      </c>
      <c r="P43" s="31" t="n"/>
      <c r="Q43" s="27" t="n"/>
      <c r="R43" s="32">
        <f>IF(OR(AG43="",Y43="",AB43=0),"",AG43*INDEX(Krit_Kosten,MATCH(F43,Krit_Liste,0)))</f>
        <v/>
      </c>
      <c r="S43" s="33">
        <f>IF(N43="","",IF(N43="grün","–",IF(AB43=0,"am Lager / in stock",IF(N(P43)&lt;=0,"Stückpreis fehlt",IF(R43&gt;=Faktor_lohnt*P43,"ja – "&amp;FIXED(R43/P43,0)&amp;"-fach","nein – "&amp;FIXED(R43/P43,IF(R43/P43&lt;1,2,1))&amp;"-fach")))))</f>
        <v/>
      </c>
      <c r="T43" s="25" t="n"/>
      <c r="U43" s="34" t="n"/>
      <c r="V43" s="27" t="n"/>
      <c r="W43" s="25" t="n"/>
      <c r="X43" s="2" t="n"/>
      <c r="Y43" s="35">
        <f>IFERROR(INDEX(Krit_Faktor,MATCH(F43,Krit_Liste,0)),"")</f>
        <v/>
      </c>
      <c r="Z43" s="35">
        <f>IF(OR(I43="nein",I43="no"),1,0)</f>
        <v/>
      </c>
      <c r="AA43" s="35">
        <f>IF(OR(J43="nein",J43="no"),1,0)</f>
        <v/>
      </c>
      <c r="AB43" s="35">
        <f>IF(OR(K43="nein",K43="no"),1,0)</f>
        <v/>
      </c>
      <c r="AC43" s="35">
        <f>IF(OR(G43="ja",G43="yes"),1,0)</f>
        <v/>
      </c>
      <c r="AD43" s="35">
        <f>IF(AND(AC43=1,OR(H43="ja",H43="yes")),1,0)</f>
        <v/>
      </c>
      <c r="AE43" s="35">
        <f>IF(AC43=1,IF(AD43=1,Pkt_Abk_mit,Pkt_Abk_ohne),0)</f>
        <v/>
      </c>
      <c r="AF43" s="35">
        <f>(G43&lt;&gt;"")+(I43&lt;&gt;"")+(J43&lt;&gt;"")+(K43&lt;&gt;"")</f>
        <v/>
      </c>
      <c r="AG43" s="35">
        <f>IF(Q43&lt;&gt;"",Q43,IF(AF43&lt;4,"",IF(Z43=1,Tage_nicht_beschaffbar,Tage_beschaffbar)))</f>
        <v/>
      </c>
      <c r="AH43" s="35">
        <f>IF(M43="","",M43*1000+Y43*10+(1000-ROW())/100000)</f>
        <v/>
      </c>
    </row>
    <row r="44" ht="34" customHeight="1">
      <c r="A44" s="23">
        <f>IF(B44="","",COUNTA($B$9:B44))</f>
        <v/>
      </c>
      <c r="B44" s="24" t="n"/>
      <c r="C44" s="25" t="n"/>
      <c r="D44" s="25" t="n"/>
      <c r="E44" s="25" t="n"/>
      <c r="F44" s="26" t="n"/>
      <c r="G44" s="26" t="n"/>
      <c r="H44" s="27" t="n"/>
      <c r="I44" s="26" t="n"/>
      <c r="J44" s="26" t="n"/>
      <c r="K44" s="26" t="n"/>
      <c r="L44" s="23">
        <f>IF(AF44&lt;4,"",Z44+AA44+AB44+AE44)</f>
        <v/>
      </c>
      <c r="M44" s="28">
        <f>IF(OR(L44="",Y44=""),"",Y44*L44)</f>
        <v/>
      </c>
      <c r="N44" s="29">
        <f>IF(M44="","",IF(M44&lt;=Gruen_bis,"grün",IF(M44&lt;=Gelb_bis,"gelb","rot")))</f>
        <v/>
      </c>
      <c r="O44" s="30">
        <f>IF(N44="",IF(B44="","","Bewertung unvollständig – ★-Felder ausfüllen"),IF(N44="grün",IF(AC44=1,IF(AD44=1,"Abgekündigt, Nachfolger vorhanden: Umstieg bei nächster Gelegenheit planen","Abgekündigt: Endbevorratung (Last-Time-Buy) prüfen, Ersatzlösung planen"),"Keine aktive Maßnahme – jährlich prüfen"),IF(AND(Z44=1,AA44=1,AB44=1),"Sofort sichern: Restbestand / Gebrauchtteil kaufen und Ersatzlösung (Retrofit) planen",IF(AND(Z44=1,AB44=1),"Reparaturweg absichern (Dienstleister, Tauschteil), Gebrauchtteil prüfen",IF(AD44=1,"Auf Nachfolgeprodukt umstellen: Kompatibilität prüfen, Umstieg planen",IF(AC44=1,IF(AB44=1,"Abgekündigt ohne Nachfolger: sofort Endbevorratung (Last-Time-Buy) und Ersatzlösung planen","Abgekündigt ohne Nachfolger: Lagerteil sichern, Ersatzlösung (Retrofit) planen"),IF(Z44=1,"Nicht beschaffbar: Lagerteil schützen, Ersatzlösung mittelfristig planen",IF(AB44=1,IF(LEFT(S44,4)="nein","Bevorratung lohnt nicht – Lieferzeit und Reparaturweg absichern","Lagerbestand anlegen (mind. 1 Stk.)"),"Reparaturmöglichkeit klären"))))))))</f>
        <v/>
      </c>
      <c r="P44" s="31" t="n"/>
      <c r="Q44" s="27" t="n"/>
      <c r="R44" s="32">
        <f>IF(OR(AG44="",Y44="",AB44=0),"",AG44*INDEX(Krit_Kosten,MATCH(F44,Krit_Liste,0)))</f>
        <v/>
      </c>
      <c r="S44" s="33">
        <f>IF(N44="","",IF(N44="grün","–",IF(AB44=0,"am Lager / in stock",IF(N(P44)&lt;=0,"Stückpreis fehlt",IF(R44&gt;=Faktor_lohnt*P44,"ja – "&amp;FIXED(R44/P44,0)&amp;"-fach","nein – "&amp;FIXED(R44/P44,IF(R44/P44&lt;1,2,1))&amp;"-fach")))))</f>
        <v/>
      </c>
      <c r="T44" s="25" t="n"/>
      <c r="U44" s="34" t="n"/>
      <c r="V44" s="27" t="n"/>
      <c r="W44" s="25" t="n"/>
      <c r="X44" s="2" t="n"/>
      <c r="Y44" s="35">
        <f>IFERROR(INDEX(Krit_Faktor,MATCH(F44,Krit_Liste,0)),"")</f>
        <v/>
      </c>
      <c r="Z44" s="35">
        <f>IF(OR(I44="nein",I44="no"),1,0)</f>
        <v/>
      </c>
      <c r="AA44" s="35">
        <f>IF(OR(J44="nein",J44="no"),1,0)</f>
        <v/>
      </c>
      <c r="AB44" s="35">
        <f>IF(OR(K44="nein",K44="no"),1,0)</f>
        <v/>
      </c>
      <c r="AC44" s="35">
        <f>IF(OR(G44="ja",G44="yes"),1,0)</f>
        <v/>
      </c>
      <c r="AD44" s="35">
        <f>IF(AND(AC44=1,OR(H44="ja",H44="yes")),1,0)</f>
        <v/>
      </c>
      <c r="AE44" s="35">
        <f>IF(AC44=1,IF(AD44=1,Pkt_Abk_mit,Pkt_Abk_ohne),0)</f>
        <v/>
      </c>
      <c r="AF44" s="35">
        <f>(G44&lt;&gt;"")+(I44&lt;&gt;"")+(J44&lt;&gt;"")+(K44&lt;&gt;"")</f>
        <v/>
      </c>
      <c r="AG44" s="35">
        <f>IF(Q44&lt;&gt;"",Q44,IF(AF44&lt;4,"",IF(Z44=1,Tage_nicht_beschaffbar,Tage_beschaffbar)))</f>
        <v/>
      </c>
      <c r="AH44" s="35">
        <f>IF(M44="","",M44*1000+Y44*10+(1000-ROW())/100000)</f>
        <v/>
      </c>
    </row>
    <row r="45" ht="34" customHeight="1">
      <c r="A45" s="23">
        <f>IF(B45="","",COUNTA($B$9:B45))</f>
        <v/>
      </c>
      <c r="B45" s="24" t="n"/>
      <c r="C45" s="25" t="n"/>
      <c r="D45" s="25" t="n"/>
      <c r="E45" s="25" t="n"/>
      <c r="F45" s="26" t="n"/>
      <c r="G45" s="26" t="n"/>
      <c r="H45" s="27" t="n"/>
      <c r="I45" s="26" t="n"/>
      <c r="J45" s="26" t="n"/>
      <c r="K45" s="26" t="n"/>
      <c r="L45" s="23">
        <f>IF(AF45&lt;4,"",Z45+AA45+AB45+AE45)</f>
        <v/>
      </c>
      <c r="M45" s="28">
        <f>IF(OR(L45="",Y45=""),"",Y45*L45)</f>
        <v/>
      </c>
      <c r="N45" s="29">
        <f>IF(M45="","",IF(M45&lt;=Gruen_bis,"grün",IF(M45&lt;=Gelb_bis,"gelb","rot")))</f>
        <v/>
      </c>
      <c r="O45" s="30">
        <f>IF(N45="",IF(B45="","","Bewertung unvollständig – ★-Felder ausfüllen"),IF(N45="grün",IF(AC45=1,IF(AD45=1,"Abgekündigt, Nachfolger vorhanden: Umstieg bei nächster Gelegenheit planen","Abgekündigt: Endbevorratung (Last-Time-Buy) prüfen, Ersatzlösung planen"),"Keine aktive Maßnahme – jährlich prüfen"),IF(AND(Z45=1,AA45=1,AB45=1),"Sofort sichern: Restbestand / Gebrauchtteil kaufen und Ersatzlösung (Retrofit) planen",IF(AND(Z45=1,AB45=1),"Reparaturweg absichern (Dienstleister, Tauschteil), Gebrauchtteil prüfen",IF(AD45=1,"Auf Nachfolgeprodukt umstellen: Kompatibilität prüfen, Umstieg planen",IF(AC45=1,IF(AB45=1,"Abgekündigt ohne Nachfolger: sofort Endbevorratung (Last-Time-Buy) und Ersatzlösung planen","Abgekündigt ohne Nachfolger: Lagerteil sichern, Ersatzlösung (Retrofit) planen"),IF(Z45=1,"Nicht beschaffbar: Lagerteil schützen, Ersatzlösung mittelfristig planen",IF(AB45=1,IF(LEFT(S45,4)="nein","Bevorratung lohnt nicht – Lieferzeit und Reparaturweg absichern","Lagerbestand anlegen (mind. 1 Stk.)"),"Reparaturmöglichkeit klären"))))))))</f>
        <v/>
      </c>
      <c r="P45" s="31" t="n"/>
      <c r="Q45" s="27" t="n"/>
      <c r="R45" s="32">
        <f>IF(OR(AG45="",Y45="",AB45=0),"",AG45*INDEX(Krit_Kosten,MATCH(F45,Krit_Liste,0)))</f>
        <v/>
      </c>
      <c r="S45" s="33">
        <f>IF(N45="","",IF(N45="grün","–",IF(AB45=0,"am Lager / in stock",IF(N(P45)&lt;=0,"Stückpreis fehlt",IF(R45&gt;=Faktor_lohnt*P45,"ja – "&amp;FIXED(R45/P45,0)&amp;"-fach","nein – "&amp;FIXED(R45/P45,IF(R45/P45&lt;1,2,1))&amp;"-fach")))))</f>
        <v/>
      </c>
      <c r="T45" s="25" t="n"/>
      <c r="U45" s="34" t="n"/>
      <c r="V45" s="27" t="n"/>
      <c r="W45" s="25" t="n"/>
      <c r="X45" s="2" t="n"/>
      <c r="Y45" s="35">
        <f>IFERROR(INDEX(Krit_Faktor,MATCH(F45,Krit_Liste,0)),"")</f>
        <v/>
      </c>
      <c r="Z45" s="35">
        <f>IF(OR(I45="nein",I45="no"),1,0)</f>
        <v/>
      </c>
      <c r="AA45" s="35">
        <f>IF(OR(J45="nein",J45="no"),1,0)</f>
        <v/>
      </c>
      <c r="AB45" s="35">
        <f>IF(OR(K45="nein",K45="no"),1,0)</f>
        <v/>
      </c>
      <c r="AC45" s="35">
        <f>IF(OR(G45="ja",G45="yes"),1,0)</f>
        <v/>
      </c>
      <c r="AD45" s="35">
        <f>IF(AND(AC45=1,OR(H45="ja",H45="yes")),1,0)</f>
        <v/>
      </c>
      <c r="AE45" s="35">
        <f>IF(AC45=1,IF(AD45=1,Pkt_Abk_mit,Pkt_Abk_ohne),0)</f>
        <v/>
      </c>
      <c r="AF45" s="35">
        <f>(G45&lt;&gt;"")+(I45&lt;&gt;"")+(J45&lt;&gt;"")+(K45&lt;&gt;"")</f>
        <v/>
      </c>
      <c r="AG45" s="35">
        <f>IF(Q45&lt;&gt;"",Q45,IF(AF45&lt;4,"",IF(Z45=1,Tage_nicht_beschaffbar,Tage_beschaffbar)))</f>
        <v/>
      </c>
      <c r="AH45" s="35">
        <f>IF(M45="","",M45*1000+Y45*10+(1000-ROW())/100000)</f>
        <v/>
      </c>
    </row>
    <row r="46" ht="34" customHeight="1">
      <c r="A46" s="23">
        <f>IF(B46="","",COUNTA($B$9:B46))</f>
        <v/>
      </c>
      <c r="B46" s="24" t="n"/>
      <c r="C46" s="25" t="n"/>
      <c r="D46" s="25" t="n"/>
      <c r="E46" s="25" t="n"/>
      <c r="F46" s="26" t="n"/>
      <c r="G46" s="26" t="n"/>
      <c r="H46" s="27" t="n"/>
      <c r="I46" s="26" t="n"/>
      <c r="J46" s="26" t="n"/>
      <c r="K46" s="26" t="n"/>
      <c r="L46" s="23">
        <f>IF(AF46&lt;4,"",Z46+AA46+AB46+AE46)</f>
        <v/>
      </c>
      <c r="M46" s="28">
        <f>IF(OR(L46="",Y46=""),"",Y46*L46)</f>
        <v/>
      </c>
      <c r="N46" s="29">
        <f>IF(M46="","",IF(M46&lt;=Gruen_bis,"grün",IF(M46&lt;=Gelb_bis,"gelb","rot")))</f>
        <v/>
      </c>
      <c r="O46" s="30">
        <f>IF(N46="",IF(B46="","","Bewertung unvollständig – ★-Felder ausfüllen"),IF(N46="grün",IF(AC46=1,IF(AD46=1,"Abgekündigt, Nachfolger vorhanden: Umstieg bei nächster Gelegenheit planen","Abgekündigt: Endbevorratung (Last-Time-Buy) prüfen, Ersatzlösung planen"),"Keine aktive Maßnahme – jährlich prüfen"),IF(AND(Z46=1,AA46=1,AB46=1),"Sofort sichern: Restbestand / Gebrauchtteil kaufen und Ersatzlösung (Retrofit) planen",IF(AND(Z46=1,AB46=1),"Reparaturweg absichern (Dienstleister, Tauschteil), Gebrauchtteil prüfen",IF(AD46=1,"Auf Nachfolgeprodukt umstellen: Kompatibilität prüfen, Umstieg planen",IF(AC46=1,IF(AB46=1,"Abgekündigt ohne Nachfolger: sofort Endbevorratung (Last-Time-Buy) und Ersatzlösung planen","Abgekündigt ohne Nachfolger: Lagerteil sichern, Ersatzlösung (Retrofit) planen"),IF(Z46=1,"Nicht beschaffbar: Lagerteil schützen, Ersatzlösung mittelfristig planen",IF(AB46=1,IF(LEFT(S46,4)="nein","Bevorratung lohnt nicht – Lieferzeit und Reparaturweg absichern","Lagerbestand anlegen (mind. 1 Stk.)"),"Reparaturmöglichkeit klären"))))))))</f>
        <v/>
      </c>
      <c r="P46" s="31" t="n"/>
      <c r="Q46" s="27" t="n"/>
      <c r="R46" s="32">
        <f>IF(OR(AG46="",Y46="",AB46=0),"",AG46*INDEX(Krit_Kosten,MATCH(F46,Krit_Liste,0)))</f>
        <v/>
      </c>
      <c r="S46" s="33">
        <f>IF(N46="","",IF(N46="grün","–",IF(AB46=0,"am Lager / in stock",IF(N(P46)&lt;=0,"Stückpreis fehlt",IF(R46&gt;=Faktor_lohnt*P46,"ja – "&amp;FIXED(R46/P46,0)&amp;"-fach","nein – "&amp;FIXED(R46/P46,IF(R46/P46&lt;1,2,1))&amp;"-fach")))))</f>
        <v/>
      </c>
      <c r="T46" s="25" t="n"/>
      <c r="U46" s="34" t="n"/>
      <c r="V46" s="27" t="n"/>
      <c r="W46" s="25" t="n"/>
      <c r="X46" s="2" t="n"/>
      <c r="Y46" s="35">
        <f>IFERROR(INDEX(Krit_Faktor,MATCH(F46,Krit_Liste,0)),"")</f>
        <v/>
      </c>
      <c r="Z46" s="35">
        <f>IF(OR(I46="nein",I46="no"),1,0)</f>
        <v/>
      </c>
      <c r="AA46" s="35">
        <f>IF(OR(J46="nein",J46="no"),1,0)</f>
        <v/>
      </c>
      <c r="AB46" s="35">
        <f>IF(OR(K46="nein",K46="no"),1,0)</f>
        <v/>
      </c>
      <c r="AC46" s="35">
        <f>IF(OR(G46="ja",G46="yes"),1,0)</f>
        <v/>
      </c>
      <c r="AD46" s="35">
        <f>IF(AND(AC46=1,OR(H46="ja",H46="yes")),1,0)</f>
        <v/>
      </c>
      <c r="AE46" s="35">
        <f>IF(AC46=1,IF(AD46=1,Pkt_Abk_mit,Pkt_Abk_ohne),0)</f>
        <v/>
      </c>
      <c r="AF46" s="35">
        <f>(G46&lt;&gt;"")+(I46&lt;&gt;"")+(J46&lt;&gt;"")+(K46&lt;&gt;"")</f>
        <v/>
      </c>
      <c r="AG46" s="35">
        <f>IF(Q46&lt;&gt;"",Q46,IF(AF46&lt;4,"",IF(Z46=1,Tage_nicht_beschaffbar,Tage_beschaffbar)))</f>
        <v/>
      </c>
      <c r="AH46" s="35">
        <f>IF(M46="","",M46*1000+Y46*10+(1000-ROW())/100000)</f>
        <v/>
      </c>
    </row>
    <row r="47" ht="34" customHeight="1">
      <c r="A47" s="23">
        <f>IF(B47="","",COUNTA($B$9:B47))</f>
        <v/>
      </c>
      <c r="B47" s="24" t="n"/>
      <c r="C47" s="25" t="n"/>
      <c r="D47" s="25" t="n"/>
      <c r="E47" s="25" t="n"/>
      <c r="F47" s="26" t="n"/>
      <c r="G47" s="26" t="n"/>
      <c r="H47" s="27" t="n"/>
      <c r="I47" s="26" t="n"/>
      <c r="J47" s="26" t="n"/>
      <c r="K47" s="26" t="n"/>
      <c r="L47" s="23">
        <f>IF(AF47&lt;4,"",Z47+AA47+AB47+AE47)</f>
        <v/>
      </c>
      <c r="M47" s="28">
        <f>IF(OR(L47="",Y47=""),"",Y47*L47)</f>
        <v/>
      </c>
      <c r="N47" s="29">
        <f>IF(M47="","",IF(M47&lt;=Gruen_bis,"grün",IF(M47&lt;=Gelb_bis,"gelb","rot")))</f>
        <v/>
      </c>
      <c r="O47" s="30">
        <f>IF(N47="",IF(B47="","","Bewertung unvollständig – ★-Felder ausfüllen"),IF(N47="grün",IF(AC47=1,IF(AD47=1,"Abgekündigt, Nachfolger vorhanden: Umstieg bei nächster Gelegenheit planen","Abgekündigt: Endbevorratung (Last-Time-Buy) prüfen, Ersatzlösung planen"),"Keine aktive Maßnahme – jährlich prüfen"),IF(AND(Z47=1,AA47=1,AB47=1),"Sofort sichern: Restbestand / Gebrauchtteil kaufen und Ersatzlösung (Retrofit) planen",IF(AND(Z47=1,AB47=1),"Reparaturweg absichern (Dienstleister, Tauschteil), Gebrauchtteil prüfen",IF(AD47=1,"Auf Nachfolgeprodukt umstellen: Kompatibilität prüfen, Umstieg planen",IF(AC47=1,IF(AB47=1,"Abgekündigt ohne Nachfolger: sofort Endbevorratung (Last-Time-Buy) und Ersatzlösung planen","Abgekündigt ohne Nachfolger: Lagerteil sichern, Ersatzlösung (Retrofit) planen"),IF(Z47=1,"Nicht beschaffbar: Lagerteil schützen, Ersatzlösung mittelfristig planen",IF(AB47=1,IF(LEFT(S47,4)="nein","Bevorratung lohnt nicht – Lieferzeit und Reparaturweg absichern","Lagerbestand anlegen (mind. 1 Stk.)"),"Reparaturmöglichkeit klären"))))))))</f>
        <v/>
      </c>
      <c r="P47" s="31" t="n"/>
      <c r="Q47" s="27" t="n"/>
      <c r="R47" s="32">
        <f>IF(OR(AG47="",Y47="",AB47=0),"",AG47*INDEX(Krit_Kosten,MATCH(F47,Krit_Liste,0)))</f>
        <v/>
      </c>
      <c r="S47" s="33">
        <f>IF(N47="","",IF(N47="grün","–",IF(AB47=0,"am Lager / in stock",IF(N(P47)&lt;=0,"Stückpreis fehlt",IF(R47&gt;=Faktor_lohnt*P47,"ja – "&amp;FIXED(R47/P47,0)&amp;"-fach","nein – "&amp;FIXED(R47/P47,IF(R47/P47&lt;1,2,1))&amp;"-fach")))))</f>
        <v/>
      </c>
      <c r="T47" s="25" t="n"/>
      <c r="U47" s="34" t="n"/>
      <c r="V47" s="27" t="n"/>
      <c r="W47" s="25" t="n"/>
      <c r="X47" s="2" t="n"/>
      <c r="Y47" s="35">
        <f>IFERROR(INDEX(Krit_Faktor,MATCH(F47,Krit_Liste,0)),"")</f>
        <v/>
      </c>
      <c r="Z47" s="35">
        <f>IF(OR(I47="nein",I47="no"),1,0)</f>
        <v/>
      </c>
      <c r="AA47" s="35">
        <f>IF(OR(J47="nein",J47="no"),1,0)</f>
        <v/>
      </c>
      <c r="AB47" s="35">
        <f>IF(OR(K47="nein",K47="no"),1,0)</f>
        <v/>
      </c>
      <c r="AC47" s="35">
        <f>IF(OR(G47="ja",G47="yes"),1,0)</f>
        <v/>
      </c>
      <c r="AD47" s="35">
        <f>IF(AND(AC47=1,OR(H47="ja",H47="yes")),1,0)</f>
        <v/>
      </c>
      <c r="AE47" s="35">
        <f>IF(AC47=1,IF(AD47=1,Pkt_Abk_mit,Pkt_Abk_ohne),0)</f>
        <v/>
      </c>
      <c r="AF47" s="35">
        <f>(G47&lt;&gt;"")+(I47&lt;&gt;"")+(J47&lt;&gt;"")+(K47&lt;&gt;"")</f>
        <v/>
      </c>
      <c r="AG47" s="35">
        <f>IF(Q47&lt;&gt;"",Q47,IF(AF47&lt;4,"",IF(Z47=1,Tage_nicht_beschaffbar,Tage_beschaffbar)))</f>
        <v/>
      </c>
      <c r="AH47" s="35">
        <f>IF(M47="","",M47*1000+Y47*10+(1000-ROW())/100000)</f>
        <v/>
      </c>
    </row>
    <row r="48" ht="34" customHeight="1">
      <c r="A48" s="23">
        <f>IF(B48="","",COUNTA($B$9:B48))</f>
        <v/>
      </c>
      <c r="B48" s="24" t="n"/>
      <c r="C48" s="25" t="n"/>
      <c r="D48" s="25" t="n"/>
      <c r="E48" s="25" t="n"/>
      <c r="F48" s="26" t="n"/>
      <c r="G48" s="26" t="n"/>
      <c r="H48" s="27" t="n"/>
      <c r="I48" s="26" t="n"/>
      <c r="J48" s="26" t="n"/>
      <c r="K48" s="26" t="n"/>
      <c r="L48" s="23">
        <f>IF(AF48&lt;4,"",Z48+AA48+AB48+AE48)</f>
        <v/>
      </c>
      <c r="M48" s="28">
        <f>IF(OR(L48="",Y48=""),"",Y48*L48)</f>
        <v/>
      </c>
      <c r="N48" s="29">
        <f>IF(M48="","",IF(M48&lt;=Gruen_bis,"grün",IF(M48&lt;=Gelb_bis,"gelb","rot")))</f>
        <v/>
      </c>
      <c r="O48" s="30">
        <f>IF(N48="",IF(B48="","","Bewertung unvollständig – ★-Felder ausfüllen"),IF(N48="grün",IF(AC48=1,IF(AD48=1,"Abgekündigt, Nachfolger vorhanden: Umstieg bei nächster Gelegenheit planen","Abgekündigt: Endbevorratung (Last-Time-Buy) prüfen, Ersatzlösung planen"),"Keine aktive Maßnahme – jährlich prüfen"),IF(AND(Z48=1,AA48=1,AB48=1),"Sofort sichern: Restbestand / Gebrauchtteil kaufen und Ersatzlösung (Retrofit) planen",IF(AND(Z48=1,AB48=1),"Reparaturweg absichern (Dienstleister, Tauschteil), Gebrauchtteil prüfen",IF(AD48=1,"Auf Nachfolgeprodukt umstellen: Kompatibilität prüfen, Umstieg planen",IF(AC48=1,IF(AB48=1,"Abgekündigt ohne Nachfolger: sofort Endbevorratung (Last-Time-Buy) und Ersatzlösung planen","Abgekündigt ohne Nachfolger: Lagerteil sichern, Ersatzlösung (Retrofit) planen"),IF(Z48=1,"Nicht beschaffbar: Lagerteil schützen, Ersatzlösung mittelfristig planen",IF(AB48=1,IF(LEFT(S48,4)="nein","Bevorratung lohnt nicht – Lieferzeit und Reparaturweg absichern","Lagerbestand anlegen (mind. 1 Stk.)"),"Reparaturmöglichkeit klären"))))))))</f>
        <v/>
      </c>
      <c r="P48" s="31" t="n"/>
      <c r="Q48" s="27" t="n"/>
      <c r="R48" s="32">
        <f>IF(OR(AG48="",Y48="",AB48=0),"",AG48*INDEX(Krit_Kosten,MATCH(F48,Krit_Liste,0)))</f>
        <v/>
      </c>
      <c r="S48" s="33">
        <f>IF(N48="","",IF(N48="grün","–",IF(AB48=0,"am Lager / in stock",IF(N(P48)&lt;=0,"Stückpreis fehlt",IF(R48&gt;=Faktor_lohnt*P48,"ja – "&amp;FIXED(R48/P48,0)&amp;"-fach","nein – "&amp;FIXED(R48/P48,IF(R48/P48&lt;1,2,1))&amp;"-fach")))))</f>
        <v/>
      </c>
      <c r="T48" s="25" t="n"/>
      <c r="U48" s="34" t="n"/>
      <c r="V48" s="27" t="n"/>
      <c r="W48" s="25" t="n"/>
      <c r="X48" s="2" t="n"/>
      <c r="Y48" s="35">
        <f>IFERROR(INDEX(Krit_Faktor,MATCH(F48,Krit_Liste,0)),"")</f>
        <v/>
      </c>
      <c r="Z48" s="35">
        <f>IF(OR(I48="nein",I48="no"),1,0)</f>
        <v/>
      </c>
      <c r="AA48" s="35">
        <f>IF(OR(J48="nein",J48="no"),1,0)</f>
        <v/>
      </c>
      <c r="AB48" s="35">
        <f>IF(OR(K48="nein",K48="no"),1,0)</f>
        <v/>
      </c>
      <c r="AC48" s="35">
        <f>IF(OR(G48="ja",G48="yes"),1,0)</f>
        <v/>
      </c>
      <c r="AD48" s="35">
        <f>IF(AND(AC48=1,OR(H48="ja",H48="yes")),1,0)</f>
        <v/>
      </c>
      <c r="AE48" s="35">
        <f>IF(AC48=1,IF(AD48=1,Pkt_Abk_mit,Pkt_Abk_ohne),0)</f>
        <v/>
      </c>
      <c r="AF48" s="35">
        <f>(G48&lt;&gt;"")+(I48&lt;&gt;"")+(J48&lt;&gt;"")+(K48&lt;&gt;"")</f>
        <v/>
      </c>
      <c r="AG48" s="35">
        <f>IF(Q48&lt;&gt;"",Q48,IF(AF48&lt;4,"",IF(Z48=1,Tage_nicht_beschaffbar,Tage_beschaffbar)))</f>
        <v/>
      </c>
      <c r="AH48" s="35">
        <f>IF(M48="","",M48*1000+Y48*10+(1000-ROW())/100000)</f>
        <v/>
      </c>
    </row>
    <row r="49" ht="34" customHeight="1">
      <c r="A49" s="23">
        <f>IF(B49="","",COUNTA($B$9:B49))</f>
        <v/>
      </c>
      <c r="B49" s="24" t="n"/>
      <c r="C49" s="25" t="n"/>
      <c r="D49" s="25" t="n"/>
      <c r="E49" s="25" t="n"/>
      <c r="F49" s="26" t="n"/>
      <c r="G49" s="26" t="n"/>
      <c r="H49" s="27" t="n"/>
      <c r="I49" s="26" t="n"/>
      <c r="J49" s="26" t="n"/>
      <c r="K49" s="26" t="n"/>
      <c r="L49" s="23">
        <f>IF(AF49&lt;4,"",Z49+AA49+AB49+AE49)</f>
        <v/>
      </c>
      <c r="M49" s="28">
        <f>IF(OR(L49="",Y49=""),"",Y49*L49)</f>
        <v/>
      </c>
      <c r="N49" s="29">
        <f>IF(M49="","",IF(M49&lt;=Gruen_bis,"grün",IF(M49&lt;=Gelb_bis,"gelb","rot")))</f>
        <v/>
      </c>
      <c r="O49" s="30">
        <f>IF(N49="",IF(B49="","","Bewertung unvollständig – ★-Felder ausfüllen"),IF(N49="grün",IF(AC49=1,IF(AD49=1,"Abgekündigt, Nachfolger vorhanden: Umstieg bei nächster Gelegenheit planen","Abgekündigt: Endbevorratung (Last-Time-Buy) prüfen, Ersatzlösung planen"),"Keine aktive Maßnahme – jährlich prüfen"),IF(AND(Z49=1,AA49=1,AB49=1),"Sofort sichern: Restbestand / Gebrauchtteil kaufen und Ersatzlösung (Retrofit) planen",IF(AND(Z49=1,AB49=1),"Reparaturweg absichern (Dienstleister, Tauschteil), Gebrauchtteil prüfen",IF(AD49=1,"Auf Nachfolgeprodukt umstellen: Kompatibilität prüfen, Umstieg planen",IF(AC49=1,IF(AB49=1,"Abgekündigt ohne Nachfolger: sofort Endbevorratung (Last-Time-Buy) und Ersatzlösung planen","Abgekündigt ohne Nachfolger: Lagerteil sichern, Ersatzlösung (Retrofit) planen"),IF(Z49=1,"Nicht beschaffbar: Lagerteil schützen, Ersatzlösung mittelfristig planen",IF(AB49=1,IF(LEFT(S49,4)="nein","Bevorratung lohnt nicht – Lieferzeit und Reparaturweg absichern","Lagerbestand anlegen (mind. 1 Stk.)"),"Reparaturmöglichkeit klären"))))))))</f>
        <v/>
      </c>
      <c r="P49" s="31" t="n"/>
      <c r="Q49" s="27" t="n"/>
      <c r="R49" s="32">
        <f>IF(OR(AG49="",Y49="",AB49=0),"",AG49*INDEX(Krit_Kosten,MATCH(F49,Krit_Liste,0)))</f>
        <v/>
      </c>
      <c r="S49" s="33">
        <f>IF(N49="","",IF(N49="grün","–",IF(AB49=0,"am Lager / in stock",IF(N(P49)&lt;=0,"Stückpreis fehlt",IF(R49&gt;=Faktor_lohnt*P49,"ja – "&amp;FIXED(R49/P49,0)&amp;"-fach","nein – "&amp;FIXED(R49/P49,IF(R49/P49&lt;1,2,1))&amp;"-fach")))))</f>
        <v/>
      </c>
      <c r="T49" s="25" t="n"/>
      <c r="U49" s="34" t="n"/>
      <c r="V49" s="27" t="n"/>
      <c r="W49" s="25" t="n"/>
      <c r="X49" s="2" t="n"/>
      <c r="Y49" s="35">
        <f>IFERROR(INDEX(Krit_Faktor,MATCH(F49,Krit_Liste,0)),"")</f>
        <v/>
      </c>
      <c r="Z49" s="35">
        <f>IF(OR(I49="nein",I49="no"),1,0)</f>
        <v/>
      </c>
      <c r="AA49" s="35">
        <f>IF(OR(J49="nein",J49="no"),1,0)</f>
        <v/>
      </c>
      <c r="AB49" s="35">
        <f>IF(OR(K49="nein",K49="no"),1,0)</f>
        <v/>
      </c>
      <c r="AC49" s="35">
        <f>IF(OR(G49="ja",G49="yes"),1,0)</f>
        <v/>
      </c>
      <c r="AD49" s="35">
        <f>IF(AND(AC49=1,OR(H49="ja",H49="yes")),1,0)</f>
        <v/>
      </c>
      <c r="AE49" s="35">
        <f>IF(AC49=1,IF(AD49=1,Pkt_Abk_mit,Pkt_Abk_ohne),0)</f>
        <v/>
      </c>
      <c r="AF49" s="35">
        <f>(G49&lt;&gt;"")+(I49&lt;&gt;"")+(J49&lt;&gt;"")+(K49&lt;&gt;"")</f>
        <v/>
      </c>
      <c r="AG49" s="35">
        <f>IF(Q49&lt;&gt;"",Q49,IF(AF49&lt;4,"",IF(Z49=1,Tage_nicht_beschaffbar,Tage_beschaffbar)))</f>
        <v/>
      </c>
      <c r="AH49" s="35">
        <f>IF(M49="","",M49*1000+Y49*10+(1000-ROW())/100000)</f>
        <v/>
      </c>
    </row>
    <row r="50" ht="34" customHeight="1">
      <c r="A50" s="23">
        <f>IF(B50="","",COUNTA($B$9:B50))</f>
        <v/>
      </c>
      <c r="B50" s="24" t="n"/>
      <c r="C50" s="25" t="n"/>
      <c r="D50" s="25" t="n"/>
      <c r="E50" s="25" t="n"/>
      <c r="F50" s="26" t="n"/>
      <c r="G50" s="26" t="n"/>
      <c r="H50" s="27" t="n"/>
      <c r="I50" s="26" t="n"/>
      <c r="J50" s="26" t="n"/>
      <c r="K50" s="26" t="n"/>
      <c r="L50" s="23">
        <f>IF(AF50&lt;4,"",Z50+AA50+AB50+AE50)</f>
        <v/>
      </c>
      <c r="M50" s="28">
        <f>IF(OR(L50="",Y50=""),"",Y50*L50)</f>
        <v/>
      </c>
      <c r="N50" s="29">
        <f>IF(M50="","",IF(M50&lt;=Gruen_bis,"grün",IF(M50&lt;=Gelb_bis,"gelb","rot")))</f>
        <v/>
      </c>
      <c r="O50" s="30">
        <f>IF(N50="",IF(B50="","","Bewertung unvollständig – ★-Felder ausfüllen"),IF(N50="grün",IF(AC50=1,IF(AD50=1,"Abgekündigt, Nachfolger vorhanden: Umstieg bei nächster Gelegenheit planen","Abgekündigt: Endbevorratung (Last-Time-Buy) prüfen, Ersatzlösung planen"),"Keine aktive Maßnahme – jährlich prüfen"),IF(AND(Z50=1,AA50=1,AB50=1),"Sofort sichern: Restbestand / Gebrauchtteil kaufen und Ersatzlösung (Retrofit) planen",IF(AND(Z50=1,AB50=1),"Reparaturweg absichern (Dienstleister, Tauschteil), Gebrauchtteil prüfen",IF(AD50=1,"Auf Nachfolgeprodukt umstellen: Kompatibilität prüfen, Umstieg planen",IF(AC50=1,IF(AB50=1,"Abgekündigt ohne Nachfolger: sofort Endbevorratung (Last-Time-Buy) und Ersatzlösung planen","Abgekündigt ohne Nachfolger: Lagerteil sichern, Ersatzlösung (Retrofit) planen"),IF(Z50=1,"Nicht beschaffbar: Lagerteil schützen, Ersatzlösung mittelfristig planen",IF(AB50=1,IF(LEFT(S50,4)="nein","Bevorratung lohnt nicht – Lieferzeit und Reparaturweg absichern","Lagerbestand anlegen (mind. 1 Stk.)"),"Reparaturmöglichkeit klären"))))))))</f>
        <v/>
      </c>
      <c r="P50" s="31" t="n"/>
      <c r="Q50" s="27" t="n"/>
      <c r="R50" s="32">
        <f>IF(OR(AG50="",Y50="",AB50=0),"",AG50*INDEX(Krit_Kosten,MATCH(F50,Krit_Liste,0)))</f>
        <v/>
      </c>
      <c r="S50" s="33">
        <f>IF(N50="","",IF(N50="grün","–",IF(AB50=0,"am Lager / in stock",IF(N(P50)&lt;=0,"Stückpreis fehlt",IF(R50&gt;=Faktor_lohnt*P50,"ja – "&amp;FIXED(R50/P50,0)&amp;"-fach","nein – "&amp;FIXED(R50/P50,IF(R50/P50&lt;1,2,1))&amp;"-fach")))))</f>
        <v/>
      </c>
      <c r="T50" s="25" t="n"/>
      <c r="U50" s="34" t="n"/>
      <c r="V50" s="27" t="n"/>
      <c r="W50" s="25" t="n"/>
      <c r="X50" s="2" t="n"/>
      <c r="Y50" s="35">
        <f>IFERROR(INDEX(Krit_Faktor,MATCH(F50,Krit_Liste,0)),"")</f>
        <v/>
      </c>
      <c r="Z50" s="35">
        <f>IF(OR(I50="nein",I50="no"),1,0)</f>
        <v/>
      </c>
      <c r="AA50" s="35">
        <f>IF(OR(J50="nein",J50="no"),1,0)</f>
        <v/>
      </c>
      <c r="AB50" s="35">
        <f>IF(OR(K50="nein",K50="no"),1,0)</f>
        <v/>
      </c>
      <c r="AC50" s="35">
        <f>IF(OR(G50="ja",G50="yes"),1,0)</f>
        <v/>
      </c>
      <c r="AD50" s="35">
        <f>IF(AND(AC50=1,OR(H50="ja",H50="yes")),1,0)</f>
        <v/>
      </c>
      <c r="AE50" s="35">
        <f>IF(AC50=1,IF(AD50=1,Pkt_Abk_mit,Pkt_Abk_ohne),0)</f>
        <v/>
      </c>
      <c r="AF50" s="35">
        <f>(G50&lt;&gt;"")+(I50&lt;&gt;"")+(J50&lt;&gt;"")+(K50&lt;&gt;"")</f>
        <v/>
      </c>
      <c r="AG50" s="35">
        <f>IF(Q50&lt;&gt;"",Q50,IF(AF50&lt;4,"",IF(Z50=1,Tage_nicht_beschaffbar,Tage_beschaffbar)))</f>
        <v/>
      </c>
      <c r="AH50" s="35">
        <f>IF(M50="","",M50*1000+Y50*10+(1000-ROW())/100000)</f>
        <v/>
      </c>
    </row>
    <row r="51" ht="34" customHeight="1">
      <c r="A51" s="23">
        <f>IF(B51="","",COUNTA($B$9:B51))</f>
        <v/>
      </c>
      <c r="B51" s="24" t="n"/>
      <c r="C51" s="25" t="n"/>
      <c r="D51" s="25" t="n"/>
      <c r="E51" s="25" t="n"/>
      <c r="F51" s="26" t="n"/>
      <c r="G51" s="26" t="n"/>
      <c r="H51" s="27" t="n"/>
      <c r="I51" s="26" t="n"/>
      <c r="J51" s="26" t="n"/>
      <c r="K51" s="26" t="n"/>
      <c r="L51" s="23">
        <f>IF(AF51&lt;4,"",Z51+AA51+AB51+AE51)</f>
        <v/>
      </c>
      <c r="M51" s="28">
        <f>IF(OR(L51="",Y51=""),"",Y51*L51)</f>
        <v/>
      </c>
      <c r="N51" s="29">
        <f>IF(M51="","",IF(M51&lt;=Gruen_bis,"grün",IF(M51&lt;=Gelb_bis,"gelb","rot")))</f>
        <v/>
      </c>
      <c r="O51" s="30">
        <f>IF(N51="",IF(B51="","","Bewertung unvollständig – ★-Felder ausfüllen"),IF(N51="grün",IF(AC51=1,IF(AD51=1,"Abgekündigt, Nachfolger vorhanden: Umstieg bei nächster Gelegenheit planen","Abgekündigt: Endbevorratung (Last-Time-Buy) prüfen, Ersatzlösung planen"),"Keine aktive Maßnahme – jährlich prüfen"),IF(AND(Z51=1,AA51=1,AB51=1),"Sofort sichern: Restbestand / Gebrauchtteil kaufen und Ersatzlösung (Retrofit) planen",IF(AND(Z51=1,AB51=1),"Reparaturweg absichern (Dienstleister, Tauschteil), Gebrauchtteil prüfen",IF(AD51=1,"Auf Nachfolgeprodukt umstellen: Kompatibilität prüfen, Umstieg planen",IF(AC51=1,IF(AB51=1,"Abgekündigt ohne Nachfolger: sofort Endbevorratung (Last-Time-Buy) und Ersatzlösung planen","Abgekündigt ohne Nachfolger: Lagerteil sichern, Ersatzlösung (Retrofit) planen"),IF(Z51=1,"Nicht beschaffbar: Lagerteil schützen, Ersatzlösung mittelfristig planen",IF(AB51=1,IF(LEFT(S51,4)="nein","Bevorratung lohnt nicht – Lieferzeit und Reparaturweg absichern","Lagerbestand anlegen (mind. 1 Stk.)"),"Reparaturmöglichkeit klären"))))))))</f>
        <v/>
      </c>
      <c r="P51" s="31" t="n"/>
      <c r="Q51" s="27" t="n"/>
      <c r="R51" s="32">
        <f>IF(OR(AG51="",Y51="",AB51=0),"",AG51*INDEX(Krit_Kosten,MATCH(F51,Krit_Liste,0)))</f>
        <v/>
      </c>
      <c r="S51" s="33">
        <f>IF(N51="","",IF(N51="grün","–",IF(AB51=0,"am Lager / in stock",IF(N(P51)&lt;=0,"Stückpreis fehlt",IF(R51&gt;=Faktor_lohnt*P51,"ja – "&amp;FIXED(R51/P51,0)&amp;"-fach","nein – "&amp;FIXED(R51/P51,IF(R51/P51&lt;1,2,1))&amp;"-fach")))))</f>
        <v/>
      </c>
      <c r="T51" s="25" t="n"/>
      <c r="U51" s="34" t="n"/>
      <c r="V51" s="27" t="n"/>
      <c r="W51" s="25" t="n"/>
      <c r="X51" s="2" t="n"/>
      <c r="Y51" s="35">
        <f>IFERROR(INDEX(Krit_Faktor,MATCH(F51,Krit_Liste,0)),"")</f>
        <v/>
      </c>
      <c r="Z51" s="35">
        <f>IF(OR(I51="nein",I51="no"),1,0)</f>
        <v/>
      </c>
      <c r="AA51" s="35">
        <f>IF(OR(J51="nein",J51="no"),1,0)</f>
        <v/>
      </c>
      <c r="AB51" s="35">
        <f>IF(OR(K51="nein",K51="no"),1,0)</f>
        <v/>
      </c>
      <c r="AC51" s="35">
        <f>IF(OR(G51="ja",G51="yes"),1,0)</f>
        <v/>
      </c>
      <c r="AD51" s="35">
        <f>IF(AND(AC51=1,OR(H51="ja",H51="yes")),1,0)</f>
        <v/>
      </c>
      <c r="AE51" s="35">
        <f>IF(AC51=1,IF(AD51=1,Pkt_Abk_mit,Pkt_Abk_ohne),0)</f>
        <v/>
      </c>
      <c r="AF51" s="35">
        <f>(G51&lt;&gt;"")+(I51&lt;&gt;"")+(J51&lt;&gt;"")+(K51&lt;&gt;"")</f>
        <v/>
      </c>
      <c r="AG51" s="35">
        <f>IF(Q51&lt;&gt;"",Q51,IF(AF51&lt;4,"",IF(Z51=1,Tage_nicht_beschaffbar,Tage_beschaffbar)))</f>
        <v/>
      </c>
      <c r="AH51" s="35">
        <f>IF(M51="","",M51*1000+Y51*10+(1000-ROW())/100000)</f>
        <v/>
      </c>
    </row>
    <row r="52" ht="34" customHeight="1">
      <c r="A52" s="23">
        <f>IF(B52="","",COUNTA($B$9:B52))</f>
        <v/>
      </c>
      <c r="B52" s="24" t="n"/>
      <c r="C52" s="25" t="n"/>
      <c r="D52" s="25" t="n"/>
      <c r="E52" s="25" t="n"/>
      <c r="F52" s="26" t="n"/>
      <c r="G52" s="26" t="n"/>
      <c r="H52" s="27" t="n"/>
      <c r="I52" s="26" t="n"/>
      <c r="J52" s="26" t="n"/>
      <c r="K52" s="26" t="n"/>
      <c r="L52" s="23">
        <f>IF(AF52&lt;4,"",Z52+AA52+AB52+AE52)</f>
        <v/>
      </c>
      <c r="M52" s="28">
        <f>IF(OR(L52="",Y52=""),"",Y52*L52)</f>
        <v/>
      </c>
      <c r="N52" s="29">
        <f>IF(M52="","",IF(M52&lt;=Gruen_bis,"grün",IF(M52&lt;=Gelb_bis,"gelb","rot")))</f>
        <v/>
      </c>
      <c r="O52" s="30">
        <f>IF(N52="",IF(B52="","","Bewertung unvollständig – ★-Felder ausfüllen"),IF(N52="grün",IF(AC52=1,IF(AD52=1,"Abgekündigt, Nachfolger vorhanden: Umstieg bei nächster Gelegenheit planen","Abgekündigt: Endbevorratung (Last-Time-Buy) prüfen, Ersatzlösung planen"),"Keine aktive Maßnahme – jährlich prüfen"),IF(AND(Z52=1,AA52=1,AB52=1),"Sofort sichern: Restbestand / Gebrauchtteil kaufen und Ersatzlösung (Retrofit) planen",IF(AND(Z52=1,AB52=1),"Reparaturweg absichern (Dienstleister, Tauschteil), Gebrauchtteil prüfen",IF(AD52=1,"Auf Nachfolgeprodukt umstellen: Kompatibilität prüfen, Umstieg planen",IF(AC52=1,IF(AB52=1,"Abgekündigt ohne Nachfolger: sofort Endbevorratung (Last-Time-Buy) und Ersatzlösung planen","Abgekündigt ohne Nachfolger: Lagerteil sichern, Ersatzlösung (Retrofit) planen"),IF(Z52=1,"Nicht beschaffbar: Lagerteil schützen, Ersatzlösung mittelfristig planen",IF(AB52=1,IF(LEFT(S52,4)="nein","Bevorratung lohnt nicht – Lieferzeit und Reparaturweg absichern","Lagerbestand anlegen (mind. 1 Stk.)"),"Reparaturmöglichkeit klären"))))))))</f>
        <v/>
      </c>
      <c r="P52" s="31" t="n"/>
      <c r="Q52" s="27" t="n"/>
      <c r="R52" s="32">
        <f>IF(OR(AG52="",Y52="",AB52=0),"",AG52*INDEX(Krit_Kosten,MATCH(F52,Krit_Liste,0)))</f>
        <v/>
      </c>
      <c r="S52" s="33">
        <f>IF(N52="","",IF(N52="grün","–",IF(AB52=0,"am Lager / in stock",IF(N(P52)&lt;=0,"Stückpreis fehlt",IF(R52&gt;=Faktor_lohnt*P52,"ja – "&amp;FIXED(R52/P52,0)&amp;"-fach","nein – "&amp;FIXED(R52/P52,IF(R52/P52&lt;1,2,1))&amp;"-fach")))))</f>
        <v/>
      </c>
      <c r="T52" s="25" t="n"/>
      <c r="U52" s="34" t="n"/>
      <c r="V52" s="27" t="n"/>
      <c r="W52" s="25" t="n"/>
      <c r="X52" s="2" t="n"/>
      <c r="Y52" s="35">
        <f>IFERROR(INDEX(Krit_Faktor,MATCH(F52,Krit_Liste,0)),"")</f>
        <v/>
      </c>
      <c r="Z52" s="35">
        <f>IF(OR(I52="nein",I52="no"),1,0)</f>
        <v/>
      </c>
      <c r="AA52" s="35">
        <f>IF(OR(J52="nein",J52="no"),1,0)</f>
        <v/>
      </c>
      <c r="AB52" s="35">
        <f>IF(OR(K52="nein",K52="no"),1,0)</f>
        <v/>
      </c>
      <c r="AC52" s="35">
        <f>IF(OR(G52="ja",G52="yes"),1,0)</f>
        <v/>
      </c>
      <c r="AD52" s="35">
        <f>IF(AND(AC52=1,OR(H52="ja",H52="yes")),1,0)</f>
        <v/>
      </c>
      <c r="AE52" s="35">
        <f>IF(AC52=1,IF(AD52=1,Pkt_Abk_mit,Pkt_Abk_ohne),0)</f>
        <v/>
      </c>
      <c r="AF52" s="35">
        <f>(G52&lt;&gt;"")+(I52&lt;&gt;"")+(J52&lt;&gt;"")+(K52&lt;&gt;"")</f>
        <v/>
      </c>
      <c r="AG52" s="35">
        <f>IF(Q52&lt;&gt;"",Q52,IF(AF52&lt;4,"",IF(Z52=1,Tage_nicht_beschaffbar,Tage_beschaffbar)))</f>
        <v/>
      </c>
      <c r="AH52" s="35">
        <f>IF(M52="","",M52*1000+Y52*10+(1000-ROW())/100000)</f>
        <v/>
      </c>
    </row>
    <row r="53" ht="34" customHeight="1">
      <c r="A53" s="23">
        <f>IF(B53="","",COUNTA($B$9:B53))</f>
        <v/>
      </c>
      <c r="B53" s="24" t="n"/>
      <c r="C53" s="25" t="n"/>
      <c r="D53" s="25" t="n"/>
      <c r="E53" s="25" t="n"/>
      <c r="F53" s="26" t="n"/>
      <c r="G53" s="26" t="n"/>
      <c r="H53" s="27" t="n"/>
      <c r="I53" s="26" t="n"/>
      <c r="J53" s="26" t="n"/>
      <c r="K53" s="26" t="n"/>
      <c r="L53" s="23">
        <f>IF(AF53&lt;4,"",Z53+AA53+AB53+AE53)</f>
        <v/>
      </c>
      <c r="M53" s="28">
        <f>IF(OR(L53="",Y53=""),"",Y53*L53)</f>
        <v/>
      </c>
      <c r="N53" s="29">
        <f>IF(M53="","",IF(M53&lt;=Gruen_bis,"grün",IF(M53&lt;=Gelb_bis,"gelb","rot")))</f>
        <v/>
      </c>
      <c r="O53" s="30">
        <f>IF(N53="",IF(B53="","","Bewertung unvollständig – ★-Felder ausfüllen"),IF(N53="grün",IF(AC53=1,IF(AD53=1,"Abgekündigt, Nachfolger vorhanden: Umstieg bei nächster Gelegenheit planen","Abgekündigt: Endbevorratung (Last-Time-Buy) prüfen, Ersatzlösung planen"),"Keine aktive Maßnahme – jährlich prüfen"),IF(AND(Z53=1,AA53=1,AB53=1),"Sofort sichern: Restbestand / Gebrauchtteil kaufen und Ersatzlösung (Retrofit) planen",IF(AND(Z53=1,AB53=1),"Reparaturweg absichern (Dienstleister, Tauschteil), Gebrauchtteil prüfen",IF(AD53=1,"Auf Nachfolgeprodukt umstellen: Kompatibilität prüfen, Umstieg planen",IF(AC53=1,IF(AB53=1,"Abgekündigt ohne Nachfolger: sofort Endbevorratung (Last-Time-Buy) und Ersatzlösung planen","Abgekündigt ohne Nachfolger: Lagerteil sichern, Ersatzlösung (Retrofit) planen"),IF(Z53=1,"Nicht beschaffbar: Lagerteil schützen, Ersatzlösung mittelfristig planen",IF(AB53=1,IF(LEFT(S53,4)="nein","Bevorratung lohnt nicht – Lieferzeit und Reparaturweg absichern","Lagerbestand anlegen (mind. 1 Stk.)"),"Reparaturmöglichkeit klären"))))))))</f>
        <v/>
      </c>
      <c r="P53" s="31" t="n"/>
      <c r="Q53" s="27" t="n"/>
      <c r="R53" s="32">
        <f>IF(OR(AG53="",Y53="",AB53=0),"",AG53*INDEX(Krit_Kosten,MATCH(F53,Krit_Liste,0)))</f>
        <v/>
      </c>
      <c r="S53" s="33">
        <f>IF(N53="","",IF(N53="grün","–",IF(AB53=0,"am Lager / in stock",IF(N(P53)&lt;=0,"Stückpreis fehlt",IF(R53&gt;=Faktor_lohnt*P53,"ja – "&amp;FIXED(R53/P53,0)&amp;"-fach","nein – "&amp;FIXED(R53/P53,IF(R53/P53&lt;1,2,1))&amp;"-fach")))))</f>
        <v/>
      </c>
      <c r="T53" s="25" t="n"/>
      <c r="U53" s="34" t="n"/>
      <c r="V53" s="27" t="n"/>
      <c r="W53" s="25" t="n"/>
      <c r="X53" s="2" t="n"/>
      <c r="Y53" s="35">
        <f>IFERROR(INDEX(Krit_Faktor,MATCH(F53,Krit_Liste,0)),"")</f>
        <v/>
      </c>
      <c r="Z53" s="35">
        <f>IF(OR(I53="nein",I53="no"),1,0)</f>
        <v/>
      </c>
      <c r="AA53" s="35">
        <f>IF(OR(J53="nein",J53="no"),1,0)</f>
        <v/>
      </c>
      <c r="AB53" s="35">
        <f>IF(OR(K53="nein",K53="no"),1,0)</f>
        <v/>
      </c>
      <c r="AC53" s="35">
        <f>IF(OR(G53="ja",G53="yes"),1,0)</f>
        <v/>
      </c>
      <c r="AD53" s="35">
        <f>IF(AND(AC53=1,OR(H53="ja",H53="yes")),1,0)</f>
        <v/>
      </c>
      <c r="AE53" s="35">
        <f>IF(AC53=1,IF(AD53=1,Pkt_Abk_mit,Pkt_Abk_ohne),0)</f>
        <v/>
      </c>
      <c r="AF53" s="35">
        <f>(G53&lt;&gt;"")+(I53&lt;&gt;"")+(J53&lt;&gt;"")+(K53&lt;&gt;"")</f>
        <v/>
      </c>
      <c r="AG53" s="35">
        <f>IF(Q53&lt;&gt;"",Q53,IF(AF53&lt;4,"",IF(Z53=1,Tage_nicht_beschaffbar,Tage_beschaffbar)))</f>
        <v/>
      </c>
      <c r="AH53" s="35">
        <f>IF(M53="","",M53*1000+Y53*10+(1000-ROW())/100000)</f>
        <v/>
      </c>
    </row>
    <row r="54" ht="34" customHeight="1">
      <c r="A54" s="23">
        <f>IF(B54="","",COUNTA($B$9:B54))</f>
        <v/>
      </c>
      <c r="B54" s="24" t="n"/>
      <c r="C54" s="25" t="n"/>
      <c r="D54" s="25" t="n"/>
      <c r="E54" s="25" t="n"/>
      <c r="F54" s="26" t="n"/>
      <c r="G54" s="26" t="n"/>
      <c r="H54" s="27" t="n"/>
      <c r="I54" s="26" t="n"/>
      <c r="J54" s="26" t="n"/>
      <c r="K54" s="26" t="n"/>
      <c r="L54" s="23">
        <f>IF(AF54&lt;4,"",Z54+AA54+AB54+AE54)</f>
        <v/>
      </c>
      <c r="M54" s="28">
        <f>IF(OR(L54="",Y54=""),"",Y54*L54)</f>
        <v/>
      </c>
      <c r="N54" s="29">
        <f>IF(M54="","",IF(M54&lt;=Gruen_bis,"grün",IF(M54&lt;=Gelb_bis,"gelb","rot")))</f>
        <v/>
      </c>
      <c r="O54" s="30">
        <f>IF(N54="",IF(B54="","","Bewertung unvollständig – ★-Felder ausfüllen"),IF(N54="grün",IF(AC54=1,IF(AD54=1,"Abgekündigt, Nachfolger vorhanden: Umstieg bei nächster Gelegenheit planen","Abgekündigt: Endbevorratung (Last-Time-Buy) prüfen, Ersatzlösung planen"),"Keine aktive Maßnahme – jährlich prüfen"),IF(AND(Z54=1,AA54=1,AB54=1),"Sofort sichern: Restbestand / Gebrauchtteil kaufen und Ersatzlösung (Retrofit) planen",IF(AND(Z54=1,AB54=1),"Reparaturweg absichern (Dienstleister, Tauschteil), Gebrauchtteil prüfen",IF(AD54=1,"Auf Nachfolgeprodukt umstellen: Kompatibilität prüfen, Umstieg planen",IF(AC54=1,IF(AB54=1,"Abgekündigt ohne Nachfolger: sofort Endbevorratung (Last-Time-Buy) und Ersatzlösung planen","Abgekündigt ohne Nachfolger: Lagerteil sichern, Ersatzlösung (Retrofit) planen"),IF(Z54=1,"Nicht beschaffbar: Lagerteil schützen, Ersatzlösung mittelfristig planen",IF(AB54=1,IF(LEFT(S54,4)="nein","Bevorratung lohnt nicht – Lieferzeit und Reparaturweg absichern","Lagerbestand anlegen (mind. 1 Stk.)"),"Reparaturmöglichkeit klären"))))))))</f>
        <v/>
      </c>
      <c r="P54" s="31" t="n"/>
      <c r="Q54" s="27" t="n"/>
      <c r="R54" s="32">
        <f>IF(OR(AG54="",Y54="",AB54=0),"",AG54*INDEX(Krit_Kosten,MATCH(F54,Krit_Liste,0)))</f>
        <v/>
      </c>
      <c r="S54" s="33">
        <f>IF(N54="","",IF(N54="grün","–",IF(AB54=0,"am Lager / in stock",IF(N(P54)&lt;=0,"Stückpreis fehlt",IF(R54&gt;=Faktor_lohnt*P54,"ja – "&amp;FIXED(R54/P54,0)&amp;"-fach","nein – "&amp;FIXED(R54/P54,IF(R54/P54&lt;1,2,1))&amp;"-fach")))))</f>
        <v/>
      </c>
      <c r="T54" s="25" t="n"/>
      <c r="U54" s="34" t="n"/>
      <c r="V54" s="27" t="n"/>
      <c r="W54" s="25" t="n"/>
      <c r="X54" s="2" t="n"/>
      <c r="Y54" s="35">
        <f>IFERROR(INDEX(Krit_Faktor,MATCH(F54,Krit_Liste,0)),"")</f>
        <v/>
      </c>
      <c r="Z54" s="35">
        <f>IF(OR(I54="nein",I54="no"),1,0)</f>
        <v/>
      </c>
      <c r="AA54" s="35">
        <f>IF(OR(J54="nein",J54="no"),1,0)</f>
        <v/>
      </c>
      <c r="AB54" s="35">
        <f>IF(OR(K54="nein",K54="no"),1,0)</f>
        <v/>
      </c>
      <c r="AC54" s="35">
        <f>IF(OR(G54="ja",G54="yes"),1,0)</f>
        <v/>
      </c>
      <c r="AD54" s="35">
        <f>IF(AND(AC54=1,OR(H54="ja",H54="yes")),1,0)</f>
        <v/>
      </c>
      <c r="AE54" s="35">
        <f>IF(AC54=1,IF(AD54=1,Pkt_Abk_mit,Pkt_Abk_ohne),0)</f>
        <v/>
      </c>
      <c r="AF54" s="35">
        <f>(G54&lt;&gt;"")+(I54&lt;&gt;"")+(J54&lt;&gt;"")+(K54&lt;&gt;"")</f>
        <v/>
      </c>
      <c r="AG54" s="35">
        <f>IF(Q54&lt;&gt;"",Q54,IF(AF54&lt;4,"",IF(Z54=1,Tage_nicht_beschaffbar,Tage_beschaffbar)))</f>
        <v/>
      </c>
      <c r="AH54" s="35">
        <f>IF(M54="","",M54*1000+Y54*10+(1000-ROW())/100000)</f>
        <v/>
      </c>
    </row>
    <row r="55" ht="34" customHeight="1">
      <c r="A55" s="23">
        <f>IF(B55="","",COUNTA($B$9:B55))</f>
        <v/>
      </c>
      <c r="B55" s="24" t="n"/>
      <c r="C55" s="25" t="n"/>
      <c r="D55" s="25" t="n"/>
      <c r="E55" s="25" t="n"/>
      <c r="F55" s="26" t="n"/>
      <c r="G55" s="26" t="n"/>
      <c r="H55" s="27" t="n"/>
      <c r="I55" s="26" t="n"/>
      <c r="J55" s="26" t="n"/>
      <c r="K55" s="26" t="n"/>
      <c r="L55" s="23">
        <f>IF(AF55&lt;4,"",Z55+AA55+AB55+AE55)</f>
        <v/>
      </c>
      <c r="M55" s="28">
        <f>IF(OR(L55="",Y55=""),"",Y55*L55)</f>
        <v/>
      </c>
      <c r="N55" s="29">
        <f>IF(M55="","",IF(M55&lt;=Gruen_bis,"grün",IF(M55&lt;=Gelb_bis,"gelb","rot")))</f>
        <v/>
      </c>
      <c r="O55" s="30">
        <f>IF(N55="",IF(B55="","","Bewertung unvollständig – ★-Felder ausfüllen"),IF(N55="grün",IF(AC55=1,IF(AD55=1,"Abgekündigt, Nachfolger vorhanden: Umstieg bei nächster Gelegenheit planen","Abgekündigt: Endbevorratung (Last-Time-Buy) prüfen, Ersatzlösung planen"),"Keine aktive Maßnahme – jährlich prüfen"),IF(AND(Z55=1,AA55=1,AB55=1),"Sofort sichern: Restbestand / Gebrauchtteil kaufen und Ersatzlösung (Retrofit) planen",IF(AND(Z55=1,AB55=1),"Reparaturweg absichern (Dienstleister, Tauschteil), Gebrauchtteil prüfen",IF(AD55=1,"Auf Nachfolgeprodukt umstellen: Kompatibilität prüfen, Umstieg planen",IF(AC55=1,IF(AB55=1,"Abgekündigt ohne Nachfolger: sofort Endbevorratung (Last-Time-Buy) und Ersatzlösung planen","Abgekündigt ohne Nachfolger: Lagerteil sichern, Ersatzlösung (Retrofit) planen"),IF(Z55=1,"Nicht beschaffbar: Lagerteil schützen, Ersatzlösung mittelfristig planen",IF(AB55=1,IF(LEFT(S55,4)="nein","Bevorratung lohnt nicht – Lieferzeit und Reparaturweg absichern","Lagerbestand anlegen (mind. 1 Stk.)"),"Reparaturmöglichkeit klären"))))))))</f>
        <v/>
      </c>
      <c r="P55" s="31" t="n"/>
      <c r="Q55" s="27" t="n"/>
      <c r="R55" s="32">
        <f>IF(OR(AG55="",Y55="",AB55=0),"",AG55*INDEX(Krit_Kosten,MATCH(F55,Krit_Liste,0)))</f>
        <v/>
      </c>
      <c r="S55" s="33">
        <f>IF(N55="","",IF(N55="grün","–",IF(AB55=0,"am Lager / in stock",IF(N(P55)&lt;=0,"Stückpreis fehlt",IF(R55&gt;=Faktor_lohnt*P55,"ja – "&amp;FIXED(R55/P55,0)&amp;"-fach","nein – "&amp;FIXED(R55/P55,IF(R55/P55&lt;1,2,1))&amp;"-fach")))))</f>
        <v/>
      </c>
      <c r="T55" s="25" t="n"/>
      <c r="U55" s="34" t="n"/>
      <c r="V55" s="27" t="n"/>
      <c r="W55" s="25" t="n"/>
      <c r="X55" s="2" t="n"/>
      <c r="Y55" s="35">
        <f>IFERROR(INDEX(Krit_Faktor,MATCH(F55,Krit_Liste,0)),"")</f>
        <v/>
      </c>
      <c r="Z55" s="35">
        <f>IF(OR(I55="nein",I55="no"),1,0)</f>
        <v/>
      </c>
      <c r="AA55" s="35">
        <f>IF(OR(J55="nein",J55="no"),1,0)</f>
        <v/>
      </c>
      <c r="AB55" s="35">
        <f>IF(OR(K55="nein",K55="no"),1,0)</f>
        <v/>
      </c>
      <c r="AC55" s="35">
        <f>IF(OR(G55="ja",G55="yes"),1,0)</f>
        <v/>
      </c>
      <c r="AD55" s="35">
        <f>IF(AND(AC55=1,OR(H55="ja",H55="yes")),1,0)</f>
        <v/>
      </c>
      <c r="AE55" s="35">
        <f>IF(AC55=1,IF(AD55=1,Pkt_Abk_mit,Pkt_Abk_ohne),0)</f>
        <v/>
      </c>
      <c r="AF55" s="35">
        <f>(G55&lt;&gt;"")+(I55&lt;&gt;"")+(J55&lt;&gt;"")+(K55&lt;&gt;"")</f>
        <v/>
      </c>
      <c r="AG55" s="35">
        <f>IF(Q55&lt;&gt;"",Q55,IF(AF55&lt;4,"",IF(Z55=1,Tage_nicht_beschaffbar,Tage_beschaffbar)))</f>
        <v/>
      </c>
      <c r="AH55" s="35">
        <f>IF(M55="","",M55*1000+Y55*10+(1000-ROW())/100000)</f>
        <v/>
      </c>
    </row>
    <row r="56" ht="34" customHeight="1">
      <c r="A56" s="23">
        <f>IF(B56="","",COUNTA($B$9:B56))</f>
        <v/>
      </c>
      <c r="B56" s="24" t="n"/>
      <c r="C56" s="25" t="n"/>
      <c r="D56" s="25" t="n"/>
      <c r="E56" s="25" t="n"/>
      <c r="F56" s="26" t="n"/>
      <c r="G56" s="26" t="n"/>
      <c r="H56" s="27" t="n"/>
      <c r="I56" s="26" t="n"/>
      <c r="J56" s="26" t="n"/>
      <c r="K56" s="26" t="n"/>
      <c r="L56" s="23">
        <f>IF(AF56&lt;4,"",Z56+AA56+AB56+AE56)</f>
        <v/>
      </c>
      <c r="M56" s="28">
        <f>IF(OR(L56="",Y56=""),"",Y56*L56)</f>
        <v/>
      </c>
      <c r="N56" s="29">
        <f>IF(M56="","",IF(M56&lt;=Gruen_bis,"grün",IF(M56&lt;=Gelb_bis,"gelb","rot")))</f>
        <v/>
      </c>
      <c r="O56" s="30">
        <f>IF(N56="",IF(B56="","","Bewertung unvollständig – ★-Felder ausfüllen"),IF(N56="grün",IF(AC56=1,IF(AD56=1,"Abgekündigt, Nachfolger vorhanden: Umstieg bei nächster Gelegenheit planen","Abgekündigt: Endbevorratung (Last-Time-Buy) prüfen, Ersatzlösung planen"),"Keine aktive Maßnahme – jährlich prüfen"),IF(AND(Z56=1,AA56=1,AB56=1),"Sofort sichern: Restbestand / Gebrauchtteil kaufen und Ersatzlösung (Retrofit) planen",IF(AND(Z56=1,AB56=1),"Reparaturweg absichern (Dienstleister, Tauschteil), Gebrauchtteil prüfen",IF(AD56=1,"Auf Nachfolgeprodukt umstellen: Kompatibilität prüfen, Umstieg planen",IF(AC56=1,IF(AB56=1,"Abgekündigt ohne Nachfolger: sofort Endbevorratung (Last-Time-Buy) und Ersatzlösung planen","Abgekündigt ohne Nachfolger: Lagerteil sichern, Ersatzlösung (Retrofit) planen"),IF(Z56=1,"Nicht beschaffbar: Lagerteil schützen, Ersatzlösung mittelfristig planen",IF(AB56=1,IF(LEFT(S56,4)="nein","Bevorratung lohnt nicht – Lieferzeit und Reparaturweg absichern","Lagerbestand anlegen (mind. 1 Stk.)"),"Reparaturmöglichkeit klären"))))))))</f>
        <v/>
      </c>
      <c r="P56" s="31" t="n"/>
      <c r="Q56" s="27" t="n"/>
      <c r="R56" s="32">
        <f>IF(OR(AG56="",Y56="",AB56=0),"",AG56*INDEX(Krit_Kosten,MATCH(F56,Krit_Liste,0)))</f>
        <v/>
      </c>
      <c r="S56" s="33">
        <f>IF(N56="","",IF(N56="grün","–",IF(AB56=0,"am Lager / in stock",IF(N(P56)&lt;=0,"Stückpreis fehlt",IF(R56&gt;=Faktor_lohnt*P56,"ja – "&amp;FIXED(R56/P56,0)&amp;"-fach","nein – "&amp;FIXED(R56/P56,IF(R56/P56&lt;1,2,1))&amp;"-fach")))))</f>
        <v/>
      </c>
      <c r="T56" s="25" t="n"/>
      <c r="U56" s="34" t="n"/>
      <c r="V56" s="27" t="n"/>
      <c r="W56" s="25" t="n"/>
      <c r="X56" s="2" t="n"/>
      <c r="Y56" s="35">
        <f>IFERROR(INDEX(Krit_Faktor,MATCH(F56,Krit_Liste,0)),"")</f>
        <v/>
      </c>
      <c r="Z56" s="35">
        <f>IF(OR(I56="nein",I56="no"),1,0)</f>
        <v/>
      </c>
      <c r="AA56" s="35">
        <f>IF(OR(J56="nein",J56="no"),1,0)</f>
        <v/>
      </c>
      <c r="AB56" s="35">
        <f>IF(OR(K56="nein",K56="no"),1,0)</f>
        <v/>
      </c>
      <c r="AC56" s="35">
        <f>IF(OR(G56="ja",G56="yes"),1,0)</f>
        <v/>
      </c>
      <c r="AD56" s="35">
        <f>IF(AND(AC56=1,OR(H56="ja",H56="yes")),1,0)</f>
        <v/>
      </c>
      <c r="AE56" s="35">
        <f>IF(AC56=1,IF(AD56=1,Pkt_Abk_mit,Pkt_Abk_ohne),0)</f>
        <v/>
      </c>
      <c r="AF56" s="35">
        <f>(G56&lt;&gt;"")+(I56&lt;&gt;"")+(J56&lt;&gt;"")+(K56&lt;&gt;"")</f>
        <v/>
      </c>
      <c r="AG56" s="35">
        <f>IF(Q56&lt;&gt;"",Q56,IF(AF56&lt;4,"",IF(Z56=1,Tage_nicht_beschaffbar,Tage_beschaffbar)))</f>
        <v/>
      </c>
      <c r="AH56" s="35">
        <f>IF(M56="","",M56*1000+Y56*10+(1000-ROW())/100000)</f>
        <v/>
      </c>
    </row>
    <row r="57" ht="34" customHeight="1">
      <c r="A57" s="23">
        <f>IF(B57="","",COUNTA($B$9:B57))</f>
        <v/>
      </c>
      <c r="B57" s="24" t="n"/>
      <c r="C57" s="25" t="n"/>
      <c r="D57" s="25" t="n"/>
      <c r="E57" s="25" t="n"/>
      <c r="F57" s="26" t="n"/>
      <c r="G57" s="26" t="n"/>
      <c r="H57" s="27" t="n"/>
      <c r="I57" s="26" t="n"/>
      <c r="J57" s="26" t="n"/>
      <c r="K57" s="26" t="n"/>
      <c r="L57" s="23">
        <f>IF(AF57&lt;4,"",Z57+AA57+AB57+AE57)</f>
        <v/>
      </c>
      <c r="M57" s="28">
        <f>IF(OR(L57="",Y57=""),"",Y57*L57)</f>
        <v/>
      </c>
      <c r="N57" s="29">
        <f>IF(M57="","",IF(M57&lt;=Gruen_bis,"grün",IF(M57&lt;=Gelb_bis,"gelb","rot")))</f>
        <v/>
      </c>
      <c r="O57" s="30">
        <f>IF(N57="",IF(B57="","","Bewertung unvollständig – ★-Felder ausfüllen"),IF(N57="grün",IF(AC57=1,IF(AD57=1,"Abgekündigt, Nachfolger vorhanden: Umstieg bei nächster Gelegenheit planen","Abgekündigt: Endbevorratung (Last-Time-Buy) prüfen, Ersatzlösung planen"),"Keine aktive Maßnahme – jährlich prüfen"),IF(AND(Z57=1,AA57=1,AB57=1),"Sofort sichern: Restbestand / Gebrauchtteil kaufen und Ersatzlösung (Retrofit) planen",IF(AND(Z57=1,AB57=1),"Reparaturweg absichern (Dienstleister, Tauschteil), Gebrauchtteil prüfen",IF(AD57=1,"Auf Nachfolgeprodukt umstellen: Kompatibilität prüfen, Umstieg planen",IF(AC57=1,IF(AB57=1,"Abgekündigt ohne Nachfolger: sofort Endbevorratung (Last-Time-Buy) und Ersatzlösung planen","Abgekündigt ohne Nachfolger: Lagerteil sichern, Ersatzlösung (Retrofit) planen"),IF(Z57=1,"Nicht beschaffbar: Lagerteil schützen, Ersatzlösung mittelfristig planen",IF(AB57=1,IF(LEFT(S57,4)="nein","Bevorratung lohnt nicht – Lieferzeit und Reparaturweg absichern","Lagerbestand anlegen (mind. 1 Stk.)"),"Reparaturmöglichkeit klären"))))))))</f>
        <v/>
      </c>
      <c r="P57" s="31" t="n"/>
      <c r="Q57" s="27" t="n"/>
      <c r="R57" s="32">
        <f>IF(OR(AG57="",Y57="",AB57=0),"",AG57*INDEX(Krit_Kosten,MATCH(F57,Krit_Liste,0)))</f>
        <v/>
      </c>
      <c r="S57" s="33">
        <f>IF(N57="","",IF(N57="grün","–",IF(AB57=0,"am Lager / in stock",IF(N(P57)&lt;=0,"Stückpreis fehlt",IF(R57&gt;=Faktor_lohnt*P57,"ja – "&amp;FIXED(R57/P57,0)&amp;"-fach","nein – "&amp;FIXED(R57/P57,IF(R57/P57&lt;1,2,1))&amp;"-fach")))))</f>
        <v/>
      </c>
      <c r="T57" s="25" t="n"/>
      <c r="U57" s="34" t="n"/>
      <c r="V57" s="27" t="n"/>
      <c r="W57" s="25" t="n"/>
      <c r="X57" s="2" t="n"/>
      <c r="Y57" s="35">
        <f>IFERROR(INDEX(Krit_Faktor,MATCH(F57,Krit_Liste,0)),"")</f>
        <v/>
      </c>
      <c r="Z57" s="35">
        <f>IF(OR(I57="nein",I57="no"),1,0)</f>
        <v/>
      </c>
      <c r="AA57" s="35">
        <f>IF(OR(J57="nein",J57="no"),1,0)</f>
        <v/>
      </c>
      <c r="AB57" s="35">
        <f>IF(OR(K57="nein",K57="no"),1,0)</f>
        <v/>
      </c>
      <c r="AC57" s="35">
        <f>IF(OR(G57="ja",G57="yes"),1,0)</f>
        <v/>
      </c>
      <c r="AD57" s="35">
        <f>IF(AND(AC57=1,OR(H57="ja",H57="yes")),1,0)</f>
        <v/>
      </c>
      <c r="AE57" s="35">
        <f>IF(AC57=1,IF(AD57=1,Pkt_Abk_mit,Pkt_Abk_ohne),0)</f>
        <v/>
      </c>
      <c r="AF57" s="35">
        <f>(G57&lt;&gt;"")+(I57&lt;&gt;"")+(J57&lt;&gt;"")+(K57&lt;&gt;"")</f>
        <v/>
      </c>
      <c r="AG57" s="35">
        <f>IF(Q57&lt;&gt;"",Q57,IF(AF57&lt;4,"",IF(Z57=1,Tage_nicht_beschaffbar,Tage_beschaffbar)))</f>
        <v/>
      </c>
      <c r="AH57" s="35">
        <f>IF(M57="","",M57*1000+Y57*10+(1000-ROW())/100000)</f>
        <v/>
      </c>
    </row>
    <row r="58" ht="34" customHeight="1">
      <c r="A58" s="23">
        <f>IF(B58="","",COUNTA($B$9:B58))</f>
        <v/>
      </c>
      <c r="B58" s="24" t="n"/>
      <c r="C58" s="25" t="n"/>
      <c r="D58" s="25" t="n"/>
      <c r="E58" s="25" t="n"/>
      <c r="F58" s="26" t="n"/>
      <c r="G58" s="26" t="n"/>
      <c r="H58" s="27" t="n"/>
      <c r="I58" s="26" t="n"/>
      <c r="J58" s="26" t="n"/>
      <c r="K58" s="26" t="n"/>
      <c r="L58" s="23">
        <f>IF(AF58&lt;4,"",Z58+AA58+AB58+AE58)</f>
        <v/>
      </c>
      <c r="M58" s="28">
        <f>IF(OR(L58="",Y58=""),"",Y58*L58)</f>
        <v/>
      </c>
      <c r="N58" s="29">
        <f>IF(M58="","",IF(M58&lt;=Gruen_bis,"grün",IF(M58&lt;=Gelb_bis,"gelb","rot")))</f>
        <v/>
      </c>
      <c r="O58" s="30">
        <f>IF(N58="",IF(B58="","","Bewertung unvollständig – ★-Felder ausfüllen"),IF(N58="grün",IF(AC58=1,IF(AD58=1,"Abgekündigt, Nachfolger vorhanden: Umstieg bei nächster Gelegenheit planen","Abgekündigt: Endbevorratung (Last-Time-Buy) prüfen, Ersatzlösung planen"),"Keine aktive Maßnahme – jährlich prüfen"),IF(AND(Z58=1,AA58=1,AB58=1),"Sofort sichern: Restbestand / Gebrauchtteil kaufen und Ersatzlösung (Retrofit) planen",IF(AND(Z58=1,AB58=1),"Reparaturweg absichern (Dienstleister, Tauschteil), Gebrauchtteil prüfen",IF(AD58=1,"Auf Nachfolgeprodukt umstellen: Kompatibilität prüfen, Umstieg planen",IF(AC58=1,IF(AB58=1,"Abgekündigt ohne Nachfolger: sofort Endbevorratung (Last-Time-Buy) und Ersatzlösung planen","Abgekündigt ohne Nachfolger: Lagerteil sichern, Ersatzlösung (Retrofit) planen"),IF(Z58=1,"Nicht beschaffbar: Lagerteil schützen, Ersatzlösung mittelfristig planen",IF(AB58=1,IF(LEFT(S58,4)="nein","Bevorratung lohnt nicht – Lieferzeit und Reparaturweg absichern","Lagerbestand anlegen (mind. 1 Stk.)"),"Reparaturmöglichkeit klären"))))))))</f>
        <v/>
      </c>
      <c r="P58" s="31" t="n"/>
      <c r="Q58" s="27" t="n"/>
      <c r="R58" s="32">
        <f>IF(OR(AG58="",Y58="",AB58=0),"",AG58*INDEX(Krit_Kosten,MATCH(F58,Krit_Liste,0)))</f>
        <v/>
      </c>
      <c r="S58" s="33">
        <f>IF(N58="","",IF(N58="grün","–",IF(AB58=0,"am Lager / in stock",IF(N(P58)&lt;=0,"Stückpreis fehlt",IF(R58&gt;=Faktor_lohnt*P58,"ja – "&amp;FIXED(R58/P58,0)&amp;"-fach","nein – "&amp;FIXED(R58/P58,IF(R58/P58&lt;1,2,1))&amp;"-fach")))))</f>
        <v/>
      </c>
      <c r="T58" s="25" t="n"/>
      <c r="U58" s="34" t="n"/>
      <c r="V58" s="27" t="n"/>
      <c r="W58" s="25" t="n"/>
      <c r="X58" s="2" t="n"/>
      <c r="Y58" s="35">
        <f>IFERROR(INDEX(Krit_Faktor,MATCH(F58,Krit_Liste,0)),"")</f>
        <v/>
      </c>
      <c r="Z58" s="35">
        <f>IF(OR(I58="nein",I58="no"),1,0)</f>
        <v/>
      </c>
      <c r="AA58" s="35">
        <f>IF(OR(J58="nein",J58="no"),1,0)</f>
        <v/>
      </c>
      <c r="AB58" s="35">
        <f>IF(OR(K58="nein",K58="no"),1,0)</f>
        <v/>
      </c>
      <c r="AC58" s="35">
        <f>IF(OR(G58="ja",G58="yes"),1,0)</f>
        <v/>
      </c>
      <c r="AD58" s="35">
        <f>IF(AND(AC58=1,OR(H58="ja",H58="yes")),1,0)</f>
        <v/>
      </c>
      <c r="AE58" s="35">
        <f>IF(AC58=1,IF(AD58=1,Pkt_Abk_mit,Pkt_Abk_ohne),0)</f>
        <v/>
      </c>
      <c r="AF58" s="35">
        <f>(G58&lt;&gt;"")+(I58&lt;&gt;"")+(J58&lt;&gt;"")+(K58&lt;&gt;"")</f>
        <v/>
      </c>
      <c r="AG58" s="35">
        <f>IF(Q58&lt;&gt;"",Q58,IF(AF58&lt;4,"",IF(Z58=1,Tage_nicht_beschaffbar,Tage_beschaffbar)))</f>
        <v/>
      </c>
      <c r="AH58" s="35">
        <f>IF(M58="","",M58*1000+Y58*10+(1000-ROW())/100000)</f>
        <v/>
      </c>
    </row>
    <row r="59" ht="34" customHeight="1">
      <c r="A59" s="23">
        <f>IF(B59="","",COUNTA($B$9:B59))</f>
        <v/>
      </c>
      <c r="B59" s="24" t="n"/>
      <c r="C59" s="25" t="n"/>
      <c r="D59" s="25" t="n"/>
      <c r="E59" s="25" t="n"/>
      <c r="F59" s="26" t="n"/>
      <c r="G59" s="26" t="n"/>
      <c r="H59" s="27" t="n"/>
      <c r="I59" s="26" t="n"/>
      <c r="J59" s="26" t="n"/>
      <c r="K59" s="26" t="n"/>
      <c r="L59" s="23">
        <f>IF(AF59&lt;4,"",Z59+AA59+AB59+AE59)</f>
        <v/>
      </c>
      <c r="M59" s="28">
        <f>IF(OR(L59="",Y59=""),"",Y59*L59)</f>
        <v/>
      </c>
      <c r="N59" s="29">
        <f>IF(M59="","",IF(M59&lt;=Gruen_bis,"grün",IF(M59&lt;=Gelb_bis,"gelb","rot")))</f>
        <v/>
      </c>
      <c r="O59" s="30">
        <f>IF(N59="",IF(B59="","","Bewertung unvollständig – ★-Felder ausfüllen"),IF(N59="grün",IF(AC59=1,IF(AD59=1,"Abgekündigt, Nachfolger vorhanden: Umstieg bei nächster Gelegenheit planen","Abgekündigt: Endbevorratung (Last-Time-Buy) prüfen, Ersatzlösung planen"),"Keine aktive Maßnahme – jährlich prüfen"),IF(AND(Z59=1,AA59=1,AB59=1),"Sofort sichern: Restbestand / Gebrauchtteil kaufen und Ersatzlösung (Retrofit) planen",IF(AND(Z59=1,AB59=1),"Reparaturweg absichern (Dienstleister, Tauschteil), Gebrauchtteil prüfen",IF(AD59=1,"Auf Nachfolgeprodukt umstellen: Kompatibilität prüfen, Umstieg planen",IF(AC59=1,IF(AB59=1,"Abgekündigt ohne Nachfolger: sofort Endbevorratung (Last-Time-Buy) und Ersatzlösung planen","Abgekündigt ohne Nachfolger: Lagerteil sichern, Ersatzlösung (Retrofit) planen"),IF(Z59=1,"Nicht beschaffbar: Lagerteil schützen, Ersatzlösung mittelfristig planen",IF(AB59=1,IF(LEFT(S59,4)="nein","Bevorratung lohnt nicht – Lieferzeit und Reparaturweg absichern","Lagerbestand anlegen (mind. 1 Stk.)"),"Reparaturmöglichkeit klären"))))))))</f>
        <v/>
      </c>
      <c r="P59" s="31" t="n"/>
      <c r="Q59" s="27" t="n"/>
      <c r="R59" s="32">
        <f>IF(OR(AG59="",Y59="",AB59=0),"",AG59*INDEX(Krit_Kosten,MATCH(F59,Krit_Liste,0)))</f>
        <v/>
      </c>
      <c r="S59" s="33">
        <f>IF(N59="","",IF(N59="grün","–",IF(AB59=0,"am Lager / in stock",IF(N(P59)&lt;=0,"Stückpreis fehlt",IF(R59&gt;=Faktor_lohnt*P59,"ja – "&amp;FIXED(R59/P59,0)&amp;"-fach","nein – "&amp;FIXED(R59/P59,IF(R59/P59&lt;1,2,1))&amp;"-fach")))))</f>
        <v/>
      </c>
      <c r="T59" s="25" t="n"/>
      <c r="U59" s="34" t="n"/>
      <c r="V59" s="27" t="n"/>
      <c r="W59" s="25" t="n"/>
      <c r="X59" s="2" t="n"/>
      <c r="Y59" s="35">
        <f>IFERROR(INDEX(Krit_Faktor,MATCH(F59,Krit_Liste,0)),"")</f>
        <v/>
      </c>
      <c r="Z59" s="35">
        <f>IF(OR(I59="nein",I59="no"),1,0)</f>
        <v/>
      </c>
      <c r="AA59" s="35">
        <f>IF(OR(J59="nein",J59="no"),1,0)</f>
        <v/>
      </c>
      <c r="AB59" s="35">
        <f>IF(OR(K59="nein",K59="no"),1,0)</f>
        <v/>
      </c>
      <c r="AC59" s="35">
        <f>IF(OR(G59="ja",G59="yes"),1,0)</f>
        <v/>
      </c>
      <c r="AD59" s="35">
        <f>IF(AND(AC59=1,OR(H59="ja",H59="yes")),1,0)</f>
        <v/>
      </c>
      <c r="AE59" s="35">
        <f>IF(AC59=1,IF(AD59=1,Pkt_Abk_mit,Pkt_Abk_ohne),0)</f>
        <v/>
      </c>
      <c r="AF59" s="35">
        <f>(G59&lt;&gt;"")+(I59&lt;&gt;"")+(J59&lt;&gt;"")+(K59&lt;&gt;"")</f>
        <v/>
      </c>
      <c r="AG59" s="35">
        <f>IF(Q59&lt;&gt;"",Q59,IF(AF59&lt;4,"",IF(Z59=1,Tage_nicht_beschaffbar,Tage_beschaffbar)))</f>
        <v/>
      </c>
      <c r="AH59" s="35">
        <f>IF(M59="","",M59*1000+Y59*10+(1000-ROW())/100000)</f>
        <v/>
      </c>
    </row>
    <row r="60" ht="34" customHeight="1">
      <c r="A60" s="23">
        <f>IF(B60="","",COUNTA($B$9:B60))</f>
        <v/>
      </c>
      <c r="B60" s="24" t="n"/>
      <c r="C60" s="25" t="n"/>
      <c r="D60" s="25" t="n"/>
      <c r="E60" s="25" t="n"/>
      <c r="F60" s="26" t="n"/>
      <c r="G60" s="26" t="n"/>
      <c r="H60" s="27" t="n"/>
      <c r="I60" s="26" t="n"/>
      <c r="J60" s="26" t="n"/>
      <c r="K60" s="26" t="n"/>
      <c r="L60" s="23">
        <f>IF(AF60&lt;4,"",Z60+AA60+AB60+AE60)</f>
        <v/>
      </c>
      <c r="M60" s="28">
        <f>IF(OR(L60="",Y60=""),"",Y60*L60)</f>
        <v/>
      </c>
      <c r="N60" s="29">
        <f>IF(M60="","",IF(M60&lt;=Gruen_bis,"grün",IF(M60&lt;=Gelb_bis,"gelb","rot")))</f>
        <v/>
      </c>
      <c r="O60" s="30">
        <f>IF(N60="",IF(B60="","","Bewertung unvollständig – ★-Felder ausfüllen"),IF(N60="grün",IF(AC60=1,IF(AD60=1,"Abgekündigt, Nachfolger vorhanden: Umstieg bei nächster Gelegenheit planen","Abgekündigt: Endbevorratung (Last-Time-Buy) prüfen, Ersatzlösung planen"),"Keine aktive Maßnahme – jährlich prüfen"),IF(AND(Z60=1,AA60=1,AB60=1),"Sofort sichern: Restbestand / Gebrauchtteil kaufen und Ersatzlösung (Retrofit) planen",IF(AND(Z60=1,AB60=1),"Reparaturweg absichern (Dienstleister, Tauschteil), Gebrauchtteil prüfen",IF(AD60=1,"Auf Nachfolgeprodukt umstellen: Kompatibilität prüfen, Umstieg planen",IF(AC60=1,IF(AB60=1,"Abgekündigt ohne Nachfolger: sofort Endbevorratung (Last-Time-Buy) und Ersatzlösung planen","Abgekündigt ohne Nachfolger: Lagerteil sichern, Ersatzlösung (Retrofit) planen"),IF(Z60=1,"Nicht beschaffbar: Lagerteil schützen, Ersatzlösung mittelfristig planen",IF(AB60=1,IF(LEFT(S60,4)="nein","Bevorratung lohnt nicht – Lieferzeit und Reparaturweg absichern","Lagerbestand anlegen (mind. 1 Stk.)"),"Reparaturmöglichkeit klären"))))))))</f>
        <v/>
      </c>
      <c r="P60" s="31" t="n"/>
      <c r="Q60" s="27" t="n"/>
      <c r="R60" s="32">
        <f>IF(OR(AG60="",Y60="",AB60=0),"",AG60*INDEX(Krit_Kosten,MATCH(F60,Krit_Liste,0)))</f>
        <v/>
      </c>
      <c r="S60" s="33">
        <f>IF(N60="","",IF(N60="grün","–",IF(AB60=0,"am Lager / in stock",IF(N(P60)&lt;=0,"Stückpreis fehlt",IF(R60&gt;=Faktor_lohnt*P60,"ja – "&amp;FIXED(R60/P60,0)&amp;"-fach","nein – "&amp;FIXED(R60/P60,IF(R60/P60&lt;1,2,1))&amp;"-fach")))))</f>
        <v/>
      </c>
      <c r="T60" s="25" t="n"/>
      <c r="U60" s="34" t="n"/>
      <c r="V60" s="27" t="n"/>
      <c r="W60" s="25" t="n"/>
      <c r="X60" s="2" t="n"/>
      <c r="Y60" s="35">
        <f>IFERROR(INDEX(Krit_Faktor,MATCH(F60,Krit_Liste,0)),"")</f>
        <v/>
      </c>
      <c r="Z60" s="35">
        <f>IF(OR(I60="nein",I60="no"),1,0)</f>
        <v/>
      </c>
      <c r="AA60" s="35">
        <f>IF(OR(J60="nein",J60="no"),1,0)</f>
        <v/>
      </c>
      <c r="AB60" s="35">
        <f>IF(OR(K60="nein",K60="no"),1,0)</f>
        <v/>
      </c>
      <c r="AC60" s="35">
        <f>IF(OR(G60="ja",G60="yes"),1,0)</f>
        <v/>
      </c>
      <c r="AD60" s="35">
        <f>IF(AND(AC60=1,OR(H60="ja",H60="yes")),1,0)</f>
        <v/>
      </c>
      <c r="AE60" s="35">
        <f>IF(AC60=1,IF(AD60=1,Pkt_Abk_mit,Pkt_Abk_ohne),0)</f>
        <v/>
      </c>
      <c r="AF60" s="35">
        <f>(G60&lt;&gt;"")+(I60&lt;&gt;"")+(J60&lt;&gt;"")+(K60&lt;&gt;"")</f>
        <v/>
      </c>
      <c r="AG60" s="35">
        <f>IF(Q60&lt;&gt;"",Q60,IF(AF60&lt;4,"",IF(Z60=1,Tage_nicht_beschaffbar,Tage_beschaffbar)))</f>
        <v/>
      </c>
      <c r="AH60" s="35">
        <f>IF(M60="","",M60*1000+Y60*10+(1000-ROW())/100000)</f>
        <v/>
      </c>
    </row>
    <row r="61" ht="34" customHeight="1">
      <c r="A61" s="23">
        <f>IF(B61="","",COUNTA($B$9:B61))</f>
        <v/>
      </c>
      <c r="B61" s="24" t="n"/>
      <c r="C61" s="25" t="n"/>
      <c r="D61" s="25" t="n"/>
      <c r="E61" s="25" t="n"/>
      <c r="F61" s="26" t="n"/>
      <c r="G61" s="26" t="n"/>
      <c r="H61" s="27" t="n"/>
      <c r="I61" s="26" t="n"/>
      <c r="J61" s="26" t="n"/>
      <c r="K61" s="26" t="n"/>
      <c r="L61" s="23">
        <f>IF(AF61&lt;4,"",Z61+AA61+AB61+AE61)</f>
        <v/>
      </c>
      <c r="M61" s="28">
        <f>IF(OR(L61="",Y61=""),"",Y61*L61)</f>
        <v/>
      </c>
      <c r="N61" s="29">
        <f>IF(M61="","",IF(M61&lt;=Gruen_bis,"grün",IF(M61&lt;=Gelb_bis,"gelb","rot")))</f>
        <v/>
      </c>
      <c r="O61" s="30">
        <f>IF(N61="",IF(B61="","","Bewertung unvollständig – ★-Felder ausfüllen"),IF(N61="grün",IF(AC61=1,IF(AD61=1,"Abgekündigt, Nachfolger vorhanden: Umstieg bei nächster Gelegenheit planen","Abgekündigt: Endbevorratung (Last-Time-Buy) prüfen, Ersatzlösung planen"),"Keine aktive Maßnahme – jährlich prüfen"),IF(AND(Z61=1,AA61=1,AB61=1),"Sofort sichern: Restbestand / Gebrauchtteil kaufen und Ersatzlösung (Retrofit) planen",IF(AND(Z61=1,AB61=1),"Reparaturweg absichern (Dienstleister, Tauschteil), Gebrauchtteil prüfen",IF(AD61=1,"Auf Nachfolgeprodukt umstellen: Kompatibilität prüfen, Umstieg planen",IF(AC61=1,IF(AB61=1,"Abgekündigt ohne Nachfolger: sofort Endbevorratung (Last-Time-Buy) und Ersatzlösung planen","Abgekündigt ohne Nachfolger: Lagerteil sichern, Ersatzlösung (Retrofit) planen"),IF(Z61=1,"Nicht beschaffbar: Lagerteil schützen, Ersatzlösung mittelfristig planen",IF(AB61=1,IF(LEFT(S61,4)="nein","Bevorratung lohnt nicht – Lieferzeit und Reparaturweg absichern","Lagerbestand anlegen (mind. 1 Stk.)"),"Reparaturmöglichkeit klären"))))))))</f>
        <v/>
      </c>
      <c r="P61" s="31" t="n"/>
      <c r="Q61" s="27" t="n"/>
      <c r="R61" s="32">
        <f>IF(OR(AG61="",Y61="",AB61=0),"",AG61*INDEX(Krit_Kosten,MATCH(F61,Krit_Liste,0)))</f>
        <v/>
      </c>
      <c r="S61" s="33">
        <f>IF(N61="","",IF(N61="grün","–",IF(AB61=0,"am Lager / in stock",IF(N(P61)&lt;=0,"Stückpreis fehlt",IF(R61&gt;=Faktor_lohnt*P61,"ja – "&amp;FIXED(R61/P61,0)&amp;"-fach","nein – "&amp;FIXED(R61/P61,IF(R61/P61&lt;1,2,1))&amp;"-fach")))))</f>
        <v/>
      </c>
      <c r="T61" s="25" t="n"/>
      <c r="U61" s="34" t="n"/>
      <c r="V61" s="27" t="n"/>
      <c r="W61" s="25" t="n"/>
      <c r="X61" s="2" t="n"/>
      <c r="Y61" s="35">
        <f>IFERROR(INDEX(Krit_Faktor,MATCH(F61,Krit_Liste,0)),"")</f>
        <v/>
      </c>
      <c r="Z61" s="35">
        <f>IF(OR(I61="nein",I61="no"),1,0)</f>
        <v/>
      </c>
      <c r="AA61" s="35">
        <f>IF(OR(J61="nein",J61="no"),1,0)</f>
        <v/>
      </c>
      <c r="AB61" s="35">
        <f>IF(OR(K61="nein",K61="no"),1,0)</f>
        <v/>
      </c>
      <c r="AC61" s="35">
        <f>IF(OR(G61="ja",G61="yes"),1,0)</f>
        <v/>
      </c>
      <c r="AD61" s="35">
        <f>IF(AND(AC61=1,OR(H61="ja",H61="yes")),1,0)</f>
        <v/>
      </c>
      <c r="AE61" s="35">
        <f>IF(AC61=1,IF(AD61=1,Pkt_Abk_mit,Pkt_Abk_ohne),0)</f>
        <v/>
      </c>
      <c r="AF61" s="35">
        <f>(G61&lt;&gt;"")+(I61&lt;&gt;"")+(J61&lt;&gt;"")+(K61&lt;&gt;"")</f>
        <v/>
      </c>
      <c r="AG61" s="35">
        <f>IF(Q61&lt;&gt;"",Q61,IF(AF61&lt;4,"",IF(Z61=1,Tage_nicht_beschaffbar,Tage_beschaffbar)))</f>
        <v/>
      </c>
      <c r="AH61" s="35">
        <f>IF(M61="","",M61*1000+Y61*10+(1000-ROW())/100000)</f>
        <v/>
      </c>
    </row>
    <row r="62" ht="34" customHeight="1">
      <c r="A62" s="23">
        <f>IF(B62="","",COUNTA($B$9:B62))</f>
        <v/>
      </c>
      <c r="B62" s="24" t="n"/>
      <c r="C62" s="25" t="n"/>
      <c r="D62" s="25" t="n"/>
      <c r="E62" s="25" t="n"/>
      <c r="F62" s="26" t="n"/>
      <c r="G62" s="26" t="n"/>
      <c r="H62" s="27" t="n"/>
      <c r="I62" s="26" t="n"/>
      <c r="J62" s="26" t="n"/>
      <c r="K62" s="26" t="n"/>
      <c r="L62" s="23">
        <f>IF(AF62&lt;4,"",Z62+AA62+AB62+AE62)</f>
        <v/>
      </c>
      <c r="M62" s="28">
        <f>IF(OR(L62="",Y62=""),"",Y62*L62)</f>
        <v/>
      </c>
      <c r="N62" s="29">
        <f>IF(M62="","",IF(M62&lt;=Gruen_bis,"grün",IF(M62&lt;=Gelb_bis,"gelb","rot")))</f>
        <v/>
      </c>
      <c r="O62" s="30">
        <f>IF(N62="",IF(B62="","","Bewertung unvollständig – ★-Felder ausfüllen"),IF(N62="grün",IF(AC62=1,IF(AD62=1,"Abgekündigt, Nachfolger vorhanden: Umstieg bei nächster Gelegenheit planen","Abgekündigt: Endbevorratung (Last-Time-Buy) prüfen, Ersatzlösung planen"),"Keine aktive Maßnahme – jährlich prüfen"),IF(AND(Z62=1,AA62=1,AB62=1),"Sofort sichern: Restbestand / Gebrauchtteil kaufen und Ersatzlösung (Retrofit) planen",IF(AND(Z62=1,AB62=1),"Reparaturweg absichern (Dienstleister, Tauschteil), Gebrauchtteil prüfen",IF(AD62=1,"Auf Nachfolgeprodukt umstellen: Kompatibilität prüfen, Umstieg planen",IF(AC62=1,IF(AB62=1,"Abgekündigt ohne Nachfolger: sofort Endbevorratung (Last-Time-Buy) und Ersatzlösung planen","Abgekündigt ohne Nachfolger: Lagerteil sichern, Ersatzlösung (Retrofit) planen"),IF(Z62=1,"Nicht beschaffbar: Lagerteil schützen, Ersatzlösung mittelfristig planen",IF(AB62=1,IF(LEFT(S62,4)="nein","Bevorratung lohnt nicht – Lieferzeit und Reparaturweg absichern","Lagerbestand anlegen (mind. 1 Stk.)"),"Reparaturmöglichkeit klären"))))))))</f>
        <v/>
      </c>
      <c r="P62" s="31" t="n"/>
      <c r="Q62" s="27" t="n"/>
      <c r="R62" s="32">
        <f>IF(OR(AG62="",Y62="",AB62=0),"",AG62*INDEX(Krit_Kosten,MATCH(F62,Krit_Liste,0)))</f>
        <v/>
      </c>
      <c r="S62" s="33">
        <f>IF(N62="","",IF(N62="grün","–",IF(AB62=0,"am Lager / in stock",IF(N(P62)&lt;=0,"Stückpreis fehlt",IF(R62&gt;=Faktor_lohnt*P62,"ja – "&amp;FIXED(R62/P62,0)&amp;"-fach","nein – "&amp;FIXED(R62/P62,IF(R62/P62&lt;1,2,1))&amp;"-fach")))))</f>
        <v/>
      </c>
      <c r="T62" s="25" t="n"/>
      <c r="U62" s="34" t="n"/>
      <c r="V62" s="27" t="n"/>
      <c r="W62" s="25" t="n"/>
      <c r="X62" s="2" t="n"/>
      <c r="Y62" s="35">
        <f>IFERROR(INDEX(Krit_Faktor,MATCH(F62,Krit_Liste,0)),"")</f>
        <v/>
      </c>
      <c r="Z62" s="35">
        <f>IF(OR(I62="nein",I62="no"),1,0)</f>
        <v/>
      </c>
      <c r="AA62" s="35">
        <f>IF(OR(J62="nein",J62="no"),1,0)</f>
        <v/>
      </c>
      <c r="AB62" s="35">
        <f>IF(OR(K62="nein",K62="no"),1,0)</f>
        <v/>
      </c>
      <c r="AC62" s="35">
        <f>IF(OR(G62="ja",G62="yes"),1,0)</f>
        <v/>
      </c>
      <c r="AD62" s="35">
        <f>IF(AND(AC62=1,OR(H62="ja",H62="yes")),1,0)</f>
        <v/>
      </c>
      <c r="AE62" s="35">
        <f>IF(AC62=1,IF(AD62=1,Pkt_Abk_mit,Pkt_Abk_ohne),0)</f>
        <v/>
      </c>
      <c r="AF62" s="35">
        <f>(G62&lt;&gt;"")+(I62&lt;&gt;"")+(J62&lt;&gt;"")+(K62&lt;&gt;"")</f>
        <v/>
      </c>
      <c r="AG62" s="35">
        <f>IF(Q62&lt;&gt;"",Q62,IF(AF62&lt;4,"",IF(Z62=1,Tage_nicht_beschaffbar,Tage_beschaffbar)))</f>
        <v/>
      </c>
      <c r="AH62" s="35">
        <f>IF(M62="","",M62*1000+Y62*10+(1000-ROW())/100000)</f>
        <v/>
      </c>
    </row>
    <row r="63" ht="34" customHeight="1">
      <c r="A63" s="23">
        <f>IF(B63="","",COUNTA($B$9:B63))</f>
        <v/>
      </c>
      <c r="B63" s="24" t="n"/>
      <c r="C63" s="25" t="n"/>
      <c r="D63" s="25" t="n"/>
      <c r="E63" s="25" t="n"/>
      <c r="F63" s="26" t="n"/>
      <c r="G63" s="26" t="n"/>
      <c r="H63" s="27" t="n"/>
      <c r="I63" s="26" t="n"/>
      <c r="J63" s="26" t="n"/>
      <c r="K63" s="26" t="n"/>
      <c r="L63" s="23">
        <f>IF(AF63&lt;4,"",Z63+AA63+AB63+AE63)</f>
        <v/>
      </c>
      <c r="M63" s="28">
        <f>IF(OR(L63="",Y63=""),"",Y63*L63)</f>
        <v/>
      </c>
      <c r="N63" s="29">
        <f>IF(M63="","",IF(M63&lt;=Gruen_bis,"grün",IF(M63&lt;=Gelb_bis,"gelb","rot")))</f>
        <v/>
      </c>
      <c r="O63" s="30">
        <f>IF(N63="",IF(B63="","","Bewertung unvollständig – ★-Felder ausfüllen"),IF(N63="grün",IF(AC63=1,IF(AD63=1,"Abgekündigt, Nachfolger vorhanden: Umstieg bei nächster Gelegenheit planen","Abgekündigt: Endbevorratung (Last-Time-Buy) prüfen, Ersatzlösung planen"),"Keine aktive Maßnahme – jährlich prüfen"),IF(AND(Z63=1,AA63=1,AB63=1),"Sofort sichern: Restbestand / Gebrauchtteil kaufen und Ersatzlösung (Retrofit) planen",IF(AND(Z63=1,AB63=1),"Reparaturweg absichern (Dienstleister, Tauschteil), Gebrauchtteil prüfen",IF(AD63=1,"Auf Nachfolgeprodukt umstellen: Kompatibilität prüfen, Umstieg planen",IF(AC63=1,IF(AB63=1,"Abgekündigt ohne Nachfolger: sofort Endbevorratung (Last-Time-Buy) und Ersatzlösung planen","Abgekündigt ohne Nachfolger: Lagerteil sichern, Ersatzlösung (Retrofit) planen"),IF(Z63=1,"Nicht beschaffbar: Lagerteil schützen, Ersatzlösung mittelfristig planen",IF(AB63=1,IF(LEFT(S63,4)="nein","Bevorratung lohnt nicht – Lieferzeit und Reparaturweg absichern","Lagerbestand anlegen (mind. 1 Stk.)"),"Reparaturmöglichkeit klären"))))))))</f>
        <v/>
      </c>
      <c r="P63" s="31" t="n"/>
      <c r="Q63" s="27" t="n"/>
      <c r="R63" s="32">
        <f>IF(OR(AG63="",Y63="",AB63=0),"",AG63*INDEX(Krit_Kosten,MATCH(F63,Krit_Liste,0)))</f>
        <v/>
      </c>
      <c r="S63" s="33">
        <f>IF(N63="","",IF(N63="grün","–",IF(AB63=0,"am Lager / in stock",IF(N(P63)&lt;=0,"Stückpreis fehlt",IF(R63&gt;=Faktor_lohnt*P63,"ja – "&amp;FIXED(R63/P63,0)&amp;"-fach","nein – "&amp;FIXED(R63/P63,IF(R63/P63&lt;1,2,1))&amp;"-fach")))))</f>
        <v/>
      </c>
      <c r="T63" s="25" t="n"/>
      <c r="U63" s="34" t="n"/>
      <c r="V63" s="27" t="n"/>
      <c r="W63" s="25" t="n"/>
      <c r="X63" s="2" t="n"/>
      <c r="Y63" s="35">
        <f>IFERROR(INDEX(Krit_Faktor,MATCH(F63,Krit_Liste,0)),"")</f>
        <v/>
      </c>
      <c r="Z63" s="35">
        <f>IF(OR(I63="nein",I63="no"),1,0)</f>
        <v/>
      </c>
      <c r="AA63" s="35">
        <f>IF(OR(J63="nein",J63="no"),1,0)</f>
        <v/>
      </c>
      <c r="AB63" s="35">
        <f>IF(OR(K63="nein",K63="no"),1,0)</f>
        <v/>
      </c>
      <c r="AC63" s="35">
        <f>IF(OR(G63="ja",G63="yes"),1,0)</f>
        <v/>
      </c>
      <c r="AD63" s="35">
        <f>IF(AND(AC63=1,OR(H63="ja",H63="yes")),1,0)</f>
        <v/>
      </c>
      <c r="AE63" s="35">
        <f>IF(AC63=1,IF(AD63=1,Pkt_Abk_mit,Pkt_Abk_ohne),0)</f>
        <v/>
      </c>
      <c r="AF63" s="35">
        <f>(G63&lt;&gt;"")+(I63&lt;&gt;"")+(J63&lt;&gt;"")+(K63&lt;&gt;"")</f>
        <v/>
      </c>
      <c r="AG63" s="35">
        <f>IF(Q63&lt;&gt;"",Q63,IF(AF63&lt;4,"",IF(Z63=1,Tage_nicht_beschaffbar,Tage_beschaffbar)))</f>
        <v/>
      </c>
      <c r="AH63" s="35">
        <f>IF(M63="","",M63*1000+Y63*10+(1000-ROW())/100000)</f>
        <v/>
      </c>
    </row>
    <row r="64" ht="34" customHeight="1">
      <c r="A64" s="23">
        <f>IF(B64="","",COUNTA($B$9:B64))</f>
        <v/>
      </c>
      <c r="B64" s="24" t="n"/>
      <c r="C64" s="25" t="n"/>
      <c r="D64" s="25" t="n"/>
      <c r="E64" s="25" t="n"/>
      <c r="F64" s="26" t="n"/>
      <c r="G64" s="26" t="n"/>
      <c r="H64" s="27" t="n"/>
      <c r="I64" s="26" t="n"/>
      <c r="J64" s="26" t="n"/>
      <c r="K64" s="26" t="n"/>
      <c r="L64" s="23">
        <f>IF(AF64&lt;4,"",Z64+AA64+AB64+AE64)</f>
        <v/>
      </c>
      <c r="M64" s="28">
        <f>IF(OR(L64="",Y64=""),"",Y64*L64)</f>
        <v/>
      </c>
      <c r="N64" s="29">
        <f>IF(M64="","",IF(M64&lt;=Gruen_bis,"grün",IF(M64&lt;=Gelb_bis,"gelb","rot")))</f>
        <v/>
      </c>
      <c r="O64" s="30">
        <f>IF(N64="",IF(B64="","","Bewertung unvollständig – ★-Felder ausfüllen"),IF(N64="grün",IF(AC64=1,IF(AD64=1,"Abgekündigt, Nachfolger vorhanden: Umstieg bei nächster Gelegenheit planen","Abgekündigt: Endbevorratung (Last-Time-Buy) prüfen, Ersatzlösung planen"),"Keine aktive Maßnahme – jährlich prüfen"),IF(AND(Z64=1,AA64=1,AB64=1),"Sofort sichern: Restbestand / Gebrauchtteil kaufen und Ersatzlösung (Retrofit) planen",IF(AND(Z64=1,AB64=1),"Reparaturweg absichern (Dienstleister, Tauschteil), Gebrauchtteil prüfen",IF(AD64=1,"Auf Nachfolgeprodukt umstellen: Kompatibilität prüfen, Umstieg planen",IF(AC64=1,IF(AB64=1,"Abgekündigt ohne Nachfolger: sofort Endbevorratung (Last-Time-Buy) und Ersatzlösung planen","Abgekündigt ohne Nachfolger: Lagerteil sichern, Ersatzlösung (Retrofit) planen"),IF(Z64=1,"Nicht beschaffbar: Lagerteil schützen, Ersatzlösung mittelfristig planen",IF(AB64=1,IF(LEFT(S64,4)="nein","Bevorratung lohnt nicht – Lieferzeit und Reparaturweg absichern","Lagerbestand anlegen (mind. 1 Stk.)"),"Reparaturmöglichkeit klären"))))))))</f>
        <v/>
      </c>
      <c r="P64" s="31" t="n"/>
      <c r="Q64" s="27" t="n"/>
      <c r="R64" s="32">
        <f>IF(OR(AG64="",Y64="",AB64=0),"",AG64*INDEX(Krit_Kosten,MATCH(F64,Krit_Liste,0)))</f>
        <v/>
      </c>
      <c r="S64" s="33">
        <f>IF(N64="","",IF(N64="grün","–",IF(AB64=0,"am Lager / in stock",IF(N(P64)&lt;=0,"Stückpreis fehlt",IF(R64&gt;=Faktor_lohnt*P64,"ja – "&amp;FIXED(R64/P64,0)&amp;"-fach","nein – "&amp;FIXED(R64/P64,IF(R64/P64&lt;1,2,1))&amp;"-fach")))))</f>
        <v/>
      </c>
      <c r="T64" s="25" t="n"/>
      <c r="U64" s="34" t="n"/>
      <c r="V64" s="27" t="n"/>
      <c r="W64" s="25" t="n"/>
      <c r="X64" s="2" t="n"/>
      <c r="Y64" s="35">
        <f>IFERROR(INDEX(Krit_Faktor,MATCH(F64,Krit_Liste,0)),"")</f>
        <v/>
      </c>
      <c r="Z64" s="35">
        <f>IF(OR(I64="nein",I64="no"),1,0)</f>
        <v/>
      </c>
      <c r="AA64" s="35">
        <f>IF(OR(J64="nein",J64="no"),1,0)</f>
        <v/>
      </c>
      <c r="AB64" s="35">
        <f>IF(OR(K64="nein",K64="no"),1,0)</f>
        <v/>
      </c>
      <c r="AC64" s="35">
        <f>IF(OR(G64="ja",G64="yes"),1,0)</f>
        <v/>
      </c>
      <c r="AD64" s="35">
        <f>IF(AND(AC64=1,OR(H64="ja",H64="yes")),1,0)</f>
        <v/>
      </c>
      <c r="AE64" s="35">
        <f>IF(AC64=1,IF(AD64=1,Pkt_Abk_mit,Pkt_Abk_ohne),0)</f>
        <v/>
      </c>
      <c r="AF64" s="35">
        <f>(G64&lt;&gt;"")+(I64&lt;&gt;"")+(J64&lt;&gt;"")+(K64&lt;&gt;"")</f>
        <v/>
      </c>
      <c r="AG64" s="35">
        <f>IF(Q64&lt;&gt;"",Q64,IF(AF64&lt;4,"",IF(Z64=1,Tage_nicht_beschaffbar,Tage_beschaffbar)))</f>
        <v/>
      </c>
      <c r="AH64" s="35">
        <f>IF(M64="","",M64*1000+Y64*10+(1000-ROW())/100000)</f>
        <v/>
      </c>
    </row>
    <row r="65" ht="34" customHeight="1">
      <c r="A65" s="23">
        <f>IF(B65="","",COUNTA($B$9:B65))</f>
        <v/>
      </c>
      <c r="B65" s="24" t="n"/>
      <c r="C65" s="25" t="n"/>
      <c r="D65" s="25" t="n"/>
      <c r="E65" s="25" t="n"/>
      <c r="F65" s="26" t="n"/>
      <c r="G65" s="26" t="n"/>
      <c r="H65" s="27" t="n"/>
      <c r="I65" s="26" t="n"/>
      <c r="J65" s="26" t="n"/>
      <c r="K65" s="26" t="n"/>
      <c r="L65" s="23">
        <f>IF(AF65&lt;4,"",Z65+AA65+AB65+AE65)</f>
        <v/>
      </c>
      <c r="M65" s="28">
        <f>IF(OR(L65="",Y65=""),"",Y65*L65)</f>
        <v/>
      </c>
      <c r="N65" s="29">
        <f>IF(M65="","",IF(M65&lt;=Gruen_bis,"grün",IF(M65&lt;=Gelb_bis,"gelb","rot")))</f>
        <v/>
      </c>
      <c r="O65" s="30">
        <f>IF(N65="",IF(B65="","","Bewertung unvollständig – ★-Felder ausfüllen"),IF(N65="grün",IF(AC65=1,IF(AD65=1,"Abgekündigt, Nachfolger vorhanden: Umstieg bei nächster Gelegenheit planen","Abgekündigt: Endbevorratung (Last-Time-Buy) prüfen, Ersatzlösung planen"),"Keine aktive Maßnahme – jährlich prüfen"),IF(AND(Z65=1,AA65=1,AB65=1),"Sofort sichern: Restbestand / Gebrauchtteil kaufen und Ersatzlösung (Retrofit) planen",IF(AND(Z65=1,AB65=1),"Reparaturweg absichern (Dienstleister, Tauschteil), Gebrauchtteil prüfen",IF(AD65=1,"Auf Nachfolgeprodukt umstellen: Kompatibilität prüfen, Umstieg planen",IF(AC65=1,IF(AB65=1,"Abgekündigt ohne Nachfolger: sofort Endbevorratung (Last-Time-Buy) und Ersatzlösung planen","Abgekündigt ohne Nachfolger: Lagerteil sichern, Ersatzlösung (Retrofit) planen"),IF(Z65=1,"Nicht beschaffbar: Lagerteil schützen, Ersatzlösung mittelfristig planen",IF(AB65=1,IF(LEFT(S65,4)="nein","Bevorratung lohnt nicht – Lieferzeit und Reparaturweg absichern","Lagerbestand anlegen (mind. 1 Stk.)"),"Reparaturmöglichkeit klären"))))))))</f>
        <v/>
      </c>
      <c r="P65" s="31" t="n"/>
      <c r="Q65" s="27" t="n"/>
      <c r="R65" s="32">
        <f>IF(OR(AG65="",Y65="",AB65=0),"",AG65*INDEX(Krit_Kosten,MATCH(F65,Krit_Liste,0)))</f>
        <v/>
      </c>
      <c r="S65" s="33">
        <f>IF(N65="","",IF(N65="grün","–",IF(AB65=0,"am Lager / in stock",IF(N(P65)&lt;=0,"Stückpreis fehlt",IF(R65&gt;=Faktor_lohnt*P65,"ja – "&amp;FIXED(R65/P65,0)&amp;"-fach","nein – "&amp;FIXED(R65/P65,IF(R65/P65&lt;1,2,1))&amp;"-fach")))))</f>
        <v/>
      </c>
      <c r="T65" s="25" t="n"/>
      <c r="U65" s="34" t="n"/>
      <c r="V65" s="27" t="n"/>
      <c r="W65" s="25" t="n"/>
      <c r="X65" s="2" t="n"/>
      <c r="Y65" s="35">
        <f>IFERROR(INDEX(Krit_Faktor,MATCH(F65,Krit_Liste,0)),"")</f>
        <v/>
      </c>
      <c r="Z65" s="35">
        <f>IF(OR(I65="nein",I65="no"),1,0)</f>
        <v/>
      </c>
      <c r="AA65" s="35">
        <f>IF(OR(J65="nein",J65="no"),1,0)</f>
        <v/>
      </c>
      <c r="AB65" s="35">
        <f>IF(OR(K65="nein",K65="no"),1,0)</f>
        <v/>
      </c>
      <c r="AC65" s="35">
        <f>IF(OR(G65="ja",G65="yes"),1,0)</f>
        <v/>
      </c>
      <c r="AD65" s="35">
        <f>IF(AND(AC65=1,OR(H65="ja",H65="yes")),1,0)</f>
        <v/>
      </c>
      <c r="AE65" s="35">
        <f>IF(AC65=1,IF(AD65=1,Pkt_Abk_mit,Pkt_Abk_ohne),0)</f>
        <v/>
      </c>
      <c r="AF65" s="35">
        <f>(G65&lt;&gt;"")+(I65&lt;&gt;"")+(J65&lt;&gt;"")+(K65&lt;&gt;"")</f>
        <v/>
      </c>
      <c r="AG65" s="35">
        <f>IF(Q65&lt;&gt;"",Q65,IF(AF65&lt;4,"",IF(Z65=1,Tage_nicht_beschaffbar,Tage_beschaffbar)))</f>
        <v/>
      </c>
      <c r="AH65" s="35">
        <f>IF(M65="","",M65*1000+Y65*10+(1000-ROW())/100000)</f>
        <v/>
      </c>
    </row>
    <row r="66" ht="34" customHeight="1">
      <c r="A66" s="23">
        <f>IF(B66="","",COUNTA($B$9:B66))</f>
        <v/>
      </c>
      <c r="B66" s="24" t="n"/>
      <c r="C66" s="25" t="n"/>
      <c r="D66" s="25" t="n"/>
      <c r="E66" s="25" t="n"/>
      <c r="F66" s="26" t="n"/>
      <c r="G66" s="26" t="n"/>
      <c r="H66" s="27" t="n"/>
      <c r="I66" s="26" t="n"/>
      <c r="J66" s="26" t="n"/>
      <c r="K66" s="26" t="n"/>
      <c r="L66" s="23">
        <f>IF(AF66&lt;4,"",Z66+AA66+AB66+AE66)</f>
        <v/>
      </c>
      <c r="M66" s="28">
        <f>IF(OR(L66="",Y66=""),"",Y66*L66)</f>
        <v/>
      </c>
      <c r="N66" s="29">
        <f>IF(M66="","",IF(M66&lt;=Gruen_bis,"grün",IF(M66&lt;=Gelb_bis,"gelb","rot")))</f>
        <v/>
      </c>
      <c r="O66" s="30">
        <f>IF(N66="",IF(B66="","","Bewertung unvollständig – ★-Felder ausfüllen"),IF(N66="grün",IF(AC66=1,IF(AD66=1,"Abgekündigt, Nachfolger vorhanden: Umstieg bei nächster Gelegenheit planen","Abgekündigt: Endbevorratung (Last-Time-Buy) prüfen, Ersatzlösung planen"),"Keine aktive Maßnahme – jährlich prüfen"),IF(AND(Z66=1,AA66=1,AB66=1),"Sofort sichern: Restbestand / Gebrauchtteil kaufen und Ersatzlösung (Retrofit) planen",IF(AND(Z66=1,AB66=1),"Reparaturweg absichern (Dienstleister, Tauschteil), Gebrauchtteil prüfen",IF(AD66=1,"Auf Nachfolgeprodukt umstellen: Kompatibilität prüfen, Umstieg planen",IF(AC66=1,IF(AB66=1,"Abgekündigt ohne Nachfolger: sofort Endbevorratung (Last-Time-Buy) und Ersatzlösung planen","Abgekündigt ohne Nachfolger: Lagerteil sichern, Ersatzlösung (Retrofit) planen"),IF(Z66=1,"Nicht beschaffbar: Lagerteil schützen, Ersatzlösung mittelfristig planen",IF(AB66=1,IF(LEFT(S66,4)="nein","Bevorratung lohnt nicht – Lieferzeit und Reparaturweg absichern","Lagerbestand anlegen (mind. 1 Stk.)"),"Reparaturmöglichkeit klären"))))))))</f>
        <v/>
      </c>
      <c r="P66" s="31" t="n"/>
      <c r="Q66" s="27" t="n"/>
      <c r="R66" s="32">
        <f>IF(OR(AG66="",Y66="",AB66=0),"",AG66*INDEX(Krit_Kosten,MATCH(F66,Krit_Liste,0)))</f>
        <v/>
      </c>
      <c r="S66" s="33">
        <f>IF(N66="","",IF(N66="grün","–",IF(AB66=0,"am Lager / in stock",IF(N(P66)&lt;=0,"Stückpreis fehlt",IF(R66&gt;=Faktor_lohnt*P66,"ja – "&amp;FIXED(R66/P66,0)&amp;"-fach","nein – "&amp;FIXED(R66/P66,IF(R66/P66&lt;1,2,1))&amp;"-fach")))))</f>
        <v/>
      </c>
      <c r="T66" s="25" t="n"/>
      <c r="U66" s="34" t="n"/>
      <c r="V66" s="27" t="n"/>
      <c r="W66" s="25" t="n"/>
      <c r="X66" s="2" t="n"/>
      <c r="Y66" s="35">
        <f>IFERROR(INDEX(Krit_Faktor,MATCH(F66,Krit_Liste,0)),"")</f>
        <v/>
      </c>
      <c r="Z66" s="35">
        <f>IF(OR(I66="nein",I66="no"),1,0)</f>
        <v/>
      </c>
      <c r="AA66" s="35">
        <f>IF(OR(J66="nein",J66="no"),1,0)</f>
        <v/>
      </c>
      <c r="AB66" s="35">
        <f>IF(OR(K66="nein",K66="no"),1,0)</f>
        <v/>
      </c>
      <c r="AC66" s="35">
        <f>IF(OR(G66="ja",G66="yes"),1,0)</f>
        <v/>
      </c>
      <c r="AD66" s="35">
        <f>IF(AND(AC66=1,OR(H66="ja",H66="yes")),1,0)</f>
        <v/>
      </c>
      <c r="AE66" s="35">
        <f>IF(AC66=1,IF(AD66=1,Pkt_Abk_mit,Pkt_Abk_ohne),0)</f>
        <v/>
      </c>
      <c r="AF66" s="35">
        <f>(G66&lt;&gt;"")+(I66&lt;&gt;"")+(J66&lt;&gt;"")+(K66&lt;&gt;"")</f>
        <v/>
      </c>
      <c r="AG66" s="35">
        <f>IF(Q66&lt;&gt;"",Q66,IF(AF66&lt;4,"",IF(Z66=1,Tage_nicht_beschaffbar,Tage_beschaffbar)))</f>
        <v/>
      </c>
      <c r="AH66" s="35">
        <f>IF(M66="","",M66*1000+Y66*10+(1000-ROW())/100000)</f>
        <v/>
      </c>
    </row>
    <row r="67" ht="34" customHeight="1">
      <c r="A67" s="23">
        <f>IF(B67="","",COUNTA($B$9:B67))</f>
        <v/>
      </c>
      <c r="B67" s="24" t="n"/>
      <c r="C67" s="25" t="n"/>
      <c r="D67" s="25" t="n"/>
      <c r="E67" s="25" t="n"/>
      <c r="F67" s="26" t="n"/>
      <c r="G67" s="26" t="n"/>
      <c r="H67" s="27" t="n"/>
      <c r="I67" s="26" t="n"/>
      <c r="J67" s="26" t="n"/>
      <c r="K67" s="26" t="n"/>
      <c r="L67" s="23">
        <f>IF(AF67&lt;4,"",Z67+AA67+AB67+AE67)</f>
        <v/>
      </c>
      <c r="M67" s="28">
        <f>IF(OR(L67="",Y67=""),"",Y67*L67)</f>
        <v/>
      </c>
      <c r="N67" s="29">
        <f>IF(M67="","",IF(M67&lt;=Gruen_bis,"grün",IF(M67&lt;=Gelb_bis,"gelb","rot")))</f>
        <v/>
      </c>
      <c r="O67" s="30">
        <f>IF(N67="",IF(B67="","","Bewertung unvollständig – ★-Felder ausfüllen"),IF(N67="grün",IF(AC67=1,IF(AD67=1,"Abgekündigt, Nachfolger vorhanden: Umstieg bei nächster Gelegenheit planen","Abgekündigt: Endbevorratung (Last-Time-Buy) prüfen, Ersatzlösung planen"),"Keine aktive Maßnahme – jährlich prüfen"),IF(AND(Z67=1,AA67=1,AB67=1),"Sofort sichern: Restbestand / Gebrauchtteil kaufen und Ersatzlösung (Retrofit) planen",IF(AND(Z67=1,AB67=1),"Reparaturweg absichern (Dienstleister, Tauschteil), Gebrauchtteil prüfen",IF(AD67=1,"Auf Nachfolgeprodukt umstellen: Kompatibilität prüfen, Umstieg planen",IF(AC67=1,IF(AB67=1,"Abgekündigt ohne Nachfolger: sofort Endbevorratung (Last-Time-Buy) und Ersatzlösung planen","Abgekündigt ohne Nachfolger: Lagerteil sichern, Ersatzlösung (Retrofit) planen"),IF(Z67=1,"Nicht beschaffbar: Lagerteil schützen, Ersatzlösung mittelfristig planen",IF(AB67=1,IF(LEFT(S67,4)="nein","Bevorratung lohnt nicht – Lieferzeit und Reparaturweg absichern","Lagerbestand anlegen (mind. 1 Stk.)"),"Reparaturmöglichkeit klären"))))))))</f>
        <v/>
      </c>
      <c r="P67" s="31" t="n"/>
      <c r="Q67" s="27" t="n"/>
      <c r="R67" s="32">
        <f>IF(OR(AG67="",Y67="",AB67=0),"",AG67*INDEX(Krit_Kosten,MATCH(F67,Krit_Liste,0)))</f>
        <v/>
      </c>
      <c r="S67" s="33">
        <f>IF(N67="","",IF(N67="grün","–",IF(AB67=0,"am Lager / in stock",IF(N(P67)&lt;=0,"Stückpreis fehlt",IF(R67&gt;=Faktor_lohnt*P67,"ja – "&amp;FIXED(R67/P67,0)&amp;"-fach","nein – "&amp;FIXED(R67/P67,IF(R67/P67&lt;1,2,1))&amp;"-fach")))))</f>
        <v/>
      </c>
      <c r="T67" s="25" t="n"/>
      <c r="U67" s="34" t="n"/>
      <c r="V67" s="27" t="n"/>
      <c r="W67" s="25" t="n"/>
      <c r="X67" s="2" t="n"/>
      <c r="Y67" s="35">
        <f>IFERROR(INDEX(Krit_Faktor,MATCH(F67,Krit_Liste,0)),"")</f>
        <v/>
      </c>
      <c r="Z67" s="35">
        <f>IF(OR(I67="nein",I67="no"),1,0)</f>
        <v/>
      </c>
      <c r="AA67" s="35">
        <f>IF(OR(J67="nein",J67="no"),1,0)</f>
        <v/>
      </c>
      <c r="AB67" s="35">
        <f>IF(OR(K67="nein",K67="no"),1,0)</f>
        <v/>
      </c>
      <c r="AC67" s="35">
        <f>IF(OR(G67="ja",G67="yes"),1,0)</f>
        <v/>
      </c>
      <c r="AD67" s="35">
        <f>IF(AND(AC67=1,OR(H67="ja",H67="yes")),1,0)</f>
        <v/>
      </c>
      <c r="AE67" s="35">
        <f>IF(AC67=1,IF(AD67=1,Pkt_Abk_mit,Pkt_Abk_ohne),0)</f>
        <v/>
      </c>
      <c r="AF67" s="35">
        <f>(G67&lt;&gt;"")+(I67&lt;&gt;"")+(J67&lt;&gt;"")+(K67&lt;&gt;"")</f>
        <v/>
      </c>
      <c r="AG67" s="35">
        <f>IF(Q67&lt;&gt;"",Q67,IF(AF67&lt;4,"",IF(Z67=1,Tage_nicht_beschaffbar,Tage_beschaffbar)))</f>
        <v/>
      </c>
      <c r="AH67" s="35">
        <f>IF(M67="","",M67*1000+Y67*10+(1000-ROW())/100000)</f>
        <v/>
      </c>
    </row>
    <row r="68" ht="34" customHeight="1">
      <c r="A68" s="23">
        <f>IF(B68="","",COUNTA($B$9:B68))</f>
        <v/>
      </c>
      <c r="B68" s="24" t="n"/>
      <c r="C68" s="25" t="n"/>
      <c r="D68" s="25" t="n"/>
      <c r="E68" s="25" t="n"/>
      <c r="F68" s="26" t="n"/>
      <c r="G68" s="26" t="n"/>
      <c r="H68" s="27" t="n"/>
      <c r="I68" s="26" t="n"/>
      <c r="J68" s="26" t="n"/>
      <c r="K68" s="26" t="n"/>
      <c r="L68" s="23">
        <f>IF(AF68&lt;4,"",Z68+AA68+AB68+AE68)</f>
        <v/>
      </c>
      <c r="M68" s="28">
        <f>IF(OR(L68="",Y68=""),"",Y68*L68)</f>
        <v/>
      </c>
      <c r="N68" s="29">
        <f>IF(M68="","",IF(M68&lt;=Gruen_bis,"grün",IF(M68&lt;=Gelb_bis,"gelb","rot")))</f>
        <v/>
      </c>
      <c r="O68" s="30">
        <f>IF(N68="",IF(B68="","","Bewertung unvollständig – ★-Felder ausfüllen"),IF(N68="grün",IF(AC68=1,IF(AD68=1,"Abgekündigt, Nachfolger vorhanden: Umstieg bei nächster Gelegenheit planen","Abgekündigt: Endbevorratung (Last-Time-Buy) prüfen, Ersatzlösung planen"),"Keine aktive Maßnahme – jährlich prüfen"),IF(AND(Z68=1,AA68=1,AB68=1),"Sofort sichern: Restbestand / Gebrauchtteil kaufen und Ersatzlösung (Retrofit) planen",IF(AND(Z68=1,AB68=1),"Reparaturweg absichern (Dienstleister, Tauschteil), Gebrauchtteil prüfen",IF(AD68=1,"Auf Nachfolgeprodukt umstellen: Kompatibilität prüfen, Umstieg planen",IF(AC68=1,IF(AB68=1,"Abgekündigt ohne Nachfolger: sofort Endbevorratung (Last-Time-Buy) und Ersatzlösung planen","Abgekündigt ohne Nachfolger: Lagerteil sichern, Ersatzlösung (Retrofit) planen"),IF(Z68=1,"Nicht beschaffbar: Lagerteil schützen, Ersatzlösung mittelfristig planen",IF(AB68=1,IF(LEFT(S68,4)="nein","Bevorratung lohnt nicht – Lieferzeit und Reparaturweg absichern","Lagerbestand anlegen (mind. 1 Stk.)"),"Reparaturmöglichkeit klären"))))))))</f>
        <v/>
      </c>
      <c r="P68" s="31" t="n"/>
      <c r="Q68" s="27" t="n"/>
      <c r="R68" s="32">
        <f>IF(OR(AG68="",Y68="",AB68=0),"",AG68*INDEX(Krit_Kosten,MATCH(F68,Krit_Liste,0)))</f>
        <v/>
      </c>
      <c r="S68" s="33">
        <f>IF(N68="","",IF(N68="grün","–",IF(AB68=0,"am Lager / in stock",IF(N(P68)&lt;=0,"Stückpreis fehlt",IF(R68&gt;=Faktor_lohnt*P68,"ja – "&amp;FIXED(R68/P68,0)&amp;"-fach","nein – "&amp;FIXED(R68/P68,IF(R68/P68&lt;1,2,1))&amp;"-fach")))))</f>
        <v/>
      </c>
      <c r="T68" s="25" t="n"/>
      <c r="U68" s="34" t="n"/>
      <c r="V68" s="27" t="n"/>
      <c r="W68" s="25" t="n"/>
      <c r="X68" s="2" t="n"/>
      <c r="Y68" s="35">
        <f>IFERROR(INDEX(Krit_Faktor,MATCH(F68,Krit_Liste,0)),"")</f>
        <v/>
      </c>
      <c r="Z68" s="35">
        <f>IF(OR(I68="nein",I68="no"),1,0)</f>
        <v/>
      </c>
      <c r="AA68" s="35">
        <f>IF(OR(J68="nein",J68="no"),1,0)</f>
        <v/>
      </c>
      <c r="AB68" s="35">
        <f>IF(OR(K68="nein",K68="no"),1,0)</f>
        <v/>
      </c>
      <c r="AC68" s="35">
        <f>IF(OR(G68="ja",G68="yes"),1,0)</f>
        <v/>
      </c>
      <c r="AD68" s="35">
        <f>IF(AND(AC68=1,OR(H68="ja",H68="yes")),1,0)</f>
        <v/>
      </c>
      <c r="AE68" s="35">
        <f>IF(AC68=1,IF(AD68=1,Pkt_Abk_mit,Pkt_Abk_ohne),0)</f>
        <v/>
      </c>
      <c r="AF68" s="35">
        <f>(G68&lt;&gt;"")+(I68&lt;&gt;"")+(J68&lt;&gt;"")+(K68&lt;&gt;"")</f>
        <v/>
      </c>
      <c r="AG68" s="35">
        <f>IF(Q68&lt;&gt;"",Q68,IF(AF68&lt;4,"",IF(Z68=1,Tage_nicht_beschaffbar,Tage_beschaffbar)))</f>
        <v/>
      </c>
      <c r="AH68" s="35">
        <f>IF(M68="","",M68*1000+Y68*10+(1000-ROW())/100000)</f>
        <v/>
      </c>
    </row>
    <row r="69" ht="34" customHeight="1">
      <c r="A69" s="23">
        <f>IF(B69="","",COUNTA($B$9:B69))</f>
        <v/>
      </c>
      <c r="B69" s="24" t="n"/>
      <c r="C69" s="25" t="n"/>
      <c r="D69" s="25" t="n"/>
      <c r="E69" s="25" t="n"/>
      <c r="F69" s="26" t="n"/>
      <c r="G69" s="26" t="n"/>
      <c r="H69" s="27" t="n"/>
      <c r="I69" s="26" t="n"/>
      <c r="J69" s="26" t="n"/>
      <c r="K69" s="26" t="n"/>
      <c r="L69" s="23">
        <f>IF(AF69&lt;4,"",Z69+AA69+AB69+AE69)</f>
        <v/>
      </c>
      <c r="M69" s="28">
        <f>IF(OR(L69="",Y69=""),"",Y69*L69)</f>
        <v/>
      </c>
      <c r="N69" s="29">
        <f>IF(M69="","",IF(M69&lt;=Gruen_bis,"grün",IF(M69&lt;=Gelb_bis,"gelb","rot")))</f>
        <v/>
      </c>
      <c r="O69" s="30">
        <f>IF(N69="",IF(B69="","","Bewertung unvollständig – ★-Felder ausfüllen"),IF(N69="grün",IF(AC69=1,IF(AD69=1,"Abgekündigt, Nachfolger vorhanden: Umstieg bei nächster Gelegenheit planen","Abgekündigt: Endbevorratung (Last-Time-Buy) prüfen, Ersatzlösung planen"),"Keine aktive Maßnahme – jährlich prüfen"),IF(AND(Z69=1,AA69=1,AB69=1),"Sofort sichern: Restbestand / Gebrauchtteil kaufen und Ersatzlösung (Retrofit) planen",IF(AND(Z69=1,AB69=1),"Reparaturweg absichern (Dienstleister, Tauschteil), Gebrauchtteil prüfen",IF(AD69=1,"Auf Nachfolgeprodukt umstellen: Kompatibilität prüfen, Umstieg planen",IF(AC69=1,IF(AB69=1,"Abgekündigt ohne Nachfolger: sofort Endbevorratung (Last-Time-Buy) und Ersatzlösung planen","Abgekündigt ohne Nachfolger: Lagerteil sichern, Ersatzlösung (Retrofit) planen"),IF(Z69=1,"Nicht beschaffbar: Lagerteil schützen, Ersatzlösung mittelfristig planen",IF(AB69=1,IF(LEFT(S69,4)="nein","Bevorratung lohnt nicht – Lieferzeit und Reparaturweg absichern","Lagerbestand anlegen (mind. 1 Stk.)"),"Reparaturmöglichkeit klären"))))))))</f>
        <v/>
      </c>
      <c r="P69" s="31" t="n"/>
      <c r="Q69" s="27" t="n"/>
      <c r="R69" s="32">
        <f>IF(OR(AG69="",Y69="",AB69=0),"",AG69*INDEX(Krit_Kosten,MATCH(F69,Krit_Liste,0)))</f>
        <v/>
      </c>
      <c r="S69" s="33">
        <f>IF(N69="","",IF(N69="grün","–",IF(AB69=0,"am Lager / in stock",IF(N(P69)&lt;=0,"Stückpreis fehlt",IF(R69&gt;=Faktor_lohnt*P69,"ja – "&amp;FIXED(R69/P69,0)&amp;"-fach","nein – "&amp;FIXED(R69/P69,IF(R69/P69&lt;1,2,1))&amp;"-fach")))))</f>
        <v/>
      </c>
      <c r="T69" s="25" t="n"/>
      <c r="U69" s="34" t="n"/>
      <c r="V69" s="27" t="n"/>
      <c r="W69" s="25" t="n"/>
      <c r="X69" s="2" t="n"/>
      <c r="Y69" s="35">
        <f>IFERROR(INDEX(Krit_Faktor,MATCH(F69,Krit_Liste,0)),"")</f>
        <v/>
      </c>
      <c r="Z69" s="35">
        <f>IF(OR(I69="nein",I69="no"),1,0)</f>
        <v/>
      </c>
      <c r="AA69" s="35">
        <f>IF(OR(J69="nein",J69="no"),1,0)</f>
        <v/>
      </c>
      <c r="AB69" s="35">
        <f>IF(OR(K69="nein",K69="no"),1,0)</f>
        <v/>
      </c>
      <c r="AC69" s="35">
        <f>IF(OR(G69="ja",G69="yes"),1,0)</f>
        <v/>
      </c>
      <c r="AD69" s="35">
        <f>IF(AND(AC69=1,OR(H69="ja",H69="yes")),1,0)</f>
        <v/>
      </c>
      <c r="AE69" s="35">
        <f>IF(AC69=1,IF(AD69=1,Pkt_Abk_mit,Pkt_Abk_ohne),0)</f>
        <v/>
      </c>
      <c r="AF69" s="35">
        <f>(G69&lt;&gt;"")+(I69&lt;&gt;"")+(J69&lt;&gt;"")+(K69&lt;&gt;"")</f>
        <v/>
      </c>
      <c r="AG69" s="35">
        <f>IF(Q69&lt;&gt;"",Q69,IF(AF69&lt;4,"",IF(Z69=1,Tage_nicht_beschaffbar,Tage_beschaffbar)))</f>
        <v/>
      </c>
      <c r="AH69" s="35">
        <f>IF(M69="","",M69*1000+Y69*10+(1000-ROW())/100000)</f>
        <v/>
      </c>
    </row>
    <row r="70" ht="34" customHeight="1">
      <c r="A70" s="23">
        <f>IF(B70="","",COUNTA($B$9:B70))</f>
        <v/>
      </c>
      <c r="B70" s="24" t="n"/>
      <c r="C70" s="25" t="n"/>
      <c r="D70" s="25" t="n"/>
      <c r="E70" s="25" t="n"/>
      <c r="F70" s="26" t="n"/>
      <c r="G70" s="26" t="n"/>
      <c r="H70" s="27" t="n"/>
      <c r="I70" s="26" t="n"/>
      <c r="J70" s="26" t="n"/>
      <c r="K70" s="26" t="n"/>
      <c r="L70" s="23">
        <f>IF(AF70&lt;4,"",Z70+AA70+AB70+AE70)</f>
        <v/>
      </c>
      <c r="M70" s="28">
        <f>IF(OR(L70="",Y70=""),"",Y70*L70)</f>
        <v/>
      </c>
      <c r="N70" s="29">
        <f>IF(M70="","",IF(M70&lt;=Gruen_bis,"grün",IF(M70&lt;=Gelb_bis,"gelb","rot")))</f>
        <v/>
      </c>
      <c r="O70" s="30">
        <f>IF(N70="",IF(B70="","","Bewertung unvollständig – ★-Felder ausfüllen"),IF(N70="grün",IF(AC70=1,IF(AD70=1,"Abgekündigt, Nachfolger vorhanden: Umstieg bei nächster Gelegenheit planen","Abgekündigt: Endbevorratung (Last-Time-Buy) prüfen, Ersatzlösung planen"),"Keine aktive Maßnahme – jährlich prüfen"),IF(AND(Z70=1,AA70=1,AB70=1),"Sofort sichern: Restbestand / Gebrauchtteil kaufen und Ersatzlösung (Retrofit) planen",IF(AND(Z70=1,AB70=1),"Reparaturweg absichern (Dienstleister, Tauschteil), Gebrauchtteil prüfen",IF(AD70=1,"Auf Nachfolgeprodukt umstellen: Kompatibilität prüfen, Umstieg planen",IF(AC70=1,IF(AB70=1,"Abgekündigt ohne Nachfolger: sofort Endbevorratung (Last-Time-Buy) und Ersatzlösung planen","Abgekündigt ohne Nachfolger: Lagerteil sichern, Ersatzlösung (Retrofit) planen"),IF(Z70=1,"Nicht beschaffbar: Lagerteil schützen, Ersatzlösung mittelfristig planen",IF(AB70=1,IF(LEFT(S70,4)="nein","Bevorratung lohnt nicht – Lieferzeit und Reparaturweg absichern","Lagerbestand anlegen (mind. 1 Stk.)"),"Reparaturmöglichkeit klären"))))))))</f>
        <v/>
      </c>
      <c r="P70" s="31" t="n"/>
      <c r="Q70" s="27" t="n"/>
      <c r="R70" s="32">
        <f>IF(OR(AG70="",Y70="",AB70=0),"",AG70*INDEX(Krit_Kosten,MATCH(F70,Krit_Liste,0)))</f>
        <v/>
      </c>
      <c r="S70" s="33">
        <f>IF(N70="","",IF(N70="grün","–",IF(AB70=0,"am Lager / in stock",IF(N(P70)&lt;=0,"Stückpreis fehlt",IF(R70&gt;=Faktor_lohnt*P70,"ja – "&amp;FIXED(R70/P70,0)&amp;"-fach","nein – "&amp;FIXED(R70/P70,IF(R70/P70&lt;1,2,1))&amp;"-fach")))))</f>
        <v/>
      </c>
      <c r="T70" s="25" t="n"/>
      <c r="U70" s="34" t="n"/>
      <c r="V70" s="27" t="n"/>
      <c r="W70" s="25" t="n"/>
      <c r="X70" s="2" t="n"/>
      <c r="Y70" s="35">
        <f>IFERROR(INDEX(Krit_Faktor,MATCH(F70,Krit_Liste,0)),"")</f>
        <v/>
      </c>
      <c r="Z70" s="35">
        <f>IF(OR(I70="nein",I70="no"),1,0)</f>
        <v/>
      </c>
      <c r="AA70" s="35">
        <f>IF(OR(J70="nein",J70="no"),1,0)</f>
        <v/>
      </c>
      <c r="AB70" s="35">
        <f>IF(OR(K70="nein",K70="no"),1,0)</f>
        <v/>
      </c>
      <c r="AC70" s="35">
        <f>IF(OR(G70="ja",G70="yes"),1,0)</f>
        <v/>
      </c>
      <c r="AD70" s="35">
        <f>IF(AND(AC70=1,OR(H70="ja",H70="yes")),1,0)</f>
        <v/>
      </c>
      <c r="AE70" s="35">
        <f>IF(AC70=1,IF(AD70=1,Pkt_Abk_mit,Pkt_Abk_ohne),0)</f>
        <v/>
      </c>
      <c r="AF70" s="35">
        <f>(G70&lt;&gt;"")+(I70&lt;&gt;"")+(J70&lt;&gt;"")+(K70&lt;&gt;"")</f>
        <v/>
      </c>
      <c r="AG70" s="35">
        <f>IF(Q70&lt;&gt;"",Q70,IF(AF70&lt;4,"",IF(Z70=1,Tage_nicht_beschaffbar,Tage_beschaffbar)))</f>
        <v/>
      </c>
      <c r="AH70" s="35">
        <f>IF(M70="","",M70*1000+Y70*10+(1000-ROW())/100000)</f>
        <v/>
      </c>
    </row>
    <row r="71" ht="34" customHeight="1">
      <c r="A71" s="23">
        <f>IF(B71="","",COUNTA($B$9:B71))</f>
        <v/>
      </c>
      <c r="B71" s="24" t="n"/>
      <c r="C71" s="25" t="n"/>
      <c r="D71" s="25" t="n"/>
      <c r="E71" s="25" t="n"/>
      <c r="F71" s="26" t="n"/>
      <c r="G71" s="26" t="n"/>
      <c r="H71" s="27" t="n"/>
      <c r="I71" s="26" t="n"/>
      <c r="J71" s="26" t="n"/>
      <c r="K71" s="26" t="n"/>
      <c r="L71" s="23">
        <f>IF(AF71&lt;4,"",Z71+AA71+AB71+AE71)</f>
        <v/>
      </c>
      <c r="M71" s="28">
        <f>IF(OR(L71="",Y71=""),"",Y71*L71)</f>
        <v/>
      </c>
      <c r="N71" s="29">
        <f>IF(M71="","",IF(M71&lt;=Gruen_bis,"grün",IF(M71&lt;=Gelb_bis,"gelb","rot")))</f>
        <v/>
      </c>
      <c r="O71" s="30">
        <f>IF(N71="",IF(B71="","","Bewertung unvollständig – ★-Felder ausfüllen"),IF(N71="grün",IF(AC71=1,IF(AD71=1,"Abgekündigt, Nachfolger vorhanden: Umstieg bei nächster Gelegenheit planen","Abgekündigt: Endbevorratung (Last-Time-Buy) prüfen, Ersatzlösung planen"),"Keine aktive Maßnahme – jährlich prüfen"),IF(AND(Z71=1,AA71=1,AB71=1),"Sofort sichern: Restbestand / Gebrauchtteil kaufen und Ersatzlösung (Retrofit) planen",IF(AND(Z71=1,AB71=1),"Reparaturweg absichern (Dienstleister, Tauschteil), Gebrauchtteil prüfen",IF(AD71=1,"Auf Nachfolgeprodukt umstellen: Kompatibilität prüfen, Umstieg planen",IF(AC71=1,IF(AB71=1,"Abgekündigt ohne Nachfolger: sofort Endbevorratung (Last-Time-Buy) und Ersatzlösung planen","Abgekündigt ohne Nachfolger: Lagerteil sichern, Ersatzlösung (Retrofit) planen"),IF(Z71=1,"Nicht beschaffbar: Lagerteil schützen, Ersatzlösung mittelfristig planen",IF(AB71=1,IF(LEFT(S71,4)="nein","Bevorratung lohnt nicht – Lieferzeit und Reparaturweg absichern","Lagerbestand anlegen (mind. 1 Stk.)"),"Reparaturmöglichkeit klären"))))))))</f>
        <v/>
      </c>
      <c r="P71" s="31" t="n"/>
      <c r="Q71" s="27" t="n"/>
      <c r="R71" s="32">
        <f>IF(OR(AG71="",Y71="",AB71=0),"",AG71*INDEX(Krit_Kosten,MATCH(F71,Krit_Liste,0)))</f>
        <v/>
      </c>
      <c r="S71" s="33">
        <f>IF(N71="","",IF(N71="grün","–",IF(AB71=0,"am Lager / in stock",IF(N(P71)&lt;=0,"Stückpreis fehlt",IF(R71&gt;=Faktor_lohnt*P71,"ja – "&amp;FIXED(R71/P71,0)&amp;"-fach","nein – "&amp;FIXED(R71/P71,IF(R71/P71&lt;1,2,1))&amp;"-fach")))))</f>
        <v/>
      </c>
      <c r="T71" s="25" t="n"/>
      <c r="U71" s="34" t="n"/>
      <c r="V71" s="27" t="n"/>
      <c r="W71" s="25" t="n"/>
      <c r="X71" s="2" t="n"/>
      <c r="Y71" s="35">
        <f>IFERROR(INDEX(Krit_Faktor,MATCH(F71,Krit_Liste,0)),"")</f>
        <v/>
      </c>
      <c r="Z71" s="35">
        <f>IF(OR(I71="nein",I71="no"),1,0)</f>
        <v/>
      </c>
      <c r="AA71" s="35">
        <f>IF(OR(J71="nein",J71="no"),1,0)</f>
        <v/>
      </c>
      <c r="AB71" s="35">
        <f>IF(OR(K71="nein",K71="no"),1,0)</f>
        <v/>
      </c>
      <c r="AC71" s="35">
        <f>IF(OR(G71="ja",G71="yes"),1,0)</f>
        <v/>
      </c>
      <c r="AD71" s="35">
        <f>IF(AND(AC71=1,OR(H71="ja",H71="yes")),1,0)</f>
        <v/>
      </c>
      <c r="AE71" s="35">
        <f>IF(AC71=1,IF(AD71=1,Pkt_Abk_mit,Pkt_Abk_ohne),0)</f>
        <v/>
      </c>
      <c r="AF71" s="35">
        <f>(G71&lt;&gt;"")+(I71&lt;&gt;"")+(J71&lt;&gt;"")+(K71&lt;&gt;"")</f>
        <v/>
      </c>
      <c r="AG71" s="35">
        <f>IF(Q71&lt;&gt;"",Q71,IF(AF71&lt;4,"",IF(Z71=1,Tage_nicht_beschaffbar,Tage_beschaffbar)))</f>
        <v/>
      </c>
      <c r="AH71" s="35">
        <f>IF(M71="","",M71*1000+Y71*10+(1000-ROW())/100000)</f>
        <v/>
      </c>
    </row>
    <row r="72" ht="34" customHeight="1">
      <c r="A72" s="23">
        <f>IF(B72="","",COUNTA($B$9:B72))</f>
        <v/>
      </c>
      <c r="B72" s="24" t="n"/>
      <c r="C72" s="25" t="n"/>
      <c r="D72" s="25" t="n"/>
      <c r="E72" s="25" t="n"/>
      <c r="F72" s="26" t="n"/>
      <c r="G72" s="26" t="n"/>
      <c r="H72" s="27" t="n"/>
      <c r="I72" s="26" t="n"/>
      <c r="J72" s="26" t="n"/>
      <c r="K72" s="26" t="n"/>
      <c r="L72" s="23">
        <f>IF(AF72&lt;4,"",Z72+AA72+AB72+AE72)</f>
        <v/>
      </c>
      <c r="M72" s="28">
        <f>IF(OR(L72="",Y72=""),"",Y72*L72)</f>
        <v/>
      </c>
      <c r="N72" s="29">
        <f>IF(M72="","",IF(M72&lt;=Gruen_bis,"grün",IF(M72&lt;=Gelb_bis,"gelb","rot")))</f>
        <v/>
      </c>
      <c r="O72" s="30">
        <f>IF(N72="",IF(B72="","","Bewertung unvollständig – ★-Felder ausfüllen"),IF(N72="grün",IF(AC72=1,IF(AD72=1,"Abgekündigt, Nachfolger vorhanden: Umstieg bei nächster Gelegenheit planen","Abgekündigt: Endbevorratung (Last-Time-Buy) prüfen, Ersatzlösung planen"),"Keine aktive Maßnahme – jährlich prüfen"),IF(AND(Z72=1,AA72=1,AB72=1),"Sofort sichern: Restbestand / Gebrauchtteil kaufen und Ersatzlösung (Retrofit) planen",IF(AND(Z72=1,AB72=1),"Reparaturweg absichern (Dienstleister, Tauschteil), Gebrauchtteil prüfen",IF(AD72=1,"Auf Nachfolgeprodukt umstellen: Kompatibilität prüfen, Umstieg planen",IF(AC72=1,IF(AB72=1,"Abgekündigt ohne Nachfolger: sofort Endbevorratung (Last-Time-Buy) und Ersatzlösung planen","Abgekündigt ohne Nachfolger: Lagerteil sichern, Ersatzlösung (Retrofit) planen"),IF(Z72=1,"Nicht beschaffbar: Lagerteil schützen, Ersatzlösung mittelfristig planen",IF(AB72=1,IF(LEFT(S72,4)="nein","Bevorratung lohnt nicht – Lieferzeit und Reparaturweg absichern","Lagerbestand anlegen (mind. 1 Stk.)"),"Reparaturmöglichkeit klären"))))))))</f>
        <v/>
      </c>
      <c r="P72" s="31" t="n"/>
      <c r="Q72" s="27" t="n"/>
      <c r="R72" s="32">
        <f>IF(OR(AG72="",Y72="",AB72=0),"",AG72*INDEX(Krit_Kosten,MATCH(F72,Krit_Liste,0)))</f>
        <v/>
      </c>
      <c r="S72" s="33">
        <f>IF(N72="","",IF(N72="grün","–",IF(AB72=0,"am Lager / in stock",IF(N(P72)&lt;=0,"Stückpreis fehlt",IF(R72&gt;=Faktor_lohnt*P72,"ja – "&amp;FIXED(R72/P72,0)&amp;"-fach","nein – "&amp;FIXED(R72/P72,IF(R72/P72&lt;1,2,1))&amp;"-fach")))))</f>
        <v/>
      </c>
      <c r="T72" s="25" t="n"/>
      <c r="U72" s="34" t="n"/>
      <c r="V72" s="27" t="n"/>
      <c r="W72" s="25" t="n"/>
      <c r="X72" s="2" t="n"/>
      <c r="Y72" s="35">
        <f>IFERROR(INDEX(Krit_Faktor,MATCH(F72,Krit_Liste,0)),"")</f>
        <v/>
      </c>
      <c r="Z72" s="35">
        <f>IF(OR(I72="nein",I72="no"),1,0)</f>
        <v/>
      </c>
      <c r="AA72" s="35">
        <f>IF(OR(J72="nein",J72="no"),1,0)</f>
        <v/>
      </c>
      <c r="AB72" s="35">
        <f>IF(OR(K72="nein",K72="no"),1,0)</f>
        <v/>
      </c>
      <c r="AC72" s="35">
        <f>IF(OR(G72="ja",G72="yes"),1,0)</f>
        <v/>
      </c>
      <c r="AD72" s="35">
        <f>IF(AND(AC72=1,OR(H72="ja",H72="yes")),1,0)</f>
        <v/>
      </c>
      <c r="AE72" s="35">
        <f>IF(AC72=1,IF(AD72=1,Pkt_Abk_mit,Pkt_Abk_ohne),0)</f>
        <v/>
      </c>
      <c r="AF72" s="35">
        <f>(G72&lt;&gt;"")+(I72&lt;&gt;"")+(J72&lt;&gt;"")+(K72&lt;&gt;"")</f>
        <v/>
      </c>
      <c r="AG72" s="35">
        <f>IF(Q72&lt;&gt;"",Q72,IF(AF72&lt;4,"",IF(Z72=1,Tage_nicht_beschaffbar,Tage_beschaffbar)))</f>
        <v/>
      </c>
      <c r="AH72" s="35">
        <f>IF(M72="","",M72*1000+Y72*10+(1000-ROW())/100000)</f>
        <v/>
      </c>
    </row>
    <row r="73" ht="34" customHeight="1">
      <c r="A73" s="23">
        <f>IF(B73="","",COUNTA($B$9:B73))</f>
        <v/>
      </c>
      <c r="B73" s="24" t="n"/>
      <c r="C73" s="25" t="n"/>
      <c r="D73" s="25" t="n"/>
      <c r="E73" s="25" t="n"/>
      <c r="F73" s="26" t="n"/>
      <c r="G73" s="26" t="n"/>
      <c r="H73" s="27" t="n"/>
      <c r="I73" s="26" t="n"/>
      <c r="J73" s="26" t="n"/>
      <c r="K73" s="26" t="n"/>
      <c r="L73" s="23">
        <f>IF(AF73&lt;4,"",Z73+AA73+AB73+AE73)</f>
        <v/>
      </c>
      <c r="M73" s="28">
        <f>IF(OR(L73="",Y73=""),"",Y73*L73)</f>
        <v/>
      </c>
      <c r="N73" s="29">
        <f>IF(M73="","",IF(M73&lt;=Gruen_bis,"grün",IF(M73&lt;=Gelb_bis,"gelb","rot")))</f>
        <v/>
      </c>
      <c r="O73" s="30">
        <f>IF(N73="",IF(B73="","","Bewertung unvollständig – ★-Felder ausfüllen"),IF(N73="grün",IF(AC73=1,IF(AD73=1,"Abgekündigt, Nachfolger vorhanden: Umstieg bei nächster Gelegenheit planen","Abgekündigt: Endbevorratung (Last-Time-Buy) prüfen, Ersatzlösung planen"),"Keine aktive Maßnahme – jährlich prüfen"),IF(AND(Z73=1,AA73=1,AB73=1),"Sofort sichern: Restbestand / Gebrauchtteil kaufen und Ersatzlösung (Retrofit) planen",IF(AND(Z73=1,AB73=1),"Reparaturweg absichern (Dienstleister, Tauschteil), Gebrauchtteil prüfen",IF(AD73=1,"Auf Nachfolgeprodukt umstellen: Kompatibilität prüfen, Umstieg planen",IF(AC73=1,IF(AB73=1,"Abgekündigt ohne Nachfolger: sofort Endbevorratung (Last-Time-Buy) und Ersatzlösung planen","Abgekündigt ohne Nachfolger: Lagerteil sichern, Ersatzlösung (Retrofit) planen"),IF(Z73=1,"Nicht beschaffbar: Lagerteil schützen, Ersatzlösung mittelfristig planen",IF(AB73=1,IF(LEFT(S73,4)="nein","Bevorratung lohnt nicht – Lieferzeit und Reparaturweg absichern","Lagerbestand anlegen (mind. 1 Stk.)"),"Reparaturmöglichkeit klären"))))))))</f>
        <v/>
      </c>
      <c r="P73" s="31" t="n"/>
      <c r="Q73" s="27" t="n"/>
      <c r="R73" s="32">
        <f>IF(OR(AG73="",Y73="",AB73=0),"",AG73*INDEX(Krit_Kosten,MATCH(F73,Krit_Liste,0)))</f>
        <v/>
      </c>
      <c r="S73" s="33">
        <f>IF(N73="","",IF(N73="grün","–",IF(AB73=0,"am Lager / in stock",IF(N(P73)&lt;=0,"Stückpreis fehlt",IF(R73&gt;=Faktor_lohnt*P73,"ja – "&amp;FIXED(R73/P73,0)&amp;"-fach","nein – "&amp;FIXED(R73/P73,IF(R73/P73&lt;1,2,1))&amp;"-fach")))))</f>
        <v/>
      </c>
      <c r="T73" s="25" t="n"/>
      <c r="U73" s="34" t="n"/>
      <c r="V73" s="27" t="n"/>
      <c r="W73" s="25" t="n"/>
      <c r="X73" s="2" t="n"/>
      <c r="Y73" s="35">
        <f>IFERROR(INDEX(Krit_Faktor,MATCH(F73,Krit_Liste,0)),"")</f>
        <v/>
      </c>
      <c r="Z73" s="35">
        <f>IF(OR(I73="nein",I73="no"),1,0)</f>
        <v/>
      </c>
      <c r="AA73" s="35">
        <f>IF(OR(J73="nein",J73="no"),1,0)</f>
        <v/>
      </c>
      <c r="AB73" s="35">
        <f>IF(OR(K73="nein",K73="no"),1,0)</f>
        <v/>
      </c>
      <c r="AC73" s="35">
        <f>IF(OR(G73="ja",G73="yes"),1,0)</f>
        <v/>
      </c>
      <c r="AD73" s="35">
        <f>IF(AND(AC73=1,OR(H73="ja",H73="yes")),1,0)</f>
        <v/>
      </c>
      <c r="AE73" s="35">
        <f>IF(AC73=1,IF(AD73=1,Pkt_Abk_mit,Pkt_Abk_ohne),0)</f>
        <v/>
      </c>
      <c r="AF73" s="35">
        <f>(G73&lt;&gt;"")+(I73&lt;&gt;"")+(J73&lt;&gt;"")+(K73&lt;&gt;"")</f>
        <v/>
      </c>
      <c r="AG73" s="35">
        <f>IF(Q73&lt;&gt;"",Q73,IF(AF73&lt;4,"",IF(Z73=1,Tage_nicht_beschaffbar,Tage_beschaffbar)))</f>
        <v/>
      </c>
      <c r="AH73" s="35">
        <f>IF(M73="","",M73*1000+Y73*10+(1000-ROW())/100000)</f>
        <v/>
      </c>
    </row>
    <row r="74" ht="34" customHeight="1">
      <c r="A74" s="23">
        <f>IF(B74="","",COUNTA($B$9:B74))</f>
        <v/>
      </c>
      <c r="B74" s="24" t="n"/>
      <c r="C74" s="25" t="n"/>
      <c r="D74" s="25" t="n"/>
      <c r="E74" s="25" t="n"/>
      <c r="F74" s="26" t="n"/>
      <c r="G74" s="26" t="n"/>
      <c r="H74" s="27" t="n"/>
      <c r="I74" s="26" t="n"/>
      <c r="J74" s="26" t="n"/>
      <c r="K74" s="26" t="n"/>
      <c r="L74" s="23">
        <f>IF(AF74&lt;4,"",Z74+AA74+AB74+AE74)</f>
        <v/>
      </c>
      <c r="M74" s="28">
        <f>IF(OR(L74="",Y74=""),"",Y74*L74)</f>
        <v/>
      </c>
      <c r="N74" s="29">
        <f>IF(M74="","",IF(M74&lt;=Gruen_bis,"grün",IF(M74&lt;=Gelb_bis,"gelb","rot")))</f>
        <v/>
      </c>
      <c r="O74" s="30">
        <f>IF(N74="",IF(B74="","","Bewertung unvollständig – ★-Felder ausfüllen"),IF(N74="grün",IF(AC74=1,IF(AD74=1,"Abgekündigt, Nachfolger vorhanden: Umstieg bei nächster Gelegenheit planen","Abgekündigt: Endbevorratung (Last-Time-Buy) prüfen, Ersatzlösung planen"),"Keine aktive Maßnahme – jährlich prüfen"),IF(AND(Z74=1,AA74=1,AB74=1),"Sofort sichern: Restbestand / Gebrauchtteil kaufen und Ersatzlösung (Retrofit) planen",IF(AND(Z74=1,AB74=1),"Reparaturweg absichern (Dienstleister, Tauschteil), Gebrauchtteil prüfen",IF(AD74=1,"Auf Nachfolgeprodukt umstellen: Kompatibilität prüfen, Umstieg planen",IF(AC74=1,IF(AB74=1,"Abgekündigt ohne Nachfolger: sofort Endbevorratung (Last-Time-Buy) und Ersatzlösung planen","Abgekündigt ohne Nachfolger: Lagerteil sichern, Ersatzlösung (Retrofit) planen"),IF(Z74=1,"Nicht beschaffbar: Lagerteil schützen, Ersatzlösung mittelfristig planen",IF(AB74=1,IF(LEFT(S74,4)="nein","Bevorratung lohnt nicht – Lieferzeit und Reparaturweg absichern","Lagerbestand anlegen (mind. 1 Stk.)"),"Reparaturmöglichkeit klären"))))))))</f>
        <v/>
      </c>
      <c r="P74" s="31" t="n"/>
      <c r="Q74" s="27" t="n"/>
      <c r="R74" s="32">
        <f>IF(OR(AG74="",Y74="",AB74=0),"",AG74*INDEX(Krit_Kosten,MATCH(F74,Krit_Liste,0)))</f>
        <v/>
      </c>
      <c r="S74" s="33">
        <f>IF(N74="","",IF(N74="grün","–",IF(AB74=0,"am Lager / in stock",IF(N(P74)&lt;=0,"Stückpreis fehlt",IF(R74&gt;=Faktor_lohnt*P74,"ja – "&amp;FIXED(R74/P74,0)&amp;"-fach","nein – "&amp;FIXED(R74/P74,IF(R74/P74&lt;1,2,1))&amp;"-fach")))))</f>
        <v/>
      </c>
      <c r="T74" s="25" t="n"/>
      <c r="U74" s="34" t="n"/>
      <c r="V74" s="27" t="n"/>
      <c r="W74" s="25" t="n"/>
      <c r="X74" s="2" t="n"/>
      <c r="Y74" s="35">
        <f>IFERROR(INDEX(Krit_Faktor,MATCH(F74,Krit_Liste,0)),"")</f>
        <v/>
      </c>
      <c r="Z74" s="35">
        <f>IF(OR(I74="nein",I74="no"),1,0)</f>
        <v/>
      </c>
      <c r="AA74" s="35">
        <f>IF(OR(J74="nein",J74="no"),1,0)</f>
        <v/>
      </c>
      <c r="AB74" s="35">
        <f>IF(OR(K74="nein",K74="no"),1,0)</f>
        <v/>
      </c>
      <c r="AC74" s="35">
        <f>IF(OR(G74="ja",G74="yes"),1,0)</f>
        <v/>
      </c>
      <c r="AD74" s="35">
        <f>IF(AND(AC74=1,OR(H74="ja",H74="yes")),1,0)</f>
        <v/>
      </c>
      <c r="AE74" s="35">
        <f>IF(AC74=1,IF(AD74=1,Pkt_Abk_mit,Pkt_Abk_ohne),0)</f>
        <v/>
      </c>
      <c r="AF74" s="35">
        <f>(G74&lt;&gt;"")+(I74&lt;&gt;"")+(J74&lt;&gt;"")+(K74&lt;&gt;"")</f>
        <v/>
      </c>
      <c r="AG74" s="35">
        <f>IF(Q74&lt;&gt;"",Q74,IF(AF74&lt;4,"",IF(Z74=1,Tage_nicht_beschaffbar,Tage_beschaffbar)))</f>
        <v/>
      </c>
      <c r="AH74" s="35">
        <f>IF(M74="","",M74*1000+Y74*10+(1000-ROW())/100000)</f>
        <v/>
      </c>
    </row>
    <row r="75" ht="34" customHeight="1">
      <c r="A75" s="23">
        <f>IF(B75="","",COUNTA($B$9:B75))</f>
        <v/>
      </c>
      <c r="B75" s="24" t="n"/>
      <c r="C75" s="25" t="n"/>
      <c r="D75" s="25" t="n"/>
      <c r="E75" s="25" t="n"/>
      <c r="F75" s="26" t="n"/>
      <c r="G75" s="26" t="n"/>
      <c r="H75" s="27" t="n"/>
      <c r="I75" s="26" t="n"/>
      <c r="J75" s="26" t="n"/>
      <c r="K75" s="26" t="n"/>
      <c r="L75" s="23">
        <f>IF(AF75&lt;4,"",Z75+AA75+AB75+AE75)</f>
        <v/>
      </c>
      <c r="M75" s="28">
        <f>IF(OR(L75="",Y75=""),"",Y75*L75)</f>
        <v/>
      </c>
      <c r="N75" s="29">
        <f>IF(M75="","",IF(M75&lt;=Gruen_bis,"grün",IF(M75&lt;=Gelb_bis,"gelb","rot")))</f>
        <v/>
      </c>
      <c r="O75" s="30">
        <f>IF(N75="",IF(B75="","","Bewertung unvollständig – ★-Felder ausfüllen"),IF(N75="grün",IF(AC75=1,IF(AD75=1,"Abgekündigt, Nachfolger vorhanden: Umstieg bei nächster Gelegenheit planen","Abgekündigt: Endbevorratung (Last-Time-Buy) prüfen, Ersatzlösung planen"),"Keine aktive Maßnahme – jährlich prüfen"),IF(AND(Z75=1,AA75=1,AB75=1),"Sofort sichern: Restbestand / Gebrauchtteil kaufen und Ersatzlösung (Retrofit) planen",IF(AND(Z75=1,AB75=1),"Reparaturweg absichern (Dienstleister, Tauschteil), Gebrauchtteil prüfen",IF(AD75=1,"Auf Nachfolgeprodukt umstellen: Kompatibilität prüfen, Umstieg planen",IF(AC75=1,IF(AB75=1,"Abgekündigt ohne Nachfolger: sofort Endbevorratung (Last-Time-Buy) und Ersatzlösung planen","Abgekündigt ohne Nachfolger: Lagerteil sichern, Ersatzlösung (Retrofit) planen"),IF(Z75=1,"Nicht beschaffbar: Lagerteil schützen, Ersatzlösung mittelfristig planen",IF(AB75=1,IF(LEFT(S75,4)="nein","Bevorratung lohnt nicht – Lieferzeit und Reparaturweg absichern","Lagerbestand anlegen (mind. 1 Stk.)"),"Reparaturmöglichkeit klären"))))))))</f>
        <v/>
      </c>
      <c r="P75" s="31" t="n"/>
      <c r="Q75" s="27" t="n"/>
      <c r="R75" s="32">
        <f>IF(OR(AG75="",Y75="",AB75=0),"",AG75*INDEX(Krit_Kosten,MATCH(F75,Krit_Liste,0)))</f>
        <v/>
      </c>
      <c r="S75" s="33">
        <f>IF(N75="","",IF(N75="grün","–",IF(AB75=0,"am Lager / in stock",IF(N(P75)&lt;=0,"Stückpreis fehlt",IF(R75&gt;=Faktor_lohnt*P75,"ja – "&amp;FIXED(R75/P75,0)&amp;"-fach","nein – "&amp;FIXED(R75/P75,IF(R75/P75&lt;1,2,1))&amp;"-fach")))))</f>
        <v/>
      </c>
      <c r="T75" s="25" t="n"/>
      <c r="U75" s="34" t="n"/>
      <c r="V75" s="27" t="n"/>
      <c r="W75" s="25" t="n"/>
      <c r="X75" s="2" t="n"/>
      <c r="Y75" s="35">
        <f>IFERROR(INDEX(Krit_Faktor,MATCH(F75,Krit_Liste,0)),"")</f>
        <v/>
      </c>
      <c r="Z75" s="35">
        <f>IF(OR(I75="nein",I75="no"),1,0)</f>
        <v/>
      </c>
      <c r="AA75" s="35">
        <f>IF(OR(J75="nein",J75="no"),1,0)</f>
        <v/>
      </c>
      <c r="AB75" s="35">
        <f>IF(OR(K75="nein",K75="no"),1,0)</f>
        <v/>
      </c>
      <c r="AC75" s="35">
        <f>IF(OR(G75="ja",G75="yes"),1,0)</f>
        <v/>
      </c>
      <c r="AD75" s="35">
        <f>IF(AND(AC75=1,OR(H75="ja",H75="yes")),1,0)</f>
        <v/>
      </c>
      <c r="AE75" s="35">
        <f>IF(AC75=1,IF(AD75=1,Pkt_Abk_mit,Pkt_Abk_ohne),0)</f>
        <v/>
      </c>
      <c r="AF75" s="35">
        <f>(G75&lt;&gt;"")+(I75&lt;&gt;"")+(J75&lt;&gt;"")+(K75&lt;&gt;"")</f>
        <v/>
      </c>
      <c r="AG75" s="35">
        <f>IF(Q75&lt;&gt;"",Q75,IF(AF75&lt;4,"",IF(Z75=1,Tage_nicht_beschaffbar,Tage_beschaffbar)))</f>
        <v/>
      </c>
      <c r="AH75" s="35">
        <f>IF(M75="","",M75*1000+Y75*10+(1000-ROW())/100000)</f>
        <v/>
      </c>
    </row>
    <row r="76" ht="34" customHeight="1">
      <c r="A76" s="23">
        <f>IF(B76="","",COUNTA($B$9:B76))</f>
        <v/>
      </c>
      <c r="B76" s="24" t="n"/>
      <c r="C76" s="25" t="n"/>
      <c r="D76" s="25" t="n"/>
      <c r="E76" s="25" t="n"/>
      <c r="F76" s="26" t="n"/>
      <c r="G76" s="26" t="n"/>
      <c r="H76" s="27" t="n"/>
      <c r="I76" s="26" t="n"/>
      <c r="J76" s="26" t="n"/>
      <c r="K76" s="26" t="n"/>
      <c r="L76" s="23">
        <f>IF(AF76&lt;4,"",Z76+AA76+AB76+AE76)</f>
        <v/>
      </c>
      <c r="M76" s="28">
        <f>IF(OR(L76="",Y76=""),"",Y76*L76)</f>
        <v/>
      </c>
      <c r="N76" s="29">
        <f>IF(M76="","",IF(M76&lt;=Gruen_bis,"grün",IF(M76&lt;=Gelb_bis,"gelb","rot")))</f>
        <v/>
      </c>
      <c r="O76" s="30">
        <f>IF(N76="",IF(B76="","","Bewertung unvollständig – ★-Felder ausfüllen"),IF(N76="grün",IF(AC76=1,IF(AD76=1,"Abgekündigt, Nachfolger vorhanden: Umstieg bei nächster Gelegenheit planen","Abgekündigt: Endbevorratung (Last-Time-Buy) prüfen, Ersatzlösung planen"),"Keine aktive Maßnahme – jährlich prüfen"),IF(AND(Z76=1,AA76=1,AB76=1),"Sofort sichern: Restbestand / Gebrauchtteil kaufen und Ersatzlösung (Retrofit) planen",IF(AND(Z76=1,AB76=1),"Reparaturweg absichern (Dienstleister, Tauschteil), Gebrauchtteil prüfen",IF(AD76=1,"Auf Nachfolgeprodukt umstellen: Kompatibilität prüfen, Umstieg planen",IF(AC76=1,IF(AB76=1,"Abgekündigt ohne Nachfolger: sofort Endbevorratung (Last-Time-Buy) und Ersatzlösung planen","Abgekündigt ohne Nachfolger: Lagerteil sichern, Ersatzlösung (Retrofit) planen"),IF(Z76=1,"Nicht beschaffbar: Lagerteil schützen, Ersatzlösung mittelfristig planen",IF(AB76=1,IF(LEFT(S76,4)="nein","Bevorratung lohnt nicht – Lieferzeit und Reparaturweg absichern","Lagerbestand anlegen (mind. 1 Stk.)"),"Reparaturmöglichkeit klären"))))))))</f>
        <v/>
      </c>
      <c r="P76" s="31" t="n"/>
      <c r="Q76" s="27" t="n"/>
      <c r="R76" s="32">
        <f>IF(OR(AG76="",Y76="",AB76=0),"",AG76*INDEX(Krit_Kosten,MATCH(F76,Krit_Liste,0)))</f>
        <v/>
      </c>
      <c r="S76" s="33">
        <f>IF(N76="","",IF(N76="grün","–",IF(AB76=0,"am Lager / in stock",IF(N(P76)&lt;=0,"Stückpreis fehlt",IF(R76&gt;=Faktor_lohnt*P76,"ja – "&amp;FIXED(R76/P76,0)&amp;"-fach","nein – "&amp;FIXED(R76/P76,IF(R76/P76&lt;1,2,1))&amp;"-fach")))))</f>
        <v/>
      </c>
      <c r="T76" s="25" t="n"/>
      <c r="U76" s="34" t="n"/>
      <c r="V76" s="27" t="n"/>
      <c r="W76" s="25" t="n"/>
      <c r="X76" s="2" t="n"/>
      <c r="Y76" s="35">
        <f>IFERROR(INDEX(Krit_Faktor,MATCH(F76,Krit_Liste,0)),"")</f>
        <v/>
      </c>
      <c r="Z76" s="35">
        <f>IF(OR(I76="nein",I76="no"),1,0)</f>
        <v/>
      </c>
      <c r="AA76" s="35">
        <f>IF(OR(J76="nein",J76="no"),1,0)</f>
        <v/>
      </c>
      <c r="AB76" s="35">
        <f>IF(OR(K76="nein",K76="no"),1,0)</f>
        <v/>
      </c>
      <c r="AC76" s="35">
        <f>IF(OR(G76="ja",G76="yes"),1,0)</f>
        <v/>
      </c>
      <c r="AD76" s="35">
        <f>IF(AND(AC76=1,OR(H76="ja",H76="yes")),1,0)</f>
        <v/>
      </c>
      <c r="AE76" s="35">
        <f>IF(AC76=1,IF(AD76=1,Pkt_Abk_mit,Pkt_Abk_ohne),0)</f>
        <v/>
      </c>
      <c r="AF76" s="35">
        <f>(G76&lt;&gt;"")+(I76&lt;&gt;"")+(J76&lt;&gt;"")+(K76&lt;&gt;"")</f>
        <v/>
      </c>
      <c r="AG76" s="35">
        <f>IF(Q76&lt;&gt;"",Q76,IF(AF76&lt;4,"",IF(Z76=1,Tage_nicht_beschaffbar,Tage_beschaffbar)))</f>
        <v/>
      </c>
      <c r="AH76" s="35">
        <f>IF(M76="","",M76*1000+Y76*10+(1000-ROW())/100000)</f>
        <v/>
      </c>
    </row>
    <row r="77" ht="34" customHeight="1">
      <c r="A77" s="23">
        <f>IF(B77="","",COUNTA($B$9:B77))</f>
        <v/>
      </c>
      <c r="B77" s="24" t="n"/>
      <c r="C77" s="25" t="n"/>
      <c r="D77" s="25" t="n"/>
      <c r="E77" s="25" t="n"/>
      <c r="F77" s="26" t="n"/>
      <c r="G77" s="26" t="n"/>
      <c r="H77" s="27" t="n"/>
      <c r="I77" s="26" t="n"/>
      <c r="J77" s="26" t="n"/>
      <c r="K77" s="26" t="n"/>
      <c r="L77" s="23">
        <f>IF(AF77&lt;4,"",Z77+AA77+AB77+AE77)</f>
        <v/>
      </c>
      <c r="M77" s="28">
        <f>IF(OR(L77="",Y77=""),"",Y77*L77)</f>
        <v/>
      </c>
      <c r="N77" s="29">
        <f>IF(M77="","",IF(M77&lt;=Gruen_bis,"grün",IF(M77&lt;=Gelb_bis,"gelb","rot")))</f>
        <v/>
      </c>
      <c r="O77" s="30">
        <f>IF(N77="",IF(B77="","","Bewertung unvollständig – ★-Felder ausfüllen"),IF(N77="grün",IF(AC77=1,IF(AD77=1,"Abgekündigt, Nachfolger vorhanden: Umstieg bei nächster Gelegenheit planen","Abgekündigt: Endbevorratung (Last-Time-Buy) prüfen, Ersatzlösung planen"),"Keine aktive Maßnahme – jährlich prüfen"),IF(AND(Z77=1,AA77=1,AB77=1),"Sofort sichern: Restbestand / Gebrauchtteil kaufen und Ersatzlösung (Retrofit) planen",IF(AND(Z77=1,AB77=1),"Reparaturweg absichern (Dienstleister, Tauschteil), Gebrauchtteil prüfen",IF(AD77=1,"Auf Nachfolgeprodukt umstellen: Kompatibilität prüfen, Umstieg planen",IF(AC77=1,IF(AB77=1,"Abgekündigt ohne Nachfolger: sofort Endbevorratung (Last-Time-Buy) und Ersatzlösung planen","Abgekündigt ohne Nachfolger: Lagerteil sichern, Ersatzlösung (Retrofit) planen"),IF(Z77=1,"Nicht beschaffbar: Lagerteil schützen, Ersatzlösung mittelfristig planen",IF(AB77=1,IF(LEFT(S77,4)="nein","Bevorratung lohnt nicht – Lieferzeit und Reparaturweg absichern","Lagerbestand anlegen (mind. 1 Stk.)"),"Reparaturmöglichkeit klären"))))))))</f>
        <v/>
      </c>
      <c r="P77" s="31" t="n"/>
      <c r="Q77" s="27" t="n"/>
      <c r="R77" s="32">
        <f>IF(OR(AG77="",Y77="",AB77=0),"",AG77*INDEX(Krit_Kosten,MATCH(F77,Krit_Liste,0)))</f>
        <v/>
      </c>
      <c r="S77" s="33">
        <f>IF(N77="","",IF(N77="grün","–",IF(AB77=0,"am Lager / in stock",IF(N(P77)&lt;=0,"Stückpreis fehlt",IF(R77&gt;=Faktor_lohnt*P77,"ja – "&amp;FIXED(R77/P77,0)&amp;"-fach","nein – "&amp;FIXED(R77/P77,IF(R77/P77&lt;1,2,1))&amp;"-fach")))))</f>
        <v/>
      </c>
      <c r="T77" s="25" t="n"/>
      <c r="U77" s="34" t="n"/>
      <c r="V77" s="27" t="n"/>
      <c r="W77" s="25" t="n"/>
      <c r="X77" s="2" t="n"/>
      <c r="Y77" s="35">
        <f>IFERROR(INDEX(Krit_Faktor,MATCH(F77,Krit_Liste,0)),"")</f>
        <v/>
      </c>
      <c r="Z77" s="35">
        <f>IF(OR(I77="nein",I77="no"),1,0)</f>
        <v/>
      </c>
      <c r="AA77" s="35">
        <f>IF(OR(J77="nein",J77="no"),1,0)</f>
        <v/>
      </c>
      <c r="AB77" s="35">
        <f>IF(OR(K77="nein",K77="no"),1,0)</f>
        <v/>
      </c>
      <c r="AC77" s="35">
        <f>IF(OR(G77="ja",G77="yes"),1,0)</f>
        <v/>
      </c>
      <c r="AD77" s="35">
        <f>IF(AND(AC77=1,OR(H77="ja",H77="yes")),1,0)</f>
        <v/>
      </c>
      <c r="AE77" s="35">
        <f>IF(AC77=1,IF(AD77=1,Pkt_Abk_mit,Pkt_Abk_ohne),0)</f>
        <v/>
      </c>
      <c r="AF77" s="35">
        <f>(G77&lt;&gt;"")+(I77&lt;&gt;"")+(J77&lt;&gt;"")+(K77&lt;&gt;"")</f>
        <v/>
      </c>
      <c r="AG77" s="35">
        <f>IF(Q77&lt;&gt;"",Q77,IF(AF77&lt;4,"",IF(Z77=1,Tage_nicht_beschaffbar,Tage_beschaffbar)))</f>
        <v/>
      </c>
      <c r="AH77" s="35">
        <f>IF(M77="","",M77*1000+Y77*10+(1000-ROW())/100000)</f>
        <v/>
      </c>
    </row>
    <row r="78" ht="34" customHeight="1">
      <c r="A78" s="23">
        <f>IF(B78="","",COUNTA($B$9:B78))</f>
        <v/>
      </c>
      <c r="B78" s="24" t="n"/>
      <c r="C78" s="25" t="n"/>
      <c r="D78" s="25" t="n"/>
      <c r="E78" s="25" t="n"/>
      <c r="F78" s="26" t="n"/>
      <c r="G78" s="26" t="n"/>
      <c r="H78" s="27" t="n"/>
      <c r="I78" s="26" t="n"/>
      <c r="J78" s="26" t="n"/>
      <c r="K78" s="26" t="n"/>
      <c r="L78" s="23">
        <f>IF(AF78&lt;4,"",Z78+AA78+AB78+AE78)</f>
        <v/>
      </c>
      <c r="M78" s="28">
        <f>IF(OR(L78="",Y78=""),"",Y78*L78)</f>
        <v/>
      </c>
      <c r="N78" s="29">
        <f>IF(M78="","",IF(M78&lt;=Gruen_bis,"grün",IF(M78&lt;=Gelb_bis,"gelb","rot")))</f>
        <v/>
      </c>
      <c r="O78" s="30">
        <f>IF(N78="",IF(B78="","","Bewertung unvollständig – ★-Felder ausfüllen"),IF(N78="grün",IF(AC78=1,IF(AD78=1,"Abgekündigt, Nachfolger vorhanden: Umstieg bei nächster Gelegenheit planen","Abgekündigt: Endbevorratung (Last-Time-Buy) prüfen, Ersatzlösung planen"),"Keine aktive Maßnahme – jährlich prüfen"),IF(AND(Z78=1,AA78=1,AB78=1),"Sofort sichern: Restbestand / Gebrauchtteil kaufen und Ersatzlösung (Retrofit) planen",IF(AND(Z78=1,AB78=1),"Reparaturweg absichern (Dienstleister, Tauschteil), Gebrauchtteil prüfen",IF(AD78=1,"Auf Nachfolgeprodukt umstellen: Kompatibilität prüfen, Umstieg planen",IF(AC78=1,IF(AB78=1,"Abgekündigt ohne Nachfolger: sofort Endbevorratung (Last-Time-Buy) und Ersatzlösung planen","Abgekündigt ohne Nachfolger: Lagerteil sichern, Ersatzlösung (Retrofit) planen"),IF(Z78=1,"Nicht beschaffbar: Lagerteil schützen, Ersatzlösung mittelfristig planen",IF(AB78=1,IF(LEFT(S78,4)="nein","Bevorratung lohnt nicht – Lieferzeit und Reparaturweg absichern","Lagerbestand anlegen (mind. 1 Stk.)"),"Reparaturmöglichkeit klären"))))))))</f>
        <v/>
      </c>
      <c r="P78" s="31" t="n"/>
      <c r="Q78" s="27" t="n"/>
      <c r="R78" s="32">
        <f>IF(OR(AG78="",Y78="",AB78=0),"",AG78*INDEX(Krit_Kosten,MATCH(F78,Krit_Liste,0)))</f>
        <v/>
      </c>
      <c r="S78" s="33">
        <f>IF(N78="","",IF(N78="grün","–",IF(AB78=0,"am Lager / in stock",IF(N(P78)&lt;=0,"Stückpreis fehlt",IF(R78&gt;=Faktor_lohnt*P78,"ja – "&amp;FIXED(R78/P78,0)&amp;"-fach","nein – "&amp;FIXED(R78/P78,IF(R78/P78&lt;1,2,1))&amp;"-fach")))))</f>
        <v/>
      </c>
      <c r="T78" s="25" t="n"/>
      <c r="U78" s="34" t="n"/>
      <c r="V78" s="27" t="n"/>
      <c r="W78" s="25" t="n"/>
      <c r="X78" s="2" t="n"/>
      <c r="Y78" s="35">
        <f>IFERROR(INDEX(Krit_Faktor,MATCH(F78,Krit_Liste,0)),"")</f>
        <v/>
      </c>
      <c r="Z78" s="35">
        <f>IF(OR(I78="nein",I78="no"),1,0)</f>
        <v/>
      </c>
      <c r="AA78" s="35">
        <f>IF(OR(J78="nein",J78="no"),1,0)</f>
        <v/>
      </c>
      <c r="AB78" s="35">
        <f>IF(OR(K78="nein",K78="no"),1,0)</f>
        <v/>
      </c>
      <c r="AC78" s="35">
        <f>IF(OR(G78="ja",G78="yes"),1,0)</f>
        <v/>
      </c>
      <c r="AD78" s="35">
        <f>IF(AND(AC78=1,OR(H78="ja",H78="yes")),1,0)</f>
        <v/>
      </c>
      <c r="AE78" s="35">
        <f>IF(AC78=1,IF(AD78=1,Pkt_Abk_mit,Pkt_Abk_ohne),0)</f>
        <v/>
      </c>
      <c r="AF78" s="35">
        <f>(G78&lt;&gt;"")+(I78&lt;&gt;"")+(J78&lt;&gt;"")+(K78&lt;&gt;"")</f>
        <v/>
      </c>
      <c r="AG78" s="35">
        <f>IF(Q78&lt;&gt;"",Q78,IF(AF78&lt;4,"",IF(Z78=1,Tage_nicht_beschaffbar,Tage_beschaffbar)))</f>
        <v/>
      </c>
      <c r="AH78" s="35">
        <f>IF(M78="","",M78*1000+Y78*10+(1000-ROW())/100000)</f>
        <v/>
      </c>
    </row>
    <row r="79" ht="34" customHeight="1">
      <c r="A79" s="23">
        <f>IF(B79="","",COUNTA($B$9:B79))</f>
        <v/>
      </c>
      <c r="B79" s="24" t="n"/>
      <c r="C79" s="25" t="n"/>
      <c r="D79" s="25" t="n"/>
      <c r="E79" s="25" t="n"/>
      <c r="F79" s="26" t="n"/>
      <c r="G79" s="26" t="n"/>
      <c r="H79" s="27" t="n"/>
      <c r="I79" s="26" t="n"/>
      <c r="J79" s="26" t="n"/>
      <c r="K79" s="26" t="n"/>
      <c r="L79" s="23">
        <f>IF(AF79&lt;4,"",Z79+AA79+AB79+AE79)</f>
        <v/>
      </c>
      <c r="M79" s="28">
        <f>IF(OR(L79="",Y79=""),"",Y79*L79)</f>
        <v/>
      </c>
      <c r="N79" s="29">
        <f>IF(M79="","",IF(M79&lt;=Gruen_bis,"grün",IF(M79&lt;=Gelb_bis,"gelb","rot")))</f>
        <v/>
      </c>
      <c r="O79" s="30">
        <f>IF(N79="",IF(B79="","","Bewertung unvollständig – ★-Felder ausfüllen"),IF(N79="grün",IF(AC79=1,IF(AD79=1,"Abgekündigt, Nachfolger vorhanden: Umstieg bei nächster Gelegenheit planen","Abgekündigt: Endbevorratung (Last-Time-Buy) prüfen, Ersatzlösung planen"),"Keine aktive Maßnahme – jährlich prüfen"),IF(AND(Z79=1,AA79=1,AB79=1),"Sofort sichern: Restbestand / Gebrauchtteil kaufen und Ersatzlösung (Retrofit) planen",IF(AND(Z79=1,AB79=1),"Reparaturweg absichern (Dienstleister, Tauschteil), Gebrauchtteil prüfen",IF(AD79=1,"Auf Nachfolgeprodukt umstellen: Kompatibilität prüfen, Umstieg planen",IF(AC79=1,IF(AB79=1,"Abgekündigt ohne Nachfolger: sofort Endbevorratung (Last-Time-Buy) und Ersatzlösung planen","Abgekündigt ohne Nachfolger: Lagerteil sichern, Ersatzlösung (Retrofit) planen"),IF(Z79=1,"Nicht beschaffbar: Lagerteil schützen, Ersatzlösung mittelfristig planen",IF(AB79=1,IF(LEFT(S79,4)="nein","Bevorratung lohnt nicht – Lieferzeit und Reparaturweg absichern","Lagerbestand anlegen (mind. 1 Stk.)"),"Reparaturmöglichkeit klären"))))))))</f>
        <v/>
      </c>
      <c r="P79" s="31" t="n"/>
      <c r="Q79" s="27" t="n"/>
      <c r="R79" s="32">
        <f>IF(OR(AG79="",Y79="",AB79=0),"",AG79*INDEX(Krit_Kosten,MATCH(F79,Krit_Liste,0)))</f>
        <v/>
      </c>
      <c r="S79" s="33">
        <f>IF(N79="","",IF(N79="grün","–",IF(AB79=0,"am Lager / in stock",IF(N(P79)&lt;=0,"Stückpreis fehlt",IF(R79&gt;=Faktor_lohnt*P79,"ja – "&amp;FIXED(R79/P79,0)&amp;"-fach","nein – "&amp;FIXED(R79/P79,IF(R79/P79&lt;1,2,1))&amp;"-fach")))))</f>
        <v/>
      </c>
      <c r="T79" s="25" t="n"/>
      <c r="U79" s="34" t="n"/>
      <c r="V79" s="27" t="n"/>
      <c r="W79" s="25" t="n"/>
      <c r="X79" s="2" t="n"/>
      <c r="Y79" s="35">
        <f>IFERROR(INDEX(Krit_Faktor,MATCH(F79,Krit_Liste,0)),"")</f>
        <v/>
      </c>
      <c r="Z79" s="35">
        <f>IF(OR(I79="nein",I79="no"),1,0)</f>
        <v/>
      </c>
      <c r="AA79" s="35">
        <f>IF(OR(J79="nein",J79="no"),1,0)</f>
        <v/>
      </c>
      <c r="AB79" s="35">
        <f>IF(OR(K79="nein",K79="no"),1,0)</f>
        <v/>
      </c>
      <c r="AC79" s="35">
        <f>IF(OR(G79="ja",G79="yes"),1,0)</f>
        <v/>
      </c>
      <c r="AD79" s="35">
        <f>IF(AND(AC79=1,OR(H79="ja",H79="yes")),1,0)</f>
        <v/>
      </c>
      <c r="AE79" s="35">
        <f>IF(AC79=1,IF(AD79=1,Pkt_Abk_mit,Pkt_Abk_ohne),0)</f>
        <v/>
      </c>
      <c r="AF79" s="35">
        <f>(G79&lt;&gt;"")+(I79&lt;&gt;"")+(J79&lt;&gt;"")+(K79&lt;&gt;"")</f>
        <v/>
      </c>
      <c r="AG79" s="35">
        <f>IF(Q79&lt;&gt;"",Q79,IF(AF79&lt;4,"",IF(Z79=1,Tage_nicht_beschaffbar,Tage_beschaffbar)))</f>
        <v/>
      </c>
      <c r="AH79" s="35">
        <f>IF(M79="","",M79*1000+Y79*10+(1000-ROW())/100000)</f>
        <v/>
      </c>
    </row>
    <row r="80" ht="34" customHeight="1">
      <c r="A80" s="23">
        <f>IF(B80="","",COUNTA($B$9:B80))</f>
        <v/>
      </c>
      <c r="B80" s="24" t="n"/>
      <c r="C80" s="25" t="n"/>
      <c r="D80" s="25" t="n"/>
      <c r="E80" s="25" t="n"/>
      <c r="F80" s="26" t="n"/>
      <c r="G80" s="26" t="n"/>
      <c r="H80" s="27" t="n"/>
      <c r="I80" s="26" t="n"/>
      <c r="J80" s="26" t="n"/>
      <c r="K80" s="26" t="n"/>
      <c r="L80" s="23">
        <f>IF(AF80&lt;4,"",Z80+AA80+AB80+AE80)</f>
        <v/>
      </c>
      <c r="M80" s="28">
        <f>IF(OR(L80="",Y80=""),"",Y80*L80)</f>
        <v/>
      </c>
      <c r="N80" s="29">
        <f>IF(M80="","",IF(M80&lt;=Gruen_bis,"grün",IF(M80&lt;=Gelb_bis,"gelb","rot")))</f>
        <v/>
      </c>
      <c r="O80" s="30">
        <f>IF(N80="",IF(B80="","","Bewertung unvollständig – ★-Felder ausfüllen"),IF(N80="grün",IF(AC80=1,IF(AD80=1,"Abgekündigt, Nachfolger vorhanden: Umstieg bei nächster Gelegenheit planen","Abgekündigt: Endbevorratung (Last-Time-Buy) prüfen, Ersatzlösung planen"),"Keine aktive Maßnahme – jährlich prüfen"),IF(AND(Z80=1,AA80=1,AB80=1),"Sofort sichern: Restbestand / Gebrauchtteil kaufen und Ersatzlösung (Retrofit) planen",IF(AND(Z80=1,AB80=1),"Reparaturweg absichern (Dienstleister, Tauschteil), Gebrauchtteil prüfen",IF(AD80=1,"Auf Nachfolgeprodukt umstellen: Kompatibilität prüfen, Umstieg planen",IF(AC80=1,IF(AB80=1,"Abgekündigt ohne Nachfolger: sofort Endbevorratung (Last-Time-Buy) und Ersatzlösung planen","Abgekündigt ohne Nachfolger: Lagerteil sichern, Ersatzlösung (Retrofit) planen"),IF(Z80=1,"Nicht beschaffbar: Lagerteil schützen, Ersatzlösung mittelfristig planen",IF(AB80=1,IF(LEFT(S80,4)="nein","Bevorratung lohnt nicht – Lieferzeit und Reparaturweg absichern","Lagerbestand anlegen (mind. 1 Stk.)"),"Reparaturmöglichkeit klären"))))))))</f>
        <v/>
      </c>
      <c r="P80" s="31" t="n"/>
      <c r="Q80" s="27" t="n"/>
      <c r="R80" s="32">
        <f>IF(OR(AG80="",Y80="",AB80=0),"",AG80*INDEX(Krit_Kosten,MATCH(F80,Krit_Liste,0)))</f>
        <v/>
      </c>
      <c r="S80" s="33">
        <f>IF(N80="","",IF(N80="grün","–",IF(AB80=0,"am Lager / in stock",IF(N(P80)&lt;=0,"Stückpreis fehlt",IF(R80&gt;=Faktor_lohnt*P80,"ja – "&amp;FIXED(R80/P80,0)&amp;"-fach","nein – "&amp;FIXED(R80/P80,IF(R80/P80&lt;1,2,1))&amp;"-fach")))))</f>
        <v/>
      </c>
      <c r="T80" s="25" t="n"/>
      <c r="U80" s="34" t="n"/>
      <c r="V80" s="27" t="n"/>
      <c r="W80" s="25" t="n"/>
      <c r="X80" s="2" t="n"/>
      <c r="Y80" s="35">
        <f>IFERROR(INDEX(Krit_Faktor,MATCH(F80,Krit_Liste,0)),"")</f>
        <v/>
      </c>
      <c r="Z80" s="35">
        <f>IF(OR(I80="nein",I80="no"),1,0)</f>
        <v/>
      </c>
      <c r="AA80" s="35">
        <f>IF(OR(J80="nein",J80="no"),1,0)</f>
        <v/>
      </c>
      <c r="AB80" s="35">
        <f>IF(OR(K80="nein",K80="no"),1,0)</f>
        <v/>
      </c>
      <c r="AC80" s="35">
        <f>IF(OR(G80="ja",G80="yes"),1,0)</f>
        <v/>
      </c>
      <c r="AD80" s="35">
        <f>IF(AND(AC80=1,OR(H80="ja",H80="yes")),1,0)</f>
        <v/>
      </c>
      <c r="AE80" s="35">
        <f>IF(AC80=1,IF(AD80=1,Pkt_Abk_mit,Pkt_Abk_ohne),0)</f>
        <v/>
      </c>
      <c r="AF80" s="35">
        <f>(G80&lt;&gt;"")+(I80&lt;&gt;"")+(J80&lt;&gt;"")+(K80&lt;&gt;"")</f>
        <v/>
      </c>
      <c r="AG80" s="35">
        <f>IF(Q80&lt;&gt;"",Q80,IF(AF80&lt;4,"",IF(Z80=1,Tage_nicht_beschaffbar,Tage_beschaffbar)))</f>
        <v/>
      </c>
      <c r="AH80" s="35">
        <f>IF(M80="","",M80*1000+Y80*10+(1000-ROW())/100000)</f>
        <v/>
      </c>
    </row>
    <row r="81" ht="34" customHeight="1">
      <c r="A81" s="23">
        <f>IF(B81="","",COUNTA($B$9:B81))</f>
        <v/>
      </c>
      <c r="B81" s="24" t="n"/>
      <c r="C81" s="25" t="n"/>
      <c r="D81" s="25" t="n"/>
      <c r="E81" s="25" t="n"/>
      <c r="F81" s="26" t="n"/>
      <c r="G81" s="26" t="n"/>
      <c r="H81" s="27" t="n"/>
      <c r="I81" s="26" t="n"/>
      <c r="J81" s="26" t="n"/>
      <c r="K81" s="26" t="n"/>
      <c r="L81" s="23">
        <f>IF(AF81&lt;4,"",Z81+AA81+AB81+AE81)</f>
        <v/>
      </c>
      <c r="M81" s="28">
        <f>IF(OR(L81="",Y81=""),"",Y81*L81)</f>
        <v/>
      </c>
      <c r="N81" s="29">
        <f>IF(M81="","",IF(M81&lt;=Gruen_bis,"grün",IF(M81&lt;=Gelb_bis,"gelb","rot")))</f>
        <v/>
      </c>
      <c r="O81" s="30">
        <f>IF(N81="",IF(B81="","","Bewertung unvollständig – ★-Felder ausfüllen"),IF(N81="grün",IF(AC81=1,IF(AD81=1,"Abgekündigt, Nachfolger vorhanden: Umstieg bei nächster Gelegenheit planen","Abgekündigt: Endbevorratung (Last-Time-Buy) prüfen, Ersatzlösung planen"),"Keine aktive Maßnahme – jährlich prüfen"),IF(AND(Z81=1,AA81=1,AB81=1),"Sofort sichern: Restbestand / Gebrauchtteil kaufen und Ersatzlösung (Retrofit) planen",IF(AND(Z81=1,AB81=1),"Reparaturweg absichern (Dienstleister, Tauschteil), Gebrauchtteil prüfen",IF(AD81=1,"Auf Nachfolgeprodukt umstellen: Kompatibilität prüfen, Umstieg planen",IF(AC81=1,IF(AB81=1,"Abgekündigt ohne Nachfolger: sofort Endbevorratung (Last-Time-Buy) und Ersatzlösung planen","Abgekündigt ohne Nachfolger: Lagerteil sichern, Ersatzlösung (Retrofit) planen"),IF(Z81=1,"Nicht beschaffbar: Lagerteil schützen, Ersatzlösung mittelfristig planen",IF(AB81=1,IF(LEFT(S81,4)="nein","Bevorratung lohnt nicht – Lieferzeit und Reparaturweg absichern","Lagerbestand anlegen (mind. 1 Stk.)"),"Reparaturmöglichkeit klären"))))))))</f>
        <v/>
      </c>
      <c r="P81" s="31" t="n"/>
      <c r="Q81" s="27" t="n"/>
      <c r="R81" s="32">
        <f>IF(OR(AG81="",Y81="",AB81=0),"",AG81*INDEX(Krit_Kosten,MATCH(F81,Krit_Liste,0)))</f>
        <v/>
      </c>
      <c r="S81" s="33">
        <f>IF(N81="","",IF(N81="grün","–",IF(AB81=0,"am Lager / in stock",IF(N(P81)&lt;=0,"Stückpreis fehlt",IF(R81&gt;=Faktor_lohnt*P81,"ja – "&amp;FIXED(R81/P81,0)&amp;"-fach","nein – "&amp;FIXED(R81/P81,IF(R81/P81&lt;1,2,1))&amp;"-fach")))))</f>
        <v/>
      </c>
      <c r="T81" s="25" t="n"/>
      <c r="U81" s="34" t="n"/>
      <c r="V81" s="27" t="n"/>
      <c r="W81" s="25" t="n"/>
      <c r="X81" s="2" t="n"/>
      <c r="Y81" s="35">
        <f>IFERROR(INDEX(Krit_Faktor,MATCH(F81,Krit_Liste,0)),"")</f>
        <v/>
      </c>
      <c r="Z81" s="35">
        <f>IF(OR(I81="nein",I81="no"),1,0)</f>
        <v/>
      </c>
      <c r="AA81" s="35">
        <f>IF(OR(J81="nein",J81="no"),1,0)</f>
        <v/>
      </c>
      <c r="AB81" s="35">
        <f>IF(OR(K81="nein",K81="no"),1,0)</f>
        <v/>
      </c>
      <c r="AC81" s="35">
        <f>IF(OR(G81="ja",G81="yes"),1,0)</f>
        <v/>
      </c>
      <c r="AD81" s="35">
        <f>IF(AND(AC81=1,OR(H81="ja",H81="yes")),1,0)</f>
        <v/>
      </c>
      <c r="AE81" s="35">
        <f>IF(AC81=1,IF(AD81=1,Pkt_Abk_mit,Pkt_Abk_ohne),0)</f>
        <v/>
      </c>
      <c r="AF81" s="35">
        <f>(G81&lt;&gt;"")+(I81&lt;&gt;"")+(J81&lt;&gt;"")+(K81&lt;&gt;"")</f>
        <v/>
      </c>
      <c r="AG81" s="35">
        <f>IF(Q81&lt;&gt;"",Q81,IF(AF81&lt;4,"",IF(Z81=1,Tage_nicht_beschaffbar,Tage_beschaffbar)))</f>
        <v/>
      </c>
      <c r="AH81" s="35">
        <f>IF(M81="","",M81*1000+Y81*10+(1000-ROW())/100000)</f>
        <v/>
      </c>
    </row>
    <row r="82" ht="34" customHeight="1">
      <c r="A82" s="23">
        <f>IF(B82="","",COUNTA($B$9:B82))</f>
        <v/>
      </c>
      <c r="B82" s="24" t="n"/>
      <c r="C82" s="25" t="n"/>
      <c r="D82" s="25" t="n"/>
      <c r="E82" s="25" t="n"/>
      <c r="F82" s="26" t="n"/>
      <c r="G82" s="26" t="n"/>
      <c r="H82" s="27" t="n"/>
      <c r="I82" s="26" t="n"/>
      <c r="J82" s="26" t="n"/>
      <c r="K82" s="26" t="n"/>
      <c r="L82" s="23">
        <f>IF(AF82&lt;4,"",Z82+AA82+AB82+AE82)</f>
        <v/>
      </c>
      <c r="M82" s="28">
        <f>IF(OR(L82="",Y82=""),"",Y82*L82)</f>
        <v/>
      </c>
      <c r="N82" s="29">
        <f>IF(M82="","",IF(M82&lt;=Gruen_bis,"grün",IF(M82&lt;=Gelb_bis,"gelb","rot")))</f>
        <v/>
      </c>
      <c r="O82" s="30">
        <f>IF(N82="",IF(B82="","","Bewertung unvollständig – ★-Felder ausfüllen"),IF(N82="grün",IF(AC82=1,IF(AD82=1,"Abgekündigt, Nachfolger vorhanden: Umstieg bei nächster Gelegenheit planen","Abgekündigt: Endbevorratung (Last-Time-Buy) prüfen, Ersatzlösung planen"),"Keine aktive Maßnahme – jährlich prüfen"),IF(AND(Z82=1,AA82=1,AB82=1),"Sofort sichern: Restbestand / Gebrauchtteil kaufen und Ersatzlösung (Retrofit) planen",IF(AND(Z82=1,AB82=1),"Reparaturweg absichern (Dienstleister, Tauschteil), Gebrauchtteil prüfen",IF(AD82=1,"Auf Nachfolgeprodukt umstellen: Kompatibilität prüfen, Umstieg planen",IF(AC82=1,IF(AB82=1,"Abgekündigt ohne Nachfolger: sofort Endbevorratung (Last-Time-Buy) und Ersatzlösung planen","Abgekündigt ohne Nachfolger: Lagerteil sichern, Ersatzlösung (Retrofit) planen"),IF(Z82=1,"Nicht beschaffbar: Lagerteil schützen, Ersatzlösung mittelfristig planen",IF(AB82=1,IF(LEFT(S82,4)="nein","Bevorratung lohnt nicht – Lieferzeit und Reparaturweg absichern","Lagerbestand anlegen (mind. 1 Stk.)"),"Reparaturmöglichkeit klären"))))))))</f>
        <v/>
      </c>
      <c r="P82" s="31" t="n"/>
      <c r="Q82" s="27" t="n"/>
      <c r="R82" s="32">
        <f>IF(OR(AG82="",Y82="",AB82=0),"",AG82*INDEX(Krit_Kosten,MATCH(F82,Krit_Liste,0)))</f>
        <v/>
      </c>
      <c r="S82" s="33">
        <f>IF(N82="","",IF(N82="grün","–",IF(AB82=0,"am Lager / in stock",IF(N(P82)&lt;=0,"Stückpreis fehlt",IF(R82&gt;=Faktor_lohnt*P82,"ja – "&amp;FIXED(R82/P82,0)&amp;"-fach","nein – "&amp;FIXED(R82/P82,IF(R82/P82&lt;1,2,1))&amp;"-fach")))))</f>
        <v/>
      </c>
      <c r="T82" s="25" t="n"/>
      <c r="U82" s="34" t="n"/>
      <c r="V82" s="27" t="n"/>
      <c r="W82" s="25" t="n"/>
      <c r="X82" s="2" t="n"/>
      <c r="Y82" s="35">
        <f>IFERROR(INDEX(Krit_Faktor,MATCH(F82,Krit_Liste,0)),"")</f>
        <v/>
      </c>
      <c r="Z82" s="35">
        <f>IF(OR(I82="nein",I82="no"),1,0)</f>
        <v/>
      </c>
      <c r="AA82" s="35">
        <f>IF(OR(J82="nein",J82="no"),1,0)</f>
        <v/>
      </c>
      <c r="AB82" s="35">
        <f>IF(OR(K82="nein",K82="no"),1,0)</f>
        <v/>
      </c>
      <c r="AC82" s="35">
        <f>IF(OR(G82="ja",G82="yes"),1,0)</f>
        <v/>
      </c>
      <c r="AD82" s="35">
        <f>IF(AND(AC82=1,OR(H82="ja",H82="yes")),1,0)</f>
        <v/>
      </c>
      <c r="AE82" s="35">
        <f>IF(AC82=1,IF(AD82=1,Pkt_Abk_mit,Pkt_Abk_ohne),0)</f>
        <v/>
      </c>
      <c r="AF82" s="35">
        <f>(G82&lt;&gt;"")+(I82&lt;&gt;"")+(J82&lt;&gt;"")+(K82&lt;&gt;"")</f>
        <v/>
      </c>
      <c r="AG82" s="35">
        <f>IF(Q82&lt;&gt;"",Q82,IF(AF82&lt;4,"",IF(Z82=1,Tage_nicht_beschaffbar,Tage_beschaffbar)))</f>
        <v/>
      </c>
      <c r="AH82" s="35">
        <f>IF(M82="","",M82*1000+Y82*10+(1000-ROW())/100000)</f>
        <v/>
      </c>
    </row>
    <row r="83" ht="34" customHeight="1">
      <c r="A83" s="23">
        <f>IF(B83="","",COUNTA($B$9:B83))</f>
        <v/>
      </c>
      <c r="B83" s="24" t="n"/>
      <c r="C83" s="25" t="n"/>
      <c r="D83" s="25" t="n"/>
      <c r="E83" s="25" t="n"/>
      <c r="F83" s="26" t="n"/>
      <c r="G83" s="26" t="n"/>
      <c r="H83" s="27" t="n"/>
      <c r="I83" s="26" t="n"/>
      <c r="J83" s="26" t="n"/>
      <c r="K83" s="26" t="n"/>
      <c r="L83" s="23">
        <f>IF(AF83&lt;4,"",Z83+AA83+AB83+AE83)</f>
        <v/>
      </c>
      <c r="M83" s="28">
        <f>IF(OR(L83="",Y83=""),"",Y83*L83)</f>
        <v/>
      </c>
      <c r="N83" s="29">
        <f>IF(M83="","",IF(M83&lt;=Gruen_bis,"grün",IF(M83&lt;=Gelb_bis,"gelb","rot")))</f>
        <v/>
      </c>
      <c r="O83" s="30">
        <f>IF(N83="",IF(B83="","","Bewertung unvollständig – ★-Felder ausfüllen"),IF(N83="grün",IF(AC83=1,IF(AD83=1,"Abgekündigt, Nachfolger vorhanden: Umstieg bei nächster Gelegenheit planen","Abgekündigt: Endbevorratung (Last-Time-Buy) prüfen, Ersatzlösung planen"),"Keine aktive Maßnahme – jährlich prüfen"),IF(AND(Z83=1,AA83=1,AB83=1),"Sofort sichern: Restbestand / Gebrauchtteil kaufen und Ersatzlösung (Retrofit) planen",IF(AND(Z83=1,AB83=1),"Reparaturweg absichern (Dienstleister, Tauschteil), Gebrauchtteil prüfen",IF(AD83=1,"Auf Nachfolgeprodukt umstellen: Kompatibilität prüfen, Umstieg planen",IF(AC83=1,IF(AB83=1,"Abgekündigt ohne Nachfolger: sofort Endbevorratung (Last-Time-Buy) und Ersatzlösung planen","Abgekündigt ohne Nachfolger: Lagerteil sichern, Ersatzlösung (Retrofit) planen"),IF(Z83=1,"Nicht beschaffbar: Lagerteil schützen, Ersatzlösung mittelfristig planen",IF(AB83=1,IF(LEFT(S83,4)="nein","Bevorratung lohnt nicht – Lieferzeit und Reparaturweg absichern","Lagerbestand anlegen (mind. 1 Stk.)"),"Reparaturmöglichkeit klären"))))))))</f>
        <v/>
      </c>
      <c r="P83" s="31" t="n"/>
      <c r="Q83" s="27" t="n"/>
      <c r="R83" s="32">
        <f>IF(OR(AG83="",Y83="",AB83=0),"",AG83*INDEX(Krit_Kosten,MATCH(F83,Krit_Liste,0)))</f>
        <v/>
      </c>
      <c r="S83" s="33">
        <f>IF(N83="","",IF(N83="grün","–",IF(AB83=0,"am Lager / in stock",IF(N(P83)&lt;=0,"Stückpreis fehlt",IF(R83&gt;=Faktor_lohnt*P83,"ja – "&amp;FIXED(R83/P83,0)&amp;"-fach","nein – "&amp;FIXED(R83/P83,IF(R83/P83&lt;1,2,1))&amp;"-fach")))))</f>
        <v/>
      </c>
      <c r="T83" s="25" t="n"/>
      <c r="U83" s="34" t="n"/>
      <c r="V83" s="27" t="n"/>
      <c r="W83" s="25" t="n"/>
      <c r="X83" s="2" t="n"/>
      <c r="Y83" s="35">
        <f>IFERROR(INDEX(Krit_Faktor,MATCH(F83,Krit_Liste,0)),"")</f>
        <v/>
      </c>
      <c r="Z83" s="35">
        <f>IF(OR(I83="nein",I83="no"),1,0)</f>
        <v/>
      </c>
      <c r="AA83" s="35">
        <f>IF(OR(J83="nein",J83="no"),1,0)</f>
        <v/>
      </c>
      <c r="AB83" s="35">
        <f>IF(OR(K83="nein",K83="no"),1,0)</f>
        <v/>
      </c>
      <c r="AC83" s="35">
        <f>IF(OR(G83="ja",G83="yes"),1,0)</f>
        <v/>
      </c>
      <c r="AD83" s="35">
        <f>IF(AND(AC83=1,OR(H83="ja",H83="yes")),1,0)</f>
        <v/>
      </c>
      <c r="AE83" s="35">
        <f>IF(AC83=1,IF(AD83=1,Pkt_Abk_mit,Pkt_Abk_ohne),0)</f>
        <v/>
      </c>
      <c r="AF83" s="35">
        <f>(G83&lt;&gt;"")+(I83&lt;&gt;"")+(J83&lt;&gt;"")+(K83&lt;&gt;"")</f>
        <v/>
      </c>
      <c r="AG83" s="35">
        <f>IF(Q83&lt;&gt;"",Q83,IF(AF83&lt;4,"",IF(Z83=1,Tage_nicht_beschaffbar,Tage_beschaffbar)))</f>
        <v/>
      </c>
      <c r="AH83" s="35">
        <f>IF(M83="","",M83*1000+Y83*10+(1000-ROW())/100000)</f>
        <v/>
      </c>
    </row>
    <row r="84" ht="34" customHeight="1">
      <c r="A84" s="23">
        <f>IF(B84="","",COUNTA($B$9:B84))</f>
        <v/>
      </c>
      <c r="B84" s="24" t="n"/>
      <c r="C84" s="25" t="n"/>
      <c r="D84" s="25" t="n"/>
      <c r="E84" s="25" t="n"/>
      <c r="F84" s="26" t="n"/>
      <c r="G84" s="26" t="n"/>
      <c r="H84" s="27" t="n"/>
      <c r="I84" s="26" t="n"/>
      <c r="J84" s="26" t="n"/>
      <c r="K84" s="26" t="n"/>
      <c r="L84" s="23">
        <f>IF(AF84&lt;4,"",Z84+AA84+AB84+AE84)</f>
        <v/>
      </c>
      <c r="M84" s="28">
        <f>IF(OR(L84="",Y84=""),"",Y84*L84)</f>
        <v/>
      </c>
      <c r="N84" s="29">
        <f>IF(M84="","",IF(M84&lt;=Gruen_bis,"grün",IF(M84&lt;=Gelb_bis,"gelb","rot")))</f>
        <v/>
      </c>
      <c r="O84" s="30">
        <f>IF(N84="",IF(B84="","","Bewertung unvollständig – ★-Felder ausfüllen"),IF(N84="grün",IF(AC84=1,IF(AD84=1,"Abgekündigt, Nachfolger vorhanden: Umstieg bei nächster Gelegenheit planen","Abgekündigt: Endbevorratung (Last-Time-Buy) prüfen, Ersatzlösung planen"),"Keine aktive Maßnahme – jährlich prüfen"),IF(AND(Z84=1,AA84=1,AB84=1),"Sofort sichern: Restbestand / Gebrauchtteil kaufen und Ersatzlösung (Retrofit) planen",IF(AND(Z84=1,AB84=1),"Reparaturweg absichern (Dienstleister, Tauschteil), Gebrauchtteil prüfen",IF(AD84=1,"Auf Nachfolgeprodukt umstellen: Kompatibilität prüfen, Umstieg planen",IF(AC84=1,IF(AB84=1,"Abgekündigt ohne Nachfolger: sofort Endbevorratung (Last-Time-Buy) und Ersatzlösung planen","Abgekündigt ohne Nachfolger: Lagerteil sichern, Ersatzlösung (Retrofit) planen"),IF(Z84=1,"Nicht beschaffbar: Lagerteil schützen, Ersatzlösung mittelfristig planen",IF(AB84=1,IF(LEFT(S84,4)="nein","Bevorratung lohnt nicht – Lieferzeit und Reparaturweg absichern","Lagerbestand anlegen (mind. 1 Stk.)"),"Reparaturmöglichkeit klären"))))))))</f>
        <v/>
      </c>
      <c r="P84" s="31" t="n"/>
      <c r="Q84" s="27" t="n"/>
      <c r="R84" s="32">
        <f>IF(OR(AG84="",Y84="",AB84=0),"",AG84*INDEX(Krit_Kosten,MATCH(F84,Krit_Liste,0)))</f>
        <v/>
      </c>
      <c r="S84" s="33">
        <f>IF(N84="","",IF(N84="grün","–",IF(AB84=0,"am Lager / in stock",IF(N(P84)&lt;=0,"Stückpreis fehlt",IF(R84&gt;=Faktor_lohnt*P84,"ja – "&amp;FIXED(R84/P84,0)&amp;"-fach","nein – "&amp;FIXED(R84/P84,IF(R84/P84&lt;1,2,1))&amp;"-fach")))))</f>
        <v/>
      </c>
      <c r="T84" s="25" t="n"/>
      <c r="U84" s="34" t="n"/>
      <c r="V84" s="27" t="n"/>
      <c r="W84" s="25" t="n"/>
      <c r="X84" s="2" t="n"/>
      <c r="Y84" s="35">
        <f>IFERROR(INDEX(Krit_Faktor,MATCH(F84,Krit_Liste,0)),"")</f>
        <v/>
      </c>
      <c r="Z84" s="35">
        <f>IF(OR(I84="nein",I84="no"),1,0)</f>
        <v/>
      </c>
      <c r="AA84" s="35">
        <f>IF(OR(J84="nein",J84="no"),1,0)</f>
        <v/>
      </c>
      <c r="AB84" s="35">
        <f>IF(OR(K84="nein",K84="no"),1,0)</f>
        <v/>
      </c>
      <c r="AC84" s="35">
        <f>IF(OR(G84="ja",G84="yes"),1,0)</f>
        <v/>
      </c>
      <c r="AD84" s="35">
        <f>IF(AND(AC84=1,OR(H84="ja",H84="yes")),1,0)</f>
        <v/>
      </c>
      <c r="AE84" s="35">
        <f>IF(AC84=1,IF(AD84=1,Pkt_Abk_mit,Pkt_Abk_ohne),0)</f>
        <v/>
      </c>
      <c r="AF84" s="35">
        <f>(G84&lt;&gt;"")+(I84&lt;&gt;"")+(J84&lt;&gt;"")+(K84&lt;&gt;"")</f>
        <v/>
      </c>
      <c r="AG84" s="35">
        <f>IF(Q84&lt;&gt;"",Q84,IF(AF84&lt;4,"",IF(Z84=1,Tage_nicht_beschaffbar,Tage_beschaffbar)))</f>
        <v/>
      </c>
      <c r="AH84" s="35">
        <f>IF(M84="","",M84*1000+Y84*10+(1000-ROW())/100000)</f>
        <v/>
      </c>
    </row>
    <row r="85" ht="34" customHeight="1">
      <c r="A85" s="23">
        <f>IF(B85="","",COUNTA($B$9:B85))</f>
        <v/>
      </c>
      <c r="B85" s="24" t="n"/>
      <c r="C85" s="25" t="n"/>
      <c r="D85" s="25" t="n"/>
      <c r="E85" s="25" t="n"/>
      <c r="F85" s="26" t="n"/>
      <c r="G85" s="26" t="n"/>
      <c r="H85" s="27" t="n"/>
      <c r="I85" s="26" t="n"/>
      <c r="J85" s="26" t="n"/>
      <c r="K85" s="26" t="n"/>
      <c r="L85" s="23">
        <f>IF(AF85&lt;4,"",Z85+AA85+AB85+AE85)</f>
        <v/>
      </c>
      <c r="M85" s="28">
        <f>IF(OR(L85="",Y85=""),"",Y85*L85)</f>
        <v/>
      </c>
      <c r="N85" s="29">
        <f>IF(M85="","",IF(M85&lt;=Gruen_bis,"grün",IF(M85&lt;=Gelb_bis,"gelb","rot")))</f>
        <v/>
      </c>
      <c r="O85" s="30">
        <f>IF(N85="",IF(B85="","","Bewertung unvollständig – ★-Felder ausfüllen"),IF(N85="grün",IF(AC85=1,IF(AD85=1,"Abgekündigt, Nachfolger vorhanden: Umstieg bei nächster Gelegenheit planen","Abgekündigt: Endbevorratung (Last-Time-Buy) prüfen, Ersatzlösung planen"),"Keine aktive Maßnahme – jährlich prüfen"),IF(AND(Z85=1,AA85=1,AB85=1),"Sofort sichern: Restbestand / Gebrauchtteil kaufen und Ersatzlösung (Retrofit) planen",IF(AND(Z85=1,AB85=1),"Reparaturweg absichern (Dienstleister, Tauschteil), Gebrauchtteil prüfen",IF(AD85=1,"Auf Nachfolgeprodukt umstellen: Kompatibilität prüfen, Umstieg planen",IF(AC85=1,IF(AB85=1,"Abgekündigt ohne Nachfolger: sofort Endbevorratung (Last-Time-Buy) und Ersatzlösung planen","Abgekündigt ohne Nachfolger: Lagerteil sichern, Ersatzlösung (Retrofit) planen"),IF(Z85=1,"Nicht beschaffbar: Lagerteil schützen, Ersatzlösung mittelfristig planen",IF(AB85=1,IF(LEFT(S85,4)="nein","Bevorratung lohnt nicht – Lieferzeit und Reparaturweg absichern","Lagerbestand anlegen (mind. 1 Stk.)"),"Reparaturmöglichkeit klären"))))))))</f>
        <v/>
      </c>
      <c r="P85" s="31" t="n"/>
      <c r="Q85" s="27" t="n"/>
      <c r="R85" s="32">
        <f>IF(OR(AG85="",Y85="",AB85=0),"",AG85*INDEX(Krit_Kosten,MATCH(F85,Krit_Liste,0)))</f>
        <v/>
      </c>
      <c r="S85" s="33">
        <f>IF(N85="","",IF(N85="grün","–",IF(AB85=0,"am Lager / in stock",IF(N(P85)&lt;=0,"Stückpreis fehlt",IF(R85&gt;=Faktor_lohnt*P85,"ja – "&amp;FIXED(R85/P85,0)&amp;"-fach","nein – "&amp;FIXED(R85/P85,IF(R85/P85&lt;1,2,1))&amp;"-fach")))))</f>
        <v/>
      </c>
      <c r="T85" s="25" t="n"/>
      <c r="U85" s="34" t="n"/>
      <c r="V85" s="27" t="n"/>
      <c r="W85" s="25" t="n"/>
      <c r="X85" s="2" t="n"/>
      <c r="Y85" s="35">
        <f>IFERROR(INDEX(Krit_Faktor,MATCH(F85,Krit_Liste,0)),"")</f>
        <v/>
      </c>
      <c r="Z85" s="35">
        <f>IF(OR(I85="nein",I85="no"),1,0)</f>
        <v/>
      </c>
      <c r="AA85" s="35">
        <f>IF(OR(J85="nein",J85="no"),1,0)</f>
        <v/>
      </c>
      <c r="AB85" s="35">
        <f>IF(OR(K85="nein",K85="no"),1,0)</f>
        <v/>
      </c>
      <c r="AC85" s="35">
        <f>IF(OR(G85="ja",G85="yes"),1,0)</f>
        <v/>
      </c>
      <c r="AD85" s="35">
        <f>IF(AND(AC85=1,OR(H85="ja",H85="yes")),1,0)</f>
        <v/>
      </c>
      <c r="AE85" s="35">
        <f>IF(AC85=1,IF(AD85=1,Pkt_Abk_mit,Pkt_Abk_ohne),0)</f>
        <v/>
      </c>
      <c r="AF85" s="35">
        <f>(G85&lt;&gt;"")+(I85&lt;&gt;"")+(J85&lt;&gt;"")+(K85&lt;&gt;"")</f>
        <v/>
      </c>
      <c r="AG85" s="35">
        <f>IF(Q85&lt;&gt;"",Q85,IF(AF85&lt;4,"",IF(Z85=1,Tage_nicht_beschaffbar,Tage_beschaffbar)))</f>
        <v/>
      </c>
      <c r="AH85" s="35">
        <f>IF(M85="","",M85*1000+Y85*10+(1000-ROW())/100000)</f>
        <v/>
      </c>
    </row>
    <row r="86" ht="34" customHeight="1">
      <c r="A86" s="23">
        <f>IF(B86="","",COUNTA($B$9:B86))</f>
        <v/>
      </c>
      <c r="B86" s="24" t="n"/>
      <c r="C86" s="25" t="n"/>
      <c r="D86" s="25" t="n"/>
      <c r="E86" s="25" t="n"/>
      <c r="F86" s="26" t="n"/>
      <c r="G86" s="26" t="n"/>
      <c r="H86" s="27" t="n"/>
      <c r="I86" s="26" t="n"/>
      <c r="J86" s="26" t="n"/>
      <c r="K86" s="26" t="n"/>
      <c r="L86" s="23">
        <f>IF(AF86&lt;4,"",Z86+AA86+AB86+AE86)</f>
        <v/>
      </c>
      <c r="M86" s="28">
        <f>IF(OR(L86="",Y86=""),"",Y86*L86)</f>
        <v/>
      </c>
      <c r="N86" s="29">
        <f>IF(M86="","",IF(M86&lt;=Gruen_bis,"grün",IF(M86&lt;=Gelb_bis,"gelb","rot")))</f>
        <v/>
      </c>
      <c r="O86" s="30">
        <f>IF(N86="",IF(B86="","","Bewertung unvollständig – ★-Felder ausfüllen"),IF(N86="grün",IF(AC86=1,IF(AD86=1,"Abgekündigt, Nachfolger vorhanden: Umstieg bei nächster Gelegenheit planen","Abgekündigt: Endbevorratung (Last-Time-Buy) prüfen, Ersatzlösung planen"),"Keine aktive Maßnahme – jährlich prüfen"),IF(AND(Z86=1,AA86=1,AB86=1),"Sofort sichern: Restbestand / Gebrauchtteil kaufen und Ersatzlösung (Retrofit) planen",IF(AND(Z86=1,AB86=1),"Reparaturweg absichern (Dienstleister, Tauschteil), Gebrauchtteil prüfen",IF(AD86=1,"Auf Nachfolgeprodukt umstellen: Kompatibilität prüfen, Umstieg planen",IF(AC86=1,IF(AB86=1,"Abgekündigt ohne Nachfolger: sofort Endbevorratung (Last-Time-Buy) und Ersatzlösung planen","Abgekündigt ohne Nachfolger: Lagerteil sichern, Ersatzlösung (Retrofit) planen"),IF(Z86=1,"Nicht beschaffbar: Lagerteil schützen, Ersatzlösung mittelfristig planen",IF(AB86=1,IF(LEFT(S86,4)="nein","Bevorratung lohnt nicht – Lieferzeit und Reparaturweg absichern","Lagerbestand anlegen (mind. 1 Stk.)"),"Reparaturmöglichkeit klären"))))))))</f>
        <v/>
      </c>
      <c r="P86" s="31" t="n"/>
      <c r="Q86" s="27" t="n"/>
      <c r="R86" s="32">
        <f>IF(OR(AG86="",Y86="",AB86=0),"",AG86*INDEX(Krit_Kosten,MATCH(F86,Krit_Liste,0)))</f>
        <v/>
      </c>
      <c r="S86" s="33">
        <f>IF(N86="","",IF(N86="grün","–",IF(AB86=0,"am Lager / in stock",IF(N(P86)&lt;=0,"Stückpreis fehlt",IF(R86&gt;=Faktor_lohnt*P86,"ja – "&amp;FIXED(R86/P86,0)&amp;"-fach","nein – "&amp;FIXED(R86/P86,IF(R86/P86&lt;1,2,1))&amp;"-fach")))))</f>
        <v/>
      </c>
      <c r="T86" s="25" t="n"/>
      <c r="U86" s="34" t="n"/>
      <c r="V86" s="27" t="n"/>
      <c r="W86" s="25" t="n"/>
      <c r="X86" s="2" t="n"/>
      <c r="Y86" s="35">
        <f>IFERROR(INDEX(Krit_Faktor,MATCH(F86,Krit_Liste,0)),"")</f>
        <v/>
      </c>
      <c r="Z86" s="35">
        <f>IF(OR(I86="nein",I86="no"),1,0)</f>
        <v/>
      </c>
      <c r="AA86" s="35">
        <f>IF(OR(J86="nein",J86="no"),1,0)</f>
        <v/>
      </c>
      <c r="AB86" s="35">
        <f>IF(OR(K86="nein",K86="no"),1,0)</f>
        <v/>
      </c>
      <c r="AC86" s="35">
        <f>IF(OR(G86="ja",G86="yes"),1,0)</f>
        <v/>
      </c>
      <c r="AD86" s="35">
        <f>IF(AND(AC86=1,OR(H86="ja",H86="yes")),1,0)</f>
        <v/>
      </c>
      <c r="AE86" s="35">
        <f>IF(AC86=1,IF(AD86=1,Pkt_Abk_mit,Pkt_Abk_ohne),0)</f>
        <v/>
      </c>
      <c r="AF86" s="35">
        <f>(G86&lt;&gt;"")+(I86&lt;&gt;"")+(J86&lt;&gt;"")+(K86&lt;&gt;"")</f>
        <v/>
      </c>
      <c r="AG86" s="35">
        <f>IF(Q86&lt;&gt;"",Q86,IF(AF86&lt;4,"",IF(Z86=1,Tage_nicht_beschaffbar,Tage_beschaffbar)))</f>
        <v/>
      </c>
      <c r="AH86" s="35">
        <f>IF(M86="","",M86*1000+Y86*10+(1000-ROW())/100000)</f>
        <v/>
      </c>
    </row>
    <row r="87" ht="34" customHeight="1">
      <c r="A87" s="23">
        <f>IF(B87="","",COUNTA($B$9:B87))</f>
        <v/>
      </c>
      <c r="B87" s="24" t="n"/>
      <c r="C87" s="25" t="n"/>
      <c r="D87" s="25" t="n"/>
      <c r="E87" s="25" t="n"/>
      <c r="F87" s="26" t="n"/>
      <c r="G87" s="26" t="n"/>
      <c r="H87" s="27" t="n"/>
      <c r="I87" s="26" t="n"/>
      <c r="J87" s="26" t="n"/>
      <c r="K87" s="26" t="n"/>
      <c r="L87" s="23">
        <f>IF(AF87&lt;4,"",Z87+AA87+AB87+AE87)</f>
        <v/>
      </c>
      <c r="M87" s="28">
        <f>IF(OR(L87="",Y87=""),"",Y87*L87)</f>
        <v/>
      </c>
      <c r="N87" s="29">
        <f>IF(M87="","",IF(M87&lt;=Gruen_bis,"grün",IF(M87&lt;=Gelb_bis,"gelb","rot")))</f>
        <v/>
      </c>
      <c r="O87" s="30">
        <f>IF(N87="",IF(B87="","","Bewertung unvollständig – ★-Felder ausfüllen"),IF(N87="grün",IF(AC87=1,IF(AD87=1,"Abgekündigt, Nachfolger vorhanden: Umstieg bei nächster Gelegenheit planen","Abgekündigt: Endbevorratung (Last-Time-Buy) prüfen, Ersatzlösung planen"),"Keine aktive Maßnahme – jährlich prüfen"),IF(AND(Z87=1,AA87=1,AB87=1),"Sofort sichern: Restbestand / Gebrauchtteil kaufen und Ersatzlösung (Retrofit) planen",IF(AND(Z87=1,AB87=1),"Reparaturweg absichern (Dienstleister, Tauschteil), Gebrauchtteil prüfen",IF(AD87=1,"Auf Nachfolgeprodukt umstellen: Kompatibilität prüfen, Umstieg planen",IF(AC87=1,IF(AB87=1,"Abgekündigt ohne Nachfolger: sofort Endbevorratung (Last-Time-Buy) und Ersatzlösung planen","Abgekündigt ohne Nachfolger: Lagerteil sichern, Ersatzlösung (Retrofit) planen"),IF(Z87=1,"Nicht beschaffbar: Lagerteil schützen, Ersatzlösung mittelfristig planen",IF(AB87=1,IF(LEFT(S87,4)="nein","Bevorratung lohnt nicht – Lieferzeit und Reparaturweg absichern","Lagerbestand anlegen (mind. 1 Stk.)"),"Reparaturmöglichkeit klären"))))))))</f>
        <v/>
      </c>
      <c r="P87" s="31" t="n"/>
      <c r="Q87" s="27" t="n"/>
      <c r="R87" s="32">
        <f>IF(OR(AG87="",Y87="",AB87=0),"",AG87*INDEX(Krit_Kosten,MATCH(F87,Krit_Liste,0)))</f>
        <v/>
      </c>
      <c r="S87" s="33">
        <f>IF(N87="","",IF(N87="grün","–",IF(AB87=0,"am Lager / in stock",IF(N(P87)&lt;=0,"Stückpreis fehlt",IF(R87&gt;=Faktor_lohnt*P87,"ja – "&amp;FIXED(R87/P87,0)&amp;"-fach","nein – "&amp;FIXED(R87/P87,IF(R87/P87&lt;1,2,1))&amp;"-fach")))))</f>
        <v/>
      </c>
      <c r="T87" s="25" t="n"/>
      <c r="U87" s="34" t="n"/>
      <c r="V87" s="27" t="n"/>
      <c r="W87" s="25" t="n"/>
      <c r="X87" s="2" t="n"/>
      <c r="Y87" s="35">
        <f>IFERROR(INDEX(Krit_Faktor,MATCH(F87,Krit_Liste,0)),"")</f>
        <v/>
      </c>
      <c r="Z87" s="35">
        <f>IF(OR(I87="nein",I87="no"),1,0)</f>
        <v/>
      </c>
      <c r="AA87" s="35">
        <f>IF(OR(J87="nein",J87="no"),1,0)</f>
        <v/>
      </c>
      <c r="AB87" s="35">
        <f>IF(OR(K87="nein",K87="no"),1,0)</f>
        <v/>
      </c>
      <c r="AC87" s="35">
        <f>IF(OR(G87="ja",G87="yes"),1,0)</f>
        <v/>
      </c>
      <c r="AD87" s="35">
        <f>IF(AND(AC87=1,OR(H87="ja",H87="yes")),1,0)</f>
        <v/>
      </c>
      <c r="AE87" s="35">
        <f>IF(AC87=1,IF(AD87=1,Pkt_Abk_mit,Pkt_Abk_ohne),0)</f>
        <v/>
      </c>
      <c r="AF87" s="35">
        <f>(G87&lt;&gt;"")+(I87&lt;&gt;"")+(J87&lt;&gt;"")+(K87&lt;&gt;"")</f>
        <v/>
      </c>
      <c r="AG87" s="35">
        <f>IF(Q87&lt;&gt;"",Q87,IF(AF87&lt;4,"",IF(Z87=1,Tage_nicht_beschaffbar,Tage_beschaffbar)))</f>
        <v/>
      </c>
      <c r="AH87" s="35">
        <f>IF(M87="","",M87*1000+Y87*10+(1000-ROW())/100000)</f>
        <v/>
      </c>
    </row>
    <row r="88" ht="34" customHeight="1">
      <c r="A88" s="23">
        <f>IF(B88="","",COUNTA($B$9:B88))</f>
        <v/>
      </c>
      <c r="B88" s="24" t="n"/>
      <c r="C88" s="25" t="n"/>
      <c r="D88" s="25" t="n"/>
      <c r="E88" s="25" t="n"/>
      <c r="F88" s="26" t="n"/>
      <c r="G88" s="26" t="n"/>
      <c r="H88" s="27" t="n"/>
      <c r="I88" s="26" t="n"/>
      <c r="J88" s="26" t="n"/>
      <c r="K88" s="26" t="n"/>
      <c r="L88" s="23">
        <f>IF(AF88&lt;4,"",Z88+AA88+AB88+AE88)</f>
        <v/>
      </c>
      <c r="M88" s="28">
        <f>IF(OR(L88="",Y88=""),"",Y88*L88)</f>
        <v/>
      </c>
      <c r="N88" s="29">
        <f>IF(M88="","",IF(M88&lt;=Gruen_bis,"grün",IF(M88&lt;=Gelb_bis,"gelb","rot")))</f>
        <v/>
      </c>
      <c r="O88" s="30">
        <f>IF(N88="",IF(B88="","","Bewertung unvollständig – ★-Felder ausfüllen"),IF(N88="grün",IF(AC88=1,IF(AD88=1,"Abgekündigt, Nachfolger vorhanden: Umstieg bei nächster Gelegenheit planen","Abgekündigt: Endbevorratung (Last-Time-Buy) prüfen, Ersatzlösung planen"),"Keine aktive Maßnahme – jährlich prüfen"),IF(AND(Z88=1,AA88=1,AB88=1),"Sofort sichern: Restbestand / Gebrauchtteil kaufen und Ersatzlösung (Retrofit) planen",IF(AND(Z88=1,AB88=1),"Reparaturweg absichern (Dienstleister, Tauschteil), Gebrauchtteil prüfen",IF(AD88=1,"Auf Nachfolgeprodukt umstellen: Kompatibilität prüfen, Umstieg planen",IF(AC88=1,IF(AB88=1,"Abgekündigt ohne Nachfolger: sofort Endbevorratung (Last-Time-Buy) und Ersatzlösung planen","Abgekündigt ohne Nachfolger: Lagerteil sichern, Ersatzlösung (Retrofit) planen"),IF(Z88=1,"Nicht beschaffbar: Lagerteil schützen, Ersatzlösung mittelfristig planen",IF(AB88=1,IF(LEFT(S88,4)="nein","Bevorratung lohnt nicht – Lieferzeit und Reparaturweg absichern","Lagerbestand anlegen (mind. 1 Stk.)"),"Reparaturmöglichkeit klären"))))))))</f>
        <v/>
      </c>
      <c r="P88" s="31" t="n"/>
      <c r="Q88" s="27" t="n"/>
      <c r="R88" s="32">
        <f>IF(OR(AG88="",Y88="",AB88=0),"",AG88*INDEX(Krit_Kosten,MATCH(F88,Krit_Liste,0)))</f>
        <v/>
      </c>
      <c r="S88" s="33">
        <f>IF(N88="","",IF(N88="grün","–",IF(AB88=0,"am Lager / in stock",IF(N(P88)&lt;=0,"Stückpreis fehlt",IF(R88&gt;=Faktor_lohnt*P88,"ja – "&amp;FIXED(R88/P88,0)&amp;"-fach","nein – "&amp;FIXED(R88/P88,IF(R88/P88&lt;1,2,1))&amp;"-fach")))))</f>
        <v/>
      </c>
      <c r="T88" s="25" t="n"/>
      <c r="U88" s="34" t="n"/>
      <c r="V88" s="27" t="n"/>
      <c r="W88" s="25" t="n"/>
      <c r="X88" s="2" t="n"/>
      <c r="Y88" s="35">
        <f>IFERROR(INDEX(Krit_Faktor,MATCH(F88,Krit_Liste,0)),"")</f>
        <v/>
      </c>
      <c r="Z88" s="35">
        <f>IF(OR(I88="nein",I88="no"),1,0)</f>
        <v/>
      </c>
      <c r="AA88" s="35">
        <f>IF(OR(J88="nein",J88="no"),1,0)</f>
        <v/>
      </c>
      <c r="AB88" s="35">
        <f>IF(OR(K88="nein",K88="no"),1,0)</f>
        <v/>
      </c>
      <c r="AC88" s="35">
        <f>IF(OR(G88="ja",G88="yes"),1,0)</f>
        <v/>
      </c>
      <c r="AD88" s="35">
        <f>IF(AND(AC88=1,OR(H88="ja",H88="yes")),1,0)</f>
        <v/>
      </c>
      <c r="AE88" s="35">
        <f>IF(AC88=1,IF(AD88=1,Pkt_Abk_mit,Pkt_Abk_ohne),0)</f>
        <v/>
      </c>
      <c r="AF88" s="35">
        <f>(G88&lt;&gt;"")+(I88&lt;&gt;"")+(J88&lt;&gt;"")+(K88&lt;&gt;"")</f>
        <v/>
      </c>
      <c r="AG88" s="35">
        <f>IF(Q88&lt;&gt;"",Q88,IF(AF88&lt;4,"",IF(Z88=1,Tage_nicht_beschaffbar,Tage_beschaffbar)))</f>
        <v/>
      </c>
      <c r="AH88" s="35">
        <f>IF(M88="","",M88*1000+Y88*10+(1000-ROW())/100000)</f>
        <v/>
      </c>
    </row>
    <row r="89" ht="34" customHeight="1">
      <c r="A89" s="23">
        <f>IF(B89="","",COUNTA($B$9:B89))</f>
        <v/>
      </c>
      <c r="B89" s="24" t="n"/>
      <c r="C89" s="25" t="n"/>
      <c r="D89" s="25" t="n"/>
      <c r="E89" s="25" t="n"/>
      <c r="F89" s="26" t="n"/>
      <c r="G89" s="26" t="n"/>
      <c r="H89" s="27" t="n"/>
      <c r="I89" s="26" t="n"/>
      <c r="J89" s="26" t="n"/>
      <c r="K89" s="26" t="n"/>
      <c r="L89" s="23">
        <f>IF(AF89&lt;4,"",Z89+AA89+AB89+AE89)</f>
        <v/>
      </c>
      <c r="M89" s="28">
        <f>IF(OR(L89="",Y89=""),"",Y89*L89)</f>
        <v/>
      </c>
      <c r="N89" s="29">
        <f>IF(M89="","",IF(M89&lt;=Gruen_bis,"grün",IF(M89&lt;=Gelb_bis,"gelb","rot")))</f>
        <v/>
      </c>
      <c r="O89" s="30">
        <f>IF(N89="",IF(B89="","","Bewertung unvollständig – ★-Felder ausfüllen"),IF(N89="grün",IF(AC89=1,IF(AD89=1,"Abgekündigt, Nachfolger vorhanden: Umstieg bei nächster Gelegenheit planen","Abgekündigt: Endbevorratung (Last-Time-Buy) prüfen, Ersatzlösung planen"),"Keine aktive Maßnahme – jährlich prüfen"),IF(AND(Z89=1,AA89=1,AB89=1),"Sofort sichern: Restbestand / Gebrauchtteil kaufen und Ersatzlösung (Retrofit) planen",IF(AND(Z89=1,AB89=1),"Reparaturweg absichern (Dienstleister, Tauschteil), Gebrauchtteil prüfen",IF(AD89=1,"Auf Nachfolgeprodukt umstellen: Kompatibilität prüfen, Umstieg planen",IF(AC89=1,IF(AB89=1,"Abgekündigt ohne Nachfolger: sofort Endbevorratung (Last-Time-Buy) und Ersatzlösung planen","Abgekündigt ohne Nachfolger: Lagerteil sichern, Ersatzlösung (Retrofit) planen"),IF(Z89=1,"Nicht beschaffbar: Lagerteil schützen, Ersatzlösung mittelfristig planen",IF(AB89=1,IF(LEFT(S89,4)="nein","Bevorratung lohnt nicht – Lieferzeit und Reparaturweg absichern","Lagerbestand anlegen (mind. 1 Stk.)"),"Reparaturmöglichkeit klären"))))))))</f>
        <v/>
      </c>
      <c r="P89" s="31" t="n"/>
      <c r="Q89" s="27" t="n"/>
      <c r="R89" s="32">
        <f>IF(OR(AG89="",Y89="",AB89=0),"",AG89*INDEX(Krit_Kosten,MATCH(F89,Krit_Liste,0)))</f>
        <v/>
      </c>
      <c r="S89" s="33">
        <f>IF(N89="","",IF(N89="grün","–",IF(AB89=0,"am Lager / in stock",IF(N(P89)&lt;=0,"Stückpreis fehlt",IF(R89&gt;=Faktor_lohnt*P89,"ja – "&amp;FIXED(R89/P89,0)&amp;"-fach","nein – "&amp;FIXED(R89/P89,IF(R89/P89&lt;1,2,1))&amp;"-fach")))))</f>
        <v/>
      </c>
      <c r="T89" s="25" t="n"/>
      <c r="U89" s="34" t="n"/>
      <c r="V89" s="27" t="n"/>
      <c r="W89" s="25" t="n"/>
      <c r="X89" s="2" t="n"/>
      <c r="Y89" s="35">
        <f>IFERROR(INDEX(Krit_Faktor,MATCH(F89,Krit_Liste,0)),"")</f>
        <v/>
      </c>
      <c r="Z89" s="35">
        <f>IF(OR(I89="nein",I89="no"),1,0)</f>
        <v/>
      </c>
      <c r="AA89" s="35">
        <f>IF(OR(J89="nein",J89="no"),1,0)</f>
        <v/>
      </c>
      <c r="AB89" s="35">
        <f>IF(OR(K89="nein",K89="no"),1,0)</f>
        <v/>
      </c>
      <c r="AC89" s="35">
        <f>IF(OR(G89="ja",G89="yes"),1,0)</f>
        <v/>
      </c>
      <c r="AD89" s="35">
        <f>IF(AND(AC89=1,OR(H89="ja",H89="yes")),1,0)</f>
        <v/>
      </c>
      <c r="AE89" s="35">
        <f>IF(AC89=1,IF(AD89=1,Pkt_Abk_mit,Pkt_Abk_ohne),0)</f>
        <v/>
      </c>
      <c r="AF89" s="35">
        <f>(G89&lt;&gt;"")+(I89&lt;&gt;"")+(J89&lt;&gt;"")+(K89&lt;&gt;"")</f>
        <v/>
      </c>
      <c r="AG89" s="35">
        <f>IF(Q89&lt;&gt;"",Q89,IF(AF89&lt;4,"",IF(Z89=1,Tage_nicht_beschaffbar,Tage_beschaffbar)))</f>
        <v/>
      </c>
      <c r="AH89" s="35">
        <f>IF(M89="","",M89*1000+Y89*10+(1000-ROW())/100000)</f>
        <v/>
      </c>
    </row>
    <row r="90" ht="34" customHeight="1">
      <c r="A90" s="23">
        <f>IF(B90="","",COUNTA($B$9:B90))</f>
        <v/>
      </c>
      <c r="B90" s="24" t="n"/>
      <c r="C90" s="25" t="n"/>
      <c r="D90" s="25" t="n"/>
      <c r="E90" s="25" t="n"/>
      <c r="F90" s="26" t="n"/>
      <c r="G90" s="26" t="n"/>
      <c r="H90" s="27" t="n"/>
      <c r="I90" s="26" t="n"/>
      <c r="J90" s="26" t="n"/>
      <c r="K90" s="26" t="n"/>
      <c r="L90" s="23">
        <f>IF(AF90&lt;4,"",Z90+AA90+AB90+AE90)</f>
        <v/>
      </c>
      <c r="M90" s="28">
        <f>IF(OR(L90="",Y90=""),"",Y90*L90)</f>
        <v/>
      </c>
      <c r="N90" s="29">
        <f>IF(M90="","",IF(M90&lt;=Gruen_bis,"grün",IF(M90&lt;=Gelb_bis,"gelb","rot")))</f>
        <v/>
      </c>
      <c r="O90" s="30">
        <f>IF(N90="",IF(B90="","","Bewertung unvollständig – ★-Felder ausfüllen"),IF(N90="grün",IF(AC90=1,IF(AD90=1,"Abgekündigt, Nachfolger vorhanden: Umstieg bei nächster Gelegenheit planen","Abgekündigt: Endbevorratung (Last-Time-Buy) prüfen, Ersatzlösung planen"),"Keine aktive Maßnahme – jährlich prüfen"),IF(AND(Z90=1,AA90=1,AB90=1),"Sofort sichern: Restbestand / Gebrauchtteil kaufen und Ersatzlösung (Retrofit) planen",IF(AND(Z90=1,AB90=1),"Reparaturweg absichern (Dienstleister, Tauschteil), Gebrauchtteil prüfen",IF(AD90=1,"Auf Nachfolgeprodukt umstellen: Kompatibilität prüfen, Umstieg planen",IF(AC90=1,IF(AB90=1,"Abgekündigt ohne Nachfolger: sofort Endbevorratung (Last-Time-Buy) und Ersatzlösung planen","Abgekündigt ohne Nachfolger: Lagerteil sichern, Ersatzlösung (Retrofit) planen"),IF(Z90=1,"Nicht beschaffbar: Lagerteil schützen, Ersatzlösung mittelfristig planen",IF(AB90=1,IF(LEFT(S90,4)="nein","Bevorratung lohnt nicht – Lieferzeit und Reparaturweg absichern","Lagerbestand anlegen (mind. 1 Stk.)"),"Reparaturmöglichkeit klären"))))))))</f>
        <v/>
      </c>
      <c r="P90" s="31" t="n"/>
      <c r="Q90" s="27" t="n"/>
      <c r="R90" s="32">
        <f>IF(OR(AG90="",Y90="",AB90=0),"",AG90*INDEX(Krit_Kosten,MATCH(F90,Krit_Liste,0)))</f>
        <v/>
      </c>
      <c r="S90" s="33">
        <f>IF(N90="","",IF(N90="grün","–",IF(AB90=0,"am Lager / in stock",IF(N(P90)&lt;=0,"Stückpreis fehlt",IF(R90&gt;=Faktor_lohnt*P90,"ja – "&amp;FIXED(R90/P90,0)&amp;"-fach","nein – "&amp;FIXED(R90/P90,IF(R90/P90&lt;1,2,1))&amp;"-fach")))))</f>
        <v/>
      </c>
      <c r="T90" s="25" t="n"/>
      <c r="U90" s="34" t="n"/>
      <c r="V90" s="27" t="n"/>
      <c r="W90" s="25" t="n"/>
      <c r="X90" s="2" t="n"/>
      <c r="Y90" s="35">
        <f>IFERROR(INDEX(Krit_Faktor,MATCH(F90,Krit_Liste,0)),"")</f>
        <v/>
      </c>
      <c r="Z90" s="35">
        <f>IF(OR(I90="nein",I90="no"),1,0)</f>
        <v/>
      </c>
      <c r="AA90" s="35">
        <f>IF(OR(J90="nein",J90="no"),1,0)</f>
        <v/>
      </c>
      <c r="AB90" s="35">
        <f>IF(OR(K90="nein",K90="no"),1,0)</f>
        <v/>
      </c>
      <c r="AC90" s="35">
        <f>IF(OR(G90="ja",G90="yes"),1,0)</f>
        <v/>
      </c>
      <c r="AD90" s="35">
        <f>IF(AND(AC90=1,OR(H90="ja",H90="yes")),1,0)</f>
        <v/>
      </c>
      <c r="AE90" s="35">
        <f>IF(AC90=1,IF(AD90=1,Pkt_Abk_mit,Pkt_Abk_ohne),0)</f>
        <v/>
      </c>
      <c r="AF90" s="35">
        <f>(G90&lt;&gt;"")+(I90&lt;&gt;"")+(J90&lt;&gt;"")+(K90&lt;&gt;"")</f>
        <v/>
      </c>
      <c r="AG90" s="35">
        <f>IF(Q90&lt;&gt;"",Q90,IF(AF90&lt;4,"",IF(Z90=1,Tage_nicht_beschaffbar,Tage_beschaffbar)))</f>
        <v/>
      </c>
      <c r="AH90" s="35">
        <f>IF(M90="","",M90*1000+Y90*10+(1000-ROW())/100000)</f>
        <v/>
      </c>
    </row>
    <row r="91" ht="34" customHeight="1">
      <c r="A91" s="23">
        <f>IF(B91="","",COUNTA($B$9:B91))</f>
        <v/>
      </c>
      <c r="B91" s="24" t="n"/>
      <c r="C91" s="25" t="n"/>
      <c r="D91" s="25" t="n"/>
      <c r="E91" s="25" t="n"/>
      <c r="F91" s="26" t="n"/>
      <c r="G91" s="26" t="n"/>
      <c r="H91" s="27" t="n"/>
      <c r="I91" s="26" t="n"/>
      <c r="J91" s="26" t="n"/>
      <c r="K91" s="26" t="n"/>
      <c r="L91" s="23">
        <f>IF(AF91&lt;4,"",Z91+AA91+AB91+AE91)</f>
        <v/>
      </c>
      <c r="M91" s="28">
        <f>IF(OR(L91="",Y91=""),"",Y91*L91)</f>
        <v/>
      </c>
      <c r="N91" s="29">
        <f>IF(M91="","",IF(M91&lt;=Gruen_bis,"grün",IF(M91&lt;=Gelb_bis,"gelb","rot")))</f>
        <v/>
      </c>
      <c r="O91" s="30">
        <f>IF(N91="",IF(B91="","","Bewertung unvollständig – ★-Felder ausfüllen"),IF(N91="grün",IF(AC91=1,IF(AD91=1,"Abgekündigt, Nachfolger vorhanden: Umstieg bei nächster Gelegenheit planen","Abgekündigt: Endbevorratung (Last-Time-Buy) prüfen, Ersatzlösung planen"),"Keine aktive Maßnahme – jährlich prüfen"),IF(AND(Z91=1,AA91=1,AB91=1),"Sofort sichern: Restbestand / Gebrauchtteil kaufen und Ersatzlösung (Retrofit) planen",IF(AND(Z91=1,AB91=1),"Reparaturweg absichern (Dienstleister, Tauschteil), Gebrauchtteil prüfen",IF(AD91=1,"Auf Nachfolgeprodukt umstellen: Kompatibilität prüfen, Umstieg planen",IF(AC91=1,IF(AB91=1,"Abgekündigt ohne Nachfolger: sofort Endbevorratung (Last-Time-Buy) und Ersatzlösung planen","Abgekündigt ohne Nachfolger: Lagerteil sichern, Ersatzlösung (Retrofit) planen"),IF(Z91=1,"Nicht beschaffbar: Lagerteil schützen, Ersatzlösung mittelfristig planen",IF(AB91=1,IF(LEFT(S91,4)="nein","Bevorratung lohnt nicht – Lieferzeit und Reparaturweg absichern","Lagerbestand anlegen (mind. 1 Stk.)"),"Reparaturmöglichkeit klären"))))))))</f>
        <v/>
      </c>
      <c r="P91" s="31" t="n"/>
      <c r="Q91" s="27" t="n"/>
      <c r="R91" s="32">
        <f>IF(OR(AG91="",Y91="",AB91=0),"",AG91*INDEX(Krit_Kosten,MATCH(F91,Krit_Liste,0)))</f>
        <v/>
      </c>
      <c r="S91" s="33">
        <f>IF(N91="","",IF(N91="grün","–",IF(AB91=0,"am Lager / in stock",IF(N(P91)&lt;=0,"Stückpreis fehlt",IF(R91&gt;=Faktor_lohnt*P91,"ja – "&amp;FIXED(R91/P91,0)&amp;"-fach","nein – "&amp;FIXED(R91/P91,IF(R91/P91&lt;1,2,1))&amp;"-fach")))))</f>
        <v/>
      </c>
      <c r="T91" s="25" t="n"/>
      <c r="U91" s="34" t="n"/>
      <c r="V91" s="27" t="n"/>
      <c r="W91" s="25" t="n"/>
      <c r="X91" s="2" t="n"/>
      <c r="Y91" s="35">
        <f>IFERROR(INDEX(Krit_Faktor,MATCH(F91,Krit_Liste,0)),"")</f>
        <v/>
      </c>
      <c r="Z91" s="35">
        <f>IF(OR(I91="nein",I91="no"),1,0)</f>
        <v/>
      </c>
      <c r="AA91" s="35">
        <f>IF(OR(J91="nein",J91="no"),1,0)</f>
        <v/>
      </c>
      <c r="AB91" s="35">
        <f>IF(OR(K91="nein",K91="no"),1,0)</f>
        <v/>
      </c>
      <c r="AC91" s="35">
        <f>IF(OR(G91="ja",G91="yes"),1,0)</f>
        <v/>
      </c>
      <c r="AD91" s="35">
        <f>IF(AND(AC91=1,OR(H91="ja",H91="yes")),1,0)</f>
        <v/>
      </c>
      <c r="AE91" s="35">
        <f>IF(AC91=1,IF(AD91=1,Pkt_Abk_mit,Pkt_Abk_ohne),0)</f>
        <v/>
      </c>
      <c r="AF91" s="35">
        <f>(G91&lt;&gt;"")+(I91&lt;&gt;"")+(J91&lt;&gt;"")+(K91&lt;&gt;"")</f>
        <v/>
      </c>
      <c r="AG91" s="35">
        <f>IF(Q91&lt;&gt;"",Q91,IF(AF91&lt;4,"",IF(Z91=1,Tage_nicht_beschaffbar,Tage_beschaffbar)))</f>
        <v/>
      </c>
      <c r="AH91" s="35">
        <f>IF(M91="","",M91*1000+Y91*10+(1000-ROW())/100000)</f>
        <v/>
      </c>
    </row>
    <row r="92" ht="34" customHeight="1">
      <c r="A92" s="23">
        <f>IF(B92="","",COUNTA($B$9:B92))</f>
        <v/>
      </c>
      <c r="B92" s="24" t="n"/>
      <c r="C92" s="25" t="n"/>
      <c r="D92" s="25" t="n"/>
      <c r="E92" s="25" t="n"/>
      <c r="F92" s="26" t="n"/>
      <c r="G92" s="26" t="n"/>
      <c r="H92" s="27" t="n"/>
      <c r="I92" s="26" t="n"/>
      <c r="J92" s="26" t="n"/>
      <c r="K92" s="26" t="n"/>
      <c r="L92" s="23">
        <f>IF(AF92&lt;4,"",Z92+AA92+AB92+AE92)</f>
        <v/>
      </c>
      <c r="M92" s="28">
        <f>IF(OR(L92="",Y92=""),"",Y92*L92)</f>
        <v/>
      </c>
      <c r="N92" s="29">
        <f>IF(M92="","",IF(M92&lt;=Gruen_bis,"grün",IF(M92&lt;=Gelb_bis,"gelb","rot")))</f>
        <v/>
      </c>
      <c r="O92" s="30">
        <f>IF(N92="",IF(B92="","","Bewertung unvollständig – ★-Felder ausfüllen"),IF(N92="grün",IF(AC92=1,IF(AD92=1,"Abgekündigt, Nachfolger vorhanden: Umstieg bei nächster Gelegenheit planen","Abgekündigt: Endbevorratung (Last-Time-Buy) prüfen, Ersatzlösung planen"),"Keine aktive Maßnahme – jährlich prüfen"),IF(AND(Z92=1,AA92=1,AB92=1),"Sofort sichern: Restbestand / Gebrauchtteil kaufen und Ersatzlösung (Retrofit) planen",IF(AND(Z92=1,AB92=1),"Reparaturweg absichern (Dienstleister, Tauschteil), Gebrauchtteil prüfen",IF(AD92=1,"Auf Nachfolgeprodukt umstellen: Kompatibilität prüfen, Umstieg planen",IF(AC92=1,IF(AB92=1,"Abgekündigt ohne Nachfolger: sofort Endbevorratung (Last-Time-Buy) und Ersatzlösung planen","Abgekündigt ohne Nachfolger: Lagerteil sichern, Ersatzlösung (Retrofit) planen"),IF(Z92=1,"Nicht beschaffbar: Lagerteil schützen, Ersatzlösung mittelfristig planen",IF(AB92=1,IF(LEFT(S92,4)="nein","Bevorratung lohnt nicht – Lieferzeit und Reparaturweg absichern","Lagerbestand anlegen (mind. 1 Stk.)"),"Reparaturmöglichkeit klären"))))))))</f>
        <v/>
      </c>
      <c r="P92" s="31" t="n"/>
      <c r="Q92" s="27" t="n"/>
      <c r="R92" s="32">
        <f>IF(OR(AG92="",Y92="",AB92=0),"",AG92*INDEX(Krit_Kosten,MATCH(F92,Krit_Liste,0)))</f>
        <v/>
      </c>
      <c r="S92" s="33">
        <f>IF(N92="","",IF(N92="grün","–",IF(AB92=0,"am Lager / in stock",IF(N(P92)&lt;=0,"Stückpreis fehlt",IF(R92&gt;=Faktor_lohnt*P92,"ja – "&amp;FIXED(R92/P92,0)&amp;"-fach","nein – "&amp;FIXED(R92/P92,IF(R92/P92&lt;1,2,1))&amp;"-fach")))))</f>
        <v/>
      </c>
      <c r="T92" s="25" t="n"/>
      <c r="U92" s="34" t="n"/>
      <c r="V92" s="27" t="n"/>
      <c r="W92" s="25" t="n"/>
      <c r="X92" s="2" t="n"/>
      <c r="Y92" s="35">
        <f>IFERROR(INDEX(Krit_Faktor,MATCH(F92,Krit_Liste,0)),"")</f>
        <v/>
      </c>
      <c r="Z92" s="35">
        <f>IF(OR(I92="nein",I92="no"),1,0)</f>
        <v/>
      </c>
      <c r="AA92" s="35">
        <f>IF(OR(J92="nein",J92="no"),1,0)</f>
        <v/>
      </c>
      <c r="AB92" s="35">
        <f>IF(OR(K92="nein",K92="no"),1,0)</f>
        <v/>
      </c>
      <c r="AC92" s="35">
        <f>IF(OR(G92="ja",G92="yes"),1,0)</f>
        <v/>
      </c>
      <c r="AD92" s="35">
        <f>IF(AND(AC92=1,OR(H92="ja",H92="yes")),1,0)</f>
        <v/>
      </c>
      <c r="AE92" s="35">
        <f>IF(AC92=1,IF(AD92=1,Pkt_Abk_mit,Pkt_Abk_ohne),0)</f>
        <v/>
      </c>
      <c r="AF92" s="35">
        <f>(G92&lt;&gt;"")+(I92&lt;&gt;"")+(J92&lt;&gt;"")+(K92&lt;&gt;"")</f>
        <v/>
      </c>
      <c r="AG92" s="35">
        <f>IF(Q92&lt;&gt;"",Q92,IF(AF92&lt;4,"",IF(Z92=1,Tage_nicht_beschaffbar,Tage_beschaffbar)))</f>
        <v/>
      </c>
      <c r="AH92" s="35">
        <f>IF(M92="","",M92*1000+Y92*10+(1000-ROW())/100000)</f>
        <v/>
      </c>
    </row>
    <row r="93" ht="34" customHeight="1">
      <c r="A93" s="23">
        <f>IF(B93="","",COUNTA($B$9:B93))</f>
        <v/>
      </c>
      <c r="B93" s="24" t="n"/>
      <c r="C93" s="25" t="n"/>
      <c r="D93" s="25" t="n"/>
      <c r="E93" s="25" t="n"/>
      <c r="F93" s="26" t="n"/>
      <c r="G93" s="26" t="n"/>
      <c r="H93" s="27" t="n"/>
      <c r="I93" s="26" t="n"/>
      <c r="J93" s="26" t="n"/>
      <c r="K93" s="26" t="n"/>
      <c r="L93" s="23">
        <f>IF(AF93&lt;4,"",Z93+AA93+AB93+AE93)</f>
        <v/>
      </c>
      <c r="M93" s="28">
        <f>IF(OR(L93="",Y93=""),"",Y93*L93)</f>
        <v/>
      </c>
      <c r="N93" s="29">
        <f>IF(M93="","",IF(M93&lt;=Gruen_bis,"grün",IF(M93&lt;=Gelb_bis,"gelb","rot")))</f>
        <v/>
      </c>
      <c r="O93" s="30">
        <f>IF(N93="",IF(B93="","","Bewertung unvollständig – ★-Felder ausfüllen"),IF(N93="grün",IF(AC93=1,IF(AD93=1,"Abgekündigt, Nachfolger vorhanden: Umstieg bei nächster Gelegenheit planen","Abgekündigt: Endbevorratung (Last-Time-Buy) prüfen, Ersatzlösung planen"),"Keine aktive Maßnahme – jährlich prüfen"),IF(AND(Z93=1,AA93=1,AB93=1),"Sofort sichern: Restbestand / Gebrauchtteil kaufen und Ersatzlösung (Retrofit) planen",IF(AND(Z93=1,AB93=1),"Reparaturweg absichern (Dienstleister, Tauschteil), Gebrauchtteil prüfen",IF(AD93=1,"Auf Nachfolgeprodukt umstellen: Kompatibilität prüfen, Umstieg planen",IF(AC93=1,IF(AB93=1,"Abgekündigt ohne Nachfolger: sofort Endbevorratung (Last-Time-Buy) und Ersatzlösung planen","Abgekündigt ohne Nachfolger: Lagerteil sichern, Ersatzlösung (Retrofit) planen"),IF(Z93=1,"Nicht beschaffbar: Lagerteil schützen, Ersatzlösung mittelfristig planen",IF(AB93=1,IF(LEFT(S93,4)="nein","Bevorratung lohnt nicht – Lieferzeit und Reparaturweg absichern","Lagerbestand anlegen (mind. 1 Stk.)"),"Reparaturmöglichkeit klären"))))))))</f>
        <v/>
      </c>
      <c r="P93" s="31" t="n"/>
      <c r="Q93" s="27" t="n"/>
      <c r="R93" s="32">
        <f>IF(OR(AG93="",Y93="",AB93=0),"",AG93*INDEX(Krit_Kosten,MATCH(F93,Krit_Liste,0)))</f>
        <v/>
      </c>
      <c r="S93" s="33">
        <f>IF(N93="","",IF(N93="grün","–",IF(AB93=0,"am Lager / in stock",IF(N(P93)&lt;=0,"Stückpreis fehlt",IF(R93&gt;=Faktor_lohnt*P93,"ja – "&amp;FIXED(R93/P93,0)&amp;"-fach","nein – "&amp;FIXED(R93/P93,IF(R93/P93&lt;1,2,1))&amp;"-fach")))))</f>
        <v/>
      </c>
      <c r="T93" s="25" t="n"/>
      <c r="U93" s="34" t="n"/>
      <c r="V93" s="27" t="n"/>
      <c r="W93" s="25" t="n"/>
      <c r="X93" s="2" t="n"/>
      <c r="Y93" s="35">
        <f>IFERROR(INDEX(Krit_Faktor,MATCH(F93,Krit_Liste,0)),"")</f>
        <v/>
      </c>
      <c r="Z93" s="35">
        <f>IF(OR(I93="nein",I93="no"),1,0)</f>
        <v/>
      </c>
      <c r="AA93" s="35">
        <f>IF(OR(J93="nein",J93="no"),1,0)</f>
        <v/>
      </c>
      <c r="AB93" s="35">
        <f>IF(OR(K93="nein",K93="no"),1,0)</f>
        <v/>
      </c>
      <c r="AC93" s="35">
        <f>IF(OR(G93="ja",G93="yes"),1,0)</f>
        <v/>
      </c>
      <c r="AD93" s="35">
        <f>IF(AND(AC93=1,OR(H93="ja",H93="yes")),1,0)</f>
        <v/>
      </c>
      <c r="AE93" s="35">
        <f>IF(AC93=1,IF(AD93=1,Pkt_Abk_mit,Pkt_Abk_ohne),0)</f>
        <v/>
      </c>
      <c r="AF93" s="35">
        <f>(G93&lt;&gt;"")+(I93&lt;&gt;"")+(J93&lt;&gt;"")+(K93&lt;&gt;"")</f>
        <v/>
      </c>
      <c r="AG93" s="35">
        <f>IF(Q93&lt;&gt;"",Q93,IF(AF93&lt;4,"",IF(Z93=1,Tage_nicht_beschaffbar,Tage_beschaffbar)))</f>
        <v/>
      </c>
      <c r="AH93" s="35">
        <f>IF(M93="","",M93*1000+Y93*10+(1000-ROW())/100000)</f>
        <v/>
      </c>
    </row>
    <row r="94" ht="34" customHeight="1">
      <c r="A94" s="23">
        <f>IF(B94="","",COUNTA($B$9:B94))</f>
        <v/>
      </c>
      <c r="B94" s="24" t="n"/>
      <c r="C94" s="25" t="n"/>
      <c r="D94" s="25" t="n"/>
      <c r="E94" s="25" t="n"/>
      <c r="F94" s="26" t="n"/>
      <c r="G94" s="26" t="n"/>
      <c r="H94" s="27" t="n"/>
      <c r="I94" s="26" t="n"/>
      <c r="J94" s="26" t="n"/>
      <c r="K94" s="26" t="n"/>
      <c r="L94" s="23">
        <f>IF(AF94&lt;4,"",Z94+AA94+AB94+AE94)</f>
        <v/>
      </c>
      <c r="M94" s="28">
        <f>IF(OR(L94="",Y94=""),"",Y94*L94)</f>
        <v/>
      </c>
      <c r="N94" s="29">
        <f>IF(M94="","",IF(M94&lt;=Gruen_bis,"grün",IF(M94&lt;=Gelb_bis,"gelb","rot")))</f>
        <v/>
      </c>
      <c r="O94" s="30">
        <f>IF(N94="",IF(B94="","","Bewertung unvollständig – ★-Felder ausfüllen"),IF(N94="grün",IF(AC94=1,IF(AD94=1,"Abgekündigt, Nachfolger vorhanden: Umstieg bei nächster Gelegenheit planen","Abgekündigt: Endbevorratung (Last-Time-Buy) prüfen, Ersatzlösung planen"),"Keine aktive Maßnahme – jährlich prüfen"),IF(AND(Z94=1,AA94=1,AB94=1),"Sofort sichern: Restbestand / Gebrauchtteil kaufen und Ersatzlösung (Retrofit) planen",IF(AND(Z94=1,AB94=1),"Reparaturweg absichern (Dienstleister, Tauschteil), Gebrauchtteil prüfen",IF(AD94=1,"Auf Nachfolgeprodukt umstellen: Kompatibilität prüfen, Umstieg planen",IF(AC94=1,IF(AB94=1,"Abgekündigt ohne Nachfolger: sofort Endbevorratung (Last-Time-Buy) und Ersatzlösung planen","Abgekündigt ohne Nachfolger: Lagerteil sichern, Ersatzlösung (Retrofit) planen"),IF(Z94=1,"Nicht beschaffbar: Lagerteil schützen, Ersatzlösung mittelfristig planen",IF(AB94=1,IF(LEFT(S94,4)="nein","Bevorratung lohnt nicht – Lieferzeit und Reparaturweg absichern","Lagerbestand anlegen (mind. 1 Stk.)"),"Reparaturmöglichkeit klären"))))))))</f>
        <v/>
      </c>
      <c r="P94" s="31" t="n"/>
      <c r="Q94" s="27" t="n"/>
      <c r="R94" s="32">
        <f>IF(OR(AG94="",Y94="",AB94=0),"",AG94*INDEX(Krit_Kosten,MATCH(F94,Krit_Liste,0)))</f>
        <v/>
      </c>
      <c r="S94" s="33">
        <f>IF(N94="","",IF(N94="grün","–",IF(AB94=0,"am Lager / in stock",IF(N(P94)&lt;=0,"Stückpreis fehlt",IF(R94&gt;=Faktor_lohnt*P94,"ja – "&amp;FIXED(R94/P94,0)&amp;"-fach","nein – "&amp;FIXED(R94/P94,IF(R94/P94&lt;1,2,1))&amp;"-fach")))))</f>
        <v/>
      </c>
      <c r="T94" s="25" t="n"/>
      <c r="U94" s="34" t="n"/>
      <c r="V94" s="27" t="n"/>
      <c r="W94" s="25" t="n"/>
      <c r="X94" s="2" t="n"/>
      <c r="Y94" s="35">
        <f>IFERROR(INDEX(Krit_Faktor,MATCH(F94,Krit_Liste,0)),"")</f>
        <v/>
      </c>
      <c r="Z94" s="35">
        <f>IF(OR(I94="nein",I94="no"),1,0)</f>
        <v/>
      </c>
      <c r="AA94" s="35">
        <f>IF(OR(J94="nein",J94="no"),1,0)</f>
        <v/>
      </c>
      <c r="AB94" s="35">
        <f>IF(OR(K94="nein",K94="no"),1,0)</f>
        <v/>
      </c>
      <c r="AC94" s="35">
        <f>IF(OR(G94="ja",G94="yes"),1,0)</f>
        <v/>
      </c>
      <c r="AD94" s="35">
        <f>IF(AND(AC94=1,OR(H94="ja",H94="yes")),1,0)</f>
        <v/>
      </c>
      <c r="AE94" s="35">
        <f>IF(AC94=1,IF(AD94=1,Pkt_Abk_mit,Pkt_Abk_ohne),0)</f>
        <v/>
      </c>
      <c r="AF94" s="35">
        <f>(G94&lt;&gt;"")+(I94&lt;&gt;"")+(J94&lt;&gt;"")+(K94&lt;&gt;"")</f>
        <v/>
      </c>
      <c r="AG94" s="35">
        <f>IF(Q94&lt;&gt;"",Q94,IF(AF94&lt;4,"",IF(Z94=1,Tage_nicht_beschaffbar,Tage_beschaffbar)))</f>
        <v/>
      </c>
      <c r="AH94" s="35">
        <f>IF(M94="","",M94*1000+Y94*10+(1000-ROW())/100000)</f>
        <v/>
      </c>
    </row>
    <row r="95" ht="34" customHeight="1">
      <c r="A95" s="23">
        <f>IF(B95="","",COUNTA($B$9:B95))</f>
        <v/>
      </c>
      <c r="B95" s="24" t="n"/>
      <c r="C95" s="25" t="n"/>
      <c r="D95" s="25" t="n"/>
      <c r="E95" s="25" t="n"/>
      <c r="F95" s="26" t="n"/>
      <c r="G95" s="26" t="n"/>
      <c r="H95" s="27" t="n"/>
      <c r="I95" s="26" t="n"/>
      <c r="J95" s="26" t="n"/>
      <c r="K95" s="26" t="n"/>
      <c r="L95" s="23">
        <f>IF(AF95&lt;4,"",Z95+AA95+AB95+AE95)</f>
        <v/>
      </c>
      <c r="M95" s="28">
        <f>IF(OR(L95="",Y95=""),"",Y95*L95)</f>
        <v/>
      </c>
      <c r="N95" s="29">
        <f>IF(M95="","",IF(M95&lt;=Gruen_bis,"grün",IF(M95&lt;=Gelb_bis,"gelb","rot")))</f>
        <v/>
      </c>
      <c r="O95" s="30">
        <f>IF(N95="",IF(B95="","","Bewertung unvollständig – ★-Felder ausfüllen"),IF(N95="grün",IF(AC95=1,IF(AD95=1,"Abgekündigt, Nachfolger vorhanden: Umstieg bei nächster Gelegenheit planen","Abgekündigt: Endbevorratung (Last-Time-Buy) prüfen, Ersatzlösung planen"),"Keine aktive Maßnahme – jährlich prüfen"),IF(AND(Z95=1,AA95=1,AB95=1),"Sofort sichern: Restbestand / Gebrauchtteil kaufen und Ersatzlösung (Retrofit) planen",IF(AND(Z95=1,AB95=1),"Reparaturweg absichern (Dienstleister, Tauschteil), Gebrauchtteil prüfen",IF(AD95=1,"Auf Nachfolgeprodukt umstellen: Kompatibilität prüfen, Umstieg planen",IF(AC95=1,IF(AB95=1,"Abgekündigt ohne Nachfolger: sofort Endbevorratung (Last-Time-Buy) und Ersatzlösung planen","Abgekündigt ohne Nachfolger: Lagerteil sichern, Ersatzlösung (Retrofit) planen"),IF(Z95=1,"Nicht beschaffbar: Lagerteil schützen, Ersatzlösung mittelfristig planen",IF(AB95=1,IF(LEFT(S95,4)="nein","Bevorratung lohnt nicht – Lieferzeit und Reparaturweg absichern","Lagerbestand anlegen (mind. 1 Stk.)"),"Reparaturmöglichkeit klären"))))))))</f>
        <v/>
      </c>
      <c r="P95" s="31" t="n"/>
      <c r="Q95" s="27" t="n"/>
      <c r="R95" s="32">
        <f>IF(OR(AG95="",Y95="",AB95=0),"",AG95*INDEX(Krit_Kosten,MATCH(F95,Krit_Liste,0)))</f>
        <v/>
      </c>
      <c r="S95" s="33">
        <f>IF(N95="","",IF(N95="grün","–",IF(AB95=0,"am Lager / in stock",IF(N(P95)&lt;=0,"Stückpreis fehlt",IF(R95&gt;=Faktor_lohnt*P95,"ja – "&amp;FIXED(R95/P95,0)&amp;"-fach","nein – "&amp;FIXED(R95/P95,IF(R95/P95&lt;1,2,1))&amp;"-fach")))))</f>
        <v/>
      </c>
      <c r="T95" s="25" t="n"/>
      <c r="U95" s="34" t="n"/>
      <c r="V95" s="27" t="n"/>
      <c r="W95" s="25" t="n"/>
      <c r="X95" s="2" t="n"/>
      <c r="Y95" s="35">
        <f>IFERROR(INDEX(Krit_Faktor,MATCH(F95,Krit_Liste,0)),"")</f>
        <v/>
      </c>
      <c r="Z95" s="35">
        <f>IF(OR(I95="nein",I95="no"),1,0)</f>
        <v/>
      </c>
      <c r="AA95" s="35">
        <f>IF(OR(J95="nein",J95="no"),1,0)</f>
        <v/>
      </c>
      <c r="AB95" s="35">
        <f>IF(OR(K95="nein",K95="no"),1,0)</f>
        <v/>
      </c>
      <c r="AC95" s="35">
        <f>IF(OR(G95="ja",G95="yes"),1,0)</f>
        <v/>
      </c>
      <c r="AD95" s="35">
        <f>IF(AND(AC95=1,OR(H95="ja",H95="yes")),1,0)</f>
        <v/>
      </c>
      <c r="AE95" s="35">
        <f>IF(AC95=1,IF(AD95=1,Pkt_Abk_mit,Pkt_Abk_ohne),0)</f>
        <v/>
      </c>
      <c r="AF95" s="35">
        <f>(G95&lt;&gt;"")+(I95&lt;&gt;"")+(J95&lt;&gt;"")+(K95&lt;&gt;"")</f>
        <v/>
      </c>
      <c r="AG95" s="35">
        <f>IF(Q95&lt;&gt;"",Q95,IF(AF95&lt;4,"",IF(Z95=1,Tage_nicht_beschaffbar,Tage_beschaffbar)))</f>
        <v/>
      </c>
      <c r="AH95" s="35">
        <f>IF(M95="","",M95*1000+Y95*10+(1000-ROW())/100000)</f>
        <v/>
      </c>
    </row>
    <row r="96" ht="34" customHeight="1">
      <c r="A96" s="23">
        <f>IF(B96="","",COUNTA($B$9:B96))</f>
        <v/>
      </c>
      <c r="B96" s="24" t="n"/>
      <c r="C96" s="25" t="n"/>
      <c r="D96" s="25" t="n"/>
      <c r="E96" s="25" t="n"/>
      <c r="F96" s="26" t="n"/>
      <c r="G96" s="26" t="n"/>
      <c r="H96" s="27" t="n"/>
      <c r="I96" s="26" t="n"/>
      <c r="J96" s="26" t="n"/>
      <c r="K96" s="26" t="n"/>
      <c r="L96" s="23">
        <f>IF(AF96&lt;4,"",Z96+AA96+AB96+AE96)</f>
        <v/>
      </c>
      <c r="M96" s="28">
        <f>IF(OR(L96="",Y96=""),"",Y96*L96)</f>
        <v/>
      </c>
      <c r="N96" s="29">
        <f>IF(M96="","",IF(M96&lt;=Gruen_bis,"grün",IF(M96&lt;=Gelb_bis,"gelb","rot")))</f>
        <v/>
      </c>
      <c r="O96" s="30">
        <f>IF(N96="",IF(B96="","","Bewertung unvollständig – ★-Felder ausfüllen"),IF(N96="grün",IF(AC96=1,IF(AD96=1,"Abgekündigt, Nachfolger vorhanden: Umstieg bei nächster Gelegenheit planen","Abgekündigt: Endbevorratung (Last-Time-Buy) prüfen, Ersatzlösung planen"),"Keine aktive Maßnahme – jährlich prüfen"),IF(AND(Z96=1,AA96=1,AB96=1),"Sofort sichern: Restbestand / Gebrauchtteil kaufen und Ersatzlösung (Retrofit) planen",IF(AND(Z96=1,AB96=1),"Reparaturweg absichern (Dienstleister, Tauschteil), Gebrauchtteil prüfen",IF(AD96=1,"Auf Nachfolgeprodukt umstellen: Kompatibilität prüfen, Umstieg planen",IF(AC96=1,IF(AB96=1,"Abgekündigt ohne Nachfolger: sofort Endbevorratung (Last-Time-Buy) und Ersatzlösung planen","Abgekündigt ohne Nachfolger: Lagerteil sichern, Ersatzlösung (Retrofit) planen"),IF(Z96=1,"Nicht beschaffbar: Lagerteil schützen, Ersatzlösung mittelfristig planen",IF(AB96=1,IF(LEFT(S96,4)="nein","Bevorratung lohnt nicht – Lieferzeit und Reparaturweg absichern","Lagerbestand anlegen (mind. 1 Stk.)"),"Reparaturmöglichkeit klären"))))))))</f>
        <v/>
      </c>
      <c r="P96" s="31" t="n"/>
      <c r="Q96" s="27" t="n"/>
      <c r="R96" s="32">
        <f>IF(OR(AG96="",Y96="",AB96=0),"",AG96*INDEX(Krit_Kosten,MATCH(F96,Krit_Liste,0)))</f>
        <v/>
      </c>
      <c r="S96" s="33">
        <f>IF(N96="","",IF(N96="grün","–",IF(AB96=0,"am Lager / in stock",IF(N(P96)&lt;=0,"Stückpreis fehlt",IF(R96&gt;=Faktor_lohnt*P96,"ja – "&amp;FIXED(R96/P96,0)&amp;"-fach","nein – "&amp;FIXED(R96/P96,IF(R96/P96&lt;1,2,1))&amp;"-fach")))))</f>
        <v/>
      </c>
      <c r="T96" s="25" t="n"/>
      <c r="U96" s="34" t="n"/>
      <c r="V96" s="27" t="n"/>
      <c r="W96" s="25" t="n"/>
      <c r="X96" s="2" t="n"/>
      <c r="Y96" s="35">
        <f>IFERROR(INDEX(Krit_Faktor,MATCH(F96,Krit_Liste,0)),"")</f>
        <v/>
      </c>
      <c r="Z96" s="35">
        <f>IF(OR(I96="nein",I96="no"),1,0)</f>
        <v/>
      </c>
      <c r="AA96" s="35">
        <f>IF(OR(J96="nein",J96="no"),1,0)</f>
        <v/>
      </c>
      <c r="AB96" s="35">
        <f>IF(OR(K96="nein",K96="no"),1,0)</f>
        <v/>
      </c>
      <c r="AC96" s="35">
        <f>IF(OR(G96="ja",G96="yes"),1,0)</f>
        <v/>
      </c>
      <c r="AD96" s="35">
        <f>IF(AND(AC96=1,OR(H96="ja",H96="yes")),1,0)</f>
        <v/>
      </c>
      <c r="AE96" s="35">
        <f>IF(AC96=1,IF(AD96=1,Pkt_Abk_mit,Pkt_Abk_ohne),0)</f>
        <v/>
      </c>
      <c r="AF96" s="35">
        <f>(G96&lt;&gt;"")+(I96&lt;&gt;"")+(J96&lt;&gt;"")+(K96&lt;&gt;"")</f>
        <v/>
      </c>
      <c r="AG96" s="35">
        <f>IF(Q96&lt;&gt;"",Q96,IF(AF96&lt;4,"",IF(Z96=1,Tage_nicht_beschaffbar,Tage_beschaffbar)))</f>
        <v/>
      </c>
      <c r="AH96" s="35">
        <f>IF(M96="","",M96*1000+Y96*10+(1000-ROW())/100000)</f>
        <v/>
      </c>
    </row>
    <row r="97" ht="34" customHeight="1">
      <c r="A97" s="23">
        <f>IF(B97="","",COUNTA($B$9:B97))</f>
        <v/>
      </c>
      <c r="B97" s="24" t="n"/>
      <c r="C97" s="25" t="n"/>
      <c r="D97" s="25" t="n"/>
      <c r="E97" s="25" t="n"/>
      <c r="F97" s="26" t="n"/>
      <c r="G97" s="26" t="n"/>
      <c r="H97" s="27" t="n"/>
      <c r="I97" s="26" t="n"/>
      <c r="J97" s="26" t="n"/>
      <c r="K97" s="26" t="n"/>
      <c r="L97" s="23">
        <f>IF(AF97&lt;4,"",Z97+AA97+AB97+AE97)</f>
        <v/>
      </c>
      <c r="M97" s="28">
        <f>IF(OR(L97="",Y97=""),"",Y97*L97)</f>
        <v/>
      </c>
      <c r="N97" s="29">
        <f>IF(M97="","",IF(M97&lt;=Gruen_bis,"grün",IF(M97&lt;=Gelb_bis,"gelb","rot")))</f>
        <v/>
      </c>
      <c r="O97" s="30">
        <f>IF(N97="",IF(B97="","","Bewertung unvollständig – ★-Felder ausfüllen"),IF(N97="grün",IF(AC97=1,IF(AD97=1,"Abgekündigt, Nachfolger vorhanden: Umstieg bei nächster Gelegenheit planen","Abgekündigt: Endbevorratung (Last-Time-Buy) prüfen, Ersatzlösung planen"),"Keine aktive Maßnahme – jährlich prüfen"),IF(AND(Z97=1,AA97=1,AB97=1),"Sofort sichern: Restbestand / Gebrauchtteil kaufen und Ersatzlösung (Retrofit) planen",IF(AND(Z97=1,AB97=1),"Reparaturweg absichern (Dienstleister, Tauschteil), Gebrauchtteil prüfen",IF(AD97=1,"Auf Nachfolgeprodukt umstellen: Kompatibilität prüfen, Umstieg planen",IF(AC97=1,IF(AB97=1,"Abgekündigt ohne Nachfolger: sofort Endbevorratung (Last-Time-Buy) und Ersatzlösung planen","Abgekündigt ohne Nachfolger: Lagerteil sichern, Ersatzlösung (Retrofit) planen"),IF(Z97=1,"Nicht beschaffbar: Lagerteil schützen, Ersatzlösung mittelfristig planen",IF(AB97=1,IF(LEFT(S97,4)="nein","Bevorratung lohnt nicht – Lieferzeit und Reparaturweg absichern","Lagerbestand anlegen (mind. 1 Stk.)"),"Reparaturmöglichkeit klären"))))))))</f>
        <v/>
      </c>
      <c r="P97" s="31" t="n"/>
      <c r="Q97" s="27" t="n"/>
      <c r="R97" s="32">
        <f>IF(OR(AG97="",Y97="",AB97=0),"",AG97*INDEX(Krit_Kosten,MATCH(F97,Krit_Liste,0)))</f>
        <v/>
      </c>
      <c r="S97" s="33">
        <f>IF(N97="","",IF(N97="grün","–",IF(AB97=0,"am Lager / in stock",IF(N(P97)&lt;=0,"Stückpreis fehlt",IF(R97&gt;=Faktor_lohnt*P97,"ja – "&amp;FIXED(R97/P97,0)&amp;"-fach","nein – "&amp;FIXED(R97/P97,IF(R97/P97&lt;1,2,1))&amp;"-fach")))))</f>
        <v/>
      </c>
      <c r="T97" s="25" t="n"/>
      <c r="U97" s="34" t="n"/>
      <c r="V97" s="27" t="n"/>
      <c r="W97" s="25" t="n"/>
      <c r="X97" s="2" t="n"/>
      <c r="Y97" s="35">
        <f>IFERROR(INDEX(Krit_Faktor,MATCH(F97,Krit_Liste,0)),"")</f>
        <v/>
      </c>
      <c r="Z97" s="35">
        <f>IF(OR(I97="nein",I97="no"),1,0)</f>
        <v/>
      </c>
      <c r="AA97" s="35">
        <f>IF(OR(J97="nein",J97="no"),1,0)</f>
        <v/>
      </c>
      <c r="AB97" s="35">
        <f>IF(OR(K97="nein",K97="no"),1,0)</f>
        <v/>
      </c>
      <c r="AC97" s="35">
        <f>IF(OR(G97="ja",G97="yes"),1,0)</f>
        <v/>
      </c>
      <c r="AD97" s="35">
        <f>IF(AND(AC97=1,OR(H97="ja",H97="yes")),1,0)</f>
        <v/>
      </c>
      <c r="AE97" s="35">
        <f>IF(AC97=1,IF(AD97=1,Pkt_Abk_mit,Pkt_Abk_ohne),0)</f>
        <v/>
      </c>
      <c r="AF97" s="35">
        <f>(G97&lt;&gt;"")+(I97&lt;&gt;"")+(J97&lt;&gt;"")+(K97&lt;&gt;"")</f>
        <v/>
      </c>
      <c r="AG97" s="35">
        <f>IF(Q97&lt;&gt;"",Q97,IF(AF97&lt;4,"",IF(Z97=1,Tage_nicht_beschaffbar,Tage_beschaffbar)))</f>
        <v/>
      </c>
      <c r="AH97" s="35">
        <f>IF(M97="","",M97*1000+Y97*10+(1000-ROW())/100000)</f>
        <v/>
      </c>
    </row>
    <row r="98" ht="34" customHeight="1">
      <c r="A98" s="23">
        <f>IF(B98="","",COUNTA($B$9:B98))</f>
        <v/>
      </c>
      <c r="B98" s="24" t="n"/>
      <c r="C98" s="25" t="n"/>
      <c r="D98" s="25" t="n"/>
      <c r="E98" s="25" t="n"/>
      <c r="F98" s="26" t="n"/>
      <c r="G98" s="26" t="n"/>
      <c r="H98" s="27" t="n"/>
      <c r="I98" s="26" t="n"/>
      <c r="J98" s="26" t="n"/>
      <c r="K98" s="26" t="n"/>
      <c r="L98" s="23">
        <f>IF(AF98&lt;4,"",Z98+AA98+AB98+AE98)</f>
        <v/>
      </c>
      <c r="M98" s="28">
        <f>IF(OR(L98="",Y98=""),"",Y98*L98)</f>
        <v/>
      </c>
      <c r="N98" s="29">
        <f>IF(M98="","",IF(M98&lt;=Gruen_bis,"grün",IF(M98&lt;=Gelb_bis,"gelb","rot")))</f>
        <v/>
      </c>
      <c r="O98" s="30">
        <f>IF(N98="",IF(B98="","","Bewertung unvollständig – ★-Felder ausfüllen"),IF(N98="grün",IF(AC98=1,IF(AD98=1,"Abgekündigt, Nachfolger vorhanden: Umstieg bei nächster Gelegenheit planen","Abgekündigt: Endbevorratung (Last-Time-Buy) prüfen, Ersatzlösung planen"),"Keine aktive Maßnahme – jährlich prüfen"),IF(AND(Z98=1,AA98=1,AB98=1),"Sofort sichern: Restbestand / Gebrauchtteil kaufen und Ersatzlösung (Retrofit) planen",IF(AND(Z98=1,AB98=1),"Reparaturweg absichern (Dienstleister, Tauschteil), Gebrauchtteil prüfen",IF(AD98=1,"Auf Nachfolgeprodukt umstellen: Kompatibilität prüfen, Umstieg planen",IF(AC98=1,IF(AB98=1,"Abgekündigt ohne Nachfolger: sofort Endbevorratung (Last-Time-Buy) und Ersatzlösung planen","Abgekündigt ohne Nachfolger: Lagerteil sichern, Ersatzlösung (Retrofit) planen"),IF(Z98=1,"Nicht beschaffbar: Lagerteil schützen, Ersatzlösung mittelfristig planen",IF(AB98=1,IF(LEFT(S98,4)="nein","Bevorratung lohnt nicht – Lieferzeit und Reparaturweg absichern","Lagerbestand anlegen (mind. 1 Stk.)"),"Reparaturmöglichkeit klären"))))))))</f>
        <v/>
      </c>
      <c r="P98" s="31" t="n"/>
      <c r="Q98" s="27" t="n"/>
      <c r="R98" s="32">
        <f>IF(OR(AG98="",Y98="",AB98=0),"",AG98*INDEX(Krit_Kosten,MATCH(F98,Krit_Liste,0)))</f>
        <v/>
      </c>
      <c r="S98" s="33">
        <f>IF(N98="","",IF(N98="grün","–",IF(AB98=0,"am Lager / in stock",IF(N(P98)&lt;=0,"Stückpreis fehlt",IF(R98&gt;=Faktor_lohnt*P98,"ja – "&amp;FIXED(R98/P98,0)&amp;"-fach","nein – "&amp;FIXED(R98/P98,IF(R98/P98&lt;1,2,1))&amp;"-fach")))))</f>
        <v/>
      </c>
      <c r="T98" s="25" t="n"/>
      <c r="U98" s="34" t="n"/>
      <c r="V98" s="27" t="n"/>
      <c r="W98" s="25" t="n"/>
      <c r="X98" s="2" t="n"/>
      <c r="Y98" s="35">
        <f>IFERROR(INDEX(Krit_Faktor,MATCH(F98,Krit_Liste,0)),"")</f>
        <v/>
      </c>
      <c r="Z98" s="35">
        <f>IF(OR(I98="nein",I98="no"),1,0)</f>
        <v/>
      </c>
      <c r="AA98" s="35">
        <f>IF(OR(J98="nein",J98="no"),1,0)</f>
        <v/>
      </c>
      <c r="AB98" s="35">
        <f>IF(OR(K98="nein",K98="no"),1,0)</f>
        <v/>
      </c>
      <c r="AC98" s="35">
        <f>IF(OR(G98="ja",G98="yes"),1,0)</f>
        <v/>
      </c>
      <c r="AD98" s="35">
        <f>IF(AND(AC98=1,OR(H98="ja",H98="yes")),1,0)</f>
        <v/>
      </c>
      <c r="AE98" s="35">
        <f>IF(AC98=1,IF(AD98=1,Pkt_Abk_mit,Pkt_Abk_ohne),0)</f>
        <v/>
      </c>
      <c r="AF98" s="35">
        <f>(G98&lt;&gt;"")+(I98&lt;&gt;"")+(J98&lt;&gt;"")+(K98&lt;&gt;"")</f>
        <v/>
      </c>
      <c r="AG98" s="35">
        <f>IF(Q98&lt;&gt;"",Q98,IF(AF98&lt;4,"",IF(Z98=1,Tage_nicht_beschaffbar,Tage_beschaffbar)))</f>
        <v/>
      </c>
      <c r="AH98" s="35">
        <f>IF(M98="","",M98*1000+Y98*10+(1000-ROW())/100000)</f>
        <v/>
      </c>
    </row>
    <row r="99" ht="34" customHeight="1">
      <c r="A99" s="23">
        <f>IF(B99="","",COUNTA($B$9:B99))</f>
        <v/>
      </c>
      <c r="B99" s="24" t="n"/>
      <c r="C99" s="25" t="n"/>
      <c r="D99" s="25" t="n"/>
      <c r="E99" s="25" t="n"/>
      <c r="F99" s="26" t="n"/>
      <c r="G99" s="26" t="n"/>
      <c r="H99" s="27" t="n"/>
      <c r="I99" s="26" t="n"/>
      <c r="J99" s="26" t="n"/>
      <c r="K99" s="26" t="n"/>
      <c r="L99" s="23">
        <f>IF(AF99&lt;4,"",Z99+AA99+AB99+AE99)</f>
        <v/>
      </c>
      <c r="M99" s="28">
        <f>IF(OR(L99="",Y99=""),"",Y99*L99)</f>
        <v/>
      </c>
      <c r="N99" s="29">
        <f>IF(M99="","",IF(M99&lt;=Gruen_bis,"grün",IF(M99&lt;=Gelb_bis,"gelb","rot")))</f>
        <v/>
      </c>
      <c r="O99" s="30">
        <f>IF(N99="",IF(B99="","","Bewertung unvollständig – ★-Felder ausfüllen"),IF(N99="grün",IF(AC99=1,IF(AD99=1,"Abgekündigt, Nachfolger vorhanden: Umstieg bei nächster Gelegenheit planen","Abgekündigt: Endbevorratung (Last-Time-Buy) prüfen, Ersatzlösung planen"),"Keine aktive Maßnahme – jährlich prüfen"),IF(AND(Z99=1,AA99=1,AB99=1),"Sofort sichern: Restbestand / Gebrauchtteil kaufen und Ersatzlösung (Retrofit) planen",IF(AND(Z99=1,AB99=1),"Reparaturweg absichern (Dienstleister, Tauschteil), Gebrauchtteil prüfen",IF(AD99=1,"Auf Nachfolgeprodukt umstellen: Kompatibilität prüfen, Umstieg planen",IF(AC99=1,IF(AB99=1,"Abgekündigt ohne Nachfolger: sofort Endbevorratung (Last-Time-Buy) und Ersatzlösung planen","Abgekündigt ohne Nachfolger: Lagerteil sichern, Ersatzlösung (Retrofit) planen"),IF(Z99=1,"Nicht beschaffbar: Lagerteil schützen, Ersatzlösung mittelfristig planen",IF(AB99=1,IF(LEFT(S99,4)="nein","Bevorratung lohnt nicht – Lieferzeit und Reparaturweg absichern","Lagerbestand anlegen (mind. 1 Stk.)"),"Reparaturmöglichkeit klären"))))))))</f>
        <v/>
      </c>
      <c r="P99" s="31" t="n"/>
      <c r="Q99" s="27" t="n"/>
      <c r="R99" s="32">
        <f>IF(OR(AG99="",Y99="",AB99=0),"",AG99*INDEX(Krit_Kosten,MATCH(F99,Krit_Liste,0)))</f>
        <v/>
      </c>
      <c r="S99" s="33">
        <f>IF(N99="","",IF(N99="grün","–",IF(AB99=0,"am Lager / in stock",IF(N(P99)&lt;=0,"Stückpreis fehlt",IF(R99&gt;=Faktor_lohnt*P99,"ja – "&amp;FIXED(R99/P99,0)&amp;"-fach","nein – "&amp;FIXED(R99/P99,IF(R99/P99&lt;1,2,1))&amp;"-fach")))))</f>
        <v/>
      </c>
      <c r="T99" s="25" t="n"/>
      <c r="U99" s="34" t="n"/>
      <c r="V99" s="27" t="n"/>
      <c r="W99" s="25" t="n"/>
      <c r="X99" s="2" t="n"/>
      <c r="Y99" s="35">
        <f>IFERROR(INDEX(Krit_Faktor,MATCH(F99,Krit_Liste,0)),"")</f>
        <v/>
      </c>
      <c r="Z99" s="35">
        <f>IF(OR(I99="nein",I99="no"),1,0)</f>
        <v/>
      </c>
      <c r="AA99" s="35">
        <f>IF(OR(J99="nein",J99="no"),1,0)</f>
        <v/>
      </c>
      <c r="AB99" s="35">
        <f>IF(OR(K99="nein",K99="no"),1,0)</f>
        <v/>
      </c>
      <c r="AC99" s="35">
        <f>IF(OR(G99="ja",G99="yes"),1,0)</f>
        <v/>
      </c>
      <c r="AD99" s="35">
        <f>IF(AND(AC99=1,OR(H99="ja",H99="yes")),1,0)</f>
        <v/>
      </c>
      <c r="AE99" s="35">
        <f>IF(AC99=1,IF(AD99=1,Pkt_Abk_mit,Pkt_Abk_ohne),0)</f>
        <v/>
      </c>
      <c r="AF99" s="35">
        <f>(G99&lt;&gt;"")+(I99&lt;&gt;"")+(J99&lt;&gt;"")+(K99&lt;&gt;"")</f>
        <v/>
      </c>
      <c r="AG99" s="35">
        <f>IF(Q99&lt;&gt;"",Q99,IF(AF99&lt;4,"",IF(Z99=1,Tage_nicht_beschaffbar,Tage_beschaffbar)))</f>
        <v/>
      </c>
      <c r="AH99" s="35">
        <f>IF(M99="","",M99*1000+Y99*10+(1000-ROW())/100000)</f>
        <v/>
      </c>
    </row>
    <row r="100" ht="34" customHeight="1">
      <c r="A100" s="23">
        <f>IF(B100="","",COUNTA($B$9:B100))</f>
        <v/>
      </c>
      <c r="B100" s="24" t="n"/>
      <c r="C100" s="25" t="n"/>
      <c r="D100" s="25" t="n"/>
      <c r="E100" s="25" t="n"/>
      <c r="F100" s="26" t="n"/>
      <c r="G100" s="26" t="n"/>
      <c r="H100" s="27" t="n"/>
      <c r="I100" s="26" t="n"/>
      <c r="J100" s="26" t="n"/>
      <c r="K100" s="26" t="n"/>
      <c r="L100" s="23">
        <f>IF(AF100&lt;4,"",Z100+AA100+AB100+AE100)</f>
        <v/>
      </c>
      <c r="M100" s="28">
        <f>IF(OR(L100="",Y100=""),"",Y100*L100)</f>
        <v/>
      </c>
      <c r="N100" s="29">
        <f>IF(M100="","",IF(M100&lt;=Gruen_bis,"grün",IF(M100&lt;=Gelb_bis,"gelb","rot")))</f>
        <v/>
      </c>
      <c r="O100" s="30">
        <f>IF(N100="",IF(B100="","","Bewertung unvollständig – ★-Felder ausfüllen"),IF(N100="grün",IF(AC100=1,IF(AD100=1,"Abgekündigt, Nachfolger vorhanden: Umstieg bei nächster Gelegenheit planen","Abgekündigt: Endbevorratung (Last-Time-Buy) prüfen, Ersatzlösung planen"),"Keine aktive Maßnahme – jährlich prüfen"),IF(AND(Z100=1,AA100=1,AB100=1),"Sofort sichern: Restbestand / Gebrauchtteil kaufen und Ersatzlösung (Retrofit) planen",IF(AND(Z100=1,AB100=1),"Reparaturweg absichern (Dienstleister, Tauschteil), Gebrauchtteil prüfen",IF(AD100=1,"Auf Nachfolgeprodukt umstellen: Kompatibilität prüfen, Umstieg planen",IF(AC100=1,IF(AB100=1,"Abgekündigt ohne Nachfolger: sofort Endbevorratung (Last-Time-Buy) und Ersatzlösung planen","Abgekündigt ohne Nachfolger: Lagerteil sichern, Ersatzlösung (Retrofit) planen"),IF(Z100=1,"Nicht beschaffbar: Lagerteil schützen, Ersatzlösung mittelfristig planen",IF(AB100=1,IF(LEFT(S100,4)="nein","Bevorratung lohnt nicht – Lieferzeit und Reparaturweg absichern","Lagerbestand anlegen (mind. 1 Stk.)"),"Reparaturmöglichkeit klären"))))))))</f>
        <v/>
      </c>
      <c r="P100" s="31" t="n"/>
      <c r="Q100" s="27" t="n"/>
      <c r="R100" s="32">
        <f>IF(OR(AG100="",Y100="",AB100=0),"",AG100*INDEX(Krit_Kosten,MATCH(F100,Krit_Liste,0)))</f>
        <v/>
      </c>
      <c r="S100" s="33">
        <f>IF(N100="","",IF(N100="grün","–",IF(AB100=0,"am Lager / in stock",IF(N(P100)&lt;=0,"Stückpreis fehlt",IF(R100&gt;=Faktor_lohnt*P100,"ja – "&amp;FIXED(R100/P100,0)&amp;"-fach","nein – "&amp;FIXED(R100/P100,IF(R100/P100&lt;1,2,1))&amp;"-fach")))))</f>
        <v/>
      </c>
      <c r="T100" s="25" t="n"/>
      <c r="U100" s="34" t="n"/>
      <c r="V100" s="27" t="n"/>
      <c r="W100" s="25" t="n"/>
      <c r="X100" s="2" t="n"/>
      <c r="Y100" s="35">
        <f>IFERROR(INDEX(Krit_Faktor,MATCH(F100,Krit_Liste,0)),"")</f>
        <v/>
      </c>
      <c r="Z100" s="35">
        <f>IF(OR(I100="nein",I100="no"),1,0)</f>
        <v/>
      </c>
      <c r="AA100" s="35">
        <f>IF(OR(J100="nein",J100="no"),1,0)</f>
        <v/>
      </c>
      <c r="AB100" s="35">
        <f>IF(OR(K100="nein",K100="no"),1,0)</f>
        <v/>
      </c>
      <c r="AC100" s="35">
        <f>IF(OR(G100="ja",G100="yes"),1,0)</f>
        <v/>
      </c>
      <c r="AD100" s="35">
        <f>IF(AND(AC100=1,OR(H100="ja",H100="yes")),1,0)</f>
        <v/>
      </c>
      <c r="AE100" s="35">
        <f>IF(AC100=1,IF(AD100=1,Pkt_Abk_mit,Pkt_Abk_ohne),0)</f>
        <v/>
      </c>
      <c r="AF100" s="35">
        <f>(G100&lt;&gt;"")+(I100&lt;&gt;"")+(J100&lt;&gt;"")+(K100&lt;&gt;"")</f>
        <v/>
      </c>
      <c r="AG100" s="35">
        <f>IF(Q100&lt;&gt;"",Q100,IF(AF100&lt;4,"",IF(Z100=1,Tage_nicht_beschaffbar,Tage_beschaffbar)))</f>
        <v/>
      </c>
      <c r="AH100" s="35">
        <f>IF(M100="","",M100*1000+Y100*10+(1000-ROW())/100000)</f>
        <v/>
      </c>
    </row>
    <row r="101" ht="34" customHeight="1">
      <c r="A101" s="23">
        <f>IF(B101="","",COUNTA($B$9:B101))</f>
        <v/>
      </c>
      <c r="B101" s="24" t="n"/>
      <c r="C101" s="25" t="n"/>
      <c r="D101" s="25" t="n"/>
      <c r="E101" s="25" t="n"/>
      <c r="F101" s="26" t="n"/>
      <c r="G101" s="26" t="n"/>
      <c r="H101" s="27" t="n"/>
      <c r="I101" s="26" t="n"/>
      <c r="J101" s="26" t="n"/>
      <c r="K101" s="26" t="n"/>
      <c r="L101" s="23">
        <f>IF(AF101&lt;4,"",Z101+AA101+AB101+AE101)</f>
        <v/>
      </c>
      <c r="M101" s="28">
        <f>IF(OR(L101="",Y101=""),"",Y101*L101)</f>
        <v/>
      </c>
      <c r="N101" s="29">
        <f>IF(M101="","",IF(M101&lt;=Gruen_bis,"grün",IF(M101&lt;=Gelb_bis,"gelb","rot")))</f>
        <v/>
      </c>
      <c r="O101" s="30">
        <f>IF(N101="",IF(B101="","","Bewertung unvollständig – ★-Felder ausfüllen"),IF(N101="grün",IF(AC101=1,IF(AD101=1,"Abgekündigt, Nachfolger vorhanden: Umstieg bei nächster Gelegenheit planen","Abgekündigt: Endbevorratung (Last-Time-Buy) prüfen, Ersatzlösung planen"),"Keine aktive Maßnahme – jährlich prüfen"),IF(AND(Z101=1,AA101=1,AB101=1),"Sofort sichern: Restbestand / Gebrauchtteil kaufen und Ersatzlösung (Retrofit) planen",IF(AND(Z101=1,AB101=1),"Reparaturweg absichern (Dienstleister, Tauschteil), Gebrauchtteil prüfen",IF(AD101=1,"Auf Nachfolgeprodukt umstellen: Kompatibilität prüfen, Umstieg planen",IF(AC101=1,IF(AB101=1,"Abgekündigt ohne Nachfolger: sofort Endbevorratung (Last-Time-Buy) und Ersatzlösung planen","Abgekündigt ohne Nachfolger: Lagerteil sichern, Ersatzlösung (Retrofit) planen"),IF(Z101=1,"Nicht beschaffbar: Lagerteil schützen, Ersatzlösung mittelfristig planen",IF(AB101=1,IF(LEFT(S101,4)="nein","Bevorratung lohnt nicht – Lieferzeit und Reparaturweg absichern","Lagerbestand anlegen (mind. 1 Stk.)"),"Reparaturmöglichkeit klären"))))))))</f>
        <v/>
      </c>
      <c r="P101" s="31" t="n"/>
      <c r="Q101" s="27" t="n"/>
      <c r="R101" s="32">
        <f>IF(OR(AG101="",Y101="",AB101=0),"",AG101*INDEX(Krit_Kosten,MATCH(F101,Krit_Liste,0)))</f>
        <v/>
      </c>
      <c r="S101" s="33">
        <f>IF(N101="","",IF(N101="grün","–",IF(AB101=0,"am Lager / in stock",IF(N(P101)&lt;=0,"Stückpreis fehlt",IF(R101&gt;=Faktor_lohnt*P101,"ja – "&amp;FIXED(R101/P101,0)&amp;"-fach","nein – "&amp;FIXED(R101/P101,IF(R101/P101&lt;1,2,1))&amp;"-fach")))))</f>
        <v/>
      </c>
      <c r="T101" s="25" t="n"/>
      <c r="U101" s="34" t="n"/>
      <c r="V101" s="27" t="n"/>
      <c r="W101" s="25" t="n"/>
      <c r="X101" s="2" t="n"/>
      <c r="Y101" s="35">
        <f>IFERROR(INDEX(Krit_Faktor,MATCH(F101,Krit_Liste,0)),"")</f>
        <v/>
      </c>
      <c r="Z101" s="35">
        <f>IF(OR(I101="nein",I101="no"),1,0)</f>
        <v/>
      </c>
      <c r="AA101" s="35">
        <f>IF(OR(J101="nein",J101="no"),1,0)</f>
        <v/>
      </c>
      <c r="AB101" s="35">
        <f>IF(OR(K101="nein",K101="no"),1,0)</f>
        <v/>
      </c>
      <c r="AC101" s="35">
        <f>IF(OR(G101="ja",G101="yes"),1,0)</f>
        <v/>
      </c>
      <c r="AD101" s="35">
        <f>IF(AND(AC101=1,OR(H101="ja",H101="yes")),1,0)</f>
        <v/>
      </c>
      <c r="AE101" s="35">
        <f>IF(AC101=1,IF(AD101=1,Pkt_Abk_mit,Pkt_Abk_ohne),0)</f>
        <v/>
      </c>
      <c r="AF101" s="35">
        <f>(G101&lt;&gt;"")+(I101&lt;&gt;"")+(J101&lt;&gt;"")+(K101&lt;&gt;"")</f>
        <v/>
      </c>
      <c r="AG101" s="35">
        <f>IF(Q101&lt;&gt;"",Q101,IF(AF101&lt;4,"",IF(Z101=1,Tage_nicht_beschaffbar,Tage_beschaffbar)))</f>
        <v/>
      </c>
      <c r="AH101" s="35">
        <f>IF(M101="","",M101*1000+Y101*10+(1000-ROW())/100000)</f>
        <v/>
      </c>
    </row>
    <row r="102" ht="34" customHeight="1">
      <c r="A102" s="23">
        <f>IF(B102="","",COUNTA($B$9:B102))</f>
        <v/>
      </c>
      <c r="B102" s="24" t="n"/>
      <c r="C102" s="25" t="n"/>
      <c r="D102" s="25" t="n"/>
      <c r="E102" s="25" t="n"/>
      <c r="F102" s="26" t="n"/>
      <c r="G102" s="26" t="n"/>
      <c r="H102" s="27" t="n"/>
      <c r="I102" s="26" t="n"/>
      <c r="J102" s="26" t="n"/>
      <c r="K102" s="26" t="n"/>
      <c r="L102" s="23">
        <f>IF(AF102&lt;4,"",Z102+AA102+AB102+AE102)</f>
        <v/>
      </c>
      <c r="M102" s="28">
        <f>IF(OR(L102="",Y102=""),"",Y102*L102)</f>
        <v/>
      </c>
      <c r="N102" s="29">
        <f>IF(M102="","",IF(M102&lt;=Gruen_bis,"grün",IF(M102&lt;=Gelb_bis,"gelb","rot")))</f>
        <v/>
      </c>
      <c r="O102" s="30">
        <f>IF(N102="",IF(B102="","","Bewertung unvollständig – ★-Felder ausfüllen"),IF(N102="grün",IF(AC102=1,IF(AD102=1,"Abgekündigt, Nachfolger vorhanden: Umstieg bei nächster Gelegenheit planen","Abgekündigt: Endbevorratung (Last-Time-Buy) prüfen, Ersatzlösung planen"),"Keine aktive Maßnahme – jährlich prüfen"),IF(AND(Z102=1,AA102=1,AB102=1),"Sofort sichern: Restbestand / Gebrauchtteil kaufen und Ersatzlösung (Retrofit) planen",IF(AND(Z102=1,AB102=1),"Reparaturweg absichern (Dienstleister, Tauschteil), Gebrauchtteil prüfen",IF(AD102=1,"Auf Nachfolgeprodukt umstellen: Kompatibilität prüfen, Umstieg planen",IF(AC102=1,IF(AB102=1,"Abgekündigt ohne Nachfolger: sofort Endbevorratung (Last-Time-Buy) und Ersatzlösung planen","Abgekündigt ohne Nachfolger: Lagerteil sichern, Ersatzlösung (Retrofit) planen"),IF(Z102=1,"Nicht beschaffbar: Lagerteil schützen, Ersatzlösung mittelfristig planen",IF(AB102=1,IF(LEFT(S102,4)="nein","Bevorratung lohnt nicht – Lieferzeit und Reparaturweg absichern","Lagerbestand anlegen (mind. 1 Stk.)"),"Reparaturmöglichkeit klären"))))))))</f>
        <v/>
      </c>
      <c r="P102" s="31" t="n"/>
      <c r="Q102" s="27" t="n"/>
      <c r="R102" s="32">
        <f>IF(OR(AG102="",Y102="",AB102=0),"",AG102*INDEX(Krit_Kosten,MATCH(F102,Krit_Liste,0)))</f>
        <v/>
      </c>
      <c r="S102" s="33">
        <f>IF(N102="","",IF(N102="grün","–",IF(AB102=0,"am Lager / in stock",IF(N(P102)&lt;=0,"Stückpreis fehlt",IF(R102&gt;=Faktor_lohnt*P102,"ja – "&amp;FIXED(R102/P102,0)&amp;"-fach","nein – "&amp;FIXED(R102/P102,IF(R102/P102&lt;1,2,1))&amp;"-fach")))))</f>
        <v/>
      </c>
      <c r="T102" s="25" t="n"/>
      <c r="U102" s="34" t="n"/>
      <c r="V102" s="27" t="n"/>
      <c r="W102" s="25" t="n"/>
      <c r="X102" s="2" t="n"/>
      <c r="Y102" s="35">
        <f>IFERROR(INDEX(Krit_Faktor,MATCH(F102,Krit_Liste,0)),"")</f>
        <v/>
      </c>
      <c r="Z102" s="35">
        <f>IF(OR(I102="nein",I102="no"),1,0)</f>
        <v/>
      </c>
      <c r="AA102" s="35">
        <f>IF(OR(J102="nein",J102="no"),1,0)</f>
        <v/>
      </c>
      <c r="AB102" s="35">
        <f>IF(OR(K102="nein",K102="no"),1,0)</f>
        <v/>
      </c>
      <c r="AC102" s="35">
        <f>IF(OR(G102="ja",G102="yes"),1,0)</f>
        <v/>
      </c>
      <c r="AD102" s="35">
        <f>IF(AND(AC102=1,OR(H102="ja",H102="yes")),1,0)</f>
        <v/>
      </c>
      <c r="AE102" s="35">
        <f>IF(AC102=1,IF(AD102=1,Pkt_Abk_mit,Pkt_Abk_ohne),0)</f>
        <v/>
      </c>
      <c r="AF102" s="35">
        <f>(G102&lt;&gt;"")+(I102&lt;&gt;"")+(J102&lt;&gt;"")+(K102&lt;&gt;"")</f>
        <v/>
      </c>
      <c r="AG102" s="35">
        <f>IF(Q102&lt;&gt;"",Q102,IF(AF102&lt;4,"",IF(Z102=1,Tage_nicht_beschaffbar,Tage_beschaffbar)))</f>
        <v/>
      </c>
      <c r="AH102" s="35">
        <f>IF(M102="","",M102*1000+Y102*10+(1000-ROW())/100000)</f>
        <v/>
      </c>
    </row>
    <row r="103" ht="34" customHeight="1">
      <c r="A103" s="23">
        <f>IF(B103="","",COUNTA($B$9:B103))</f>
        <v/>
      </c>
      <c r="B103" s="24" t="n"/>
      <c r="C103" s="25" t="n"/>
      <c r="D103" s="25" t="n"/>
      <c r="E103" s="25" t="n"/>
      <c r="F103" s="26" t="n"/>
      <c r="G103" s="26" t="n"/>
      <c r="H103" s="27" t="n"/>
      <c r="I103" s="26" t="n"/>
      <c r="J103" s="26" t="n"/>
      <c r="K103" s="26" t="n"/>
      <c r="L103" s="23">
        <f>IF(AF103&lt;4,"",Z103+AA103+AB103+AE103)</f>
        <v/>
      </c>
      <c r="M103" s="28">
        <f>IF(OR(L103="",Y103=""),"",Y103*L103)</f>
        <v/>
      </c>
      <c r="N103" s="29">
        <f>IF(M103="","",IF(M103&lt;=Gruen_bis,"grün",IF(M103&lt;=Gelb_bis,"gelb","rot")))</f>
        <v/>
      </c>
      <c r="O103" s="30">
        <f>IF(N103="",IF(B103="","","Bewertung unvollständig – ★-Felder ausfüllen"),IF(N103="grün",IF(AC103=1,IF(AD103=1,"Abgekündigt, Nachfolger vorhanden: Umstieg bei nächster Gelegenheit planen","Abgekündigt: Endbevorratung (Last-Time-Buy) prüfen, Ersatzlösung planen"),"Keine aktive Maßnahme – jährlich prüfen"),IF(AND(Z103=1,AA103=1,AB103=1),"Sofort sichern: Restbestand / Gebrauchtteil kaufen und Ersatzlösung (Retrofit) planen",IF(AND(Z103=1,AB103=1),"Reparaturweg absichern (Dienstleister, Tauschteil), Gebrauchtteil prüfen",IF(AD103=1,"Auf Nachfolgeprodukt umstellen: Kompatibilität prüfen, Umstieg planen",IF(AC103=1,IF(AB103=1,"Abgekündigt ohne Nachfolger: sofort Endbevorratung (Last-Time-Buy) und Ersatzlösung planen","Abgekündigt ohne Nachfolger: Lagerteil sichern, Ersatzlösung (Retrofit) planen"),IF(Z103=1,"Nicht beschaffbar: Lagerteil schützen, Ersatzlösung mittelfristig planen",IF(AB103=1,IF(LEFT(S103,4)="nein","Bevorratung lohnt nicht – Lieferzeit und Reparaturweg absichern","Lagerbestand anlegen (mind. 1 Stk.)"),"Reparaturmöglichkeit klären"))))))))</f>
        <v/>
      </c>
      <c r="P103" s="31" t="n"/>
      <c r="Q103" s="27" t="n"/>
      <c r="R103" s="32">
        <f>IF(OR(AG103="",Y103="",AB103=0),"",AG103*INDEX(Krit_Kosten,MATCH(F103,Krit_Liste,0)))</f>
        <v/>
      </c>
      <c r="S103" s="33">
        <f>IF(N103="","",IF(N103="grün","–",IF(AB103=0,"am Lager / in stock",IF(N(P103)&lt;=0,"Stückpreis fehlt",IF(R103&gt;=Faktor_lohnt*P103,"ja – "&amp;FIXED(R103/P103,0)&amp;"-fach","nein – "&amp;FIXED(R103/P103,IF(R103/P103&lt;1,2,1))&amp;"-fach")))))</f>
        <v/>
      </c>
      <c r="T103" s="25" t="n"/>
      <c r="U103" s="34" t="n"/>
      <c r="V103" s="27" t="n"/>
      <c r="W103" s="25" t="n"/>
      <c r="X103" s="2" t="n"/>
      <c r="Y103" s="35">
        <f>IFERROR(INDEX(Krit_Faktor,MATCH(F103,Krit_Liste,0)),"")</f>
        <v/>
      </c>
      <c r="Z103" s="35">
        <f>IF(OR(I103="nein",I103="no"),1,0)</f>
        <v/>
      </c>
      <c r="AA103" s="35">
        <f>IF(OR(J103="nein",J103="no"),1,0)</f>
        <v/>
      </c>
      <c r="AB103" s="35">
        <f>IF(OR(K103="nein",K103="no"),1,0)</f>
        <v/>
      </c>
      <c r="AC103" s="35">
        <f>IF(OR(G103="ja",G103="yes"),1,0)</f>
        <v/>
      </c>
      <c r="AD103" s="35">
        <f>IF(AND(AC103=1,OR(H103="ja",H103="yes")),1,0)</f>
        <v/>
      </c>
      <c r="AE103" s="35">
        <f>IF(AC103=1,IF(AD103=1,Pkt_Abk_mit,Pkt_Abk_ohne),0)</f>
        <v/>
      </c>
      <c r="AF103" s="35">
        <f>(G103&lt;&gt;"")+(I103&lt;&gt;"")+(J103&lt;&gt;"")+(K103&lt;&gt;"")</f>
        <v/>
      </c>
      <c r="AG103" s="35">
        <f>IF(Q103&lt;&gt;"",Q103,IF(AF103&lt;4,"",IF(Z103=1,Tage_nicht_beschaffbar,Tage_beschaffbar)))</f>
        <v/>
      </c>
      <c r="AH103" s="35">
        <f>IF(M103="","",M103*1000+Y103*10+(1000-ROW())/100000)</f>
        <v/>
      </c>
    </row>
    <row r="104" ht="34" customHeight="1">
      <c r="A104" s="23">
        <f>IF(B104="","",COUNTA($B$9:B104))</f>
        <v/>
      </c>
      <c r="B104" s="24" t="n"/>
      <c r="C104" s="25" t="n"/>
      <c r="D104" s="25" t="n"/>
      <c r="E104" s="25" t="n"/>
      <c r="F104" s="26" t="n"/>
      <c r="G104" s="26" t="n"/>
      <c r="H104" s="27" t="n"/>
      <c r="I104" s="26" t="n"/>
      <c r="J104" s="26" t="n"/>
      <c r="K104" s="26" t="n"/>
      <c r="L104" s="23">
        <f>IF(AF104&lt;4,"",Z104+AA104+AB104+AE104)</f>
        <v/>
      </c>
      <c r="M104" s="28">
        <f>IF(OR(L104="",Y104=""),"",Y104*L104)</f>
        <v/>
      </c>
      <c r="N104" s="29">
        <f>IF(M104="","",IF(M104&lt;=Gruen_bis,"grün",IF(M104&lt;=Gelb_bis,"gelb","rot")))</f>
        <v/>
      </c>
      <c r="O104" s="30">
        <f>IF(N104="",IF(B104="","","Bewertung unvollständig – ★-Felder ausfüllen"),IF(N104="grün",IF(AC104=1,IF(AD104=1,"Abgekündigt, Nachfolger vorhanden: Umstieg bei nächster Gelegenheit planen","Abgekündigt: Endbevorratung (Last-Time-Buy) prüfen, Ersatzlösung planen"),"Keine aktive Maßnahme – jährlich prüfen"),IF(AND(Z104=1,AA104=1,AB104=1),"Sofort sichern: Restbestand / Gebrauchtteil kaufen und Ersatzlösung (Retrofit) planen",IF(AND(Z104=1,AB104=1),"Reparaturweg absichern (Dienstleister, Tauschteil), Gebrauchtteil prüfen",IF(AD104=1,"Auf Nachfolgeprodukt umstellen: Kompatibilität prüfen, Umstieg planen",IF(AC104=1,IF(AB104=1,"Abgekündigt ohne Nachfolger: sofort Endbevorratung (Last-Time-Buy) und Ersatzlösung planen","Abgekündigt ohne Nachfolger: Lagerteil sichern, Ersatzlösung (Retrofit) planen"),IF(Z104=1,"Nicht beschaffbar: Lagerteil schützen, Ersatzlösung mittelfristig planen",IF(AB104=1,IF(LEFT(S104,4)="nein","Bevorratung lohnt nicht – Lieferzeit und Reparaturweg absichern","Lagerbestand anlegen (mind. 1 Stk.)"),"Reparaturmöglichkeit klären"))))))))</f>
        <v/>
      </c>
      <c r="P104" s="31" t="n"/>
      <c r="Q104" s="27" t="n"/>
      <c r="R104" s="32">
        <f>IF(OR(AG104="",Y104="",AB104=0),"",AG104*INDEX(Krit_Kosten,MATCH(F104,Krit_Liste,0)))</f>
        <v/>
      </c>
      <c r="S104" s="33">
        <f>IF(N104="","",IF(N104="grün","–",IF(AB104=0,"am Lager / in stock",IF(N(P104)&lt;=0,"Stückpreis fehlt",IF(R104&gt;=Faktor_lohnt*P104,"ja – "&amp;FIXED(R104/P104,0)&amp;"-fach","nein – "&amp;FIXED(R104/P104,IF(R104/P104&lt;1,2,1))&amp;"-fach")))))</f>
        <v/>
      </c>
      <c r="T104" s="25" t="n"/>
      <c r="U104" s="34" t="n"/>
      <c r="V104" s="27" t="n"/>
      <c r="W104" s="25" t="n"/>
      <c r="X104" s="2" t="n"/>
      <c r="Y104" s="35">
        <f>IFERROR(INDEX(Krit_Faktor,MATCH(F104,Krit_Liste,0)),"")</f>
        <v/>
      </c>
      <c r="Z104" s="35">
        <f>IF(OR(I104="nein",I104="no"),1,0)</f>
        <v/>
      </c>
      <c r="AA104" s="35">
        <f>IF(OR(J104="nein",J104="no"),1,0)</f>
        <v/>
      </c>
      <c r="AB104" s="35">
        <f>IF(OR(K104="nein",K104="no"),1,0)</f>
        <v/>
      </c>
      <c r="AC104" s="35">
        <f>IF(OR(G104="ja",G104="yes"),1,0)</f>
        <v/>
      </c>
      <c r="AD104" s="35">
        <f>IF(AND(AC104=1,OR(H104="ja",H104="yes")),1,0)</f>
        <v/>
      </c>
      <c r="AE104" s="35">
        <f>IF(AC104=1,IF(AD104=1,Pkt_Abk_mit,Pkt_Abk_ohne),0)</f>
        <v/>
      </c>
      <c r="AF104" s="35">
        <f>(G104&lt;&gt;"")+(I104&lt;&gt;"")+(J104&lt;&gt;"")+(K104&lt;&gt;"")</f>
        <v/>
      </c>
      <c r="AG104" s="35">
        <f>IF(Q104&lt;&gt;"",Q104,IF(AF104&lt;4,"",IF(Z104=1,Tage_nicht_beschaffbar,Tage_beschaffbar)))</f>
        <v/>
      </c>
      <c r="AH104" s="35">
        <f>IF(M104="","",M104*1000+Y104*10+(1000-ROW())/100000)</f>
        <v/>
      </c>
    </row>
    <row r="105" ht="34" customHeight="1">
      <c r="A105" s="23">
        <f>IF(B105="","",COUNTA($B$9:B105))</f>
        <v/>
      </c>
      <c r="B105" s="24" t="n"/>
      <c r="C105" s="25" t="n"/>
      <c r="D105" s="25" t="n"/>
      <c r="E105" s="25" t="n"/>
      <c r="F105" s="26" t="n"/>
      <c r="G105" s="26" t="n"/>
      <c r="H105" s="27" t="n"/>
      <c r="I105" s="26" t="n"/>
      <c r="J105" s="26" t="n"/>
      <c r="K105" s="26" t="n"/>
      <c r="L105" s="23">
        <f>IF(AF105&lt;4,"",Z105+AA105+AB105+AE105)</f>
        <v/>
      </c>
      <c r="M105" s="28">
        <f>IF(OR(L105="",Y105=""),"",Y105*L105)</f>
        <v/>
      </c>
      <c r="N105" s="29">
        <f>IF(M105="","",IF(M105&lt;=Gruen_bis,"grün",IF(M105&lt;=Gelb_bis,"gelb","rot")))</f>
        <v/>
      </c>
      <c r="O105" s="30">
        <f>IF(N105="",IF(B105="","","Bewertung unvollständig – ★-Felder ausfüllen"),IF(N105="grün",IF(AC105=1,IF(AD105=1,"Abgekündigt, Nachfolger vorhanden: Umstieg bei nächster Gelegenheit planen","Abgekündigt: Endbevorratung (Last-Time-Buy) prüfen, Ersatzlösung planen"),"Keine aktive Maßnahme – jährlich prüfen"),IF(AND(Z105=1,AA105=1,AB105=1),"Sofort sichern: Restbestand / Gebrauchtteil kaufen und Ersatzlösung (Retrofit) planen",IF(AND(Z105=1,AB105=1),"Reparaturweg absichern (Dienstleister, Tauschteil), Gebrauchtteil prüfen",IF(AD105=1,"Auf Nachfolgeprodukt umstellen: Kompatibilität prüfen, Umstieg planen",IF(AC105=1,IF(AB105=1,"Abgekündigt ohne Nachfolger: sofort Endbevorratung (Last-Time-Buy) und Ersatzlösung planen","Abgekündigt ohne Nachfolger: Lagerteil sichern, Ersatzlösung (Retrofit) planen"),IF(Z105=1,"Nicht beschaffbar: Lagerteil schützen, Ersatzlösung mittelfristig planen",IF(AB105=1,IF(LEFT(S105,4)="nein","Bevorratung lohnt nicht – Lieferzeit und Reparaturweg absichern","Lagerbestand anlegen (mind. 1 Stk.)"),"Reparaturmöglichkeit klären"))))))))</f>
        <v/>
      </c>
      <c r="P105" s="31" t="n"/>
      <c r="Q105" s="27" t="n"/>
      <c r="R105" s="32">
        <f>IF(OR(AG105="",Y105="",AB105=0),"",AG105*INDEX(Krit_Kosten,MATCH(F105,Krit_Liste,0)))</f>
        <v/>
      </c>
      <c r="S105" s="33">
        <f>IF(N105="","",IF(N105="grün","–",IF(AB105=0,"am Lager / in stock",IF(N(P105)&lt;=0,"Stückpreis fehlt",IF(R105&gt;=Faktor_lohnt*P105,"ja – "&amp;FIXED(R105/P105,0)&amp;"-fach","nein – "&amp;FIXED(R105/P105,IF(R105/P105&lt;1,2,1))&amp;"-fach")))))</f>
        <v/>
      </c>
      <c r="T105" s="25" t="n"/>
      <c r="U105" s="34" t="n"/>
      <c r="V105" s="27" t="n"/>
      <c r="W105" s="25" t="n"/>
      <c r="X105" s="2" t="n"/>
      <c r="Y105" s="35">
        <f>IFERROR(INDEX(Krit_Faktor,MATCH(F105,Krit_Liste,0)),"")</f>
        <v/>
      </c>
      <c r="Z105" s="35">
        <f>IF(OR(I105="nein",I105="no"),1,0)</f>
        <v/>
      </c>
      <c r="AA105" s="35">
        <f>IF(OR(J105="nein",J105="no"),1,0)</f>
        <v/>
      </c>
      <c r="AB105" s="35">
        <f>IF(OR(K105="nein",K105="no"),1,0)</f>
        <v/>
      </c>
      <c r="AC105" s="35">
        <f>IF(OR(G105="ja",G105="yes"),1,0)</f>
        <v/>
      </c>
      <c r="AD105" s="35">
        <f>IF(AND(AC105=1,OR(H105="ja",H105="yes")),1,0)</f>
        <v/>
      </c>
      <c r="AE105" s="35">
        <f>IF(AC105=1,IF(AD105=1,Pkt_Abk_mit,Pkt_Abk_ohne),0)</f>
        <v/>
      </c>
      <c r="AF105" s="35">
        <f>(G105&lt;&gt;"")+(I105&lt;&gt;"")+(J105&lt;&gt;"")+(K105&lt;&gt;"")</f>
        <v/>
      </c>
      <c r="AG105" s="35">
        <f>IF(Q105&lt;&gt;"",Q105,IF(AF105&lt;4,"",IF(Z105=1,Tage_nicht_beschaffbar,Tage_beschaffbar)))</f>
        <v/>
      </c>
      <c r="AH105" s="35">
        <f>IF(M105="","",M105*1000+Y105*10+(1000-ROW())/100000)</f>
        <v/>
      </c>
    </row>
    <row r="106" ht="34" customHeight="1">
      <c r="A106" s="23">
        <f>IF(B106="","",COUNTA($B$9:B106))</f>
        <v/>
      </c>
      <c r="B106" s="24" t="n"/>
      <c r="C106" s="25" t="n"/>
      <c r="D106" s="25" t="n"/>
      <c r="E106" s="25" t="n"/>
      <c r="F106" s="26" t="n"/>
      <c r="G106" s="26" t="n"/>
      <c r="H106" s="27" t="n"/>
      <c r="I106" s="26" t="n"/>
      <c r="J106" s="26" t="n"/>
      <c r="K106" s="26" t="n"/>
      <c r="L106" s="23">
        <f>IF(AF106&lt;4,"",Z106+AA106+AB106+AE106)</f>
        <v/>
      </c>
      <c r="M106" s="28">
        <f>IF(OR(L106="",Y106=""),"",Y106*L106)</f>
        <v/>
      </c>
      <c r="N106" s="29">
        <f>IF(M106="","",IF(M106&lt;=Gruen_bis,"grün",IF(M106&lt;=Gelb_bis,"gelb","rot")))</f>
        <v/>
      </c>
      <c r="O106" s="30">
        <f>IF(N106="",IF(B106="","","Bewertung unvollständig – ★-Felder ausfüllen"),IF(N106="grün",IF(AC106=1,IF(AD106=1,"Abgekündigt, Nachfolger vorhanden: Umstieg bei nächster Gelegenheit planen","Abgekündigt: Endbevorratung (Last-Time-Buy) prüfen, Ersatzlösung planen"),"Keine aktive Maßnahme – jährlich prüfen"),IF(AND(Z106=1,AA106=1,AB106=1),"Sofort sichern: Restbestand / Gebrauchtteil kaufen und Ersatzlösung (Retrofit) planen",IF(AND(Z106=1,AB106=1),"Reparaturweg absichern (Dienstleister, Tauschteil), Gebrauchtteil prüfen",IF(AD106=1,"Auf Nachfolgeprodukt umstellen: Kompatibilität prüfen, Umstieg planen",IF(AC106=1,IF(AB106=1,"Abgekündigt ohne Nachfolger: sofort Endbevorratung (Last-Time-Buy) und Ersatzlösung planen","Abgekündigt ohne Nachfolger: Lagerteil sichern, Ersatzlösung (Retrofit) planen"),IF(Z106=1,"Nicht beschaffbar: Lagerteil schützen, Ersatzlösung mittelfristig planen",IF(AB106=1,IF(LEFT(S106,4)="nein","Bevorratung lohnt nicht – Lieferzeit und Reparaturweg absichern","Lagerbestand anlegen (mind. 1 Stk.)"),"Reparaturmöglichkeit klären"))))))))</f>
        <v/>
      </c>
      <c r="P106" s="31" t="n"/>
      <c r="Q106" s="27" t="n"/>
      <c r="R106" s="32">
        <f>IF(OR(AG106="",Y106="",AB106=0),"",AG106*INDEX(Krit_Kosten,MATCH(F106,Krit_Liste,0)))</f>
        <v/>
      </c>
      <c r="S106" s="33">
        <f>IF(N106="","",IF(N106="grün","–",IF(AB106=0,"am Lager / in stock",IF(N(P106)&lt;=0,"Stückpreis fehlt",IF(R106&gt;=Faktor_lohnt*P106,"ja – "&amp;FIXED(R106/P106,0)&amp;"-fach","nein – "&amp;FIXED(R106/P106,IF(R106/P106&lt;1,2,1))&amp;"-fach")))))</f>
        <v/>
      </c>
      <c r="T106" s="25" t="n"/>
      <c r="U106" s="34" t="n"/>
      <c r="V106" s="27" t="n"/>
      <c r="W106" s="25" t="n"/>
      <c r="X106" s="2" t="n"/>
      <c r="Y106" s="35">
        <f>IFERROR(INDEX(Krit_Faktor,MATCH(F106,Krit_Liste,0)),"")</f>
        <v/>
      </c>
      <c r="Z106" s="35">
        <f>IF(OR(I106="nein",I106="no"),1,0)</f>
        <v/>
      </c>
      <c r="AA106" s="35">
        <f>IF(OR(J106="nein",J106="no"),1,0)</f>
        <v/>
      </c>
      <c r="AB106" s="35">
        <f>IF(OR(K106="nein",K106="no"),1,0)</f>
        <v/>
      </c>
      <c r="AC106" s="35">
        <f>IF(OR(G106="ja",G106="yes"),1,0)</f>
        <v/>
      </c>
      <c r="AD106" s="35">
        <f>IF(AND(AC106=1,OR(H106="ja",H106="yes")),1,0)</f>
        <v/>
      </c>
      <c r="AE106" s="35">
        <f>IF(AC106=1,IF(AD106=1,Pkt_Abk_mit,Pkt_Abk_ohne),0)</f>
        <v/>
      </c>
      <c r="AF106" s="35">
        <f>(G106&lt;&gt;"")+(I106&lt;&gt;"")+(J106&lt;&gt;"")+(K106&lt;&gt;"")</f>
        <v/>
      </c>
      <c r="AG106" s="35">
        <f>IF(Q106&lt;&gt;"",Q106,IF(AF106&lt;4,"",IF(Z106=1,Tage_nicht_beschaffbar,Tage_beschaffbar)))</f>
        <v/>
      </c>
      <c r="AH106" s="35">
        <f>IF(M106="","",M106*1000+Y106*10+(1000-ROW())/100000)</f>
        <v/>
      </c>
    </row>
    <row r="107" ht="34" customHeight="1">
      <c r="A107" s="23">
        <f>IF(B107="","",COUNTA($B$9:B107))</f>
        <v/>
      </c>
      <c r="B107" s="24" t="n"/>
      <c r="C107" s="25" t="n"/>
      <c r="D107" s="25" t="n"/>
      <c r="E107" s="25" t="n"/>
      <c r="F107" s="26" t="n"/>
      <c r="G107" s="26" t="n"/>
      <c r="H107" s="27" t="n"/>
      <c r="I107" s="26" t="n"/>
      <c r="J107" s="26" t="n"/>
      <c r="K107" s="26" t="n"/>
      <c r="L107" s="23">
        <f>IF(AF107&lt;4,"",Z107+AA107+AB107+AE107)</f>
        <v/>
      </c>
      <c r="M107" s="28">
        <f>IF(OR(L107="",Y107=""),"",Y107*L107)</f>
        <v/>
      </c>
      <c r="N107" s="29">
        <f>IF(M107="","",IF(M107&lt;=Gruen_bis,"grün",IF(M107&lt;=Gelb_bis,"gelb","rot")))</f>
        <v/>
      </c>
      <c r="O107" s="30">
        <f>IF(N107="",IF(B107="","","Bewertung unvollständig – ★-Felder ausfüllen"),IF(N107="grün",IF(AC107=1,IF(AD107=1,"Abgekündigt, Nachfolger vorhanden: Umstieg bei nächster Gelegenheit planen","Abgekündigt: Endbevorratung (Last-Time-Buy) prüfen, Ersatzlösung planen"),"Keine aktive Maßnahme – jährlich prüfen"),IF(AND(Z107=1,AA107=1,AB107=1),"Sofort sichern: Restbestand / Gebrauchtteil kaufen und Ersatzlösung (Retrofit) planen",IF(AND(Z107=1,AB107=1),"Reparaturweg absichern (Dienstleister, Tauschteil), Gebrauchtteil prüfen",IF(AD107=1,"Auf Nachfolgeprodukt umstellen: Kompatibilität prüfen, Umstieg planen",IF(AC107=1,IF(AB107=1,"Abgekündigt ohne Nachfolger: sofort Endbevorratung (Last-Time-Buy) und Ersatzlösung planen","Abgekündigt ohne Nachfolger: Lagerteil sichern, Ersatzlösung (Retrofit) planen"),IF(Z107=1,"Nicht beschaffbar: Lagerteil schützen, Ersatzlösung mittelfristig planen",IF(AB107=1,IF(LEFT(S107,4)="nein","Bevorratung lohnt nicht – Lieferzeit und Reparaturweg absichern","Lagerbestand anlegen (mind. 1 Stk.)"),"Reparaturmöglichkeit klären"))))))))</f>
        <v/>
      </c>
      <c r="P107" s="31" t="n"/>
      <c r="Q107" s="27" t="n"/>
      <c r="R107" s="32">
        <f>IF(OR(AG107="",Y107="",AB107=0),"",AG107*INDEX(Krit_Kosten,MATCH(F107,Krit_Liste,0)))</f>
        <v/>
      </c>
      <c r="S107" s="33">
        <f>IF(N107="","",IF(N107="grün","–",IF(AB107=0,"am Lager / in stock",IF(N(P107)&lt;=0,"Stückpreis fehlt",IF(R107&gt;=Faktor_lohnt*P107,"ja – "&amp;FIXED(R107/P107,0)&amp;"-fach","nein – "&amp;FIXED(R107/P107,IF(R107/P107&lt;1,2,1))&amp;"-fach")))))</f>
        <v/>
      </c>
      <c r="T107" s="25" t="n"/>
      <c r="U107" s="34" t="n"/>
      <c r="V107" s="27" t="n"/>
      <c r="W107" s="25" t="n"/>
      <c r="X107" s="2" t="n"/>
      <c r="Y107" s="35">
        <f>IFERROR(INDEX(Krit_Faktor,MATCH(F107,Krit_Liste,0)),"")</f>
        <v/>
      </c>
      <c r="Z107" s="35">
        <f>IF(OR(I107="nein",I107="no"),1,0)</f>
        <v/>
      </c>
      <c r="AA107" s="35">
        <f>IF(OR(J107="nein",J107="no"),1,0)</f>
        <v/>
      </c>
      <c r="AB107" s="35">
        <f>IF(OR(K107="nein",K107="no"),1,0)</f>
        <v/>
      </c>
      <c r="AC107" s="35">
        <f>IF(OR(G107="ja",G107="yes"),1,0)</f>
        <v/>
      </c>
      <c r="AD107" s="35">
        <f>IF(AND(AC107=1,OR(H107="ja",H107="yes")),1,0)</f>
        <v/>
      </c>
      <c r="AE107" s="35">
        <f>IF(AC107=1,IF(AD107=1,Pkt_Abk_mit,Pkt_Abk_ohne),0)</f>
        <v/>
      </c>
      <c r="AF107" s="35">
        <f>(G107&lt;&gt;"")+(I107&lt;&gt;"")+(J107&lt;&gt;"")+(K107&lt;&gt;"")</f>
        <v/>
      </c>
      <c r="AG107" s="35">
        <f>IF(Q107&lt;&gt;"",Q107,IF(AF107&lt;4,"",IF(Z107=1,Tage_nicht_beschaffbar,Tage_beschaffbar)))</f>
        <v/>
      </c>
      <c r="AH107" s="35">
        <f>IF(M107="","",M107*1000+Y107*10+(1000-ROW())/100000)</f>
        <v/>
      </c>
    </row>
    <row r="108" ht="34" customHeight="1">
      <c r="A108" s="23">
        <f>IF(B108="","",COUNTA($B$9:B108))</f>
        <v/>
      </c>
      <c r="B108" s="24" t="n"/>
      <c r="C108" s="25" t="n"/>
      <c r="D108" s="25" t="n"/>
      <c r="E108" s="25" t="n"/>
      <c r="F108" s="26" t="n"/>
      <c r="G108" s="26" t="n"/>
      <c r="H108" s="27" t="n"/>
      <c r="I108" s="26" t="n"/>
      <c r="J108" s="26" t="n"/>
      <c r="K108" s="26" t="n"/>
      <c r="L108" s="23">
        <f>IF(AF108&lt;4,"",Z108+AA108+AB108+AE108)</f>
        <v/>
      </c>
      <c r="M108" s="28">
        <f>IF(OR(L108="",Y108=""),"",Y108*L108)</f>
        <v/>
      </c>
      <c r="N108" s="29">
        <f>IF(M108="","",IF(M108&lt;=Gruen_bis,"grün",IF(M108&lt;=Gelb_bis,"gelb","rot")))</f>
        <v/>
      </c>
      <c r="O108" s="30">
        <f>IF(N108="",IF(B108="","","Bewertung unvollständig – ★-Felder ausfüllen"),IF(N108="grün",IF(AC108=1,IF(AD108=1,"Abgekündigt, Nachfolger vorhanden: Umstieg bei nächster Gelegenheit planen","Abgekündigt: Endbevorratung (Last-Time-Buy) prüfen, Ersatzlösung planen"),"Keine aktive Maßnahme – jährlich prüfen"),IF(AND(Z108=1,AA108=1,AB108=1),"Sofort sichern: Restbestand / Gebrauchtteil kaufen und Ersatzlösung (Retrofit) planen",IF(AND(Z108=1,AB108=1),"Reparaturweg absichern (Dienstleister, Tauschteil), Gebrauchtteil prüfen",IF(AD108=1,"Auf Nachfolgeprodukt umstellen: Kompatibilität prüfen, Umstieg planen",IF(AC108=1,IF(AB108=1,"Abgekündigt ohne Nachfolger: sofort Endbevorratung (Last-Time-Buy) und Ersatzlösung planen","Abgekündigt ohne Nachfolger: Lagerteil sichern, Ersatzlösung (Retrofit) planen"),IF(Z108=1,"Nicht beschaffbar: Lagerteil schützen, Ersatzlösung mittelfristig planen",IF(AB108=1,IF(LEFT(S108,4)="nein","Bevorratung lohnt nicht – Lieferzeit und Reparaturweg absichern","Lagerbestand anlegen (mind. 1 Stk.)"),"Reparaturmöglichkeit klären"))))))))</f>
        <v/>
      </c>
      <c r="P108" s="31" t="n"/>
      <c r="Q108" s="27" t="n"/>
      <c r="R108" s="32">
        <f>IF(OR(AG108="",Y108="",AB108=0),"",AG108*INDEX(Krit_Kosten,MATCH(F108,Krit_Liste,0)))</f>
        <v/>
      </c>
      <c r="S108" s="33">
        <f>IF(N108="","",IF(N108="grün","–",IF(AB108=0,"am Lager / in stock",IF(N(P108)&lt;=0,"Stückpreis fehlt",IF(R108&gt;=Faktor_lohnt*P108,"ja – "&amp;FIXED(R108/P108,0)&amp;"-fach","nein – "&amp;FIXED(R108/P108,IF(R108/P108&lt;1,2,1))&amp;"-fach")))))</f>
        <v/>
      </c>
      <c r="T108" s="25" t="n"/>
      <c r="U108" s="34" t="n"/>
      <c r="V108" s="27" t="n"/>
      <c r="W108" s="25" t="n"/>
      <c r="X108" s="2" t="n"/>
      <c r="Y108" s="35">
        <f>IFERROR(INDEX(Krit_Faktor,MATCH(F108,Krit_Liste,0)),"")</f>
        <v/>
      </c>
      <c r="Z108" s="35">
        <f>IF(OR(I108="nein",I108="no"),1,0)</f>
        <v/>
      </c>
      <c r="AA108" s="35">
        <f>IF(OR(J108="nein",J108="no"),1,0)</f>
        <v/>
      </c>
      <c r="AB108" s="35">
        <f>IF(OR(K108="nein",K108="no"),1,0)</f>
        <v/>
      </c>
      <c r="AC108" s="35">
        <f>IF(OR(G108="ja",G108="yes"),1,0)</f>
        <v/>
      </c>
      <c r="AD108" s="35">
        <f>IF(AND(AC108=1,OR(H108="ja",H108="yes")),1,0)</f>
        <v/>
      </c>
      <c r="AE108" s="35">
        <f>IF(AC108=1,IF(AD108=1,Pkt_Abk_mit,Pkt_Abk_ohne),0)</f>
        <v/>
      </c>
      <c r="AF108" s="35">
        <f>(G108&lt;&gt;"")+(I108&lt;&gt;"")+(J108&lt;&gt;"")+(K108&lt;&gt;"")</f>
        <v/>
      </c>
      <c r="AG108" s="35">
        <f>IF(Q108&lt;&gt;"",Q108,IF(AF108&lt;4,"",IF(Z108=1,Tage_nicht_beschaffbar,Tage_beschaffbar)))</f>
        <v/>
      </c>
      <c r="AH108" s="35">
        <f>IF(M108="","",M108*1000+Y108*10+(1000-ROW())/100000)</f>
        <v/>
      </c>
    </row>
    <row r="109" ht="34" customHeight="1">
      <c r="A109" s="23">
        <f>IF(B109="","",COUNTA($B$9:B109))</f>
        <v/>
      </c>
      <c r="B109" s="24" t="n"/>
      <c r="C109" s="25" t="n"/>
      <c r="D109" s="25" t="n"/>
      <c r="E109" s="25" t="n"/>
      <c r="F109" s="26" t="n"/>
      <c r="G109" s="26" t="n"/>
      <c r="H109" s="27" t="n"/>
      <c r="I109" s="26" t="n"/>
      <c r="J109" s="26" t="n"/>
      <c r="K109" s="26" t="n"/>
      <c r="L109" s="23">
        <f>IF(AF109&lt;4,"",Z109+AA109+AB109+AE109)</f>
        <v/>
      </c>
      <c r="M109" s="28">
        <f>IF(OR(L109="",Y109=""),"",Y109*L109)</f>
        <v/>
      </c>
      <c r="N109" s="29">
        <f>IF(M109="","",IF(M109&lt;=Gruen_bis,"grün",IF(M109&lt;=Gelb_bis,"gelb","rot")))</f>
        <v/>
      </c>
      <c r="O109" s="30">
        <f>IF(N109="",IF(B109="","","Bewertung unvollständig – ★-Felder ausfüllen"),IF(N109="grün",IF(AC109=1,IF(AD109=1,"Abgekündigt, Nachfolger vorhanden: Umstieg bei nächster Gelegenheit planen","Abgekündigt: Endbevorratung (Last-Time-Buy) prüfen, Ersatzlösung planen"),"Keine aktive Maßnahme – jährlich prüfen"),IF(AND(Z109=1,AA109=1,AB109=1),"Sofort sichern: Restbestand / Gebrauchtteil kaufen und Ersatzlösung (Retrofit) planen",IF(AND(Z109=1,AB109=1),"Reparaturweg absichern (Dienstleister, Tauschteil), Gebrauchtteil prüfen",IF(AD109=1,"Auf Nachfolgeprodukt umstellen: Kompatibilität prüfen, Umstieg planen",IF(AC109=1,IF(AB109=1,"Abgekündigt ohne Nachfolger: sofort Endbevorratung (Last-Time-Buy) und Ersatzlösung planen","Abgekündigt ohne Nachfolger: Lagerteil sichern, Ersatzlösung (Retrofit) planen"),IF(Z109=1,"Nicht beschaffbar: Lagerteil schützen, Ersatzlösung mittelfristig planen",IF(AB109=1,IF(LEFT(S109,4)="nein","Bevorratung lohnt nicht – Lieferzeit und Reparaturweg absichern","Lagerbestand anlegen (mind. 1 Stk.)"),"Reparaturmöglichkeit klären"))))))))</f>
        <v/>
      </c>
      <c r="P109" s="31" t="n"/>
      <c r="Q109" s="27" t="n"/>
      <c r="R109" s="32">
        <f>IF(OR(AG109="",Y109="",AB109=0),"",AG109*INDEX(Krit_Kosten,MATCH(F109,Krit_Liste,0)))</f>
        <v/>
      </c>
      <c r="S109" s="33">
        <f>IF(N109="","",IF(N109="grün","–",IF(AB109=0,"am Lager / in stock",IF(N(P109)&lt;=0,"Stückpreis fehlt",IF(R109&gt;=Faktor_lohnt*P109,"ja – "&amp;FIXED(R109/P109,0)&amp;"-fach","nein – "&amp;FIXED(R109/P109,IF(R109/P109&lt;1,2,1))&amp;"-fach")))))</f>
        <v/>
      </c>
      <c r="T109" s="25" t="n"/>
      <c r="U109" s="34" t="n"/>
      <c r="V109" s="27" t="n"/>
      <c r="W109" s="25" t="n"/>
      <c r="X109" s="2" t="n"/>
      <c r="Y109" s="35">
        <f>IFERROR(INDEX(Krit_Faktor,MATCH(F109,Krit_Liste,0)),"")</f>
        <v/>
      </c>
      <c r="Z109" s="35">
        <f>IF(OR(I109="nein",I109="no"),1,0)</f>
        <v/>
      </c>
      <c r="AA109" s="35">
        <f>IF(OR(J109="nein",J109="no"),1,0)</f>
        <v/>
      </c>
      <c r="AB109" s="35">
        <f>IF(OR(K109="nein",K109="no"),1,0)</f>
        <v/>
      </c>
      <c r="AC109" s="35">
        <f>IF(OR(G109="ja",G109="yes"),1,0)</f>
        <v/>
      </c>
      <c r="AD109" s="35">
        <f>IF(AND(AC109=1,OR(H109="ja",H109="yes")),1,0)</f>
        <v/>
      </c>
      <c r="AE109" s="35">
        <f>IF(AC109=1,IF(AD109=1,Pkt_Abk_mit,Pkt_Abk_ohne),0)</f>
        <v/>
      </c>
      <c r="AF109" s="35">
        <f>(G109&lt;&gt;"")+(I109&lt;&gt;"")+(J109&lt;&gt;"")+(K109&lt;&gt;"")</f>
        <v/>
      </c>
      <c r="AG109" s="35">
        <f>IF(Q109&lt;&gt;"",Q109,IF(AF109&lt;4,"",IF(Z109=1,Tage_nicht_beschaffbar,Tage_beschaffbar)))</f>
        <v/>
      </c>
      <c r="AH109" s="35">
        <f>IF(M109="","",M109*1000+Y109*10+(1000-ROW())/100000)</f>
        <v/>
      </c>
    </row>
    <row r="110" ht="34" customHeight="1">
      <c r="A110" s="23">
        <f>IF(B110="","",COUNTA($B$9:B110))</f>
        <v/>
      </c>
      <c r="B110" s="24" t="n"/>
      <c r="C110" s="25" t="n"/>
      <c r="D110" s="25" t="n"/>
      <c r="E110" s="25" t="n"/>
      <c r="F110" s="26" t="n"/>
      <c r="G110" s="26" t="n"/>
      <c r="H110" s="27" t="n"/>
      <c r="I110" s="26" t="n"/>
      <c r="J110" s="26" t="n"/>
      <c r="K110" s="26" t="n"/>
      <c r="L110" s="23">
        <f>IF(AF110&lt;4,"",Z110+AA110+AB110+AE110)</f>
        <v/>
      </c>
      <c r="M110" s="28">
        <f>IF(OR(L110="",Y110=""),"",Y110*L110)</f>
        <v/>
      </c>
      <c r="N110" s="29">
        <f>IF(M110="","",IF(M110&lt;=Gruen_bis,"grün",IF(M110&lt;=Gelb_bis,"gelb","rot")))</f>
        <v/>
      </c>
      <c r="O110" s="30">
        <f>IF(N110="",IF(B110="","","Bewertung unvollständig – ★-Felder ausfüllen"),IF(N110="grün",IF(AC110=1,IF(AD110=1,"Abgekündigt, Nachfolger vorhanden: Umstieg bei nächster Gelegenheit planen","Abgekündigt: Endbevorratung (Last-Time-Buy) prüfen, Ersatzlösung planen"),"Keine aktive Maßnahme – jährlich prüfen"),IF(AND(Z110=1,AA110=1,AB110=1),"Sofort sichern: Restbestand / Gebrauchtteil kaufen und Ersatzlösung (Retrofit) planen",IF(AND(Z110=1,AB110=1),"Reparaturweg absichern (Dienstleister, Tauschteil), Gebrauchtteil prüfen",IF(AD110=1,"Auf Nachfolgeprodukt umstellen: Kompatibilität prüfen, Umstieg planen",IF(AC110=1,IF(AB110=1,"Abgekündigt ohne Nachfolger: sofort Endbevorratung (Last-Time-Buy) und Ersatzlösung planen","Abgekündigt ohne Nachfolger: Lagerteil sichern, Ersatzlösung (Retrofit) planen"),IF(Z110=1,"Nicht beschaffbar: Lagerteil schützen, Ersatzlösung mittelfristig planen",IF(AB110=1,IF(LEFT(S110,4)="nein","Bevorratung lohnt nicht – Lieferzeit und Reparaturweg absichern","Lagerbestand anlegen (mind. 1 Stk.)"),"Reparaturmöglichkeit klären"))))))))</f>
        <v/>
      </c>
      <c r="P110" s="31" t="n"/>
      <c r="Q110" s="27" t="n"/>
      <c r="R110" s="32">
        <f>IF(OR(AG110="",Y110="",AB110=0),"",AG110*INDEX(Krit_Kosten,MATCH(F110,Krit_Liste,0)))</f>
        <v/>
      </c>
      <c r="S110" s="33">
        <f>IF(N110="","",IF(N110="grün","–",IF(AB110=0,"am Lager / in stock",IF(N(P110)&lt;=0,"Stückpreis fehlt",IF(R110&gt;=Faktor_lohnt*P110,"ja – "&amp;FIXED(R110/P110,0)&amp;"-fach","nein – "&amp;FIXED(R110/P110,IF(R110/P110&lt;1,2,1))&amp;"-fach")))))</f>
        <v/>
      </c>
      <c r="T110" s="25" t="n"/>
      <c r="U110" s="34" t="n"/>
      <c r="V110" s="27" t="n"/>
      <c r="W110" s="25" t="n"/>
      <c r="X110" s="2" t="n"/>
      <c r="Y110" s="35">
        <f>IFERROR(INDEX(Krit_Faktor,MATCH(F110,Krit_Liste,0)),"")</f>
        <v/>
      </c>
      <c r="Z110" s="35">
        <f>IF(OR(I110="nein",I110="no"),1,0)</f>
        <v/>
      </c>
      <c r="AA110" s="35">
        <f>IF(OR(J110="nein",J110="no"),1,0)</f>
        <v/>
      </c>
      <c r="AB110" s="35">
        <f>IF(OR(K110="nein",K110="no"),1,0)</f>
        <v/>
      </c>
      <c r="AC110" s="35">
        <f>IF(OR(G110="ja",G110="yes"),1,0)</f>
        <v/>
      </c>
      <c r="AD110" s="35">
        <f>IF(AND(AC110=1,OR(H110="ja",H110="yes")),1,0)</f>
        <v/>
      </c>
      <c r="AE110" s="35">
        <f>IF(AC110=1,IF(AD110=1,Pkt_Abk_mit,Pkt_Abk_ohne),0)</f>
        <v/>
      </c>
      <c r="AF110" s="35">
        <f>(G110&lt;&gt;"")+(I110&lt;&gt;"")+(J110&lt;&gt;"")+(K110&lt;&gt;"")</f>
        <v/>
      </c>
      <c r="AG110" s="35">
        <f>IF(Q110&lt;&gt;"",Q110,IF(AF110&lt;4,"",IF(Z110=1,Tage_nicht_beschaffbar,Tage_beschaffbar)))</f>
        <v/>
      </c>
      <c r="AH110" s="35">
        <f>IF(M110="","",M110*1000+Y110*10+(1000-ROW())/100000)</f>
        <v/>
      </c>
    </row>
    <row r="111" ht="34" customHeight="1">
      <c r="A111" s="23">
        <f>IF(B111="","",COUNTA($B$9:B111))</f>
        <v/>
      </c>
      <c r="B111" s="24" t="n"/>
      <c r="C111" s="25" t="n"/>
      <c r="D111" s="25" t="n"/>
      <c r="E111" s="25" t="n"/>
      <c r="F111" s="26" t="n"/>
      <c r="G111" s="26" t="n"/>
      <c r="H111" s="27" t="n"/>
      <c r="I111" s="26" t="n"/>
      <c r="J111" s="26" t="n"/>
      <c r="K111" s="26" t="n"/>
      <c r="L111" s="23">
        <f>IF(AF111&lt;4,"",Z111+AA111+AB111+AE111)</f>
        <v/>
      </c>
      <c r="M111" s="28">
        <f>IF(OR(L111="",Y111=""),"",Y111*L111)</f>
        <v/>
      </c>
      <c r="N111" s="29">
        <f>IF(M111="","",IF(M111&lt;=Gruen_bis,"grün",IF(M111&lt;=Gelb_bis,"gelb","rot")))</f>
        <v/>
      </c>
      <c r="O111" s="30">
        <f>IF(N111="",IF(B111="","","Bewertung unvollständig – ★-Felder ausfüllen"),IF(N111="grün",IF(AC111=1,IF(AD111=1,"Abgekündigt, Nachfolger vorhanden: Umstieg bei nächster Gelegenheit planen","Abgekündigt: Endbevorratung (Last-Time-Buy) prüfen, Ersatzlösung planen"),"Keine aktive Maßnahme – jährlich prüfen"),IF(AND(Z111=1,AA111=1,AB111=1),"Sofort sichern: Restbestand / Gebrauchtteil kaufen und Ersatzlösung (Retrofit) planen",IF(AND(Z111=1,AB111=1),"Reparaturweg absichern (Dienstleister, Tauschteil), Gebrauchtteil prüfen",IF(AD111=1,"Auf Nachfolgeprodukt umstellen: Kompatibilität prüfen, Umstieg planen",IF(AC111=1,IF(AB111=1,"Abgekündigt ohne Nachfolger: sofort Endbevorratung (Last-Time-Buy) und Ersatzlösung planen","Abgekündigt ohne Nachfolger: Lagerteil sichern, Ersatzlösung (Retrofit) planen"),IF(Z111=1,"Nicht beschaffbar: Lagerteil schützen, Ersatzlösung mittelfristig planen",IF(AB111=1,IF(LEFT(S111,4)="nein","Bevorratung lohnt nicht – Lieferzeit und Reparaturweg absichern","Lagerbestand anlegen (mind. 1 Stk.)"),"Reparaturmöglichkeit klären"))))))))</f>
        <v/>
      </c>
      <c r="P111" s="31" t="n"/>
      <c r="Q111" s="27" t="n"/>
      <c r="R111" s="32">
        <f>IF(OR(AG111="",Y111="",AB111=0),"",AG111*INDEX(Krit_Kosten,MATCH(F111,Krit_Liste,0)))</f>
        <v/>
      </c>
      <c r="S111" s="33">
        <f>IF(N111="","",IF(N111="grün","–",IF(AB111=0,"am Lager / in stock",IF(N(P111)&lt;=0,"Stückpreis fehlt",IF(R111&gt;=Faktor_lohnt*P111,"ja – "&amp;FIXED(R111/P111,0)&amp;"-fach","nein – "&amp;FIXED(R111/P111,IF(R111/P111&lt;1,2,1))&amp;"-fach")))))</f>
        <v/>
      </c>
      <c r="T111" s="25" t="n"/>
      <c r="U111" s="34" t="n"/>
      <c r="V111" s="27" t="n"/>
      <c r="W111" s="25" t="n"/>
      <c r="X111" s="2" t="n"/>
      <c r="Y111" s="35">
        <f>IFERROR(INDEX(Krit_Faktor,MATCH(F111,Krit_Liste,0)),"")</f>
        <v/>
      </c>
      <c r="Z111" s="35">
        <f>IF(OR(I111="nein",I111="no"),1,0)</f>
        <v/>
      </c>
      <c r="AA111" s="35">
        <f>IF(OR(J111="nein",J111="no"),1,0)</f>
        <v/>
      </c>
      <c r="AB111" s="35">
        <f>IF(OR(K111="nein",K111="no"),1,0)</f>
        <v/>
      </c>
      <c r="AC111" s="35">
        <f>IF(OR(G111="ja",G111="yes"),1,0)</f>
        <v/>
      </c>
      <c r="AD111" s="35">
        <f>IF(AND(AC111=1,OR(H111="ja",H111="yes")),1,0)</f>
        <v/>
      </c>
      <c r="AE111" s="35">
        <f>IF(AC111=1,IF(AD111=1,Pkt_Abk_mit,Pkt_Abk_ohne),0)</f>
        <v/>
      </c>
      <c r="AF111" s="35">
        <f>(G111&lt;&gt;"")+(I111&lt;&gt;"")+(J111&lt;&gt;"")+(K111&lt;&gt;"")</f>
        <v/>
      </c>
      <c r="AG111" s="35">
        <f>IF(Q111&lt;&gt;"",Q111,IF(AF111&lt;4,"",IF(Z111=1,Tage_nicht_beschaffbar,Tage_beschaffbar)))</f>
        <v/>
      </c>
      <c r="AH111" s="35">
        <f>IF(M111="","",M111*1000+Y111*10+(1000-ROW())/100000)</f>
        <v/>
      </c>
    </row>
    <row r="112" ht="34" customHeight="1">
      <c r="A112" s="23">
        <f>IF(B112="","",COUNTA($B$9:B112))</f>
        <v/>
      </c>
      <c r="B112" s="24" t="n"/>
      <c r="C112" s="25" t="n"/>
      <c r="D112" s="25" t="n"/>
      <c r="E112" s="25" t="n"/>
      <c r="F112" s="26" t="n"/>
      <c r="G112" s="26" t="n"/>
      <c r="H112" s="27" t="n"/>
      <c r="I112" s="26" t="n"/>
      <c r="J112" s="26" t="n"/>
      <c r="K112" s="26" t="n"/>
      <c r="L112" s="23">
        <f>IF(AF112&lt;4,"",Z112+AA112+AB112+AE112)</f>
        <v/>
      </c>
      <c r="M112" s="28">
        <f>IF(OR(L112="",Y112=""),"",Y112*L112)</f>
        <v/>
      </c>
      <c r="N112" s="29">
        <f>IF(M112="","",IF(M112&lt;=Gruen_bis,"grün",IF(M112&lt;=Gelb_bis,"gelb","rot")))</f>
        <v/>
      </c>
      <c r="O112" s="30">
        <f>IF(N112="",IF(B112="","","Bewertung unvollständig – ★-Felder ausfüllen"),IF(N112="grün",IF(AC112=1,IF(AD112=1,"Abgekündigt, Nachfolger vorhanden: Umstieg bei nächster Gelegenheit planen","Abgekündigt: Endbevorratung (Last-Time-Buy) prüfen, Ersatzlösung planen"),"Keine aktive Maßnahme – jährlich prüfen"),IF(AND(Z112=1,AA112=1,AB112=1),"Sofort sichern: Restbestand / Gebrauchtteil kaufen und Ersatzlösung (Retrofit) planen",IF(AND(Z112=1,AB112=1),"Reparaturweg absichern (Dienstleister, Tauschteil), Gebrauchtteil prüfen",IF(AD112=1,"Auf Nachfolgeprodukt umstellen: Kompatibilität prüfen, Umstieg planen",IF(AC112=1,IF(AB112=1,"Abgekündigt ohne Nachfolger: sofort Endbevorratung (Last-Time-Buy) und Ersatzlösung planen","Abgekündigt ohne Nachfolger: Lagerteil sichern, Ersatzlösung (Retrofit) planen"),IF(Z112=1,"Nicht beschaffbar: Lagerteil schützen, Ersatzlösung mittelfristig planen",IF(AB112=1,IF(LEFT(S112,4)="nein","Bevorratung lohnt nicht – Lieferzeit und Reparaturweg absichern","Lagerbestand anlegen (mind. 1 Stk.)"),"Reparaturmöglichkeit klären"))))))))</f>
        <v/>
      </c>
      <c r="P112" s="31" t="n"/>
      <c r="Q112" s="27" t="n"/>
      <c r="R112" s="32">
        <f>IF(OR(AG112="",Y112="",AB112=0),"",AG112*INDEX(Krit_Kosten,MATCH(F112,Krit_Liste,0)))</f>
        <v/>
      </c>
      <c r="S112" s="33">
        <f>IF(N112="","",IF(N112="grün","–",IF(AB112=0,"am Lager / in stock",IF(N(P112)&lt;=0,"Stückpreis fehlt",IF(R112&gt;=Faktor_lohnt*P112,"ja – "&amp;FIXED(R112/P112,0)&amp;"-fach","nein – "&amp;FIXED(R112/P112,IF(R112/P112&lt;1,2,1))&amp;"-fach")))))</f>
        <v/>
      </c>
      <c r="T112" s="25" t="n"/>
      <c r="U112" s="34" t="n"/>
      <c r="V112" s="27" t="n"/>
      <c r="W112" s="25" t="n"/>
      <c r="X112" s="2" t="n"/>
      <c r="Y112" s="35">
        <f>IFERROR(INDEX(Krit_Faktor,MATCH(F112,Krit_Liste,0)),"")</f>
        <v/>
      </c>
      <c r="Z112" s="35">
        <f>IF(OR(I112="nein",I112="no"),1,0)</f>
        <v/>
      </c>
      <c r="AA112" s="35">
        <f>IF(OR(J112="nein",J112="no"),1,0)</f>
        <v/>
      </c>
      <c r="AB112" s="35">
        <f>IF(OR(K112="nein",K112="no"),1,0)</f>
        <v/>
      </c>
      <c r="AC112" s="35">
        <f>IF(OR(G112="ja",G112="yes"),1,0)</f>
        <v/>
      </c>
      <c r="AD112" s="35">
        <f>IF(AND(AC112=1,OR(H112="ja",H112="yes")),1,0)</f>
        <v/>
      </c>
      <c r="AE112" s="35">
        <f>IF(AC112=1,IF(AD112=1,Pkt_Abk_mit,Pkt_Abk_ohne),0)</f>
        <v/>
      </c>
      <c r="AF112" s="35">
        <f>(G112&lt;&gt;"")+(I112&lt;&gt;"")+(J112&lt;&gt;"")+(K112&lt;&gt;"")</f>
        <v/>
      </c>
      <c r="AG112" s="35">
        <f>IF(Q112&lt;&gt;"",Q112,IF(AF112&lt;4,"",IF(Z112=1,Tage_nicht_beschaffbar,Tage_beschaffbar)))</f>
        <v/>
      </c>
      <c r="AH112" s="35">
        <f>IF(M112="","",M112*1000+Y112*10+(1000-ROW())/100000)</f>
        <v/>
      </c>
    </row>
    <row r="113" ht="34" customHeight="1">
      <c r="A113" s="23">
        <f>IF(B113="","",COUNTA($B$9:B113))</f>
        <v/>
      </c>
      <c r="B113" s="24" t="n"/>
      <c r="C113" s="25" t="n"/>
      <c r="D113" s="25" t="n"/>
      <c r="E113" s="25" t="n"/>
      <c r="F113" s="26" t="n"/>
      <c r="G113" s="26" t="n"/>
      <c r="H113" s="27" t="n"/>
      <c r="I113" s="26" t="n"/>
      <c r="J113" s="26" t="n"/>
      <c r="K113" s="26" t="n"/>
      <c r="L113" s="23">
        <f>IF(AF113&lt;4,"",Z113+AA113+AB113+AE113)</f>
        <v/>
      </c>
      <c r="M113" s="28">
        <f>IF(OR(L113="",Y113=""),"",Y113*L113)</f>
        <v/>
      </c>
      <c r="N113" s="29">
        <f>IF(M113="","",IF(M113&lt;=Gruen_bis,"grün",IF(M113&lt;=Gelb_bis,"gelb","rot")))</f>
        <v/>
      </c>
      <c r="O113" s="30">
        <f>IF(N113="",IF(B113="","","Bewertung unvollständig – ★-Felder ausfüllen"),IF(N113="grün",IF(AC113=1,IF(AD113=1,"Abgekündigt, Nachfolger vorhanden: Umstieg bei nächster Gelegenheit planen","Abgekündigt: Endbevorratung (Last-Time-Buy) prüfen, Ersatzlösung planen"),"Keine aktive Maßnahme – jährlich prüfen"),IF(AND(Z113=1,AA113=1,AB113=1),"Sofort sichern: Restbestand / Gebrauchtteil kaufen und Ersatzlösung (Retrofit) planen",IF(AND(Z113=1,AB113=1),"Reparaturweg absichern (Dienstleister, Tauschteil), Gebrauchtteil prüfen",IF(AD113=1,"Auf Nachfolgeprodukt umstellen: Kompatibilität prüfen, Umstieg planen",IF(AC113=1,IF(AB113=1,"Abgekündigt ohne Nachfolger: sofort Endbevorratung (Last-Time-Buy) und Ersatzlösung planen","Abgekündigt ohne Nachfolger: Lagerteil sichern, Ersatzlösung (Retrofit) planen"),IF(Z113=1,"Nicht beschaffbar: Lagerteil schützen, Ersatzlösung mittelfristig planen",IF(AB113=1,IF(LEFT(S113,4)="nein","Bevorratung lohnt nicht – Lieferzeit und Reparaturweg absichern","Lagerbestand anlegen (mind. 1 Stk.)"),"Reparaturmöglichkeit klären"))))))))</f>
        <v/>
      </c>
      <c r="P113" s="31" t="n"/>
      <c r="Q113" s="27" t="n"/>
      <c r="R113" s="32">
        <f>IF(OR(AG113="",Y113="",AB113=0),"",AG113*INDEX(Krit_Kosten,MATCH(F113,Krit_Liste,0)))</f>
        <v/>
      </c>
      <c r="S113" s="33">
        <f>IF(N113="","",IF(N113="grün","–",IF(AB113=0,"am Lager / in stock",IF(N(P113)&lt;=0,"Stückpreis fehlt",IF(R113&gt;=Faktor_lohnt*P113,"ja – "&amp;FIXED(R113/P113,0)&amp;"-fach","nein – "&amp;FIXED(R113/P113,IF(R113/P113&lt;1,2,1))&amp;"-fach")))))</f>
        <v/>
      </c>
      <c r="T113" s="25" t="n"/>
      <c r="U113" s="34" t="n"/>
      <c r="V113" s="27" t="n"/>
      <c r="W113" s="25" t="n"/>
      <c r="X113" s="2" t="n"/>
      <c r="Y113" s="35">
        <f>IFERROR(INDEX(Krit_Faktor,MATCH(F113,Krit_Liste,0)),"")</f>
        <v/>
      </c>
      <c r="Z113" s="35">
        <f>IF(OR(I113="nein",I113="no"),1,0)</f>
        <v/>
      </c>
      <c r="AA113" s="35">
        <f>IF(OR(J113="nein",J113="no"),1,0)</f>
        <v/>
      </c>
      <c r="AB113" s="35">
        <f>IF(OR(K113="nein",K113="no"),1,0)</f>
        <v/>
      </c>
      <c r="AC113" s="35">
        <f>IF(OR(G113="ja",G113="yes"),1,0)</f>
        <v/>
      </c>
      <c r="AD113" s="35">
        <f>IF(AND(AC113=1,OR(H113="ja",H113="yes")),1,0)</f>
        <v/>
      </c>
      <c r="AE113" s="35">
        <f>IF(AC113=1,IF(AD113=1,Pkt_Abk_mit,Pkt_Abk_ohne),0)</f>
        <v/>
      </c>
      <c r="AF113" s="35">
        <f>(G113&lt;&gt;"")+(I113&lt;&gt;"")+(J113&lt;&gt;"")+(K113&lt;&gt;"")</f>
        <v/>
      </c>
      <c r="AG113" s="35">
        <f>IF(Q113&lt;&gt;"",Q113,IF(AF113&lt;4,"",IF(Z113=1,Tage_nicht_beschaffbar,Tage_beschaffbar)))</f>
        <v/>
      </c>
      <c r="AH113" s="35">
        <f>IF(M113="","",M113*1000+Y113*10+(1000-ROW())/100000)</f>
        <v/>
      </c>
    </row>
    <row r="114" ht="34" customHeight="1">
      <c r="A114" s="23">
        <f>IF(B114="","",COUNTA($B$9:B114))</f>
        <v/>
      </c>
      <c r="B114" s="24" t="n"/>
      <c r="C114" s="25" t="n"/>
      <c r="D114" s="25" t="n"/>
      <c r="E114" s="25" t="n"/>
      <c r="F114" s="26" t="n"/>
      <c r="G114" s="26" t="n"/>
      <c r="H114" s="27" t="n"/>
      <c r="I114" s="26" t="n"/>
      <c r="J114" s="26" t="n"/>
      <c r="K114" s="26" t="n"/>
      <c r="L114" s="23">
        <f>IF(AF114&lt;4,"",Z114+AA114+AB114+AE114)</f>
        <v/>
      </c>
      <c r="M114" s="28">
        <f>IF(OR(L114="",Y114=""),"",Y114*L114)</f>
        <v/>
      </c>
      <c r="N114" s="29">
        <f>IF(M114="","",IF(M114&lt;=Gruen_bis,"grün",IF(M114&lt;=Gelb_bis,"gelb","rot")))</f>
        <v/>
      </c>
      <c r="O114" s="30">
        <f>IF(N114="",IF(B114="","","Bewertung unvollständig – ★-Felder ausfüllen"),IF(N114="grün",IF(AC114=1,IF(AD114=1,"Abgekündigt, Nachfolger vorhanden: Umstieg bei nächster Gelegenheit planen","Abgekündigt: Endbevorratung (Last-Time-Buy) prüfen, Ersatzlösung planen"),"Keine aktive Maßnahme – jährlich prüfen"),IF(AND(Z114=1,AA114=1,AB114=1),"Sofort sichern: Restbestand / Gebrauchtteil kaufen und Ersatzlösung (Retrofit) planen",IF(AND(Z114=1,AB114=1),"Reparaturweg absichern (Dienstleister, Tauschteil), Gebrauchtteil prüfen",IF(AD114=1,"Auf Nachfolgeprodukt umstellen: Kompatibilität prüfen, Umstieg planen",IF(AC114=1,IF(AB114=1,"Abgekündigt ohne Nachfolger: sofort Endbevorratung (Last-Time-Buy) und Ersatzlösung planen","Abgekündigt ohne Nachfolger: Lagerteil sichern, Ersatzlösung (Retrofit) planen"),IF(Z114=1,"Nicht beschaffbar: Lagerteil schützen, Ersatzlösung mittelfristig planen",IF(AB114=1,IF(LEFT(S114,4)="nein","Bevorratung lohnt nicht – Lieferzeit und Reparaturweg absichern","Lagerbestand anlegen (mind. 1 Stk.)"),"Reparaturmöglichkeit klären"))))))))</f>
        <v/>
      </c>
      <c r="P114" s="31" t="n"/>
      <c r="Q114" s="27" t="n"/>
      <c r="R114" s="32">
        <f>IF(OR(AG114="",Y114="",AB114=0),"",AG114*INDEX(Krit_Kosten,MATCH(F114,Krit_Liste,0)))</f>
        <v/>
      </c>
      <c r="S114" s="33">
        <f>IF(N114="","",IF(N114="grün","–",IF(AB114=0,"am Lager / in stock",IF(N(P114)&lt;=0,"Stückpreis fehlt",IF(R114&gt;=Faktor_lohnt*P114,"ja – "&amp;FIXED(R114/P114,0)&amp;"-fach","nein – "&amp;FIXED(R114/P114,IF(R114/P114&lt;1,2,1))&amp;"-fach")))))</f>
        <v/>
      </c>
      <c r="T114" s="25" t="n"/>
      <c r="U114" s="34" t="n"/>
      <c r="V114" s="27" t="n"/>
      <c r="W114" s="25" t="n"/>
      <c r="X114" s="2" t="n"/>
      <c r="Y114" s="35">
        <f>IFERROR(INDEX(Krit_Faktor,MATCH(F114,Krit_Liste,0)),"")</f>
        <v/>
      </c>
      <c r="Z114" s="35">
        <f>IF(OR(I114="nein",I114="no"),1,0)</f>
        <v/>
      </c>
      <c r="AA114" s="35">
        <f>IF(OR(J114="nein",J114="no"),1,0)</f>
        <v/>
      </c>
      <c r="AB114" s="35">
        <f>IF(OR(K114="nein",K114="no"),1,0)</f>
        <v/>
      </c>
      <c r="AC114" s="35">
        <f>IF(OR(G114="ja",G114="yes"),1,0)</f>
        <v/>
      </c>
      <c r="AD114" s="35">
        <f>IF(AND(AC114=1,OR(H114="ja",H114="yes")),1,0)</f>
        <v/>
      </c>
      <c r="AE114" s="35">
        <f>IF(AC114=1,IF(AD114=1,Pkt_Abk_mit,Pkt_Abk_ohne),0)</f>
        <v/>
      </c>
      <c r="AF114" s="35">
        <f>(G114&lt;&gt;"")+(I114&lt;&gt;"")+(J114&lt;&gt;"")+(K114&lt;&gt;"")</f>
        <v/>
      </c>
      <c r="AG114" s="35">
        <f>IF(Q114&lt;&gt;"",Q114,IF(AF114&lt;4,"",IF(Z114=1,Tage_nicht_beschaffbar,Tage_beschaffbar)))</f>
        <v/>
      </c>
      <c r="AH114" s="35">
        <f>IF(M114="","",M114*1000+Y114*10+(1000-ROW())/100000)</f>
        <v/>
      </c>
    </row>
    <row r="115" ht="34" customHeight="1">
      <c r="A115" s="23">
        <f>IF(B115="","",COUNTA($B$9:B115))</f>
        <v/>
      </c>
      <c r="B115" s="24" t="n"/>
      <c r="C115" s="25" t="n"/>
      <c r="D115" s="25" t="n"/>
      <c r="E115" s="25" t="n"/>
      <c r="F115" s="26" t="n"/>
      <c r="G115" s="26" t="n"/>
      <c r="H115" s="27" t="n"/>
      <c r="I115" s="26" t="n"/>
      <c r="J115" s="26" t="n"/>
      <c r="K115" s="26" t="n"/>
      <c r="L115" s="23">
        <f>IF(AF115&lt;4,"",Z115+AA115+AB115+AE115)</f>
        <v/>
      </c>
      <c r="M115" s="28">
        <f>IF(OR(L115="",Y115=""),"",Y115*L115)</f>
        <v/>
      </c>
      <c r="N115" s="29">
        <f>IF(M115="","",IF(M115&lt;=Gruen_bis,"grün",IF(M115&lt;=Gelb_bis,"gelb","rot")))</f>
        <v/>
      </c>
      <c r="O115" s="30">
        <f>IF(N115="",IF(B115="","","Bewertung unvollständig – ★-Felder ausfüllen"),IF(N115="grün",IF(AC115=1,IF(AD115=1,"Abgekündigt, Nachfolger vorhanden: Umstieg bei nächster Gelegenheit planen","Abgekündigt: Endbevorratung (Last-Time-Buy) prüfen, Ersatzlösung planen"),"Keine aktive Maßnahme – jährlich prüfen"),IF(AND(Z115=1,AA115=1,AB115=1),"Sofort sichern: Restbestand / Gebrauchtteil kaufen und Ersatzlösung (Retrofit) planen",IF(AND(Z115=1,AB115=1),"Reparaturweg absichern (Dienstleister, Tauschteil), Gebrauchtteil prüfen",IF(AD115=1,"Auf Nachfolgeprodukt umstellen: Kompatibilität prüfen, Umstieg planen",IF(AC115=1,IF(AB115=1,"Abgekündigt ohne Nachfolger: sofort Endbevorratung (Last-Time-Buy) und Ersatzlösung planen","Abgekündigt ohne Nachfolger: Lagerteil sichern, Ersatzlösung (Retrofit) planen"),IF(Z115=1,"Nicht beschaffbar: Lagerteil schützen, Ersatzlösung mittelfristig planen",IF(AB115=1,IF(LEFT(S115,4)="nein","Bevorratung lohnt nicht – Lieferzeit und Reparaturweg absichern","Lagerbestand anlegen (mind. 1 Stk.)"),"Reparaturmöglichkeit klären"))))))))</f>
        <v/>
      </c>
      <c r="P115" s="31" t="n"/>
      <c r="Q115" s="27" t="n"/>
      <c r="R115" s="32">
        <f>IF(OR(AG115="",Y115="",AB115=0),"",AG115*INDEX(Krit_Kosten,MATCH(F115,Krit_Liste,0)))</f>
        <v/>
      </c>
      <c r="S115" s="33">
        <f>IF(N115="","",IF(N115="grün","–",IF(AB115=0,"am Lager / in stock",IF(N(P115)&lt;=0,"Stückpreis fehlt",IF(R115&gt;=Faktor_lohnt*P115,"ja – "&amp;FIXED(R115/P115,0)&amp;"-fach","nein – "&amp;FIXED(R115/P115,IF(R115/P115&lt;1,2,1))&amp;"-fach")))))</f>
        <v/>
      </c>
      <c r="T115" s="25" t="n"/>
      <c r="U115" s="34" t="n"/>
      <c r="V115" s="27" t="n"/>
      <c r="W115" s="25" t="n"/>
      <c r="X115" s="2" t="n"/>
      <c r="Y115" s="35">
        <f>IFERROR(INDEX(Krit_Faktor,MATCH(F115,Krit_Liste,0)),"")</f>
        <v/>
      </c>
      <c r="Z115" s="35">
        <f>IF(OR(I115="nein",I115="no"),1,0)</f>
        <v/>
      </c>
      <c r="AA115" s="35">
        <f>IF(OR(J115="nein",J115="no"),1,0)</f>
        <v/>
      </c>
      <c r="AB115" s="35">
        <f>IF(OR(K115="nein",K115="no"),1,0)</f>
        <v/>
      </c>
      <c r="AC115" s="35">
        <f>IF(OR(G115="ja",G115="yes"),1,0)</f>
        <v/>
      </c>
      <c r="AD115" s="35">
        <f>IF(AND(AC115=1,OR(H115="ja",H115="yes")),1,0)</f>
        <v/>
      </c>
      <c r="AE115" s="35">
        <f>IF(AC115=1,IF(AD115=1,Pkt_Abk_mit,Pkt_Abk_ohne),0)</f>
        <v/>
      </c>
      <c r="AF115" s="35">
        <f>(G115&lt;&gt;"")+(I115&lt;&gt;"")+(J115&lt;&gt;"")+(K115&lt;&gt;"")</f>
        <v/>
      </c>
      <c r="AG115" s="35">
        <f>IF(Q115&lt;&gt;"",Q115,IF(AF115&lt;4,"",IF(Z115=1,Tage_nicht_beschaffbar,Tage_beschaffbar)))</f>
        <v/>
      </c>
      <c r="AH115" s="35">
        <f>IF(M115="","",M115*1000+Y115*10+(1000-ROW())/100000)</f>
        <v/>
      </c>
    </row>
    <row r="116" ht="34" customHeight="1">
      <c r="A116" s="23">
        <f>IF(B116="","",COUNTA($B$9:B116))</f>
        <v/>
      </c>
      <c r="B116" s="24" t="n"/>
      <c r="C116" s="25" t="n"/>
      <c r="D116" s="25" t="n"/>
      <c r="E116" s="25" t="n"/>
      <c r="F116" s="26" t="n"/>
      <c r="G116" s="26" t="n"/>
      <c r="H116" s="27" t="n"/>
      <c r="I116" s="26" t="n"/>
      <c r="J116" s="26" t="n"/>
      <c r="K116" s="26" t="n"/>
      <c r="L116" s="23">
        <f>IF(AF116&lt;4,"",Z116+AA116+AB116+AE116)</f>
        <v/>
      </c>
      <c r="M116" s="28">
        <f>IF(OR(L116="",Y116=""),"",Y116*L116)</f>
        <v/>
      </c>
      <c r="N116" s="29">
        <f>IF(M116="","",IF(M116&lt;=Gruen_bis,"grün",IF(M116&lt;=Gelb_bis,"gelb","rot")))</f>
        <v/>
      </c>
      <c r="O116" s="30">
        <f>IF(N116="",IF(B116="","","Bewertung unvollständig – ★-Felder ausfüllen"),IF(N116="grün",IF(AC116=1,IF(AD116=1,"Abgekündigt, Nachfolger vorhanden: Umstieg bei nächster Gelegenheit planen","Abgekündigt: Endbevorratung (Last-Time-Buy) prüfen, Ersatzlösung planen"),"Keine aktive Maßnahme – jährlich prüfen"),IF(AND(Z116=1,AA116=1,AB116=1),"Sofort sichern: Restbestand / Gebrauchtteil kaufen und Ersatzlösung (Retrofit) planen",IF(AND(Z116=1,AB116=1),"Reparaturweg absichern (Dienstleister, Tauschteil), Gebrauchtteil prüfen",IF(AD116=1,"Auf Nachfolgeprodukt umstellen: Kompatibilität prüfen, Umstieg planen",IF(AC116=1,IF(AB116=1,"Abgekündigt ohne Nachfolger: sofort Endbevorratung (Last-Time-Buy) und Ersatzlösung planen","Abgekündigt ohne Nachfolger: Lagerteil sichern, Ersatzlösung (Retrofit) planen"),IF(Z116=1,"Nicht beschaffbar: Lagerteil schützen, Ersatzlösung mittelfristig planen",IF(AB116=1,IF(LEFT(S116,4)="nein","Bevorratung lohnt nicht – Lieferzeit und Reparaturweg absichern","Lagerbestand anlegen (mind. 1 Stk.)"),"Reparaturmöglichkeit klären"))))))))</f>
        <v/>
      </c>
      <c r="P116" s="31" t="n"/>
      <c r="Q116" s="27" t="n"/>
      <c r="R116" s="32">
        <f>IF(OR(AG116="",Y116="",AB116=0),"",AG116*INDEX(Krit_Kosten,MATCH(F116,Krit_Liste,0)))</f>
        <v/>
      </c>
      <c r="S116" s="33">
        <f>IF(N116="","",IF(N116="grün","–",IF(AB116=0,"am Lager / in stock",IF(N(P116)&lt;=0,"Stückpreis fehlt",IF(R116&gt;=Faktor_lohnt*P116,"ja – "&amp;FIXED(R116/P116,0)&amp;"-fach","nein – "&amp;FIXED(R116/P116,IF(R116/P116&lt;1,2,1))&amp;"-fach")))))</f>
        <v/>
      </c>
      <c r="T116" s="25" t="n"/>
      <c r="U116" s="34" t="n"/>
      <c r="V116" s="27" t="n"/>
      <c r="W116" s="25" t="n"/>
      <c r="X116" s="2" t="n"/>
      <c r="Y116" s="35">
        <f>IFERROR(INDEX(Krit_Faktor,MATCH(F116,Krit_Liste,0)),"")</f>
        <v/>
      </c>
      <c r="Z116" s="35">
        <f>IF(OR(I116="nein",I116="no"),1,0)</f>
        <v/>
      </c>
      <c r="AA116" s="35">
        <f>IF(OR(J116="nein",J116="no"),1,0)</f>
        <v/>
      </c>
      <c r="AB116" s="35">
        <f>IF(OR(K116="nein",K116="no"),1,0)</f>
        <v/>
      </c>
      <c r="AC116" s="35">
        <f>IF(OR(G116="ja",G116="yes"),1,0)</f>
        <v/>
      </c>
      <c r="AD116" s="35">
        <f>IF(AND(AC116=1,OR(H116="ja",H116="yes")),1,0)</f>
        <v/>
      </c>
      <c r="AE116" s="35">
        <f>IF(AC116=1,IF(AD116=1,Pkt_Abk_mit,Pkt_Abk_ohne),0)</f>
        <v/>
      </c>
      <c r="AF116" s="35">
        <f>(G116&lt;&gt;"")+(I116&lt;&gt;"")+(J116&lt;&gt;"")+(K116&lt;&gt;"")</f>
        <v/>
      </c>
      <c r="AG116" s="35">
        <f>IF(Q116&lt;&gt;"",Q116,IF(AF116&lt;4,"",IF(Z116=1,Tage_nicht_beschaffbar,Tage_beschaffbar)))</f>
        <v/>
      </c>
      <c r="AH116" s="35">
        <f>IF(M116="","",M116*1000+Y116*10+(1000-ROW())/100000)</f>
        <v/>
      </c>
    </row>
    <row r="117" ht="34" customHeight="1">
      <c r="A117" s="23">
        <f>IF(B117="","",COUNTA($B$9:B117))</f>
        <v/>
      </c>
      <c r="B117" s="24" t="n"/>
      <c r="C117" s="25" t="n"/>
      <c r="D117" s="25" t="n"/>
      <c r="E117" s="25" t="n"/>
      <c r="F117" s="26" t="n"/>
      <c r="G117" s="26" t="n"/>
      <c r="H117" s="27" t="n"/>
      <c r="I117" s="26" t="n"/>
      <c r="J117" s="26" t="n"/>
      <c r="K117" s="26" t="n"/>
      <c r="L117" s="23">
        <f>IF(AF117&lt;4,"",Z117+AA117+AB117+AE117)</f>
        <v/>
      </c>
      <c r="M117" s="28">
        <f>IF(OR(L117="",Y117=""),"",Y117*L117)</f>
        <v/>
      </c>
      <c r="N117" s="29">
        <f>IF(M117="","",IF(M117&lt;=Gruen_bis,"grün",IF(M117&lt;=Gelb_bis,"gelb","rot")))</f>
        <v/>
      </c>
      <c r="O117" s="30">
        <f>IF(N117="",IF(B117="","","Bewertung unvollständig – ★-Felder ausfüllen"),IF(N117="grün",IF(AC117=1,IF(AD117=1,"Abgekündigt, Nachfolger vorhanden: Umstieg bei nächster Gelegenheit planen","Abgekündigt: Endbevorratung (Last-Time-Buy) prüfen, Ersatzlösung planen"),"Keine aktive Maßnahme – jährlich prüfen"),IF(AND(Z117=1,AA117=1,AB117=1),"Sofort sichern: Restbestand / Gebrauchtteil kaufen und Ersatzlösung (Retrofit) planen",IF(AND(Z117=1,AB117=1),"Reparaturweg absichern (Dienstleister, Tauschteil), Gebrauchtteil prüfen",IF(AD117=1,"Auf Nachfolgeprodukt umstellen: Kompatibilität prüfen, Umstieg planen",IF(AC117=1,IF(AB117=1,"Abgekündigt ohne Nachfolger: sofort Endbevorratung (Last-Time-Buy) und Ersatzlösung planen","Abgekündigt ohne Nachfolger: Lagerteil sichern, Ersatzlösung (Retrofit) planen"),IF(Z117=1,"Nicht beschaffbar: Lagerteil schützen, Ersatzlösung mittelfristig planen",IF(AB117=1,IF(LEFT(S117,4)="nein","Bevorratung lohnt nicht – Lieferzeit und Reparaturweg absichern","Lagerbestand anlegen (mind. 1 Stk.)"),"Reparaturmöglichkeit klären"))))))))</f>
        <v/>
      </c>
      <c r="P117" s="31" t="n"/>
      <c r="Q117" s="27" t="n"/>
      <c r="R117" s="32">
        <f>IF(OR(AG117="",Y117="",AB117=0),"",AG117*INDEX(Krit_Kosten,MATCH(F117,Krit_Liste,0)))</f>
        <v/>
      </c>
      <c r="S117" s="33">
        <f>IF(N117="","",IF(N117="grün","–",IF(AB117=0,"am Lager / in stock",IF(N(P117)&lt;=0,"Stückpreis fehlt",IF(R117&gt;=Faktor_lohnt*P117,"ja – "&amp;FIXED(R117/P117,0)&amp;"-fach","nein – "&amp;FIXED(R117/P117,IF(R117/P117&lt;1,2,1))&amp;"-fach")))))</f>
        <v/>
      </c>
      <c r="T117" s="25" t="n"/>
      <c r="U117" s="34" t="n"/>
      <c r="V117" s="27" t="n"/>
      <c r="W117" s="25" t="n"/>
      <c r="X117" s="2" t="n"/>
      <c r="Y117" s="35">
        <f>IFERROR(INDEX(Krit_Faktor,MATCH(F117,Krit_Liste,0)),"")</f>
        <v/>
      </c>
      <c r="Z117" s="35">
        <f>IF(OR(I117="nein",I117="no"),1,0)</f>
        <v/>
      </c>
      <c r="AA117" s="35">
        <f>IF(OR(J117="nein",J117="no"),1,0)</f>
        <v/>
      </c>
      <c r="AB117" s="35">
        <f>IF(OR(K117="nein",K117="no"),1,0)</f>
        <v/>
      </c>
      <c r="AC117" s="35">
        <f>IF(OR(G117="ja",G117="yes"),1,0)</f>
        <v/>
      </c>
      <c r="AD117" s="35">
        <f>IF(AND(AC117=1,OR(H117="ja",H117="yes")),1,0)</f>
        <v/>
      </c>
      <c r="AE117" s="35">
        <f>IF(AC117=1,IF(AD117=1,Pkt_Abk_mit,Pkt_Abk_ohne),0)</f>
        <v/>
      </c>
      <c r="AF117" s="35">
        <f>(G117&lt;&gt;"")+(I117&lt;&gt;"")+(J117&lt;&gt;"")+(K117&lt;&gt;"")</f>
        <v/>
      </c>
      <c r="AG117" s="35">
        <f>IF(Q117&lt;&gt;"",Q117,IF(AF117&lt;4,"",IF(Z117=1,Tage_nicht_beschaffbar,Tage_beschaffbar)))</f>
        <v/>
      </c>
      <c r="AH117" s="35">
        <f>IF(M117="","",M117*1000+Y117*10+(1000-ROW())/100000)</f>
        <v/>
      </c>
    </row>
    <row r="118" ht="34" customHeight="1">
      <c r="A118" s="23">
        <f>IF(B118="","",COUNTA($B$9:B118))</f>
        <v/>
      </c>
      <c r="B118" s="24" t="n"/>
      <c r="C118" s="25" t="n"/>
      <c r="D118" s="25" t="n"/>
      <c r="E118" s="25" t="n"/>
      <c r="F118" s="26" t="n"/>
      <c r="G118" s="26" t="n"/>
      <c r="H118" s="27" t="n"/>
      <c r="I118" s="26" t="n"/>
      <c r="J118" s="26" t="n"/>
      <c r="K118" s="26" t="n"/>
      <c r="L118" s="23">
        <f>IF(AF118&lt;4,"",Z118+AA118+AB118+AE118)</f>
        <v/>
      </c>
      <c r="M118" s="28">
        <f>IF(OR(L118="",Y118=""),"",Y118*L118)</f>
        <v/>
      </c>
      <c r="N118" s="29">
        <f>IF(M118="","",IF(M118&lt;=Gruen_bis,"grün",IF(M118&lt;=Gelb_bis,"gelb","rot")))</f>
        <v/>
      </c>
      <c r="O118" s="30">
        <f>IF(N118="",IF(B118="","","Bewertung unvollständig – ★-Felder ausfüllen"),IF(N118="grün",IF(AC118=1,IF(AD118=1,"Abgekündigt, Nachfolger vorhanden: Umstieg bei nächster Gelegenheit planen","Abgekündigt: Endbevorratung (Last-Time-Buy) prüfen, Ersatzlösung planen"),"Keine aktive Maßnahme – jährlich prüfen"),IF(AND(Z118=1,AA118=1,AB118=1),"Sofort sichern: Restbestand / Gebrauchtteil kaufen und Ersatzlösung (Retrofit) planen",IF(AND(Z118=1,AB118=1),"Reparaturweg absichern (Dienstleister, Tauschteil), Gebrauchtteil prüfen",IF(AD118=1,"Auf Nachfolgeprodukt umstellen: Kompatibilität prüfen, Umstieg planen",IF(AC118=1,IF(AB118=1,"Abgekündigt ohne Nachfolger: sofort Endbevorratung (Last-Time-Buy) und Ersatzlösung planen","Abgekündigt ohne Nachfolger: Lagerteil sichern, Ersatzlösung (Retrofit) planen"),IF(Z118=1,"Nicht beschaffbar: Lagerteil schützen, Ersatzlösung mittelfristig planen",IF(AB118=1,IF(LEFT(S118,4)="nein","Bevorratung lohnt nicht – Lieferzeit und Reparaturweg absichern","Lagerbestand anlegen (mind. 1 Stk.)"),"Reparaturmöglichkeit klären"))))))))</f>
        <v/>
      </c>
      <c r="P118" s="31" t="n"/>
      <c r="Q118" s="27" t="n"/>
      <c r="R118" s="32">
        <f>IF(OR(AG118="",Y118="",AB118=0),"",AG118*INDEX(Krit_Kosten,MATCH(F118,Krit_Liste,0)))</f>
        <v/>
      </c>
      <c r="S118" s="33">
        <f>IF(N118="","",IF(N118="grün","–",IF(AB118=0,"am Lager / in stock",IF(N(P118)&lt;=0,"Stückpreis fehlt",IF(R118&gt;=Faktor_lohnt*P118,"ja – "&amp;FIXED(R118/P118,0)&amp;"-fach","nein – "&amp;FIXED(R118/P118,IF(R118/P118&lt;1,2,1))&amp;"-fach")))))</f>
        <v/>
      </c>
      <c r="T118" s="25" t="n"/>
      <c r="U118" s="34" t="n"/>
      <c r="V118" s="27" t="n"/>
      <c r="W118" s="25" t="n"/>
      <c r="X118" s="2" t="n"/>
      <c r="Y118" s="35">
        <f>IFERROR(INDEX(Krit_Faktor,MATCH(F118,Krit_Liste,0)),"")</f>
        <v/>
      </c>
      <c r="Z118" s="35">
        <f>IF(OR(I118="nein",I118="no"),1,0)</f>
        <v/>
      </c>
      <c r="AA118" s="35">
        <f>IF(OR(J118="nein",J118="no"),1,0)</f>
        <v/>
      </c>
      <c r="AB118" s="35">
        <f>IF(OR(K118="nein",K118="no"),1,0)</f>
        <v/>
      </c>
      <c r="AC118" s="35">
        <f>IF(OR(G118="ja",G118="yes"),1,0)</f>
        <v/>
      </c>
      <c r="AD118" s="35">
        <f>IF(AND(AC118=1,OR(H118="ja",H118="yes")),1,0)</f>
        <v/>
      </c>
      <c r="AE118" s="35">
        <f>IF(AC118=1,IF(AD118=1,Pkt_Abk_mit,Pkt_Abk_ohne),0)</f>
        <v/>
      </c>
      <c r="AF118" s="35">
        <f>(G118&lt;&gt;"")+(I118&lt;&gt;"")+(J118&lt;&gt;"")+(K118&lt;&gt;"")</f>
        <v/>
      </c>
      <c r="AG118" s="35">
        <f>IF(Q118&lt;&gt;"",Q118,IF(AF118&lt;4,"",IF(Z118=1,Tage_nicht_beschaffbar,Tage_beschaffbar)))</f>
        <v/>
      </c>
      <c r="AH118" s="35">
        <f>IF(M118="","",M118*1000+Y118*10+(1000-ROW())/100000)</f>
        <v/>
      </c>
    </row>
    <row r="119" ht="34" customHeight="1">
      <c r="A119" s="23">
        <f>IF(B119="","",COUNTA($B$9:B119))</f>
        <v/>
      </c>
      <c r="B119" s="24" t="n"/>
      <c r="C119" s="25" t="n"/>
      <c r="D119" s="25" t="n"/>
      <c r="E119" s="25" t="n"/>
      <c r="F119" s="26" t="n"/>
      <c r="G119" s="26" t="n"/>
      <c r="H119" s="27" t="n"/>
      <c r="I119" s="26" t="n"/>
      <c r="J119" s="26" t="n"/>
      <c r="K119" s="26" t="n"/>
      <c r="L119" s="23">
        <f>IF(AF119&lt;4,"",Z119+AA119+AB119+AE119)</f>
        <v/>
      </c>
      <c r="M119" s="28">
        <f>IF(OR(L119="",Y119=""),"",Y119*L119)</f>
        <v/>
      </c>
      <c r="N119" s="29">
        <f>IF(M119="","",IF(M119&lt;=Gruen_bis,"grün",IF(M119&lt;=Gelb_bis,"gelb","rot")))</f>
        <v/>
      </c>
      <c r="O119" s="30">
        <f>IF(N119="",IF(B119="","","Bewertung unvollständig – ★-Felder ausfüllen"),IF(N119="grün",IF(AC119=1,IF(AD119=1,"Abgekündigt, Nachfolger vorhanden: Umstieg bei nächster Gelegenheit planen","Abgekündigt: Endbevorratung (Last-Time-Buy) prüfen, Ersatzlösung planen"),"Keine aktive Maßnahme – jährlich prüfen"),IF(AND(Z119=1,AA119=1,AB119=1),"Sofort sichern: Restbestand / Gebrauchtteil kaufen und Ersatzlösung (Retrofit) planen",IF(AND(Z119=1,AB119=1),"Reparaturweg absichern (Dienstleister, Tauschteil), Gebrauchtteil prüfen",IF(AD119=1,"Auf Nachfolgeprodukt umstellen: Kompatibilität prüfen, Umstieg planen",IF(AC119=1,IF(AB119=1,"Abgekündigt ohne Nachfolger: sofort Endbevorratung (Last-Time-Buy) und Ersatzlösung planen","Abgekündigt ohne Nachfolger: Lagerteil sichern, Ersatzlösung (Retrofit) planen"),IF(Z119=1,"Nicht beschaffbar: Lagerteil schützen, Ersatzlösung mittelfristig planen",IF(AB119=1,IF(LEFT(S119,4)="nein","Bevorratung lohnt nicht – Lieferzeit und Reparaturweg absichern","Lagerbestand anlegen (mind. 1 Stk.)"),"Reparaturmöglichkeit klären"))))))))</f>
        <v/>
      </c>
      <c r="P119" s="31" t="n"/>
      <c r="Q119" s="27" t="n"/>
      <c r="R119" s="32">
        <f>IF(OR(AG119="",Y119="",AB119=0),"",AG119*INDEX(Krit_Kosten,MATCH(F119,Krit_Liste,0)))</f>
        <v/>
      </c>
      <c r="S119" s="33">
        <f>IF(N119="","",IF(N119="grün","–",IF(AB119=0,"am Lager / in stock",IF(N(P119)&lt;=0,"Stückpreis fehlt",IF(R119&gt;=Faktor_lohnt*P119,"ja – "&amp;FIXED(R119/P119,0)&amp;"-fach","nein – "&amp;FIXED(R119/P119,IF(R119/P119&lt;1,2,1))&amp;"-fach")))))</f>
        <v/>
      </c>
      <c r="T119" s="25" t="n"/>
      <c r="U119" s="34" t="n"/>
      <c r="V119" s="27" t="n"/>
      <c r="W119" s="25" t="n"/>
      <c r="X119" s="2" t="n"/>
      <c r="Y119" s="35">
        <f>IFERROR(INDEX(Krit_Faktor,MATCH(F119,Krit_Liste,0)),"")</f>
        <v/>
      </c>
      <c r="Z119" s="35">
        <f>IF(OR(I119="nein",I119="no"),1,0)</f>
        <v/>
      </c>
      <c r="AA119" s="35">
        <f>IF(OR(J119="nein",J119="no"),1,0)</f>
        <v/>
      </c>
      <c r="AB119" s="35">
        <f>IF(OR(K119="nein",K119="no"),1,0)</f>
        <v/>
      </c>
      <c r="AC119" s="35">
        <f>IF(OR(G119="ja",G119="yes"),1,0)</f>
        <v/>
      </c>
      <c r="AD119" s="35">
        <f>IF(AND(AC119=1,OR(H119="ja",H119="yes")),1,0)</f>
        <v/>
      </c>
      <c r="AE119" s="35">
        <f>IF(AC119=1,IF(AD119=1,Pkt_Abk_mit,Pkt_Abk_ohne),0)</f>
        <v/>
      </c>
      <c r="AF119" s="35">
        <f>(G119&lt;&gt;"")+(I119&lt;&gt;"")+(J119&lt;&gt;"")+(K119&lt;&gt;"")</f>
        <v/>
      </c>
      <c r="AG119" s="35">
        <f>IF(Q119&lt;&gt;"",Q119,IF(AF119&lt;4,"",IF(Z119=1,Tage_nicht_beschaffbar,Tage_beschaffbar)))</f>
        <v/>
      </c>
      <c r="AH119" s="35">
        <f>IF(M119="","",M119*1000+Y119*10+(1000-ROW())/100000)</f>
        <v/>
      </c>
    </row>
    <row r="120" ht="34" customHeight="1">
      <c r="A120" s="23">
        <f>IF(B120="","",COUNTA($B$9:B120))</f>
        <v/>
      </c>
      <c r="B120" s="24" t="n"/>
      <c r="C120" s="25" t="n"/>
      <c r="D120" s="25" t="n"/>
      <c r="E120" s="25" t="n"/>
      <c r="F120" s="26" t="n"/>
      <c r="G120" s="26" t="n"/>
      <c r="H120" s="27" t="n"/>
      <c r="I120" s="26" t="n"/>
      <c r="J120" s="26" t="n"/>
      <c r="K120" s="26" t="n"/>
      <c r="L120" s="23">
        <f>IF(AF120&lt;4,"",Z120+AA120+AB120+AE120)</f>
        <v/>
      </c>
      <c r="M120" s="28">
        <f>IF(OR(L120="",Y120=""),"",Y120*L120)</f>
        <v/>
      </c>
      <c r="N120" s="29">
        <f>IF(M120="","",IF(M120&lt;=Gruen_bis,"grün",IF(M120&lt;=Gelb_bis,"gelb","rot")))</f>
        <v/>
      </c>
      <c r="O120" s="30">
        <f>IF(N120="",IF(B120="","","Bewertung unvollständig – ★-Felder ausfüllen"),IF(N120="grün",IF(AC120=1,IF(AD120=1,"Abgekündigt, Nachfolger vorhanden: Umstieg bei nächster Gelegenheit planen","Abgekündigt: Endbevorratung (Last-Time-Buy) prüfen, Ersatzlösung planen"),"Keine aktive Maßnahme – jährlich prüfen"),IF(AND(Z120=1,AA120=1,AB120=1),"Sofort sichern: Restbestand / Gebrauchtteil kaufen und Ersatzlösung (Retrofit) planen",IF(AND(Z120=1,AB120=1),"Reparaturweg absichern (Dienstleister, Tauschteil), Gebrauchtteil prüfen",IF(AD120=1,"Auf Nachfolgeprodukt umstellen: Kompatibilität prüfen, Umstieg planen",IF(AC120=1,IF(AB120=1,"Abgekündigt ohne Nachfolger: sofort Endbevorratung (Last-Time-Buy) und Ersatzlösung planen","Abgekündigt ohne Nachfolger: Lagerteil sichern, Ersatzlösung (Retrofit) planen"),IF(Z120=1,"Nicht beschaffbar: Lagerteil schützen, Ersatzlösung mittelfristig planen",IF(AB120=1,IF(LEFT(S120,4)="nein","Bevorratung lohnt nicht – Lieferzeit und Reparaturweg absichern","Lagerbestand anlegen (mind. 1 Stk.)"),"Reparaturmöglichkeit klären"))))))))</f>
        <v/>
      </c>
      <c r="P120" s="31" t="n"/>
      <c r="Q120" s="27" t="n"/>
      <c r="R120" s="32">
        <f>IF(OR(AG120="",Y120="",AB120=0),"",AG120*INDEX(Krit_Kosten,MATCH(F120,Krit_Liste,0)))</f>
        <v/>
      </c>
      <c r="S120" s="33">
        <f>IF(N120="","",IF(N120="grün","–",IF(AB120=0,"am Lager / in stock",IF(N(P120)&lt;=0,"Stückpreis fehlt",IF(R120&gt;=Faktor_lohnt*P120,"ja – "&amp;FIXED(R120/P120,0)&amp;"-fach","nein – "&amp;FIXED(R120/P120,IF(R120/P120&lt;1,2,1))&amp;"-fach")))))</f>
        <v/>
      </c>
      <c r="T120" s="25" t="n"/>
      <c r="U120" s="34" t="n"/>
      <c r="V120" s="27" t="n"/>
      <c r="W120" s="25" t="n"/>
      <c r="X120" s="2" t="n"/>
      <c r="Y120" s="35">
        <f>IFERROR(INDEX(Krit_Faktor,MATCH(F120,Krit_Liste,0)),"")</f>
        <v/>
      </c>
      <c r="Z120" s="35">
        <f>IF(OR(I120="nein",I120="no"),1,0)</f>
        <v/>
      </c>
      <c r="AA120" s="35">
        <f>IF(OR(J120="nein",J120="no"),1,0)</f>
        <v/>
      </c>
      <c r="AB120" s="35">
        <f>IF(OR(K120="nein",K120="no"),1,0)</f>
        <v/>
      </c>
      <c r="AC120" s="35">
        <f>IF(OR(G120="ja",G120="yes"),1,0)</f>
        <v/>
      </c>
      <c r="AD120" s="35">
        <f>IF(AND(AC120=1,OR(H120="ja",H120="yes")),1,0)</f>
        <v/>
      </c>
      <c r="AE120" s="35">
        <f>IF(AC120=1,IF(AD120=1,Pkt_Abk_mit,Pkt_Abk_ohne),0)</f>
        <v/>
      </c>
      <c r="AF120" s="35">
        <f>(G120&lt;&gt;"")+(I120&lt;&gt;"")+(J120&lt;&gt;"")+(K120&lt;&gt;"")</f>
        <v/>
      </c>
      <c r="AG120" s="35">
        <f>IF(Q120&lt;&gt;"",Q120,IF(AF120&lt;4,"",IF(Z120=1,Tage_nicht_beschaffbar,Tage_beschaffbar)))</f>
        <v/>
      </c>
      <c r="AH120" s="35">
        <f>IF(M120="","",M120*1000+Y120*10+(1000-ROW())/100000)</f>
        <v/>
      </c>
    </row>
    <row r="121" ht="34" customHeight="1">
      <c r="A121" s="23">
        <f>IF(B121="","",COUNTA($B$9:B121))</f>
        <v/>
      </c>
      <c r="B121" s="24" t="n"/>
      <c r="C121" s="25" t="n"/>
      <c r="D121" s="25" t="n"/>
      <c r="E121" s="25" t="n"/>
      <c r="F121" s="26" t="n"/>
      <c r="G121" s="26" t="n"/>
      <c r="H121" s="27" t="n"/>
      <c r="I121" s="26" t="n"/>
      <c r="J121" s="26" t="n"/>
      <c r="K121" s="26" t="n"/>
      <c r="L121" s="23">
        <f>IF(AF121&lt;4,"",Z121+AA121+AB121+AE121)</f>
        <v/>
      </c>
      <c r="M121" s="28">
        <f>IF(OR(L121="",Y121=""),"",Y121*L121)</f>
        <v/>
      </c>
      <c r="N121" s="29">
        <f>IF(M121="","",IF(M121&lt;=Gruen_bis,"grün",IF(M121&lt;=Gelb_bis,"gelb","rot")))</f>
        <v/>
      </c>
      <c r="O121" s="30">
        <f>IF(N121="",IF(B121="","","Bewertung unvollständig – ★-Felder ausfüllen"),IF(N121="grün",IF(AC121=1,IF(AD121=1,"Abgekündigt, Nachfolger vorhanden: Umstieg bei nächster Gelegenheit planen","Abgekündigt: Endbevorratung (Last-Time-Buy) prüfen, Ersatzlösung planen"),"Keine aktive Maßnahme – jährlich prüfen"),IF(AND(Z121=1,AA121=1,AB121=1),"Sofort sichern: Restbestand / Gebrauchtteil kaufen und Ersatzlösung (Retrofit) planen",IF(AND(Z121=1,AB121=1),"Reparaturweg absichern (Dienstleister, Tauschteil), Gebrauchtteil prüfen",IF(AD121=1,"Auf Nachfolgeprodukt umstellen: Kompatibilität prüfen, Umstieg planen",IF(AC121=1,IF(AB121=1,"Abgekündigt ohne Nachfolger: sofort Endbevorratung (Last-Time-Buy) und Ersatzlösung planen","Abgekündigt ohne Nachfolger: Lagerteil sichern, Ersatzlösung (Retrofit) planen"),IF(Z121=1,"Nicht beschaffbar: Lagerteil schützen, Ersatzlösung mittelfristig planen",IF(AB121=1,IF(LEFT(S121,4)="nein","Bevorratung lohnt nicht – Lieferzeit und Reparaturweg absichern","Lagerbestand anlegen (mind. 1 Stk.)"),"Reparaturmöglichkeit klären"))))))))</f>
        <v/>
      </c>
      <c r="P121" s="31" t="n"/>
      <c r="Q121" s="27" t="n"/>
      <c r="R121" s="32">
        <f>IF(OR(AG121="",Y121="",AB121=0),"",AG121*INDEX(Krit_Kosten,MATCH(F121,Krit_Liste,0)))</f>
        <v/>
      </c>
      <c r="S121" s="33">
        <f>IF(N121="","",IF(N121="grün","–",IF(AB121=0,"am Lager / in stock",IF(N(P121)&lt;=0,"Stückpreis fehlt",IF(R121&gt;=Faktor_lohnt*P121,"ja – "&amp;FIXED(R121/P121,0)&amp;"-fach","nein – "&amp;FIXED(R121/P121,IF(R121/P121&lt;1,2,1))&amp;"-fach")))))</f>
        <v/>
      </c>
      <c r="T121" s="25" t="n"/>
      <c r="U121" s="34" t="n"/>
      <c r="V121" s="27" t="n"/>
      <c r="W121" s="25" t="n"/>
      <c r="X121" s="2" t="n"/>
      <c r="Y121" s="35">
        <f>IFERROR(INDEX(Krit_Faktor,MATCH(F121,Krit_Liste,0)),"")</f>
        <v/>
      </c>
      <c r="Z121" s="35">
        <f>IF(OR(I121="nein",I121="no"),1,0)</f>
        <v/>
      </c>
      <c r="AA121" s="35">
        <f>IF(OR(J121="nein",J121="no"),1,0)</f>
        <v/>
      </c>
      <c r="AB121" s="35">
        <f>IF(OR(K121="nein",K121="no"),1,0)</f>
        <v/>
      </c>
      <c r="AC121" s="35">
        <f>IF(OR(G121="ja",G121="yes"),1,0)</f>
        <v/>
      </c>
      <c r="AD121" s="35">
        <f>IF(AND(AC121=1,OR(H121="ja",H121="yes")),1,0)</f>
        <v/>
      </c>
      <c r="AE121" s="35">
        <f>IF(AC121=1,IF(AD121=1,Pkt_Abk_mit,Pkt_Abk_ohne),0)</f>
        <v/>
      </c>
      <c r="AF121" s="35">
        <f>(G121&lt;&gt;"")+(I121&lt;&gt;"")+(J121&lt;&gt;"")+(K121&lt;&gt;"")</f>
        <v/>
      </c>
      <c r="AG121" s="35">
        <f>IF(Q121&lt;&gt;"",Q121,IF(AF121&lt;4,"",IF(Z121=1,Tage_nicht_beschaffbar,Tage_beschaffbar)))</f>
        <v/>
      </c>
      <c r="AH121" s="35">
        <f>IF(M121="","",M121*1000+Y121*10+(1000-ROW())/100000)</f>
        <v/>
      </c>
    </row>
    <row r="122" ht="34" customHeight="1">
      <c r="A122" s="23">
        <f>IF(B122="","",COUNTA($B$9:B122))</f>
        <v/>
      </c>
      <c r="B122" s="24" t="n"/>
      <c r="C122" s="25" t="n"/>
      <c r="D122" s="25" t="n"/>
      <c r="E122" s="25" t="n"/>
      <c r="F122" s="26" t="n"/>
      <c r="G122" s="26" t="n"/>
      <c r="H122" s="27" t="n"/>
      <c r="I122" s="26" t="n"/>
      <c r="J122" s="26" t="n"/>
      <c r="K122" s="26" t="n"/>
      <c r="L122" s="23">
        <f>IF(AF122&lt;4,"",Z122+AA122+AB122+AE122)</f>
        <v/>
      </c>
      <c r="M122" s="28">
        <f>IF(OR(L122="",Y122=""),"",Y122*L122)</f>
        <v/>
      </c>
      <c r="N122" s="29">
        <f>IF(M122="","",IF(M122&lt;=Gruen_bis,"grün",IF(M122&lt;=Gelb_bis,"gelb","rot")))</f>
        <v/>
      </c>
      <c r="O122" s="30">
        <f>IF(N122="",IF(B122="","","Bewertung unvollständig – ★-Felder ausfüllen"),IF(N122="grün",IF(AC122=1,IF(AD122=1,"Abgekündigt, Nachfolger vorhanden: Umstieg bei nächster Gelegenheit planen","Abgekündigt: Endbevorratung (Last-Time-Buy) prüfen, Ersatzlösung planen"),"Keine aktive Maßnahme – jährlich prüfen"),IF(AND(Z122=1,AA122=1,AB122=1),"Sofort sichern: Restbestand / Gebrauchtteil kaufen und Ersatzlösung (Retrofit) planen",IF(AND(Z122=1,AB122=1),"Reparaturweg absichern (Dienstleister, Tauschteil), Gebrauchtteil prüfen",IF(AD122=1,"Auf Nachfolgeprodukt umstellen: Kompatibilität prüfen, Umstieg planen",IF(AC122=1,IF(AB122=1,"Abgekündigt ohne Nachfolger: sofort Endbevorratung (Last-Time-Buy) und Ersatzlösung planen","Abgekündigt ohne Nachfolger: Lagerteil sichern, Ersatzlösung (Retrofit) planen"),IF(Z122=1,"Nicht beschaffbar: Lagerteil schützen, Ersatzlösung mittelfristig planen",IF(AB122=1,IF(LEFT(S122,4)="nein","Bevorratung lohnt nicht – Lieferzeit und Reparaturweg absichern","Lagerbestand anlegen (mind. 1 Stk.)"),"Reparaturmöglichkeit klären"))))))))</f>
        <v/>
      </c>
      <c r="P122" s="31" t="n"/>
      <c r="Q122" s="27" t="n"/>
      <c r="R122" s="32">
        <f>IF(OR(AG122="",Y122="",AB122=0),"",AG122*INDEX(Krit_Kosten,MATCH(F122,Krit_Liste,0)))</f>
        <v/>
      </c>
      <c r="S122" s="33">
        <f>IF(N122="","",IF(N122="grün","–",IF(AB122=0,"am Lager / in stock",IF(N(P122)&lt;=0,"Stückpreis fehlt",IF(R122&gt;=Faktor_lohnt*P122,"ja – "&amp;FIXED(R122/P122,0)&amp;"-fach","nein – "&amp;FIXED(R122/P122,IF(R122/P122&lt;1,2,1))&amp;"-fach")))))</f>
        <v/>
      </c>
      <c r="T122" s="25" t="n"/>
      <c r="U122" s="34" t="n"/>
      <c r="V122" s="27" t="n"/>
      <c r="W122" s="25" t="n"/>
      <c r="X122" s="2" t="n"/>
      <c r="Y122" s="35">
        <f>IFERROR(INDEX(Krit_Faktor,MATCH(F122,Krit_Liste,0)),"")</f>
        <v/>
      </c>
      <c r="Z122" s="35">
        <f>IF(OR(I122="nein",I122="no"),1,0)</f>
        <v/>
      </c>
      <c r="AA122" s="35">
        <f>IF(OR(J122="nein",J122="no"),1,0)</f>
        <v/>
      </c>
      <c r="AB122" s="35">
        <f>IF(OR(K122="nein",K122="no"),1,0)</f>
        <v/>
      </c>
      <c r="AC122" s="35">
        <f>IF(OR(G122="ja",G122="yes"),1,0)</f>
        <v/>
      </c>
      <c r="AD122" s="35">
        <f>IF(AND(AC122=1,OR(H122="ja",H122="yes")),1,0)</f>
        <v/>
      </c>
      <c r="AE122" s="35">
        <f>IF(AC122=1,IF(AD122=1,Pkt_Abk_mit,Pkt_Abk_ohne),0)</f>
        <v/>
      </c>
      <c r="AF122" s="35">
        <f>(G122&lt;&gt;"")+(I122&lt;&gt;"")+(J122&lt;&gt;"")+(K122&lt;&gt;"")</f>
        <v/>
      </c>
      <c r="AG122" s="35">
        <f>IF(Q122&lt;&gt;"",Q122,IF(AF122&lt;4,"",IF(Z122=1,Tage_nicht_beschaffbar,Tage_beschaffbar)))</f>
        <v/>
      </c>
      <c r="AH122" s="35">
        <f>IF(M122="","",M122*1000+Y122*10+(1000-ROW())/100000)</f>
        <v/>
      </c>
    </row>
    <row r="123" ht="34" customHeight="1">
      <c r="A123" s="23">
        <f>IF(B123="","",COUNTA($B$9:B123))</f>
        <v/>
      </c>
      <c r="B123" s="24" t="n"/>
      <c r="C123" s="25" t="n"/>
      <c r="D123" s="25" t="n"/>
      <c r="E123" s="25" t="n"/>
      <c r="F123" s="26" t="n"/>
      <c r="G123" s="26" t="n"/>
      <c r="H123" s="27" t="n"/>
      <c r="I123" s="26" t="n"/>
      <c r="J123" s="26" t="n"/>
      <c r="K123" s="26" t="n"/>
      <c r="L123" s="23">
        <f>IF(AF123&lt;4,"",Z123+AA123+AB123+AE123)</f>
        <v/>
      </c>
      <c r="M123" s="28">
        <f>IF(OR(L123="",Y123=""),"",Y123*L123)</f>
        <v/>
      </c>
      <c r="N123" s="29">
        <f>IF(M123="","",IF(M123&lt;=Gruen_bis,"grün",IF(M123&lt;=Gelb_bis,"gelb","rot")))</f>
        <v/>
      </c>
      <c r="O123" s="30">
        <f>IF(N123="",IF(B123="","","Bewertung unvollständig – ★-Felder ausfüllen"),IF(N123="grün",IF(AC123=1,IF(AD123=1,"Abgekündigt, Nachfolger vorhanden: Umstieg bei nächster Gelegenheit planen","Abgekündigt: Endbevorratung (Last-Time-Buy) prüfen, Ersatzlösung planen"),"Keine aktive Maßnahme – jährlich prüfen"),IF(AND(Z123=1,AA123=1,AB123=1),"Sofort sichern: Restbestand / Gebrauchtteil kaufen und Ersatzlösung (Retrofit) planen",IF(AND(Z123=1,AB123=1),"Reparaturweg absichern (Dienstleister, Tauschteil), Gebrauchtteil prüfen",IF(AD123=1,"Auf Nachfolgeprodukt umstellen: Kompatibilität prüfen, Umstieg planen",IF(AC123=1,IF(AB123=1,"Abgekündigt ohne Nachfolger: sofort Endbevorratung (Last-Time-Buy) und Ersatzlösung planen","Abgekündigt ohne Nachfolger: Lagerteil sichern, Ersatzlösung (Retrofit) planen"),IF(Z123=1,"Nicht beschaffbar: Lagerteil schützen, Ersatzlösung mittelfristig planen",IF(AB123=1,IF(LEFT(S123,4)="nein","Bevorratung lohnt nicht – Lieferzeit und Reparaturweg absichern","Lagerbestand anlegen (mind. 1 Stk.)"),"Reparaturmöglichkeit klären"))))))))</f>
        <v/>
      </c>
      <c r="P123" s="31" t="n"/>
      <c r="Q123" s="27" t="n"/>
      <c r="R123" s="32">
        <f>IF(OR(AG123="",Y123="",AB123=0),"",AG123*INDEX(Krit_Kosten,MATCH(F123,Krit_Liste,0)))</f>
        <v/>
      </c>
      <c r="S123" s="33">
        <f>IF(N123="","",IF(N123="grün","–",IF(AB123=0,"am Lager / in stock",IF(N(P123)&lt;=0,"Stückpreis fehlt",IF(R123&gt;=Faktor_lohnt*P123,"ja – "&amp;FIXED(R123/P123,0)&amp;"-fach","nein – "&amp;FIXED(R123/P123,IF(R123/P123&lt;1,2,1))&amp;"-fach")))))</f>
        <v/>
      </c>
      <c r="T123" s="25" t="n"/>
      <c r="U123" s="34" t="n"/>
      <c r="V123" s="27" t="n"/>
      <c r="W123" s="25" t="n"/>
      <c r="X123" s="2" t="n"/>
      <c r="Y123" s="35">
        <f>IFERROR(INDEX(Krit_Faktor,MATCH(F123,Krit_Liste,0)),"")</f>
        <v/>
      </c>
      <c r="Z123" s="35">
        <f>IF(OR(I123="nein",I123="no"),1,0)</f>
        <v/>
      </c>
      <c r="AA123" s="35">
        <f>IF(OR(J123="nein",J123="no"),1,0)</f>
        <v/>
      </c>
      <c r="AB123" s="35">
        <f>IF(OR(K123="nein",K123="no"),1,0)</f>
        <v/>
      </c>
      <c r="AC123" s="35">
        <f>IF(OR(G123="ja",G123="yes"),1,0)</f>
        <v/>
      </c>
      <c r="AD123" s="35">
        <f>IF(AND(AC123=1,OR(H123="ja",H123="yes")),1,0)</f>
        <v/>
      </c>
      <c r="AE123" s="35">
        <f>IF(AC123=1,IF(AD123=1,Pkt_Abk_mit,Pkt_Abk_ohne),0)</f>
        <v/>
      </c>
      <c r="AF123" s="35">
        <f>(G123&lt;&gt;"")+(I123&lt;&gt;"")+(J123&lt;&gt;"")+(K123&lt;&gt;"")</f>
        <v/>
      </c>
      <c r="AG123" s="35">
        <f>IF(Q123&lt;&gt;"",Q123,IF(AF123&lt;4,"",IF(Z123=1,Tage_nicht_beschaffbar,Tage_beschaffbar)))</f>
        <v/>
      </c>
      <c r="AH123" s="35">
        <f>IF(M123="","",M123*1000+Y123*10+(1000-ROW())/100000)</f>
        <v/>
      </c>
    </row>
    <row r="124" ht="34" customHeight="1">
      <c r="A124" s="23">
        <f>IF(B124="","",COUNTA($B$9:B124))</f>
        <v/>
      </c>
      <c r="B124" s="24" t="n"/>
      <c r="C124" s="25" t="n"/>
      <c r="D124" s="25" t="n"/>
      <c r="E124" s="25" t="n"/>
      <c r="F124" s="26" t="n"/>
      <c r="G124" s="26" t="n"/>
      <c r="H124" s="27" t="n"/>
      <c r="I124" s="26" t="n"/>
      <c r="J124" s="26" t="n"/>
      <c r="K124" s="26" t="n"/>
      <c r="L124" s="23">
        <f>IF(AF124&lt;4,"",Z124+AA124+AB124+AE124)</f>
        <v/>
      </c>
      <c r="M124" s="28">
        <f>IF(OR(L124="",Y124=""),"",Y124*L124)</f>
        <v/>
      </c>
      <c r="N124" s="29">
        <f>IF(M124="","",IF(M124&lt;=Gruen_bis,"grün",IF(M124&lt;=Gelb_bis,"gelb","rot")))</f>
        <v/>
      </c>
      <c r="O124" s="30">
        <f>IF(N124="",IF(B124="","","Bewertung unvollständig – ★-Felder ausfüllen"),IF(N124="grün",IF(AC124=1,IF(AD124=1,"Abgekündigt, Nachfolger vorhanden: Umstieg bei nächster Gelegenheit planen","Abgekündigt: Endbevorratung (Last-Time-Buy) prüfen, Ersatzlösung planen"),"Keine aktive Maßnahme – jährlich prüfen"),IF(AND(Z124=1,AA124=1,AB124=1),"Sofort sichern: Restbestand / Gebrauchtteil kaufen und Ersatzlösung (Retrofit) planen",IF(AND(Z124=1,AB124=1),"Reparaturweg absichern (Dienstleister, Tauschteil), Gebrauchtteil prüfen",IF(AD124=1,"Auf Nachfolgeprodukt umstellen: Kompatibilität prüfen, Umstieg planen",IF(AC124=1,IF(AB124=1,"Abgekündigt ohne Nachfolger: sofort Endbevorratung (Last-Time-Buy) und Ersatzlösung planen","Abgekündigt ohne Nachfolger: Lagerteil sichern, Ersatzlösung (Retrofit) planen"),IF(Z124=1,"Nicht beschaffbar: Lagerteil schützen, Ersatzlösung mittelfristig planen",IF(AB124=1,IF(LEFT(S124,4)="nein","Bevorratung lohnt nicht – Lieferzeit und Reparaturweg absichern","Lagerbestand anlegen (mind. 1 Stk.)"),"Reparaturmöglichkeit klären"))))))))</f>
        <v/>
      </c>
      <c r="P124" s="31" t="n"/>
      <c r="Q124" s="27" t="n"/>
      <c r="R124" s="32">
        <f>IF(OR(AG124="",Y124="",AB124=0),"",AG124*INDEX(Krit_Kosten,MATCH(F124,Krit_Liste,0)))</f>
        <v/>
      </c>
      <c r="S124" s="33">
        <f>IF(N124="","",IF(N124="grün","–",IF(AB124=0,"am Lager / in stock",IF(N(P124)&lt;=0,"Stückpreis fehlt",IF(R124&gt;=Faktor_lohnt*P124,"ja – "&amp;FIXED(R124/P124,0)&amp;"-fach","nein – "&amp;FIXED(R124/P124,IF(R124/P124&lt;1,2,1))&amp;"-fach")))))</f>
        <v/>
      </c>
      <c r="T124" s="25" t="n"/>
      <c r="U124" s="34" t="n"/>
      <c r="V124" s="27" t="n"/>
      <c r="W124" s="25" t="n"/>
      <c r="X124" s="2" t="n"/>
      <c r="Y124" s="35">
        <f>IFERROR(INDEX(Krit_Faktor,MATCH(F124,Krit_Liste,0)),"")</f>
        <v/>
      </c>
      <c r="Z124" s="35">
        <f>IF(OR(I124="nein",I124="no"),1,0)</f>
        <v/>
      </c>
      <c r="AA124" s="35">
        <f>IF(OR(J124="nein",J124="no"),1,0)</f>
        <v/>
      </c>
      <c r="AB124" s="35">
        <f>IF(OR(K124="nein",K124="no"),1,0)</f>
        <v/>
      </c>
      <c r="AC124" s="35">
        <f>IF(OR(G124="ja",G124="yes"),1,0)</f>
        <v/>
      </c>
      <c r="AD124" s="35">
        <f>IF(AND(AC124=1,OR(H124="ja",H124="yes")),1,0)</f>
        <v/>
      </c>
      <c r="AE124" s="35">
        <f>IF(AC124=1,IF(AD124=1,Pkt_Abk_mit,Pkt_Abk_ohne),0)</f>
        <v/>
      </c>
      <c r="AF124" s="35">
        <f>(G124&lt;&gt;"")+(I124&lt;&gt;"")+(J124&lt;&gt;"")+(K124&lt;&gt;"")</f>
        <v/>
      </c>
      <c r="AG124" s="35">
        <f>IF(Q124&lt;&gt;"",Q124,IF(AF124&lt;4,"",IF(Z124=1,Tage_nicht_beschaffbar,Tage_beschaffbar)))</f>
        <v/>
      </c>
      <c r="AH124" s="35">
        <f>IF(M124="","",M124*1000+Y124*10+(1000-ROW())/100000)</f>
        <v/>
      </c>
    </row>
    <row r="125" ht="34" customHeight="1">
      <c r="A125" s="23">
        <f>IF(B125="","",COUNTA($B$9:B125))</f>
        <v/>
      </c>
      <c r="B125" s="24" t="n"/>
      <c r="C125" s="25" t="n"/>
      <c r="D125" s="25" t="n"/>
      <c r="E125" s="25" t="n"/>
      <c r="F125" s="26" t="n"/>
      <c r="G125" s="26" t="n"/>
      <c r="H125" s="27" t="n"/>
      <c r="I125" s="26" t="n"/>
      <c r="J125" s="26" t="n"/>
      <c r="K125" s="26" t="n"/>
      <c r="L125" s="23">
        <f>IF(AF125&lt;4,"",Z125+AA125+AB125+AE125)</f>
        <v/>
      </c>
      <c r="M125" s="28">
        <f>IF(OR(L125="",Y125=""),"",Y125*L125)</f>
        <v/>
      </c>
      <c r="N125" s="29">
        <f>IF(M125="","",IF(M125&lt;=Gruen_bis,"grün",IF(M125&lt;=Gelb_bis,"gelb","rot")))</f>
        <v/>
      </c>
      <c r="O125" s="30">
        <f>IF(N125="",IF(B125="","","Bewertung unvollständig – ★-Felder ausfüllen"),IF(N125="grün",IF(AC125=1,IF(AD125=1,"Abgekündigt, Nachfolger vorhanden: Umstieg bei nächster Gelegenheit planen","Abgekündigt: Endbevorratung (Last-Time-Buy) prüfen, Ersatzlösung planen"),"Keine aktive Maßnahme – jährlich prüfen"),IF(AND(Z125=1,AA125=1,AB125=1),"Sofort sichern: Restbestand / Gebrauchtteil kaufen und Ersatzlösung (Retrofit) planen",IF(AND(Z125=1,AB125=1),"Reparaturweg absichern (Dienstleister, Tauschteil), Gebrauchtteil prüfen",IF(AD125=1,"Auf Nachfolgeprodukt umstellen: Kompatibilität prüfen, Umstieg planen",IF(AC125=1,IF(AB125=1,"Abgekündigt ohne Nachfolger: sofort Endbevorratung (Last-Time-Buy) und Ersatzlösung planen","Abgekündigt ohne Nachfolger: Lagerteil sichern, Ersatzlösung (Retrofit) planen"),IF(Z125=1,"Nicht beschaffbar: Lagerteil schützen, Ersatzlösung mittelfristig planen",IF(AB125=1,IF(LEFT(S125,4)="nein","Bevorratung lohnt nicht – Lieferzeit und Reparaturweg absichern","Lagerbestand anlegen (mind. 1 Stk.)"),"Reparaturmöglichkeit klären"))))))))</f>
        <v/>
      </c>
      <c r="P125" s="31" t="n"/>
      <c r="Q125" s="27" t="n"/>
      <c r="R125" s="32">
        <f>IF(OR(AG125="",Y125="",AB125=0),"",AG125*INDEX(Krit_Kosten,MATCH(F125,Krit_Liste,0)))</f>
        <v/>
      </c>
      <c r="S125" s="33">
        <f>IF(N125="","",IF(N125="grün","–",IF(AB125=0,"am Lager / in stock",IF(N(P125)&lt;=0,"Stückpreis fehlt",IF(R125&gt;=Faktor_lohnt*P125,"ja – "&amp;FIXED(R125/P125,0)&amp;"-fach","nein – "&amp;FIXED(R125/P125,IF(R125/P125&lt;1,2,1))&amp;"-fach")))))</f>
        <v/>
      </c>
      <c r="T125" s="25" t="n"/>
      <c r="U125" s="34" t="n"/>
      <c r="V125" s="27" t="n"/>
      <c r="W125" s="25" t="n"/>
      <c r="X125" s="2" t="n"/>
      <c r="Y125" s="35">
        <f>IFERROR(INDEX(Krit_Faktor,MATCH(F125,Krit_Liste,0)),"")</f>
        <v/>
      </c>
      <c r="Z125" s="35">
        <f>IF(OR(I125="nein",I125="no"),1,0)</f>
        <v/>
      </c>
      <c r="AA125" s="35">
        <f>IF(OR(J125="nein",J125="no"),1,0)</f>
        <v/>
      </c>
      <c r="AB125" s="35">
        <f>IF(OR(K125="nein",K125="no"),1,0)</f>
        <v/>
      </c>
      <c r="AC125" s="35">
        <f>IF(OR(G125="ja",G125="yes"),1,0)</f>
        <v/>
      </c>
      <c r="AD125" s="35">
        <f>IF(AND(AC125=1,OR(H125="ja",H125="yes")),1,0)</f>
        <v/>
      </c>
      <c r="AE125" s="35">
        <f>IF(AC125=1,IF(AD125=1,Pkt_Abk_mit,Pkt_Abk_ohne),0)</f>
        <v/>
      </c>
      <c r="AF125" s="35">
        <f>(G125&lt;&gt;"")+(I125&lt;&gt;"")+(J125&lt;&gt;"")+(K125&lt;&gt;"")</f>
        <v/>
      </c>
      <c r="AG125" s="35">
        <f>IF(Q125&lt;&gt;"",Q125,IF(AF125&lt;4,"",IF(Z125=1,Tage_nicht_beschaffbar,Tage_beschaffbar)))</f>
        <v/>
      </c>
      <c r="AH125" s="35">
        <f>IF(M125="","",M125*1000+Y125*10+(1000-ROW())/100000)</f>
        <v/>
      </c>
    </row>
    <row r="126" ht="34" customHeight="1">
      <c r="A126" s="23">
        <f>IF(B126="","",COUNTA($B$9:B126))</f>
        <v/>
      </c>
      <c r="B126" s="24" t="n"/>
      <c r="C126" s="25" t="n"/>
      <c r="D126" s="25" t="n"/>
      <c r="E126" s="25" t="n"/>
      <c r="F126" s="26" t="n"/>
      <c r="G126" s="26" t="n"/>
      <c r="H126" s="27" t="n"/>
      <c r="I126" s="26" t="n"/>
      <c r="J126" s="26" t="n"/>
      <c r="K126" s="26" t="n"/>
      <c r="L126" s="23">
        <f>IF(AF126&lt;4,"",Z126+AA126+AB126+AE126)</f>
        <v/>
      </c>
      <c r="M126" s="28">
        <f>IF(OR(L126="",Y126=""),"",Y126*L126)</f>
        <v/>
      </c>
      <c r="N126" s="29">
        <f>IF(M126="","",IF(M126&lt;=Gruen_bis,"grün",IF(M126&lt;=Gelb_bis,"gelb","rot")))</f>
        <v/>
      </c>
      <c r="O126" s="30">
        <f>IF(N126="",IF(B126="","","Bewertung unvollständig – ★-Felder ausfüllen"),IF(N126="grün",IF(AC126=1,IF(AD126=1,"Abgekündigt, Nachfolger vorhanden: Umstieg bei nächster Gelegenheit planen","Abgekündigt: Endbevorratung (Last-Time-Buy) prüfen, Ersatzlösung planen"),"Keine aktive Maßnahme – jährlich prüfen"),IF(AND(Z126=1,AA126=1,AB126=1),"Sofort sichern: Restbestand / Gebrauchtteil kaufen und Ersatzlösung (Retrofit) planen",IF(AND(Z126=1,AB126=1),"Reparaturweg absichern (Dienstleister, Tauschteil), Gebrauchtteil prüfen",IF(AD126=1,"Auf Nachfolgeprodukt umstellen: Kompatibilität prüfen, Umstieg planen",IF(AC126=1,IF(AB126=1,"Abgekündigt ohne Nachfolger: sofort Endbevorratung (Last-Time-Buy) und Ersatzlösung planen","Abgekündigt ohne Nachfolger: Lagerteil sichern, Ersatzlösung (Retrofit) planen"),IF(Z126=1,"Nicht beschaffbar: Lagerteil schützen, Ersatzlösung mittelfristig planen",IF(AB126=1,IF(LEFT(S126,4)="nein","Bevorratung lohnt nicht – Lieferzeit und Reparaturweg absichern","Lagerbestand anlegen (mind. 1 Stk.)"),"Reparaturmöglichkeit klären"))))))))</f>
        <v/>
      </c>
      <c r="P126" s="31" t="n"/>
      <c r="Q126" s="27" t="n"/>
      <c r="R126" s="32">
        <f>IF(OR(AG126="",Y126="",AB126=0),"",AG126*INDEX(Krit_Kosten,MATCH(F126,Krit_Liste,0)))</f>
        <v/>
      </c>
      <c r="S126" s="33">
        <f>IF(N126="","",IF(N126="grün","–",IF(AB126=0,"am Lager / in stock",IF(N(P126)&lt;=0,"Stückpreis fehlt",IF(R126&gt;=Faktor_lohnt*P126,"ja – "&amp;FIXED(R126/P126,0)&amp;"-fach","nein – "&amp;FIXED(R126/P126,IF(R126/P126&lt;1,2,1))&amp;"-fach")))))</f>
        <v/>
      </c>
      <c r="T126" s="25" t="n"/>
      <c r="U126" s="34" t="n"/>
      <c r="V126" s="27" t="n"/>
      <c r="W126" s="25" t="n"/>
      <c r="X126" s="2" t="n"/>
      <c r="Y126" s="35">
        <f>IFERROR(INDEX(Krit_Faktor,MATCH(F126,Krit_Liste,0)),"")</f>
        <v/>
      </c>
      <c r="Z126" s="35">
        <f>IF(OR(I126="nein",I126="no"),1,0)</f>
        <v/>
      </c>
      <c r="AA126" s="35">
        <f>IF(OR(J126="nein",J126="no"),1,0)</f>
        <v/>
      </c>
      <c r="AB126" s="35">
        <f>IF(OR(K126="nein",K126="no"),1,0)</f>
        <v/>
      </c>
      <c r="AC126" s="35">
        <f>IF(OR(G126="ja",G126="yes"),1,0)</f>
        <v/>
      </c>
      <c r="AD126" s="35">
        <f>IF(AND(AC126=1,OR(H126="ja",H126="yes")),1,0)</f>
        <v/>
      </c>
      <c r="AE126" s="35">
        <f>IF(AC126=1,IF(AD126=1,Pkt_Abk_mit,Pkt_Abk_ohne),0)</f>
        <v/>
      </c>
      <c r="AF126" s="35">
        <f>(G126&lt;&gt;"")+(I126&lt;&gt;"")+(J126&lt;&gt;"")+(K126&lt;&gt;"")</f>
        <v/>
      </c>
      <c r="AG126" s="35">
        <f>IF(Q126&lt;&gt;"",Q126,IF(AF126&lt;4,"",IF(Z126=1,Tage_nicht_beschaffbar,Tage_beschaffbar)))</f>
        <v/>
      </c>
      <c r="AH126" s="35">
        <f>IF(M126="","",M126*1000+Y126*10+(1000-ROW())/100000)</f>
        <v/>
      </c>
    </row>
    <row r="127" ht="34" customHeight="1">
      <c r="A127" s="23">
        <f>IF(B127="","",COUNTA($B$9:B127))</f>
        <v/>
      </c>
      <c r="B127" s="24" t="n"/>
      <c r="C127" s="25" t="n"/>
      <c r="D127" s="25" t="n"/>
      <c r="E127" s="25" t="n"/>
      <c r="F127" s="26" t="n"/>
      <c r="G127" s="26" t="n"/>
      <c r="H127" s="27" t="n"/>
      <c r="I127" s="26" t="n"/>
      <c r="J127" s="26" t="n"/>
      <c r="K127" s="26" t="n"/>
      <c r="L127" s="23">
        <f>IF(AF127&lt;4,"",Z127+AA127+AB127+AE127)</f>
        <v/>
      </c>
      <c r="M127" s="28">
        <f>IF(OR(L127="",Y127=""),"",Y127*L127)</f>
        <v/>
      </c>
      <c r="N127" s="29">
        <f>IF(M127="","",IF(M127&lt;=Gruen_bis,"grün",IF(M127&lt;=Gelb_bis,"gelb","rot")))</f>
        <v/>
      </c>
      <c r="O127" s="30">
        <f>IF(N127="",IF(B127="","","Bewertung unvollständig – ★-Felder ausfüllen"),IF(N127="grün",IF(AC127=1,IF(AD127=1,"Abgekündigt, Nachfolger vorhanden: Umstieg bei nächster Gelegenheit planen","Abgekündigt: Endbevorratung (Last-Time-Buy) prüfen, Ersatzlösung planen"),"Keine aktive Maßnahme – jährlich prüfen"),IF(AND(Z127=1,AA127=1,AB127=1),"Sofort sichern: Restbestand / Gebrauchtteil kaufen und Ersatzlösung (Retrofit) planen",IF(AND(Z127=1,AB127=1),"Reparaturweg absichern (Dienstleister, Tauschteil), Gebrauchtteil prüfen",IF(AD127=1,"Auf Nachfolgeprodukt umstellen: Kompatibilität prüfen, Umstieg planen",IF(AC127=1,IF(AB127=1,"Abgekündigt ohne Nachfolger: sofort Endbevorratung (Last-Time-Buy) und Ersatzlösung planen","Abgekündigt ohne Nachfolger: Lagerteil sichern, Ersatzlösung (Retrofit) planen"),IF(Z127=1,"Nicht beschaffbar: Lagerteil schützen, Ersatzlösung mittelfristig planen",IF(AB127=1,IF(LEFT(S127,4)="nein","Bevorratung lohnt nicht – Lieferzeit und Reparaturweg absichern","Lagerbestand anlegen (mind. 1 Stk.)"),"Reparaturmöglichkeit klären"))))))))</f>
        <v/>
      </c>
      <c r="P127" s="31" t="n"/>
      <c r="Q127" s="27" t="n"/>
      <c r="R127" s="32">
        <f>IF(OR(AG127="",Y127="",AB127=0),"",AG127*INDEX(Krit_Kosten,MATCH(F127,Krit_Liste,0)))</f>
        <v/>
      </c>
      <c r="S127" s="33">
        <f>IF(N127="","",IF(N127="grün","–",IF(AB127=0,"am Lager / in stock",IF(N(P127)&lt;=0,"Stückpreis fehlt",IF(R127&gt;=Faktor_lohnt*P127,"ja – "&amp;FIXED(R127/P127,0)&amp;"-fach","nein – "&amp;FIXED(R127/P127,IF(R127/P127&lt;1,2,1))&amp;"-fach")))))</f>
        <v/>
      </c>
      <c r="T127" s="25" t="n"/>
      <c r="U127" s="34" t="n"/>
      <c r="V127" s="27" t="n"/>
      <c r="W127" s="25" t="n"/>
      <c r="X127" s="2" t="n"/>
      <c r="Y127" s="35">
        <f>IFERROR(INDEX(Krit_Faktor,MATCH(F127,Krit_Liste,0)),"")</f>
        <v/>
      </c>
      <c r="Z127" s="35">
        <f>IF(OR(I127="nein",I127="no"),1,0)</f>
        <v/>
      </c>
      <c r="AA127" s="35">
        <f>IF(OR(J127="nein",J127="no"),1,0)</f>
        <v/>
      </c>
      <c r="AB127" s="35">
        <f>IF(OR(K127="nein",K127="no"),1,0)</f>
        <v/>
      </c>
      <c r="AC127" s="35">
        <f>IF(OR(G127="ja",G127="yes"),1,0)</f>
        <v/>
      </c>
      <c r="AD127" s="35">
        <f>IF(AND(AC127=1,OR(H127="ja",H127="yes")),1,0)</f>
        <v/>
      </c>
      <c r="AE127" s="35">
        <f>IF(AC127=1,IF(AD127=1,Pkt_Abk_mit,Pkt_Abk_ohne),0)</f>
        <v/>
      </c>
      <c r="AF127" s="35">
        <f>(G127&lt;&gt;"")+(I127&lt;&gt;"")+(J127&lt;&gt;"")+(K127&lt;&gt;"")</f>
        <v/>
      </c>
      <c r="AG127" s="35">
        <f>IF(Q127&lt;&gt;"",Q127,IF(AF127&lt;4,"",IF(Z127=1,Tage_nicht_beschaffbar,Tage_beschaffbar)))</f>
        <v/>
      </c>
      <c r="AH127" s="35">
        <f>IF(M127="","",M127*1000+Y127*10+(1000-ROW())/100000)</f>
        <v/>
      </c>
    </row>
    <row r="128" ht="34" customHeight="1">
      <c r="A128" s="23">
        <f>IF(B128="","",COUNTA($B$9:B128))</f>
        <v/>
      </c>
      <c r="B128" s="24" t="n"/>
      <c r="C128" s="25" t="n"/>
      <c r="D128" s="25" t="n"/>
      <c r="E128" s="25" t="n"/>
      <c r="F128" s="26" t="n"/>
      <c r="G128" s="26" t="n"/>
      <c r="H128" s="27" t="n"/>
      <c r="I128" s="26" t="n"/>
      <c r="J128" s="26" t="n"/>
      <c r="K128" s="26" t="n"/>
      <c r="L128" s="23">
        <f>IF(AF128&lt;4,"",Z128+AA128+AB128+AE128)</f>
        <v/>
      </c>
      <c r="M128" s="28">
        <f>IF(OR(L128="",Y128=""),"",Y128*L128)</f>
        <v/>
      </c>
      <c r="N128" s="29">
        <f>IF(M128="","",IF(M128&lt;=Gruen_bis,"grün",IF(M128&lt;=Gelb_bis,"gelb","rot")))</f>
        <v/>
      </c>
      <c r="O128" s="30">
        <f>IF(N128="",IF(B128="","","Bewertung unvollständig – ★-Felder ausfüllen"),IF(N128="grün",IF(AC128=1,IF(AD128=1,"Abgekündigt, Nachfolger vorhanden: Umstieg bei nächster Gelegenheit planen","Abgekündigt: Endbevorratung (Last-Time-Buy) prüfen, Ersatzlösung planen"),"Keine aktive Maßnahme – jährlich prüfen"),IF(AND(Z128=1,AA128=1,AB128=1),"Sofort sichern: Restbestand / Gebrauchtteil kaufen und Ersatzlösung (Retrofit) planen",IF(AND(Z128=1,AB128=1),"Reparaturweg absichern (Dienstleister, Tauschteil), Gebrauchtteil prüfen",IF(AD128=1,"Auf Nachfolgeprodukt umstellen: Kompatibilität prüfen, Umstieg planen",IF(AC128=1,IF(AB128=1,"Abgekündigt ohne Nachfolger: sofort Endbevorratung (Last-Time-Buy) und Ersatzlösung planen","Abgekündigt ohne Nachfolger: Lagerteil sichern, Ersatzlösung (Retrofit) planen"),IF(Z128=1,"Nicht beschaffbar: Lagerteil schützen, Ersatzlösung mittelfristig planen",IF(AB128=1,IF(LEFT(S128,4)="nein","Bevorratung lohnt nicht – Lieferzeit und Reparaturweg absichern","Lagerbestand anlegen (mind. 1 Stk.)"),"Reparaturmöglichkeit klären"))))))))</f>
        <v/>
      </c>
      <c r="P128" s="31" t="n"/>
      <c r="Q128" s="27" t="n"/>
      <c r="R128" s="32">
        <f>IF(OR(AG128="",Y128="",AB128=0),"",AG128*INDEX(Krit_Kosten,MATCH(F128,Krit_Liste,0)))</f>
        <v/>
      </c>
      <c r="S128" s="33">
        <f>IF(N128="","",IF(N128="grün","–",IF(AB128=0,"am Lager / in stock",IF(N(P128)&lt;=0,"Stückpreis fehlt",IF(R128&gt;=Faktor_lohnt*P128,"ja – "&amp;FIXED(R128/P128,0)&amp;"-fach","nein – "&amp;FIXED(R128/P128,IF(R128/P128&lt;1,2,1))&amp;"-fach")))))</f>
        <v/>
      </c>
      <c r="T128" s="25" t="n"/>
      <c r="U128" s="34" t="n"/>
      <c r="V128" s="27" t="n"/>
      <c r="W128" s="25" t="n"/>
      <c r="X128" s="2" t="n"/>
      <c r="Y128" s="35">
        <f>IFERROR(INDEX(Krit_Faktor,MATCH(F128,Krit_Liste,0)),"")</f>
        <v/>
      </c>
      <c r="Z128" s="35">
        <f>IF(OR(I128="nein",I128="no"),1,0)</f>
        <v/>
      </c>
      <c r="AA128" s="35">
        <f>IF(OR(J128="nein",J128="no"),1,0)</f>
        <v/>
      </c>
      <c r="AB128" s="35">
        <f>IF(OR(K128="nein",K128="no"),1,0)</f>
        <v/>
      </c>
      <c r="AC128" s="35">
        <f>IF(OR(G128="ja",G128="yes"),1,0)</f>
        <v/>
      </c>
      <c r="AD128" s="35">
        <f>IF(AND(AC128=1,OR(H128="ja",H128="yes")),1,0)</f>
        <v/>
      </c>
      <c r="AE128" s="35">
        <f>IF(AC128=1,IF(AD128=1,Pkt_Abk_mit,Pkt_Abk_ohne),0)</f>
        <v/>
      </c>
      <c r="AF128" s="35">
        <f>(G128&lt;&gt;"")+(I128&lt;&gt;"")+(J128&lt;&gt;"")+(K128&lt;&gt;"")</f>
        <v/>
      </c>
      <c r="AG128" s="35">
        <f>IF(Q128&lt;&gt;"",Q128,IF(AF128&lt;4,"",IF(Z128=1,Tage_nicht_beschaffbar,Tage_beschaffbar)))</f>
        <v/>
      </c>
      <c r="AH128" s="35">
        <f>IF(M128="","",M128*1000+Y128*10+(1000-ROW())/100000)</f>
        <v/>
      </c>
    </row>
    <row r="129" ht="34" customHeight="1">
      <c r="A129" s="23">
        <f>IF(B129="","",COUNTA($B$9:B129))</f>
        <v/>
      </c>
      <c r="B129" s="24" t="n"/>
      <c r="C129" s="25" t="n"/>
      <c r="D129" s="25" t="n"/>
      <c r="E129" s="25" t="n"/>
      <c r="F129" s="26" t="n"/>
      <c r="G129" s="26" t="n"/>
      <c r="H129" s="27" t="n"/>
      <c r="I129" s="26" t="n"/>
      <c r="J129" s="26" t="n"/>
      <c r="K129" s="26" t="n"/>
      <c r="L129" s="23">
        <f>IF(AF129&lt;4,"",Z129+AA129+AB129+AE129)</f>
        <v/>
      </c>
      <c r="M129" s="28">
        <f>IF(OR(L129="",Y129=""),"",Y129*L129)</f>
        <v/>
      </c>
      <c r="N129" s="29">
        <f>IF(M129="","",IF(M129&lt;=Gruen_bis,"grün",IF(M129&lt;=Gelb_bis,"gelb","rot")))</f>
        <v/>
      </c>
      <c r="O129" s="30">
        <f>IF(N129="",IF(B129="","","Bewertung unvollständig – ★-Felder ausfüllen"),IF(N129="grün",IF(AC129=1,IF(AD129=1,"Abgekündigt, Nachfolger vorhanden: Umstieg bei nächster Gelegenheit planen","Abgekündigt: Endbevorratung (Last-Time-Buy) prüfen, Ersatzlösung planen"),"Keine aktive Maßnahme – jährlich prüfen"),IF(AND(Z129=1,AA129=1,AB129=1),"Sofort sichern: Restbestand / Gebrauchtteil kaufen und Ersatzlösung (Retrofit) planen",IF(AND(Z129=1,AB129=1),"Reparaturweg absichern (Dienstleister, Tauschteil), Gebrauchtteil prüfen",IF(AD129=1,"Auf Nachfolgeprodukt umstellen: Kompatibilität prüfen, Umstieg planen",IF(AC129=1,IF(AB129=1,"Abgekündigt ohne Nachfolger: sofort Endbevorratung (Last-Time-Buy) und Ersatzlösung planen","Abgekündigt ohne Nachfolger: Lagerteil sichern, Ersatzlösung (Retrofit) planen"),IF(Z129=1,"Nicht beschaffbar: Lagerteil schützen, Ersatzlösung mittelfristig planen",IF(AB129=1,IF(LEFT(S129,4)="nein","Bevorratung lohnt nicht – Lieferzeit und Reparaturweg absichern","Lagerbestand anlegen (mind. 1 Stk.)"),"Reparaturmöglichkeit klären"))))))))</f>
        <v/>
      </c>
      <c r="P129" s="31" t="n"/>
      <c r="Q129" s="27" t="n"/>
      <c r="R129" s="32">
        <f>IF(OR(AG129="",Y129="",AB129=0),"",AG129*INDEX(Krit_Kosten,MATCH(F129,Krit_Liste,0)))</f>
        <v/>
      </c>
      <c r="S129" s="33">
        <f>IF(N129="","",IF(N129="grün","–",IF(AB129=0,"am Lager / in stock",IF(N(P129)&lt;=0,"Stückpreis fehlt",IF(R129&gt;=Faktor_lohnt*P129,"ja – "&amp;FIXED(R129/P129,0)&amp;"-fach","nein – "&amp;FIXED(R129/P129,IF(R129/P129&lt;1,2,1))&amp;"-fach")))))</f>
        <v/>
      </c>
      <c r="T129" s="25" t="n"/>
      <c r="U129" s="34" t="n"/>
      <c r="V129" s="27" t="n"/>
      <c r="W129" s="25" t="n"/>
      <c r="X129" s="2" t="n"/>
      <c r="Y129" s="35">
        <f>IFERROR(INDEX(Krit_Faktor,MATCH(F129,Krit_Liste,0)),"")</f>
        <v/>
      </c>
      <c r="Z129" s="35">
        <f>IF(OR(I129="nein",I129="no"),1,0)</f>
        <v/>
      </c>
      <c r="AA129" s="35">
        <f>IF(OR(J129="nein",J129="no"),1,0)</f>
        <v/>
      </c>
      <c r="AB129" s="35">
        <f>IF(OR(K129="nein",K129="no"),1,0)</f>
        <v/>
      </c>
      <c r="AC129" s="35">
        <f>IF(OR(G129="ja",G129="yes"),1,0)</f>
        <v/>
      </c>
      <c r="AD129" s="35">
        <f>IF(AND(AC129=1,OR(H129="ja",H129="yes")),1,0)</f>
        <v/>
      </c>
      <c r="AE129" s="35">
        <f>IF(AC129=1,IF(AD129=1,Pkt_Abk_mit,Pkt_Abk_ohne),0)</f>
        <v/>
      </c>
      <c r="AF129" s="35">
        <f>(G129&lt;&gt;"")+(I129&lt;&gt;"")+(J129&lt;&gt;"")+(K129&lt;&gt;"")</f>
        <v/>
      </c>
      <c r="AG129" s="35">
        <f>IF(Q129&lt;&gt;"",Q129,IF(AF129&lt;4,"",IF(Z129=1,Tage_nicht_beschaffbar,Tage_beschaffbar)))</f>
        <v/>
      </c>
      <c r="AH129" s="35">
        <f>IF(M129="","",M129*1000+Y129*10+(1000-ROW())/100000)</f>
        <v/>
      </c>
    </row>
    <row r="130" ht="34" customHeight="1">
      <c r="A130" s="23">
        <f>IF(B130="","",COUNTA($B$9:B130))</f>
        <v/>
      </c>
      <c r="B130" s="24" t="n"/>
      <c r="C130" s="25" t="n"/>
      <c r="D130" s="25" t="n"/>
      <c r="E130" s="25" t="n"/>
      <c r="F130" s="26" t="n"/>
      <c r="G130" s="26" t="n"/>
      <c r="H130" s="27" t="n"/>
      <c r="I130" s="26" t="n"/>
      <c r="J130" s="26" t="n"/>
      <c r="K130" s="26" t="n"/>
      <c r="L130" s="23">
        <f>IF(AF130&lt;4,"",Z130+AA130+AB130+AE130)</f>
        <v/>
      </c>
      <c r="M130" s="28">
        <f>IF(OR(L130="",Y130=""),"",Y130*L130)</f>
        <v/>
      </c>
      <c r="N130" s="29">
        <f>IF(M130="","",IF(M130&lt;=Gruen_bis,"grün",IF(M130&lt;=Gelb_bis,"gelb","rot")))</f>
        <v/>
      </c>
      <c r="O130" s="30">
        <f>IF(N130="",IF(B130="","","Bewertung unvollständig – ★-Felder ausfüllen"),IF(N130="grün",IF(AC130=1,IF(AD130=1,"Abgekündigt, Nachfolger vorhanden: Umstieg bei nächster Gelegenheit planen","Abgekündigt: Endbevorratung (Last-Time-Buy) prüfen, Ersatzlösung planen"),"Keine aktive Maßnahme – jährlich prüfen"),IF(AND(Z130=1,AA130=1,AB130=1),"Sofort sichern: Restbestand / Gebrauchtteil kaufen und Ersatzlösung (Retrofit) planen",IF(AND(Z130=1,AB130=1),"Reparaturweg absichern (Dienstleister, Tauschteil), Gebrauchtteil prüfen",IF(AD130=1,"Auf Nachfolgeprodukt umstellen: Kompatibilität prüfen, Umstieg planen",IF(AC130=1,IF(AB130=1,"Abgekündigt ohne Nachfolger: sofort Endbevorratung (Last-Time-Buy) und Ersatzlösung planen","Abgekündigt ohne Nachfolger: Lagerteil sichern, Ersatzlösung (Retrofit) planen"),IF(Z130=1,"Nicht beschaffbar: Lagerteil schützen, Ersatzlösung mittelfristig planen",IF(AB130=1,IF(LEFT(S130,4)="nein","Bevorratung lohnt nicht – Lieferzeit und Reparaturweg absichern","Lagerbestand anlegen (mind. 1 Stk.)"),"Reparaturmöglichkeit klären"))))))))</f>
        <v/>
      </c>
      <c r="P130" s="31" t="n"/>
      <c r="Q130" s="27" t="n"/>
      <c r="R130" s="32">
        <f>IF(OR(AG130="",Y130="",AB130=0),"",AG130*INDEX(Krit_Kosten,MATCH(F130,Krit_Liste,0)))</f>
        <v/>
      </c>
      <c r="S130" s="33">
        <f>IF(N130="","",IF(N130="grün","–",IF(AB130=0,"am Lager / in stock",IF(N(P130)&lt;=0,"Stückpreis fehlt",IF(R130&gt;=Faktor_lohnt*P130,"ja – "&amp;FIXED(R130/P130,0)&amp;"-fach","nein – "&amp;FIXED(R130/P130,IF(R130/P130&lt;1,2,1))&amp;"-fach")))))</f>
        <v/>
      </c>
      <c r="T130" s="25" t="n"/>
      <c r="U130" s="34" t="n"/>
      <c r="V130" s="27" t="n"/>
      <c r="W130" s="25" t="n"/>
      <c r="X130" s="2" t="n"/>
      <c r="Y130" s="35">
        <f>IFERROR(INDEX(Krit_Faktor,MATCH(F130,Krit_Liste,0)),"")</f>
        <v/>
      </c>
      <c r="Z130" s="35">
        <f>IF(OR(I130="nein",I130="no"),1,0)</f>
        <v/>
      </c>
      <c r="AA130" s="35">
        <f>IF(OR(J130="nein",J130="no"),1,0)</f>
        <v/>
      </c>
      <c r="AB130" s="35">
        <f>IF(OR(K130="nein",K130="no"),1,0)</f>
        <v/>
      </c>
      <c r="AC130" s="35">
        <f>IF(OR(G130="ja",G130="yes"),1,0)</f>
        <v/>
      </c>
      <c r="AD130" s="35">
        <f>IF(AND(AC130=1,OR(H130="ja",H130="yes")),1,0)</f>
        <v/>
      </c>
      <c r="AE130" s="35">
        <f>IF(AC130=1,IF(AD130=1,Pkt_Abk_mit,Pkt_Abk_ohne),0)</f>
        <v/>
      </c>
      <c r="AF130" s="35">
        <f>(G130&lt;&gt;"")+(I130&lt;&gt;"")+(J130&lt;&gt;"")+(K130&lt;&gt;"")</f>
        <v/>
      </c>
      <c r="AG130" s="35">
        <f>IF(Q130&lt;&gt;"",Q130,IF(AF130&lt;4,"",IF(Z130=1,Tage_nicht_beschaffbar,Tage_beschaffbar)))</f>
        <v/>
      </c>
      <c r="AH130" s="35">
        <f>IF(M130="","",M130*1000+Y130*10+(1000-ROW())/100000)</f>
        <v/>
      </c>
    </row>
    <row r="131" ht="34" customHeight="1">
      <c r="A131" s="23">
        <f>IF(B131="","",COUNTA($B$9:B131))</f>
        <v/>
      </c>
      <c r="B131" s="24" t="n"/>
      <c r="C131" s="25" t="n"/>
      <c r="D131" s="25" t="n"/>
      <c r="E131" s="25" t="n"/>
      <c r="F131" s="26" t="n"/>
      <c r="G131" s="26" t="n"/>
      <c r="H131" s="27" t="n"/>
      <c r="I131" s="26" t="n"/>
      <c r="J131" s="26" t="n"/>
      <c r="K131" s="26" t="n"/>
      <c r="L131" s="23">
        <f>IF(AF131&lt;4,"",Z131+AA131+AB131+AE131)</f>
        <v/>
      </c>
      <c r="M131" s="28">
        <f>IF(OR(L131="",Y131=""),"",Y131*L131)</f>
        <v/>
      </c>
      <c r="N131" s="29">
        <f>IF(M131="","",IF(M131&lt;=Gruen_bis,"grün",IF(M131&lt;=Gelb_bis,"gelb","rot")))</f>
        <v/>
      </c>
      <c r="O131" s="30">
        <f>IF(N131="",IF(B131="","","Bewertung unvollständig – ★-Felder ausfüllen"),IF(N131="grün",IF(AC131=1,IF(AD131=1,"Abgekündigt, Nachfolger vorhanden: Umstieg bei nächster Gelegenheit planen","Abgekündigt: Endbevorratung (Last-Time-Buy) prüfen, Ersatzlösung planen"),"Keine aktive Maßnahme – jährlich prüfen"),IF(AND(Z131=1,AA131=1,AB131=1),"Sofort sichern: Restbestand / Gebrauchtteil kaufen und Ersatzlösung (Retrofit) planen",IF(AND(Z131=1,AB131=1),"Reparaturweg absichern (Dienstleister, Tauschteil), Gebrauchtteil prüfen",IF(AD131=1,"Auf Nachfolgeprodukt umstellen: Kompatibilität prüfen, Umstieg planen",IF(AC131=1,IF(AB131=1,"Abgekündigt ohne Nachfolger: sofort Endbevorratung (Last-Time-Buy) und Ersatzlösung planen","Abgekündigt ohne Nachfolger: Lagerteil sichern, Ersatzlösung (Retrofit) planen"),IF(Z131=1,"Nicht beschaffbar: Lagerteil schützen, Ersatzlösung mittelfristig planen",IF(AB131=1,IF(LEFT(S131,4)="nein","Bevorratung lohnt nicht – Lieferzeit und Reparaturweg absichern","Lagerbestand anlegen (mind. 1 Stk.)"),"Reparaturmöglichkeit klären"))))))))</f>
        <v/>
      </c>
      <c r="P131" s="31" t="n"/>
      <c r="Q131" s="27" t="n"/>
      <c r="R131" s="32">
        <f>IF(OR(AG131="",Y131="",AB131=0),"",AG131*INDEX(Krit_Kosten,MATCH(F131,Krit_Liste,0)))</f>
        <v/>
      </c>
      <c r="S131" s="33">
        <f>IF(N131="","",IF(N131="grün","–",IF(AB131=0,"am Lager / in stock",IF(N(P131)&lt;=0,"Stückpreis fehlt",IF(R131&gt;=Faktor_lohnt*P131,"ja – "&amp;FIXED(R131/P131,0)&amp;"-fach","nein – "&amp;FIXED(R131/P131,IF(R131/P131&lt;1,2,1))&amp;"-fach")))))</f>
        <v/>
      </c>
      <c r="T131" s="25" t="n"/>
      <c r="U131" s="34" t="n"/>
      <c r="V131" s="27" t="n"/>
      <c r="W131" s="25" t="n"/>
      <c r="X131" s="2" t="n"/>
      <c r="Y131" s="35">
        <f>IFERROR(INDEX(Krit_Faktor,MATCH(F131,Krit_Liste,0)),"")</f>
        <v/>
      </c>
      <c r="Z131" s="35">
        <f>IF(OR(I131="nein",I131="no"),1,0)</f>
        <v/>
      </c>
      <c r="AA131" s="35">
        <f>IF(OR(J131="nein",J131="no"),1,0)</f>
        <v/>
      </c>
      <c r="AB131" s="35">
        <f>IF(OR(K131="nein",K131="no"),1,0)</f>
        <v/>
      </c>
      <c r="AC131" s="35">
        <f>IF(OR(G131="ja",G131="yes"),1,0)</f>
        <v/>
      </c>
      <c r="AD131" s="35">
        <f>IF(AND(AC131=1,OR(H131="ja",H131="yes")),1,0)</f>
        <v/>
      </c>
      <c r="AE131" s="35">
        <f>IF(AC131=1,IF(AD131=1,Pkt_Abk_mit,Pkt_Abk_ohne),0)</f>
        <v/>
      </c>
      <c r="AF131" s="35">
        <f>(G131&lt;&gt;"")+(I131&lt;&gt;"")+(J131&lt;&gt;"")+(K131&lt;&gt;"")</f>
        <v/>
      </c>
      <c r="AG131" s="35">
        <f>IF(Q131&lt;&gt;"",Q131,IF(AF131&lt;4,"",IF(Z131=1,Tage_nicht_beschaffbar,Tage_beschaffbar)))</f>
        <v/>
      </c>
      <c r="AH131" s="35">
        <f>IF(M131="","",M131*1000+Y131*10+(1000-ROW())/100000)</f>
        <v/>
      </c>
    </row>
    <row r="132" ht="34" customHeight="1">
      <c r="A132" s="23">
        <f>IF(B132="","",COUNTA($B$9:B132))</f>
        <v/>
      </c>
      <c r="B132" s="24" t="n"/>
      <c r="C132" s="25" t="n"/>
      <c r="D132" s="25" t="n"/>
      <c r="E132" s="25" t="n"/>
      <c r="F132" s="26" t="n"/>
      <c r="G132" s="26" t="n"/>
      <c r="H132" s="27" t="n"/>
      <c r="I132" s="26" t="n"/>
      <c r="J132" s="26" t="n"/>
      <c r="K132" s="26" t="n"/>
      <c r="L132" s="23">
        <f>IF(AF132&lt;4,"",Z132+AA132+AB132+AE132)</f>
        <v/>
      </c>
      <c r="M132" s="28">
        <f>IF(OR(L132="",Y132=""),"",Y132*L132)</f>
        <v/>
      </c>
      <c r="N132" s="29">
        <f>IF(M132="","",IF(M132&lt;=Gruen_bis,"grün",IF(M132&lt;=Gelb_bis,"gelb","rot")))</f>
        <v/>
      </c>
      <c r="O132" s="30">
        <f>IF(N132="",IF(B132="","","Bewertung unvollständig – ★-Felder ausfüllen"),IF(N132="grün",IF(AC132=1,IF(AD132=1,"Abgekündigt, Nachfolger vorhanden: Umstieg bei nächster Gelegenheit planen","Abgekündigt: Endbevorratung (Last-Time-Buy) prüfen, Ersatzlösung planen"),"Keine aktive Maßnahme – jährlich prüfen"),IF(AND(Z132=1,AA132=1,AB132=1),"Sofort sichern: Restbestand / Gebrauchtteil kaufen und Ersatzlösung (Retrofit) planen",IF(AND(Z132=1,AB132=1),"Reparaturweg absichern (Dienstleister, Tauschteil), Gebrauchtteil prüfen",IF(AD132=1,"Auf Nachfolgeprodukt umstellen: Kompatibilität prüfen, Umstieg planen",IF(AC132=1,IF(AB132=1,"Abgekündigt ohne Nachfolger: sofort Endbevorratung (Last-Time-Buy) und Ersatzlösung planen","Abgekündigt ohne Nachfolger: Lagerteil sichern, Ersatzlösung (Retrofit) planen"),IF(Z132=1,"Nicht beschaffbar: Lagerteil schützen, Ersatzlösung mittelfristig planen",IF(AB132=1,IF(LEFT(S132,4)="nein","Bevorratung lohnt nicht – Lieferzeit und Reparaturweg absichern","Lagerbestand anlegen (mind. 1 Stk.)"),"Reparaturmöglichkeit klären"))))))))</f>
        <v/>
      </c>
      <c r="P132" s="31" t="n"/>
      <c r="Q132" s="27" t="n"/>
      <c r="R132" s="32">
        <f>IF(OR(AG132="",Y132="",AB132=0),"",AG132*INDEX(Krit_Kosten,MATCH(F132,Krit_Liste,0)))</f>
        <v/>
      </c>
      <c r="S132" s="33">
        <f>IF(N132="","",IF(N132="grün","–",IF(AB132=0,"am Lager / in stock",IF(N(P132)&lt;=0,"Stückpreis fehlt",IF(R132&gt;=Faktor_lohnt*P132,"ja – "&amp;FIXED(R132/P132,0)&amp;"-fach","nein – "&amp;FIXED(R132/P132,IF(R132/P132&lt;1,2,1))&amp;"-fach")))))</f>
        <v/>
      </c>
      <c r="T132" s="25" t="n"/>
      <c r="U132" s="34" t="n"/>
      <c r="V132" s="27" t="n"/>
      <c r="W132" s="25" t="n"/>
      <c r="X132" s="2" t="n"/>
      <c r="Y132" s="35">
        <f>IFERROR(INDEX(Krit_Faktor,MATCH(F132,Krit_Liste,0)),"")</f>
        <v/>
      </c>
      <c r="Z132" s="35">
        <f>IF(OR(I132="nein",I132="no"),1,0)</f>
        <v/>
      </c>
      <c r="AA132" s="35">
        <f>IF(OR(J132="nein",J132="no"),1,0)</f>
        <v/>
      </c>
      <c r="AB132" s="35">
        <f>IF(OR(K132="nein",K132="no"),1,0)</f>
        <v/>
      </c>
      <c r="AC132" s="35">
        <f>IF(OR(G132="ja",G132="yes"),1,0)</f>
        <v/>
      </c>
      <c r="AD132" s="35">
        <f>IF(AND(AC132=1,OR(H132="ja",H132="yes")),1,0)</f>
        <v/>
      </c>
      <c r="AE132" s="35">
        <f>IF(AC132=1,IF(AD132=1,Pkt_Abk_mit,Pkt_Abk_ohne),0)</f>
        <v/>
      </c>
      <c r="AF132" s="35">
        <f>(G132&lt;&gt;"")+(I132&lt;&gt;"")+(J132&lt;&gt;"")+(K132&lt;&gt;"")</f>
        <v/>
      </c>
      <c r="AG132" s="35">
        <f>IF(Q132&lt;&gt;"",Q132,IF(AF132&lt;4,"",IF(Z132=1,Tage_nicht_beschaffbar,Tage_beschaffbar)))</f>
        <v/>
      </c>
      <c r="AH132" s="35">
        <f>IF(M132="","",M132*1000+Y132*10+(1000-ROW())/100000)</f>
        <v/>
      </c>
    </row>
    <row r="133" ht="34" customHeight="1">
      <c r="A133" s="23">
        <f>IF(B133="","",COUNTA($B$9:B133))</f>
        <v/>
      </c>
      <c r="B133" s="24" t="n"/>
      <c r="C133" s="25" t="n"/>
      <c r="D133" s="25" t="n"/>
      <c r="E133" s="25" t="n"/>
      <c r="F133" s="26" t="n"/>
      <c r="G133" s="26" t="n"/>
      <c r="H133" s="27" t="n"/>
      <c r="I133" s="26" t="n"/>
      <c r="J133" s="26" t="n"/>
      <c r="K133" s="26" t="n"/>
      <c r="L133" s="23">
        <f>IF(AF133&lt;4,"",Z133+AA133+AB133+AE133)</f>
        <v/>
      </c>
      <c r="M133" s="28">
        <f>IF(OR(L133="",Y133=""),"",Y133*L133)</f>
        <v/>
      </c>
      <c r="N133" s="29">
        <f>IF(M133="","",IF(M133&lt;=Gruen_bis,"grün",IF(M133&lt;=Gelb_bis,"gelb","rot")))</f>
        <v/>
      </c>
      <c r="O133" s="30">
        <f>IF(N133="",IF(B133="","","Bewertung unvollständig – ★-Felder ausfüllen"),IF(N133="grün",IF(AC133=1,IF(AD133=1,"Abgekündigt, Nachfolger vorhanden: Umstieg bei nächster Gelegenheit planen","Abgekündigt: Endbevorratung (Last-Time-Buy) prüfen, Ersatzlösung planen"),"Keine aktive Maßnahme – jährlich prüfen"),IF(AND(Z133=1,AA133=1,AB133=1),"Sofort sichern: Restbestand / Gebrauchtteil kaufen und Ersatzlösung (Retrofit) planen",IF(AND(Z133=1,AB133=1),"Reparaturweg absichern (Dienstleister, Tauschteil), Gebrauchtteil prüfen",IF(AD133=1,"Auf Nachfolgeprodukt umstellen: Kompatibilität prüfen, Umstieg planen",IF(AC133=1,IF(AB133=1,"Abgekündigt ohne Nachfolger: sofort Endbevorratung (Last-Time-Buy) und Ersatzlösung planen","Abgekündigt ohne Nachfolger: Lagerteil sichern, Ersatzlösung (Retrofit) planen"),IF(Z133=1,"Nicht beschaffbar: Lagerteil schützen, Ersatzlösung mittelfristig planen",IF(AB133=1,IF(LEFT(S133,4)="nein","Bevorratung lohnt nicht – Lieferzeit und Reparaturweg absichern","Lagerbestand anlegen (mind. 1 Stk.)"),"Reparaturmöglichkeit klären"))))))))</f>
        <v/>
      </c>
      <c r="P133" s="31" t="n"/>
      <c r="Q133" s="27" t="n"/>
      <c r="R133" s="32">
        <f>IF(OR(AG133="",Y133="",AB133=0),"",AG133*INDEX(Krit_Kosten,MATCH(F133,Krit_Liste,0)))</f>
        <v/>
      </c>
      <c r="S133" s="33">
        <f>IF(N133="","",IF(N133="grün","–",IF(AB133=0,"am Lager / in stock",IF(N(P133)&lt;=0,"Stückpreis fehlt",IF(R133&gt;=Faktor_lohnt*P133,"ja – "&amp;FIXED(R133/P133,0)&amp;"-fach","nein – "&amp;FIXED(R133/P133,IF(R133/P133&lt;1,2,1))&amp;"-fach")))))</f>
        <v/>
      </c>
      <c r="T133" s="25" t="n"/>
      <c r="U133" s="34" t="n"/>
      <c r="V133" s="27" t="n"/>
      <c r="W133" s="25" t="n"/>
      <c r="X133" s="2" t="n"/>
      <c r="Y133" s="35">
        <f>IFERROR(INDEX(Krit_Faktor,MATCH(F133,Krit_Liste,0)),"")</f>
        <v/>
      </c>
      <c r="Z133" s="35">
        <f>IF(OR(I133="nein",I133="no"),1,0)</f>
        <v/>
      </c>
      <c r="AA133" s="35">
        <f>IF(OR(J133="nein",J133="no"),1,0)</f>
        <v/>
      </c>
      <c r="AB133" s="35">
        <f>IF(OR(K133="nein",K133="no"),1,0)</f>
        <v/>
      </c>
      <c r="AC133" s="35">
        <f>IF(OR(G133="ja",G133="yes"),1,0)</f>
        <v/>
      </c>
      <c r="AD133" s="35">
        <f>IF(AND(AC133=1,OR(H133="ja",H133="yes")),1,0)</f>
        <v/>
      </c>
      <c r="AE133" s="35">
        <f>IF(AC133=1,IF(AD133=1,Pkt_Abk_mit,Pkt_Abk_ohne),0)</f>
        <v/>
      </c>
      <c r="AF133" s="35">
        <f>(G133&lt;&gt;"")+(I133&lt;&gt;"")+(J133&lt;&gt;"")+(K133&lt;&gt;"")</f>
        <v/>
      </c>
      <c r="AG133" s="35">
        <f>IF(Q133&lt;&gt;"",Q133,IF(AF133&lt;4,"",IF(Z133=1,Tage_nicht_beschaffbar,Tage_beschaffbar)))</f>
        <v/>
      </c>
      <c r="AH133" s="35">
        <f>IF(M133="","",M133*1000+Y133*10+(1000-ROW())/100000)</f>
        <v/>
      </c>
    </row>
    <row r="134" ht="34" customHeight="1">
      <c r="A134" s="23">
        <f>IF(B134="","",COUNTA($B$9:B134))</f>
        <v/>
      </c>
      <c r="B134" s="24" t="n"/>
      <c r="C134" s="25" t="n"/>
      <c r="D134" s="25" t="n"/>
      <c r="E134" s="25" t="n"/>
      <c r="F134" s="26" t="n"/>
      <c r="G134" s="26" t="n"/>
      <c r="H134" s="27" t="n"/>
      <c r="I134" s="26" t="n"/>
      <c r="J134" s="26" t="n"/>
      <c r="K134" s="26" t="n"/>
      <c r="L134" s="23">
        <f>IF(AF134&lt;4,"",Z134+AA134+AB134+AE134)</f>
        <v/>
      </c>
      <c r="M134" s="28">
        <f>IF(OR(L134="",Y134=""),"",Y134*L134)</f>
        <v/>
      </c>
      <c r="N134" s="29">
        <f>IF(M134="","",IF(M134&lt;=Gruen_bis,"grün",IF(M134&lt;=Gelb_bis,"gelb","rot")))</f>
        <v/>
      </c>
      <c r="O134" s="30">
        <f>IF(N134="",IF(B134="","","Bewertung unvollständig – ★-Felder ausfüllen"),IF(N134="grün",IF(AC134=1,IF(AD134=1,"Abgekündigt, Nachfolger vorhanden: Umstieg bei nächster Gelegenheit planen","Abgekündigt: Endbevorratung (Last-Time-Buy) prüfen, Ersatzlösung planen"),"Keine aktive Maßnahme – jährlich prüfen"),IF(AND(Z134=1,AA134=1,AB134=1),"Sofort sichern: Restbestand / Gebrauchtteil kaufen und Ersatzlösung (Retrofit) planen",IF(AND(Z134=1,AB134=1),"Reparaturweg absichern (Dienstleister, Tauschteil), Gebrauchtteil prüfen",IF(AD134=1,"Auf Nachfolgeprodukt umstellen: Kompatibilität prüfen, Umstieg planen",IF(AC134=1,IF(AB134=1,"Abgekündigt ohne Nachfolger: sofort Endbevorratung (Last-Time-Buy) und Ersatzlösung planen","Abgekündigt ohne Nachfolger: Lagerteil sichern, Ersatzlösung (Retrofit) planen"),IF(Z134=1,"Nicht beschaffbar: Lagerteil schützen, Ersatzlösung mittelfristig planen",IF(AB134=1,IF(LEFT(S134,4)="nein","Bevorratung lohnt nicht – Lieferzeit und Reparaturweg absichern","Lagerbestand anlegen (mind. 1 Stk.)"),"Reparaturmöglichkeit klären"))))))))</f>
        <v/>
      </c>
      <c r="P134" s="31" t="n"/>
      <c r="Q134" s="27" t="n"/>
      <c r="R134" s="32">
        <f>IF(OR(AG134="",Y134="",AB134=0),"",AG134*INDEX(Krit_Kosten,MATCH(F134,Krit_Liste,0)))</f>
        <v/>
      </c>
      <c r="S134" s="33">
        <f>IF(N134="","",IF(N134="grün","–",IF(AB134=0,"am Lager / in stock",IF(N(P134)&lt;=0,"Stückpreis fehlt",IF(R134&gt;=Faktor_lohnt*P134,"ja – "&amp;FIXED(R134/P134,0)&amp;"-fach","nein – "&amp;FIXED(R134/P134,IF(R134/P134&lt;1,2,1))&amp;"-fach")))))</f>
        <v/>
      </c>
      <c r="T134" s="25" t="n"/>
      <c r="U134" s="34" t="n"/>
      <c r="V134" s="27" t="n"/>
      <c r="W134" s="25" t="n"/>
      <c r="X134" s="2" t="n"/>
      <c r="Y134" s="35">
        <f>IFERROR(INDEX(Krit_Faktor,MATCH(F134,Krit_Liste,0)),"")</f>
        <v/>
      </c>
      <c r="Z134" s="35">
        <f>IF(OR(I134="nein",I134="no"),1,0)</f>
        <v/>
      </c>
      <c r="AA134" s="35">
        <f>IF(OR(J134="nein",J134="no"),1,0)</f>
        <v/>
      </c>
      <c r="AB134" s="35">
        <f>IF(OR(K134="nein",K134="no"),1,0)</f>
        <v/>
      </c>
      <c r="AC134" s="35">
        <f>IF(OR(G134="ja",G134="yes"),1,0)</f>
        <v/>
      </c>
      <c r="AD134" s="35">
        <f>IF(AND(AC134=1,OR(H134="ja",H134="yes")),1,0)</f>
        <v/>
      </c>
      <c r="AE134" s="35">
        <f>IF(AC134=1,IF(AD134=1,Pkt_Abk_mit,Pkt_Abk_ohne),0)</f>
        <v/>
      </c>
      <c r="AF134" s="35">
        <f>(G134&lt;&gt;"")+(I134&lt;&gt;"")+(J134&lt;&gt;"")+(K134&lt;&gt;"")</f>
        <v/>
      </c>
      <c r="AG134" s="35">
        <f>IF(Q134&lt;&gt;"",Q134,IF(AF134&lt;4,"",IF(Z134=1,Tage_nicht_beschaffbar,Tage_beschaffbar)))</f>
        <v/>
      </c>
      <c r="AH134" s="35">
        <f>IF(M134="","",M134*1000+Y134*10+(1000-ROW())/100000)</f>
        <v/>
      </c>
    </row>
    <row r="135" ht="34" customHeight="1">
      <c r="A135" s="23">
        <f>IF(B135="","",COUNTA($B$9:B135))</f>
        <v/>
      </c>
      <c r="B135" s="24" t="n"/>
      <c r="C135" s="25" t="n"/>
      <c r="D135" s="25" t="n"/>
      <c r="E135" s="25" t="n"/>
      <c r="F135" s="26" t="n"/>
      <c r="G135" s="26" t="n"/>
      <c r="H135" s="27" t="n"/>
      <c r="I135" s="26" t="n"/>
      <c r="J135" s="26" t="n"/>
      <c r="K135" s="26" t="n"/>
      <c r="L135" s="23">
        <f>IF(AF135&lt;4,"",Z135+AA135+AB135+AE135)</f>
        <v/>
      </c>
      <c r="M135" s="28">
        <f>IF(OR(L135="",Y135=""),"",Y135*L135)</f>
        <v/>
      </c>
      <c r="N135" s="29">
        <f>IF(M135="","",IF(M135&lt;=Gruen_bis,"grün",IF(M135&lt;=Gelb_bis,"gelb","rot")))</f>
        <v/>
      </c>
      <c r="O135" s="30">
        <f>IF(N135="",IF(B135="","","Bewertung unvollständig – ★-Felder ausfüllen"),IF(N135="grün",IF(AC135=1,IF(AD135=1,"Abgekündigt, Nachfolger vorhanden: Umstieg bei nächster Gelegenheit planen","Abgekündigt: Endbevorratung (Last-Time-Buy) prüfen, Ersatzlösung planen"),"Keine aktive Maßnahme – jährlich prüfen"),IF(AND(Z135=1,AA135=1,AB135=1),"Sofort sichern: Restbestand / Gebrauchtteil kaufen und Ersatzlösung (Retrofit) planen",IF(AND(Z135=1,AB135=1),"Reparaturweg absichern (Dienstleister, Tauschteil), Gebrauchtteil prüfen",IF(AD135=1,"Auf Nachfolgeprodukt umstellen: Kompatibilität prüfen, Umstieg planen",IF(AC135=1,IF(AB135=1,"Abgekündigt ohne Nachfolger: sofort Endbevorratung (Last-Time-Buy) und Ersatzlösung planen","Abgekündigt ohne Nachfolger: Lagerteil sichern, Ersatzlösung (Retrofit) planen"),IF(Z135=1,"Nicht beschaffbar: Lagerteil schützen, Ersatzlösung mittelfristig planen",IF(AB135=1,IF(LEFT(S135,4)="nein","Bevorratung lohnt nicht – Lieferzeit und Reparaturweg absichern","Lagerbestand anlegen (mind. 1 Stk.)"),"Reparaturmöglichkeit klären"))))))))</f>
        <v/>
      </c>
      <c r="P135" s="31" t="n"/>
      <c r="Q135" s="27" t="n"/>
      <c r="R135" s="32">
        <f>IF(OR(AG135="",Y135="",AB135=0),"",AG135*INDEX(Krit_Kosten,MATCH(F135,Krit_Liste,0)))</f>
        <v/>
      </c>
      <c r="S135" s="33">
        <f>IF(N135="","",IF(N135="grün","–",IF(AB135=0,"am Lager / in stock",IF(N(P135)&lt;=0,"Stückpreis fehlt",IF(R135&gt;=Faktor_lohnt*P135,"ja – "&amp;FIXED(R135/P135,0)&amp;"-fach","nein – "&amp;FIXED(R135/P135,IF(R135/P135&lt;1,2,1))&amp;"-fach")))))</f>
        <v/>
      </c>
      <c r="T135" s="25" t="n"/>
      <c r="U135" s="34" t="n"/>
      <c r="V135" s="27" t="n"/>
      <c r="W135" s="25" t="n"/>
      <c r="X135" s="2" t="n"/>
      <c r="Y135" s="35">
        <f>IFERROR(INDEX(Krit_Faktor,MATCH(F135,Krit_Liste,0)),"")</f>
        <v/>
      </c>
      <c r="Z135" s="35">
        <f>IF(OR(I135="nein",I135="no"),1,0)</f>
        <v/>
      </c>
      <c r="AA135" s="35">
        <f>IF(OR(J135="nein",J135="no"),1,0)</f>
        <v/>
      </c>
      <c r="AB135" s="35">
        <f>IF(OR(K135="nein",K135="no"),1,0)</f>
        <v/>
      </c>
      <c r="AC135" s="35">
        <f>IF(OR(G135="ja",G135="yes"),1,0)</f>
        <v/>
      </c>
      <c r="AD135" s="35">
        <f>IF(AND(AC135=1,OR(H135="ja",H135="yes")),1,0)</f>
        <v/>
      </c>
      <c r="AE135" s="35">
        <f>IF(AC135=1,IF(AD135=1,Pkt_Abk_mit,Pkt_Abk_ohne),0)</f>
        <v/>
      </c>
      <c r="AF135" s="35">
        <f>(G135&lt;&gt;"")+(I135&lt;&gt;"")+(J135&lt;&gt;"")+(K135&lt;&gt;"")</f>
        <v/>
      </c>
      <c r="AG135" s="35">
        <f>IF(Q135&lt;&gt;"",Q135,IF(AF135&lt;4,"",IF(Z135=1,Tage_nicht_beschaffbar,Tage_beschaffbar)))</f>
        <v/>
      </c>
      <c r="AH135" s="35">
        <f>IF(M135="","",M135*1000+Y135*10+(1000-ROW())/100000)</f>
        <v/>
      </c>
    </row>
    <row r="136" ht="34" customHeight="1">
      <c r="A136" s="23">
        <f>IF(B136="","",COUNTA($B$9:B136))</f>
        <v/>
      </c>
      <c r="B136" s="24" t="n"/>
      <c r="C136" s="25" t="n"/>
      <c r="D136" s="25" t="n"/>
      <c r="E136" s="25" t="n"/>
      <c r="F136" s="26" t="n"/>
      <c r="G136" s="26" t="n"/>
      <c r="H136" s="27" t="n"/>
      <c r="I136" s="26" t="n"/>
      <c r="J136" s="26" t="n"/>
      <c r="K136" s="26" t="n"/>
      <c r="L136" s="23">
        <f>IF(AF136&lt;4,"",Z136+AA136+AB136+AE136)</f>
        <v/>
      </c>
      <c r="M136" s="28">
        <f>IF(OR(L136="",Y136=""),"",Y136*L136)</f>
        <v/>
      </c>
      <c r="N136" s="29">
        <f>IF(M136="","",IF(M136&lt;=Gruen_bis,"grün",IF(M136&lt;=Gelb_bis,"gelb","rot")))</f>
        <v/>
      </c>
      <c r="O136" s="30">
        <f>IF(N136="",IF(B136="","","Bewertung unvollständig – ★-Felder ausfüllen"),IF(N136="grün",IF(AC136=1,IF(AD136=1,"Abgekündigt, Nachfolger vorhanden: Umstieg bei nächster Gelegenheit planen","Abgekündigt: Endbevorratung (Last-Time-Buy) prüfen, Ersatzlösung planen"),"Keine aktive Maßnahme – jährlich prüfen"),IF(AND(Z136=1,AA136=1,AB136=1),"Sofort sichern: Restbestand / Gebrauchtteil kaufen und Ersatzlösung (Retrofit) planen",IF(AND(Z136=1,AB136=1),"Reparaturweg absichern (Dienstleister, Tauschteil), Gebrauchtteil prüfen",IF(AD136=1,"Auf Nachfolgeprodukt umstellen: Kompatibilität prüfen, Umstieg planen",IF(AC136=1,IF(AB136=1,"Abgekündigt ohne Nachfolger: sofort Endbevorratung (Last-Time-Buy) und Ersatzlösung planen","Abgekündigt ohne Nachfolger: Lagerteil sichern, Ersatzlösung (Retrofit) planen"),IF(Z136=1,"Nicht beschaffbar: Lagerteil schützen, Ersatzlösung mittelfristig planen",IF(AB136=1,IF(LEFT(S136,4)="nein","Bevorratung lohnt nicht – Lieferzeit und Reparaturweg absichern","Lagerbestand anlegen (mind. 1 Stk.)"),"Reparaturmöglichkeit klären"))))))))</f>
        <v/>
      </c>
      <c r="P136" s="31" t="n"/>
      <c r="Q136" s="27" t="n"/>
      <c r="R136" s="32">
        <f>IF(OR(AG136="",Y136="",AB136=0),"",AG136*INDEX(Krit_Kosten,MATCH(F136,Krit_Liste,0)))</f>
        <v/>
      </c>
      <c r="S136" s="33">
        <f>IF(N136="","",IF(N136="grün","–",IF(AB136=0,"am Lager / in stock",IF(N(P136)&lt;=0,"Stückpreis fehlt",IF(R136&gt;=Faktor_lohnt*P136,"ja – "&amp;FIXED(R136/P136,0)&amp;"-fach","nein – "&amp;FIXED(R136/P136,IF(R136/P136&lt;1,2,1))&amp;"-fach")))))</f>
        <v/>
      </c>
      <c r="T136" s="25" t="n"/>
      <c r="U136" s="34" t="n"/>
      <c r="V136" s="27" t="n"/>
      <c r="W136" s="25" t="n"/>
      <c r="X136" s="2" t="n"/>
      <c r="Y136" s="35">
        <f>IFERROR(INDEX(Krit_Faktor,MATCH(F136,Krit_Liste,0)),"")</f>
        <v/>
      </c>
      <c r="Z136" s="35">
        <f>IF(OR(I136="nein",I136="no"),1,0)</f>
        <v/>
      </c>
      <c r="AA136" s="35">
        <f>IF(OR(J136="nein",J136="no"),1,0)</f>
        <v/>
      </c>
      <c r="AB136" s="35">
        <f>IF(OR(K136="nein",K136="no"),1,0)</f>
        <v/>
      </c>
      <c r="AC136" s="35">
        <f>IF(OR(G136="ja",G136="yes"),1,0)</f>
        <v/>
      </c>
      <c r="AD136" s="35">
        <f>IF(AND(AC136=1,OR(H136="ja",H136="yes")),1,0)</f>
        <v/>
      </c>
      <c r="AE136" s="35">
        <f>IF(AC136=1,IF(AD136=1,Pkt_Abk_mit,Pkt_Abk_ohne),0)</f>
        <v/>
      </c>
      <c r="AF136" s="35">
        <f>(G136&lt;&gt;"")+(I136&lt;&gt;"")+(J136&lt;&gt;"")+(K136&lt;&gt;"")</f>
        <v/>
      </c>
      <c r="AG136" s="35">
        <f>IF(Q136&lt;&gt;"",Q136,IF(AF136&lt;4,"",IF(Z136=1,Tage_nicht_beschaffbar,Tage_beschaffbar)))</f>
        <v/>
      </c>
      <c r="AH136" s="35">
        <f>IF(M136="","",M136*1000+Y136*10+(1000-ROW())/100000)</f>
        <v/>
      </c>
    </row>
    <row r="137" ht="34" customHeight="1">
      <c r="A137" s="23">
        <f>IF(B137="","",COUNTA($B$9:B137))</f>
        <v/>
      </c>
      <c r="B137" s="24" t="n"/>
      <c r="C137" s="25" t="n"/>
      <c r="D137" s="25" t="n"/>
      <c r="E137" s="25" t="n"/>
      <c r="F137" s="26" t="n"/>
      <c r="G137" s="26" t="n"/>
      <c r="H137" s="27" t="n"/>
      <c r="I137" s="26" t="n"/>
      <c r="J137" s="26" t="n"/>
      <c r="K137" s="26" t="n"/>
      <c r="L137" s="23">
        <f>IF(AF137&lt;4,"",Z137+AA137+AB137+AE137)</f>
        <v/>
      </c>
      <c r="M137" s="28">
        <f>IF(OR(L137="",Y137=""),"",Y137*L137)</f>
        <v/>
      </c>
      <c r="N137" s="29">
        <f>IF(M137="","",IF(M137&lt;=Gruen_bis,"grün",IF(M137&lt;=Gelb_bis,"gelb","rot")))</f>
        <v/>
      </c>
      <c r="O137" s="30">
        <f>IF(N137="",IF(B137="","","Bewertung unvollständig – ★-Felder ausfüllen"),IF(N137="grün",IF(AC137=1,IF(AD137=1,"Abgekündigt, Nachfolger vorhanden: Umstieg bei nächster Gelegenheit planen","Abgekündigt: Endbevorratung (Last-Time-Buy) prüfen, Ersatzlösung planen"),"Keine aktive Maßnahme – jährlich prüfen"),IF(AND(Z137=1,AA137=1,AB137=1),"Sofort sichern: Restbestand / Gebrauchtteil kaufen und Ersatzlösung (Retrofit) planen",IF(AND(Z137=1,AB137=1),"Reparaturweg absichern (Dienstleister, Tauschteil), Gebrauchtteil prüfen",IF(AD137=1,"Auf Nachfolgeprodukt umstellen: Kompatibilität prüfen, Umstieg planen",IF(AC137=1,IF(AB137=1,"Abgekündigt ohne Nachfolger: sofort Endbevorratung (Last-Time-Buy) und Ersatzlösung planen","Abgekündigt ohne Nachfolger: Lagerteil sichern, Ersatzlösung (Retrofit) planen"),IF(Z137=1,"Nicht beschaffbar: Lagerteil schützen, Ersatzlösung mittelfristig planen",IF(AB137=1,IF(LEFT(S137,4)="nein","Bevorratung lohnt nicht – Lieferzeit und Reparaturweg absichern","Lagerbestand anlegen (mind. 1 Stk.)"),"Reparaturmöglichkeit klären"))))))))</f>
        <v/>
      </c>
      <c r="P137" s="31" t="n"/>
      <c r="Q137" s="27" t="n"/>
      <c r="R137" s="32">
        <f>IF(OR(AG137="",Y137="",AB137=0),"",AG137*INDEX(Krit_Kosten,MATCH(F137,Krit_Liste,0)))</f>
        <v/>
      </c>
      <c r="S137" s="33">
        <f>IF(N137="","",IF(N137="grün","–",IF(AB137=0,"am Lager / in stock",IF(N(P137)&lt;=0,"Stückpreis fehlt",IF(R137&gt;=Faktor_lohnt*P137,"ja – "&amp;FIXED(R137/P137,0)&amp;"-fach","nein – "&amp;FIXED(R137/P137,IF(R137/P137&lt;1,2,1))&amp;"-fach")))))</f>
        <v/>
      </c>
      <c r="T137" s="25" t="n"/>
      <c r="U137" s="34" t="n"/>
      <c r="V137" s="27" t="n"/>
      <c r="W137" s="25" t="n"/>
      <c r="X137" s="2" t="n"/>
      <c r="Y137" s="35">
        <f>IFERROR(INDEX(Krit_Faktor,MATCH(F137,Krit_Liste,0)),"")</f>
        <v/>
      </c>
      <c r="Z137" s="35">
        <f>IF(OR(I137="nein",I137="no"),1,0)</f>
        <v/>
      </c>
      <c r="AA137" s="35">
        <f>IF(OR(J137="nein",J137="no"),1,0)</f>
        <v/>
      </c>
      <c r="AB137" s="35">
        <f>IF(OR(K137="nein",K137="no"),1,0)</f>
        <v/>
      </c>
      <c r="AC137" s="35">
        <f>IF(OR(G137="ja",G137="yes"),1,0)</f>
        <v/>
      </c>
      <c r="AD137" s="35">
        <f>IF(AND(AC137=1,OR(H137="ja",H137="yes")),1,0)</f>
        <v/>
      </c>
      <c r="AE137" s="35">
        <f>IF(AC137=1,IF(AD137=1,Pkt_Abk_mit,Pkt_Abk_ohne),0)</f>
        <v/>
      </c>
      <c r="AF137" s="35">
        <f>(G137&lt;&gt;"")+(I137&lt;&gt;"")+(J137&lt;&gt;"")+(K137&lt;&gt;"")</f>
        <v/>
      </c>
      <c r="AG137" s="35">
        <f>IF(Q137&lt;&gt;"",Q137,IF(AF137&lt;4,"",IF(Z137=1,Tage_nicht_beschaffbar,Tage_beschaffbar)))</f>
        <v/>
      </c>
      <c r="AH137" s="35">
        <f>IF(M137="","",M137*1000+Y137*10+(1000-ROW())/100000)</f>
        <v/>
      </c>
    </row>
    <row r="138" ht="34" customHeight="1">
      <c r="A138" s="23">
        <f>IF(B138="","",COUNTA($B$9:B138))</f>
        <v/>
      </c>
      <c r="B138" s="24" t="n"/>
      <c r="C138" s="25" t="n"/>
      <c r="D138" s="25" t="n"/>
      <c r="E138" s="25" t="n"/>
      <c r="F138" s="26" t="n"/>
      <c r="G138" s="26" t="n"/>
      <c r="H138" s="27" t="n"/>
      <c r="I138" s="26" t="n"/>
      <c r="J138" s="26" t="n"/>
      <c r="K138" s="26" t="n"/>
      <c r="L138" s="23">
        <f>IF(AF138&lt;4,"",Z138+AA138+AB138+AE138)</f>
        <v/>
      </c>
      <c r="M138" s="28">
        <f>IF(OR(L138="",Y138=""),"",Y138*L138)</f>
        <v/>
      </c>
      <c r="N138" s="29">
        <f>IF(M138="","",IF(M138&lt;=Gruen_bis,"grün",IF(M138&lt;=Gelb_bis,"gelb","rot")))</f>
        <v/>
      </c>
      <c r="O138" s="30">
        <f>IF(N138="",IF(B138="","","Bewertung unvollständig – ★-Felder ausfüllen"),IF(N138="grün",IF(AC138=1,IF(AD138=1,"Abgekündigt, Nachfolger vorhanden: Umstieg bei nächster Gelegenheit planen","Abgekündigt: Endbevorratung (Last-Time-Buy) prüfen, Ersatzlösung planen"),"Keine aktive Maßnahme – jährlich prüfen"),IF(AND(Z138=1,AA138=1,AB138=1),"Sofort sichern: Restbestand / Gebrauchtteil kaufen und Ersatzlösung (Retrofit) planen",IF(AND(Z138=1,AB138=1),"Reparaturweg absichern (Dienstleister, Tauschteil), Gebrauchtteil prüfen",IF(AD138=1,"Auf Nachfolgeprodukt umstellen: Kompatibilität prüfen, Umstieg planen",IF(AC138=1,IF(AB138=1,"Abgekündigt ohne Nachfolger: sofort Endbevorratung (Last-Time-Buy) und Ersatzlösung planen","Abgekündigt ohne Nachfolger: Lagerteil sichern, Ersatzlösung (Retrofit) planen"),IF(Z138=1,"Nicht beschaffbar: Lagerteil schützen, Ersatzlösung mittelfristig planen",IF(AB138=1,IF(LEFT(S138,4)="nein","Bevorratung lohnt nicht – Lieferzeit und Reparaturweg absichern","Lagerbestand anlegen (mind. 1 Stk.)"),"Reparaturmöglichkeit klären"))))))))</f>
        <v/>
      </c>
      <c r="P138" s="31" t="n"/>
      <c r="Q138" s="27" t="n"/>
      <c r="R138" s="32">
        <f>IF(OR(AG138="",Y138="",AB138=0),"",AG138*INDEX(Krit_Kosten,MATCH(F138,Krit_Liste,0)))</f>
        <v/>
      </c>
      <c r="S138" s="33">
        <f>IF(N138="","",IF(N138="grün","–",IF(AB138=0,"am Lager / in stock",IF(N(P138)&lt;=0,"Stückpreis fehlt",IF(R138&gt;=Faktor_lohnt*P138,"ja – "&amp;FIXED(R138/P138,0)&amp;"-fach","nein – "&amp;FIXED(R138/P138,IF(R138/P138&lt;1,2,1))&amp;"-fach")))))</f>
        <v/>
      </c>
      <c r="T138" s="25" t="n"/>
      <c r="U138" s="34" t="n"/>
      <c r="V138" s="27" t="n"/>
      <c r="W138" s="25" t="n"/>
      <c r="X138" s="2" t="n"/>
      <c r="Y138" s="35">
        <f>IFERROR(INDEX(Krit_Faktor,MATCH(F138,Krit_Liste,0)),"")</f>
        <v/>
      </c>
      <c r="Z138" s="35">
        <f>IF(OR(I138="nein",I138="no"),1,0)</f>
        <v/>
      </c>
      <c r="AA138" s="35">
        <f>IF(OR(J138="nein",J138="no"),1,0)</f>
        <v/>
      </c>
      <c r="AB138" s="35">
        <f>IF(OR(K138="nein",K138="no"),1,0)</f>
        <v/>
      </c>
      <c r="AC138" s="35">
        <f>IF(OR(G138="ja",G138="yes"),1,0)</f>
        <v/>
      </c>
      <c r="AD138" s="35">
        <f>IF(AND(AC138=1,OR(H138="ja",H138="yes")),1,0)</f>
        <v/>
      </c>
      <c r="AE138" s="35">
        <f>IF(AC138=1,IF(AD138=1,Pkt_Abk_mit,Pkt_Abk_ohne),0)</f>
        <v/>
      </c>
      <c r="AF138" s="35">
        <f>(G138&lt;&gt;"")+(I138&lt;&gt;"")+(J138&lt;&gt;"")+(K138&lt;&gt;"")</f>
        <v/>
      </c>
      <c r="AG138" s="35">
        <f>IF(Q138&lt;&gt;"",Q138,IF(AF138&lt;4,"",IF(Z138=1,Tage_nicht_beschaffbar,Tage_beschaffbar)))</f>
        <v/>
      </c>
      <c r="AH138" s="35">
        <f>IF(M138="","",M138*1000+Y138*10+(1000-ROW())/100000)</f>
        <v/>
      </c>
    </row>
    <row r="139" ht="34" customHeight="1">
      <c r="A139" s="23">
        <f>IF(B139="","",COUNTA($B$9:B139))</f>
        <v/>
      </c>
      <c r="B139" s="24" t="n"/>
      <c r="C139" s="25" t="n"/>
      <c r="D139" s="25" t="n"/>
      <c r="E139" s="25" t="n"/>
      <c r="F139" s="26" t="n"/>
      <c r="G139" s="26" t="n"/>
      <c r="H139" s="27" t="n"/>
      <c r="I139" s="26" t="n"/>
      <c r="J139" s="26" t="n"/>
      <c r="K139" s="26" t="n"/>
      <c r="L139" s="23">
        <f>IF(AF139&lt;4,"",Z139+AA139+AB139+AE139)</f>
        <v/>
      </c>
      <c r="M139" s="28">
        <f>IF(OR(L139="",Y139=""),"",Y139*L139)</f>
        <v/>
      </c>
      <c r="N139" s="29">
        <f>IF(M139="","",IF(M139&lt;=Gruen_bis,"grün",IF(M139&lt;=Gelb_bis,"gelb","rot")))</f>
        <v/>
      </c>
      <c r="O139" s="30">
        <f>IF(N139="",IF(B139="","","Bewertung unvollständig – ★-Felder ausfüllen"),IF(N139="grün",IF(AC139=1,IF(AD139=1,"Abgekündigt, Nachfolger vorhanden: Umstieg bei nächster Gelegenheit planen","Abgekündigt: Endbevorratung (Last-Time-Buy) prüfen, Ersatzlösung planen"),"Keine aktive Maßnahme – jährlich prüfen"),IF(AND(Z139=1,AA139=1,AB139=1),"Sofort sichern: Restbestand / Gebrauchtteil kaufen und Ersatzlösung (Retrofit) planen",IF(AND(Z139=1,AB139=1),"Reparaturweg absichern (Dienstleister, Tauschteil), Gebrauchtteil prüfen",IF(AD139=1,"Auf Nachfolgeprodukt umstellen: Kompatibilität prüfen, Umstieg planen",IF(AC139=1,IF(AB139=1,"Abgekündigt ohne Nachfolger: sofort Endbevorratung (Last-Time-Buy) und Ersatzlösung planen","Abgekündigt ohne Nachfolger: Lagerteil sichern, Ersatzlösung (Retrofit) planen"),IF(Z139=1,"Nicht beschaffbar: Lagerteil schützen, Ersatzlösung mittelfristig planen",IF(AB139=1,IF(LEFT(S139,4)="nein","Bevorratung lohnt nicht – Lieferzeit und Reparaturweg absichern","Lagerbestand anlegen (mind. 1 Stk.)"),"Reparaturmöglichkeit klären"))))))))</f>
        <v/>
      </c>
      <c r="P139" s="31" t="n"/>
      <c r="Q139" s="27" t="n"/>
      <c r="R139" s="32">
        <f>IF(OR(AG139="",Y139="",AB139=0),"",AG139*INDEX(Krit_Kosten,MATCH(F139,Krit_Liste,0)))</f>
        <v/>
      </c>
      <c r="S139" s="33">
        <f>IF(N139="","",IF(N139="grün","–",IF(AB139=0,"am Lager / in stock",IF(N(P139)&lt;=0,"Stückpreis fehlt",IF(R139&gt;=Faktor_lohnt*P139,"ja – "&amp;FIXED(R139/P139,0)&amp;"-fach","nein – "&amp;FIXED(R139/P139,IF(R139/P139&lt;1,2,1))&amp;"-fach")))))</f>
        <v/>
      </c>
      <c r="T139" s="25" t="n"/>
      <c r="U139" s="34" t="n"/>
      <c r="V139" s="27" t="n"/>
      <c r="W139" s="25" t="n"/>
      <c r="X139" s="2" t="n"/>
      <c r="Y139" s="35">
        <f>IFERROR(INDEX(Krit_Faktor,MATCH(F139,Krit_Liste,0)),"")</f>
        <v/>
      </c>
      <c r="Z139" s="35">
        <f>IF(OR(I139="nein",I139="no"),1,0)</f>
        <v/>
      </c>
      <c r="AA139" s="35">
        <f>IF(OR(J139="nein",J139="no"),1,0)</f>
        <v/>
      </c>
      <c r="AB139" s="35">
        <f>IF(OR(K139="nein",K139="no"),1,0)</f>
        <v/>
      </c>
      <c r="AC139" s="35">
        <f>IF(OR(G139="ja",G139="yes"),1,0)</f>
        <v/>
      </c>
      <c r="AD139" s="35">
        <f>IF(AND(AC139=1,OR(H139="ja",H139="yes")),1,0)</f>
        <v/>
      </c>
      <c r="AE139" s="35">
        <f>IF(AC139=1,IF(AD139=1,Pkt_Abk_mit,Pkt_Abk_ohne),0)</f>
        <v/>
      </c>
      <c r="AF139" s="35">
        <f>(G139&lt;&gt;"")+(I139&lt;&gt;"")+(J139&lt;&gt;"")+(K139&lt;&gt;"")</f>
        <v/>
      </c>
      <c r="AG139" s="35">
        <f>IF(Q139&lt;&gt;"",Q139,IF(AF139&lt;4,"",IF(Z139=1,Tage_nicht_beschaffbar,Tage_beschaffbar)))</f>
        <v/>
      </c>
      <c r="AH139" s="35">
        <f>IF(M139="","",M139*1000+Y139*10+(1000-ROW())/100000)</f>
        <v/>
      </c>
    </row>
    <row r="140" ht="34" customHeight="1">
      <c r="A140" s="23">
        <f>IF(B140="","",COUNTA($B$9:B140))</f>
        <v/>
      </c>
      <c r="B140" s="24" t="n"/>
      <c r="C140" s="25" t="n"/>
      <c r="D140" s="25" t="n"/>
      <c r="E140" s="25" t="n"/>
      <c r="F140" s="26" t="n"/>
      <c r="G140" s="26" t="n"/>
      <c r="H140" s="27" t="n"/>
      <c r="I140" s="26" t="n"/>
      <c r="J140" s="26" t="n"/>
      <c r="K140" s="26" t="n"/>
      <c r="L140" s="23">
        <f>IF(AF140&lt;4,"",Z140+AA140+AB140+AE140)</f>
        <v/>
      </c>
      <c r="M140" s="28">
        <f>IF(OR(L140="",Y140=""),"",Y140*L140)</f>
        <v/>
      </c>
      <c r="N140" s="29">
        <f>IF(M140="","",IF(M140&lt;=Gruen_bis,"grün",IF(M140&lt;=Gelb_bis,"gelb","rot")))</f>
        <v/>
      </c>
      <c r="O140" s="30">
        <f>IF(N140="",IF(B140="","","Bewertung unvollständig – ★-Felder ausfüllen"),IF(N140="grün",IF(AC140=1,IF(AD140=1,"Abgekündigt, Nachfolger vorhanden: Umstieg bei nächster Gelegenheit planen","Abgekündigt: Endbevorratung (Last-Time-Buy) prüfen, Ersatzlösung planen"),"Keine aktive Maßnahme – jährlich prüfen"),IF(AND(Z140=1,AA140=1,AB140=1),"Sofort sichern: Restbestand / Gebrauchtteil kaufen und Ersatzlösung (Retrofit) planen",IF(AND(Z140=1,AB140=1),"Reparaturweg absichern (Dienstleister, Tauschteil), Gebrauchtteil prüfen",IF(AD140=1,"Auf Nachfolgeprodukt umstellen: Kompatibilität prüfen, Umstieg planen",IF(AC140=1,IF(AB140=1,"Abgekündigt ohne Nachfolger: sofort Endbevorratung (Last-Time-Buy) und Ersatzlösung planen","Abgekündigt ohne Nachfolger: Lagerteil sichern, Ersatzlösung (Retrofit) planen"),IF(Z140=1,"Nicht beschaffbar: Lagerteil schützen, Ersatzlösung mittelfristig planen",IF(AB140=1,IF(LEFT(S140,4)="nein","Bevorratung lohnt nicht – Lieferzeit und Reparaturweg absichern","Lagerbestand anlegen (mind. 1 Stk.)"),"Reparaturmöglichkeit klären"))))))))</f>
        <v/>
      </c>
      <c r="P140" s="31" t="n"/>
      <c r="Q140" s="27" t="n"/>
      <c r="R140" s="32">
        <f>IF(OR(AG140="",Y140="",AB140=0),"",AG140*INDEX(Krit_Kosten,MATCH(F140,Krit_Liste,0)))</f>
        <v/>
      </c>
      <c r="S140" s="33">
        <f>IF(N140="","",IF(N140="grün","–",IF(AB140=0,"am Lager / in stock",IF(N(P140)&lt;=0,"Stückpreis fehlt",IF(R140&gt;=Faktor_lohnt*P140,"ja – "&amp;FIXED(R140/P140,0)&amp;"-fach","nein – "&amp;FIXED(R140/P140,IF(R140/P140&lt;1,2,1))&amp;"-fach")))))</f>
        <v/>
      </c>
      <c r="T140" s="25" t="n"/>
      <c r="U140" s="34" t="n"/>
      <c r="V140" s="27" t="n"/>
      <c r="W140" s="25" t="n"/>
      <c r="X140" s="2" t="n"/>
      <c r="Y140" s="35">
        <f>IFERROR(INDEX(Krit_Faktor,MATCH(F140,Krit_Liste,0)),"")</f>
        <v/>
      </c>
      <c r="Z140" s="35">
        <f>IF(OR(I140="nein",I140="no"),1,0)</f>
        <v/>
      </c>
      <c r="AA140" s="35">
        <f>IF(OR(J140="nein",J140="no"),1,0)</f>
        <v/>
      </c>
      <c r="AB140" s="35">
        <f>IF(OR(K140="nein",K140="no"),1,0)</f>
        <v/>
      </c>
      <c r="AC140" s="35">
        <f>IF(OR(G140="ja",G140="yes"),1,0)</f>
        <v/>
      </c>
      <c r="AD140" s="35">
        <f>IF(AND(AC140=1,OR(H140="ja",H140="yes")),1,0)</f>
        <v/>
      </c>
      <c r="AE140" s="35">
        <f>IF(AC140=1,IF(AD140=1,Pkt_Abk_mit,Pkt_Abk_ohne),0)</f>
        <v/>
      </c>
      <c r="AF140" s="35">
        <f>(G140&lt;&gt;"")+(I140&lt;&gt;"")+(J140&lt;&gt;"")+(K140&lt;&gt;"")</f>
        <v/>
      </c>
      <c r="AG140" s="35">
        <f>IF(Q140&lt;&gt;"",Q140,IF(AF140&lt;4,"",IF(Z140=1,Tage_nicht_beschaffbar,Tage_beschaffbar)))</f>
        <v/>
      </c>
      <c r="AH140" s="35">
        <f>IF(M140="","",M140*1000+Y140*10+(1000-ROW())/100000)</f>
        <v/>
      </c>
    </row>
    <row r="141" ht="34" customHeight="1">
      <c r="A141" s="23">
        <f>IF(B141="","",COUNTA($B$9:B141))</f>
        <v/>
      </c>
      <c r="B141" s="24" t="n"/>
      <c r="C141" s="25" t="n"/>
      <c r="D141" s="25" t="n"/>
      <c r="E141" s="25" t="n"/>
      <c r="F141" s="26" t="n"/>
      <c r="G141" s="26" t="n"/>
      <c r="H141" s="27" t="n"/>
      <c r="I141" s="26" t="n"/>
      <c r="J141" s="26" t="n"/>
      <c r="K141" s="26" t="n"/>
      <c r="L141" s="23">
        <f>IF(AF141&lt;4,"",Z141+AA141+AB141+AE141)</f>
        <v/>
      </c>
      <c r="M141" s="28">
        <f>IF(OR(L141="",Y141=""),"",Y141*L141)</f>
        <v/>
      </c>
      <c r="N141" s="29">
        <f>IF(M141="","",IF(M141&lt;=Gruen_bis,"grün",IF(M141&lt;=Gelb_bis,"gelb","rot")))</f>
        <v/>
      </c>
      <c r="O141" s="30">
        <f>IF(N141="",IF(B141="","","Bewertung unvollständig – ★-Felder ausfüllen"),IF(N141="grün",IF(AC141=1,IF(AD141=1,"Abgekündigt, Nachfolger vorhanden: Umstieg bei nächster Gelegenheit planen","Abgekündigt: Endbevorratung (Last-Time-Buy) prüfen, Ersatzlösung planen"),"Keine aktive Maßnahme – jährlich prüfen"),IF(AND(Z141=1,AA141=1,AB141=1),"Sofort sichern: Restbestand / Gebrauchtteil kaufen und Ersatzlösung (Retrofit) planen",IF(AND(Z141=1,AB141=1),"Reparaturweg absichern (Dienstleister, Tauschteil), Gebrauchtteil prüfen",IF(AD141=1,"Auf Nachfolgeprodukt umstellen: Kompatibilität prüfen, Umstieg planen",IF(AC141=1,IF(AB141=1,"Abgekündigt ohne Nachfolger: sofort Endbevorratung (Last-Time-Buy) und Ersatzlösung planen","Abgekündigt ohne Nachfolger: Lagerteil sichern, Ersatzlösung (Retrofit) planen"),IF(Z141=1,"Nicht beschaffbar: Lagerteil schützen, Ersatzlösung mittelfristig planen",IF(AB141=1,IF(LEFT(S141,4)="nein","Bevorratung lohnt nicht – Lieferzeit und Reparaturweg absichern","Lagerbestand anlegen (mind. 1 Stk.)"),"Reparaturmöglichkeit klären"))))))))</f>
        <v/>
      </c>
      <c r="P141" s="31" t="n"/>
      <c r="Q141" s="27" t="n"/>
      <c r="R141" s="32">
        <f>IF(OR(AG141="",Y141="",AB141=0),"",AG141*INDEX(Krit_Kosten,MATCH(F141,Krit_Liste,0)))</f>
        <v/>
      </c>
      <c r="S141" s="33">
        <f>IF(N141="","",IF(N141="grün","–",IF(AB141=0,"am Lager / in stock",IF(N(P141)&lt;=0,"Stückpreis fehlt",IF(R141&gt;=Faktor_lohnt*P141,"ja – "&amp;FIXED(R141/P141,0)&amp;"-fach","nein – "&amp;FIXED(R141/P141,IF(R141/P141&lt;1,2,1))&amp;"-fach")))))</f>
        <v/>
      </c>
      <c r="T141" s="25" t="n"/>
      <c r="U141" s="34" t="n"/>
      <c r="V141" s="27" t="n"/>
      <c r="W141" s="25" t="n"/>
      <c r="X141" s="2" t="n"/>
      <c r="Y141" s="35">
        <f>IFERROR(INDEX(Krit_Faktor,MATCH(F141,Krit_Liste,0)),"")</f>
        <v/>
      </c>
      <c r="Z141" s="35">
        <f>IF(OR(I141="nein",I141="no"),1,0)</f>
        <v/>
      </c>
      <c r="AA141" s="35">
        <f>IF(OR(J141="nein",J141="no"),1,0)</f>
        <v/>
      </c>
      <c r="AB141" s="35">
        <f>IF(OR(K141="nein",K141="no"),1,0)</f>
        <v/>
      </c>
      <c r="AC141" s="35">
        <f>IF(OR(G141="ja",G141="yes"),1,0)</f>
        <v/>
      </c>
      <c r="AD141" s="35">
        <f>IF(AND(AC141=1,OR(H141="ja",H141="yes")),1,0)</f>
        <v/>
      </c>
      <c r="AE141" s="35">
        <f>IF(AC141=1,IF(AD141=1,Pkt_Abk_mit,Pkt_Abk_ohne),0)</f>
        <v/>
      </c>
      <c r="AF141" s="35">
        <f>(G141&lt;&gt;"")+(I141&lt;&gt;"")+(J141&lt;&gt;"")+(K141&lt;&gt;"")</f>
        <v/>
      </c>
      <c r="AG141" s="35">
        <f>IF(Q141&lt;&gt;"",Q141,IF(AF141&lt;4,"",IF(Z141=1,Tage_nicht_beschaffbar,Tage_beschaffbar)))</f>
        <v/>
      </c>
      <c r="AH141" s="35">
        <f>IF(M141="","",M141*1000+Y141*10+(1000-ROW())/100000)</f>
        <v/>
      </c>
    </row>
    <row r="142" ht="34" customHeight="1">
      <c r="A142" s="23">
        <f>IF(B142="","",COUNTA($B$9:B142))</f>
        <v/>
      </c>
      <c r="B142" s="24" t="n"/>
      <c r="C142" s="25" t="n"/>
      <c r="D142" s="25" t="n"/>
      <c r="E142" s="25" t="n"/>
      <c r="F142" s="26" t="n"/>
      <c r="G142" s="26" t="n"/>
      <c r="H142" s="27" t="n"/>
      <c r="I142" s="26" t="n"/>
      <c r="J142" s="26" t="n"/>
      <c r="K142" s="26" t="n"/>
      <c r="L142" s="23">
        <f>IF(AF142&lt;4,"",Z142+AA142+AB142+AE142)</f>
        <v/>
      </c>
      <c r="M142" s="28">
        <f>IF(OR(L142="",Y142=""),"",Y142*L142)</f>
        <v/>
      </c>
      <c r="N142" s="29">
        <f>IF(M142="","",IF(M142&lt;=Gruen_bis,"grün",IF(M142&lt;=Gelb_bis,"gelb","rot")))</f>
        <v/>
      </c>
      <c r="O142" s="30">
        <f>IF(N142="",IF(B142="","","Bewertung unvollständig – ★-Felder ausfüllen"),IF(N142="grün",IF(AC142=1,IF(AD142=1,"Abgekündigt, Nachfolger vorhanden: Umstieg bei nächster Gelegenheit planen","Abgekündigt: Endbevorratung (Last-Time-Buy) prüfen, Ersatzlösung planen"),"Keine aktive Maßnahme – jährlich prüfen"),IF(AND(Z142=1,AA142=1,AB142=1),"Sofort sichern: Restbestand / Gebrauchtteil kaufen und Ersatzlösung (Retrofit) planen",IF(AND(Z142=1,AB142=1),"Reparaturweg absichern (Dienstleister, Tauschteil), Gebrauchtteil prüfen",IF(AD142=1,"Auf Nachfolgeprodukt umstellen: Kompatibilität prüfen, Umstieg planen",IF(AC142=1,IF(AB142=1,"Abgekündigt ohne Nachfolger: sofort Endbevorratung (Last-Time-Buy) und Ersatzlösung planen","Abgekündigt ohne Nachfolger: Lagerteil sichern, Ersatzlösung (Retrofit) planen"),IF(Z142=1,"Nicht beschaffbar: Lagerteil schützen, Ersatzlösung mittelfristig planen",IF(AB142=1,IF(LEFT(S142,4)="nein","Bevorratung lohnt nicht – Lieferzeit und Reparaturweg absichern","Lagerbestand anlegen (mind. 1 Stk.)"),"Reparaturmöglichkeit klären"))))))))</f>
        <v/>
      </c>
      <c r="P142" s="31" t="n"/>
      <c r="Q142" s="27" t="n"/>
      <c r="R142" s="32">
        <f>IF(OR(AG142="",Y142="",AB142=0),"",AG142*INDEX(Krit_Kosten,MATCH(F142,Krit_Liste,0)))</f>
        <v/>
      </c>
      <c r="S142" s="33">
        <f>IF(N142="","",IF(N142="grün","–",IF(AB142=0,"am Lager / in stock",IF(N(P142)&lt;=0,"Stückpreis fehlt",IF(R142&gt;=Faktor_lohnt*P142,"ja – "&amp;FIXED(R142/P142,0)&amp;"-fach","nein – "&amp;FIXED(R142/P142,IF(R142/P142&lt;1,2,1))&amp;"-fach")))))</f>
        <v/>
      </c>
      <c r="T142" s="25" t="n"/>
      <c r="U142" s="34" t="n"/>
      <c r="V142" s="27" t="n"/>
      <c r="W142" s="25" t="n"/>
      <c r="X142" s="2" t="n"/>
      <c r="Y142" s="35">
        <f>IFERROR(INDEX(Krit_Faktor,MATCH(F142,Krit_Liste,0)),"")</f>
        <v/>
      </c>
      <c r="Z142" s="35">
        <f>IF(OR(I142="nein",I142="no"),1,0)</f>
        <v/>
      </c>
      <c r="AA142" s="35">
        <f>IF(OR(J142="nein",J142="no"),1,0)</f>
        <v/>
      </c>
      <c r="AB142" s="35">
        <f>IF(OR(K142="nein",K142="no"),1,0)</f>
        <v/>
      </c>
      <c r="AC142" s="35">
        <f>IF(OR(G142="ja",G142="yes"),1,0)</f>
        <v/>
      </c>
      <c r="AD142" s="35">
        <f>IF(AND(AC142=1,OR(H142="ja",H142="yes")),1,0)</f>
        <v/>
      </c>
      <c r="AE142" s="35">
        <f>IF(AC142=1,IF(AD142=1,Pkt_Abk_mit,Pkt_Abk_ohne),0)</f>
        <v/>
      </c>
      <c r="AF142" s="35">
        <f>(G142&lt;&gt;"")+(I142&lt;&gt;"")+(J142&lt;&gt;"")+(K142&lt;&gt;"")</f>
        <v/>
      </c>
      <c r="AG142" s="35">
        <f>IF(Q142&lt;&gt;"",Q142,IF(AF142&lt;4,"",IF(Z142=1,Tage_nicht_beschaffbar,Tage_beschaffbar)))</f>
        <v/>
      </c>
      <c r="AH142" s="35">
        <f>IF(M142="","",M142*1000+Y142*10+(1000-ROW())/100000)</f>
        <v/>
      </c>
    </row>
    <row r="143" ht="34" customHeight="1">
      <c r="A143" s="23">
        <f>IF(B143="","",COUNTA($B$9:B143))</f>
        <v/>
      </c>
      <c r="B143" s="24" t="n"/>
      <c r="C143" s="25" t="n"/>
      <c r="D143" s="25" t="n"/>
      <c r="E143" s="25" t="n"/>
      <c r="F143" s="26" t="n"/>
      <c r="G143" s="26" t="n"/>
      <c r="H143" s="27" t="n"/>
      <c r="I143" s="26" t="n"/>
      <c r="J143" s="26" t="n"/>
      <c r="K143" s="26" t="n"/>
      <c r="L143" s="23">
        <f>IF(AF143&lt;4,"",Z143+AA143+AB143+AE143)</f>
        <v/>
      </c>
      <c r="M143" s="28">
        <f>IF(OR(L143="",Y143=""),"",Y143*L143)</f>
        <v/>
      </c>
      <c r="N143" s="29">
        <f>IF(M143="","",IF(M143&lt;=Gruen_bis,"grün",IF(M143&lt;=Gelb_bis,"gelb","rot")))</f>
        <v/>
      </c>
      <c r="O143" s="30">
        <f>IF(N143="",IF(B143="","","Bewertung unvollständig – ★-Felder ausfüllen"),IF(N143="grün",IF(AC143=1,IF(AD143=1,"Abgekündigt, Nachfolger vorhanden: Umstieg bei nächster Gelegenheit planen","Abgekündigt: Endbevorratung (Last-Time-Buy) prüfen, Ersatzlösung planen"),"Keine aktive Maßnahme – jährlich prüfen"),IF(AND(Z143=1,AA143=1,AB143=1),"Sofort sichern: Restbestand / Gebrauchtteil kaufen und Ersatzlösung (Retrofit) planen",IF(AND(Z143=1,AB143=1),"Reparaturweg absichern (Dienstleister, Tauschteil), Gebrauchtteil prüfen",IF(AD143=1,"Auf Nachfolgeprodukt umstellen: Kompatibilität prüfen, Umstieg planen",IF(AC143=1,IF(AB143=1,"Abgekündigt ohne Nachfolger: sofort Endbevorratung (Last-Time-Buy) und Ersatzlösung planen","Abgekündigt ohne Nachfolger: Lagerteil sichern, Ersatzlösung (Retrofit) planen"),IF(Z143=1,"Nicht beschaffbar: Lagerteil schützen, Ersatzlösung mittelfristig planen",IF(AB143=1,IF(LEFT(S143,4)="nein","Bevorratung lohnt nicht – Lieferzeit und Reparaturweg absichern","Lagerbestand anlegen (mind. 1 Stk.)"),"Reparaturmöglichkeit klären"))))))))</f>
        <v/>
      </c>
      <c r="P143" s="31" t="n"/>
      <c r="Q143" s="27" t="n"/>
      <c r="R143" s="32">
        <f>IF(OR(AG143="",Y143="",AB143=0),"",AG143*INDEX(Krit_Kosten,MATCH(F143,Krit_Liste,0)))</f>
        <v/>
      </c>
      <c r="S143" s="33">
        <f>IF(N143="","",IF(N143="grün","–",IF(AB143=0,"am Lager / in stock",IF(N(P143)&lt;=0,"Stückpreis fehlt",IF(R143&gt;=Faktor_lohnt*P143,"ja – "&amp;FIXED(R143/P143,0)&amp;"-fach","nein – "&amp;FIXED(R143/P143,IF(R143/P143&lt;1,2,1))&amp;"-fach")))))</f>
        <v/>
      </c>
      <c r="T143" s="25" t="n"/>
      <c r="U143" s="34" t="n"/>
      <c r="V143" s="27" t="n"/>
      <c r="W143" s="25" t="n"/>
      <c r="X143" s="2" t="n"/>
      <c r="Y143" s="35">
        <f>IFERROR(INDEX(Krit_Faktor,MATCH(F143,Krit_Liste,0)),"")</f>
        <v/>
      </c>
      <c r="Z143" s="35">
        <f>IF(OR(I143="nein",I143="no"),1,0)</f>
        <v/>
      </c>
      <c r="AA143" s="35">
        <f>IF(OR(J143="nein",J143="no"),1,0)</f>
        <v/>
      </c>
      <c r="AB143" s="35">
        <f>IF(OR(K143="nein",K143="no"),1,0)</f>
        <v/>
      </c>
      <c r="AC143" s="35">
        <f>IF(OR(G143="ja",G143="yes"),1,0)</f>
        <v/>
      </c>
      <c r="AD143" s="35">
        <f>IF(AND(AC143=1,OR(H143="ja",H143="yes")),1,0)</f>
        <v/>
      </c>
      <c r="AE143" s="35">
        <f>IF(AC143=1,IF(AD143=1,Pkt_Abk_mit,Pkt_Abk_ohne),0)</f>
        <v/>
      </c>
      <c r="AF143" s="35">
        <f>(G143&lt;&gt;"")+(I143&lt;&gt;"")+(J143&lt;&gt;"")+(K143&lt;&gt;"")</f>
        <v/>
      </c>
      <c r="AG143" s="35">
        <f>IF(Q143&lt;&gt;"",Q143,IF(AF143&lt;4,"",IF(Z143=1,Tage_nicht_beschaffbar,Tage_beschaffbar)))</f>
        <v/>
      </c>
      <c r="AH143" s="35">
        <f>IF(M143="","",M143*1000+Y143*10+(1000-ROW())/100000)</f>
        <v/>
      </c>
    </row>
    <row r="144" ht="34" customHeight="1">
      <c r="A144" s="23">
        <f>IF(B144="","",COUNTA($B$9:B144))</f>
        <v/>
      </c>
      <c r="B144" s="24" t="n"/>
      <c r="C144" s="25" t="n"/>
      <c r="D144" s="25" t="n"/>
      <c r="E144" s="25" t="n"/>
      <c r="F144" s="26" t="n"/>
      <c r="G144" s="26" t="n"/>
      <c r="H144" s="27" t="n"/>
      <c r="I144" s="26" t="n"/>
      <c r="J144" s="26" t="n"/>
      <c r="K144" s="26" t="n"/>
      <c r="L144" s="23">
        <f>IF(AF144&lt;4,"",Z144+AA144+AB144+AE144)</f>
        <v/>
      </c>
      <c r="M144" s="28">
        <f>IF(OR(L144="",Y144=""),"",Y144*L144)</f>
        <v/>
      </c>
      <c r="N144" s="29">
        <f>IF(M144="","",IF(M144&lt;=Gruen_bis,"grün",IF(M144&lt;=Gelb_bis,"gelb","rot")))</f>
        <v/>
      </c>
      <c r="O144" s="30">
        <f>IF(N144="",IF(B144="","","Bewertung unvollständig – ★-Felder ausfüllen"),IF(N144="grün",IF(AC144=1,IF(AD144=1,"Abgekündigt, Nachfolger vorhanden: Umstieg bei nächster Gelegenheit planen","Abgekündigt: Endbevorratung (Last-Time-Buy) prüfen, Ersatzlösung planen"),"Keine aktive Maßnahme – jährlich prüfen"),IF(AND(Z144=1,AA144=1,AB144=1),"Sofort sichern: Restbestand / Gebrauchtteil kaufen und Ersatzlösung (Retrofit) planen",IF(AND(Z144=1,AB144=1),"Reparaturweg absichern (Dienstleister, Tauschteil), Gebrauchtteil prüfen",IF(AD144=1,"Auf Nachfolgeprodukt umstellen: Kompatibilität prüfen, Umstieg planen",IF(AC144=1,IF(AB144=1,"Abgekündigt ohne Nachfolger: sofort Endbevorratung (Last-Time-Buy) und Ersatzlösung planen","Abgekündigt ohne Nachfolger: Lagerteil sichern, Ersatzlösung (Retrofit) planen"),IF(Z144=1,"Nicht beschaffbar: Lagerteil schützen, Ersatzlösung mittelfristig planen",IF(AB144=1,IF(LEFT(S144,4)="nein","Bevorratung lohnt nicht – Lieferzeit und Reparaturweg absichern","Lagerbestand anlegen (mind. 1 Stk.)"),"Reparaturmöglichkeit klären"))))))))</f>
        <v/>
      </c>
      <c r="P144" s="31" t="n"/>
      <c r="Q144" s="27" t="n"/>
      <c r="R144" s="32">
        <f>IF(OR(AG144="",Y144="",AB144=0),"",AG144*INDEX(Krit_Kosten,MATCH(F144,Krit_Liste,0)))</f>
        <v/>
      </c>
      <c r="S144" s="33">
        <f>IF(N144="","",IF(N144="grün","–",IF(AB144=0,"am Lager / in stock",IF(N(P144)&lt;=0,"Stückpreis fehlt",IF(R144&gt;=Faktor_lohnt*P144,"ja – "&amp;FIXED(R144/P144,0)&amp;"-fach","nein – "&amp;FIXED(R144/P144,IF(R144/P144&lt;1,2,1))&amp;"-fach")))))</f>
        <v/>
      </c>
      <c r="T144" s="25" t="n"/>
      <c r="U144" s="34" t="n"/>
      <c r="V144" s="27" t="n"/>
      <c r="W144" s="25" t="n"/>
      <c r="X144" s="2" t="n"/>
      <c r="Y144" s="35">
        <f>IFERROR(INDEX(Krit_Faktor,MATCH(F144,Krit_Liste,0)),"")</f>
        <v/>
      </c>
      <c r="Z144" s="35">
        <f>IF(OR(I144="nein",I144="no"),1,0)</f>
        <v/>
      </c>
      <c r="AA144" s="35">
        <f>IF(OR(J144="nein",J144="no"),1,0)</f>
        <v/>
      </c>
      <c r="AB144" s="35">
        <f>IF(OR(K144="nein",K144="no"),1,0)</f>
        <v/>
      </c>
      <c r="AC144" s="35">
        <f>IF(OR(G144="ja",G144="yes"),1,0)</f>
        <v/>
      </c>
      <c r="AD144" s="35">
        <f>IF(AND(AC144=1,OR(H144="ja",H144="yes")),1,0)</f>
        <v/>
      </c>
      <c r="AE144" s="35">
        <f>IF(AC144=1,IF(AD144=1,Pkt_Abk_mit,Pkt_Abk_ohne),0)</f>
        <v/>
      </c>
      <c r="AF144" s="35">
        <f>(G144&lt;&gt;"")+(I144&lt;&gt;"")+(J144&lt;&gt;"")+(K144&lt;&gt;"")</f>
        <v/>
      </c>
      <c r="AG144" s="35">
        <f>IF(Q144&lt;&gt;"",Q144,IF(AF144&lt;4,"",IF(Z144=1,Tage_nicht_beschaffbar,Tage_beschaffbar)))</f>
        <v/>
      </c>
      <c r="AH144" s="35">
        <f>IF(M144="","",M144*1000+Y144*10+(1000-ROW())/100000)</f>
        <v/>
      </c>
    </row>
    <row r="145" ht="34" customHeight="1">
      <c r="A145" s="23">
        <f>IF(B145="","",COUNTA($B$9:B145))</f>
        <v/>
      </c>
      <c r="B145" s="24" t="n"/>
      <c r="C145" s="25" t="n"/>
      <c r="D145" s="25" t="n"/>
      <c r="E145" s="25" t="n"/>
      <c r="F145" s="26" t="n"/>
      <c r="G145" s="26" t="n"/>
      <c r="H145" s="27" t="n"/>
      <c r="I145" s="26" t="n"/>
      <c r="J145" s="26" t="n"/>
      <c r="K145" s="26" t="n"/>
      <c r="L145" s="23">
        <f>IF(AF145&lt;4,"",Z145+AA145+AB145+AE145)</f>
        <v/>
      </c>
      <c r="M145" s="28">
        <f>IF(OR(L145="",Y145=""),"",Y145*L145)</f>
        <v/>
      </c>
      <c r="N145" s="29">
        <f>IF(M145="","",IF(M145&lt;=Gruen_bis,"grün",IF(M145&lt;=Gelb_bis,"gelb","rot")))</f>
        <v/>
      </c>
      <c r="O145" s="30">
        <f>IF(N145="",IF(B145="","","Bewertung unvollständig – ★-Felder ausfüllen"),IF(N145="grün",IF(AC145=1,IF(AD145=1,"Abgekündigt, Nachfolger vorhanden: Umstieg bei nächster Gelegenheit planen","Abgekündigt: Endbevorratung (Last-Time-Buy) prüfen, Ersatzlösung planen"),"Keine aktive Maßnahme – jährlich prüfen"),IF(AND(Z145=1,AA145=1,AB145=1),"Sofort sichern: Restbestand / Gebrauchtteil kaufen und Ersatzlösung (Retrofit) planen",IF(AND(Z145=1,AB145=1),"Reparaturweg absichern (Dienstleister, Tauschteil), Gebrauchtteil prüfen",IF(AD145=1,"Auf Nachfolgeprodukt umstellen: Kompatibilität prüfen, Umstieg planen",IF(AC145=1,IF(AB145=1,"Abgekündigt ohne Nachfolger: sofort Endbevorratung (Last-Time-Buy) und Ersatzlösung planen","Abgekündigt ohne Nachfolger: Lagerteil sichern, Ersatzlösung (Retrofit) planen"),IF(Z145=1,"Nicht beschaffbar: Lagerteil schützen, Ersatzlösung mittelfristig planen",IF(AB145=1,IF(LEFT(S145,4)="nein","Bevorratung lohnt nicht – Lieferzeit und Reparaturweg absichern","Lagerbestand anlegen (mind. 1 Stk.)"),"Reparaturmöglichkeit klären"))))))))</f>
        <v/>
      </c>
      <c r="P145" s="31" t="n"/>
      <c r="Q145" s="27" t="n"/>
      <c r="R145" s="32">
        <f>IF(OR(AG145="",Y145="",AB145=0),"",AG145*INDEX(Krit_Kosten,MATCH(F145,Krit_Liste,0)))</f>
        <v/>
      </c>
      <c r="S145" s="33">
        <f>IF(N145="","",IF(N145="grün","–",IF(AB145=0,"am Lager / in stock",IF(N(P145)&lt;=0,"Stückpreis fehlt",IF(R145&gt;=Faktor_lohnt*P145,"ja – "&amp;FIXED(R145/P145,0)&amp;"-fach","nein – "&amp;FIXED(R145/P145,IF(R145/P145&lt;1,2,1))&amp;"-fach")))))</f>
        <v/>
      </c>
      <c r="T145" s="25" t="n"/>
      <c r="U145" s="34" t="n"/>
      <c r="V145" s="27" t="n"/>
      <c r="W145" s="25" t="n"/>
      <c r="X145" s="2" t="n"/>
      <c r="Y145" s="35">
        <f>IFERROR(INDEX(Krit_Faktor,MATCH(F145,Krit_Liste,0)),"")</f>
        <v/>
      </c>
      <c r="Z145" s="35">
        <f>IF(OR(I145="nein",I145="no"),1,0)</f>
        <v/>
      </c>
      <c r="AA145" s="35">
        <f>IF(OR(J145="nein",J145="no"),1,0)</f>
        <v/>
      </c>
      <c r="AB145" s="35">
        <f>IF(OR(K145="nein",K145="no"),1,0)</f>
        <v/>
      </c>
      <c r="AC145" s="35">
        <f>IF(OR(G145="ja",G145="yes"),1,0)</f>
        <v/>
      </c>
      <c r="AD145" s="35">
        <f>IF(AND(AC145=1,OR(H145="ja",H145="yes")),1,0)</f>
        <v/>
      </c>
      <c r="AE145" s="35">
        <f>IF(AC145=1,IF(AD145=1,Pkt_Abk_mit,Pkt_Abk_ohne),0)</f>
        <v/>
      </c>
      <c r="AF145" s="35">
        <f>(G145&lt;&gt;"")+(I145&lt;&gt;"")+(J145&lt;&gt;"")+(K145&lt;&gt;"")</f>
        <v/>
      </c>
      <c r="AG145" s="35">
        <f>IF(Q145&lt;&gt;"",Q145,IF(AF145&lt;4,"",IF(Z145=1,Tage_nicht_beschaffbar,Tage_beschaffbar)))</f>
        <v/>
      </c>
      <c r="AH145" s="35">
        <f>IF(M145="","",M145*1000+Y145*10+(1000-ROW())/100000)</f>
        <v/>
      </c>
    </row>
    <row r="146" ht="34" customHeight="1">
      <c r="A146" s="23">
        <f>IF(B146="","",COUNTA($B$9:B146))</f>
        <v/>
      </c>
      <c r="B146" s="24" t="n"/>
      <c r="C146" s="25" t="n"/>
      <c r="D146" s="25" t="n"/>
      <c r="E146" s="25" t="n"/>
      <c r="F146" s="26" t="n"/>
      <c r="G146" s="26" t="n"/>
      <c r="H146" s="27" t="n"/>
      <c r="I146" s="26" t="n"/>
      <c r="J146" s="26" t="n"/>
      <c r="K146" s="26" t="n"/>
      <c r="L146" s="23">
        <f>IF(AF146&lt;4,"",Z146+AA146+AB146+AE146)</f>
        <v/>
      </c>
      <c r="M146" s="28">
        <f>IF(OR(L146="",Y146=""),"",Y146*L146)</f>
        <v/>
      </c>
      <c r="N146" s="29">
        <f>IF(M146="","",IF(M146&lt;=Gruen_bis,"grün",IF(M146&lt;=Gelb_bis,"gelb","rot")))</f>
        <v/>
      </c>
      <c r="O146" s="30">
        <f>IF(N146="",IF(B146="","","Bewertung unvollständig – ★-Felder ausfüllen"),IF(N146="grün",IF(AC146=1,IF(AD146=1,"Abgekündigt, Nachfolger vorhanden: Umstieg bei nächster Gelegenheit planen","Abgekündigt: Endbevorratung (Last-Time-Buy) prüfen, Ersatzlösung planen"),"Keine aktive Maßnahme – jährlich prüfen"),IF(AND(Z146=1,AA146=1,AB146=1),"Sofort sichern: Restbestand / Gebrauchtteil kaufen und Ersatzlösung (Retrofit) planen",IF(AND(Z146=1,AB146=1),"Reparaturweg absichern (Dienstleister, Tauschteil), Gebrauchtteil prüfen",IF(AD146=1,"Auf Nachfolgeprodukt umstellen: Kompatibilität prüfen, Umstieg planen",IF(AC146=1,IF(AB146=1,"Abgekündigt ohne Nachfolger: sofort Endbevorratung (Last-Time-Buy) und Ersatzlösung planen","Abgekündigt ohne Nachfolger: Lagerteil sichern, Ersatzlösung (Retrofit) planen"),IF(Z146=1,"Nicht beschaffbar: Lagerteil schützen, Ersatzlösung mittelfristig planen",IF(AB146=1,IF(LEFT(S146,4)="nein","Bevorratung lohnt nicht – Lieferzeit und Reparaturweg absichern","Lagerbestand anlegen (mind. 1 Stk.)"),"Reparaturmöglichkeit klären"))))))))</f>
        <v/>
      </c>
      <c r="P146" s="31" t="n"/>
      <c r="Q146" s="27" t="n"/>
      <c r="R146" s="32">
        <f>IF(OR(AG146="",Y146="",AB146=0),"",AG146*INDEX(Krit_Kosten,MATCH(F146,Krit_Liste,0)))</f>
        <v/>
      </c>
      <c r="S146" s="33">
        <f>IF(N146="","",IF(N146="grün","–",IF(AB146=0,"am Lager / in stock",IF(N(P146)&lt;=0,"Stückpreis fehlt",IF(R146&gt;=Faktor_lohnt*P146,"ja – "&amp;FIXED(R146/P146,0)&amp;"-fach","nein – "&amp;FIXED(R146/P146,IF(R146/P146&lt;1,2,1))&amp;"-fach")))))</f>
        <v/>
      </c>
      <c r="T146" s="25" t="n"/>
      <c r="U146" s="34" t="n"/>
      <c r="V146" s="27" t="n"/>
      <c r="W146" s="25" t="n"/>
      <c r="X146" s="2" t="n"/>
      <c r="Y146" s="35">
        <f>IFERROR(INDEX(Krit_Faktor,MATCH(F146,Krit_Liste,0)),"")</f>
        <v/>
      </c>
      <c r="Z146" s="35">
        <f>IF(OR(I146="nein",I146="no"),1,0)</f>
        <v/>
      </c>
      <c r="AA146" s="35">
        <f>IF(OR(J146="nein",J146="no"),1,0)</f>
        <v/>
      </c>
      <c r="AB146" s="35">
        <f>IF(OR(K146="nein",K146="no"),1,0)</f>
        <v/>
      </c>
      <c r="AC146" s="35">
        <f>IF(OR(G146="ja",G146="yes"),1,0)</f>
        <v/>
      </c>
      <c r="AD146" s="35">
        <f>IF(AND(AC146=1,OR(H146="ja",H146="yes")),1,0)</f>
        <v/>
      </c>
      <c r="AE146" s="35">
        <f>IF(AC146=1,IF(AD146=1,Pkt_Abk_mit,Pkt_Abk_ohne),0)</f>
        <v/>
      </c>
      <c r="AF146" s="35">
        <f>(G146&lt;&gt;"")+(I146&lt;&gt;"")+(J146&lt;&gt;"")+(K146&lt;&gt;"")</f>
        <v/>
      </c>
      <c r="AG146" s="35">
        <f>IF(Q146&lt;&gt;"",Q146,IF(AF146&lt;4,"",IF(Z146=1,Tage_nicht_beschaffbar,Tage_beschaffbar)))</f>
        <v/>
      </c>
      <c r="AH146" s="35">
        <f>IF(M146="","",M146*1000+Y146*10+(1000-ROW())/100000)</f>
        <v/>
      </c>
    </row>
    <row r="147" ht="34" customHeight="1">
      <c r="A147" s="23">
        <f>IF(B147="","",COUNTA($B$9:B147))</f>
        <v/>
      </c>
      <c r="B147" s="24" t="n"/>
      <c r="C147" s="25" t="n"/>
      <c r="D147" s="25" t="n"/>
      <c r="E147" s="25" t="n"/>
      <c r="F147" s="26" t="n"/>
      <c r="G147" s="26" t="n"/>
      <c r="H147" s="27" t="n"/>
      <c r="I147" s="26" t="n"/>
      <c r="J147" s="26" t="n"/>
      <c r="K147" s="26" t="n"/>
      <c r="L147" s="23">
        <f>IF(AF147&lt;4,"",Z147+AA147+AB147+AE147)</f>
        <v/>
      </c>
      <c r="M147" s="28">
        <f>IF(OR(L147="",Y147=""),"",Y147*L147)</f>
        <v/>
      </c>
      <c r="N147" s="29">
        <f>IF(M147="","",IF(M147&lt;=Gruen_bis,"grün",IF(M147&lt;=Gelb_bis,"gelb","rot")))</f>
        <v/>
      </c>
      <c r="O147" s="30">
        <f>IF(N147="",IF(B147="","","Bewertung unvollständig – ★-Felder ausfüllen"),IF(N147="grün",IF(AC147=1,IF(AD147=1,"Abgekündigt, Nachfolger vorhanden: Umstieg bei nächster Gelegenheit planen","Abgekündigt: Endbevorratung (Last-Time-Buy) prüfen, Ersatzlösung planen"),"Keine aktive Maßnahme – jährlich prüfen"),IF(AND(Z147=1,AA147=1,AB147=1),"Sofort sichern: Restbestand / Gebrauchtteil kaufen und Ersatzlösung (Retrofit) planen",IF(AND(Z147=1,AB147=1),"Reparaturweg absichern (Dienstleister, Tauschteil), Gebrauchtteil prüfen",IF(AD147=1,"Auf Nachfolgeprodukt umstellen: Kompatibilität prüfen, Umstieg planen",IF(AC147=1,IF(AB147=1,"Abgekündigt ohne Nachfolger: sofort Endbevorratung (Last-Time-Buy) und Ersatzlösung planen","Abgekündigt ohne Nachfolger: Lagerteil sichern, Ersatzlösung (Retrofit) planen"),IF(Z147=1,"Nicht beschaffbar: Lagerteil schützen, Ersatzlösung mittelfristig planen",IF(AB147=1,IF(LEFT(S147,4)="nein","Bevorratung lohnt nicht – Lieferzeit und Reparaturweg absichern","Lagerbestand anlegen (mind. 1 Stk.)"),"Reparaturmöglichkeit klären"))))))))</f>
        <v/>
      </c>
      <c r="P147" s="31" t="n"/>
      <c r="Q147" s="27" t="n"/>
      <c r="R147" s="32">
        <f>IF(OR(AG147="",Y147="",AB147=0),"",AG147*INDEX(Krit_Kosten,MATCH(F147,Krit_Liste,0)))</f>
        <v/>
      </c>
      <c r="S147" s="33">
        <f>IF(N147="","",IF(N147="grün","–",IF(AB147=0,"am Lager / in stock",IF(N(P147)&lt;=0,"Stückpreis fehlt",IF(R147&gt;=Faktor_lohnt*P147,"ja – "&amp;FIXED(R147/P147,0)&amp;"-fach","nein – "&amp;FIXED(R147/P147,IF(R147/P147&lt;1,2,1))&amp;"-fach")))))</f>
        <v/>
      </c>
      <c r="T147" s="25" t="n"/>
      <c r="U147" s="34" t="n"/>
      <c r="V147" s="27" t="n"/>
      <c r="W147" s="25" t="n"/>
      <c r="X147" s="2" t="n"/>
      <c r="Y147" s="35">
        <f>IFERROR(INDEX(Krit_Faktor,MATCH(F147,Krit_Liste,0)),"")</f>
        <v/>
      </c>
      <c r="Z147" s="35">
        <f>IF(OR(I147="nein",I147="no"),1,0)</f>
        <v/>
      </c>
      <c r="AA147" s="35">
        <f>IF(OR(J147="nein",J147="no"),1,0)</f>
        <v/>
      </c>
      <c r="AB147" s="35">
        <f>IF(OR(K147="nein",K147="no"),1,0)</f>
        <v/>
      </c>
      <c r="AC147" s="35">
        <f>IF(OR(G147="ja",G147="yes"),1,0)</f>
        <v/>
      </c>
      <c r="AD147" s="35">
        <f>IF(AND(AC147=1,OR(H147="ja",H147="yes")),1,0)</f>
        <v/>
      </c>
      <c r="AE147" s="35">
        <f>IF(AC147=1,IF(AD147=1,Pkt_Abk_mit,Pkt_Abk_ohne),0)</f>
        <v/>
      </c>
      <c r="AF147" s="35">
        <f>(G147&lt;&gt;"")+(I147&lt;&gt;"")+(J147&lt;&gt;"")+(K147&lt;&gt;"")</f>
        <v/>
      </c>
      <c r="AG147" s="35">
        <f>IF(Q147&lt;&gt;"",Q147,IF(AF147&lt;4,"",IF(Z147=1,Tage_nicht_beschaffbar,Tage_beschaffbar)))</f>
        <v/>
      </c>
      <c r="AH147" s="35">
        <f>IF(M147="","",M147*1000+Y147*10+(1000-ROW())/100000)</f>
        <v/>
      </c>
    </row>
    <row r="148" ht="34" customHeight="1">
      <c r="A148" s="23">
        <f>IF(B148="","",COUNTA($B$9:B148))</f>
        <v/>
      </c>
      <c r="B148" s="24" t="n"/>
      <c r="C148" s="25" t="n"/>
      <c r="D148" s="25" t="n"/>
      <c r="E148" s="25" t="n"/>
      <c r="F148" s="26" t="n"/>
      <c r="G148" s="26" t="n"/>
      <c r="H148" s="27" t="n"/>
      <c r="I148" s="26" t="n"/>
      <c r="J148" s="26" t="n"/>
      <c r="K148" s="26" t="n"/>
      <c r="L148" s="23">
        <f>IF(AF148&lt;4,"",Z148+AA148+AB148+AE148)</f>
        <v/>
      </c>
      <c r="M148" s="28">
        <f>IF(OR(L148="",Y148=""),"",Y148*L148)</f>
        <v/>
      </c>
      <c r="N148" s="29">
        <f>IF(M148="","",IF(M148&lt;=Gruen_bis,"grün",IF(M148&lt;=Gelb_bis,"gelb","rot")))</f>
        <v/>
      </c>
      <c r="O148" s="30">
        <f>IF(N148="",IF(B148="","","Bewertung unvollständig – ★-Felder ausfüllen"),IF(N148="grün",IF(AC148=1,IF(AD148=1,"Abgekündigt, Nachfolger vorhanden: Umstieg bei nächster Gelegenheit planen","Abgekündigt: Endbevorratung (Last-Time-Buy) prüfen, Ersatzlösung planen"),"Keine aktive Maßnahme – jährlich prüfen"),IF(AND(Z148=1,AA148=1,AB148=1),"Sofort sichern: Restbestand / Gebrauchtteil kaufen und Ersatzlösung (Retrofit) planen",IF(AND(Z148=1,AB148=1),"Reparaturweg absichern (Dienstleister, Tauschteil), Gebrauchtteil prüfen",IF(AD148=1,"Auf Nachfolgeprodukt umstellen: Kompatibilität prüfen, Umstieg planen",IF(AC148=1,IF(AB148=1,"Abgekündigt ohne Nachfolger: sofort Endbevorratung (Last-Time-Buy) und Ersatzlösung planen","Abgekündigt ohne Nachfolger: Lagerteil sichern, Ersatzlösung (Retrofit) planen"),IF(Z148=1,"Nicht beschaffbar: Lagerteil schützen, Ersatzlösung mittelfristig planen",IF(AB148=1,IF(LEFT(S148,4)="nein","Bevorratung lohnt nicht – Lieferzeit und Reparaturweg absichern","Lagerbestand anlegen (mind. 1 Stk.)"),"Reparaturmöglichkeit klären"))))))))</f>
        <v/>
      </c>
      <c r="P148" s="31" t="n"/>
      <c r="Q148" s="27" t="n"/>
      <c r="R148" s="32">
        <f>IF(OR(AG148="",Y148="",AB148=0),"",AG148*INDEX(Krit_Kosten,MATCH(F148,Krit_Liste,0)))</f>
        <v/>
      </c>
      <c r="S148" s="33">
        <f>IF(N148="","",IF(N148="grün","–",IF(AB148=0,"am Lager / in stock",IF(N(P148)&lt;=0,"Stückpreis fehlt",IF(R148&gt;=Faktor_lohnt*P148,"ja – "&amp;FIXED(R148/P148,0)&amp;"-fach","nein – "&amp;FIXED(R148/P148,IF(R148/P148&lt;1,2,1))&amp;"-fach")))))</f>
        <v/>
      </c>
      <c r="T148" s="25" t="n"/>
      <c r="U148" s="34" t="n"/>
      <c r="V148" s="27" t="n"/>
      <c r="W148" s="25" t="n"/>
      <c r="X148" s="2" t="n"/>
      <c r="Y148" s="35">
        <f>IFERROR(INDEX(Krit_Faktor,MATCH(F148,Krit_Liste,0)),"")</f>
        <v/>
      </c>
      <c r="Z148" s="35">
        <f>IF(OR(I148="nein",I148="no"),1,0)</f>
        <v/>
      </c>
      <c r="AA148" s="35">
        <f>IF(OR(J148="nein",J148="no"),1,0)</f>
        <v/>
      </c>
      <c r="AB148" s="35">
        <f>IF(OR(K148="nein",K148="no"),1,0)</f>
        <v/>
      </c>
      <c r="AC148" s="35">
        <f>IF(OR(G148="ja",G148="yes"),1,0)</f>
        <v/>
      </c>
      <c r="AD148" s="35">
        <f>IF(AND(AC148=1,OR(H148="ja",H148="yes")),1,0)</f>
        <v/>
      </c>
      <c r="AE148" s="35">
        <f>IF(AC148=1,IF(AD148=1,Pkt_Abk_mit,Pkt_Abk_ohne),0)</f>
        <v/>
      </c>
      <c r="AF148" s="35">
        <f>(G148&lt;&gt;"")+(I148&lt;&gt;"")+(J148&lt;&gt;"")+(K148&lt;&gt;"")</f>
        <v/>
      </c>
      <c r="AG148" s="35">
        <f>IF(Q148&lt;&gt;"",Q148,IF(AF148&lt;4,"",IF(Z148=1,Tage_nicht_beschaffbar,Tage_beschaffbar)))</f>
        <v/>
      </c>
      <c r="AH148" s="35">
        <f>IF(M148="","",M148*1000+Y148*10+(1000-ROW())/100000)</f>
        <v/>
      </c>
    </row>
    <row r="149" ht="34" customHeight="1">
      <c r="A149" s="23">
        <f>IF(B149="","",COUNTA($B$9:B149))</f>
        <v/>
      </c>
      <c r="B149" s="24" t="n"/>
      <c r="C149" s="25" t="n"/>
      <c r="D149" s="25" t="n"/>
      <c r="E149" s="25" t="n"/>
      <c r="F149" s="26" t="n"/>
      <c r="G149" s="26" t="n"/>
      <c r="H149" s="27" t="n"/>
      <c r="I149" s="26" t="n"/>
      <c r="J149" s="26" t="n"/>
      <c r="K149" s="26" t="n"/>
      <c r="L149" s="23">
        <f>IF(AF149&lt;4,"",Z149+AA149+AB149+AE149)</f>
        <v/>
      </c>
      <c r="M149" s="28">
        <f>IF(OR(L149="",Y149=""),"",Y149*L149)</f>
        <v/>
      </c>
      <c r="N149" s="29">
        <f>IF(M149="","",IF(M149&lt;=Gruen_bis,"grün",IF(M149&lt;=Gelb_bis,"gelb","rot")))</f>
        <v/>
      </c>
      <c r="O149" s="30">
        <f>IF(N149="",IF(B149="","","Bewertung unvollständig – ★-Felder ausfüllen"),IF(N149="grün",IF(AC149=1,IF(AD149=1,"Abgekündigt, Nachfolger vorhanden: Umstieg bei nächster Gelegenheit planen","Abgekündigt: Endbevorratung (Last-Time-Buy) prüfen, Ersatzlösung planen"),"Keine aktive Maßnahme – jährlich prüfen"),IF(AND(Z149=1,AA149=1,AB149=1),"Sofort sichern: Restbestand / Gebrauchtteil kaufen und Ersatzlösung (Retrofit) planen",IF(AND(Z149=1,AB149=1),"Reparaturweg absichern (Dienstleister, Tauschteil), Gebrauchtteil prüfen",IF(AD149=1,"Auf Nachfolgeprodukt umstellen: Kompatibilität prüfen, Umstieg planen",IF(AC149=1,IF(AB149=1,"Abgekündigt ohne Nachfolger: sofort Endbevorratung (Last-Time-Buy) und Ersatzlösung planen","Abgekündigt ohne Nachfolger: Lagerteil sichern, Ersatzlösung (Retrofit) planen"),IF(Z149=1,"Nicht beschaffbar: Lagerteil schützen, Ersatzlösung mittelfristig planen",IF(AB149=1,IF(LEFT(S149,4)="nein","Bevorratung lohnt nicht – Lieferzeit und Reparaturweg absichern","Lagerbestand anlegen (mind. 1 Stk.)"),"Reparaturmöglichkeit klären"))))))))</f>
        <v/>
      </c>
      <c r="P149" s="31" t="n"/>
      <c r="Q149" s="27" t="n"/>
      <c r="R149" s="32">
        <f>IF(OR(AG149="",Y149="",AB149=0),"",AG149*INDEX(Krit_Kosten,MATCH(F149,Krit_Liste,0)))</f>
        <v/>
      </c>
      <c r="S149" s="33">
        <f>IF(N149="","",IF(N149="grün","–",IF(AB149=0,"am Lager / in stock",IF(N(P149)&lt;=0,"Stückpreis fehlt",IF(R149&gt;=Faktor_lohnt*P149,"ja – "&amp;FIXED(R149/P149,0)&amp;"-fach","nein – "&amp;FIXED(R149/P149,IF(R149/P149&lt;1,2,1))&amp;"-fach")))))</f>
        <v/>
      </c>
      <c r="T149" s="25" t="n"/>
      <c r="U149" s="34" t="n"/>
      <c r="V149" s="27" t="n"/>
      <c r="W149" s="25" t="n"/>
      <c r="X149" s="2" t="n"/>
      <c r="Y149" s="35">
        <f>IFERROR(INDEX(Krit_Faktor,MATCH(F149,Krit_Liste,0)),"")</f>
        <v/>
      </c>
      <c r="Z149" s="35">
        <f>IF(OR(I149="nein",I149="no"),1,0)</f>
        <v/>
      </c>
      <c r="AA149" s="35">
        <f>IF(OR(J149="nein",J149="no"),1,0)</f>
        <v/>
      </c>
      <c r="AB149" s="35">
        <f>IF(OR(K149="nein",K149="no"),1,0)</f>
        <v/>
      </c>
      <c r="AC149" s="35">
        <f>IF(OR(G149="ja",G149="yes"),1,0)</f>
        <v/>
      </c>
      <c r="AD149" s="35">
        <f>IF(AND(AC149=1,OR(H149="ja",H149="yes")),1,0)</f>
        <v/>
      </c>
      <c r="AE149" s="35">
        <f>IF(AC149=1,IF(AD149=1,Pkt_Abk_mit,Pkt_Abk_ohne),0)</f>
        <v/>
      </c>
      <c r="AF149" s="35">
        <f>(G149&lt;&gt;"")+(I149&lt;&gt;"")+(J149&lt;&gt;"")+(K149&lt;&gt;"")</f>
        <v/>
      </c>
      <c r="AG149" s="35">
        <f>IF(Q149&lt;&gt;"",Q149,IF(AF149&lt;4,"",IF(Z149=1,Tage_nicht_beschaffbar,Tage_beschaffbar)))</f>
        <v/>
      </c>
      <c r="AH149" s="35">
        <f>IF(M149="","",M149*1000+Y149*10+(1000-ROW())/100000)</f>
        <v/>
      </c>
    </row>
    <row r="150" ht="34" customHeight="1">
      <c r="A150" s="23">
        <f>IF(B150="","",COUNTA($B$9:B150))</f>
        <v/>
      </c>
      <c r="B150" s="24" t="n"/>
      <c r="C150" s="25" t="n"/>
      <c r="D150" s="25" t="n"/>
      <c r="E150" s="25" t="n"/>
      <c r="F150" s="26" t="n"/>
      <c r="G150" s="26" t="n"/>
      <c r="H150" s="27" t="n"/>
      <c r="I150" s="26" t="n"/>
      <c r="J150" s="26" t="n"/>
      <c r="K150" s="26" t="n"/>
      <c r="L150" s="23">
        <f>IF(AF150&lt;4,"",Z150+AA150+AB150+AE150)</f>
        <v/>
      </c>
      <c r="M150" s="28">
        <f>IF(OR(L150="",Y150=""),"",Y150*L150)</f>
        <v/>
      </c>
      <c r="N150" s="29">
        <f>IF(M150="","",IF(M150&lt;=Gruen_bis,"grün",IF(M150&lt;=Gelb_bis,"gelb","rot")))</f>
        <v/>
      </c>
      <c r="O150" s="30">
        <f>IF(N150="",IF(B150="","","Bewertung unvollständig – ★-Felder ausfüllen"),IF(N150="grün",IF(AC150=1,IF(AD150=1,"Abgekündigt, Nachfolger vorhanden: Umstieg bei nächster Gelegenheit planen","Abgekündigt: Endbevorratung (Last-Time-Buy) prüfen, Ersatzlösung planen"),"Keine aktive Maßnahme – jährlich prüfen"),IF(AND(Z150=1,AA150=1,AB150=1),"Sofort sichern: Restbestand / Gebrauchtteil kaufen und Ersatzlösung (Retrofit) planen",IF(AND(Z150=1,AB150=1),"Reparaturweg absichern (Dienstleister, Tauschteil), Gebrauchtteil prüfen",IF(AD150=1,"Auf Nachfolgeprodukt umstellen: Kompatibilität prüfen, Umstieg planen",IF(AC150=1,IF(AB150=1,"Abgekündigt ohne Nachfolger: sofort Endbevorratung (Last-Time-Buy) und Ersatzlösung planen","Abgekündigt ohne Nachfolger: Lagerteil sichern, Ersatzlösung (Retrofit) planen"),IF(Z150=1,"Nicht beschaffbar: Lagerteil schützen, Ersatzlösung mittelfristig planen",IF(AB150=1,IF(LEFT(S150,4)="nein","Bevorratung lohnt nicht – Lieferzeit und Reparaturweg absichern","Lagerbestand anlegen (mind. 1 Stk.)"),"Reparaturmöglichkeit klären"))))))))</f>
        <v/>
      </c>
      <c r="P150" s="31" t="n"/>
      <c r="Q150" s="27" t="n"/>
      <c r="R150" s="32">
        <f>IF(OR(AG150="",Y150="",AB150=0),"",AG150*INDEX(Krit_Kosten,MATCH(F150,Krit_Liste,0)))</f>
        <v/>
      </c>
      <c r="S150" s="33">
        <f>IF(N150="","",IF(N150="grün","–",IF(AB150=0,"am Lager / in stock",IF(N(P150)&lt;=0,"Stückpreis fehlt",IF(R150&gt;=Faktor_lohnt*P150,"ja – "&amp;FIXED(R150/P150,0)&amp;"-fach","nein – "&amp;FIXED(R150/P150,IF(R150/P150&lt;1,2,1))&amp;"-fach")))))</f>
        <v/>
      </c>
      <c r="T150" s="25" t="n"/>
      <c r="U150" s="34" t="n"/>
      <c r="V150" s="27" t="n"/>
      <c r="W150" s="25" t="n"/>
      <c r="X150" s="2" t="n"/>
      <c r="Y150" s="35">
        <f>IFERROR(INDEX(Krit_Faktor,MATCH(F150,Krit_Liste,0)),"")</f>
        <v/>
      </c>
      <c r="Z150" s="35">
        <f>IF(OR(I150="nein",I150="no"),1,0)</f>
        <v/>
      </c>
      <c r="AA150" s="35">
        <f>IF(OR(J150="nein",J150="no"),1,0)</f>
        <v/>
      </c>
      <c r="AB150" s="35">
        <f>IF(OR(K150="nein",K150="no"),1,0)</f>
        <v/>
      </c>
      <c r="AC150" s="35">
        <f>IF(OR(G150="ja",G150="yes"),1,0)</f>
        <v/>
      </c>
      <c r="AD150" s="35">
        <f>IF(AND(AC150=1,OR(H150="ja",H150="yes")),1,0)</f>
        <v/>
      </c>
      <c r="AE150" s="35">
        <f>IF(AC150=1,IF(AD150=1,Pkt_Abk_mit,Pkt_Abk_ohne),0)</f>
        <v/>
      </c>
      <c r="AF150" s="35">
        <f>(G150&lt;&gt;"")+(I150&lt;&gt;"")+(J150&lt;&gt;"")+(K150&lt;&gt;"")</f>
        <v/>
      </c>
      <c r="AG150" s="35">
        <f>IF(Q150&lt;&gt;"",Q150,IF(AF150&lt;4,"",IF(Z150=1,Tage_nicht_beschaffbar,Tage_beschaffbar)))</f>
        <v/>
      </c>
      <c r="AH150" s="35">
        <f>IF(M150="","",M150*1000+Y150*10+(1000-ROW())/100000)</f>
        <v/>
      </c>
    </row>
    <row r="151" ht="34" customHeight="1">
      <c r="A151" s="23">
        <f>IF(B151="","",COUNTA($B$9:B151))</f>
        <v/>
      </c>
      <c r="B151" s="24" t="n"/>
      <c r="C151" s="25" t="n"/>
      <c r="D151" s="25" t="n"/>
      <c r="E151" s="25" t="n"/>
      <c r="F151" s="26" t="n"/>
      <c r="G151" s="26" t="n"/>
      <c r="H151" s="27" t="n"/>
      <c r="I151" s="26" t="n"/>
      <c r="J151" s="26" t="n"/>
      <c r="K151" s="26" t="n"/>
      <c r="L151" s="23">
        <f>IF(AF151&lt;4,"",Z151+AA151+AB151+AE151)</f>
        <v/>
      </c>
      <c r="M151" s="28">
        <f>IF(OR(L151="",Y151=""),"",Y151*L151)</f>
        <v/>
      </c>
      <c r="N151" s="29">
        <f>IF(M151="","",IF(M151&lt;=Gruen_bis,"grün",IF(M151&lt;=Gelb_bis,"gelb","rot")))</f>
        <v/>
      </c>
      <c r="O151" s="30">
        <f>IF(N151="",IF(B151="","","Bewertung unvollständig – ★-Felder ausfüllen"),IF(N151="grün",IF(AC151=1,IF(AD151=1,"Abgekündigt, Nachfolger vorhanden: Umstieg bei nächster Gelegenheit planen","Abgekündigt: Endbevorratung (Last-Time-Buy) prüfen, Ersatzlösung planen"),"Keine aktive Maßnahme – jährlich prüfen"),IF(AND(Z151=1,AA151=1,AB151=1),"Sofort sichern: Restbestand / Gebrauchtteil kaufen und Ersatzlösung (Retrofit) planen",IF(AND(Z151=1,AB151=1),"Reparaturweg absichern (Dienstleister, Tauschteil), Gebrauchtteil prüfen",IF(AD151=1,"Auf Nachfolgeprodukt umstellen: Kompatibilität prüfen, Umstieg planen",IF(AC151=1,IF(AB151=1,"Abgekündigt ohne Nachfolger: sofort Endbevorratung (Last-Time-Buy) und Ersatzlösung planen","Abgekündigt ohne Nachfolger: Lagerteil sichern, Ersatzlösung (Retrofit) planen"),IF(Z151=1,"Nicht beschaffbar: Lagerteil schützen, Ersatzlösung mittelfristig planen",IF(AB151=1,IF(LEFT(S151,4)="nein","Bevorratung lohnt nicht – Lieferzeit und Reparaturweg absichern","Lagerbestand anlegen (mind. 1 Stk.)"),"Reparaturmöglichkeit klären"))))))))</f>
        <v/>
      </c>
      <c r="P151" s="31" t="n"/>
      <c r="Q151" s="27" t="n"/>
      <c r="R151" s="32">
        <f>IF(OR(AG151="",Y151="",AB151=0),"",AG151*INDEX(Krit_Kosten,MATCH(F151,Krit_Liste,0)))</f>
        <v/>
      </c>
      <c r="S151" s="33">
        <f>IF(N151="","",IF(N151="grün","–",IF(AB151=0,"am Lager / in stock",IF(N(P151)&lt;=0,"Stückpreis fehlt",IF(R151&gt;=Faktor_lohnt*P151,"ja – "&amp;FIXED(R151/P151,0)&amp;"-fach","nein – "&amp;FIXED(R151/P151,IF(R151/P151&lt;1,2,1))&amp;"-fach")))))</f>
        <v/>
      </c>
      <c r="T151" s="25" t="n"/>
      <c r="U151" s="34" t="n"/>
      <c r="V151" s="27" t="n"/>
      <c r="W151" s="25" t="n"/>
      <c r="X151" s="2" t="n"/>
      <c r="Y151" s="35">
        <f>IFERROR(INDEX(Krit_Faktor,MATCH(F151,Krit_Liste,0)),"")</f>
        <v/>
      </c>
      <c r="Z151" s="35">
        <f>IF(OR(I151="nein",I151="no"),1,0)</f>
        <v/>
      </c>
      <c r="AA151" s="35">
        <f>IF(OR(J151="nein",J151="no"),1,0)</f>
        <v/>
      </c>
      <c r="AB151" s="35">
        <f>IF(OR(K151="nein",K151="no"),1,0)</f>
        <v/>
      </c>
      <c r="AC151" s="35">
        <f>IF(OR(G151="ja",G151="yes"),1,0)</f>
        <v/>
      </c>
      <c r="AD151" s="35">
        <f>IF(AND(AC151=1,OR(H151="ja",H151="yes")),1,0)</f>
        <v/>
      </c>
      <c r="AE151" s="35">
        <f>IF(AC151=1,IF(AD151=1,Pkt_Abk_mit,Pkt_Abk_ohne),0)</f>
        <v/>
      </c>
      <c r="AF151" s="35">
        <f>(G151&lt;&gt;"")+(I151&lt;&gt;"")+(J151&lt;&gt;"")+(K151&lt;&gt;"")</f>
        <v/>
      </c>
      <c r="AG151" s="35">
        <f>IF(Q151&lt;&gt;"",Q151,IF(AF151&lt;4,"",IF(Z151=1,Tage_nicht_beschaffbar,Tage_beschaffbar)))</f>
        <v/>
      </c>
      <c r="AH151" s="35">
        <f>IF(M151="","",M151*1000+Y151*10+(1000-ROW())/100000)</f>
        <v/>
      </c>
    </row>
    <row r="152" ht="34" customHeight="1">
      <c r="A152" s="23">
        <f>IF(B152="","",COUNTA($B$9:B152))</f>
        <v/>
      </c>
      <c r="B152" s="24" t="n"/>
      <c r="C152" s="25" t="n"/>
      <c r="D152" s="25" t="n"/>
      <c r="E152" s="25" t="n"/>
      <c r="F152" s="26" t="n"/>
      <c r="G152" s="26" t="n"/>
      <c r="H152" s="27" t="n"/>
      <c r="I152" s="26" t="n"/>
      <c r="J152" s="26" t="n"/>
      <c r="K152" s="26" t="n"/>
      <c r="L152" s="23">
        <f>IF(AF152&lt;4,"",Z152+AA152+AB152+AE152)</f>
        <v/>
      </c>
      <c r="M152" s="28">
        <f>IF(OR(L152="",Y152=""),"",Y152*L152)</f>
        <v/>
      </c>
      <c r="N152" s="29">
        <f>IF(M152="","",IF(M152&lt;=Gruen_bis,"grün",IF(M152&lt;=Gelb_bis,"gelb","rot")))</f>
        <v/>
      </c>
      <c r="O152" s="30">
        <f>IF(N152="",IF(B152="","","Bewertung unvollständig – ★-Felder ausfüllen"),IF(N152="grün",IF(AC152=1,IF(AD152=1,"Abgekündigt, Nachfolger vorhanden: Umstieg bei nächster Gelegenheit planen","Abgekündigt: Endbevorratung (Last-Time-Buy) prüfen, Ersatzlösung planen"),"Keine aktive Maßnahme – jährlich prüfen"),IF(AND(Z152=1,AA152=1,AB152=1),"Sofort sichern: Restbestand / Gebrauchtteil kaufen und Ersatzlösung (Retrofit) planen",IF(AND(Z152=1,AB152=1),"Reparaturweg absichern (Dienstleister, Tauschteil), Gebrauchtteil prüfen",IF(AD152=1,"Auf Nachfolgeprodukt umstellen: Kompatibilität prüfen, Umstieg planen",IF(AC152=1,IF(AB152=1,"Abgekündigt ohne Nachfolger: sofort Endbevorratung (Last-Time-Buy) und Ersatzlösung planen","Abgekündigt ohne Nachfolger: Lagerteil sichern, Ersatzlösung (Retrofit) planen"),IF(Z152=1,"Nicht beschaffbar: Lagerteil schützen, Ersatzlösung mittelfristig planen",IF(AB152=1,IF(LEFT(S152,4)="nein","Bevorratung lohnt nicht – Lieferzeit und Reparaturweg absichern","Lagerbestand anlegen (mind. 1 Stk.)"),"Reparaturmöglichkeit klären"))))))))</f>
        <v/>
      </c>
      <c r="P152" s="31" t="n"/>
      <c r="Q152" s="27" t="n"/>
      <c r="R152" s="32">
        <f>IF(OR(AG152="",Y152="",AB152=0),"",AG152*INDEX(Krit_Kosten,MATCH(F152,Krit_Liste,0)))</f>
        <v/>
      </c>
      <c r="S152" s="33">
        <f>IF(N152="","",IF(N152="grün","–",IF(AB152=0,"am Lager / in stock",IF(N(P152)&lt;=0,"Stückpreis fehlt",IF(R152&gt;=Faktor_lohnt*P152,"ja – "&amp;FIXED(R152/P152,0)&amp;"-fach","nein – "&amp;FIXED(R152/P152,IF(R152/P152&lt;1,2,1))&amp;"-fach")))))</f>
        <v/>
      </c>
      <c r="T152" s="25" t="n"/>
      <c r="U152" s="34" t="n"/>
      <c r="V152" s="27" t="n"/>
      <c r="W152" s="25" t="n"/>
      <c r="X152" s="2" t="n"/>
      <c r="Y152" s="35">
        <f>IFERROR(INDEX(Krit_Faktor,MATCH(F152,Krit_Liste,0)),"")</f>
        <v/>
      </c>
      <c r="Z152" s="35">
        <f>IF(OR(I152="nein",I152="no"),1,0)</f>
        <v/>
      </c>
      <c r="AA152" s="35">
        <f>IF(OR(J152="nein",J152="no"),1,0)</f>
        <v/>
      </c>
      <c r="AB152" s="35">
        <f>IF(OR(K152="nein",K152="no"),1,0)</f>
        <v/>
      </c>
      <c r="AC152" s="35">
        <f>IF(OR(G152="ja",G152="yes"),1,0)</f>
        <v/>
      </c>
      <c r="AD152" s="35">
        <f>IF(AND(AC152=1,OR(H152="ja",H152="yes")),1,0)</f>
        <v/>
      </c>
      <c r="AE152" s="35">
        <f>IF(AC152=1,IF(AD152=1,Pkt_Abk_mit,Pkt_Abk_ohne),0)</f>
        <v/>
      </c>
      <c r="AF152" s="35">
        <f>(G152&lt;&gt;"")+(I152&lt;&gt;"")+(J152&lt;&gt;"")+(K152&lt;&gt;"")</f>
        <v/>
      </c>
      <c r="AG152" s="35">
        <f>IF(Q152&lt;&gt;"",Q152,IF(AF152&lt;4,"",IF(Z152=1,Tage_nicht_beschaffbar,Tage_beschaffbar)))</f>
        <v/>
      </c>
      <c r="AH152" s="35">
        <f>IF(M152="","",M152*1000+Y152*10+(1000-ROW())/100000)</f>
        <v/>
      </c>
    </row>
    <row r="153" ht="34" customHeight="1">
      <c r="A153" s="23">
        <f>IF(B153="","",COUNTA($B$9:B153))</f>
        <v/>
      </c>
      <c r="B153" s="24" t="n"/>
      <c r="C153" s="25" t="n"/>
      <c r="D153" s="25" t="n"/>
      <c r="E153" s="25" t="n"/>
      <c r="F153" s="26" t="n"/>
      <c r="G153" s="26" t="n"/>
      <c r="H153" s="27" t="n"/>
      <c r="I153" s="26" t="n"/>
      <c r="J153" s="26" t="n"/>
      <c r="K153" s="26" t="n"/>
      <c r="L153" s="23">
        <f>IF(AF153&lt;4,"",Z153+AA153+AB153+AE153)</f>
        <v/>
      </c>
      <c r="M153" s="28">
        <f>IF(OR(L153="",Y153=""),"",Y153*L153)</f>
        <v/>
      </c>
      <c r="N153" s="29">
        <f>IF(M153="","",IF(M153&lt;=Gruen_bis,"grün",IF(M153&lt;=Gelb_bis,"gelb","rot")))</f>
        <v/>
      </c>
      <c r="O153" s="30">
        <f>IF(N153="",IF(B153="","","Bewertung unvollständig – ★-Felder ausfüllen"),IF(N153="grün",IF(AC153=1,IF(AD153=1,"Abgekündigt, Nachfolger vorhanden: Umstieg bei nächster Gelegenheit planen","Abgekündigt: Endbevorratung (Last-Time-Buy) prüfen, Ersatzlösung planen"),"Keine aktive Maßnahme – jährlich prüfen"),IF(AND(Z153=1,AA153=1,AB153=1),"Sofort sichern: Restbestand / Gebrauchtteil kaufen und Ersatzlösung (Retrofit) planen",IF(AND(Z153=1,AB153=1),"Reparaturweg absichern (Dienstleister, Tauschteil), Gebrauchtteil prüfen",IF(AD153=1,"Auf Nachfolgeprodukt umstellen: Kompatibilität prüfen, Umstieg planen",IF(AC153=1,IF(AB153=1,"Abgekündigt ohne Nachfolger: sofort Endbevorratung (Last-Time-Buy) und Ersatzlösung planen","Abgekündigt ohne Nachfolger: Lagerteil sichern, Ersatzlösung (Retrofit) planen"),IF(Z153=1,"Nicht beschaffbar: Lagerteil schützen, Ersatzlösung mittelfristig planen",IF(AB153=1,IF(LEFT(S153,4)="nein","Bevorratung lohnt nicht – Lieferzeit und Reparaturweg absichern","Lagerbestand anlegen (mind. 1 Stk.)"),"Reparaturmöglichkeit klären"))))))))</f>
        <v/>
      </c>
      <c r="P153" s="31" t="n"/>
      <c r="Q153" s="27" t="n"/>
      <c r="R153" s="32">
        <f>IF(OR(AG153="",Y153="",AB153=0),"",AG153*INDEX(Krit_Kosten,MATCH(F153,Krit_Liste,0)))</f>
        <v/>
      </c>
      <c r="S153" s="33">
        <f>IF(N153="","",IF(N153="grün","–",IF(AB153=0,"am Lager / in stock",IF(N(P153)&lt;=0,"Stückpreis fehlt",IF(R153&gt;=Faktor_lohnt*P153,"ja – "&amp;FIXED(R153/P153,0)&amp;"-fach","nein – "&amp;FIXED(R153/P153,IF(R153/P153&lt;1,2,1))&amp;"-fach")))))</f>
        <v/>
      </c>
      <c r="T153" s="25" t="n"/>
      <c r="U153" s="34" t="n"/>
      <c r="V153" s="27" t="n"/>
      <c r="W153" s="25" t="n"/>
      <c r="X153" s="2" t="n"/>
      <c r="Y153" s="35">
        <f>IFERROR(INDEX(Krit_Faktor,MATCH(F153,Krit_Liste,0)),"")</f>
        <v/>
      </c>
      <c r="Z153" s="35">
        <f>IF(OR(I153="nein",I153="no"),1,0)</f>
        <v/>
      </c>
      <c r="AA153" s="35">
        <f>IF(OR(J153="nein",J153="no"),1,0)</f>
        <v/>
      </c>
      <c r="AB153" s="35">
        <f>IF(OR(K153="nein",K153="no"),1,0)</f>
        <v/>
      </c>
      <c r="AC153" s="35">
        <f>IF(OR(G153="ja",G153="yes"),1,0)</f>
        <v/>
      </c>
      <c r="AD153" s="35">
        <f>IF(AND(AC153=1,OR(H153="ja",H153="yes")),1,0)</f>
        <v/>
      </c>
      <c r="AE153" s="35">
        <f>IF(AC153=1,IF(AD153=1,Pkt_Abk_mit,Pkt_Abk_ohne),0)</f>
        <v/>
      </c>
      <c r="AF153" s="35">
        <f>(G153&lt;&gt;"")+(I153&lt;&gt;"")+(J153&lt;&gt;"")+(K153&lt;&gt;"")</f>
        <v/>
      </c>
      <c r="AG153" s="35">
        <f>IF(Q153&lt;&gt;"",Q153,IF(AF153&lt;4,"",IF(Z153=1,Tage_nicht_beschaffbar,Tage_beschaffbar)))</f>
        <v/>
      </c>
      <c r="AH153" s="35">
        <f>IF(M153="","",M153*1000+Y153*10+(1000-ROW())/100000)</f>
        <v/>
      </c>
    </row>
    <row r="154" ht="34" customHeight="1">
      <c r="A154" s="23">
        <f>IF(B154="","",COUNTA($B$9:B154))</f>
        <v/>
      </c>
      <c r="B154" s="24" t="n"/>
      <c r="C154" s="25" t="n"/>
      <c r="D154" s="25" t="n"/>
      <c r="E154" s="25" t="n"/>
      <c r="F154" s="26" t="n"/>
      <c r="G154" s="26" t="n"/>
      <c r="H154" s="27" t="n"/>
      <c r="I154" s="26" t="n"/>
      <c r="J154" s="26" t="n"/>
      <c r="K154" s="26" t="n"/>
      <c r="L154" s="23">
        <f>IF(AF154&lt;4,"",Z154+AA154+AB154+AE154)</f>
        <v/>
      </c>
      <c r="M154" s="28">
        <f>IF(OR(L154="",Y154=""),"",Y154*L154)</f>
        <v/>
      </c>
      <c r="N154" s="29">
        <f>IF(M154="","",IF(M154&lt;=Gruen_bis,"grün",IF(M154&lt;=Gelb_bis,"gelb","rot")))</f>
        <v/>
      </c>
      <c r="O154" s="30">
        <f>IF(N154="",IF(B154="","","Bewertung unvollständig – ★-Felder ausfüllen"),IF(N154="grün",IF(AC154=1,IF(AD154=1,"Abgekündigt, Nachfolger vorhanden: Umstieg bei nächster Gelegenheit planen","Abgekündigt: Endbevorratung (Last-Time-Buy) prüfen, Ersatzlösung planen"),"Keine aktive Maßnahme – jährlich prüfen"),IF(AND(Z154=1,AA154=1,AB154=1),"Sofort sichern: Restbestand / Gebrauchtteil kaufen und Ersatzlösung (Retrofit) planen",IF(AND(Z154=1,AB154=1),"Reparaturweg absichern (Dienstleister, Tauschteil), Gebrauchtteil prüfen",IF(AD154=1,"Auf Nachfolgeprodukt umstellen: Kompatibilität prüfen, Umstieg planen",IF(AC154=1,IF(AB154=1,"Abgekündigt ohne Nachfolger: sofort Endbevorratung (Last-Time-Buy) und Ersatzlösung planen","Abgekündigt ohne Nachfolger: Lagerteil sichern, Ersatzlösung (Retrofit) planen"),IF(Z154=1,"Nicht beschaffbar: Lagerteil schützen, Ersatzlösung mittelfristig planen",IF(AB154=1,IF(LEFT(S154,4)="nein","Bevorratung lohnt nicht – Lieferzeit und Reparaturweg absichern","Lagerbestand anlegen (mind. 1 Stk.)"),"Reparaturmöglichkeit klären"))))))))</f>
        <v/>
      </c>
      <c r="P154" s="31" t="n"/>
      <c r="Q154" s="27" t="n"/>
      <c r="R154" s="32">
        <f>IF(OR(AG154="",Y154="",AB154=0),"",AG154*INDEX(Krit_Kosten,MATCH(F154,Krit_Liste,0)))</f>
        <v/>
      </c>
      <c r="S154" s="33">
        <f>IF(N154="","",IF(N154="grün","–",IF(AB154=0,"am Lager / in stock",IF(N(P154)&lt;=0,"Stückpreis fehlt",IF(R154&gt;=Faktor_lohnt*P154,"ja – "&amp;FIXED(R154/P154,0)&amp;"-fach","nein – "&amp;FIXED(R154/P154,IF(R154/P154&lt;1,2,1))&amp;"-fach")))))</f>
        <v/>
      </c>
      <c r="T154" s="25" t="n"/>
      <c r="U154" s="34" t="n"/>
      <c r="V154" s="27" t="n"/>
      <c r="W154" s="25" t="n"/>
      <c r="X154" s="2" t="n"/>
      <c r="Y154" s="35">
        <f>IFERROR(INDEX(Krit_Faktor,MATCH(F154,Krit_Liste,0)),"")</f>
        <v/>
      </c>
      <c r="Z154" s="35">
        <f>IF(OR(I154="nein",I154="no"),1,0)</f>
        <v/>
      </c>
      <c r="AA154" s="35">
        <f>IF(OR(J154="nein",J154="no"),1,0)</f>
        <v/>
      </c>
      <c r="AB154" s="35">
        <f>IF(OR(K154="nein",K154="no"),1,0)</f>
        <v/>
      </c>
      <c r="AC154" s="35">
        <f>IF(OR(G154="ja",G154="yes"),1,0)</f>
        <v/>
      </c>
      <c r="AD154" s="35">
        <f>IF(AND(AC154=1,OR(H154="ja",H154="yes")),1,0)</f>
        <v/>
      </c>
      <c r="AE154" s="35">
        <f>IF(AC154=1,IF(AD154=1,Pkt_Abk_mit,Pkt_Abk_ohne),0)</f>
        <v/>
      </c>
      <c r="AF154" s="35">
        <f>(G154&lt;&gt;"")+(I154&lt;&gt;"")+(J154&lt;&gt;"")+(K154&lt;&gt;"")</f>
        <v/>
      </c>
      <c r="AG154" s="35">
        <f>IF(Q154&lt;&gt;"",Q154,IF(AF154&lt;4,"",IF(Z154=1,Tage_nicht_beschaffbar,Tage_beschaffbar)))</f>
        <v/>
      </c>
      <c r="AH154" s="35">
        <f>IF(M154="","",M154*1000+Y154*10+(1000-ROW())/100000)</f>
        <v/>
      </c>
    </row>
    <row r="155" ht="34" customHeight="1">
      <c r="A155" s="23">
        <f>IF(B155="","",COUNTA($B$9:B155))</f>
        <v/>
      </c>
      <c r="B155" s="24" t="n"/>
      <c r="C155" s="25" t="n"/>
      <c r="D155" s="25" t="n"/>
      <c r="E155" s="25" t="n"/>
      <c r="F155" s="26" t="n"/>
      <c r="G155" s="26" t="n"/>
      <c r="H155" s="27" t="n"/>
      <c r="I155" s="26" t="n"/>
      <c r="J155" s="26" t="n"/>
      <c r="K155" s="26" t="n"/>
      <c r="L155" s="23">
        <f>IF(AF155&lt;4,"",Z155+AA155+AB155+AE155)</f>
        <v/>
      </c>
      <c r="M155" s="28">
        <f>IF(OR(L155="",Y155=""),"",Y155*L155)</f>
        <v/>
      </c>
      <c r="N155" s="29">
        <f>IF(M155="","",IF(M155&lt;=Gruen_bis,"grün",IF(M155&lt;=Gelb_bis,"gelb","rot")))</f>
        <v/>
      </c>
      <c r="O155" s="30">
        <f>IF(N155="",IF(B155="","","Bewertung unvollständig – ★-Felder ausfüllen"),IF(N155="grün",IF(AC155=1,IF(AD155=1,"Abgekündigt, Nachfolger vorhanden: Umstieg bei nächster Gelegenheit planen","Abgekündigt: Endbevorratung (Last-Time-Buy) prüfen, Ersatzlösung planen"),"Keine aktive Maßnahme – jährlich prüfen"),IF(AND(Z155=1,AA155=1,AB155=1),"Sofort sichern: Restbestand / Gebrauchtteil kaufen und Ersatzlösung (Retrofit) planen",IF(AND(Z155=1,AB155=1),"Reparaturweg absichern (Dienstleister, Tauschteil), Gebrauchtteil prüfen",IF(AD155=1,"Auf Nachfolgeprodukt umstellen: Kompatibilität prüfen, Umstieg planen",IF(AC155=1,IF(AB155=1,"Abgekündigt ohne Nachfolger: sofort Endbevorratung (Last-Time-Buy) und Ersatzlösung planen","Abgekündigt ohne Nachfolger: Lagerteil sichern, Ersatzlösung (Retrofit) planen"),IF(Z155=1,"Nicht beschaffbar: Lagerteil schützen, Ersatzlösung mittelfristig planen",IF(AB155=1,IF(LEFT(S155,4)="nein","Bevorratung lohnt nicht – Lieferzeit und Reparaturweg absichern","Lagerbestand anlegen (mind. 1 Stk.)"),"Reparaturmöglichkeit klären"))))))))</f>
        <v/>
      </c>
      <c r="P155" s="31" t="n"/>
      <c r="Q155" s="27" t="n"/>
      <c r="R155" s="32">
        <f>IF(OR(AG155="",Y155="",AB155=0),"",AG155*INDEX(Krit_Kosten,MATCH(F155,Krit_Liste,0)))</f>
        <v/>
      </c>
      <c r="S155" s="33">
        <f>IF(N155="","",IF(N155="grün","–",IF(AB155=0,"am Lager / in stock",IF(N(P155)&lt;=0,"Stückpreis fehlt",IF(R155&gt;=Faktor_lohnt*P155,"ja – "&amp;FIXED(R155/P155,0)&amp;"-fach","nein – "&amp;FIXED(R155/P155,IF(R155/P155&lt;1,2,1))&amp;"-fach")))))</f>
        <v/>
      </c>
      <c r="T155" s="25" t="n"/>
      <c r="U155" s="34" t="n"/>
      <c r="V155" s="27" t="n"/>
      <c r="W155" s="25" t="n"/>
      <c r="X155" s="2" t="n"/>
      <c r="Y155" s="35">
        <f>IFERROR(INDEX(Krit_Faktor,MATCH(F155,Krit_Liste,0)),"")</f>
        <v/>
      </c>
      <c r="Z155" s="35">
        <f>IF(OR(I155="nein",I155="no"),1,0)</f>
        <v/>
      </c>
      <c r="AA155" s="35">
        <f>IF(OR(J155="nein",J155="no"),1,0)</f>
        <v/>
      </c>
      <c r="AB155" s="35">
        <f>IF(OR(K155="nein",K155="no"),1,0)</f>
        <v/>
      </c>
      <c r="AC155" s="35">
        <f>IF(OR(G155="ja",G155="yes"),1,0)</f>
        <v/>
      </c>
      <c r="AD155" s="35">
        <f>IF(AND(AC155=1,OR(H155="ja",H155="yes")),1,0)</f>
        <v/>
      </c>
      <c r="AE155" s="35">
        <f>IF(AC155=1,IF(AD155=1,Pkt_Abk_mit,Pkt_Abk_ohne),0)</f>
        <v/>
      </c>
      <c r="AF155" s="35">
        <f>(G155&lt;&gt;"")+(I155&lt;&gt;"")+(J155&lt;&gt;"")+(K155&lt;&gt;"")</f>
        <v/>
      </c>
      <c r="AG155" s="35">
        <f>IF(Q155&lt;&gt;"",Q155,IF(AF155&lt;4,"",IF(Z155=1,Tage_nicht_beschaffbar,Tage_beschaffbar)))</f>
        <v/>
      </c>
      <c r="AH155" s="35">
        <f>IF(M155="","",M155*1000+Y155*10+(1000-ROW())/100000)</f>
        <v/>
      </c>
    </row>
    <row r="156" ht="34" customHeight="1">
      <c r="A156" s="23">
        <f>IF(B156="","",COUNTA($B$9:B156))</f>
        <v/>
      </c>
      <c r="B156" s="24" t="n"/>
      <c r="C156" s="25" t="n"/>
      <c r="D156" s="25" t="n"/>
      <c r="E156" s="25" t="n"/>
      <c r="F156" s="26" t="n"/>
      <c r="G156" s="26" t="n"/>
      <c r="H156" s="27" t="n"/>
      <c r="I156" s="26" t="n"/>
      <c r="J156" s="26" t="n"/>
      <c r="K156" s="26" t="n"/>
      <c r="L156" s="23">
        <f>IF(AF156&lt;4,"",Z156+AA156+AB156+AE156)</f>
        <v/>
      </c>
      <c r="M156" s="28">
        <f>IF(OR(L156="",Y156=""),"",Y156*L156)</f>
        <v/>
      </c>
      <c r="N156" s="29">
        <f>IF(M156="","",IF(M156&lt;=Gruen_bis,"grün",IF(M156&lt;=Gelb_bis,"gelb","rot")))</f>
        <v/>
      </c>
      <c r="O156" s="30">
        <f>IF(N156="",IF(B156="","","Bewertung unvollständig – ★-Felder ausfüllen"),IF(N156="grün",IF(AC156=1,IF(AD156=1,"Abgekündigt, Nachfolger vorhanden: Umstieg bei nächster Gelegenheit planen","Abgekündigt: Endbevorratung (Last-Time-Buy) prüfen, Ersatzlösung planen"),"Keine aktive Maßnahme – jährlich prüfen"),IF(AND(Z156=1,AA156=1,AB156=1),"Sofort sichern: Restbestand / Gebrauchtteil kaufen und Ersatzlösung (Retrofit) planen",IF(AND(Z156=1,AB156=1),"Reparaturweg absichern (Dienstleister, Tauschteil), Gebrauchtteil prüfen",IF(AD156=1,"Auf Nachfolgeprodukt umstellen: Kompatibilität prüfen, Umstieg planen",IF(AC156=1,IF(AB156=1,"Abgekündigt ohne Nachfolger: sofort Endbevorratung (Last-Time-Buy) und Ersatzlösung planen","Abgekündigt ohne Nachfolger: Lagerteil sichern, Ersatzlösung (Retrofit) planen"),IF(Z156=1,"Nicht beschaffbar: Lagerteil schützen, Ersatzlösung mittelfristig planen",IF(AB156=1,IF(LEFT(S156,4)="nein","Bevorratung lohnt nicht – Lieferzeit und Reparaturweg absichern","Lagerbestand anlegen (mind. 1 Stk.)"),"Reparaturmöglichkeit klären"))))))))</f>
        <v/>
      </c>
      <c r="P156" s="31" t="n"/>
      <c r="Q156" s="27" t="n"/>
      <c r="R156" s="32">
        <f>IF(OR(AG156="",Y156="",AB156=0),"",AG156*INDEX(Krit_Kosten,MATCH(F156,Krit_Liste,0)))</f>
        <v/>
      </c>
      <c r="S156" s="33">
        <f>IF(N156="","",IF(N156="grün","–",IF(AB156=0,"am Lager / in stock",IF(N(P156)&lt;=0,"Stückpreis fehlt",IF(R156&gt;=Faktor_lohnt*P156,"ja – "&amp;FIXED(R156/P156,0)&amp;"-fach","nein – "&amp;FIXED(R156/P156,IF(R156/P156&lt;1,2,1))&amp;"-fach")))))</f>
        <v/>
      </c>
      <c r="T156" s="25" t="n"/>
      <c r="U156" s="34" t="n"/>
      <c r="V156" s="27" t="n"/>
      <c r="W156" s="25" t="n"/>
      <c r="X156" s="2" t="n"/>
      <c r="Y156" s="35">
        <f>IFERROR(INDEX(Krit_Faktor,MATCH(F156,Krit_Liste,0)),"")</f>
        <v/>
      </c>
      <c r="Z156" s="35">
        <f>IF(OR(I156="nein",I156="no"),1,0)</f>
        <v/>
      </c>
      <c r="AA156" s="35">
        <f>IF(OR(J156="nein",J156="no"),1,0)</f>
        <v/>
      </c>
      <c r="AB156" s="35">
        <f>IF(OR(K156="nein",K156="no"),1,0)</f>
        <v/>
      </c>
      <c r="AC156" s="35">
        <f>IF(OR(G156="ja",G156="yes"),1,0)</f>
        <v/>
      </c>
      <c r="AD156" s="35">
        <f>IF(AND(AC156=1,OR(H156="ja",H156="yes")),1,0)</f>
        <v/>
      </c>
      <c r="AE156" s="35">
        <f>IF(AC156=1,IF(AD156=1,Pkt_Abk_mit,Pkt_Abk_ohne),0)</f>
        <v/>
      </c>
      <c r="AF156" s="35">
        <f>(G156&lt;&gt;"")+(I156&lt;&gt;"")+(J156&lt;&gt;"")+(K156&lt;&gt;"")</f>
        <v/>
      </c>
      <c r="AG156" s="35">
        <f>IF(Q156&lt;&gt;"",Q156,IF(AF156&lt;4,"",IF(Z156=1,Tage_nicht_beschaffbar,Tage_beschaffbar)))</f>
        <v/>
      </c>
      <c r="AH156" s="35">
        <f>IF(M156="","",M156*1000+Y156*10+(1000-ROW())/100000)</f>
        <v/>
      </c>
    </row>
    <row r="157" ht="34" customHeight="1">
      <c r="A157" s="23">
        <f>IF(B157="","",COUNTA($B$9:B157))</f>
        <v/>
      </c>
      <c r="B157" s="24" t="n"/>
      <c r="C157" s="25" t="n"/>
      <c r="D157" s="25" t="n"/>
      <c r="E157" s="25" t="n"/>
      <c r="F157" s="26" t="n"/>
      <c r="G157" s="26" t="n"/>
      <c r="H157" s="27" t="n"/>
      <c r="I157" s="26" t="n"/>
      <c r="J157" s="26" t="n"/>
      <c r="K157" s="26" t="n"/>
      <c r="L157" s="23">
        <f>IF(AF157&lt;4,"",Z157+AA157+AB157+AE157)</f>
        <v/>
      </c>
      <c r="M157" s="28">
        <f>IF(OR(L157="",Y157=""),"",Y157*L157)</f>
        <v/>
      </c>
      <c r="N157" s="29">
        <f>IF(M157="","",IF(M157&lt;=Gruen_bis,"grün",IF(M157&lt;=Gelb_bis,"gelb","rot")))</f>
        <v/>
      </c>
      <c r="O157" s="30">
        <f>IF(N157="",IF(B157="","","Bewertung unvollständig – ★-Felder ausfüllen"),IF(N157="grün",IF(AC157=1,IF(AD157=1,"Abgekündigt, Nachfolger vorhanden: Umstieg bei nächster Gelegenheit planen","Abgekündigt: Endbevorratung (Last-Time-Buy) prüfen, Ersatzlösung planen"),"Keine aktive Maßnahme – jährlich prüfen"),IF(AND(Z157=1,AA157=1,AB157=1),"Sofort sichern: Restbestand / Gebrauchtteil kaufen und Ersatzlösung (Retrofit) planen",IF(AND(Z157=1,AB157=1),"Reparaturweg absichern (Dienstleister, Tauschteil), Gebrauchtteil prüfen",IF(AD157=1,"Auf Nachfolgeprodukt umstellen: Kompatibilität prüfen, Umstieg planen",IF(AC157=1,IF(AB157=1,"Abgekündigt ohne Nachfolger: sofort Endbevorratung (Last-Time-Buy) und Ersatzlösung planen","Abgekündigt ohne Nachfolger: Lagerteil sichern, Ersatzlösung (Retrofit) planen"),IF(Z157=1,"Nicht beschaffbar: Lagerteil schützen, Ersatzlösung mittelfristig planen",IF(AB157=1,IF(LEFT(S157,4)="nein","Bevorratung lohnt nicht – Lieferzeit und Reparaturweg absichern","Lagerbestand anlegen (mind. 1 Stk.)"),"Reparaturmöglichkeit klären"))))))))</f>
        <v/>
      </c>
      <c r="P157" s="31" t="n"/>
      <c r="Q157" s="27" t="n"/>
      <c r="R157" s="32">
        <f>IF(OR(AG157="",Y157="",AB157=0),"",AG157*INDEX(Krit_Kosten,MATCH(F157,Krit_Liste,0)))</f>
        <v/>
      </c>
      <c r="S157" s="33">
        <f>IF(N157="","",IF(N157="grün","–",IF(AB157=0,"am Lager / in stock",IF(N(P157)&lt;=0,"Stückpreis fehlt",IF(R157&gt;=Faktor_lohnt*P157,"ja – "&amp;FIXED(R157/P157,0)&amp;"-fach","nein – "&amp;FIXED(R157/P157,IF(R157/P157&lt;1,2,1))&amp;"-fach")))))</f>
        <v/>
      </c>
      <c r="T157" s="25" t="n"/>
      <c r="U157" s="34" t="n"/>
      <c r="V157" s="27" t="n"/>
      <c r="W157" s="25" t="n"/>
      <c r="X157" s="2" t="n"/>
      <c r="Y157" s="35">
        <f>IFERROR(INDEX(Krit_Faktor,MATCH(F157,Krit_Liste,0)),"")</f>
        <v/>
      </c>
      <c r="Z157" s="35">
        <f>IF(OR(I157="nein",I157="no"),1,0)</f>
        <v/>
      </c>
      <c r="AA157" s="35">
        <f>IF(OR(J157="nein",J157="no"),1,0)</f>
        <v/>
      </c>
      <c r="AB157" s="35">
        <f>IF(OR(K157="nein",K157="no"),1,0)</f>
        <v/>
      </c>
      <c r="AC157" s="35">
        <f>IF(OR(G157="ja",G157="yes"),1,0)</f>
        <v/>
      </c>
      <c r="AD157" s="35">
        <f>IF(AND(AC157=1,OR(H157="ja",H157="yes")),1,0)</f>
        <v/>
      </c>
      <c r="AE157" s="35">
        <f>IF(AC157=1,IF(AD157=1,Pkt_Abk_mit,Pkt_Abk_ohne),0)</f>
        <v/>
      </c>
      <c r="AF157" s="35">
        <f>(G157&lt;&gt;"")+(I157&lt;&gt;"")+(J157&lt;&gt;"")+(K157&lt;&gt;"")</f>
        <v/>
      </c>
      <c r="AG157" s="35">
        <f>IF(Q157&lt;&gt;"",Q157,IF(AF157&lt;4,"",IF(Z157=1,Tage_nicht_beschaffbar,Tage_beschaffbar)))</f>
        <v/>
      </c>
      <c r="AH157" s="35">
        <f>IF(M157="","",M157*1000+Y157*10+(1000-ROW())/100000)</f>
        <v/>
      </c>
    </row>
    <row r="158" ht="34" customHeight="1">
      <c r="A158" s="23">
        <f>IF(B158="","",COUNTA($B$9:B158))</f>
        <v/>
      </c>
      <c r="B158" s="24" t="n"/>
      <c r="C158" s="25" t="n"/>
      <c r="D158" s="25" t="n"/>
      <c r="E158" s="25" t="n"/>
      <c r="F158" s="26" t="n"/>
      <c r="G158" s="26" t="n"/>
      <c r="H158" s="27" t="n"/>
      <c r="I158" s="26" t="n"/>
      <c r="J158" s="26" t="n"/>
      <c r="K158" s="26" t="n"/>
      <c r="L158" s="23">
        <f>IF(AF158&lt;4,"",Z158+AA158+AB158+AE158)</f>
        <v/>
      </c>
      <c r="M158" s="28">
        <f>IF(OR(L158="",Y158=""),"",Y158*L158)</f>
        <v/>
      </c>
      <c r="N158" s="29">
        <f>IF(M158="","",IF(M158&lt;=Gruen_bis,"grün",IF(M158&lt;=Gelb_bis,"gelb","rot")))</f>
        <v/>
      </c>
      <c r="O158" s="30">
        <f>IF(N158="",IF(B158="","","Bewertung unvollständig – ★-Felder ausfüllen"),IF(N158="grün",IF(AC158=1,IF(AD158=1,"Abgekündigt, Nachfolger vorhanden: Umstieg bei nächster Gelegenheit planen","Abgekündigt: Endbevorratung (Last-Time-Buy) prüfen, Ersatzlösung planen"),"Keine aktive Maßnahme – jährlich prüfen"),IF(AND(Z158=1,AA158=1,AB158=1),"Sofort sichern: Restbestand / Gebrauchtteil kaufen und Ersatzlösung (Retrofit) planen",IF(AND(Z158=1,AB158=1),"Reparaturweg absichern (Dienstleister, Tauschteil), Gebrauchtteil prüfen",IF(AD158=1,"Auf Nachfolgeprodukt umstellen: Kompatibilität prüfen, Umstieg planen",IF(AC158=1,IF(AB158=1,"Abgekündigt ohne Nachfolger: sofort Endbevorratung (Last-Time-Buy) und Ersatzlösung planen","Abgekündigt ohne Nachfolger: Lagerteil sichern, Ersatzlösung (Retrofit) planen"),IF(Z158=1,"Nicht beschaffbar: Lagerteil schützen, Ersatzlösung mittelfristig planen",IF(AB158=1,IF(LEFT(S158,4)="nein","Bevorratung lohnt nicht – Lieferzeit und Reparaturweg absichern","Lagerbestand anlegen (mind. 1 Stk.)"),"Reparaturmöglichkeit klären"))))))))</f>
        <v/>
      </c>
      <c r="P158" s="31" t="n"/>
      <c r="Q158" s="27" t="n"/>
      <c r="R158" s="32">
        <f>IF(OR(AG158="",Y158="",AB158=0),"",AG158*INDEX(Krit_Kosten,MATCH(F158,Krit_Liste,0)))</f>
        <v/>
      </c>
      <c r="S158" s="33">
        <f>IF(N158="","",IF(N158="grün","–",IF(AB158=0,"am Lager / in stock",IF(N(P158)&lt;=0,"Stückpreis fehlt",IF(R158&gt;=Faktor_lohnt*P158,"ja – "&amp;FIXED(R158/P158,0)&amp;"-fach","nein – "&amp;FIXED(R158/P158,IF(R158/P158&lt;1,2,1))&amp;"-fach")))))</f>
        <v/>
      </c>
      <c r="T158" s="25" t="n"/>
      <c r="U158" s="34" t="n"/>
      <c r="V158" s="27" t="n"/>
      <c r="W158" s="25" t="n"/>
      <c r="X158" s="2" t="n"/>
      <c r="Y158" s="35">
        <f>IFERROR(INDEX(Krit_Faktor,MATCH(F158,Krit_Liste,0)),"")</f>
        <v/>
      </c>
      <c r="Z158" s="35">
        <f>IF(OR(I158="nein",I158="no"),1,0)</f>
        <v/>
      </c>
      <c r="AA158" s="35">
        <f>IF(OR(J158="nein",J158="no"),1,0)</f>
        <v/>
      </c>
      <c r="AB158" s="35">
        <f>IF(OR(K158="nein",K158="no"),1,0)</f>
        <v/>
      </c>
      <c r="AC158" s="35">
        <f>IF(OR(G158="ja",G158="yes"),1,0)</f>
        <v/>
      </c>
      <c r="AD158" s="35">
        <f>IF(AND(AC158=1,OR(H158="ja",H158="yes")),1,0)</f>
        <v/>
      </c>
      <c r="AE158" s="35">
        <f>IF(AC158=1,IF(AD158=1,Pkt_Abk_mit,Pkt_Abk_ohne),0)</f>
        <v/>
      </c>
      <c r="AF158" s="35">
        <f>(G158&lt;&gt;"")+(I158&lt;&gt;"")+(J158&lt;&gt;"")+(K158&lt;&gt;"")</f>
        <v/>
      </c>
      <c r="AG158" s="35">
        <f>IF(Q158&lt;&gt;"",Q158,IF(AF158&lt;4,"",IF(Z158=1,Tage_nicht_beschaffbar,Tage_beschaffbar)))</f>
        <v/>
      </c>
      <c r="AH158" s="35">
        <f>IF(M158="","",M158*1000+Y158*10+(1000-ROW())/100000)</f>
        <v/>
      </c>
    </row>
    <row r="159" ht="34" customHeight="1">
      <c r="A159" s="23">
        <f>IF(B159="","",COUNTA($B$9:B159))</f>
        <v/>
      </c>
      <c r="B159" s="24" t="n"/>
      <c r="C159" s="25" t="n"/>
      <c r="D159" s="25" t="n"/>
      <c r="E159" s="25" t="n"/>
      <c r="F159" s="26" t="n"/>
      <c r="G159" s="26" t="n"/>
      <c r="H159" s="27" t="n"/>
      <c r="I159" s="26" t="n"/>
      <c r="J159" s="26" t="n"/>
      <c r="K159" s="26" t="n"/>
      <c r="L159" s="23">
        <f>IF(AF159&lt;4,"",Z159+AA159+AB159+AE159)</f>
        <v/>
      </c>
      <c r="M159" s="28">
        <f>IF(OR(L159="",Y159=""),"",Y159*L159)</f>
        <v/>
      </c>
      <c r="N159" s="29">
        <f>IF(M159="","",IF(M159&lt;=Gruen_bis,"grün",IF(M159&lt;=Gelb_bis,"gelb","rot")))</f>
        <v/>
      </c>
      <c r="O159" s="30">
        <f>IF(N159="",IF(B159="","","Bewertung unvollständig – ★-Felder ausfüllen"),IF(N159="grün",IF(AC159=1,IF(AD159=1,"Abgekündigt, Nachfolger vorhanden: Umstieg bei nächster Gelegenheit planen","Abgekündigt: Endbevorratung (Last-Time-Buy) prüfen, Ersatzlösung planen"),"Keine aktive Maßnahme – jährlich prüfen"),IF(AND(Z159=1,AA159=1,AB159=1),"Sofort sichern: Restbestand / Gebrauchtteil kaufen und Ersatzlösung (Retrofit) planen",IF(AND(Z159=1,AB159=1),"Reparaturweg absichern (Dienstleister, Tauschteil), Gebrauchtteil prüfen",IF(AD159=1,"Auf Nachfolgeprodukt umstellen: Kompatibilität prüfen, Umstieg planen",IF(AC159=1,IF(AB159=1,"Abgekündigt ohne Nachfolger: sofort Endbevorratung (Last-Time-Buy) und Ersatzlösung planen","Abgekündigt ohne Nachfolger: Lagerteil sichern, Ersatzlösung (Retrofit) planen"),IF(Z159=1,"Nicht beschaffbar: Lagerteil schützen, Ersatzlösung mittelfristig planen",IF(AB159=1,IF(LEFT(S159,4)="nein","Bevorratung lohnt nicht – Lieferzeit und Reparaturweg absichern","Lagerbestand anlegen (mind. 1 Stk.)"),"Reparaturmöglichkeit klären"))))))))</f>
        <v/>
      </c>
      <c r="P159" s="31" t="n"/>
      <c r="Q159" s="27" t="n"/>
      <c r="R159" s="32">
        <f>IF(OR(AG159="",Y159="",AB159=0),"",AG159*INDEX(Krit_Kosten,MATCH(F159,Krit_Liste,0)))</f>
        <v/>
      </c>
      <c r="S159" s="33">
        <f>IF(N159="","",IF(N159="grün","–",IF(AB159=0,"am Lager / in stock",IF(N(P159)&lt;=0,"Stückpreis fehlt",IF(R159&gt;=Faktor_lohnt*P159,"ja – "&amp;FIXED(R159/P159,0)&amp;"-fach","nein – "&amp;FIXED(R159/P159,IF(R159/P159&lt;1,2,1))&amp;"-fach")))))</f>
        <v/>
      </c>
      <c r="T159" s="25" t="n"/>
      <c r="U159" s="34" t="n"/>
      <c r="V159" s="27" t="n"/>
      <c r="W159" s="25" t="n"/>
      <c r="X159" s="2" t="n"/>
      <c r="Y159" s="35">
        <f>IFERROR(INDEX(Krit_Faktor,MATCH(F159,Krit_Liste,0)),"")</f>
        <v/>
      </c>
      <c r="Z159" s="35">
        <f>IF(OR(I159="nein",I159="no"),1,0)</f>
        <v/>
      </c>
      <c r="AA159" s="35">
        <f>IF(OR(J159="nein",J159="no"),1,0)</f>
        <v/>
      </c>
      <c r="AB159" s="35">
        <f>IF(OR(K159="nein",K159="no"),1,0)</f>
        <v/>
      </c>
      <c r="AC159" s="35">
        <f>IF(OR(G159="ja",G159="yes"),1,0)</f>
        <v/>
      </c>
      <c r="AD159" s="35">
        <f>IF(AND(AC159=1,OR(H159="ja",H159="yes")),1,0)</f>
        <v/>
      </c>
      <c r="AE159" s="35">
        <f>IF(AC159=1,IF(AD159=1,Pkt_Abk_mit,Pkt_Abk_ohne),0)</f>
        <v/>
      </c>
      <c r="AF159" s="35">
        <f>(G159&lt;&gt;"")+(I159&lt;&gt;"")+(J159&lt;&gt;"")+(K159&lt;&gt;"")</f>
        <v/>
      </c>
      <c r="AG159" s="35">
        <f>IF(Q159&lt;&gt;"",Q159,IF(AF159&lt;4,"",IF(Z159=1,Tage_nicht_beschaffbar,Tage_beschaffbar)))</f>
        <v/>
      </c>
      <c r="AH159" s="35">
        <f>IF(M159="","",M159*1000+Y159*10+(1000-ROW())/100000)</f>
        <v/>
      </c>
    </row>
    <row r="160" ht="34" customHeight="1">
      <c r="A160" s="23">
        <f>IF(B160="","",COUNTA($B$9:B160))</f>
        <v/>
      </c>
      <c r="B160" s="24" t="n"/>
      <c r="C160" s="25" t="n"/>
      <c r="D160" s="25" t="n"/>
      <c r="E160" s="25" t="n"/>
      <c r="F160" s="26" t="n"/>
      <c r="G160" s="26" t="n"/>
      <c r="H160" s="27" t="n"/>
      <c r="I160" s="26" t="n"/>
      <c r="J160" s="26" t="n"/>
      <c r="K160" s="26" t="n"/>
      <c r="L160" s="23">
        <f>IF(AF160&lt;4,"",Z160+AA160+AB160+AE160)</f>
        <v/>
      </c>
      <c r="M160" s="28">
        <f>IF(OR(L160="",Y160=""),"",Y160*L160)</f>
        <v/>
      </c>
      <c r="N160" s="29">
        <f>IF(M160="","",IF(M160&lt;=Gruen_bis,"grün",IF(M160&lt;=Gelb_bis,"gelb","rot")))</f>
        <v/>
      </c>
      <c r="O160" s="30">
        <f>IF(N160="",IF(B160="","","Bewertung unvollständig – ★-Felder ausfüllen"),IF(N160="grün",IF(AC160=1,IF(AD160=1,"Abgekündigt, Nachfolger vorhanden: Umstieg bei nächster Gelegenheit planen","Abgekündigt: Endbevorratung (Last-Time-Buy) prüfen, Ersatzlösung planen"),"Keine aktive Maßnahme – jährlich prüfen"),IF(AND(Z160=1,AA160=1,AB160=1),"Sofort sichern: Restbestand / Gebrauchtteil kaufen und Ersatzlösung (Retrofit) planen",IF(AND(Z160=1,AB160=1),"Reparaturweg absichern (Dienstleister, Tauschteil), Gebrauchtteil prüfen",IF(AD160=1,"Auf Nachfolgeprodukt umstellen: Kompatibilität prüfen, Umstieg planen",IF(AC160=1,IF(AB160=1,"Abgekündigt ohne Nachfolger: sofort Endbevorratung (Last-Time-Buy) und Ersatzlösung planen","Abgekündigt ohne Nachfolger: Lagerteil sichern, Ersatzlösung (Retrofit) planen"),IF(Z160=1,"Nicht beschaffbar: Lagerteil schützen, Ersatzlösung mittelfristig planen",IF(AB160=1,IF(LEFT(S160,4)="nein","Bevorratung lohnt nicht – Lieferzeit und Reparaturweg absichern","Lagerbestand anlegen (mind. 1 Stk.)"),"Reparaturmöglichkeit klären"))))))))</f>
        <v/>
      </c>
      <c r="P160" s="31" t="n"/>
      <c r="Q160" s="27" t="n"/>
      <c r="R160" s="32">
        <f>IF(OR(AG160="",Y160="",AB160=0),"",AG160*INDEX(Krit_Kosten,MATCH(F160,Krit_Liste,0)))</f>
        <v/>
      </c>
      <c r="S160" s="33">
        <f>IF(N160="","",IF(N160="grün","–",IF(AB160=0,"am Lager / in stock",IF(N(P160)&lt;=0,"Stückpreis fehlt",IF(R160&gt;=Faktor_lohnt*P160,"ja – "&amp;FIXED(R160/P160,0)&amp;"-fach","nein – "&amp;FIXED(R160/P160,IF(R160/P160&lt;1,2,1))&amp;"-fach")))))</f>
        <v/>
      </c>
      <c r="T160" s="25" t="n"/>
      <c r="U160" s="34" t="n"/>
      <c r="V160" s="27" t="n"/>
      <c r="W160" s="25" t="n"/>
      <c r="X160" s="2" t="n"/>
      <c r="Y160" s="35">
        <f>IFERROR(INDEX(Krit_Faktor,MATCH(F160,Krit_Liste,0)),"")</f>
        <v/>
      </c>
      <c r="Z160" s="35">
        <f>IF(OR(I160="nein",I160="no"),1,0)</f>
        <v/>
      </c>
      <c r="AA160" s="35">
        <f>IF(OR(J160="nein",J160="no"),1,0)</f>
        <v/>
      </c>
      <c r="AB160" s="35">
        <f>IF(OR(K160="nein",K160="no"),1,0)</f>
        <v/>
      </c>
      <c r="AC160" s="35">
        <f>IF(OR(G160="ja",G160="yes"),1,0)</f>
        <v/>
      </c>
      <c r="AD160" s="35">
        <f>IF(AND(AC160=1,OR(H160="ja",H160="yes")),1,0)</f>
        <v/>
      </c>
      <c r="AE160" s="35">
        <f>IF(AC160=1,IF(AD160=1,Pkt_Abk_mit,Pkt_Abk_ohne),0)</f>
        <v/>
      </c>
      <c r="AF160" s="35">
        <f>(G160&lt;&gt;"")+(I160&lt;&gt;"")+(J160&lt;&gt;"")+(K160&lt;&gt;"")</f>
        <v/>
      </c>
      <c r="AG160" s="35">
        <f>IF(Q160&lt;&gt;"",Q160,IF(AF160&lt;4,"",IF(Z160=1,Tage_nicht_beschaffbar,Tage_beschaffbar)))</f>
        <v/>
      </c>
      <c r="AH160" s="35">
        <f>IF(M160="","",M160*1000+Y160*10+(1000-ROW())/100000)</f>
        <v/>
      </c>
    </row>
    <row r="161" ht="34" customHeight="1">
      <c r="A161" s="23">
        <f>IF(B161="","",COUNTA($B$9:B161))</f>
        <v/>
      </c>
      <c r="B161" s="24" t="n"/>
      <c r="C161" s="25" t="n"/>
      <c r="D161" s="25" t="n"/>
      <c r="E161" s="25" t="n"/>
      <c r="F161" s="26" t="n"/>
      <c r="G161" s="26" t="n"/>
      <c r="H161" s="27" t="n"/>
      <c r="I161" s="26" t="n"/>
      <c r="J161" s="26" t="n"/>
      <c r="K161" s="26" t="n"/>
      <c r="L161" s="23">
        <f>IF(AF161&lt;4,"",Z161+AA161+AB161+AE161)</f>
        <v/>
      </c>
      <c r="M161" s="28">
        <f>IF(OR(L161="",Y161=""),"",Y161*L161)</f>
        <v/>
      </c>
      <c r="N161" s="29">
        <f>IF(M161="","",IF(M161&lt;=Gruen_bis,"grün",IF(M161&lt;=Gelb_bis,"gelb","rot")))</f>
        <v/>
      </c>
      <c r="O161" s="30">
        <f>IF(N161="",IF(B161="","","Bewertung unvollständig – ★-Felder ausfüllen"),IF(N161="grün",IF(AC161=1,IF(AD161=1,"Abgekündigt, Nachfolger vorhanden: Umstieg bei nächster Gelegenheit planen","Abgekündigt: Endbevorratung (Last-Time-Buy) prüfen, Ersatzlösung planen"),"Keine aktive Maßnahme – jährlich prüfen"),IF(AND(Z161=1,AA161=1,AB161=1),"Sofort sichern: Restbestand / Gebrauchtteil kaufen und Ersatzlösung (Retrofit) planen",IF(AND(Z161=1,AB161=1),"Reparaturweg absichern (Dienstleister, Tauschteil), Gebrauchtteil prüfen",IF(AD161=1,"Auf Nachfolgeprodukt umstellen: Kompatibilität prüfen, Umstieg planen",IF(AC161=1,IF(AB161=1,"Abgekündigt ohne Nachfolger: sofort Endbevorratung (Last-Time-Buy) und Ersatzlösung planen","Abgekündigt ohne Nachfolger: Lagerteil sichern, Ersatzlösung (Retrofit) planen"),IF(Z161=1,"Nicht beschaffbar: Lagerteil schützen, Ersatzlösung mittelfristig planen",IF(AB161=1,IF(LEFT(S161,4)="nein","Bevorratung lohnt nicht – Lieferzeit und Reparaturweg absichern","Lagerbestand anlegen (mind. 1 Stk.)"),"Reparaturmöglichkeit klären"))))))))</f>
        <v/>
      </c>
      <c r="P161" s="31" t="n"/>
      <c r="Q161" s="27" t="n"/>
      <c r="R161" s="32">
        <f>IF(OR(AG161="",Y161="",AB161=0),"",AG161*INDEX(Krit_Kosten,MATCH(F161,Krit_Liste,0)))</f>
        <v/>
      </c>
      <c r="S161" s="33">
        <f>IF(N161="","",IF(N161="grün","–",IF(AB161=0,"am Lager / in stock",IF(N(P161)&lt;=0,"Stückpreis fehlt",IF(R161&gt;=Faktor_lohnt*P161,"ja – "&amp;FIXED(R161/P161,0)&amp;"-fach","nein – "&amp;FIXED(R161/P161,IF(R161/P161&lt;1,2,1))&amp;"-fach")))))</f>
        <v/>
      </c>
      <c r="T161" s="25" t="n"/>
      <c r="U161" s="34" t="n"/>
      <c r="V161" s="27" t="n"/>
      <c r="W161" s="25" t="n"/>
      <c r="X161" s="2" t="n"/>
      <c r="Y161" s="35">
        <f>IFERROR(INDEX(Krit_Faktor,MATCH(F161,Krit_Liste,0)),"")</f>
        <v/>
      </c>
      <c r="Z161" s="35">
        <f>IF(OR(I161="nein",I161="no"),1,0)</f>
        <v/>
      </c>
      <c r="AA161" s="35">
        <f>IF(OR(J161="nein",J161="no"),1,0)</f>
        <v/>
      </c>
      <c r="AB161" s="35">
        <f>IF(OR(K161="nein",K161="no"),1,0)</f>
        <v/>
      </c>
      <c r="AC161" s="35">
        <f>IF(OR(G161="ja",G161="yes"),1,0)</f>
        <v/>
      </c>
      <c r="AD161" s="35">
        <f>IF(AND(AC161=1,OR(H161="ja",H161="yes")),1,0)</f>
        <v/>
      </c>
      <c r="AE161" s="35">
        <f>IF(AC161=1,IF(AD161=1,Pkt_Abk_mit,Pkt_Abk_ohne),0)</f>
        <v/>
      </c>
      <c r="AF161" s="35">
        <f>(G161&lt;&gt;"")+(I161&lt;&gt;"")+(J161&lt;&gt;"")+(K161&lt;&gt;"")</f>
        <v/>
      </c>
      <c r="AG161" s="35">
        <f>IF(Q161&lt;&gt;"",Q161,IF(AF161&lt;4,"",IF(Z161=1,Tage_nicht_beschaffbar,Tage_beschaffbar)))</f>
        <v/>
      </c>
      <c r="AH161" s="35">
        <f>IF(M161="","",M161*1000+Y161*10+(1000-ROW())/100000)</f>
        <v/>
      </c>
    </row>
    <row r="162" ht="34" customHeight="1">
      <c r="A162" s="23">
        <f>IF(B162="","",COUNTA($B$9:B162))</f>
        <v/>
      </c>
      <c r="B162" s="24" t="n"/>
      <c r="C162" s="25" t="n"/>
      <c r="D162" s="25" t="n"/>
      <c r="E162" s="25" t="n"/>
      <c r="F162" s="26" t="n"/>
      <c r="G162" s="26" t="n"/>
      <c r="H162" s="27" t="n"/>
      <c r="I162" s="26" t="n"/>
      <c r="J162" s="26" t="n"/>
      <c r="K162" s="26" t="n"/>
      <c r="L162" s="23">
        <f>IF(AF162&lt;4,"",Z162+AA162+AB162+AE162)</f>
        <v/>
      </c>
      <c r="M162" s="28">
        <f>IF(OR(L162="",Y162=""),"",Y162*L162)</f>
        <v/>
      </c>
      <c r="N162" s="29">
        <f>IF(M162="","",IF(M162&lt;=Gruen_bis,"grün",IF(M162&lt;=Gelb_bis,"gelb","rot")))</f>
        <v/>
      </c>
      <c r="O162" s="30">
        <f>IF(N162="",IF(B162="","","Bewertung unvollständig – ★-Felder ausfüllen"),IF(N162="grün",IF(AC162=1,IF(AD162=1,"Abgekündigt, Nachfolger vorhanden: Umstieg bei nächster Gelegenheit planen","Abgekündigt: Endbevorratung (Last-Time-Buy) prüfen, Ersatzlösung planen"),"Keine aktive Maßnahme – jährlich prüfen"),IF(AND(Z162=1,AA162=1,AB162=1),"Sofort sichern: Restbestand / Gebrauchtteil kaufen und Ersatzlösung (Retrofit) planen",IF(AND(Z162=1,AB162=1),"Reparaturweg absichern (Dienstleister, Tauschteil), Gebrauchtteil prüfen",IF(AD162=1,"Auf Nachfolgeprodukt umstellen: Kompatibilität prüfen, Umstieg planen",IF(AC162=1,IF(AB162=1,"Abgekündigt ohne Nachfolger: sofort Endbevorratung (Last-Time-Buy) und Ersatzlösung planen","Abgekündigt ohne Nachfolger: Lagerteil sichern, Ersatzlösung (Retrofit) planen"),IF(Z162=1,"Nicht beschaffbar: Lagerteil schützen, Ersatzlösung mittelfristig planen",IF(AB162=1,IF(LEFT(S162,4)="nein","Bevorratung lohnt nicht – Lieferzeit und Reparaturweg absichern","Lagerbestand anlegen (mind. 1 Stk.)"),"Reparaturmöglichkeit klären"))))))))</f>
        <v/>
      </c>
      <c r="P162" s="31" t="n"/>
      <c r="Q162" s="27" t="n"/>
      <c r="R162" s="32">
        <f>IF(OR(AG162="",Y162="",AB162=0),"",AG162*INDEX(Krit_Kosten,MATCH(F162,Krit_Liste,0)))</f>
        <v/>
      </c>
      <c r="S162" s="33">
        <f>IF(N162="","",IF(N162="grün","–",IF(AB162=0,"am Lager / in stock",IF(N(P162)&lt;=0,"Stückpreis fehlt",IF(R162&gt;=Faktor_lohnt*P162,"ja – "&amp;FIXED(R162/P162,0)&amp;"-fach","nein – "&amp;FIXED(R162/P162,IF(R162/P162&lt;1,2,1))&amp;"-fach")))))</f>
        <v/>
      </c>
      <c r="T162" s="25" t="n"/>
      <c r="U162" s="34" t="n"/>
      <c r="V162" s="27" t="n"/>
      <c r="W162" s="25" t="n"/>
      <c r="X162" s="2" t="n"/>
      <c r="Y162" s="35">
        <f>IFERROR(INDEX(Krit_Faktor,MATCH(F162,Krit_Liste,0)),"")</f>
        <v/>
      </c>
      <c r="Z162" s="35">
        <f>IF(OR(I162="nein",I162="no"),1,0)</f>
        <v/>
      </c>
      <c r="AA162" s="35">
        <f>IF(OR(J162="nein",J162="no"),1,0)</f>
        <v/>
      </c>
      <c r="AB162" s="35">
        <f>IF(OR(K162="nein",K162="no"),1,0)</f>
        <v/>
      </c>
      <c r="AC162" s="35">
        <f>IF(OR(G162="ja",G162="yes"),1,0)</f>
        <v/>
      </c>
      <c r="AD162" s="35">
        <f>IF(AND(AC162=1,OR(H162="ja",H162="yes")),1,0)</f>
        <v/>
      </c>
      <c r="AE162" s="35">
        <f>IF(AC162=1,IF(AD162=1,Pkt_Abk_mit,Pkt_Abk_ohne),0)</f>
        <v/>
      </c>
      <c r="AF162" s="35">
        <f>(G162&lt;&gt;"")+(I162&lt;&gt;"")+(J162&lt;&gt;"")+(K162&lt;&gt;"")</f>
        <v/>
      </c>
      <c r="AG162" s="35">
        <f>IF(Q162&lt;&gt;"",Q162,IF(AF162&lt;4,"",IF(Z162=1,Tage_nicht_beschaffbar,Tage_beschaffbar)))</f>
        <v/>
      </c>
      <c r="AH162" s="35">
        <f>IF(M162="","",M162*1000+Y162*10+(1000-ROW())/100000)</f>
        <v/>
      </c>
    </row>
    <row r="163" ht="34" customHeight="1">
      <c r="A163" s="23">
        <f>IF(B163="","",COUNTA($B$9:B163))</f>
        <v/>
      </c>
      <c r="B163" s="24" t="n"/>
      <c r="C163" s="25" t="n"/>
      <c r="D163" s="25" t="n"/>
      <c r="E163" s="25" t="n"/>
      <c r="F163" s="26" t="n"/>
      <c r="G163" s="26" t="n"/>
      <c r="H163" s="27" t="n"/>
      <c r="I163" s="26" t="n"/>
      <c r="J163" s="26" t="n"/>
      <c r="K163" s="26" t="n"/>
      <c r="L163" s="23">
        <f>IF(AF163&lt;4,"",Z163+AA163+AB163+AE163)</f>
        <v/>
      </c>
      <c r="M163" s="28">
        <f>IF(OR(L163="",Y163=""),"",Y163*L163)</f>
        <v/>
      </c>
      <c r="N163" s="29">
        <f>IF(M163="","",IF(M163&lt;=Gruen_bis,"grün",IF(M163&lt;=Gelb_bis,"gelb","rot")))</f>
        <v/>
      </c>
      <c r="O163" s="30">
        <f>IF(N163="",IF(B163="","","Bewertung unvollständig – ★-Felder ausfüllen"),IF(N163="grün",IF(AC163=1,IF(AD163=1,"Abgekündigt, Nachfolger vorhanden: Umstieg bei nächster Gelegenheit planen","Abgekündigt: Endbevorratung (Last-Time-Buy) prüfen, Ersatzlösung planen"),"Keine aktive Maßnahme – jährlich prüfen"),IF(AND(Z163=1,AA163=1,AB163=1),"Sofort sichern: Restbestand / Gebrauchtteil kaufen und Ersatzlösung (Retrofit) planen",IF(AND(Z163=1,AB163=1),"Reparaturweg absichern (Dienstleister, Tauschteil), Gebrauchtteil prüfen",IF(AD163=1,"Auf Nachfolgeprodukt umstellen: Kompatibilität prüfen, Umstieg planen",IF(AC163=1,IF(AB163=1,"Abgekündigt ohne Nachfolger: sofort Endbevorratung (Last-Time-Buy) und Ersatzlösung planen","Abgekündigt ohne Nachfolger: Lagerteil sichern, Ersatzlösung (Retrofit) planen"),IF(Z163=1,"Nicht beschaffbar: Lagerteil schützen, Ersatzlösung mittelfristig planen",IF(AB163=1,IF(LEFT(S163,4)="nein","Bevorratung lohnt nicht – Lieferzeit und Reparaturweg absichern","Lagerbestand anlegen (mind. 1 Stk.)"),"Reparaturmöglichkeit klären"))))))))</f>
        <v/>
      </c>
      <c r="P163" s="31" t="n"/>
      <c r="Q163" s="27" t="n"/>
      <c r="R163" s="32">
        <f>IF(OR(AG163="",Y163="",AB163=0),"",AG163*INDEX(Krit_Kosten,MATCH(F163,Krit_Liste,0)))</f>
        <v/>
      </c>
      <c r="S163" s="33">
        <f>IF(N163="","",IF(N163="grün","–",IF(AB163=0,"am Lager / in stock",IF(N(P163)&lt;=0,"Stückpreis fehlt",IF(R163&gt;=Faktor_lohnt*P163,"ja – "&amp;FIXED(R163/P163,0)&amp;"-fach","nein – "&amp;FIXED(R163/P163,IF(R163/P163&lt;1,2,1))&amp;"-fach")))))</f>
        <v/>
      </c>
      <c r="T163" s="25" t="n"/>
      <c r="U163" s="34" t="n"/>
      <c r="V163" s="27" t="n"/>
      <c r="W163" s="25" t="n"/>
      <c r="X163" s="2" t="n"/>
      <c r="Y163" s="35">
        <f>IFERROR(INDEX(Krit_Faktor,MATCH(F163,Krit_Liste,0)),"")</f>
        <v/>
      </c>
      <c r="Z163" s="35">
        <f>IF(OR(I163="nein",I163="no"),1,0)</f>
        <v/>
      </c>
      <c r="AA163" s="35">
        <f>IF(OR(J163="nein",J163="no"),1,0)</f>
        <v/>
      </c>
      <c r="AB163" s="35">
        <f>IF(OR(K163="nein",K163="no"),1,0)</f>
        <v/>
      </c>
      <c r="AC163" s="35">
        <f>IF(OR(G163="ja",G163="yes"),1,0)</f>
        <v/>
      </c>
      <c r="AD163" s="35">
        <f>IF(AND(AC163=1,OR(H163="ja",H163="yes")),1,0)</f>
        <v/>
      </c>
      <c r="AE163" s="35">
        <f>IF(AC163=1,IF(AD163=1,Pkt_Abk_mit,Pkt_Abk_ohne),0)</f>
        <v/>
      </c>
      <c r="AF163" s="35">
        <f>(G163&lt;&gt;"")+(I163&lt;&gt;"")+(J163&lt;&gt;"")+(K163&lt;&gt;"")</f>
        <v/>
      </c>
      <c r="AG163" s="35">
        <f>IF(Q163&lt;&gt;"",Q163,IF(AF163&lt;4,"",IF(Z163=1,Tage_nicht_beschaffbar,Tage_beschaffbar)))</f>
        <v/>
      </c>
      <c r="AH163" s="35">
        <f>IF(M163="","",M163*1000+Y163*10+(1000-ROW())/100000)</f>
        <v/>
      </c>
    </row>
    <row r="164" ht="34" customHeight="1">
      <c r="A164" s="23">
        <f>IF(B164="","",COUNTA($B$9:B164))</f>
        <v/>
      </c>
      <c r="B164" s="24" t="n"/>
      <c r="C164" s="25" t="n"/>
      <c r="D164" s="25" t="n"/>
      <c r="E164" s="25" t="n"/>
      <c r="F164" s="26" t="n"/>
      <c r="G164" s="26" t="n"/>
      <c r="H164" s="27" t="n"/>
      <c r="I164" s="26" t="n"/>
      <c r="J164" s="26" t="n"/>
      <c r="K164" s="26" t="n"/>
      <c r="L164" s="23">
        <f>IF(AF164&lt;4,"",Z164+AA164+AB164+AE164)</f>
        <v/>
      </c>
      <c r="M164" s="28">
        <f>IF(OR(L164="",Y164=""),"",Y164*L164)</f>
        <v/>
      </c>
      <c r="N164" s="29">
        <f>IF(M164="","",IF(M164&lt;=Gruen_bis,"grün",IF(M164&lt;=Gelb_bis,"gelb","rot")))</f>
        <v/>
      </c>
      <c r="O164" s="30">
        <f>IF(N164="",IF(B164="","","Bewertung unvollständig – ★-Felder ausfüllen"),IF(N164="grün",IF(AC164=1,IF(AD164=1,"Abgekündigt, Nachfolger vorhanden: Umstieg bei nächster Gelegenheit planen","Abgekündigt: Endbevorratung (Last-Time-Buy) prüfen, Ersatzlösung planen"),"Keine aktive Maßnahme – jährlich prüfen"),IF(AND(Z164=1,AA164=1,AB164=1),"Sofort sichern: Restbestand / Gebrauchtteil kaufen und Ersatzlösung (Retrofit) planen",IF(AND(Z164=1,AB164=1),"Reparaturweg absichern (Dienstleister, Tauschteil), Gebrauchtteil prüfen",IF(AD164=1,"Auf Nachfolgeprodukt umstellen: Kompatibilität prüfen, Umstieg planen",IF(AC164=1,IF(AB164=1,"Abgekündigt ohne Nachfolger: sofort Endbevorratung (Last-Time-Buy) und Ersatzlösung planen","Abgekündigt ohne Nachfolger: Lagerteil sichern, Ersatzlösung (Retrofit) planen"),IF(Z164=1,"Nicht beschaffbar: Lagerteil schützen, Ersatzlösung mittelfristig planen",IF(AB164=1,IF(LEFT(S164,4)="nein","Bevorratung lohnt nicht – Lieferzeit und Reparaturweg absichern","Lagerbestand anlegen (mind. 1 Stk.)"),"Reparaturmöglichkeit klären"))))))))</f>
        <v/>
      </c>
      <c r="P164" s="31" t="n"/>
      <c r="Q164" s="27" t="n"/>
      <c r="R164" s="32">
        <f>IF(OR(AG164="",Y164="",AB164=0),"",AG164*INDEX(Krit_Kosten,MATCH(F164,Krit_Liste,0)))</f>
        <v/>
      </c>
      <c r="S164" s="33">
        <f>IF(N164="","",IF(N164="grün","–",IF(AB164=0,"am Lager / in stock",IF(N(P164)&lt;=0,"Stückpreis fehlt",IF(R164&gt;=Faktor_lohnt*P164,"ja – "&amp;FIXED(R164/P164,0)&amp;"-fach","nein – "&amp;FIXED(R164/P164,IF(R164/P164&lt;1,2,1))&amp;"-fach")))))</f>
        <v/>
      </c>
      <c r="T164" s="25" t="n"/>
      <c r="U164" s="34" t="n"/>
      <c r="V164" s="27" t="n"/>
      <c r="W164" s="25" t="n"/>
      <c r="X164" s="2" t="n"/>
      <c r="Y164" s="35">
        <f>IFERROR(INDEX(Krit_Faktor,MATCH(F164,Krit_Liste,0)),"")</f>
        <v/>
      </c>
      <c r="Z164" s="35">
        <f>IF(OR(I164="nein",I164="no"),1,0)</f>
        <v/>
      </c>
      <c r="AA164" s="35">
        <f>IF(OR(J164="nein",J164="no"),1,0)</f>
        <v/>
      </c>
      <c r="AB164" s="35">
        <f>IF(OR(K164="nein",K164="no"),1,0)</f>
        <v/>
      </c>
      <c r="AC164" s="35">
        <f>IF(OR(G164="ja",G164="yes"),1,0)</f>
        <v/>
      </c>
      <c r="AD164" s="35">
        <f>IF(AND(AC164=1,OR(H164="ja",H164="yes")),1,0)</f>
        <v/>
      </c>
      <c r="AE164" s="35">
        <f>IF(AC164=1,IF(AD164=1,Pkt_Abk_mit,Pkt_Abk_ohne),0)</f>
        <v/>
      </c>
      <c r="AF164" s="35">
        <f>(G164&lt;&gt;"")+(I164&lt;&gt;"")+(J164&lt;&gt;"")+(K164&lt;&gt;"")</f>
        <v/>
      </c>
      <c r="AG164" s="35">
        <f>IF(Q164&lt;&gt;"",Q164,IF(AF164&lt;4,"",IF(Z164=1,Tage_nicht_beschaffbar,Tage_beschaffbar)))</f>
        <v/>
      </c>
      <c r="AH164" s="35">
        <f>IF(M164="","",M164*1000+Y164*10+(1000-ROW())/100000)</f>
        <v/>
      </c>
    </row>
    <row r="165" ht="34" customHeight="1">
      <c r="A165" s="23">
        <f>IF(B165="","",COUNTA($B$9:B165))</f>
        <v/>
      </c>
      <c r="B165" s="24" t="n"/>
      <c r="C165" s="25" t="n"/>
      <c r="D165" s="25" t="n"/>
      <c r="E165" s="25" t="n"/>
      <c r="F165" s="26" t="n"/>
      <c r="G165" s="26" t="n"/>
      <c r="H165" s="27" t="n"/>
      <c r="I165" s="26" t="n"/>
      <c r="J165" s="26" t="n"/>
      <c r="K165" s="26" t="n"/>
      <c r="L165" s="23">
        <f>IF(AF165&lt;4,"",Z165+AA165+AB165+AE165)</f>
        <v/>
      </c>
      <c r="M165" s="28">
        <f>IF(OR(L165="",Y165=""),"",Y165*L165)</f>
        <v/>
      </c>
      <c r="N165" s="29">
        <f>IF(M165="","",IF(M165&lt;=Gruen_bis,"grün",IF(M165&lt;=Gelb_bis,"gelb","rot")))</f>
        <v/>
      </c>
      <c r="O165" s="30">
        <f>IF(N165="",IF(B165="","","Bewertung unvollständig – ★-Felder ausfüllen"),IF(N165="grün",IF(AC165=1,IF(AD165=1,"Abgekündigt, Nachfolger vorhanden: Umstieg bei nächster Gelegenheit planen","Abgekündigt: Endbevorratung (Last-Time-Buy) prüfen, Ersatzlösung planen"),"Keine aktive Maßnahme – jährlich prüfen"),IF(AND(Z165=1,AA165=1,AB165=1),"Sofort sichern: Restbestand / Gebrauchtteil kaufen und Ersatzlösung (Retrofit) planen",IF(AND(Z165=1,AB165=1),"Reparaturweg absichern (Dienstleister, Tauschteil), Gebrauchtteil prüfen",IF(AD165=1,"Auf Nachfolgeprodukt umstellen: Kompatibilität prüfen, Umstieg planen",IF(AC165=1,IF(AB165=1,"Abgekündigt ohne Nachfolger: sofort Endbevorratung (Last-Time-Buy) und Ersatzlösung planen","Abgekündigt ohne Nachfolger: Lagerteil sichern, Ersatzlösung (Retrofit) planen"),IF(Z165=1,"Nicht beschaffbar: Lagerteil schützen, Ersatzlösung mittelfristig planen",IF(AB165=1,IF(LEFT(S165,4)="nein","Bevorratung lohnt nicht – Lieferzeit und Reparaturweg absichern","Lagerbestand anlegen (mind. 1 Stk.)"),"Reparaturmöglichkeit klären"))))))))</f>
        <v/>
      </c>
      <c r="P165" s="31" t="n"/>
      <c r="Q165" s="27" t="n"/>
      <c r="R165" s="32">
        <f>IF(OR(AG165="",Y165="",AB165=0),"",AG165*INDEX(Krit_Kosten,MATCH(F165,Krit_Liste,0)))</f>
        <v/>
      </c>
      <c r="S165" s="33">
        <f>IF(N165="","",IF(N165="grün","–",IF(AB165=0,"am Lager / in stock",IF(N(P165)&lt;=0,"Stückpreis fehlt",IF(R165&gt;=Faktor_lohnt*P165,"ja – "&amp;FIXED(R165/P165,0)&amp;"-fach","nein – "&amp;FIXED(R165/P165,IF(R165/P165&lt;1,2,1))&amp;"-fach")))))</f>
        <v/>
      </c>
      <c r="T165" s="25" t="n"/>
      <c r="U165" s="34" t="n"/>
      <c r="V165" s="27" t="n"/>
      <c r="W165" s="25" t="n"/>
      <c r="X165" s="2" t="n"/>
      <c r="Y165" s="35">
        <f>IFERROR(INDEX(Krit_Faktor,MATCH(F165,Krit_Liste,0)),"")</f>
        <v/>
      </c>
      <c r="Z165" s="35">
        <f>IF(OR(I165="nein",I165="no"),1,0)</f>
        <v/>
      </c>
      <c r="AA165" s="35">
        <f>IF(OR(J165="nein",J165="no"),1,0)</f>
        <v/>
      </c>
      <c r="AB165" s="35">
        <f>IF(OR(K165="nein",K165="no"),1,0)</f>
        <v/>
      </c>
      <c r="AC165" s="35">
        <f>IF(OR(G165="ja",G165="yes"),1,0)</f>
        <v/>
      </c>
      <c r="AD165" s="35">
        <f>IF(AND(AC165=1,OR(H165="ja",H165="yes")),1,0)</f>
        <v/>
      </c>
      <c r="AE165" s="35">
        <f>IF(AC165=1,IF(AD165=1,Pkt_Abk_mit,Pkt_Abk_ohne),0)</f>
        <v/>
      </c>
      <c r="AF165" s="35">
        <f>(G165&lt;&gt;"")+(I165&lt;&gt;"")+(J165&lt;&gt;"")+(K165&lt;&gt;"")</f>
        <v/>
      </c>
      <c r="AG165" s="35">
        <f>IF(Q165&lt;&gt;"",Q165,IF(AF165&lt;4,"",IF(Z165=1,Tage_nicht_beschaffbar,Tage_beschaffbar)))</f>
        <v/>
      </c>
      <c r="AH165" s="35">
        <f>IF(M165="","",M165*1000+Y165*10+(1000-ROW())/100000)</f>
        <v/>
      </c>
    </row>
    <row r="166" ht="34" customHeight="1">
      <c r="A166" s="23">
        <f>IF(B166="","",COUNTA($B$9:B166))</f>
        <v/>
      </c>
      <c r="B166" s="24" t="n"/>
      <c r="C166" s="25" t="n"/>
      <c r="D166" s="25" t="n"/>
      <c r="E166" s="25" t="n"/>
      <c r="F166" s="26" t="n"/>
      <c r="G166" s="26" t="n"/>
      <c r="H166" s="27" t="n"/>
      <c r="I166" s="26" t="n"/>
      <c r="J166" s="26" t="n"/>
      <c r="K166" s="26" t="n"/>
      <c r="L166" s="23">
        <f>IF(AF166&lt;4,"",Z166+AA166+AB166+AE166)</f>
        <v/>
      </c>
      <c r="M166" s="28">
        <f>IF(OR(L166="",Y166=""),"",Y166*L166)</f>
        <v/>
      </c>
      <c r="N166" s="29">
        <f>IF(M166="","",IF(M166&lt;=Gruen_bis,"grün",IF(M166&lt;=Gelb_bis,"gelb","rot")))</f>
        <v/>
      </c>
      <c r="O166" s="30">
        <f>IF(N166="",IF(B166="","","Bewertung unvollständig – ★-Felder ausfüllen"),IF(N166="grün",IF(AC166=1,IF(AD166=1,"Abgekündigt, Nachfolger vorhanden: Umstieg bei nächster Gelegenheit planen","Abgekündigt: Endbevorratung (Last-Time-Buy) prüfen, Ersatzlösung planen"),"Keine aktive Maßnahme – jährlich prüfen"),IF(AND(Z166=1,AA166=1,AB166=1),"Sofort sichern: Restbestand / Gebrauchtteil kaufen und Ersatzlösung (Retrofit) planen",IF(AND(Z166=1,AB166=1),"Reparaturweg absichern (Dienstleister, Tauschteil), Gebrauchtteil prüfen",IF(AD166=1,"Auf Nachfolgeprodukt umstellen: Kompatibilität prüfen, Umstieg planen",IF(AC166=1,IF(AB166=1,"Abgekündigt ohne Nachfolger: sofort Endbevorratung (Last-Time-Buy) und Ersatzlösung planen","Abgekündigt ohne Nachfolger: Lagerteil sichern, Ersatzlösung (Retrofit) planen"),IF(Z166=1,"Nicht beschaffbar: Lagerteil schützen, Ersatzlösung mittelfristig planen",IF(AB166=1,IF(LEFT(S166,4)="nein","Bevorratung lohnt nicht – Lieferzeit und Reparaturweg absichern","Lagerbestand anlegen (mind. 1 Stk.)"),"Reparaturmöglichkeit klären"))))))))</f>
        <v/>
      </c>
      <c r="P166" s="31" t="n"/>
      <c r="Q166" s="27" t="n"/>
      <c r="R166" s="32">
        <f>IF(OR(AG166="",Y166="",AB166=0),"",AG166*INDEX(Krit_Kosten,MATCH(F166,Krit_Liste,0)))</f>
        <v/>
      </c>
      <c r="S166" s="33">
        <f>IF(N166="","",IF(N166="grün","–",IF(AB166=0,"am Lager / in stock",IF(N(P166)&lt;=0,"Stückpreis fehlt",IF(R166&gt;=Faktor_lohnt*P166,"ja – "&amp;FIXED(R166/P166,0)&amp;"-fach","nein – "&amp;FIXED(R166/P166,IF(R166/P166&lt;1,2,1))&amp;"-fach")))))</f>
        <v/>
      </c>
      <c r="T166" s="25" t="n"/>
      <c r="U166" s="34" t="n"/>
      <c r="V166" s="27" t="n"/>
      <c r="W166" s="25" t="n"/>
      <c r="X166" s="2" t="n"/>
      <c r="Y166" s="35">
        <f>IFERROR(INDEX(Krit_Faktor,MATCH(F166,Krit_Liste,0)),"")</f>
        <v/>
      </c>
      <c r="Z166" s="35">
        <f>IF(OR(I166="nein",I166="no"),1,0)</f>
        <v/>
      </c>
      <c r="AA166" s="35">
        <f>IF(OR(J166="nein",J166="no"),1,0)</f>
        <v/>
      </c>
      <c r="AB166" s="35">
        <f>IF(OR(K166="nein",K166="no"),1,0)</f>
        <v/>
      </c>
      <c r="AC166" s="35">
        <f>IF(OR(G166="ja",G166="yes"),1,0)</f>
        <v/>
      </c>
      <c r="AD166" s="35">
        <f>IF(AND(AC166=1,OR(H166="ja",H166="yes")),1,0)</f>
        <v/>
      </c>
      <c r="AE166" s="35">
        <f>IF(AC166=1,IF(AD166=1,Pkt_Abk_mit,Pkt_Abk_ohne),0)</f>
        <v/>
      </c>
      <c r="AF166" s="35">
        <f>(G166&lt;&gt;"")+(I166&lt;&gt;"")+(J166&lt;&gt;"")+(K166&lt;&gt;"")</f>
        <v/>
      </c>
      <c r="AG166" s="35">
        <f>IF(Q166&lt;&gt;"",Q166,IF(AF166&lt;4,"",IF(Z166=1,Tage_nicht_beschaffbar,Tage_beschaffbar)))</f>
        <v/>
      </c>
      <c r="AH166" s="35">
        <f>IF(M166="","",M166*1000+Y166*10+(1000-ROW())/100000)</f>
        <v/>
      </c>
    </row>
    <row r="167" ht="34" customHeight="1">
      <c r="A167" s="23">
        <f>IF(B167="","",COUNTA($B$9:B167))</f>
        <v/>
      </c>
      <c r="B167" s="24" t="n"/>
      <c r="C167" s="25" t="n"/>
      <c r="D167" s="25" t="n"/>
      <c r="E167" s="25" t="n"/>
      <c r="F167" s="26" t="n"/>
      <c r="G167" s="26" t="n"/>
      <c r="H167" s="27" t="n"/>
      <c r="I167" s="26" t="n"/>
      <c r="J167" s="26" t="n"/>
      <c r="K167" s="26" t="n"/>
      <c r="L167" s="23">
        <f>IF(AF167&lt;4,"",Z167+AA167+AB167+AE167)</f>
        <v/>
      </c>
      <c r="M167" s="28">
        <f>IF(OR(L167="",Y167=""),"",Y167*L167)</f>
        <v/>
      </c>
      <c r="N167" s="29">
        <f>IF(M167="","",IF(M167&lt;=Gruen_bis,"grün",IF(M167&lt;=Gelb_bis,"gelb","rot")))</f>
        <v/>
      </c>
      <c r="O167" s="30">
        <f>IF(N167="",IF(B167="","","Bewertung unvollständig – ★-Felder ausfüllen"),IF(N167="grün",IF(AC167=1,IF(AD167=1,"Abgekündigt, Nachfolger vorhanden: Umstieg bei nächster Gelegenheit planen","Abgekündigt: Endbevorratung (Last-Time-Buy) prüfen, Ersatzlösung planen"),"Keine aktive Maßnahme – jährlich prüfen"),IF(AND(Z167=1,AA167=1,AB167=1),"Sofort sichern: Restbestand / Gebrauchtteil kaufen und Ersatzlösung (Retrofit) planen",IF(AND(Z167=1,AB167=1),"Reparaturweg absichern (Dienstleister, Tauschteil), Gebrauchtteil prüfen",IF(AD167=1,"Auf Nachfolgeprodukt umstellen: Kompatibilität prüfen, Umstieg planen",IF(AC167=1,IF(AB167=1,"Abgekündigt ohne Nachfolger: sofort Endbevorratung (Last-Time-Buy) und Ersatzlösung planen","Abgekündigt ohne Nachfolger: Lagerteil sichern, Ersatzlösung (Retrofit) planen"),IF(Z167=1,"Nicht beschaffbar: Lagerteil schützen, Ersatzlösung mittelfristig planen",IF(AB167=1,IF(LEFT(S167,4)="nein","Bevorratung lohnt nicht – Lieferzeit und Reparaturweg absichern","Lagerbestand anlegen (mind. 1 Stk.)"),"Reparaturmöglichkeit klären"))))))))</f>
        <v/>
      </c>
      <c r="P167" s="31" t="n"/>
      <c r="Q167" s="27" t="n"/>
      <c r="R167" s="32">
        <f>IF(OR(AG167="",Y167="",AB167=0),"",AG167*INDEX(Krit_Kosten,MATCH(F167,Krit_Liste,0)))</f>
        <v/>
      </c>
      <c r="S167" s="33">
        <f>IF(N167="","",IF(N167="grün","–",IF(AB167=0,"am Lager / in stock",IF(N(P167)&lt;=0,"Stückpreis fehlt",IF(R167&gt;=Faktor_lohnt*P167,"ja – "&amp;FIXED(R167/P167,0)&amp;"-fach","nein – "&amp;FIXED(R167/P167,IF(R167/P167&lt;1,2,1))&amp;"-fach")))))</f>
        <v/>
      </c>
      <c r="T167" s="25" t="n"/>
      <c r="U167" s="34" t="n"/>
      <c r="V167" s="27" t="n"/>
      <c r="W167" s="25" t="n"/>
      <c r="X167" s="2" t="n"/>
      <c r="Y167" s="35">
        <f>IFERROR(INDEX(Krit_Faktor,MATCH(F167,Krit_Liste,0)),"")</f>
        <v/>
      </c>
      <c r="Z167" s="35">
        <f>IF(OR(I167="nein",I167="no"),1,0)</f>
        <v/>
      </c>
      <c r="AA167" s="35">
        <f>IF(OR(J167="nein",J167="no"),1,0)</f>
        <v/>
      </c>
      <c r="AB167" s="35">
        <f>IF(OR(K167="nein",K167="no"),1,0)</f>
        <v/>
      </c>
      <c r="AC167" s="35">
        <f>IF(OR(G167="ja",G167="yes"),1,0)</f>
        <v/>
      </c>
      <c r="AD167" s="35">
        <f>IF(AND(AC167=1,OR(H167="ja",H167="yes")),1,0)</f>
        <v/>
      </c>
      <c r="AE167" s="35">
        <f>IF(AC167=1,IF(AD167=1,Pkt_Abk_mit,Pkt_Abk_ohne),0)</f>
        <v/>
      </c>
      <c r="AF167" s="35">
        <f>(G167&lt;&gt;"")+(I167&lt;&gt;"")+(J167&lt;&gt;"")+(K167&lt;&gt;"")</f>
        <v/>
      </c>
      <c r="AG167" s="35">
        <f>IF(Q167&lt;&gt;"",Q167,IF(AF167&lt;4,"",IF(Z167=1,Tage_nicht_beschaffbar,Tage_beschaffbar)))</f>
        <v/>
      </c>
      <c r="AH167" s="35">
        <f>IF(M167="","",M167*1000+Y167*10+(1000-ROW())/100000)</f>
        <v/>
      </c>
    </row>
    <row r="168" ht="34" customHeight="1">
      <c r="A168" s="23">
        <f>IF(B168="","",COUNTA($B$9:B168))</f>
        <v/>
      </c>
      <c r="B168" s="24" t="n"/>
      <c r="C168" s="25" t="n"/>
      <c r="D168" s="25" t="n"/>
      <c r="E168" s="25" t="n"/>
      <c r="F168" s="26" t="n"/>
      <c r="G168" s="26" t="n"/>
      <c r="H168" s="27" t="n"/>
      <c r="I168" s="26" t="n"/>
      <c r="J168" s="26" t="n"/>
      <c r="K168" s="26" t="n"/>
      <c r="L168" s="23">
        <f>IF(AF168&lt;4,"",Z168+AA168+AB168+AE168)</f>
        <v/>
      </c>
      <c r="M168" s="28">
        <f>IF(OR(L168="",Y168=""),"",Y168*L168)</f>
        <v/>
      </c>
      <c r="N168" s="29">
        <f>IF(M168="","",IF(M168&lt;=Gruen_bis,"grün",IF(M168&lt;=Gelb_bis,"gelb","rot")))</f>
        <v/>
      </c>
      <c r="O168" s="30">
        <f>IF(N168="",IF(B168="","","Bewertung unvollständig – ★-Felder ausfüllen"),IF(N168="grün",IF(AC168=1,IF(AD168=1,"Abgekündigt, Nachfolger vorhanden: Umstieg bei nächster Gelegenheit planen","Abgekündigt: Endbevorratung (Last-Time-Buy) prüfen, Ersatzlösung planen"),"Keine aktive Maßnahme – jährlich prüfen"),IF(AND(Z168=1,AA168=1,AB168=1),"Sofort sichern: Restbestand / Gebrauchtteil kaufen und Ersatzlösung (Retrofit) planen",IF(AND(Z168=1,AB168=1),"Reparaturweg absichern (Dienstleister, Tauschteil), Gebrauchtteil prüfen",IF(AD168=1,"Auf Nachfolgeprodukt umstellen: Kompatibilität prüfen, Umstieg planen",IF(AC168=1,IF(AB168=1,"Abgekündigt ohne Nachfolger: sofort Endbevorratung (Last-Time-Buy) und Ersatzlösung planen","Abgekündigt ohne Nachfolger: Lagerteil sichern, Ersatzlösung (Retrofit) planen"),IF(Z168=1,"Nicht beschaffbar: Lagerteil schützen, Ersatzlösung mittelfristig planen",IF(AB168=1,IF(LEFT(S168,4)="nein","Bevorratung lohnt nicht – Lieferzeit und Reparaturweg absichern","Lagerbestand anlegen (mind. 1 Stk.)"),"Reparaturmöglichkeit klären"))))))))</f>
        <v/>
      </c>
      <c r="P168" s="31" t="n"/>
      <c r="Q168" s="27" t="n"/>
      <c r="R168" s="32">
        <f>IF(OR(AG168="",Y168="",AB168=0),"",AG168*INDEX(Krit_Kosten,MATCH(F168,Krit_Liste,0)))</f>
        <v/>
      </c>
      <c r="S168" s="33">
        <f>IF(N168="","",IF(N168="grün","–",IF(AB168=0,"am Lager / in stock",IF(N(P168)&lt;=0,"Stückpreis fehlt",IF(R168&gt;=Faktor_lohnt*P168,"ja – "&amp;FIXED(R168/P168,0)&amp;"-fach","nein – "&amp;FIXED(R168/P168,IF(R168/P168&lt;1,2,1))&amp;"-fach")))))</f>
        <v/>
      </c>
      <c r="T168" s="25" t="n"/>
      <c r="U168" s="34" t="n"/>
      <c r="V168" s="27" t="n"/>
      <c r="W168" s="25" t="n"/>
      <c r="X168" s="2" t="n"/>
      <c r="Y168" s="35">
        <f>IFERROR(INDEX(Krit_Faktor,MATCH(F168,Krit_Liste,0)),"")</f>
        <v/>
      </c>
      <c r="Z168" s="35">
        <f>IF(OR(I168="nein",I168="no"),1,0)</f>
        <v/>
      </c>
      <c r="AA168" s="35">
        <f>IF(OR(J168="nein",J168="no"),1,0)</f>
        <v/>
      </c>
      <c r="AB168" s="35">
        <f>IF(OR(K168="nein",K168="no"),1,0)</f>
        <v/>
      </c>
      <c r="AC168" s="35">
        <f>IF(OR(G168="ja",G168="yes"),1,0)</f>
        <v/>
      </c>
      <c r="AD168" s="35">
        <f>IF(AND(AC168=1,OR(H168="ja",H168="yes")),1,0)</f>
        <v/>
      </c>
      <c r="AE168" s="35">
        <f>IF(AC168=1,IF(AD168=1,Pkt_Abk_mit,Pkt_Abk_ohne),0)</f>
        <v/>
      </c>
      <c r="AF168" s="35">
        <f>(G168&lt;&gt;"")+(I168&lt;&gt;"")+(J168&lt;&gt;"")+(K168&lt;&gt;"")</f>
        <v/>
      </c>
      <c r="AG168" s="35">
        <f>IF(Q168&lt;&gt;"",Q168,IF(AF168&lt;4,"",IF(Z168=1,Tage_nicht_beschaffbar,Tage_beschaffbar)))</f>
        <v/>
      </c>
      <c r="AH168" s="35">
        <f>IF(M168="","",M168*1000+Y168*10+(1000-ROW())/100000)</f>
        <v/>
      </c>
    </row>
    <row r="169" ht="34" customHeight="1">
      <c r="A169" s="23">
        <f>IF(B169="","",COUNTA($B$9:B169))</f>
        <v/>
      </c>
      <c r="B169" s="24" t="n"/>
      <c r="C169" s="25" t="n"/>
      <c r="D169" s="25" t="n"/>
      <c r="E169" s="25" t="n"/>
      <c r="F169" s="26" t="n"/>
      <c r="G169" s="26" t="n"/>
      <c r="H169" s="27" t="n"/>
      <c r="I169" s="26" t="n"/>
      <c r="J169" s="26" t="n"/>
      <c r="K169" s="26" t="n"/>
      <c r="L169" s="23">
        <f>IF(AF169&lt;4,"",Z169+AA169+AB169+AE169)</f>
        <v/>
      </c>
      <c r="M169" s="28">
        <f>IF(OR(L169="",Y169=""),"",Y169*L169)</f>
        <v/>
      </c>
      <c r="N169" s="29">
        <f>IF(M169="","",IF(M169&lt;=Gruen_bis,"grün",IF(M169&lt;=Gelb_bis,"gelb","rot")))</f>
        <v/>
      </c>
      <c r="O169" s="30">
        <f>IF(N169="",IF(B169="","","Bewertung unvollständig – ★-Felder ausfüllen"),IF(N169="grün",IF(AC169=1,IF(AD169=1,"Abgekündigt, Nachfolger vorhanden: Umstieg bei nächster Gelegenheit planen","Abgekündigt: Endbevorratung (Last-Time-Buy) prüfen, Ersatzlösung planen"),"Keine aktive Maßnahme – jährlich prüfen"),IF(AND(Z169=1,AA169=1,AB169=1),"Sofort sichern: Restbestand / Gebrauchtteil kaufen und Ersatzlösung (Retrofit) planen",IF(AND(Z169=1,AB169=1),"Reparaturweg absichern (Dienstleister, Tauschteil), Gebrauchtteil prüfen",IF(AD169=1,"Auf Nachfolgeprodukt umstellen: Kompatibilität prüfen, Umstieg planen",IF(AC169=1,IF(AB169=1,"Abgekündigt ohne Nachfolger: sofort Endbevorratung (Last-Time-Buy) und Ersatzlösung planen","Abgekündigt ohne Nachfolger: Lagerteil sichern, Ersatzlösung (Retrofit) planen"),IF(Z169=1,"Nicht beschaffbar: Lagerteil schützen, Ersatzlösung mittelfristig planen",IF(AB169=1,IF(LEFT(S169,4)="nein","Bevorratung lohnt nicht – Lieferzeit und Reparaturweg absichern","Lagerbestand anlegen (mind. 1 Stk.)"),"Reparaturmöglichkeit klären"))))))))</f>
        <v/>
      </c>
      <c r="P169" s="31" t="n"/>
      <c r="Q169" s="27" t="n"/>
      <c r="R169" s="32">
        <f>IF(OR(AG169="",Y169="",AB169=0),"",AG169*INDEX(Krit_Kosten,MATCH(F169,Krit_Liste,0)))</f>
        <v/>
      </c>
      <c r="S169" s="33">
        <f>IF(N169="","",IF(N169="grün","–",IF(AB169=0,"am Lager / in stock",IF(N(P169)&lt;=0,"Stückpreis fehlt",IF(R169&gt;=Faktor_lohnt*P169,"ja – "&amp;FIXED(R169/P169,0)&amp;"-fach","nein – "&amp;FIXED(R169/P169,IF(R169/P169&lt;1,2,1))&amp;"-fach")))))</f>
        <v/>
      </c>
      <c r="T169" s="25" t="n"/>
      <c r="U169" s="34" t="n"/>
      <c r="V169" s="27" t="n"/>
      <c r="W169" s="25" t="n"/>
      <c r="X169" s="2" t="n"/>
      <c r="Y169" s="35">
        <f>IFERROR(INDEX(Krit_Faktor,MATCH(F169,Krit_Liste,0)),"")</f>
        <v/>
      </c>
      <c r="Z169" s="35">
        <f>IF(OR(I169="nein",I169="no"),1,0)</f>
        <v/>
      </c>
      <c r="AA169" s="35">
        <f>IF(OR(J169="nein",J169="no"),1,0)</f>
        <v/>
      </c>
      <c r="AB169" s="35">
        <f>IF(OR(K169="nein",K169="no"),1,0)</f>
        <v/>
      </c>
      <c r="AC169" s="35">
        <f>IF(OR(G169="ja",G169="yes"),1,0)</f>
        <v/>
      </c>
      <c r="AD169" s="35">
        <f>IF(AND(AC169=1,OR(H169="ja",H169="yes")),1,0)</f>
        <v/>
      </c>
      <c r="AE169" s="35">
        <f>IF(AC169=1,IF(AD169=1,Pkt_Abk_mit,Pkt_Abk_ohne),0)</f>
        <v/>
      </c>
      <c r="AF169" s="35">
        <f>(G169&lt;&gt;"")+(I169&lt;&gt;"")+(J169&lt;&gt;"")+(K169&lt;&gt;"")</f>
        <v/>
      </c>
      <c r="AG169" s="35">
        <f>IF(Q169&lt;&gt;"",Q169,IF(AF169&lt;4,"",IF(Z169=1,Tage_nicht_beschaffbar,Tage_beschaffbar)))</f>
        <v/>
      </c>
      <c r="AH169" s="35">
        <f>IF(M169="","",M169*1000+Y169*10+(1000-ROW())/100000)</f>
        <v/>
      </c>
    </row>
    <row r="170" ht="34" customHeight="1">
      <c r="A170" s="23">
        <f>IF(B170="","",COUNTA($B$9:B170))</f>
        <v/>
      </c>
      <c r="B170" s="24" t="n"/>
      <c r="C170" s="25" t="n"/>
      <c r="D170" s="25" t="n"/>
      <c r="E170" s="25" t="n"/>
      <c r="F170" s="26" t="n"/>
      <c r="G170" s="26" t="n"/>
      <c r="H170" s="27" t="n"/>
      <c r="I170" s="26" t="n"/>
      <c r="J170" s="26" t="n"/>
      <c r="K170" s="26" t="n"/>
      <c r="L170" s="23">
        <f>IF(AF170&lt;4,"",Z170+AA170+AB170+AE170)</f>
        <v/>
      </c>
      <c r="M170" s="28">
        <f>IF(OR(L170="",Y170=""),"",Y170*L170)</f>
        <v/>
      </c>
      <c r="N170" s="29">
        <f>IF(M170="","",IF(M170&lt;=Gruen_bis,"grün",IF(M170&lt;=Gelb_bis,"gelb","rot")))</f>
        <v/>
      </c>
      <c r="O170" s="30">
        <f>IF(N170="",IF(B170="","","Bewertung unvollständig – ★-Felder ausfüllen"),IF(N170="grün",IF(AC170=1,IF(AD170=1,"Abgekündigt, Nachfolger vorhanden: Umstieg bei nächster Gelegenheit planen","Abgekündigt: Endbevorratung (Last-Time-Buy) prüfen, Ersatzlösung planen"),"Keine aktive Maßnahme – jährlich prüfen"),IF(AND(Z170=1,AA170=1,AB170=1),"Sofort sichern: Restbestand / Gebrauchtteil kaufen und Ersatzlösung (Retrofit) planen",IF(AND(Z170=1,AB170=1),"Reparaturweg absichern (Dienstleister, Tauschteil), Gebrauchtteil prüfen",IF(AD170=1,"Auf Nachfolgeprodukt umstellen: Kompatibilität prüfen, Umstieg planen",IF(AC170=1,IF(AB170=1,"Abgekündigt ohne Nachfolger: sofort Endbevorratung (Last-Time-Buy) und Ersatzlösung planen","Abgekündigt ohne Nachfolger: Lagerteil sichern, Ersatzlösung (Retrofit) planen"),IF(Z170=1,"Nicht beschaffbar: Lagerteil schützen, Ersatzlösung mittelfristig planen",IF(AB170=1,IF(LEFT(S170,4)="nein","Bevorratung lohnt nicht – Lieferzeit und Reparaturweg absichern","Lagerbestand anlegen (mind. 1 Stk.)"),"Reparaturmöglichkeit klären"))))))))</f>
        <v/>
      </c>
      <c r="P170" s="31" t="n"/>
      <c r="Q170" s="27" t="n"/>
      <c r="R170" s="32">
        <f>IF(OR(AG170="",Y170="",AB170=0),"",AG170*INDEX(Krit_Kosten,MATCH(F170,Krit_Liste,0)))</f>
        <v/>
      </c>
      <c r="S170" s="33">
        <f>IF(N170="","",IF(N170="grün","–",IF(AB170=0,"am Lager / in stock",IF(N(P170)&lt;=0,"Stückpreis fehlt",IF(R170&gt;=Faktor_lohnt*P170,"ja – "&amp;FIXED(R170/P170,0)&amp;"-fach","nein – "&amp;FIXED(R170/P170,IF(R170/P170&lt;1,2,1))&amp;"-fach")))))</f>
        <v/>
      </c>
      <c r="T170" s="25" t="n"/>
      <c r="U170" s="34" t="n"/>
      <c r="V170" s="27" t="n"/>
      <c r="W170" s="25" t="n"/>
      <c r="X170" s="2" t="n"/>
      <c r="Y170" s="35">
        <f>IFERROR(INDEX(Krit_Faktor,MATCH(F170,Krit_Liste,0)),"")</f>
        <v/>
      </c>
      <c r="Z170" s="35">
        <f>IF(OR(I170="nein",I170="no"),1,0)</f>
        <v/>
      </c>
      <c r="AA170" s="35">
        <f>IF(OR(J170="nein",J170="no"),1,0)</f>
        <v/>
      </c>
      <c r="AB170" s="35">
        <f>IF(OR(K170="nein",K170="no"),1,0)</f>
        <v/>
      </c>
      <c r="AC170" s="35">
        <f>IF(OR(G170="ja",G170="yes"),1,0)</f>
        <v/>
      </c>
      <c r="AD170" s="35">
        <f>IF(AND(AC170=1,OR(H170="ja",H170="yes")),1,0)</f>
        <v/>
      </c>
      <c r="AE170" s="35">
        <f>IF(AC170=1,IF(AD170=1,Pkt_Abk_mit,Pkt_Abk_ohne),0)</f>
        <v/>
      </c>
      <c r="AF170" s="35">
        <f>(G170&lt;&gt;"")+(I170&lt;&gt;"")+(J170&lt;&gt;"")+(K170&lt;&gt;"")</f>
        <v/>
      </c>
      <c r="AG170" s="35">
        <f>IF(Q170&lt;&gt;"",Q170,IF(AF170&lt;4,"",IF(Z170=1,Tage_nicht_beschaffbar,Tage_beschaffbar)))</f>
        <v/>
      </c>
      <c r="AH170" s="35">
        <f>IF(M170="","",M170*1000+Y170*10+(1000-ROW())/100000)</f>
        <v/>
      </c>
    </row>
    <row r="171" ht="34" customHeight="1">
      <c r="A171" s="23">
        <f>IF(B171="","",COUNTA($B$9:B171))</f>
        <v/>
      </c>
      <c r="B171" s="24" t="n"/>
      <c r="C171" s="25" t="n"/>
      <c r="D171" s="25" t="n"/>
      <c r="E171" s="25" t="n"/>
      <c r="F171" s="26" t="n"/>
      <c r="G171" s="26" t="n"/>
      <c r="H171" s="27" t="n"/>
      <c r="I171" s="26" t="n"/>
      <c r="J171" s="26" t="n"/>
      <c r="K171" s="26" t="n"/>
      <c r="L171" s="23">
        <f>IF(AF171&lt;4,"",Z171+AA171+AB171+AE171)</f>
        <v/>
      </c>
      <c r="M171" s="28">
        <f>IF(OR(L171="",Y171=""),"",Y171*L171)</f>
        <v/>
      </c>
      <c r="N171" s="29">
        <f>IF(M171="","",IF(M171&lt;=Gruen_bis,"grün",IF(M171&lt;=Gelb_bis,"gelb","rot")))</f>
        <v/>
      </c>
      <c r="O171" s="30">
        <f>IF(N171="",IF(B171="","","Bewertung unvollständig – ★-Felder ausfüllen"),IF(N171="grün",IF(AC171=1,IF(AD171=1,"Abgekündigt, Nachfolger vorhanden: Umstieg bei nächster Gelegenheit planen","Abgekündigt: Endbevorratung (Last-Time-Buy) prüfen, Ersatzlösung planen"),"Keine aktive Maßnahme – jährlich prüfen"),IF(AND(Z171=1,AA171=1,AB171=1),"Sofort sichern: Restbestand / Gebrauchtteil kaufen und Ersatzlösung (Retrofit) planen",IF(AND(Z171=1,AB171=1),"Reparaturweg absichern (Dienstleister, Tauschteil), Gebrauchtteil prüfen",IF(AD171=1,"Auf Nachfolgeprodukt umstellen: Kompatibilität prüfen, Umstieg planen",IF(AC171=1,IF(AB171=1,"Abgekündigt ohne Nachfolger: sofort Endbevorratung (Last-Time-Buy) und Ersatzlösung planen","Abgekündigt ohne Nachfolger: Lagerteil sichern, Ersatzlösung (Retrofit) planen"),IF(Z171=1,"Nicht beschaffbar: Lagerteil schützen, Ersatzlösung mittelfristig planen",IF(AB171=1,IF(LEFT(S171,4)="nein","Bevorratung lohnt nicht – Lieferzeit und Reparaturweg absichern","Lagerbestand anlegen (mind. 1 Stk.)"),"Reparaturmöglichkeit klären"))))))))</f>
        <v/>
      </c>
      <c r="P171" s="31" t="n"/>
      <c r="Q171" s="27" t="n"/>
      <c r="R171" s="32">
        <f>IF(OR(AG171="",Y171="",AB171=0),"",AG171*INDEX(Krit_Kosten,MATCH(F171,Krit_Liste,0)))</f>
        <v/>
      </c>
      <c r="S171" s="33">
        <f>IF(N171="","",IF(N171="grün","–",IF(AB171=0,"am Lager / in stock",IF(N(P171)&lt;=0,"Stückpreis fehlt",IF(R171&gt;=Faktor_lohnt*P171,"ja – "&amp;FIXED(R171/P171,0)&amp;"-fach","nein – "&amp;FIXED(R171/P171,IF(R171/P171&lt;1,2,1))&amp;"-fach")))))</f>
        <v/>
      </c>
      <c r="T171" s="25" t="n"/>
      <c r="U171" s="34" t="n"/>
      <c r="V171" s="27" t="n"/>
      <c r="W171" s="25" t="n"/>
      <c r="X171" s="2" t="n"/>
      <c r="Y171" s="35">
        <f>IFERROR(INDEX(Krit_Faktor,MATCH(F171,Krit_Liste,0)),"")</f>
        <v/>
      </c>
      <c r="Z171" s="35">
        <f>IF(OR(I171="nein",I171="no"),1,0)</f>
        <v/>
      </c>
      <c r="AA171" s="35">
        <f>IF(OR(J171="nein",J171="no"),1,0)</f>
        <v/>
      </c>
      <c r="AB171" s="35">
        <f>IF(OR(K171="nein",K171="no"),1,0)</f>
        <v/>
      </c>
      <c r="AC171" s="35">
        <f>IF(OR(G171="ja",G171="yes"),1,0)</f>
        <v/>
      </c>
      <c r="AD171" s="35">
        <f>IF(AND(AC171=1,OR(H171="ja",H171="yes")),1,0)</f>
        <v/>
      </c>
      <c r="AE171" s="35">
        <f>IF(AC171=1,IF(AD171=1,Pkt_Abk_mit,Pkt_Abk_ohne),0)</f>
        <v/>
      </c>
      <c r="AF171" s="35">
        <f>(G171&lt;&gt;"")+(I171&lt;&gt;"")+(J171&lt;&gt;"")+(K171&lt;&gt;"")</f>
        <v/>
      </c>
      <c r="AG171" s="35">
        <f>IF(Q171&lt;&gt;"",Q171,IF(AF171&lt;4,"",IF(Z171=1,Tage_nicht_beschaffbar,Tage_beschaffbar)))</f>
        <v/>
      </c>
      <c r="AH171" s="35">
        <f>IF(M171="","",M171*1000+Y171*10+(1000-ROW())/100000)</f>
        <v/>
      </c>
    </row>
    <row r="172" ht="34" customHeight="1">
      <c r="A172" s="23">
        <f>IF(B172="","",COUNTA($B$9:B172))</f>
        <v/>
      </c>
      <c r="B172" s="24" t="n"/>
      <c r="C172" s="25" t="n"/>
      <c r="D172" s="25" t="n"/>
      <c r="E172" s="25" t="n"/>
      <c r="F172" s="26" t="n"/>
      <c r="G172" s="26" t="n"/>
      <c r="H172" s="27" t="n"/>
      <c r="I172" s="26" t="n"/>
      <c r="J172" s="26" t="n"/>
      <c r="K172" s="26" t="n"/>
      <c r="L172" s="23">
        <f>IF(AF172&lt;4,"",Z172+AA172+AB172+AE172)</f>
        <v/>
      </c>
      <c r="M172" s="28">
        <f>IF(OR(L172="",Y172=""),"",Y172*L172)</f>
        <v/>
      </c>
      <c r="N172" s="29">
        <f>IF(M172="","",IF(M172&lt;=Gruen_bis,"grün",IF(M172&lt;=Gelb_bis,"gelb","rot")))</f>
        <v/>
      </c>
      <c r="O172" s="30">
        <f>IF(N172="",IF(B172="","","Bewertung unvollständig – ★-Felder ausfüllen"),IF(N172="grün",IF(AC172=1,IF(AD172=1,"Abgekündigt, Nachfolger vorhanden: Umstieg bei nächster Gelegenheit planen","Abgekündigt: Endbevorratung (Last-Time-Buy) prüfen, Ersatzlösung planen"),"Keine aktive Maßnahme – jährlich prüfen"),IF(AND(Z172=1,AA172=1,AB172=1),"Sofort sichern: Restbestand / Gebrauchtteil kaufen und Ersatzlösung (Retrofit) planen",IF(AND(Z172=1,AB172=1),"Reparaturweg absichern (Dienstleister, Tauschteil), Gebrauchtteil prüfen",IF(AD172=1,"Auf Nachfolgeprodukt umstellen: Kompatibilität prüfen, Umstieg planen",IF(AC172=1,IF(AB172=1,"Abgekündigt ohne Nachfolger: sofort Endbevorratung (Last-Time-Buy) und Ersatzlösung planen","Abgekündigt ohne Nachfolger: Lagerteil sichern, Ersatzlösung (Retrofit) planen"),IF(Z172=1,"Nicht beschaffbar: Lagerteil schützen, Ersatzlösung mittelfristig planen",IF(AB172=1,IF(LEFT(S172,4)="nein","Bevorratung lohnt nicht – Lieferzeit und Reparaturweg absichern","Lagerbestand anlegen (mind. 1 Stk.)"),"Reparaturmöglichkeit klären"))))))))</f>
        <v/>
      </c>
      <c r="P172" s="31" t="n"/>
      <c r="Q172" s="27" t="n"/>
      <c r="R172" s="32">
        <f>IF(OR(AG172="",Y172="",AB172=0),"",AG172*INDEX(Krit_Kosten,MATCH(F172,Krit_Liste,0)))</f>
        <v/>
      </c>
      <c r="S172" s="33">
        <f>IF(N172="","",IF(N172="grün","–",IF(AB172=0,"am Lager / in stock",IF(N(P172)&lt;=0,"Stückpreis fehlt",IF(R172&gt;=Faktor_lohnt*P172,"ja – "&amp;FIXED(R172/P172,0)&amp;"-fach","nein – "&amp;FIXED(R172/P172,IF(R172/P172&lt;1,2,1))&amp;"-fach")))))</f>
        <v/>
      </c>
      <c r="T172" s="25" t="n"/>
      <c r="U172" s="34" t="n"/>
      <c r="V172" s="27" t="n"/>
      <c r="W172" s="25" t="n"/>
      <c r="X172" s="2" t="n"/>
      <c r="Y172" s="35">
        <f>IFERROR(INDEX(Krit_Faktor,MATCH(F172,Krit_Liste,0)),"")</f>
        <v/>
      </c>
      <c r="Z172" s="35">
        <f>IF(OR(I172="nein",I172="no"),1,0)</f>
        <v/>
      </c>
      <c r="AA172" s="35">
        <f>IF(OR(J172="nein",J172="no"),1,0)</f>
        <v/>
      </c>
      <c r="AB172" s="35">
        <f>IF(OR(K172="nein",K172="no"),1,0)</f>
        <v/>
      </c>
      <c r="AC172" s="35">
        <f>IF(OR(G172="ja",G172="yes"),1,0)</f>
        <v/>
      </c>
      <c r="AD172" s="35">
        <f>IF(AND(AC172=1,OR(H172="ja",H172="yes")),1,0)</f>
        <v/>
      </c>
      <c r="AE172" s="35">
        <f>IF(AC172=1,IF(AD172=1,Pkt_Abk_mit,Pkt_Abk_ohne),0)</f>
        <v/>
      </c>
      <c r="AF172" s="35">
        <f>(G172&lt;&gt;"")+(I172&lt;&gt;"")+(J172&lt;&gt;"")+(K172&lt;&gt;"")</f>
        <v/>
      </c>
      <c r="AG172" s="35">
        <f>IF(Q172&lt;&gt;"",Q172,IF(AF172&lt;4,"",IF(Z172=1,Tage_nicht_beschaffbar,Tage_beschaffbar)))</f>
        <v/>
      </c>
      <c r="AH172" s="35">
        <f>IF(M172="","",M172*1000+Y172*10+(1000-ROW())/100000)</f>
        <v/>
      </c>
    </row>
    <row r="173" ht="34" customHeight="1">
      <c r="A173" s="23">
        <f>IF(B173="","",COUNTA($B$9:B173))</f>
        <v/>
      </c>
      <c r="B173" s="24" t="n"/>
      <c r="C173" s="25" t="n"/>
      <c r="D173" s="25" t="n"/>
      <c r="E173" s="25" t="n"/>
      <c r="F173" s="26" t="n"/>
      <c r="G173" s="26" t="n"/>
      <c r="H173" s="27" t="n"/>
      <c r="I173" s="26" t="n"/>
      <c r="J173" s="26" t="n"/>
      <c r="K173" s="26" t="n"/>
      <c r="L173" s="23">
        <f>IF(AF173&lt;4,"",Z173+AA173+AB173+AE173)</f>
        <v/>
      </c>
      <c r="M173" s="28">
        <f>IF(OR(L173="",Y173=""),"",Y173*L173)</f>
        <v/>
      </c>
      <c r="N173" s="29">
        <f>IF(M173="","",IF(M173&lt;=Gruen_bis,"grün",IF(M173&lt;=Gelb_bis,"gelb","rot")))</f>
        <v/>
      </c>
      <c r="O173" s="30">
        <f>IF(N173="",IF(B173="","","Bewertung unvollständig – ★-Felder ausfüllen"),IF(N173="grün",IF(AC173=1,IF(AD173=1,"Abgekündigt, Nachfolger vorhanden: Umstieg bei nächster Gelegenheit planen","Abgekündigt: Endbevorratung (Last-Time-Buy) prüfen, Ersatzlösung planen"),"Keine aktive Maßnahme – jährlich prüfen"),IF(AND(Z173=1,AA173=1,AB173=1),"Sofort sichern: Restbestand / Gebrauchtteil kaufen und Ersatzlösung (Retrofit) planen",IF(AND(Z173=1,AB173=1),"Reparaturweg absichern (Dienstleister, Tauschteil), Gebrauchtteil prüfen",IF(AD173=1,"Auf Nachfolgeprodukt umstellen: Kompatibilität prüfen, Umstieg planen",IF(AC173=1,IF(AB173=1,"Abgekündigt ohne Nachfolger: sofort Endbevorratung (Last-Time-Buy) und Ersatzlösung planen","Abgekündigt ohne Nachfolger: Lagerteil sichern, Ersatzlösung (Retrofit) planen"),IF(Z173=1,"Nicht beschaffbar: Lagerteil schützen, Ersatzlösung mittelfristig planen",IF(AB173=1,IF(LEFT(S173,4)="nein","Bevorratung lohnt nicht – Lieferzeit und Reparaturweg absichern","Lagerbestand anlegen (mind. 1 Stk.)"),"Reparaturmöglichkeit klären"))))))))</f>
        <v/>
      </c>
      <c r="P173" s="31" t="n"/>
      <c r="Q173" s="27" t="n"/>
      <c r="R173" s="32">
        <f>IF(OR(AG173="",Y173="",AB173=0),"",AG173*INDEX(Krit_Kosten,MATCH(F173,Krit_Liste,0)))</f>
        <v/>
      </c>
      <c r="S173" s="33">
        <f>IF(N173="","",IF(N173="grün","–",IF(AB173=0,"am Lager / in stock",IF(N(P173)&lt;=0,"Stückpreis fehlt",IF(R173&gt;=Faktor_lohnt*P173,"ja – "&amp;FIXED(R173/P173,0)&amp;"-fach","nein – "&amp;FIXED(R173/P173,IF(R173/P173&lt;1,2,1))&amp;"-fach")))))</f>
        <v/>
      </c>
      <c r="T173" s="25" t="n"/>
      <c r="U173" s="34" t="n"/>
      <c r="V173" s="27" t="n"/>
      <c r="W173" s="25" t="n"/>
      <c r="X173" s="2" t="n"/>
      <c r="Y173" s="35">
        <f>IFERROR(INDEX(Krit_Faktor,MATCH(F173,Krit_Liste,0)),"")</f>
        <v/>
      </c>
      <c r="Z173" s="35">
        <f>IF(OR(I173="nein",I173="no"),1,0)</f>
        <v/>
      </c>
      <c r="AA173" s="35">
        <f>IF(OR(J173="nein",J173="no"),1,0)</f>
        <v/>
      </c>
      <c r="AB173" s="35">
        <f>IF(OR(K173="nein",K173="no"),1,0)</f>
        <v/>
      </c>
      <c r="AC173" s="35">
        <f>IF(OR(G173="ja",G173="yes"),1,0)</f>
        <v/>
      </c>
      <c r="AD173" s="35">
        <f>IF(AND(AC173=1,OR(H173="ja",H173="yes")),1,0)</f>
        <v/>
      </c>
      <c r="AE173" s="35">
        <f>IF(AC173=1,IF(AD173=1,Pkt_Abk_mit,Pkt_Abk_ohne),0)</f>
        <v/>
      </c>
      <c r="AF173" s="35">
        <f>(G173&lt;&gt;"")+(I173&lt;&gt;"")+(J173&lt;&gt;"")+(K173&lt;&gt;"")</f>
        <v/>
      </c>
      <c r="AG173" s="35">
        <f>IF(Q173&lt;&gt;"",Q173,IF(AF173&lt;4,"",IF(Z173=1,Tage_nicht_beschaffbar,Tage_beschaffbar)))</f>
        <v/>
      </c>
      <c r="AH173" s="35">
        <f>IF(M173="","",M173*1000+Y173*10+(1000-ROW())/100000)</f>
        <v/>
      </c>
    </row>
    <row r="174" ht="34" customHeight="1">
      <c r="A174" s="23">
        <f>IF(B174="","",COUNTA($B$9:B174))</f>
        <v/>
      </c>
      <c r="B174" s="24" t="n"/>
      <c r="C174" s="25" t="n"/>
      <c r="D174" s="25" t="n"/>
      <c r="E174" s="25" t="n"/>
      <c r="F174" s="26" t="n"/>
      <c r="G174" s="26" t="n"/>
      <c r="H174" s="27" t="n"/>
      <c r="I174" s="26" t="n"/>
      <c r="J174" s="26" t="n"/>
      <c r="K174" s="26" t="n"/>
      <c r="L174" s="23">
        <f>IF(AF174&lt;4,"",Z174+AA174+AB174+AE174)</f>
        <v/>
      </c>
      <c r="M174" s="28">
        <f>IF(OR(L174="",Y174=""),"",Y174*L174)</f>
        <v/>
      </c>
      <c r="N174" s="29">
        <f>IF(M174="","",IF(M174&lt;=Gruen_bis,"grün",IF(M174&lt;=Gelb_bis,"gelb","rot")))</f>
        <v/>
      </c>
      <c r="O174" s="30">
        <f>IF(N174="",IF(B174="","","Bewertung unvollständig – ★-Felder ausfüllen"),IF(N174="grün",IF(AC174=1,IF(AD174=1,"Abgekündigt, Nachfolger vorhanden: Umstieg bei nächster Gelegenheit planen","Abgekündigt: Endbevorratung (Last-Time-Buy) prüfen, Ersatzlösung planen"),"Keine aktive Maßnahme – jährlich prüfen"),IF(AND(Z174=1,AA174=1,AB174=1),"Sofort sichern: Restbestand / Gebrauchtteil kaufen und Ersatzlösung (Retrofit) planen",IF(AND(Z174=1,AB174=1),"Reparaturweg absichern (Dienstleister, Tauschteil), Gebrauchtteil prüfen",IF(AD174=1,"Auf Nachfolgeprodukt umstellen: Kompatibilität prüfen, Umstieg planen",IF(AC174=1,IF(AB174=1,"Abgekündigt ohne Nachfolger: sofort Endbevorratung (Last-Time-Buy) und Ersatzlösung planen","Abgekündigt ohne Nachfolger: Lagerteil sichern, Ersatzlösung (Retrofit) planen"),IF(Z174=1,"Nicht beschaffbar: Lagerteil schützen, Ersatzlösung mittelfristig planen",IF(AB174=1,IF(LEFT(S174,4)="nein","Bevorratung lohnt nicht – Lieferzeit und Reparaturweg absichern","Lagerbestand anlegen (mind. 1 Stk.)"),"Reparaturmöglichkeit klären"))))))))</f>
        <v/>
      </c>
      <c r="P174" s="31" t="n"/>
      <c r="Q174" s="27" t="n"/>
      <c r="R174" s="32">
        <f>IF(OR(AG174="",Y174="",AB174=0),"",AG174*INDEX(Krit_Kosten,MATCH(F174,Krit_Liste,0)))</f>
        <v/>
      </c>
      <c r="S174" s="33">
        <f>IF(N174="","",IF(N174="grün","–",IF(AB174=0,"am Lager / in stock",IF(N(P174)&lt;=0,"Stückpreis fehlt",IF(R174&gt;=Faktor_lohnt*P174,"ja – "&amp;FIXED(R174/P174,0)&amp;"-fach","nein – "&amp;FIXED(R174/P174,IF(R174/P174&lt;1,2,1))&amp;"-fach")))))</f>
        <v/>
      </c>
      <c r="T174" s="25" t="n"/>
      <c r="U174" s="34" t="n"/>
      <c r="V174" s="27" t="n"/>
      <c r="W174" s="25" t="n"/>
      <c r="X174" s="2" t="n"/>
      <c r="Y174" s="35">
        <f>IFERROR(INDEX(Krit_Faktor,MATCH(F174,Krit_Liste,0)),"")</f>
        <v/>
      </c>
      <c r="Z174" s="35">
        <f>IF(OR(I174="nein",I174="no"),1,0)</f>
        <v/>
      </c>
      <c r="AA174" s="35">
        <f>IF(OR(J174="nein",J174="no"),1,0)</f>
        <v/>
      </c>
      <c r="AB174" s="35">
        <f>IF(OR(K174="nein",K174="no"),1,0)</f>
        <v/>
      </c>
      <c r="AC174" s="35">
        <f>IF(OR(G174="ja",G174="yes"),1,0)</f>
        <v/>
      </c>
      <c r="AD174" s="35">
        <f>IF(AND(AC174=1,OR(H174="ja",H174="yes")),1,0)</f>
        <v/>
      </c>
      <c r="AE174" s="35">
        <f>IF(AC174=1,IF(AD174=1,Pkt_Abk_mit,Pkt_Abk_ohne),0)</f>
        <v/>
      </c>
      <c r="AF174" s="35">
        <f>(G174&lt;&gt;"")+(I174&lt;&gt;"")+(J174&lt;&gt;"")+(K174&lt;&gt;"")</f>
        <v/>
      </c>
      <c r="AG174" s="35">
        <f>IF(Q174&lt;&gt;"",Q174,IF(AF174&lt;4,"",IF(Z174=1,Tage_nicht_beschaffbar,Tage_beschaffbar)))</f>
        <v/>
      </c>
      <c r="AH174" s="35">
        <f>IF(M174="","",M174*1000+Y174*10+(1000-ROW())/100000)</f>
        <v/>
      </c>
    </row>
    <row r="175" ht="34" customHeight="1">
      <c r="A175" s="23">
        <f>IF(B175="","",COUNTA($B$9:B175))</f>
        <v/>
      </c>
      <c r="B175" s="24" t="n"/>
      <c r="C175" s="25" t="n"/>
      <c r="D175" s="25" t="n"/>
      <c r="E175" s="25" t="n"/>
      <c r="F175" s="26" t="n"/>
      <c r="G175" s="26" t="n"/>
      <c r="H175" s="27" t="n"/>
      <c r="I175" s="26" t="n"/>
      <c r="J175" s="26" t="n"/>
      <c r="K175" s="26" t="n"/>
      <c r="L175" s="23">
        <f>IF(AF175&lt;4,"",Z175+AA175+AB175+AE175)</f>
        <v/>
      </c>
      <c r="M175" s="28">
        <f>IF(OR(L175="",Y175=""),"",Y175*L175)</f>
        <v/>
      </c>
      <c r="N175" s="29">
        <f>IF(M175="","",IF(M175&lt;=Gruen_bis,"grün",IF(M175&lt;=Gelb_bis,"gelb","rot")))</f>
        <v/>
      </c>
      <c r="O175" s="30">
        <f>IF(N175="",IF(B175="","","Bewertung unvollständig – ★-Felder ausfüllen"),IF(N175="grün",IF(AC175=1,IF(AD175=1,"Abgekündigt, Nachfolger vorhanden: Umstieg bei nächster Gelegenheit planen","Abgekündigt: Endbevorratung (Last-Time-Buy) prüfen, Ersatzlösung planen"),"Keine aktive Maßnahme – jährlich prüfen"),IF(AND(Z175=1,AA175=1,AB175=1),"Sofort sichern: Restbestand / Gebrauchtteil kaufen und Ersatzlösung (Retrofit) planen",IF(AND(Z175=1,AB175=1),"Reparaturweg absichern (Dienstleister, Tauschteil), Gebrauchtteil prüfen",IF(AD175=1,"Auf Nachfolgeprodukt umstellen: Kompatibilität prüfen, Umstieg planen",IF(AC175=1,IF(AB175=1,"Abgekündigt ohne Nachfolger: sofort Endbevorratung (Last-Time-Buy) und Ersatzlösung planen","Abgekündigt ohne Nachfolger: Lagerteil sichern, Ersatzlösung (Retrofit) planen"),IF(Z175=1,"Nicht beschaffbar: Lagerteil schützen, Ersatzlösung mittelfristig planen",IF(AB175=1,IF(LEFT(S175,4)="nein","Bevorratung lohnt nicht – Lieferzeit und Reparaturweg absichern","Lagerbestand anlegen (mind. 1 Stk.)"),"Reparaturmöglichkeit klären"))))))))</f>
        <v/>
      </c>
      <c r="P175" s="31" t="n"/>
      <c r="Q175" s="27" t="n"/>
      <c r="R175" s="32">
        <f>IF(OR(AG175="",Y175="",AB175=0),"",AG175*INDEX(Krit_Kosten,MATCH(F175,Krit_Liste,0)))</f>
        <v/>
      </c>
      <c r="S175" s="33">
        <f>IF(N175="","",IF(N175="grün","–",IF(AB175=0,"am Lager / in stock",IF(N(P175)&lt;=0,"Stückpreis fehlt",IF(R175&gt;=Faktor_lohnt*P175,"ja – "&amp;FIXED(R175/P175,0)&amp;"-fach","nein – "&amp;FIXED(R175/P175,IF(R175/P175&lt;1,2,1))&amp;"-fach")))))</f>
        <v/>
      </c>
      <c r="T175" s="25" t="n"/>
      <c r="U175" s="34" t="n"/>
      <c r="V175" s="27" t="n"/>
      <c r="W175" s="25" t="n"/>
      <c r="X175" s="2" t="n"/>
      <c r="Y175" s="35">
        <f>IFERROR(INDEX(Krit_Faktor,MATCH(F175,Krit_Liste,0)),"")</f>
        <v/>
      </c>
      <c r="Z175" s="35">
        <f>IF(OR(I175="nein",I175="no"),1,0)</f>
        <v/>
      </c>
      <c r="AA175" s="35">
        <f>IF(OR(J175="nein",J175="no"),1,0)</f>
        <v/>
      </c>
      <c r="AB175" s="35">
        <f>IF(OR(K175="nein",K175="no"),1,0)</f>
        <v/>
      </c>
      <c r="AC175" s="35">
        <f>IF(OR(G175="ja",G175="yes"),1,0)</f>
        <v/>
      </c>
      <c r="AD175" s="35">
        <f>IF(AND(AC175=1,OR(H175="ja",H175="yes")),1,0)</f>
        <v/>
      </c>
      <c r="AE175" s="35">
        <f>IF(AC175=1,IF(AD175=1,Pkt_Abk_mit,Pkt_Abk_ohne),0)</f>
        <v/>
      </c>
      <c r="AF175" s="35">
        <f>(G175&lt;&gt;"")+(I175&lt;&gt;"")+(J175&lt;&gt;"")+(K175&lt;&gt;"")</f>
        <v/>
      </c>
      <c r="AG175" s="35">
        <f>IF(Q175&lt;&gt;"",Q175,IF(AF175&lt;4,"",IF(Z175=1,Tage_nicht_beschaffbar,Tage_beschaffbar)))</f>
        <v/>
      </c>
      <c r="AH175" s="35">
        <f>IF(M175="","",M175*1000+Y175*10+(1000-ROW())/100000)</f>
        <v/>
      </c>
    </row>
    <row r="176" ht="34" customHeight="1">
      <c r="A176" s="23">
        <f>IF(B176="","",COUNTA($B$9:B176))</f>
        <v/>
      </c>
      <c r="B176" s="24" t="n"/>
      <c r="C176" s="25" t="n"/>
      <c r="D176" s="25" t="n"/>
      <c r="E176" s="25" t="n"/>
      <c r="F176" s="26" t="n"/>
      <c r="G176" s="26" t="n"/>
      <c r="H176" s="27" t="n"/>
      <c r="I176" s="26" t="n"/>
      <c r="J176" s="26" t="n"/>
      <c r="K176" s="26" t="n"/>
      <c r="L176" s="23">
        <f>IF(AF176&lt;4,"",Z176+AA176+AB176+AE176)</f>
        <v/>
      </c>
      <c r="M176" s="28">
        <f>IF(OR(L176="",Y176=""),"",Y176*L176)</f>
        <v/>
      </c>
      <c r="N176" s="29">
        <f>IF(M176="","",IF(M176&lt;=Gruen_bis,"grün",IF(M176&lt;=Gelb_bis,"gelb","rot")))</f>
        <v/>
      </c>
      <c r="O176" s="30">
        <f>IF(N176="",IF(B176="","","Bewertung unvollständig – ★-Felder ausfüllen"),IF(N176="grün",IF(AC176=1,IF(AD176=1,"Abgekündigt, Nachfolger vorhanden: Umstieg bei nächster Gelegenheit planen","Abgekündigt: Endbevorratung (Last-Time-Buy) prüfen, Ersatzlösung planen"),"Keine aktive Maßnahme – jährlich prüfen"),IF(AND(Z176=1,AA176=1,AB176=1),"Sofort sichern: Restbestand / Gebrauchtteil kaufen und Ersatzlösung (Retrofit) planen",IF(AND(Z176=1,AB176=1),"Reparaturweg absichern (Dienstleister, Tauschteil), Gebrauchtteil prüfen",IF(AD176=1,"Auf Nachfolgeprodukt umstellen: Kompatibilität prüfen, Umstieg planen",IF(AC176=1,IF(AB176=1,"Abgekündigt ohne Nachfolger: sofort Endbevorratung (Last-Time-Buy) und Ersatzlösung planen","Abgekündigt ohne Nachfolger: Lagerteil sichern, Ersatzlösung (Retrofit) planen"),IF(Z176=1,"Nicht beschaffbar: Lagerteil schützen, Ersatzlösung mittelfristig planen",IF(AB176=1,IF(LEFT(S176,4)="nein","Bevorratung lohnt nicht – Lieferzeit und Reparaturweg absichern","Lagerbestand anlegen (mind. 1 Stk.)"),"Reparaturmöglichkeit klären"))))))))</f>
        <v/>
      </c>
      <c r="P176" s="31" t="n"/>
      <c r="Q176" s="27" t="n"/>
      <c r="R176" s="32">
        <f>IF(OR(AG176="",Y176="",AB176=0),"",AG176*INDEX(Krit_Kosten,MATCH(F176,Krit_Liste,0)))</f>
        <v/>
      </c>
      <c r="S176" s="33">
        <f>IF(N176="","",IF(N176="grün","–",IF(AB176=0,"am Lager / in stock",IF(N(P176)&lt;=0,"Stückpreis fehlt",IF(R176&gt;=Faktor_lohnt*P176,"ja – "&amp;FIXED(R176/P176,0)&amp;"-fach","nein – "&amp;FIXED(R176/P176,IF(R176/P176&lt;1,2,1))&amp;"-fach")))))</f>
        <v/>
      </c>
      <c r="T176" s="25" t="n"/>
      <c r="U176" s="34" t="n"/>
      <c r="V176" s="27" t="n"/>
      <c r="W176" s="25" t="n"/>
      <c r="X176" s="2" t="n"/>
      <c r="Y176" s="35">
        <f>IFERROR(INDEX(Krit_Faktor,MATCH(F176,Krit_Liste,0)),"")</f>
        <v/>
      </c>
      <c r="Z176" s="35">
        <f>IF(OR(I176="nein",I176="no"),1,0)</f>
        <v/>
      </c>
      <c r="AA176" s="35">
        <f>IF(OR(J176="nein",J176="no"),1,0)</f>
        <v/>
      </c>
      <c r="AB176" s="35">
        <f>IF(OR(K176="nein",K176="no"),1,0)</f>
        <v/>
      </c>
      <c r="AC176" s="35">
        <f>IF(OR(G176="ja",G176="yes"),1,0)</f>
        <v/>
      </c>
      <c r="AD176" s="35">
        <f>IF(AND(AC176=1,OR(H176="ja",H176="yes")),1,0)</f>
        <v/>
      </c>
      <c r="AE176" s="35">
        <f>IF(AC176=1,IF(AD176=1,Pkt_Abk_mit,Pkt_Abk_ohne),0)</f>
        <v/>
      </c>
      <c r="AF176" s="35">
        <f>(G176&lt;&gt;"")+(I176&lt;&gt;"")+(J176&lt;&gt;"")+(K176&lt;&gt;"")</f>
        <v/>
      </c>
      <c r="AG176" s="35">
        <f>IF(Q176&lt;&gt;"",Q176,IF(AF176&lt;4,"",IF(Z176=1,Tage_nicht_beschaffbar,Tage_beschaffbar)))</f>
        <v/>
      </c>
      <c r="AH176" s="35">
        <f>IF(M176="","",M176*1000+Y176*10+(1000-ROW())/100000)</f>
        <v/>
      </c>
    </row>
    <row r="177" ht="34" customHeight="1">
      <c r="A177" s="23">
        <f>IF(B177="","",COUNTA($B$9:B177))</f>
        <v/>
      </c>
      <c r="B177" s="24" t="n"/>
      <c r="C177" s="25" t="n"/>
      <c r="D177" s="25" t="n"/>
      <c r="E177" s="25" t="n"/>
      <c r="F177" s="26" t="n"/>
      <c r="G177" s="26" t="n"/>
      <c r="H177" s="27" t="n"/>
      <c r="I177" s="26" t="n"/>
      <c r="J177" s="26" t="n"/>
      <c r="K177" s="26" t="n"/>
      <c r="L177" s="23">
        <f>IF(AF177&lt;4,"",Z177+AA177+AB177+AE177)</f>
        <v/>
      </c>
      <c r="M177" s="28">
        <f>IF(OR(L177="",Y177=""),"",Y177*L177)</f>
        <v/>
      </c>
      <c r="N177" s="29">
        <f>IF(M177="","",IF(M177&lt;=Gruen_bis,"grün",IF(M177&lt;=Gelb_bis,"gelb","rot")))</f>
        <v/>
      </c>
      <c r="O177" s="30">
        <f>IF(N177="",IF(B177="","","Bewertung unvollständig – ★-Felder ausfüllen"),IF(N177="grün",IF(AC177=1,IF(AD177=1,"Abgekündigt, Nachfolger vorhanden: Umstieg bei nächster Gelegenheit planen","Abgekündigt: Endbevorratung (Last-Time-Buy) prüfen, Ersatzlösung planen"),"Keine aktive Maßnahme – jährlich prüfen"),IF(AND(Z177=1,AA177=1,AB177=1),"Sofort sichern: Restbestand / Gebrauchtteil kaufen und Ersatzlösung (Retrofit) planen",IF(AND(Z177=1,AB177=1),"Reparaturweg absichern (Dienstleister, Tauschteil), Gebrauchtteil prüfen",IF(AD177=1,"Auf Nachfolgeprodukt umstellen: Kompatibilität prüfen, Umstieg planen",IF(AC177=1,IF(AB177=1,"Abgekündigt ohne Nachfolger: sofort Endbevorratung (Last-Time-Buy) und Ersatzlösung planen","Abgekündigt ohne Nachfolger: Lagerteil sichern, Ersatzlösung (Retrofit) planen"),IF(Z177=1,"Nicht beschaffbar: Lagerteil schützen, Ersatzlösung mittelfristig planen",IF(AB177=1,IF(LEFT(S177,4)="nein","Bevorratung lohnt nicht – Lieferzeit und Reparaturweg absichern","Lagerbestand anlegen (mind. 1 Stk.)"),"Reparaturmöglichkeit klären"))))))))</f>
        <v/>
      </c>
      <c r="P177" s="31" t="n"/>
      <c r="Q177" s="27" t="n"/>
      <c r="R177" s="32">
        <f>IF(OR(AG177="",Y177="",AB177=0),"",AG177*INDEX(Krit_Kosten,MATCH(F177,Krit_Liste,0)))</f>
        <v/>
      </c>
      <c r="S177" s="33">
        <f>IF(N177="","",IF(N177="grün","–",IF(AB177=0,"am Lager / in stock",IF(N(P177)&lt;=0,"Stückpreis fehlt",IF(R177&gt;=Faktor_lohnt*P177,"ja – "&amp;FIXED(R177/P177,0)&amp;"-fach","nein – "&amp;FIXED(R177/P177,IF(R177/P177&lt;1,2,1))&amp;"-fach")))))</f>
        <v/>
      </c>
      <c r="T177" s="25" t="n"/>
      <c r="U177" s="34" t="n"/>
      <c r="V177" s="27" t="n"/>
      <c r="W177" s="25" t="n"/>
      <c r="X177" s="2" t="n"/>
      <c r="Y177" s="35">
        <f>IFERROR(INDEX(Krit_Faktor,MATCH(F177,Krit_Liste,0)),"")</f>
        <v/>
      </c>
      <c r="Z177" s="35">
        <f>IF(OR(I177="nein",I177="no"),1,0)</f>
        <v/>
      </c>
      <c r="AA177" s="35">
        <f>IF(OR(J177="nein",J177="no"),1,0)</f>
        <v/>
      </c>
      <c r="AB177" s="35">
        <f>IF(OR(K177="nein",K177="no"),1,0)</f>
        <v/>
      </c>
      <c r="AC177" s="35">
        <f>IF(OR(G177="ja",G177="yes"),1,0)</f>
        <v/>
      </c>
      <c r="AD177" s="35">
        <f>IF(AND(AC177=1,OR(H177="ja",H177="yes")),1,0)</f>
        <v/>
      </c>
      <c r="AE177" s="35">
        <f>IF(AC177=1,IF(AD177=1,Pkt_Abk_mit,Pkt_Abk_ohne),0)</f>
        <v/>
      </c>
      <c r="AF177" s="35">
        <f>(G177&lt;&gt;"")+(I177&lt;&gt;"")+(J177&lt;&gt;"")+(K177&lt;&gt;"")</f>
        <v/>
      </c>
      <c r="AG177" s="35">
        <f>IF(Q177&lt;&gt;"",Q177,IF(AF177&lt;4,"",IF(Z177=1,Tage_nicht_beschaffbar,Tage_beschaffbar)))</f>
        <v/>
      </c>
      <c r="AH177" s="35">
        <f>IF(M177="","",M177*1000+Y177*10+(1000-ROW())/100000)</f>
        <v/>
      </c>
    </row>
    <row r="178" ht="34" customHeight="1">
      <c r="A178" s="23">
        <f>IF(B178="","",COUNTA($B$9:B178))</f>
        <v/>
      </c>
      <c r="B178" s="24" t="n"/>
      <c r="C178" s="25" t="n"/>
      <c r="D178" s="25" t="n"/>
      <c r="E178" s="25" t="n"/>
      <c r="F178" s="26" t="n"/>
      <c r="G178" s="26" t="n"/>
      <c r="H178" s="27" t="n"/>
      <c r="I178" s="26" t="n"/>
      <c r="J178" s="26" t="n"/>
      <c r="K178" s="26" t="n"/>
      <c r="L178" s="23">
        <f>IF(AF178&lt;4,"",Z178+AA178+AB178+AE178)</f>
        <v/>
      </c>
      <c r="M178" s="28">
        <f>IF(OR(L178="",Y178=""),"",Y178*L178)</f>
        <v/>
      </c>
      <c r="N178" s="29">
        <f>IF(M178="","",IF(M178&lt;=Gruen_bis,"grün",IF(M178&lt;=Gelb_bis,"gelb","rot")))</f>
        <v/>
      </c>
      <c r="O178" s="30">
        <f>IF(N178="",IF(B178="","","Bewertung unvollständig – ★-Felder ausfüllen"),IF(N178="grün",IF(AC178=1,IF(AD178=1,"Abgekündigt, Nachfolger vorhanden: Umstieg bei nächster Gelegenheit planen","Abgekündigt: Endbevorratung (Last-Time-Buy) prüfen, Ersatzlösung planen"),"Keine aktive Maßnahme – jährlich prüfen"),IF(AND(Z178=1,AA178=1,AB178=1),"Sofort sichern: Restbestand / Gebrauchtteil kaufen und Ersatzlösung (Retrofit) planen",IF(AND(Z178=1,AB178=1),"Reparaturweg absichern (Dienstleister, Tauschteil), Gebrauchtteil prüfen",IF(AD178=1,"Auf Nachfolgeprodukt umstellen: Kompatibilität prüfen, Umstieg planen",IF(AC178=1,IF(AB178=1,"Abgekündigt ohne Nachfolger: sofort Endbevorratung (Last-Time-Buy) und Ersatzlösung planen","Abgekündigt ohne Nachfolger: Lagerteil sichern, Ersatzlösung (Retrofit) planen"),IF(Z178=1,"Nicht beschaffbar: Lagerteil schützen, Ersatzlösung mittelfristig planen",IF(AB178=1,IF(LEFT(S178,4)="nein","Bevorratung lohnt nicht – Lieferzeit und Reparaturweg absichern","Lagerbestand anlegen (mind. 1 Stk.)"),"Reparaturmöglichkeit klären"))))))))</f>
        <v/>
      </c>
      <c r="P178" s="31" t="n"/>
      <c r="Q178" s="27" t="n"/>
      <c r="R178" s="32">
        <f>IF(OR(AG178="",Y178="",AB178=0),"",AG178*INDEX(Krit_Kosten,MATCH(F178,Krit_Liste,0)))</f>
        <v/>
      </c>
      <c r="S178" s="33">
        <f>IF(N178="","",IF(N178="grün","–",IF(AB178=0,"am Lager / in stock",IF(N(P178)&lt;=0,"Stückpreis fehlt",IF(R178&gt;=Faktor_lohnt*P178,"ja – "&amp;FIXED(R178/P178,0)&amp;"-fach","nein – "&amp;FIXED(R178/P178,IF(R178/P178&lt;1,2,1))&amp;"-fach")))))</f>
        <v/>
      </c>
      <c r="T178" s="25" t="n"/>
      <c r="U178" s="34" t="n"/>
      <c r="V178" s="27" t="n"/>
      <c r="W178" s="25" t="n"/>
      <c r="X178" s="2" t="n"/>
      <c r="Y178" s="35">
        <f>IFERROR(INDEX(Krit_Faktor,MATCH(F178,Krit_Liste,0)),"")</f>
        <v/>
      </c>
      <c r="Z178" s="35">
        <f>IF(OR(I178="nein",I178="no"),1,0)</f>
        <v/>
      </c>
      <c r="AA178" s="35">
        <f>IF(OR(J178="nein",J178="no"),1,0)</f>
        <v/>
      </c>
      <c r="AB178" s="35">
        <f>IF(OR(K178="nein",K178="no"),1,0)</f>
        <v/>
      </c>
      <c r="AC178" s="35">
        <f>IF(OR(G178="ja",G178="yes"),1,0)</f>
        <v/>
      </c>
      <c r="AD178" s="35">
        <f>IF(AND(AC178=1,OR(H178="ja",H178="yes")),1,0)</f>
        <v/>
      </c>
      <c r="AE178" s="35">
        <f>IF(AC178=1,IF(AD178=1,Pkt_Abk_mit,Pkt_Abk_ohne),0)</f>
        <v/>
      </c>
      <c r="AF178" s="35">
        <f>(G178&lt;&gt;"")+(I178&lt;&gt;"")+(J178&lt;&gt;"")+(K178&lt;&gt;"")</f>
        <v/>
      </c>
      <c r="AG178" s="35">
        <f>IF(Q178&lt;&gt;"",Q178,IF(AF178&lt;4,"",IF(Z178=1,Tage_nicht_beschaffbar,Tage_beschaffbar)))</f>
        <v/>
      </c>
      <c r="AH178" s="35">
        <f>IF(M178="","",M178*1000+Y178*10+(1000-ROW())/100000)</f>
        <v/>
      </c>
    </row>
    <row r="179" ht="34" customHeight="1">
      <c r="A179" s="23">
        <f>IF(B179="","",COUNTA($B$9:B179))</f>
        <v/>
      </c>
      <c r="B179" s="24" t="n"/>
      <c r="C179" s="25" t="n"/>
      <c r="D179" s="25" t="n"/>
      <c r="E179" s="25" t="n"/>
      <c r="F179" s="26" t="n"/>
      <c r="G179" s="26" t="n"/>
      <c r="H179" s="27" t="n"/>
      <c r="I179" s="26" t="n"/>
      <c r="J179" s="26" t="n"/>
      <c r="K179" s="26" t="n"/>
      <c r="L179" s="23">
        <f>IF(AF179&lt;4,"",Z179+AA179+AB179+AE179)</f>
        <v/>
      </c>
      <c r="M179" s="28">
        <f>IF(OR(L179="",Y179=""),"",Y179*L179)</f>
        <v/>
      </c>
      <c r="N179" s="29">
        <f>IF(M179="","",IF(M179&lt;=Gruen_bis,"grün",IF(M179&lt;=Gelb_bis,"gelb","rot")))</f>
        <v/>
      </c>
      <c r="O179" s="30">
        <f>IF(N179="",IF(B179="","","Bewertung unvollständig – ★-Felder ausfüllen"),IF(N179="grün",IF(AC179=1,IF(AD179=1,"Abgekündigt, Nachfolger vorhanden: Umstieg bei nächster Gelegenheit planen","Abgekündigt: Endbevorratung (Last-Time-Buy) prüfen, Ersatzlösung planen"),"Keine aktive Maßnahme – jährlich prüfen"),IF(AND(Z179=1,AA179=1,AB179=1),"Sofort sichern: Restbestand / Gebrauchtteil kaufen und Ersatzlösung (Retrofit) planen",IF(AND(Z179=1,AB179=1),"Reparaturweg absichern (Dienstleister, Tauschteil), Gebrauchtteil prüfen",IF(AD179=1,"Auf Nachfolgeprodukt umstellen: Kompatibilität prüfen, Umstieg planen",IF(AC179=1,IF(AB179=1,"Abgekündigt ohne Nachfolger: sofort Endbevorratung (Last-Time-Buy) und Ersatzlösung planen","Abgekündigt ohne Nachfolger: Lagerteil sichern, Ersatzlösung (Retrofit) planen"),IF(Z179=1,"Nicht beschaffbar: Lagerteil schützen, Ersatzlösung mittelfristig planen",IF(AB179=1,IF(LEFT(S179,4)="nein","Bevorratung lohnt nicht – Lieferzeit und Reparaturweg absichern","Lagerbestand anlegen (mind. 1 Stk.)"),"Reparaturmöglichkeit klären"))))))))</f>
        <v/>
      </c>
      <c r="P179" s="31" t="n"/>
      <c r="Q179" s="27" t="n"/>
      <c r="R179" s="32">
        <f>IF(OR(AG179="",Y179="",AB179=0),"",AG179*INDEX(Krit_Kosten,MATCH(F179,Krit_Liste,0)))</f>
        <v/>
      </c>
      <c r="S179" s="33">
        <f>IF(N179="","",IF(N179="grün","–",IF(AB179=0,"am Lager / in stock",IF(N(P179)&lt;=0,"Stückpreis fehlt",IF(R179&gt;=Faktor_lohnt*P179,"ja – "&amp;FIXED(R179/P179,0)&amp;"-fach","nein – "&amp;FIXED(R179/P179,IF(R179/P179&lt;1,2,1))&amp;"-fach")))))</f>
        <v/>
      </c>
      <c r="T179" s="25" t="n"/>
      <c r="U179" s="34" t="n"/>
      <c r="V179" s="27" t="n"/>
      <c r="W179" s="25" t="n"/>
      <c r="X179" s="2" t="n"/>
      <c r="Y179" s="35">
        <f>IFERROR(INDEX(Krit_Faktor,MATCH(F179,Krit_Liste,0)),"")</f>
        <v/>
      </c>
      <c r="Z179" s="35">
        <f>IF(OR(I179="nein",I179="no"),1,0)</f>
        <v/>
      </c>
      <c r="AA179" s="35">
        <f>IF(OR(J179="nein",J179="no"),1,0)</f>
        <v/>
      </c>
      <c r="AB179" s="35">
        <f>IF(OR(K179="nein",K179="no"),1,0)</f>
        <v/>
      </c>
      <c r="AC179" s="35">
        <f>IF(OR(G179="ja",G179="yes"),1,0)</f>
        <v/>
      </c>
      <c r="AD179" s="35">
        <f>IF(AND(AC179=1,OR(H179="ja",H179="yes")),1,0)</f>
        <v/>
      </c>
      <c r="AE179" s="35">
        <f>IF(AC179=1,IF(AD179=1,Pkt_Abk_mit,Pkt_Abk_ohne),0)</f>
        <v/>
      </c>
      <c r="AF179" s="35">
        <f>(G179&lt;&gt;"")+(I179&lt;&gt;"")+(J179&lt;&gt;"")+(K179&lt;&gt;"")</f>
        <v/>
      </c>
      <c r="AG179" s="35">
        <f>IF(Q179&lt;&gt;"",Q179,IF(AF179&lt;4,"",IF(Z179=1,Tage_nicht_beschaffbar,Tage_beschaffbar)))</f>
        <v/>
      </c>
      <c r="AH179" s="35">
        <f>IF(M179="","",M179*1000+Y179*10+(1000-ROW())/100000)</f>
        <v/>
      </c>
    </row>
    <row r="180" ht="34" customHeight="1">
      <c r="A180" s="23">
        <f>IF(B180="","",COUNTA($B$9:B180))</f>
        <v/>
      </c>
      <c r="B180" s="24" t="n"/>
      <c r="C180" s="25" t="n"/>
      <c r="D180" s="25" t="n"/>
      <c r="E180" s="25" t="n"/>
      <c r="F180" s="26" t="n"/>
      <c r="G180" s="26" t="n"/>
      <c r="H180" s="27" t="n"/>
      <c r="I180" s="26" t="n"/>
      <c r="J180" s="26" t="n"/>
      <c r="K180" s="26" t="n"/>
      <c r="L180" s="23">
        <f>IF(AF180&lt;4,"",Z180+AA180+AB180+AE180)</f>
        <v/>
      </c>
      <c r="M180" s="28">
        <f>IF(OR(L180="",Y180=""),"",Y180*L180)</f>
        <v/>
      </c>
      <c r="N180" s="29">
        <f>IF(M180="","",IF(M180&lt;=Gruen_bis,"grün",IF(M180&lt;=Gelb_bis,"gelb","rot")))</f>
        <v/>
      </c>
      <c r="O180" s="30">
        <f>IF(N180="",IF(B180="","","Bewertung unvollständig – ★-Felder ausfüllen"),IF(N180="grün",IF(AC180=1,IF(AD180=1,"Abgekündigt, Nachfolger vorhanden: Umstieg bei nächster Gelegenheit planen","Abgekündigt: Endbevorratung (Last-Time-Buy) prüfen, Ersatzlösung planen"),"Keine aktive Maßnahme – jährlich prüfen"),IF(AND(Z180=1,AA180=1,AB180=1),"Sofort sichern: Restbestand / Gebrauchtteil kaufen und Ersatzlösung (Retrofit) planen",IF(AND(Z180=1,AB180=1),"Reparaturweg absichern (Dienstleister, Tauschteil), Gebrauchtteil prüfen",IF(AD180=1,"Auf Nachfolgeprodukt umstellen: Kompatibilität prüfen, Umstieg planen",IF(AC180=1,IF(AB180=1,"Abgekündigt ohne Nachfolger: sofort Endbevorratung (Last-Time-Buy) und Ersatzlösung planen","Abgekündigt ohne Nachfolger: Lagerteil sichern, Ersatzlösung (Retrofit) planen"),IF(Z180=1,"Nicht beschaffbar: Lagerteil schützen, Ersatzlösung mittelfristig planen",IF(AB180=1,IF(LEFT(S180,4)="nein","Bevorratung lohnt nicht – Lieferzeit und Reparaturweg absichern","Lagerbestand anlegen (mind. 1 Stk.)"),"Reparaturmöglichkeit klären"))))))))</f>
        <v/>
      </c>
      <c r="P180" s="31" t="n"/>
      <c r="Q180" s="27" t="n"/>
      <c r="R180" s="32">
        <f>IF(OR(AG180="",Y180="",AB180=0),"",AG180*INDEX(Krit_Kosten,MATCH(F180,Krit_Liste,0)))</f>
        <v/>
      </c>
      <c r="S180" s="33">
        <f>IF(N180="","",IF(N180="grün","–",IF(AB180=0,"am Lager / in stock",IF(N(P180)&lt;=0,"Stückpreis fehlt",IF(R180&gt;=Faktor_lohnt*P180,"ja – "&amp;FIXED(R180/P180,0)&amp;"-fach","nein – "&amp;FIXED(R180/P180,IF(R180/P180&lt;1,2,1))&amp;"-fach")))))</f>
        <v/>
      </c>
      <c r="T180" s="25" t="n"/>
      <c r="U180" s="34" t="n"/>
      <c r="V180" s="27" t="n"/>
      <c r="W180" s="25" t="n"/>
      <c r="X180" s="2" t="n"/>
      <c r="Y180" s="35">
        <f>IFERROR(INDEX(Krit_Faktor,MATCH(F180,Krit_Liste,0)),"")</f>
        <v/>
      </c>
      <c r="Z180" s="35">
        <f>IF(OR(I180="nein",I180="no"),1,0)</f>
        <v/>
      </c>
      <c r="AA180" s="35">
        <f>IF(OR(J180="nein",J180="no"),1,0)</f>
        <v/>
      </c>
      <c r="AB180" s="35">
        <f>IF(OR(K180="nein",K180="no"),1,0)</f>
        <v/>
      </c>
      <c r="AC180" s="35">
        <f>IF(OR(G180="ja",G180="yes"),1,0)</f>
        <v/>
      </c>
      <c r="AD180" s="35">
        <f>IF(AND(AC180=1,OR(H180="ja",H180="yes")),1,0)</f>
        <v/>
      </c>
      <c r="AE180" s="35">
        <f>IF(AC180=1,IF(AD180=1,Pkt_Abk_mit,Pkt_Abk_ohne),0)</f>
        <v/>
      </c>
      <c r="AF180" s="35">
        <f>(G180&lt;&gt;"")+(I180&lt;&gt;"")+(J180&lt;&gt;"")+(K180&lt;&gt;"")</f>
        <v/>
      </c>
      <c r="AG180" s="35">
        <f>IF(Q180&lt;&gt;"",Q180,IF(AF180&lt;4,"",IF(Z180=1,Tage_nicht_beschaffbar,Tage_beschaffbar)))</f>
        <v/>
      </c>
      <c r="AH180" s="35">
        <f>IF(M180="","",M180*1000+Y180*10+(1000-ROW())/100000)</f>
        <v/>
      </c>
    </row>
    <row r="181" ht="34" customHeight="1">
      <c r="A181" s="23">
        <f>IF(B181="","",COUNTA($B$9:B181))</f>
        <v/>
      </c>
      <c r="B181" s="24" t="n"/>
      <c r="C181" s="25" t="n"/>
      <c r="D181" s="25" t="n"/>
      <c r="E181" s="25" t="n"/>
      <c r="F181" s="26" t="n"/>
      <c r="G181" s="26" t="n"/>
      <c r="H181" s="27" t="n"/>
      <c r="I181" s="26" t="n"/>
      <c r="J181" s="26" t="n"/>
      <c r="K181" s="26" t="n"/>
      <c r="L181" s="23">
        <f>IF(AF181&lt;4,"",Z181+AA181+AB181+AE181)</f>
        <v/>
      </c>
      <c r="M181" s="28">
        <f>IF(OR(L181="",Y181=""),"",Y181*L181)</f>
        <v/>
      </c>
      <c r="N181" s="29">
        <f>IF(M181="","",IF(M181&lt;=Gruen_bis,"grün",IF(M181&lt;=Gelb_bis,"gelb","rot")))</f>
        <v/>
      </c>
      <c r="O181" s="30">
        <f>IF(N181="",IF(B181="","","Bewertung unvollständig – ★-Felder ausfüllen"),IF(N181="grün",IF(AC181=1,IF(AD181=1,"Abgekündigt, Nachfolger vorhanden: Umstieg bei nächster Gelegenheit planen","Abgekündigt: Endbevorratung (Last-Time-Buy) prüfen, Ersatzlösung planen"),"Keine aktive Maßnahme – jährlich prüfen"),IF(AND(Z181=1,AA181=1,AB181=1),"Sofort sichern: Restbestand / Gebrauchtteil kaufen und Ersatzlösung (Retrofit) planen",IF(AND(Z181=1,AB181=1),"Reparaturweg absichern (Dienstleister, Tauschteil), Gebrauchtteil prüfen",IF(AD181=1,"Auf Nachfolgeprodukt umstellen: Kompatibilität prüfen, Umstieg planen",IF(AC181=1,IF(AB181=1,"Abgekündigt ohne Nachfolger: sofort Endbevorratung (Last-Time-Buy) und Ersatzlösung planen","Abgekündigt ohne Nachfolger: Lagerteil sichern, Ersatzlösung (Retrofit) planen"),IF(Z181=1,"Nicht beschaffbar: Lagerteil schützen, Ersatzlösung mittelfristig planen",IF(AB181=1,IF(LEFT(S181,4)="nein","Bevorratung lohnt nicht – Lieferzeit und Reparaturweg absichern","Lagerbestand anlegen (mind. 1 Stk.)"),"Reparaturmöglichkeit klären"))))))))</f>
        <v/>
      </c>
      <c r="P181" s="31" t="n"/>
      <c r="Q181" s="27" t="n"/>
      <c r="R181" s="32">
        <f>IF(OR(AG181="",Y181="",AB181=0),"",AG181*INDEX(Krit_Kosten,MATCH(F181,Krit_Liste,0)))</f>
        <v/>
      </c>
      <c r="S181" s="33">
        <f>IF(N181="","",IF(N181="grün","–",IF(AB181=0,"am Lager / in stock",IF(N(P181)&lt;=0,"Stückpreis fehlt",IF(R181&gt;=Faktor_lohnt*P181,"ja – "&amp;FIXED(R181/P181,0)&amp;"-fach","nein – "&amp;FIXED(R181/P181,IF(R181/P181&lt;1,2,1))&amp;"-fach")))))</f>
        <v/>
      </c>
      <c r="T181" s="25" t="n"/>
      <c r="U181" s="34" t="n"/>
      <c r="V181" s="27" t="n"/>
      <c r="W181" s="25" t="n"/>
      <c r="X181" s="2" t="n"/>
      <c r="Y181" s="35">
        <f>IFERROR(INDEX(Krit_Faktor,MATCH(F181,Krit_Liste,0)),"")</f>
        <v/>
      </c>
      <c r="Z181" s="35">
        <f>IF(OR(I181="nein",I181="no"),1,0)</f>
        <v/>
      </c>
      <c r="AA181" s="35">
        <f>IF(OR(J181="nein",J181="no"),1,0)</f>
        <v/>
      </c>
      <c r="AB181" s="35">
        <f>IF(OR(K181="nein",K181="no"),1,0)</f>
        <v/>
      </c>
      <c r="AC181" s="35">
        <f>IF(OR(G181="ja",G181="yes"),1,0)</f>
        <v/>
      </c>
      <c r="AD181" s="35">
        <f>IF(AND(AC181=1,OR(H181="ja",H181="yes")),1,0)</f>
        <v/>
      </c>
      <c r="AE181" s="35">
        <f>IF(AC181=1,IF(AD181=1,Pkt_Abk_mit,Pkt_Abk_ohne),0)</f>
        <v/>
      </c>
      <c r="AF181" s="35">
        <f>(G181&lt;&gt;"")+(I181&lt;&gt;"")+(J181&lt;&gt;"")+(K181&lt;&gt;"")</f>
        <v/>
      </c>
      <c r="AG181" s="35">
        <f>IF(Q181&lt;&gt;"",Q181,IF(AF181&lt;4,"",IF(Z181=1,Tage_nicht_beschaffbar,Tage_beschaffbar)))</f>
        <v/>
      </c>
      <c r="AH181" s="35">
        <f>IF(M181="","",M181*1000+Y181*10+(1000-ROW())/100000)</f>
        <v/>
      </c>
    </row>
    <row r="182" ht="34" customHeight="1">
      <c r="A182" s="23">
        <f>IF(B182="","",COUNTA($B$9:B182))</f>
        <v/>
      </c>
      <c r="B182" s="24" t="n"/>
      <c r="C182" s="25" t="n"/>
      <c r="D182" s="25" t="n"/>
      <c r="E182" s="25" t="n"/>
      <c r="F182" s="26" t="n"/>
      <c r="G182" s="26" t="n"/>
      <c r="H182" s="27" t="n"/>
      <c r="I182" s="26" t="n"/>
      <c r="J182" s="26" t="n"/>
      <c r="K182" s="26" t="n"/>
      <c r="L182" s="23">
        <f>IF(AF182&lt;4,"",Z182+AA182+AB182+AE182)</f>
        <v/>
      </c>
      <c r="M182" s="28">
        <f>IF(OR(L182="",Y182=""),"",Y182*L182)</f>
        <v/>
      </c>
      <c r="N182" s="29">
        <f>IF(M182="","",IF(M182&lt;=Gruen_bis,"grün",IF(M182&lt;=Gelb_bis,"gelb","rot")))</f>
        <v/>
      </c>
      <c r="O182" s="30">
        <f>IF(N182="",IF(B182="","","Bewertung unvollständig – ★-Felder ausfüllen"),IF(N182="grün",IF(AC182=1,IF(AD182=1,"Abgekündigt, Nachfolger vorhanden: Umstieg bei nächster Gelegenheit planen","Abgekündigt: Endbevorratung (Last-Time-Buy) prüfen, Ersatzlösung planen"),"Keine aktive Maßnahme – jährlich prüfen"),IF(AND(Z182=1,AA182=1,AB182=1),"Sofort sichern: Restbestand / Gebrauchtteil kaufen und Ersatzlösung (Retrofit) planen",IF(AND(Z182=1,AB182=1),"Reparaturweg absichern (Dienstleister, Tauschteil), Gebrauchtteil prüfen",IF(AD182=1,"Auf Nachfolgeprodukt umstellen: Kompatibilität prüfen, Umstieg planen",IF(AC182=1,IF(AB182=1,"Abgekündigt ohne Nachfolger: sofort Endbevorratung (Last-Time-Buy) und Ersatzlösung planen","Abgekündigt ohne Nachfolger: Lagerteil sichern, Ersatzlösung (Retrofit) planen"),IF(Z182=1,"Nicht beschaffbar: Lagerteil schützen, Ersatzlösung mittelfristig planen",IF(AB182=1,IF(LEFT(S182,4)="nein","Bevorratung lohnt nicht – Lieferzeit und Reparaturweg absichern","Lagerbestand anlegen (mind. 1 Stk.)"),"Reparaturmöglichkeit klären"))))))))</f>
        <v/>
      </c>
      <c r="P182" s="31" t="n"/>
      <c r="Q182" s="27" t="n"/>
      <c r="R182" s="32">
        <f>IF(OR(AG182="",Y182="",AB182=0),"",AG182*INDEX(Krit_Kosten,MATCH(F182,Krit_Liste,0)))</f>
        <v/>
      </c>
      <c r="S182" s="33">
        <f>IF(N182="","",IF(N182="grün","–",IF(AB182=0,"am Lager / in stock",IF(N(P182)&lt;=0,"Stückpreis fehlt",IF(R182&gt;=Faktor_lohnt*P182,"ja – "&amp;FIXED(R182/P182,0)&amp;"-fach","nein – "&amp;FIXED(R182/P182,IF(R182/P182&lt;1,2,1))&amp;"-fach")))))</f>
        <v/>
      </c>
      <c r="T182" s="25" t="n"/>
      <c r="U182" s="34" t="n"/>
      <c r="V182" s="27" t="n"/>
      <c r="W182" s="25" t="n"/>
      <c r="X182" s="2" t="n"/>
      <c r="Y182" s="35">
        <f>IFERROR(INDEX(Krit_Faktor,MATCH(F182,Krit_Liste,0)),"")</f>
        <v/>
      </c>
      <c r="Z182" s="35">
        <f>IF(OR(I182="nein",I182="no"),1,0)</f>
        <v/>
      </c>
      <c r="AA182" s="35">
        <f>IF(OR(J182="nein",J182="no"),1,0)</f>
        <v/>
      </c>
      <c r="AB182" s="35">
        <f>IF(OR(K182="nein",K182="no"),1,0)</f>
        <v/>
      </c>
      <c r="AC182" s="35">
        <f>IF(OR(G182="ja",G182="yes"),1,0)</f>
        <v/>
      </c>
      <c r="AD182" s="35">
        <f>IF(AND(AC182=1,OR(H182="ja",H182="yes")),1,0)</f>
        <v/>
      </c>
      <c r="AE182" s="35">
        <f>IF(AC182=1,IF(AD182=1,Pkt_Abk_mit,Pkt_Abk_ohne),0)</f>
        <v/>
      </c>
      <c r="AF182" s="35">
        <f>(G182&lt;&gt;"")+(I182&lt;&gt;"")+(J182&lt;&gt;"")+(K182&lt;&gt;"")</f>
        <v/>
      </c>
      <c r="AG182" s="35">
        <f>IF(Q182&lt;&gt;"",Q182,IF(AF182&lt;4,"",IF(Z182=1,Tage_nicht_beschaffbar,Tage_beschaffbar)))</f>
        <v/>
      </c>
      <c r="AH182" s="35">
        <f>IF(M182="","",M182*1000+Y182*10+(1000-ROW())/100000)</f>
        <v/>
      </c>
    </row>
    <row r="183" ht="34" customHeight="1">
      <c r="A183" s="23">
        <f>IF(B183="","",COUNTA($B$9:B183))</f>
        <v/>
      </c>
      <c r="B183" s="24" t="n"/>
      <c r="C183" s="25" t="n"/>
      <c r="D183" s="25" t="n"/>
      <c r="E183" s="25" t="n"/>
      <c r="F183" s="26" t="n"/>
      <c r="G183" s="26" t="n"/>
      <c r="H183" s="27" t="n"/>
      <c r="I183" s="26" t="n"/>
      <c r="J183" s="26" t="n"/>
      <c r="K183" s="26" t="n"/>
      <c r="L183" s="23">
        <f>IF(AF183&lt;4,"",Z183+AA183+AB183+AE183)</f>
        <v/>
      </c>
      <c r="M183" s="28">
        <f>IF(OR(L183="",Y183=""),"",Y183*L183)</f>
        <v/>
      </c>
      <c r="N183" s="29">
        <f>IF(M183="","",IF(M183&lt;=Gruen_bis,"grün",IF(M183&lt;=Gelb_bis,"gelb","rot")))</f>
        <v/>
      </c>
      <c r="O183" s="30">
        <f>IF(N183="",IF(B183="","","Bewertung unvollständig – ★-Felder ausfüllen"),IF(N183="grün",IF(AC183=1,IF(AD183=1,"Abgekündigt, Nachfolger vorhanden: Umstieg bei nächster Gelegenheit planen","Abgekündigt: Endbevorratung (Last-Time-Buy) prüfen, Ersatzlösung planen"),"Keine aktive Maßnahme – jährlich prüfen"),IF(AND(Z183=1,AA183=1,AB183=1),"Sofort sichern: Restbestand / Gebrauchtteil kaufen und Ersatzlösung (Retrofit) planen",IF(AND(Z183=1,AB183=1),"Reparaturweg absichern (Dienstleister, Tauschteil), Gebrauchtteil prüfen",IF(AD183=1,"Auf Nachfolgeprodukt umstellen: Kompatibilität prüfen, Umstieg planen",IF(AC183=1,IF(AB183=1,"Abgekündigt ohne Nachfolger: sofort Endbevorratung (Last-Time-Buy) und Ersatzlösung planen","Abgekündigt ohne Nachfolger: Lagerteil sichern, Ersatzlösung (Retrofit) planen"),IF(Z183=1,"Nicht beschaffbar: Lagerteil schützen, Ersatzlösung mittelfristig planen",IF(AB183=1,IF(LEFT(S183,4)="nein","Bevorratung lohnt nicht – Lieferzeit und Reparaturweg absichern","Lagerbestand anlegen (mind. 1 Stk.)"),"Reparaturmöglichkeit klären"))))))))</f>
        <v/>
      </c>
      <c r="P183" s="31" t="n"/>
      <c r="Q183" s="27" t="n"/>
      <c r="R183" s="32">
        <f>IF(OR(AG183="",Y183="",AB183=0),"",AG183*INDEX(Krit_Kosten,MATCH(F183,Krit_Liste,0)))</f>
        <v/>
      </c>
      <c r="S183" s="33">
        <f>IF(N183="","",IF(N183="grün","–",IF(AB183=0,"am Lager / in stock",IF(N(P183)&lt;=0,"Stückpreis fehlt",IF(R183&gt;=Faktor_lohnt*P183,"ja – "&amp;FIXED(R183/P183,0)&amp;"-fach","nein – "&amp;FIXED(R183/P183,IF(R183/P183&lt;1,2,1))&amp;"-fach")))))</f>
        <v/>
      </c>
      <c r="T183" s="25" t="n"/>
      <c r="U183" s="34" t="n"/>
      <c r="V183" s="27" t="n"/>
      <c r="W183" s="25" t="n"/>
      <c r="X183" s="2" t="n"/>
      <c r="Y183" s="35">
        <f>IFERROR(INDEX(Krit_Faktor,MATCH(F183,Krit_Liste,0)),"")</f>
        <v/>
      </c>
      <c r="Z183" s="35">
        <f>IF(OR(I183="nein",I183="no"),1,0)</f>
        <v/>
      </c>
      <c r="AA183" s="35">
        <f>IF(OR(J183="nein",J183="no"),1,0)</f>
        <v/>
      </c>
      <c r="AB183" s="35">
        <f>IF(OR(K183="nein",K183="no"),1,0)</f>
        <v/>
      </c>
      <c r="AC183" s="35">
        <f>IF(OR(G183="ja",G183="yes"),1,0)</f>
        <v/>
      </c>
      <c r="AD183" s="35">
        <f>IF(AND(AC183=1,OR(H183="ja",H183="yes")),1,0)</f>
        <v/>
      </c>
      <c r="AE183" s="35">
        <f>IF(AC183=1,IF(AD183=1,Pkt_Abk_mit,Pkt_Abk_ohne),0)</f>
        <v/>
      </c>
      <c r="AF183" s="35">
        <f>(G183&lt;&gt;"")+(I183&lt;&gt;"")+(J183&lt;&gt;"")+(K183&lt;&gt;"")</f>
        <v/>
      </c>
      <c r="AG183" s="35">
        <f>IF(Q183&lt;&gt;"",Q183,IF(AF183&lt;4,"",IF(Z183=1,Tage_nicht_beschaffbar,Tage_beschaffbar)))</f>
        <v/>
      </c>
      <c r="AH183" s="35">
        <f>IF(M183="","",M183*1000+Y183*10+(1000-ROW())/100000)</f>
        <v/>
      </c>
    </row>
    <row r="184" ht="34" customHeight="1">
      <c r="A184" s="23">
        <f>IF(B184="","",COUNTA($B$9:B184))</f>
        <v/>
      </c>
      <c r="B184" s="24" t="n"/>
      <c r="C184" s="25" t="n"/>
      <c r="D184" s="25" t="n"/>
      <c r="E184" s="25" t="n"/>
      <c r="F184" s="26" t="n"/>
      <c r="G184" s="26" t="n"/>
      <c r="H184" s="27" t="n"/>
      <c r="I184" s="26" t="n"/>
      <c r="J184" s="26" t="n"/>
      <c r="K184" s="26" t="n"/>
      <c r="L184" s="23">
        <f>IF(AF184&lt;4,"",Z184+AA184+AB184+AE184)</f>
        <v/>
      </c>
      <c r="M184" s="28">
        <f>IF(OR(L184="",Y184=""),"",Y184*L184)</f>
        <v/>
      </c>
      <c r="N184" s="29">
        <f>IF(M184="","",IF(M184&lt;=Gruen_bis,"grün",IF(M184&lt;=Gelb_bis,"gelb","rot")))</f>
        <v/>
      </c>
      <c r="O184" s="30">
        <f>IF(N184="",IF(B184="","","Bewertung unvollständig – ★-Felder ausfüllen"),IF(N184="grün",IF(AC184=1,IF(AD184=1,"Abgekündigt, Nachfolger vorhanden: Umstieg bei nächster Gelegenheit planen","Abgekündigt: Endbevorratung (Last-Time-Buy) prüfen, Ersatzlösung planen"),"Keine aktive Maßnahme – jährlich prüfen"),IF(AND(Z184=1,AA184=1,AB184=1),"Sofort sichern: Restbestand / Gebrauchtteil kaufen und Ersatzlösung (Retrofit) planen",IF(AND(Z184=1,AB184=1),"Reparaturweg absichern (Dienstleister, Tauschteil), Gebrauchtteil prüfen",IF(AD184=1,"Auf Nachfolgeprodukt umstellen: Kompatibilität prüfen, Umstieg planen",IF(AC184=1,IF(AB184=1,"Abgekündigt ohne Nachfolger: sofort Endbevorratung (Last-Time-Buy) und Ersatzlösung planen","Abgekündigt ohne Nachfolger: Lagerteil sichern, Ersatzlösung (Retrofit) planen"),IF(Z184=1,"Nicht beschaffbar: Lagerteil schützen, Ersatzlösung mittelfristig planen",IF(AB184=1,IF(LEFT(S184,4)="nein","Bevorratung lohnt nicht – Lieferzeit und Reparaturweg absichern","Lagerbestand anlegen (mind. 1 Stk.)"),"Reparaturmöglichkeit klären"))))))))</f>
        <v/>
      </c>
      <c r="P184" s="31" t="n"/>
      <c r="Q184" s="27" t="n"/>
      <c r="R184" s="32">
        <f>IF(OR(AG184="",Y184="",AB184=0),"",AG184*INDEX(Krit_Kosten,MATCH(F184,Krit_Liste,0)))</f>
        <v/>
      </c>
      <c r="S184" s="33">
        <f>IF(N184="","",IF(N184="grün","–",IF(AB184=0,"am Lager / in stock",IF(N(P184)&lt;=0,"Stückpreis fehlt",IF(R184&gt;=Faktor_lohnt*P184,"ja – "&amp;FIXED(R184/P184,0)&amp;"-fach","nein – "&amp;FIXED(R184/P184,IF(R184/P184&lt;1,2,1))&amp;"-fach")))))</f>
        <v/>
      </c>
      <c r="T184" s="25" t="n"/>
      <c r="U184" s="34" t="n"/>
      <c r="V184" s="27" t="n"/>
      <c r="W184" s="25" t="n"/>
      <c r="X184" s="2" t="n"/>
      <c r="Y184" s="35">
        <f>IFERROR(INDEX(Krit_Faktor,MATCH(F184,Krit_Liste,0)),"")</f>
        <v/>
      </c>
      <c r="Z184" s="35">
        <f>IF(OR(I184="nein",I184="no"),1,0)</f>
        <v/>
      </c>
      <c r="AA184" s="35">
        <f>IF(OR(J184="nein",J184="no"),1,0)</f>
        <v/>
      </c>
      <c r="AB184" s="35">
        <f>IF(OR(K184="nein",K184="no"),1,0)</f>
        <v/>
      </c>
      <c r="AC184" s="35">
        <f>IF(OR(G184="ja",G184="yes"),1,0)</f>
        <v/>
      </c>
      <c r="AD184" s="35">
        <f>IF(AND(AC184=1,OR(H184="ja",H184="yes")),1,0)</f>
        <v/>
      </c>
      <c r="AE184" s="35">
        <f>IF(AC184=1,IF(AD184=1,Pkt_Abk_mit,Pkt_Abk_ohne),0)</f>
        <v/>
      </c>
      <c r="AF184" s="35">
        <f>(G184&lt;&gt;"")+(I184&lt;&gt;"")+(J184&lt;&gt;"")+(K184&lt;&gt;"")</f>
        <v/>
      </c>
      <c r="AG184" s="35">
        <f>IF(Q184&lt;&gt;"",Q184,IF(AF184&lt;4,"",IF(Z184=1,Tage_nicht_beschaffbar,Tage_beschaffbar)))</f>
        <v/>
      </c>
      <c r="AH184" s="35">
        <f>IF(M184="","",M184*1000+Y184*10+(1000-ROW())/100000)</f>
        <v/>
      </c>
    </row>
    <row r="185" ht="34" customHeight="1">
      <c r="A185" s="23">
        <f>IF(B185="","",COUNTA($B$9:B185))</f>
        <v/>
      </c>
      <c r="B185" s="24" t="n"/>
      <c r="C185" s="25" t="n"/>
      <c r="D185" s="25" t="n"/>
      <c r="E185" s="25" t="n"/>
      <c r="F185" s="26" t="n"/>
      <c r="G185" s="26" t="n"/>
      <c r="H185" s="27" t="n"/>
      <c r="I185" s="26" t="n"/>
      <c r="J185" s="26" t="n"/>
      <c r="K185" s="26" t="n"/>
      <c r="L185" s="23">
        <f>IF(AF185&lt;4,"",Z185+AA185+AB185+AE185)</f>
        <v/>
      </c>
      <c r="M185" s="28">
        <f>IF(OR(L185="",Y185=""),"",Y185*L185)</f>
        <v/>
      </c>
      <c r="N185" s="29">
        <f>IF(M185="","",IF(M185&lt;=Gruen_bis,"grün",IF(M185&lt;=Gelb_bis,"gelb","rot")))</f>
        <v/>
      </c>
      <c r="O185" s="30">
        <f>IF(N185="",IF(B185="","","Bewertung unvollständig – ★-Felder ausfüllen"),IF(N185="grün",IF(AC185=1,IF(AD185=1,"Abgekündigt, Nachfolger vorhanden: Umstieg bei nächster Gelegenheit planen","Abgekündigt: Endbevorratung (Last-Time-Buy) prüfen, Ersatzlösung planen"),"Keine aktive Maßnahme – jährlich prüfen"),IF(AND(Z185=1,AA185=1,AB185=1),"Sofort sichern: Restbestand / Gebrauchtteil kaufen und Ersatzlösung (Retrofit) planen",IF(AND(Z185=1,AB185=1),"Reparaturweg absichern (Dienstleister, Tauschteil), Gebrauchtteil prüfen",IF(AD185=1,"Auf Nachfolgeprodukt umstellen: Kompatibilität prüfen, Umstieg planen",IF(AC185=1,IF(AB185=1,"Abgekündigt ohne Nachfolger: sofort Endbevorratung (Last-Time-Buy) und Ersatzlösung planen","Abgekündigt ohne Nachfolger: Lagerteil sichern, Ersatzlösung (Retrofit) planen"),IF(Z185=1,"Nicht beschaffbar: Lagerteil schützen, Ersatzlösung mittelfristig planen",IF(AB185=1,IF(LEFT(S185,4)="nein","Bevorratung lohnt nicht – Lieferzeit und Reparaturweg absichern","Lagerbestand anlegen (mind. 1 Stk.)"),"Reparaturmöglichkeit klären"))))))))</f>
        <v/>
      </c>
      <c r="P185" s="31" t="n"/>
      <c r="Q185" s="27" t="n"/>
      <c r="R185" s="32">
        <f>IF(OR(AG185="",Y185="",AB185=0),"",AG185*INDEX(Krit_Kosten,MATCH(F185,Krit_Liste,0)))</f>
        <v/>
      </c>
      <c r="S185" s="33">
        <f>IF(N185="","",IF(N185="grün","–",IF(AB185=0,"am Lager / in stock",IF(N(P185)&lt;=0,"Stückpreis fehlt",IF(R185&gt;=Faktor_lohnt*P185,"ja – "&amp;FIXED(R185/P185,0)&amp;"-fach","nein – "&amp;FIXED(R185/P185,IF(R185/P185&lt;1,2,1))&amp;"-fach")))))</f>
        <v/>
      </c>
      <c r="T185" s="25" t="n"/>
      <c r="U185" s="34" t="n"/>
      <c r="V185" s="27" t="n"/>
      <c r="W185" s="25" t="n"/>
      <c r="X185" s="2" t="n"/>
      <c r="Y185" s="35">
        <f>IFERROR(INDEX(Krit_Faktor,MATCH(F185,Krit_Liste,0)),"")</f>
        <v/>
      </c>
      <c r="Z185" s="35">
        <f>IF(OR(I185="nein",I185="no"),1,0)</f>
        <v/>
      </c>
      <c r="AA185" s="35">
        <f>IF(OR(J185="nein",J185="no"),1,0)</f>
        <v/>
      </c>
      <c r="AB185" s="35">
        <f>IF(OR(K185="nein",K185="no"),1,0)</f>
        <v/>
      </c>
      <c r="AC185" s="35">
        <f>IF(OR(G185="ja",G185="yes"),1,0)</f>
        <v/>
      </c>
      <c r="AD185" s="35">
        <f>IF(AND(AC185=1,OR(H185="ja",H185="yes")),1,0)</f>
        <v/>
      </c>
      <c r="AE185" s="35">
        <f>IF(AC185=1,IF(AD185=1,Pkt_Abk_mit,Pkt_Abk_ohne),0)</f>
        <v/>
      </c>
      <c r="AF185" s="35">
        <f>(G185&lt;&gt;"")+(I185&lt;&gt;"")+(J185&lt;&gt;"")+(K185&lt;&gt;"")</f>
        <v/>
      </c>
      <c r="AG185" s="35">
        <f>IF(Q185&lt;&gt;"",Q185,IF(AF185&lt;4,"",IF(Z185=1,Tage_nicht_beschaffbar,Tage_beschaffbar)))</f>
        <v/>
      </c>
      <c r="AH185" s="35">
        <f>IF(M185="","",M185*1000+Y185*10+(1000-ROW())/100000)</f>
        <v/>
      </c>
    </row>
    <row r="186" ht="34" customHeight="1">
      <c r="A186" s="23">
        <f>IF(B186="","",COUNTA($B$9:B186))</f>
        <v/>
      </c>
      <c r="B186" s="24" t="n"/>
      <c r="C186" s="25" t="n"/>
      <c r="D186" s="25" t="n"/>
      <c r="E186" s="25" t="n"/>
      <c r="F186" s="26" t="n"/>
      <c r="G186" s="26" t="n"/>
      <c r="H186" s="27" t="n"/>
      <c r="I186" s="26" t="n"/>
      <c r="J186" s="26" t="n"/>
      <c r="K186" s="26" t="n"/>
      <c r="L186" s="23">
        <f>IF(AF186&lt;4,"",Z186+AA186+AB186+AE186)</f>
        <v/>
      </c>
      <c r="M186" s="28">
        <f>IF(OR(L186="",Y186=""),"",Y186*L186)</f>
        <v/>
      </c>
      <c r="N186" s="29">
        <f>IF(M186="","",IF(M186&lt;=Gruen_bis,"grün",IF(M186&lt;=Gelb_bis,"gelb","rot")))</f>
        <v/>
      </c>
      <c r="O186" s="30">
        <f>IF(N186="",IF(B186="","","Bewertung unvollständig – ★-Felder ausfüllen"),IF(N186="grün",IF(AC186=1,IF(AD186=1,"Abgekündigt, Nachfolger vorhanden: Umstieg bei nächster Gelegenheit planen","Abgekündigt: Endbevorratung (Last-Time-Buy) prüfen, Ersatzlösung planen"),"Keine aktive Maßnahme – jährlich prüfen"),IF(AND(Z186=1,AA186=1,AB186=1),"Sofort sichern: Restbestand / Gebrauchtteil kaufen und Ersatzlösung (Retrofit) planen",IF(AND(Z186=1,AB186=1),"Reparaturweg absichern (Dienstleister, Tauschteil), Gebrauchtteil prüfen",IF(AD186=1,"Auf Nachfolgeprodukt umstellen: Kompatibilität prüfen, Umstieg planen",IF(AC186=1,IF(AB186=1,"Abgekündigt ohne Nachfolger: sofort Endbevorratung (Last-Time-Buy) und Ersatzlösung planen","Abgekündigt ohne Nachfolger: Lagerteil sichern, Ersatzlösung (Retrofit) planen"),IF(Z186=1,"Nicht beschaffbar: Lagerteil schützen, Ersatzlösung mittelfristig planen",IF(AB186=1,IF(LEFT(S186,4)="nein","Bevorratung lohnt nicht – Lieferzeit und Reparaturweg absichern","Lagerbestand anlegen (mind. 1 Stk.)"),"Reparaturmöglichkeit klären"))))))))</f>
        <v/>
      </c>
      <c r="P186" s="31" t="n"/>
      <c r="Q186" s="27" t="n"/>
      <c r="R186" s="32">
        <f>IF(OR(AG186="",Y186="",AB186=0),"",AG186*INDEX(Krit_Kosten,MATCH(F186,Krit_Liste,0)))</f>
        <v/>
      </c>
      <c r="S186" s="33">
        <f>IF(N186="","",IF(N186="grün","–",IF(AB186=0,"am Lager / in stock",IF(N(P186)&lt;=0,"Stückpreis fehlt",IF(R186&gt;=Faktor_lohnt*P186,"ja – "&amp;FIXED(R186/P186,0)&amp;"-fach","nein – "&amp;FIXED(R186/P186,IF(R186/P186&lt;1,2,1))&amp;"-fach")))))</f>
        <v/>
      </c>
      <c r="T186" s="25" t="n"/>
      <c r="U186" s="34" t="n"/>
      <c r="V186" s="27" t="n"/>
      <c r="W186" s="25" t="n"/>
      <c r="X186" s="2" t="n"/>
      <c r="Y186" s="35">
        <f>IFERROR(INDEX(Krit_Faktor,MATCH(F186,Krit_Liste,0)),"")</f>
        <v/>
      </c>
      <c r="Z186" s="35">
        <f>IF(OR(I186="nein",I186="no"),1,0)</f>
        <v/>
      </c>
      <c r="AA186" s="35">
        <f>IF(OR(J186="nein",J186="no"),1,0)</f>
        <v/>
      </c>
      <c r="AB186" s="35">
        <f>IF(OR(K186="nein",K186="no"),1,0)</f>
        <v/>
      </c>
      <c r="AC186" s="35">
        <f>IF(OR(G186="ja",G186="yes"),1,0)</f>
        <v/>
      </c>
      <c r="AD186" s="35">
        <f>IF(AND(AC186=1,OR(H186="ja",H186="yes")),1,0)</f>
        <v/>
      </c>
      <c r="AE186" s="35">
        <f>IF(AC186=1,IF(AD186=1,Pkt_Abk_mit,Pkt_Abk_ohne),0)</f>
        <v/>
      </c>
      <c r="AF186" s="35">
        <f>(G186&lt;&gt;"")+(I186&lt;&gt;"")+(J186&lt;&gt;"")+(K186&lt;&gt;"")</f>
        <v/>
      </c>
      <c r="AG186" s="35">
        <f>IF(Q186&lt;&gt;"",Q186,IF(AF186&lt;4,"",IF(Z186=1,Tage_nicht_beschaffbar,Tage_beschaffbar)))</f>
        <v/>
      </c>
      <c r="AH186" s="35">
        <f>IF(M186="","",M186*1000+Y186*10+(1000-ROW())/100000)</f>
        <v/>
      </c>
    </row>
    <row r="187" ht="34" customHeight="1">
      <c r="A187" s="23">
        <f>IF(B187="","",COUNTA($B$9:B187))</f>
        <v/>
      </c>
      <c r="B187" s="24" t="n"/>
      <c r="C187" s="25" t="n"/>
      <c r="D187" s="25" t="n"/>
      <c r="E187" s="25" t="n"/>
      <c r="F187" s="26" t="n"/>
      <c r="G187" s="26" t="n"/>
      <c r="H187" s="27" t="n"/>
      <c r="I187" s="26" t="n"/>
      <c r="J187" s="26" t="n"/>
      <c r="K187" s="26" t="n"/>
      <c r="L187" s="23">
        <f>IF(AF187&lt;4,"",Z187+AA187+AB187+AE187)</f>
        <v/>
      </c>
      <c r="M187" s="28">
        <f>IF(OR(L187="",Y187=""),"",Y187*L187)</f>
        <v/>
      </c>
      <c r="N187" s="29">
        <f>IF(M187="","",IF(M187&lt;=Gruen_bis,"grün",IF(M187&lt;=Gelb_bis,"gelb","rot")))</f>
        <v/>
      </c>
      <c r="O187" s="30">
        <f>IF(N187="",IF(B187="","","Bewertung unvollständig – ★-Felder ausfüllen"),IF(N187="grün",IF(AC187=1,IF(AD187=1,"Abgekündigt, Nachfolger vorhanden: Umstieg bei nächster Gelegenheit planen","Abgekündigt: Endbevorratung (Last-Time-Buy) prüfen, Ersatzlösung planen"),"Keine aktive Maßnahme – jährlich prüfen"),IF(AND(Z187=1,AA187=1,AB187=1),"Sofort sichern: Restbestand / Gebrauchtteil kaufen und Ersatzlösung (Retrofit) planen",IF(AND(Z187=1,AB187=1),"Reparaturweg absichern (Dienstleister, Tauschteil), Gebrauchtteil prüfen",IF(AD187=1,"Auf Nachfolgeprodukt umstellen: Kompatibilität prüfen, Umstieg planen",IF(AC187=1,IF(AB187=1,"Abgekündigt ohne Nachfolger: sofort Endbevorratung (Last-Time-Buy) und Ersatzlösung planen","Abgekündigt ohne Nachfolger: Lagerteil sichern, Ersatzlösung (Retrofit) planen"),IF(Z187=1,"Nicht beschaffbar: Lagerteil schützen, Ersatzlösung mittelfristig planen",IF(AB187=1,IF(LEFT(S187,4)="nein","Bevorratung lohnt nicht – Lieferzeit und Reparaturweg absichern","Lagerbestand anlegen (mind. 1 Stk.)"),"Reparaturmöglichkeit klären"))))))))</f>
        <v/>
      </c>
      <c r="P187" s="31" t="n"/>
      <c r="Q187" s="27" t="n"/>
      <c r="R187" s="32">
        <f>IF(OR(AG187="",Y187="",AB187=0),"",AG187*INDEX(Krit_Kosten,MATCH(F187,Krit_Liste,0)))</f>
        <v/>
      </c>
      <c r="S187" s="33">
        <f>IF(N187="","",IF(N187="grün","–",IF(AB187=0,"am Lager / in stock",IF(N(P187)&lt;=0,"Stückpreis fehlt",IF(R187&gt;=Faktor_lohnt*P187,"ja – "&amp;FIXED(R187/P187,0)&amp;"-fach","nein – "&amp;FIXED(R187/P187,IF(R187/P187&lt;1,2,1))&amp;"-fach")))))</f>
        <v/>
      </c>
      <c r="T187" s="25" t="n"/>
      <c r="U187" s="34" t="n"/>
      <c r="V187" s="27" t="n"/>
      <c r="W187" s="25" t="n"/>
      <c r="X187" s="2" t="n"/>
      <c r="Y187" s="35">
        <f>IFERROR(INDEX(Krit_Faktor,MATCH(F187,Krit_Liste,0)),"")</f>
        <v/>
      </c>
      <c r="Z187" s="35">
        <f>IF(OR(I187="nein",I187="no"),1,0)</f>
        <v/>
      </c>
      <c r="AA187" s="35">
        <f>IF(OR(J187="nein",J187="no"),1,0)</f>
        <v/>
      </c>
      <c r="AB187" s="35">
        <f>IF(OR(K187="nein",K187="no"),1,0)</f>
        <v/>
      </c>
      <c r="AC187" s="35">
        <f>IF(OR(G187="ja",G187="yes"),1,0)</f>
        <v/>
      </c>
      <c r="AD187" s="35">
        <f>IF(AND(AC187=1,OR(H187="ja",H187="yes")),1,0)</f>
        <v/>
      </c>
      <c r="AE187" s="35">
        <f>IF(AC187=1,IF(AD187=1,Pkt_Abk_mit,Pkt_Abk_ohne),0)</f>
        <v/>
      </c>
      <c r="AF187" s="35">
        <f>(G187&lt;&gt;"")+(I187&lt;&gt;"")+(J187&lt;&gt;"")+(K187&lt;&gt;"")</f>
        <v/>
      </c>
      <c r="AG187" s="35">
        <f>IF(Q187&lt;&gt;"",Q187,IF(AF187&lt;4,"",IF(Z187=1,Tage_nicht_beschaffbar,Tage_beschaffbar)))</f>
        <v/>
      </c>
      <c r="AH187" s="35">
        <f>IF(M187="","",M187*1000+Y187*10+(1000-ROW())/100000)</f>
        <v/>
      </c>
    </row>
    <row r="188" ht="34" customHeight="1">
      <c r="A188" s="23">
        <f>IF(B188="","",COUNTA($B$9:B188))</f>
        <v/>
      </c>
      <c r="B188" s="24" t="n"/>
      <c r="C188" s="25" t="n"/>
      <c r="D188" s="25" t="n"/>
      <c r="E188" s="25" t="n"/>
      <c r="F188" s="26" t="n"/>
      <c r="G188" s="26" t="n"/>
      <c r="H188" s="27" t="n"/>
      <c r="I188" s="26" t="n"/>
      <c r="J188" s="26" t="n"/>
      <c r="K188" s="26" t="n"/>
      <c r="L188" s="23">
        <f>IF(AF188&lt;4,"",Z188+AA188+AB188+AE188)</f>
        <v/>
      </c>
      <c r="M188" s="28">
        <f>IF(OR(L188="",Y188=""),"",Y188*L188)</f>
        <v/>
      </c>
      <c r="N188" s="29">
        <f>IF(M188="","",IF(M188&lt;=Gruen_bis,"grün",IF(M188&lt;=Gelb_bis,"gelb","rot")))</f>
        <v/>
      </c>
      <c r="O188" s="30">
        <f>IF(N188="",IF(B188="","","Bewertung unvollständig – ★-Felder ausfüllen"),IF(N188="grün",IF(AC188=1,IF(AD188=1,"Abgekündigt, Nachfolger vorhanden: Umstieg bei nächster Gelegenheit planen","Abgekündigt: Endbevorratung (Last-Time-Buy) prüfen, Ersatzlösung planen"),"Keine aktive Maßnahme – jährlich prüfen"),IF(AND(Z188=1,AA188=1,AB188=1),"Sofort sichern: Restbestand / Gebrauchtteil kaufen und Ersatzlösung (Retrofit) planen",IF(AND(Z188=1,AB188=1),"Reparaturweg absichern (Dienstleister, Tauschteil), Gebrauchtteil prüfen",IF(AD188=1,"Auf Nachfolgeprodukt umstellen: Kompatibilität prüfen, Umstieg planen",IF(AC188=1,IF(AB188=1,"Abgekündigt ohne Nachfolger: sofort Endbevorratung (Last-Time-Buy) und Ersatzlösung planen","Abgekündigt ohne Nachfolger: Lagerteil sichern, Ersatzlösung (Retrofit) planen"),IF(Z188=1,"Nicht beschaffbar: Lagerteil schützen, Ersatzlösung mittelfristig planen",IF(AB188=1,IF(LEFT(S188,4)="nein","Bevorratung lohnt nicht – Lieferzeit und Reparaturweg absichern","Lagerbestand anlegen (mind. 1 Stk.)"),"Reparaturmöglichkeit klären"))))))))</f>
        <v/>
      </c>
      <c r="P188" s="31" t="n"/>
      <c r="Q188" s="27" t="n"/>
      <c r="R188" s="32">
        <f>IF(OR(AG188="",Y188="",AB188=0),"",AG188*INDEX(Krit_Kosten,MATCH(F188,Krit_Liste,0)))</f>
        <v/>
      </c>
      <c r="S188" s="33">
        <f>IF(N188="","",IF(N188="grün","–",IF(AB188=0,"am Lager / in stock",IF(N(P188)&lt;=0,"Stückpreis fehlt",IF(R188&gt;=Faktor_lohnt*P188,"ja – "&amp;FIXED(R188/P188,0)&amp;"-fach","nein – "&amp;FIXED(R188/P188,IF(R188/P188&lt;1,2,1))&amp;"-fach")))))</f>
        <v/>
      </c>
      <c r="T188" s="25" t="n"/>
      <c r="U188" s="34" t="n"/>
      <c r="V188" s="27" t="n"/>
      <c r="W188" s="25" t="n"/>
      <c r="X188" s="2" t="n"/>
      <c r="Y188" s="35">
        <f>IFERROR(INDEX(Krit_Faktor,MATCH(F188,Krit_Liste,0)),"")</f>
        <v/>
      </c>
      <c r="Z188" s="35">
        <f>IF(OR(I188="nein",I188="no"),1,0)</f>
        <v/>
      </c>
      <c r="AA188" s="35">
        <f>IF(OR(J188="nein",J188="no"),1,0)</f>
        <v/>
      </c>
      <c r="AB188" s="35">
        <f>IF(OR(K188="nein",K188="no"),1,0)</f>
        <v/>
      </c>
      <c r="AC188" s="35">
        <f>IF(OR(G188="ja",G188="yes"),1,0)</f>
        <v/>
      </c>
      <c r="AD188" s="35">
        <f>IF(AND(AC188=1,OR(H188="ja",H188="yes")),1,0)</f>
        <v/>
      </c>
      <c r="AE188" s="35">
        <f>IF(AC188=1,IF(AD188=1,Pkt_Abk_mit,Pkt_Abk_ohne),0)</f>
        <v/>
      </c>
      <c r="AF188" s="35">
        <f>(G188&lt;&gt;"")+(I188&lt;&gt;"")+(J188&lt;&gt;"")+(K188&lt;&gt;"")</f>
        <v/>
      </c>
      <c r="AG188" s="35">
        <f>IF(Q188&lt;&gt;"",Q188,IF(AF188&lt;4,"",IF(Z188=1,Tage_nicht_beschaffbar,Tage_beschaffbar)))</f>
        <v/>
      </c>
      <c r="AH188" s="35">
        <f>IF(M188="","",M188*1000+Y188*10+(1000-ROW())/100000)</f>
        <v/>
      </c>
    </row>
    <row r="189" ht="34" customHeight="1">
      <c r="A189" s="23">
        <f>IF(B189="","",COUNTA($B$9:B189))</f>
        <v/>
      </c>
      <c r="B189" s="24" t="n"/>
      <c r="C189" s="25" t="n"/>
      <c r="D189" s="25" t="n"/>
      <c r="E189" s="25" t="n"/>
      <c r="F189" s="26" t="n"/>
      <c r="G189" s="26" t="n"/>
      <c r="H189" s="27" t="n"/>
      <c r="I189" s="26" t="n"/>
      <c r="J189" s="26" t="n"/>
      <c r="K189" s="26" t="n"/>
      <c r="L189" s="23">
        <f>IF(AF189&lt;4,"",Z189+AA189+AB189+AE189)</f>
        <v/>
      </c>
      <c r="M189" s="28">
        <f>IF(OR(L189="",Y189=""),"",Y189*L189)</f>
        <v/>
      </c>
      <c r="N189" s="29">
        <f>IF(M189="","",IF(M189&lt;=Gruen_bis,"grün",IF(M189&lt;=Gelb_bis,"gelb","rot")))</f>
        <v/>
      </c>
      <c r="O189" s="30">
        <f>IF(N189="",IF(B189="","","Bewertung unvollständig – ★-Felder ausfüllen"),IF(N189="grün",IF(AC189=1,IF(AD189=1,"Abgekündigt, Nachfolger vorhanden: Umstieg bei nächster Gelegenheit planen","Abgekündigt: Endbevorratung (Last-Time-Buy) prüfen, Ersatzlösung planen"),"Keine aktive Maßnahme – jährlich prüfen"),IF(AND(Z189=1,AA189=1,AB189=1),"Sofort sichern: Restbestand / Gebrauchtteil kaufen und Ersatzlösung (Retrofit) planen",IF(AND(Z189=1,AB189=1),"Reparaturweg absichern (Dienstleister, Tauschteil), Gebrauchtteil prüfen",IF(AD189=1,"Auf Nachfolgeprodukt umstellen: Kompatibilität prüfen, Umstieg planen",IF(AC189=1,IF(AB189=1,"Abgekündigt ohne Nachfolger: sofort Endbevorratung (Last-Time-Buy) und Ersatzlösung planen","Abgekündigt ohne Nachfolger: Lagerteil sichern, Ersatzlösung (Retrofit) planen"),IF(Z189=1,"Nicht beschaffbar: Lagerteil schützen, Ersatzlösung mittelfristig planen",IF(AB189=1,IF(LEFT(S189,4)="nein","Bevorratung lohnt nicht – Lieferzeit und Reparaturweg absichern","Lagerbestand anlegen (mind. 1 Stk.)"),"Reparaturmöglichkeit klären"))))))))</f>
        <v/>
      </c>
      <c r="P189" s="31" t="n"/>
      <c r="Q189" s="27" t="n"/>
      <c r="R189" s="32">
        <f>IF(OR(AG189="",Y189="",AB189=0),"",AG189*INDEX(Krit_Kosten,MATCH(F189,Krit_Liste,0)))</f>
        <v/>
      </c>
      <c r="S189" s="33">
        <f>IF(N189="","",IF(N189="grün","–",IF(AB189=0,"am Lager / in stock",IF(N(P189)&lt;=0,"Stückpreis fehlt",IF(R189&gt;=Faktor_lohnt*P189,"ja – "&amp;FIXED(R189/P189,0)&amp;"-fach","nein – "&amp;FIXED(R189/P189,IF(R189/P189&lt;1,2,1))&amp;"-fach")))))</f>
        <v/>
      </c>
      <c r="T189" s="25" t="n"/>
      <c r="U189" s="34" t="n"/>
      <c r="V189" s="27" t="n"/>
      <c r="W189" s="25" t="n"/>
      <c r="X189" s="2" t="n"/>
      <c r="Y189" s="35">
        <f>IFERROR(INDEX(Krit_Faktor,MATCH(F189,Krit_Liste,0)),"")</f>
        <v/>
      </c>
      <c r="Z189" s="35">
        <f>IF(OR(I189="nein",I189="no"),1,0)</f>
        <v/>
      </c>
      <c r="AA189" s="35">
        <f>IF(OR(J189="nein",J189="no"),1,0)</f>
        <v/>
      </c>
      <c r="AB189" s="35">
        <f>IF(OR(K189="nein",K189="no"),1,0)</f>
        <v/>
      </c>
      <c r="AC189" s="35">
        <f>IF(OR(G189="ja",G189="yes"),1,0)</f>
        <v/>
      </c>
      <c r="AD189" s="35">
        <f>IF(AND(AC189=1,OR(H189="ja",H189="yes")),1,0)</f>
        <v/>
      </c>
      <c r="AE189" s="35">
        <f>IF(AC189=1,IF(AD189=1,Pkt_Abk_mit,Pkt_Abk_ohne),0)</f>
        <v/>
      </c>
      <c r="AF189" s="35">
        <f>(G189&lt;&gt;"")+(I189&lt;&gt;"")+(J189&lt;&gt;"")+(K189&lt;&gt;"")</f>
        <v/>
      </c>
      <c r="AG189" s="35">
        <f>IF(Q189&lt;&gt;"",Q189,IF(AF189&lt;4,"",IF(Z189=1,Tage_nicht_beschaffbar,Tage_beschaffbar)))</f>
        <v/>
      </c>
      <c r="AH189" s="35">
        <f>IF(M189="","",M189*1000+Y189*10+(1000-ROW())/100000)</f>
        <v/>
      </c>
    </row>
    <row r="190" ht="34" customHeight="1">
      <c r="A190" s="23">
        <f>IF(B190="","",COUNTA($B$9:B190))</f>
        <v/>
      </c>
      <c r="B190" s="24" t="n"/>
      <c r="C190" s="25" t="n"/>
      <c r="D190" s="25" t="n"/>
      <c r="E190" s="25" t="n"/>
      <c r="F190" s="26" t="n"/>
      <c r="G190" s="26" t="n"/>
      <c r="H190" s="27" t="n"/>
      <c r="I190" s="26" t="n"/>
      <c r="J190" s="26" t="n"/>
      <c r="K190" s="26" t="n"/>
      <c r="L190" s="23">
        <f>IF(AF190&lt;4,"",Z190+AA190+AB190+AE190)</f>
        <v/>
      </c>
      <c r="M190" s="28">
        <f>IF(OR(L190="",Y190=""),"",Y190*L190)</f>
        <v/>
      </c>
      <c r="N190" s="29">
        <f>IF(M190="","",IF(M190&lt;=Gruen_bis,"grün",IF(M190&lt;=Gelb_bis,"gelb","rot")))</f>
        <v/>
      </c>
      <c r="O190" s="30">
        <f>IF(N190="",IF(B190="","","Bewertung unvollständig – ★-Felder ausfüllen"),IF(N190="grün",IF(AC190=1,IF(AD190=1,"Abgekündigt, Nachfolger vorhanden: Umstieg bei nächster Gelegenheit planen","Abgekündigt: Endbevorratung (Last-Time-Buy) prüfen, Ersatzlösung planen"),"Keine aktive Maßnahme – jährlich prüfen"),IF(AND(Z190=1,AA190=1,AB190=1),"Sofort sichern: Restbestand / Gebrauchtteil kaufen und Ersatzlösung (Retrofit) planen",IF(AND(Z190=1,AB190=1),"Reparaturweg absichern (Dienstleister, Tauschteil), Gebrauchtteil prüfen",IF(AD190=1,"Auf Nachfolgeprodukt umstellen: Kompatibilität prüfen, Umstieg planen",IF(AC190=1,IF(AB190=1,"Abgekündigt ohne Nachfolger: sofort Endbevorratung (Last-Time-Buy) und Ersatzlösung planen","Abgekündigt ohne Nachfolger: Lagerteil sichern, Ersatzlösung (Retrofit) planen"),IF(Z190=1,"Nicht beschaffbar: Lagerteil schützen, Ersatzlösung mittelfristig planen",IF(AB190=1,IF(LEFT(S190,4)="nein","Bevorratung lohnt nicht – Lieferzeit und Reparaturweg absichern","Lagerbestand anlegen (mind. 1 Stk.)"),"Reparaturmöglichkeit klären"))))))))</f>
        <v/>
      </c>
      <c r="P190" s="31" t="n"/>
      <c r="Q190" s="27" t="n"/>
      <c r="R190" s="32">
        <f>IF(OR(AG190="",Y190="",AB190=0),"",AG190*INDEX(Krit_Kosten,MATCH(F190,Krit_Liste,0)))</f>
        <v/>
      </c>
      <c r="S190" s="33">
        <f>IF(N190="","",IF(N190="grün","–",IF(AB190=0,"am Lager / in stock",IF(N(P190)&lt;=0,"Stückpreis fehlt",IF(R190&gt;=Faktor_lohnt*P190,"ja – "&amp;FIXED(R190/P190,0)&amp;"-fach","nein – "&amp;FIXED(R190/P190,IF(R190/P190&lt;1,2,1))&amp;"-fach")))))</f>
        <v/>
      </c>
      <c r="T190" s="25" t="n"/>
      <c r="U190" s="34" t="n"/>
      <c r="V190" s="27" t="n"/>
      <c r="W190" s="25" t="n"/>
      <c r="X190" s="2" t="n"/>
      <c r="Y190" s="35">
        <f>IFERROR(INDEX(Krit_Faktor,MATCH(F190,Krit_Liste,0)),"")</f>
        <v/>
      </c>
      <c r="Z190" s="35">
        <f>IF(OR(I190="nein",I190="no"),1,0)</f>
        <v/>
      </c>
      <c r="AA190" s="35">
        <f>IF(OR(J190="nein",J190="no"),1,0)</f>
        <v/>
      </c>
      <c r="AB190" s="35">
        <f>IF(OR(K190="nein",K190="no"),1,0)</f>
        <v/>
      </c>
      <c r="AC190" s="35">
        <f>IF(OR(G190="ja",G190="yes"),1,0)</f>
        <v/>
      </c>
      <c r="AD190" s="35">
        <f>IF(AND(AC190=1,OR(H190="ja",H190="yes")),1,0)</f>
        <v/>
      </c>
      <c r="AE190" s="35">
        <f>IF(AC190=1,IF(AD190=1,Pkt_Abk_mit,Pkt_Abk_ohne),0)</f>
        <v/>
      </c>
      <c r="AF190" s="35">
        <f>(G190&lt;&gt;"")+(I190&lt;&gt;"")+(J190&lt;&gt;"")+(K190&lt;&gt;"")</f>
        <v/>
      </c>
      <c r="AG190" s="35">
        <f>IF(Q190&lt;&gt;"",Q190,IF(AF190&lt;4,"",IF(Z190=1,Tage_nicht_beschaffbar,Tage_beschaffbar)))</f>
        <v/>
      </c>
      <c r="AH190" s="35">
        <f>IF(M190="","",M190*1000+Y190*10+(1000-ROW())/100000)</f>
        <v/>
      </c>
    </row>
    <row r="191" ht="34" customHeight="1">
      <c r="A191" s="23">
        <f>IF(B191="","",COUNTA($B$9:B191))</f>
        <v/>
      </c>
      <c r="B191" s="24" t="n"/>
      <c r="C191" s="25" t="n"/>
      <c r="D191" s="25" t="n"/>
      <c r="E191" s="25" t="n"/>
      <c r="F191" s="26" t="n"/>
      <c r="G191" s="26" t="n"/>
      <c r="H191" s="27" t="n"/>
      <c r="I191" s="26" t="n"/>
      <c r="J191" s="26" t="n"/>
      <c r="K191" s="26" t="n"/>
      <c r="L191" s="23">
        <f>IF(AF191&lt;4,"",Z191+AA191+AB191+AE191)</f>
        <v/>
      </c>
      <c r="M191" s="28">
        <f>IF(OR(L191="",Y191=""),"",Y191*L191)</f>
        <v/>
      </c>
      <c r="N191" s="29">
        <f>IF(M191="","",IF(M191&lt;=Gruen_bis,"grün",IF(M191&lt;=Gelb_bis,"gelb","rot")))</f>
        <v/>
      </c>
      <c r="O191" s="30">
        <f>IF(N191="",IF(B191="","","Bewertung unvollständig – ★-Felder ausfüllen"),IF(N191="grün",IF(AC191=1,IF(AD191=1,"Abgekündigt, Nachfolger vorhanden: Umstieg bei nächster Gelegenheit planen","Abgekündigt: Endbevorratung (Last-Time-Buy) prüfen, Ersatzlösung planen"),"Keine aktive Maßnahme – jährlich prüfen"),IF(AND(Z191=1,AA191=1,AB191=1),"Sofort sichern: Restbestand / Gebrauchtteil kaufen und Ersatzlösung (Retrofit) planen",IF(AND(Z191=1,AB191=1),"Reparaturweg absichern (Dienstleister, Tauschteil), Gebrauchtteil prüfen",IF(AD191=1,"Auf Nachfolgeprodukt umstellen: Kompatibilität prüfen, Umstieg planen",IF(AC191=1,IF(AB191=1,"Abgekündigt ohne Nachfolger: sofort Endbevorratung (Last-Time-Buy) und Ersatzlösung planen","Abgekündigt ohne Nachfolger: Lagerteil sichern, Ersatzlösung (Retrofit) planen"),IF(Z191=1,"Nicht beschaffbar: Lagerteil schützen, Ersatzlösung mittelfristig planen",IF(AB191=1,IF(LEFT(S191,4)="nein","Bevorratung lohnt nicht – Lieferzeit und Reparaturweg absichern","Lagerbestand anlegen (mind. 1 Stk.)"),"Reparaturmöglichkeit klären"))))))))</f>
        <v/>
      </c>
      <c r="P191" s="31" t="n"/>
      <c r="Q191" s="27" t="n"/>
      <c r="R191" s="32">
        <f>IF(OR(AG191="",Y191="",AB191=0),"",AG191*INDEX(Krit_Kosten,MATCH(F191,Krit_Liste,0)))</f>
        <v/>
      </c>
      <c r="S191" s="33">
        <f>IF(N191="","",IF(N191="grün","–",IF(AB191=0,"am Lager / in stock",IF(N(P191)&lt;=0,"Stückpreis fehlt",IF(R191&gt;=Faktor_lohnt*P191,"ja – "&amp;FIXED(R191/P191,0)&amp;"-fach","nein – "&amp;FIXED(R191/P191,IF(R191/P191&lt;1,2,1))&amp;"-fach")))))</f>
        <v/>
      </c>
      <c r="T191" s="25" t="n"/>
      <c r="U191" s="34" t="n"/>
      <c r="V191" s="27" t="n"/>
      <c r="W191" s="25" t="n"/>
      <c r="X191" s="2" t="n"/>
      <c r="Y191" s="35">
        <f>IFERROR(INDEX(Krit_Faktor,MATCH(F191,Krit_Liste,0)),"")</f>
        <v/>
      </c>
      <c r="Z191" s="35">
        <f>IF(OR(I191="nein",I191="no"),1,0)</f>
        <v/>
      </c>
      <c r="AA191" s="35">
        <f>IF(OR(J191="nein",J191="no"),1,0)</f>
        <v/>
      </c>
      <c r="AB191" s="35">
        <f>IF(OR(K191="nein",K191="no"),1,0)</f>
        <v/>
      </c>
      <c r="AC191" s="35">
        <f>IF(OR(G191="ja",G191="yes"),1,0)</f>
        <v/>
      </c>
      <c r="AD191" s="35">
        <f>IF(AND(AC191=1,OR(H191="ja",H191="yes")),1,0)</f>
        <v/>
      </c>
      <c r="AE191" s="35">
        <f>IF(AC191=1,IF(AD191=1,Pkt_Abk_mit,Pkt_Abk_ohne),0)</f>
        <v/>
      </c>
      <c r="AF191" s="35">
        <f>(G191&lt;&gt;"")+(I191&lt;&gt;"")+(J191&lt;&gt;"")+(K191&lt;&gt;"")</f>
        <v/>
      </c>
      <c r="AG191" s="35">
        <f>IF(Q191&lt;&gt;"",Q191,IF(AF191&lt;4,"",IF(Z191=1,Tage_nicht_beschaffbar,Tage_beschaffbar)))</f>
        <v/>
      </c>
      <c r="AH191" s="35">
        <f>IF(M191="","",M191*1000+Y191*10+(1000-ROW())/100000)</f>
        <v/>
      </c>
    </row>
    <row r="192" ht="34" customHeight="1">
      <c r="A192" s="23">
        <f>IF(B192="","",COUNTA($B$9:B192))</f>
        <v/>
      </c>
      <c r="B192" s="24" t="n"/>
      <c r="C192" s="25" t="n"/>
      <c r="D192" s="25" t="n"/>
      <c r="E192" s="25" t="n"/>
      <c r="F192" s="26" t="n"/>
      <c r="G192" s="26" t="n"/>
      <c r="H192" s="27" t="n"/>
      <c r="I192" s="26" t="n"/>
      <c r="J192" s="26" t="n"/>
      <c r="K192" s="26" t="n"/>
      <c r="L192" s="23">
        <f>IF(AF192&lt;4,"",Z192+AA192+AB192+AE192)</f>
        <v/>
      </c>
      <c r="M192" s="28">
        <f>IF(OR(L192="",Y192=""),"",Y192*L192)</f>
        <v/>
      </c>
      <c r="N192" s="29">
        <f>IF(M192="","",IF(M192&lt;=Gruen_bis,"grün",IF(M192&lt;=Gelb_bis,"gelb","rot")))</f>
        <v/>
      </c>
      <c r="O192" s="30">
        <f>IF(N192="",IF(B192="","","Bewertung unvollständig – ★-Felder ausfüllen"),IF(N192="grün",IF(AC192=1,IF(AD192=1,"Abgekündigt, Nachfolger vorhanden: Umstieg bei nächster Gelegenheit planen","Abgekündigt: Endbevorratung (Last-Time-Buy) prüfen, Ersatzlösung planen"),"Keine aktive Maßnahme – jährlich prüfen"),IF(AND(Z192=1,AA192=1,AB192=1),"Sofort sichern: Restbestand / Gebrauchtteil kaufen und Ersatzlösung (Retrofit) planen",IF(AND(Z192=1,AB192=1),"Reparaturweg absichern (Dienstleister, Tauschteil), Gebrauchtteil prüfen",IF(AD192=1,"Auf Nachfolgeprodukt umstellen: Kompatibilität prüfen, Umstieg planen",IF(AC192=1,IF(AB192=1,"Abgekündigt ohne Nachfolger: sofort Endbevorratung (Last-Time-Buy) und Ersatzlösung planen","Abgekündigt ohne Nachfolger: Lagerteil sichern, Ersatzlösung (Retrofit) planen"),IF(Z192=1,"Nicht beschaffbar: Lagerteil schützen, Ersatzlösung mittelfristig planen",IF(AB192=1,IF(LEFT(S192,4)="nein","Bevorratung lohnt nicht – Lieferzeit und Reparaturweg absichern","Lagerbestand anlegen (mind. 1 Stk.)"),"Reparaturmöglichkeit klären"))))))))</f>
        <v/>
      </c>
      <c r="P192" s="31" t="n"/>
      <c r="Q192" s="27" t="n"/>
      <c r="R192" s="32">
        <f>IF(OR(AG192="",Y192="",AB192=0),"",AG192*INDEX(Krit_Kosten,MATCH(F192,Krit_Liste,0)))</f>
        <v/>
      </c>
      <c r="S192" s="33">
        <f>IF(N192="","",IF(N192="grün","–",IF(AB192=0,"am Lager / in stock",IF(N(P192)&lt;=0,"Stückpreis fehlt",IF(R192&gt;=Faktor_lohnt*P192,"ja – "&amp;FIXED(R192/P192,0)&amp;"-fach","nein – "&amp;FIXED(R192/P192,IF(R192/P192&lt;1,2,1))&amp;"-fach")))))</f>
        <v/>
      </c>
      <c r="T192" s="25" t="n"/>
      <c r="U192" s="34" t="n"/>
      <c r="V192" s="27" t="n"/>
      <c r="W192" s="25" t="n"/>
      <c r="X192" s="2" t="n"/>
      <c r="Y192" s="35">
        <f>IFERROR(INDEX(Krit_Faktor,MATCH(F192,Krit_Liste,0)),"")</f>
        <v/>
      </c>
      <c r="Z192" s="35">
        <f>IF(OR(I192="nein",I192="no"),1,0)</f>
        <v/>
      </c>
      <c r="AA192" s="35">
        <f>IF(OR(J192="nein",J192="no"),1,0)</f>
        <v/>
      </c>
      <c r="AB192" s="35">
        <f>IF(OR(K192="nein",K192="no"),1,0)</f>
        <v/>
      </c>
      <c r="AC192" s="35">
        <f>IF(OR(G192="ja",G192="yes"),1,0)</f>
        <v/>
      </c>
      <c r="AD192" s="35">
        <f>IF(AND(AC192=1,OR(H192="ja",H192="yes")),1,0)</f>
        <v/>
      </c>
      <c r="AE192" s="35">
        <f>IF(AC192=1,IF(AD192=1,Pkt_Abk_mit,Pkt_Abk_ohne),0)</f>
        <v/>
      </c>
      <c r="AF192" s="35">
        <f>(G192&lt;&gt;"")+(I192&lt;&gt;"")+(J192&lt;&gt;"")+(K192&lt;&gt;"")</f>
        <v/>
      </c>
      <c r="AG192" s="35">
        <f>IF(Q192&lt;&gt;"",Q192,IF(AF192&lt;4,"",IF(Z192=1,Tage_nicht_beschaffbar,Tage_beschaffbar)))</f>
        <v/>
      </c>
      <c r="AH192" s="35">
        <f>IF(M192="","",M192*1000+Y192*10+(1000-ROW())/100000)</f>
        <v/>
      </c>
    </row>
    <row r="193" ht="34" customHeight="1">
      <c r="A193" s="23">
        <f>IF(B193="","",COUNTA($B$9:B193))</f>
        <v/>
      </c>
      <c r="B193" s="24" t="n"/>
      <c r="C193" s="25" t="n"/>
      <c r="D193" s="25" t="n"/>
      <c r="E193" s="25" t="n"/>
      <c r="F193" s="26" t="n"/>
      <c r="G193" s="26" t="n"/>
      <c r="H193" s="27" t="n"/>
      <c r="I193" s="26" t="n"/>
      <c r="J193" s="26" t="n"/>
      <c r="K193" s="26" t="n"/>
      <c r="L193" s="23">
        <f>IF(AF193&lt;4,"",Z193+AA193+AB193+AE193)</f>
        <v/>
      </c>
      <c r="M193" s="28">
        <f>IF(OR(L193="",Y193=""),"",Y193*L193)</f>
        <v/>
      </c>
      <c r="N193" s="29">
        <f>IF(M193="","",IF(M193&lt;=Gruen_bis,"grün",IF(M193&lt;=Gelb_bis,"gelb","rot")))</f>
        <v/>
      </c>
      <c r="O193" s="30">
        <f>IF(N193="",IF(B193="","","Bewertung unvollständig – ★-Felder ausfüllen"),IF(N193="grün",IF(AC193=1,IF(AD193=1,"Abgekündigt, Nachfolger vorhanden: Umstieg bei nächster Gelegenheit planen","Abgekündigt: Endbevorratung (Last-Time-Buy) prüfen, Ersatzlösung planen"),"Keine aktive Maßnahme – jährlich prüfen"),IF(AND(Z193=1,AA193=1,AB193=1),"Sofort sichern: Restbestand / Gebrauchtteil kaufen und Ersatzlösung (Retrofit) planen",IF(AND(Z193=1,AB193=1),"Reparaturweg absichern (Dienstleister, Tauschteil), Gebrauchtteil prüfen",IF(AD193=1,"Auf Nachfolgeprodukt umstellen: Kompatibilität prüfen, Umstieg planen",IF(AC193=1,IF(AB193=1,"Abgekündigt ohne Nachfolger: sofort Endbevorratung (Last-Time-Buy) und Ersatzlösung planen","Abgekündigt ohne Nachfolger: Lagerteil sichern, Ersatzlösung (Retrofit) planen"),IF(Z193=1,"Nicht beschaffbar: Lagerteil schützen, Ersatzlösung mittelfristig planen",IF(AB193=1,IF(LEFT(S193,4)="nein","Bevorratung lohnt nicht – Lieferzeit und Reparaturweg absichern","Lagerbestand anlegen (mind. 1 Stk.)"),"Reparaturmöglichkeit klären"))))))))</f>
        <v/>
      </c>
      <c r="P193" s="31" t="n"/>
      <c r="Q193" s="27" t="n"/>
      <c r="R193" s="32">
        <f>IF(OR(AG193="",Y193="",AB193=0),"",AG193*INDEX(Krit_Kosten,MATCH(F193,Krit_Liste,0)))</f>
        <v/>
      </c>
      <c r="S193" s="33">
        <f>IF(N193="","",IF(N193="grün","–",IF(AB193=0,"am Lager / in stock",IF(N(P193)&lt;=0,"Stückpreis fehlt",IF(R193&gt;=Faktor_lohnt*P193,"ja – "&amp;FIXED(R193/P193,0)&amp;"-fach","nein – "&amp;FIXED(R193/P193,IF(R193/P193&lt;1,2,1))&amp;"-fach")))))</f>
        <v/>
      </c>
      <c r="T193" s="25" t="n"/>
      <c r="U193" s="34" t="n"/>
      <c r="V193" s="27" t="n"/>
      <c r="W193" s="25" t="n"/>
      <c r="X193" s="2" t="n"/>
      <c r="Y193" s="35">
        <f>IFERROR(INDEX(Krit_Faktor,MATCH(F193,Krit_Liste,0)),"")</f>
        <v/>
      </c>
      <c r="Z193" s="35">
        <f>IF(OR(I193="nein",I193="no"),1,0)</f>
        <v/>
      </c>
      <c r="AA193" s="35">
        <f>IF(OR(J193="nein",J193="no"),1,0)</f>
        <v/>
      </c>
      <c r="AB193" s="35">
        <f>IF(OR(K193="nein",K193="no"),1,0)</f>
        <v/>
      </c>
      <c r="AC193" s="35">
        <f>IF(OR(G193="ja",G193="yes"),1,0)</f>
        <v/>
      </c>
      <c r="AD193" s="35">
        <f>IF(AND(AC193=1,OR(H193="ja",H193="yes")),1,0)</f>
        <v/>
      </c>
      <c r="AE193" s="35">
        <f>IF(AC193=1,IF(AD193=1,Pkt_Abk_mit,Pkt_Abk_ohne),0)</f>
        <v/>
      </c>
      <c r="AF193" s="35">
        <f>(G193&lt;&gt;"")+(I193&lt;&gt;"")+(J193&lt;&gt;"")+(K193&lt;&gt;"")</f>
        <v/>
      </c>
      <c r="AG193" s="35">
        <f>IF(Q193&lt;&gt;"",Q193,IF(AF193&lt;4,"",IF(Z193=1,Tage_nicht_beschaffbar,Tage_beschaffbar)))</f>
        <v/>
      </c>
      <c r="AH193" s="35">
        <f>IF(M193="","",M193*1000+Y193*10+(1000-ROW())/100000)</f>
        <v/>
      </c>
    </row>
    <row r="194" ht="34" customHeight="1">
      <c r="A194" s="23">
        <f>IF(B194="","",COUNTA($B$9:B194))</f>
        <v/>
      </c>
      <c r="B194" s="24" t="n"/>
      <c r="C194" s="25" t="n"/>
      <c r="D194" s="25" t="n"/>
      <c r="E194" s="25" t="n"/>
      <c r="F194" s="26" t="n"/>
      <c r="G194" s="26" t="n"/>
      <c r="H194" s="27" t="n"/>
      <c r="I194" s="26" t="n"/>
      <c r="J194" s="26" t="n"/>
      <c r="K194" s="26" t="n"/>
      <c r="L194" s="23">
        <f>IF(AF194&lt;4,"",Z194+AA194+AB194+AE194)</f>
        <v/>
      </c>
      <c r="M194" s="28">
        <f>IF(OR(L194="",Y194=""),"",Y194*L194)</f>
        <v/>
      </c>
      <c r="N194" s="29">
        <f>IF(M194="","",IF(M194&lt;=Gruen_bis,"grün",IF(M194&lt;=Gelb_bis,"gelb","rot")))</f>
        <v/>
      </c>
      <c r="O194" s="30">
        <f>IF(N194="",IF(B194="","","Bewertung unvollständig – ★-Felder ausfüllen"),IF(N194="grün",IF(AC194=1,IF(AD194=1,"Abgekündigt, Nachfolger vorhanden: Umstieg bei nächster Gelegenheit planen","Abgekündigt: Endbevorratung (Last-Time-Buy) prüfen, Ersatzlösung planen"),"Keine aktive Maßnahme – jährlich prüfen"),IF(AND(Z194=1,AA194=1,AB194=1),"Sofort sichern: Restbestand / Gebrauchtteil kaufen und Ersatzlösung (Retrofit) planen",IF(AND(Z194=1,AB194=1),"Reparaturweg absichern (Dienstleister, Tauschteil), Gebrauchtteil prüfen",IF(AD194=1,"Auf Nachfolgeprodukt umstellen: Kompatibilität prüfen, Umstieg planen",IF(AC194=1,IF(AB194=1,"Abgekündigt ohne Nachfolger: sofort Endbevorratung (Last-Time-Buy) und Ersatzlösung planen","Abgekündigt ohne Nachfolger: Lagerteil sichern, Ersatzlösung (Retrofit) planen"),IF(Z194=1,"Nicht beschaffbar: Lagerteil schützen, Ersatzlösung mittelfristig planen",IF(AB194=1,IF(LEFT(S194,4)="nein","Bevorratung lohnt nicht – Lieferzeit und Reparaturweg absichern","Lagerbestand anlegen (mind. 1 Stk.)"),"Reparaturmöglichkeit klären"))))))))</f>
        <v/>
      </c>
      <c r="P194" s="31" t="n"/>
      <c r="Q194" s="27" t="n"/>
      <c r="R194" s="32">
        <f>IF(OR(AG194="",Y194="",AB194=0),"",AG194*INDEX(Krit_Kosten,MATCH(F194,Krit_Liste,0)))</f>
        <v/>
      </c>
      <c r="S194" s="33">
        <f>IF(N194="","",IF(N194="grün","–",IF(AB194=0,"am Lager / in stock",IF(N(P194)&lt;=0,"Stückpreis fehlt",IF(R194&gt;=Faktor_lohnt*P194,"ja – "&amp;FIXED(R194/P194,0)&amp;"-fach","nein – "&amp;FIXED(R194/P194,IF(R194/P194&lt;1,2,1))&amp;"-fach")))))</f>
        <v/>
      </c>
      <c r="T194" s="25" t="n"/>
      <c r="U194" s="34" t="n"/>
      <c r="V194" s="27" t="n"/>
      <c r="W194" s="25" t="n"/>
      <c r="X194" s="2" t="n"/>
      <c r="Y194" s="35">
        <f>IFERROR(INDEX(Krit_Faktor,MATCH(F194,Krit_Liste,0)),"")</f>
        <v/>
      </c>
      <c r="Z194" s="35">
        <f>IF(OR(I194="nein",I194="no"),1,0)</f>
        <v/>
      </c>
      <c r="AA194" s="35">
        <f>IF(OR(J194="nein",J194="no"),1,0)</f>
        <v/>
      </c>
      <c r="AB194" s="35">
        <f>IF(OR(K194="nein",K194="no"),1,0)</f>
        <v/>
      </c>
      <c r="AC194" s="35">
        <f>IF(OR(G194="ja",G194="yes"),1,0)</f>
        <v/>
      </c>
      <c r="AD194" s="35">
        <f>IF(AND(AC194=1,OR(H194="ja",H194="yes")),1,0)</f>
        <v/>
      </c>
      <c r="AE194" s="35">
        <f>IF(AC194=1,IF(AD194=1,Pkt_Abk_mit,Pkt_Abk_ohne),0)</f>
        <v/>
      </c>
      <c r="AF194" s="35">
        <f>(G194&lt;&gt;"")+(I194&lt;&gt;"")+(J194&lt;&gt;"")+(K194&lt;&gt;"")</f>
        <v/>
      </c>
      <c r="AG194" s="35">
        <f>IF(Q194&lt;&gt;"",Q194,IF(AF194&lt;4,"",IF(Z194=1,Tage_nicht_beschaffbar,Tage_beschaffbar)))</f>
        <v/>
      </c>
      <c r="AH194" s="35">
        <f>IF(M194="","",M194*1000+Y194*10+(1000-ROW())/100000)</f>
        <v/>
      </c>
    </row>
    <row r="195" ht="34" customHeight="1">
      <c r="A195" s="23">
        <f>IF(B195="","",COUNTA($B$9:B195))</f>
        <v/>
      </c>
      <c r="B195" s="24" t="n"/>
      <c r="C195" s="25" t="n"/>
      <c r="D195" s="25" t="n"/>
      <c r="E195" s="25" t="n"/>
      <c r="F195" s="26" t="n"/>
      <c r="G195" s="26" t="n"/>
      <c r="H195" s="27" t="n"/>
      <c r="I195" s="26" t="n"/>
      <c r="J195" s="26" t="n"/>
      <c r="K195" s="26" t="n"/>
      <c r="L195" s="23">
        <f>IF(AF195&lt;4,"",Z195+AA195+AB195+AE195)</f>
        <v/>
      </c>
      <c r="M195" s="28">
        <f>IF(OR(L195="",Y195=""),"",Y195*L195)</f>
        <v/>
      </c>
      <c r="N195" s="29">
        <f>IF(M195="","",IF(M195&lt;=Gruen_bis,"grün",IF(M195&lt;=Gelb_bis,"gelb","rot")))</f>
        <v/>
      </c>
      <c r="O195" s="30">
        <f>IF(N195="",IF(B195="","","Bewertung unvollständig – ★-Felder ausfüllen"),IF(N195="grün",IF(AC195=1,IF(AD195=1,"Abgekündigt, Nachfolger vorhanden: Umstieg bei nächster Gelegenheit planen","Abgekündigt: Endbevorratung (Last-Time-Buy) prüfen, Ersatzlösung planen"),"Keine aktive Maßnahme – jährlich prüfen"),IF(AND(Z195=1,AA195=1,AB195=1),"Sofort sichern: Restbestand / Gebrauchtteil kaufen und Ersatzlösung (Retrofit) planen",IF(AND(Z195=1,AB195=1),"Reparaturweg absichern (Dienstleister, Tauschteil), Gebrauchtteil prüfen",IF(AD195=1,"Auf Nachfolgeprodukt umstellen: Kompatibilität prüfen, Umstieg planen",IF(AC195=1,IF(AB195=1,"Abgekündigt ohne Nachfolger: sofort Endbevorratung (Last-Time-Buy) und Ersatzlösung planen","Abgekündigt ohne Nachfolger: Lagerteil sichern, Ersatzlösung (Retrofit) planen"),IF(Z195=1,"Nicht beschaffbar: Lagerteil schützen, Ersatzlösung mittelfristig planen",IF(AB195=1,IF(LEFT(S195,4)="nein","Bevorratung lohnt nicht – Lieferzeit und Reparaturweg absichern","Lagerbestand anlegen (mind. 1 Stk.)"),"Reparaturmöglichkeit klären"))))))))</f>
        <v/>
      </c>
      <c r="P195" s="31" t="n"/>
      <c r="Q195" s="27" t="n"/>
      <c r="R195" s="32">
        <f>IF(OR(AG195="",Y195="",AB195=0),"",AG195*INDEX(Krit_Kosten,MATCH(F195,Krit_Liste,0)))</f>
        <v/>
      </c>
      <c r="S195" s="33">
        <f>IF(N195="","",IF(N195="grün","–",IF(AB195=0,"am Lager / in stock",IF(N(P195)&lt;=0,"Stückpreis fehlt",IF(R195&gt;=Faktor_lohnt*P195,"ja – "&amp;FIXED(R195/P195,0)&amp;"-fach","nein – "&amp;FIXED(R195/P195,IF(R195/P195&lt;1,2,1))&amp;"-fach")))))</f>
        <v/>
      </c>
      <c r="T195" s="25" t="n"/>
      <c r="U195" s="34" t="n"/>
      <c r="V195" s="27" t="n"/>
      <c r="W195" s="25" t="n"/>
      <c r="X195" s="2" t="n"/>
      <c r="Y195" s="35">
        <f>IFERROR(INDEX(Krit_Faktor,MATCH(F195,Krit_Liste,0)),"")</f>
        <v/>
      </c>
      <c r="Z195" s="35">
        <f>IF(OR(I195="nein",I195="no"),1,0)</f>
        <v/>
      </c>
      <c r="AA195" s="35">
        <f>IF(OR(J195="nein",J195="no"),1,0)</f>
        <v/>
      </c>
      <c r="AB195" s="35">
        <f>IF(OR(K195="nein",K195="no"),1,0)</f>
        <v/>
      </c>
      <c r="AC195" s="35">
        <f>IF(OR(G195="ja",G195="yes"),1,0)</f>
        <v/>
      </c>
      <c r="AD195" s="35">
        <f>IF(AND(AC195=1,OR(H195="ja",H195="yes")),1,0)</f>
        <v/>
      </c>
      <c r="AE195" s="35">
        <f>IF(AC195=1,IF(AD195=1,Pkt_Abk_mit,Pkt_Abk_ohne),0)</f>
        <v/>
      </c>
      <c r="AF195" s="35">
        <f>(G195&lt;&gt;"")+(I195&lt;&gt;"")+(J195&lt;&gt;"")+(K195&lt;&gt;"")</f>
        <v/>
      </c>
      <c r="AG195" s="35">
        <f>IF(Q195&lt;&gt;"",Q195,IF(AF195&lt;4,"",IF(Z195=1,Tage_nicht_beschaffbar,Tage_beschaffbar)))</f>
        <v/>
      </c>
      <c r="AH195" s="35">
        <f>IF(M195="","",M195*1000+Y195*10+(1000-ROW())/100000)</f>
        <v/>
      </c>
    </row>
    <row r="196" ht="34" customHeight="1">
      <c r="A196" s="23">
        <f>IF(B196="","",COUNTA($B$9:B196))</f>
        <v/>
      </c>
      <c r="B196" s="24" t="n"/>
      <c r="C196" s="25" t="n"/>
      <c r="D196" s="25" t="n"/>
      <c r="E196" s="25" t="n"/>
      <c r="F196" s="26" t="n"/>
      <c r="G196" s="26" t="n"/>
      <c r="H196" s="27" t="n"/>
      <c r="I196" s="26" t="n"/>
      <c r="J196" s="26" t="n"/>
      <c r="K196" s="26" t="n"/>
      <c r="L196" s="23">
        <f>IF(AF196&lt;4,"",Z196+AA196+AB196+AE196)</f>
        <v/>
      </c>
      <c r="M196" s="28">
        <f>IF(OR(L196="",Y196=""),"",Y196*L196)</f>
        <v/>
      </c>
      <c r="N196" s="29">
        <f>IF(M196="","",IF(M196&lt;=Gruen_bis,"grün",IF(M196&lt;=Gelb_bis,"gelb","rot")))</f>
        <v/>
      </c>
      <c r="O196" s="30">
        <f>IF(N196="",IF(B196="","","Bewertung unvollständig – ★-Felder ausfüllen"),IF(N196="grün",IF(AC196=1,IF(AD196=1,"Abgekündigt, Nachfolger vorhanden: Umstieg bei nächster Gelegenheit planen","Abgekündigt: Endbevorratung (Last-Time-Buy) prüfen, Ersatzlösung planen"),"Keine aktive Maßnahme – jährlich prüfen"),IF(AND(Z196=1,AA196=1,AB196=1),"Sofort sichern: Restbestand / Gebrauchtteil kaufen und Ersatzlösung (Retrofit) planen",IF(AND(Z196=1,AB196=1),"Reparaturweg absichern (Dienstleister, Tauschteil), Gebrauchtteil prüfen",IF(AD196=1,"Auf Nachfolgeprodukt umstellen: Kompatibilität prüfen, Umstieg planen",IF(AC196=1,IF(AB196=1,"Abgekündigt ohne Nachfolger: sofort Endbevorratung (Last-Time-Buy) und Ersatzlösung planen","Abgekündigt ohne Nachfolger: Lagerteil sichern, Ersatzlösung (Retrofit) planen"),IF(Z196=1,"Nicht beschaffbar: Lagerteil schützen, Ersatzlösung mittelfristig planen",IF(AB196=1,IF(LEFT(S196,4)="nein","Bevorratung lohnt nicht – Lieferzeit und Reparaturweg absichern","Lagerbestand anlegen (mind. 1 Stk.)"),"Reparaturmöglichkeit klären"))))))))</f>
        <v/>
      </c>
      <c r="P196" s="31" t="n"/>
      <c r="Q196" s="27" t="n"/>
      <c r="R196" s="32">
        <f>IF(OR(AG196="",Y196="",AB196=0),"",AG196*INDEX(Krit_Kosten,MATCH(F196,Krit_Liste,0)))</f>
        <v/>
      </c>
      <c r="S196" s="33">
        <f>IF(N196="","",IF(N196="grün","–",IF(AB196=0,"am Lager / in stock",IF(N(P196)&lt;=0,"Stückpreis fehlt",IF(R196&gt;=Faktor_lohnt*P196,"ja – "&amp;FIXED(R196/P196,0)&amp;"-fach","nein – "&amp;FIXED(R196/P196,IF(R196/P196&lt;1,2,1))&amp;"-fach")))))</f>
        <v/>
      </c>
      <c r="T196" s="25" t="n"/>
      <c r="U196" s="34" t="n"/>
      <c r="V196" s="27" t="n"/>
      <c r="W196" s="25" t="n"/>
      <c r="X196" s="2" t="n"/>
      <c r="Y196" s="35">
        <f>IFERROR(INDEX(Krit_Faktor,MATCH(F196,Krit_Liste,0)),"")</f>
        <v/>
      </c>
      <c r="Z196" s="35">
        <f>IF(OR(I196="nein",I196="no"),1,0)</f>
        <v/>
      </c>
      <c r="AA196" s="35">
        <f>IF(OR(J196="nein",J196="no"),1,0)</f>
        <v/>
      </c>
      <c r="AB196" s="35">
        <f>IF(OR(K196="nein",K196="no"),1,0)</f>
        <v/>
      </c>
      <c r="AC196" s="35">
        <f>IF(OR(G196="ja",G196="yes"),1,0)</f>
        <v/>
      </c>
      <c r="AD196" s="35">
        <f>IF(AND(AC196=1,OR(H196="ja",H196="yes")),1,0)</f>
        <v/>
      </c>
      <c r="AE196" s="35">
        <f>IF(AC196=1,IF(AD196=1,Pkt_Abk_mit,Pkt_Abk_ohne),0)</f>
        <v/>
      </c>
      <c r="AF196" s="35">
        <f>(G196&lt;&gt;"")+(I196&lt;&gt;"")+(J196&lt;&gt;"")+(K196&lt;&gt;"")</f>
        <v/>
      </c>
      <c r="AG196" s="35">
        <f>IF(Q196&lt;&gt;"",Q196,IF(AF196&lt;4,"",IF(Z196=1,Tage_nicht_beschaffbar,Tage_beschaffbar)))</f>
        <v/>
      </c>
      <c r="AH196" s="35">
        <f>IF(M196="","",M196*1000+Y196*10+(1000-ROW())/100000)</f>
        <v/>
      </c>
    </row>
    <row r="197" ht="34" customHeight="1">
      <c r="A197" s="23">
        <f>IF(B197="","",COUNTA($B$9:B197))</f>
        <v/>
      </c>
      <c r="B197" s="24" t="n"/>
      <c r="C197" s="25" t="n"/>
      <c r="D197" s="25" t="n"/>
      <c r="E197" s="25" t="n"/>
      <c r="F197" s="26" t="n"/>
      <c r="G197" s="26" t="n"/>
      <c r="H197" s="27" t="n"/>
      <c r="I197" s="26" t="n"/>
      <c r="J197" s="26" t="n"/>
      <c r="K197" s="26" t="n"/>
      <c r="L197" s="23">
        <f>IF(AF197&lt;4,"",Z197+AA197+AB197+AE197)</f>
        <v/>
      </c>
      <c r="M197" s="28">
        <f>IF(OR(L197="",Y197=""),"",Y197*L197)</f>
        <v/>
      </c>
      <c r="N197" s="29">
        <f>IF(M197="","",IF(M197&lt;=Gruen_bis,"grün",IF(M197&lt;=Gelb_bis,"gelb","rot")))</f>
        <v/>
      </c>
      <c r="O197" s="30">
        <f>IF(N197="",IF(B197="","","Bewertung unvollständig – ★-Felder ausfüllen"),IF(N197="grün",IF(AC197=1,IF(AD197=1,"Abgekündigt, Nachfolger vorhanden: Umstieg bei nächster Gelegenheit planen","Abgekündigt: Endbevorratung (Last-Time-Buy) prüfen, Ersatzlösung planen"),"Keine aktive Maßnahme – jährlich prüfen"),IF(AND(Z197=1,AA197=1,AB197=1),"Sofort sichern: Restbestand / Gebrauchtteil kaufen und Ersatzlösung (Retrofit) planen",IF(AND(Z197=1,AB197=1),"Reparaturweg absichern (Dienstleister, Tauschteil), Gebrauchtteil prüfen",IF(AD197=1,"Auf Nachfolgeprodukt umstellen: Kompatibilität prüfen, Umstieg planen",IF(AC197=1,IF(AB197=1,"Abgekündigt ohne Nachfolger: sofort Endbevorratung (Last-Time-Buy) und Ersatzlösung planen","Abgekündigt ohne Nachfolger: Lagerteil sichern, Ersatzlösung (Retrofit) planen"),IF(Z197=1,"Nicht beschaffbar: Lagerteil schützen, Ersatzlösung mittelfristig planen",IF(AB197=1,IF(LEFT(S197,4)="nein","Bevorratung lohnt nicht – Lieferzeit und Reparaturweg absichern","Lagerbestand anlegen (mind. 1 Stk.)"),"Reparaturmöglichkeit klären"))))))))</f>
        <v/>
      </c>
      <c r="P197" s="31" t="n"/>
      <c r="Q197" s="27" t="n"/>
      <c r="R197" s="32">
        <f>IF(OR(AG197="",Y197="",AB197=0),"",AG197*INDEX(Krit_Kosten,MATCH(F197,Krit_Liste,0)))</f>
        <v/>
      </c>
      <c r="S197" s="33">
        <f>IF(N197="","",IF(N197="grün","–",IF(AB197=0,"am Lager / in stock",IF(N(P197)&lt;=0,"Stückpreis fehlt",IF(R197&gt;=Faktor_lohnt*P197,"ja – "&amp;FIXED(R197/P197,0)&amp;"-fach","nein – "&amp;FIXED(R197/P197,IF(R197/P197&lt;1,2,1))&amp;"-fach")))))</f>
        <v/>
      </c>
      <c r="T197" s="25" t="n"/>
      <c r="U197" s="34" t="n"/>
      <c r="V197" s="27" t="n"/>
      <c r="W197" s="25" t="n"/>
      <c r="X197" s="2" t="n"/>
      <c r="Y197" s="35">
        <f>IFERROR(INDEX(Krit_Faktor,MATCH(F197,Krit_Liste,0)),"")</f>
        <v/>
      </c>
      <c r="Z197" s="35">
        <f>IF(OR(I197="nein",I197="no"),1,0)</f>
        <v/>
      </c>
      <c r="AA197" s="35">
        <f>IF(OR(J197="nein",J197="no"),1,0)</f>
        <v/>
      </c>
      <c r="AB197" s="35">
        <f>IF(OR(K197="nein",K197="no"),1,0)</f>
        <v/>
      </c>
      <c r="AC197" s="35">
        <f>IF(OR(G197="ja",G197="yes"),1,0)</f>
        <v/>
      </c>
      <c r="AD197" s="35">
        <f>IF(AND(AC197=1,OR(H197="ja",H197="yes")),1,0)</f>
        <v/>
      </c>
      <c r="AE197" s="35">
        <f>IF(AC197=1,IF(AD197=1,Pkt_Abk_mit,Pkt_Abk_ohne),0)</f>
        <v/>
      </c>
      <c r="AF197" s="35">
        <f>(G197&lt;&gt;"")+(I197&lt;&gt;"")+(J197&lt;&gt;"")+(K197&lt;&gt;"")</f>
        <v/>
      </c>
      <c r="AG197" s="35">
        <f>IF(Q197&lt;&gt;"",Q197,IF(AF197&lt;4,"",IF(Z197=1,Tage_nicht_beschaffbar,Tage_beschaffbar)))</f>
        <v/>
      </c>
      <c r="AH197" s="35">
        <f>IF(M197="","",M197*1000+Y197*10+(1000-ROW())/100000)</f>
        <v/>
      </c>
    </row>
    <row r="198" ht="34" customHeight="1">
      <c r="A198" s="23">
        <f>IF(B198="","",COUNTA($B$9:B198))</f>
        <v/>
      </c>
      <c r="B198" s="24" t="n"/>
      <c r="C198" s="25" t="n"/>
      <c r="D198" s="25" t="n"/>
      <c r="E198" s="25" t="n"/>
      <c r="F198" s="26" t="n"/>
      <c r="G198" s="26" t="n"/>
      <c r="H198" s="27" t="n"/>
      <c r="I198" s="26" t="n"/>
      <c r="J198" s="26" t="n"/>
      <c r="K198" s="26" t="n"/>
      <c r="L198" s="23">
        <f>IF(AF198&lt;4,"",Z198+AA198+AB198+AE198)</f>
        <v/>
      </c>
      <c r="M198" s="28">
        <f>IF(OR(L198="",Y198=""),"",Y198*L198)</f>
        <v/>
      </c>
      <c r="N198" s="29">
        <f>IF(M198="","",IF(M198&lt;=Gruen_bis,"grün",IF(M198&lt;=Gelb_bis,"gelb","rot")))</f>
        <v/>
      </c>
      <c r="O198" s="30">
        <f>IF(N198="",IF(B198="","","Bewertung unvollständig – ★-Felder ausfüllen"),IF(N198="grün",IF(AC198=1,IF(AD198=1,"Abgekündigt, Nachfolger vorhanden: Umstieg bei nächster Gelegenheit planen","Abgekündigt: Endbevorratung (Last-Time-Buy) prüfen, Ersatzlösung planen"),"Keine aktive Maßnahme – jährlich prüfen"),IF(AND(Z198=1,AA198=1,AB198=1),"Sofort sichern: Restbestand / Gebrauchtteil kaufen und Ersatzlösung (Retrofit) planen",IF(AND(Z198=1,AB198=1),"Reparaturweg absichern (Dienstleister, Tauschteil), Gebrauchtteil prüfen",IF(AD198=1,"Auf Nachfolgeprodukt umstellen: Kompatibilität prüfen, Umstieg planen",IF(AC198=1,IF(AB198=1,"Abgekündigt ohne Nachfolger: sofort Endbevorratung (Last-Time-Buy) und Ersatzlösung planen","Abgekündigt ohne Nachfolger: Lagerteil sichern, Ersatzlösung (Retrofit) planen"),IF(Z198=1,"Nicht beschaffbar: Lagerteil schützen, Ersatzlösung mittelfristig planen",IF(AB198=1,IF(LEFT(S198,4)="nein","Bevorratung lohnt nicht – Lieferzeit und Reparaturweg absichern","Lagerbestand anlegen (mind. 1 Stk.)"),"Reparaturmöglichkeit klären"))))))))</f>
        <v/>
      </c>
      <c r="P198" s="31" t="n"/>
      <c r="Q198" s="27" t="n"/>
      <c r="R198" s="32">
        <f>IF(OR(AG198="",Y198="",AB198=0),"",AG198*INDEX(Krit_Kosten,MATCH(F198,Krit_Liste,0)))</f>
        <v/>
      </c>
      <c r="S198" s="33">
        <f>IF(N198="","",IF(N198="grün","–",IF(AB198=0,"am Lager / in stock",IF(N(P198)&lt;=0,"Stückpreis fehlt",IF(R198&gt;=Faktor_lohnt*P198,"ja – "&amp;FIXED(R198/P198,0)&amp;"-fach","nein – "&amp;FIXED(R198/P198,IF(R198/P198&lt;1,2,1))&amp;"-fach")))))</f>
        <v/>
      </c>
      <c r="T198" s="25" t="n"/>
      <c r="U198" s="34" t="n"/>
      <c r="V198" s="27" t="n"/>
      <c r="W198" s="25" t="n"/>
      <c r="X198" s="2" t="n"/>
      <c r="Y198" s="35">
        <f>IFERROR(INDEX(Krit_Faktor,MATCH(F198,Krit_Liste,0)),"")</f>
        <v/>
      </c>
      <c r="Z198" s="35">
        <f>IF(OR(I198="nein",I198="no"),1,0)</f>
        <v/>
      </c>
      <c r="AA198" s="35">
        <f>IF(OR(J198="nein",J198="no"),1,0)</f>
        <v/>
      </c>
      <c r="AB198" s="35">
        <f>IF(OR(K198="nein",K198="no"),1,0)</f>
        <v/>
      </c>
      <c r="AC198" s="35">
        <f>IF(OR(G198="ja",G198="yes"),1,0)</f>
        <v/>
      </c>
      <c r="AD198" s="35">
        <f>IF(AND(AC198=1,OR(H198="ja",H198="yes")),1,0)</f>
        <v/>
      </c>
      <c r="AE198" s="35">
        <f>IF(AC198=1,IF(AD198=1,Pkt_Abk_mit,Pkt_Abk_ohne),0)</f>
        <v/>
      </c>
      <c r="AF198" s="35">
        <f>(G198&lt;&gt;"")+(I198&lt;&gt;"")+(J198&lt;&gt;"")+(K198&lt;&gt;"")</f>
        <v/>
      </c>
      <c r="AG198" s="35">
        <f>IF(Q198&lt;&gt;"",Q198,IF(AF198&lt;4,"",IF(Z198=1,Tage_nicht_beschaffbar,Tage_beschaffbar)))</f>
        <v/>
      </c>
      <c r="AH198" s="35">
        <f>IF(M198="","",M198*1000+Y198*10+(1000-ROW())/100000)</f>
        <v/>
      </c>
    </row>
    <row r="199" ht="34" customHeight="1">
      <c r="A199" s="23">
        <f>IF(B199="","",COUNTA($B$9:B199))</f>
        <v/>
      </c>
      <c r="B199" s="24" t="n"/>
      <c r="C199" s="25" t="n"/>
      <c r="D199" s="25" t="n"/>
      <c r="E199" s="25" t="n"/>
      <c r="F199" s="26" t="n"/>
      <c r="G199" s="26" t="n"/>
      <c r="H199" s="27" t="n"/>
      <c r="I199" s="26" t="n"/>
      <c r="J199" s="26" t="n"/>
      <c r="K199" s="26" t="n"/>
      <c r="L199" s="23">
        <f>IF(AF199&lt;4,"",Z199+AA199+AB199+AE199)</f>
        <v/>
      </c>
      <c r="M199" s="28">
        <f>IF(OR(L199="",Y199=""),"",Y199*L199)</f>
        <v/>
      </c>
      <c r="N199" s="29">
        <f>IF(M199="","",IF(M199&lt;=Gruen_bis,"grün",IF(M199&lt;=Gelb_bis,"gelb","rot")))</f>
        <v/>
      </c>
      <c r="O199" s="30">
        <f>IF(N199="",IF(B199="","","Bewertung unvollständig – ★-Felder ausfüllen"),IF(N199="grün",IF(AC199=1,IF(AD199=1,"Abgekündigt, Nachfolger vorhanden: Umstieg bei nächster Gelegenheit planen","Abgekündigt: Endbevorratung (Last-Time-Buy) prüfen, Ersatzlösung planen"),"Keine aktive Maßnahme – jährlich prüfen"),IF(AND(Z199=1,AA199=1,AB199=1),"Sofort sichern: Restbestand / Gebrauchtteil kaufen und Ersatzlösung (Retrofit) planen",IF(AND(Z199=1,AB199=1),"Reparaturweg absichern (Dienstleister, Tauschteil), Gebrauchtteil prüfen",IF(AD199=1,"Auf Nachfolgeprodukt umstellen: Kompatibilität prüfen, Umstieg planen",IF(AC199=1,IF(AB199=1,"Abgekündigt ohne Nachfolger: sofort Endbevorratung (Last-Time-Buy) und Ersatzlösung planen","Abgekündigt ohne Nachfolger: Lagerteil sichern, Ersatzlösung (Retrofit) planen"),IF(Z199=1,"Nicht beschaffbar: Lagerteil schützen, Ersatzlösung mittelfristig planen",IF(AB199=1,IF(LEFT(S199,4)="nein","Bevorratung lohnt nicht – Lieferzeit und Reparaturweg absichern","Lagerbestand anlegen (mind. 1 Stk.)"),"Reparaturmöglichkeit klären"))))))))</f>
        <v/>
      </c>
      <c r="P199" s="31" t="n"/>
      <c r="Q199" s="27" t="n"/>
      <c r="R199" s="32">
        <f>IF(OR(AG199="",Y199="",AB199=0),"",AG199*INDEX(Krit_Kosten,MATCH(F199,Krit_Liste,0)))</f>
        <v/>
      </c>
      <c r="S199" s="33">
        <f>IF(N199="","",IF(N199="grün","–",IF(AB199=0,"am Lager / in stock",IF(N(P199)&lt;=0,"Stückpreis fehlt",IF(R199&gt;=Faktor_lohnt*P199,"ja – "&amp;FIXED(R199/P199,0)&amp;"-fach","nein – "&amp;FIXED(R199/P199,IF(R199/P199&lt;1,2,1))&amp;"-fach")))))</f>
        <v/>
      </c>
      <c r="T199" s="25" t="n"/>
      <c r="U199" s="34" t="n"/>
      <c r="V199" s="27" t="n"/>
      <c r="W199" s="25" t="n"/>
      <c r="X199" s="2" t="n"/>
      <c r="Y199" s="35">
        <f>IFERROR(INDEX(Krit_Faktor,MATCH(F199,Krit_Liste,0)),"")</f>
        <v/>
      </c>
      <c r="Z199" s="35">
        <f>IF(OR(I199="nein",I199="no"),1,0)</f>
        <v/>
      </c>
      <c r="AA199" s="35">
        <f>IF(OR(J199="nein",J199="no"),1,0)</f>
        <v/>
      </c>
      <c r="AB199" s="35">
        <f>IF(OR(K199="nein",K199="no"),1,0)</f>
        <v/>
      </c>
      <c r="AC199" s="35">
        <f>IF(OR(G199="ja",G199="yes"),1,0)</f>
        <v/>
      </c>
      <c r="AD199" s="35">
        <f>IF(AND(AC199=1,OR(H199="ja",H199="yes")),1,0)</f>
        <v/>
      </c>
      <c r="AE199" s="35">
        <f>IF(AC199=1,IF(AD199=1,Pkt_Abk_mit,Pkt_Abk_ohne),0)</f>
        <v/>
      </c>
      <c r="AF199" s="35">
        <f>(G199&lt;&gt;"")+(I199&lt;&gt;"")+(J199&lt;&gt;"")+(K199&lt;&gt;"")</f>
        <v/>
      </c>
      <c r="AG199" s="35">
        <f>IF(Q199&lt;&gt;"",Q199,IF(AF199&lt;4,"",IF(Z199=1,Tage_nicht_beschaffbar,Tage_beschaffbar)))</f>
        <v/>
      </c>
      <c r="AH199" s="35">
        <f>IF(M199="","",M199*1000+Y199*10+(1000-ROW())/100000)</f>
        <v/>
      </c>
    </row>
    <row r="200" ht="34" customHeight="1">
      <c r="A200" s="23">
        <f>IF(B200="","",COUNTA($B$9:B200))</f>
        <v/>
      </c>
      <c r="B200" s="24" t="n"/>
      <c r="C200" s="25" t="n"/>
      <c r="D200" s="25" t="n"/>
      <c r="E200" s="25" t="n"/>
      <c r="F200" s="26" t="n"/>
      <c r="G200" s="26" t="n"/>
      <c r="H200" s="27" t="n"/>
      <c r="I200" s="26" t="n"/>
      <c r="J200" s="26" t="n"/>
      <c r="K200" s="26" t="n"/>
      <c r="L200" s="23">
        <f>IF(AF200&lt;4,"",Z200+AA200+AB200+AE200)</f>
        <v/>
      </c>
      <c r="M200" s="28">
        <f>IF(OR(L200="",Y200=""),"",Y200*L200)</f>
        <v/>
      </c>
      <c r="N200" s="29">
        <f>IF(M200="","",IF(M200&lt;=Gruen_bis,"grün",IF(M200&lt;=Gelb_bis,"gelb","rot")))</f>
        <v/>
      </c>
      <c r="O200" s="30">
        <f>IF(N200="",IF(B200="","","Bewertung unvollständig – ★-Felder ausfüllen"),IF(N200="grün",IF(AC200=1,IF(AD200=1,"Abgekündigt, Nachfolger vorhanden: Umstieg bei nächster Gelegenheit planen","Abgekündigt: Endbevorratung (Last-Time-Buy) prüfen, Ersatzlösung planen"),"Keine aktive Maßnahme – jährlich prüfen"),IF(AND(Z200=1,AA200=1,AB200=1),"Sofort sichern: Restbestand / Gebrauchtteil kaufen und Ersatzlösung (Retrofit) planen",IF(AND(Z200=1,AB200=1),"Reparaturweg absichern (Dienstleister, Tauschteil), Gebrauchtteil prüfen",IF(AD200=1,"Auf Nachfolgeprodukt umstellen: Kompatibilität prüfen, Umstieg planen",IF(AC200=1,IF(AB200=1,"Abgekündigt ohne Nachfolger: sofort Endbevorratung (Last-Time-Buy) und Ersatzlösung planen","Abgekündigt ohne Nachfolger: Lagerteil sichern, Ersatzlösung (Retrofit) planen"),IF(Z200=1,"Nicht beschaffbar: Lagerteil schützen, Ersatzlösung mittelfristig planen",IF(AB200=1,IF(LEFT(S200,4)="nein","Bevorratung lohnt nicht – Lieferzeit und Reparaturweg absichern","Lagerbestand anlegen (mind. 1 Stk.)"),"Reparaturmöglichkeit klären"))))))))</f>
        <v/>
      </c>
      <c r="P200" s="31" t="n"/>
      <c r="Q200" s="27" t="n"/>
      <c r="R200" s="32">
        <f>IF(OR(AG200="",Y200="",AB200=0),"",AG200*INDEX(Krit_Kosten,MATCH(F200,Krit_Liste,0)))</f>
        <v/>
      </c>
      <c r="S200" s="33">
        <f>IF(N200="","",IF(N200="grün","–",IF(AB200=0,"am Lager / in stock",IF(N(P200)&lt;=0,"Stückpreis fehlt",IF(R200&gt;=Faktor_lohnt*P200,"ja – "&amp;FIXED(R200/P200,0)&amp;"-fach","nein – "&amp;FIXED(R200/P200,IF(R200/P200&lt;1,2,1))&amp;"-fach")))))</f>
        <v/>
      </c>
      <c r="T200" s="25" t="n"/>
      <c r="U200" s="34" t="n"/>
      <c r="V200" s="27" t="n"/>
      <c r="W200" s="25" t="n"/>
      <c r="X200" s="2" t="n"/>
      <c r="Y200" s="35">
        <f>IFERROR(INDEX(Krit_Faktor,MATCH(F200,Krit_Liste,0)),"")</f>
        <v/>
      </c>
      <c r="Z200" s="35">
        <f>IF(OR(I200="nein",I200="no"),1,0)</f>
        <v/>
      </c>
      <c r="AA200" s="35">
        <f>IF(OR(J200="nein",J200="no"),1,0)</f>
        <v/>
      </c>
      <c r="AB200" s="35">
        <f>IF(OR(K200="nein",K200="no"),1,0)</f>
        <v/>
      </c>
      <c r="AC200" s="35">
        <f>IF(OR(G200="ja",G200="yes"),1,0)</f>
        <v/>
      </c>
      <c r="AD200" s="35">
        <f>IF(AND(AC200=1,OR(H200="ja",H200="yes")),1,0)</f>
        <v/>
      </c>
      <c r="AE200" s="35">
        <f>IF(AC200=1,IF(AD200=1,Pkt_Abk_mit,Pkt_Abk_ohne),0)</f>
        <v/>
      </c>
      <c r="AF200" s="35">
        <f>(G200&lt;&gt;"")+(I200&lt;&gt;"")+(J200&lt;&gt;"")+(K200&lt;&gt;"")</f>
        <v/>
      </c>
      <c r="AG200" s="35">
        <f>IF(Q200&lt;&gt;"",Q200,IF(AF200&lt;4,"",IF(Z200=1,Tage_nicht_beschaffbar,Tage_beschaffbar)))</f>
        <v/>
      </c>
      <c r="AH200" s="35">
        <f>IF(M200="","",M200*1000+Y200*10+(1000-ROW())/100000)</f>
        <v/>
      </c>
    </row>
    <row r="201" ht="34" customHeight="1">
      <c r="A201" s="23">
        <f>IF(B201="","",COUNTA($B$9:B201))</f>
        <v/>
      </c>
      <c r="B201" s="24" t="n"/>
      <c r="C201" s="25" t="n"/>
      <c r="D201" s="25" t="n"/>
      <c r="E201" s="25" t="n"/>
      <c r="F201" s="26" t="n"/>
      <c r="G201" s="26" t="n"/>
      <c r="H201" s="27" t="n"/>
      <c r="I201" s="26" t="n"/>
      <c r="J201" s="26" t="n"/>
      <c r="K201" s="26" t="n"/>
      <c r="L201" s="23">
        <f>IF(AF201&lt;4,"",Z201+AA201+AB201+AE201)</f>
        <v/>
      </c>
      <c r="M201" s="28">
        <f>IF(OR(L201="",Y201=""),"",Y201*L201)</f>
        <v/>
      </c>
      <c r="N201" s="29">
        <f>IF(M201="","",IF(M201&lt;=Gruen_bis,"grün",IF(M201&lt;=Gelb_bis,"gelb","rot")))</f>
        <v/>
      </c>
      <c r="O201" s="30">
        <f>IF(N201="",IF(B201="","","Bewertung unvollständig – ★-Felder ausfüllen"),IF(N201="grün",IF(AC201=1,IF(AD201=1,"Abgekündigt, Nachfolger vorhanden: Umstieg bei nächster Gelegenheit planen","Abgekündigt: Endbevorratung (Last-Time-Buy) prüfen, Ersatzlösung planen"),"Keine aktive Maßnahme – jährlich prüfen"),IF(AND(Z201=1,AA201=1,AB201=1),"Sofort sichern: Restbestand / Gebrauchtteil kaufen und Ersatzlösung (Retrofit) planen",IF(AND(Z201=1,AB201=1),"Reparaturweg absichern (Dienstleister, Tauschteil), Gebrauchtteil prüfen",IF(AD201=1,"Auf Nachfolgeprodukt umstellen: Kompatibilität prüfen, Umstieg planen",IF(AC201=1,IF(AB201=1,"Abgekündigt ohne Nachfolger: sofort Endbevorratung (Last-Time-Buy) und Ersatzlösung planen","Abgekündigt ohne Nachfolger: Lagerteil sichern, Ersatzlösung (Retrofit) planen"),IF(Z201=1,"Nicht beschaffbar: Lagerteil schützen, Ersatzlösung mittelfristig planen",IF(AB201=1,IF(LEFT(S201,4)="nein","Bevorratung lohnt nicht – Lieferzeit und Reparaturweg absichern","Lagerbestand anlegen (mind. 1 Stk.)"),"Reparaturmöglichkeit klären"))))))))</f>
        <v/>
      </c>
      <c r="P201" s="31" t="n"/>
      <c r="Q201" s="27" t="n"/>
      <c r="R201" s="32">
        <f>IF(OR(AG201="",Y201="",AB201=0),"",AG201*INDEX(Krit_Kosten,MATCH(F201,Krit_Liste,0)))</f>
        <v/>
      </c>
      <c r="S201" s="33">
        <f>IF(N201="","",IF(N201="grün","–",IF(AB201=0,"am Lager / in stock",IF(N(P201)&lt;=0,"Stückpreis fehlt",IF(R201&gt;=Faktor_lohnt*P201,"ja – "&amp;FIXED(R201/P201,0)&amp;"-fach","nein – "&amp;FIXED(R201/P201,IF(R201/P201&lt;1,2,1))&amp;"-fach")))))</f>
        <v/>
      </c>
      <c r="T201" s="25" t="n"/>
      <c r="U201" s="34" t="n"/>
      <c r="V201" s="27" t="n"/>
      <c r="W201" s="25" t="n"/>
      <c r="X201" s="2" t="n"/>
      <c r="Y201" s="35">
        <f>IFERROR(INDEX(Krit_Faktor,MATCH(F201,Krit_Liste,0)),"")</f>
        <v/>
      </c>
      <c r="Z201" s="35">
        <f>IF(OR(I201="nein",I201="no"),1,0)</f>
        <v/>
      </c>
      <c r="AA201" s="35">
        <f>IF(OR(J201="nein",J201="no"),1,0)</f>
        <v/>
      </c>
      <c r="AB201" s="35">
        <f>IF(OR(K201="nein",K201="no"),1,0)</f>
        <v/>
      </c>
      <c r="AC201" s="35">
        <f>IF(OR(G201="ja",G201="yes"),1,0)</f>
        <v/>
      </c>
      <c r="AD201" s="35">
        <f>IF(AND(AC201=1,OR(H201="ja",H201="yes")),1,0)</f>
        <v/>
      </c>
      <c r="AE201" s="35">
        <f>IF(AC201=1,IF(AD201=1,Pkt_Abk_mit,Pkt_Abk_ohne),0)</f>
        <v/>
      </c>
      <c r="AF201" s="35">
        <f>(G201&lt;&gt;"")+(I201&lt;&gt;"")+(J201&lt;&gt;"")+(K201&lt;&gt;"")</f>
        <v/>
      </c>
      <c r="AG201" s="35">
        <f>IF(Q201&lt;&gt;"",Q201,IF(AF201&lt;4,"",IF(Z201=1,Tage_nicht_beschaffbar,Tage_beschaffbar)))</f>
        <v/>
      </c>
      <c r="AH201" s="35">
        <f>IF(M201="","",M201*1000+Y201*10+(1000-ROW())/100000)</f>
        <v/>
      </c>
    </row>
    <row r="202" ht="34" customHeight="1">
      <c r="A202" s="23">
        <f>IF(B202="","",COUNTA($B$9:B202))</f>
        <v/>
      </c>
      <c r="B202" s="24" t="n"/>
      <c r="C202" s="25" t="n"/>
      <c r="D202" s="25" t="n"/>
      <c r="E202" s="25" t="n"/>
      <c r="F202" s="26" t="n"/>
      <c r="G202" s="26" t="n"/>
      <c r="H202" s="27" t="n"/>
      <c r="I202" s="26" t="n"/>
      <c r="J202" s="26" t="n"/>
      <c r="K202" s="26" t="n"/>
      <c r="L202" s="23">
        <f>IF(AF202&lt;4,"",Z202+AA202+AB202+AE202)</f>
        <v/>
      </c>
      <c r="M202" s="28">
        <f>IF(OR(L202="",Y202=""),"",Y202*L202)</f>
        <v/>
      </c>
      <c r="N202" s="29">
        <f>IF(M202="","",IF(M202&lt;=Gruen_bis,"grün",IF(M202&lt;=Gelb_bis,"gelb","rot")))</f>
        <v/>
      </c>
      <c r="O202" s="30">
        <f>IF(N202="",IF(B202="","","Bewertung unvollständig – ★-Felder ausfüllen"),IF(N202="grün",IF(AC202=1,IF(AD202=1,"Abgekündigt, Nachfolger vorhanden: Umstieg bei nächster Gelegenheit planen","Abgekündigt: Endbevorratung (Last-Time-Buy) prüfen, Ersatzlösung planen"),"Keine aktive Maßnahme – jährlich prüfen"),IF(AND(Z202=1,AA202=1,AB202=1),"Sofort sichern: Restbestand / Gebrauchtteil kaufen und Ersatzlösung (Retrofit) planen",IF(AND(Z202=1,AB202=1),"Reparaturweg absichern (Dienstleister, Tauschteil), Gebrauchtteil prüfen",IF(AD202=1,"Auf Nachfolgeprodukt umstellen: Kompatibilität prüfen, Umstieg planen",IF(AC202=1,IF(AB202=1,"Abgekündigt ohne Nachfolger: sofort Endbevorratung (Last-Time-Buy) und Ersatzlösung planen","Abgekündigt ohne Nachfolger: Lagerteil sichern, Ersatzlösung (Retrofit) planen"),IF(Z202=1,"Nicht beschaffbar: Lagerteil schützen, Ersatzlösung mittelfristig planen",IF(AB202=1,IF(LEFT(S202,4)="nein","Bevorratung lohnt nicht – Lieferzeit und Reparaturweg absichern","Lagerbestand anlegen (mind. 1 Stk.)"),"Reparaturmöglichkeit klären"))))))))</f>
        <v/>
      </c>
      <c r="P202" s="31" t="n"/>
      <c r="Q202" s="27" t="n"/>
      <c r="R202" s="32">
        <f>IF(OR(AG202="",Y202="",AB202=0),"",AG202*INDEX(Krit_Kosten,MATCH(F202,Krit_Liste,0)))</f>
        <v/>
      </c>
      <c r="S202" s="33">
        <f>IF(N202="","",IF(N202="grün","–",IF(AB202=0,"am Lager / in stock",IF(N(P202)&lt;=0,"Stückpreis fehlt",IF(R202&gt;=Faktor_lohnt*P202,"ja – "&amp;FIXED(R202/P202,0)&amp;"-fach","nein – "&amp;FIXED(R202/P202,IF(R202/P202&lt;1,2,1))&amp;"-fach")))))</f>
        <v/>
      </c>
      <c r="T202" s="25" t="n"/>
      <c r="U202" s="34" t="n"/>
      <c r="V202" s="27" t="n"/>
      <c r="W202" s="25" t="n"/>
      <c r="X202" s="2" t="n"/>
      <c r="Y202" s="35">
        <f>IFERROR(INDEX(Krit_Faktor,MATCH(F202,Krit_Liste,0)),"")</f>
        <v/>
      </c>
      <c r="Z202" s="35">
        <f>IF(OR(I202="nein",I202="no"),1,0)</f>
        <v/>
      </c>
      <c r="AA202" s="35">
        <f>IF(OR(J202="nein",J202="no"),1,0)</f>
        <v/>
      </c>
      <c r="AB202" s="35">
        <f>IF(OR(K202="nein",K202="no"),1,0)</f>
        <v/>
      </c>
      <c r="AC202" s="35">
        <f>IF(OR(G202="ja",G202="yes"),1,0)</f>
        <v/>
      </c>
      <c r="AD202" s="35">
        <f>IF(AND(AC202=1,OR(H202="ja",H202="yes")),1,0)</f>
        <v/>
      </c>
      <c r="AE202" s="35">
        <f>IF(AC202=1,IF(AD202=1,Pkt_Abk_mit,Pkt_Abk_ohne),0)</f>
        <v/>
      </c>
      <c r="AF202" s="35">
        <f>(G202&lt;&gt;"")+(I202&lt;&gt;"")+(J202&lt;&gt;"")+(K202&lt;&gt;"")</f>
        <v/>
      </c>
      <c r="AG202" s="35">
        <f>IF(Q202&lt;&gt;"",Q202,IF(AF202&lt;4,"",IF(Z202=1,Tage_nicht_beschaffbar,Tage_beschaffbar)))</f>
        <v/>
      </c>
      <c r="AH202" s="35">
        <f>IF(M202="","",M202*1000+Y202*10+(1000-ROW())/100000)</f>
        <v/>
      </c>
    </row>
    <row r="203" ht="34" customHeight="1">
      <c r="A203" s="23">
        <f>IF(B203="","",COUNTA($B$9:B203))</f>
        <v/>
      </c>
      <c r="B203" s="24" t="n"/>
      <c r="C203" s="25" t="n"/>
      <c r="D203" s="25" t="n"/>
      <c r="E203" s="25" t="n"/>
      <c r="F203" s="26" t="n"/>
      <c r="G203" s="26" t="n"/>
      <c r="H203" s="27" t="n"/>
      <c r="I203" s="26" t="n"/>
      <c r="J203" s="26" t="n"/>
      <c r="K203" s="26" t="n"/>
      <c r="L203" s="23">
        <f>IF(AF203&lt;4,"",Z203+AA203+AB203+AE203)</f>
        <v/>
      </c>
      <c r="M203" s="28">
        <f>IF(OR(L203="",Y203=""),"",Y203*L203)</f>
        <v/>
      </c>
      <c r="N203" s="29">
        <f>IF(M203="","",IF(M203&lt;=Gruen_bis,"grün",IF(M203&lt;=Gelb_bis,"gelb","rot")))</f>
        <v/>
      </c>
      <c r="O203" s="30">
        <f>IF(N203="",IF(B203="","","Bewertung unvollständig – ★-Felder ausfüllen"),IF(N203="grün",IF(AC203=1,IF(AD203=1,"Abgekündigt, Nachfolger vorhanden: Umstieg bei nächster Gelegenheit planen","Abgekündigt: Endbevorratung (Last-Time-Buy) prüfen, Ersatzlösung planen"),"Keine aktive Maßnahme – jährlich prüfen"),IF(AND(Z203=1,AA203=1,AB203=1),"Sofort sichern: Restbestand / Gebrauchtteil kaufen und Ersatzlösung (Retrofit) planen",IF(AND(Z203=1,AB203=1),"Reparaturweg absichern (Dienstleister, Tauschteil), Gebrauchtteil prüfen",IF(AD203=1,"Auf Nachfolgeprodukt umstellen: Kompatibilität prüfen, Umstieg planen",IF(AC203=1,IF(AB203=1,"Abgekündigt ohne Nachfolger: sofort Endbevorratung (Last-Time-Buy) und Ersatzlösung planen","Abgekündigt ohne Nachfolger: Lagerteil sichern, Ersatzlösung (Retrofit) planen"),IF(Z203=1,"Nicht beschaffbar: Lagerteil schützen, Ersatzlösung mittelfristig planen",IF(AB203=1,IF(LEFT(S203,4)="nein","Bevorratung lohnt nicht – Lieferzeit und Reparaturweg absichern","Lagerbestand anlegen (mind. 1 Stk.)"),"Reparaturmöglichkeit klären"))))))))</f>
        <v/>
      </c>
      <c r="P203" s="31" t="n"/>
      <c r="Q203" s="27" t="n"/>
      <c r="R203" s="32">
        <f>IF(OR(AG203="",Y203="",AB203=0),"",AG203*INDEX(Krit_Kosten,MATCH(F203,Krit_Liste,0)))</f>
        <v/>
      </c>
      <c r="S203" s="33">
        <f>IF(N203="","",IF(N203="grün","–",IF(AB203=0,"am Lager / in stock",IF(N(P203)&lt;=0,"Stückpreis fehlt",IF(R203&gt;=Faktor_lohnt*P203,"ja – "&amp;FIXED(R203/P203,0)&amp;"-fach","nein – "&amp;FIXED(R203/P203,IF(R203/P203&lt;1,2,1))&amp;"-fach")))))</f>
        <v/>
      </c>
      <c r="T203" s="25" t="n"/>
      <c r="U203" s="34" t="n"/>
      <c r="V203" s="27" t="n"/>
      <c r="W203" s="25" t="n"/>
      <c r="X203" s="2" t="n"/>
      <c r="Y203" s="35">
        <f>IFERROR(INDEX(Krit_Faktor,MATCH(F203,Krit_Liste,0)),"")</f>
        <v/>
      </c>
      <c r="Z203" s="35">
        <f>IF(OR(I203="nein",I203="no"),1,0)</f>
        <v/>
      </c>
      <c r="AA203" s="35">
        <f>IF(OR(J203="nein",J203="no"),1,0)</f>
        <v/>
      </c>
      <c r="AB203" s="35">
        <f>IF(OR(K203="nein",K203="no"),1,0)</f>
        <v/>
      </c>
      <c r="AC203" s="35">
        <f>IF(OR(G203="ja",G203="yes"),1,0)</f>
        <v/>
      </c>
      <c r="AD203" s="35">
        <f>IF(AND(AC203=1,OR(H203="ja",H203="yes")),1,0)</f>
        <v/>
      </c>
      <c r="AE203" s="35">
        <f>IF(AC203=1,IF(AD203=1,Pkt_Abk_mit,Pkt_Abk_ohne),0)</f>
        <v/>
      </c>
      <c r="AF203" s="35">
        <f>(G203&lt;&gt;"")+(I203&lt;&gt;"")+(J203&lt;&gt;"")+(K203&lt;&gt;"")</f>
        <v/>
      </c>
      <c r="AG203" s="35">
        <f>IF(Q203&lt;&gt;"",Q203,IF(AF203&lt;4,"",IF(Z203=1,Tage_nicht_beschaffbar,Tage_beschaffbar)))</f>
        <v/>
      </c>
      <c r="AH203" s="35">
        <f>IF(M203="","",M203*1000+Y203*10+(1000-ROW())/100000)</f>
        <v/>
      </c>
    </row>
    <row r="204" ht="34" customHeight="1">
      <c r="A204" s="23">
        <f>IF(B204="","",COUNTA($B$9:B204))</f>
        <v/>
      </c>
      <c r="B204" s="24" t="n"/>
      <c r="C204" s="25" t="n"/>
      <c r="D204" s="25" t="n"/>
      <c r="E204" s="25" t="n"/>
      <c r="F204" s="26" t="n"/>
      <c r="G204" s="26" t="n"/>
      <c r="H204" s="27" t="n"/>
      <c r="I204" s="26" t="n"/>
      <c r="J204" s="26" t="n"/>
      <c r="K204" s="26" t="n"/>
      <c r="L204" s="23">
        <f>IF(AF204&lt;4,"",Z204+AA204+AB204+AE204)</f>
        <v/>
      </c>
      <c r="M204" s="28">
        <f>IF(OR(L204="",Y204=""),"",Y204*L204)</f>
        <v/>
      </c>
      <c r="N204" s="29">
        <f>IF(M204="","",IF(M204&lt;=Gruen_bis,"grün",IF(M204&lt;=Gelb_bis,"gelb","rot")))</f>
        <v/>
      </c>
      <c r="O204" s="30">
        <f>IF(N204="",IF(B204="","","Bewertung unvollständig – ★-Felder ausfüllen"),IF(N204="grün",IF(AC204=1,IF(AD204=1,"Abgekündigt, Nachfolger vorhanden: Umstieg bei nächster Gelegenheit planen","Abgekündigt: Endbevorratung (Last-Time-Buy) prüfen, Ersatzlösung planen"),"Keine aktive Maßnahme – jährlich prüfen"),IF(AND(Z204=1,AA204=1,AB204=1),"Sofort sichern: Restbestand / Gebrauchtteil kaufen und Ersatzlösung (Retrofit) planen",IF(AND(Z204=1,AB204=1),"Reparaturweg absichern (Dienstleister, Tauschteil), Gebrauchtteil prüfen",IF(AD204=1,"Auf Nachfolgeprodukt umstellen: Kompatibilität prüfen, Umstieg planen",IF(AC204=1,IF(AB204=1,"Abgekündigt ohne Nachfolger: sofort Endbevorratung (Last-Time-Buy) und Ersatzlösung planen","Abgekündigt ohne Nachfolger: Lagerteil sichern, Ersatzlösung (Retrofit) planen"),IF(Z204=1,"Nicht beschaffbar: Lagerteil schützen, Ersatzlösung mittelfristig planen",IF(AB204=1,IF(LEFT(S204,4)="nein","Bevorratung lohnt nicht – Lieferzeit und Reparaturweg absichern","Lagerbestand anlegen (mind. 1 Stk.)"),"Reparaturmöglichkeit klären"))))))))</f>
        <v/>
      </c>
      <c r="P204" s="31" t="n"/>
      <c r="Q204" s="27" t="n"/>
      <c r="R204" s="32">
        <f>IF(OR(AG204="",Y204="",AB204=0),"",AG204*INDEX(Krit_Kosten,MATCH(F204,Krit_Liste,0)))</f>
        <v/>
      </c>
      <c r="S204" s="33">
        <f>IF(N204="","",IF(N204="grün","–",IF(AB204=0,"am Lager / in stock",IF(N(P204)&lt;=0,"Stückpreis fehlt",IF(R204&gt;=Faktor_lohnt*P204,"ja – "&amp;FIXED(R204/P204,0)&amp;"-fach","nein – "&amp;FIXED(R204/P204,IF(R204/P204&lt;1,2,1))&amp;"-fach")))))</f>
        <v/>
      </c>
      <c r="T204" s="25" t="n"/>
      <c r="U204" s="34" t="n"/>
      <c r="V204" s="27" t="n"/>
      <c r="W204" s="25" t="n"/>
      <c r="X204" s="2" t="n"/>
      <c r="Y204" s="35">
        <f>IFERROR(INDEX(Krit_Faktor,MATCH(F204,Krit_Liste,0)),"")</f>
        <v/>
      </c>
      <c r="Z204" s="35">
        <f>IF(OR(I204="nein",I204="no"),1,0)</f>
        <v/>
      </c>
      <c r="AA204" s="35">
        <f>IF(OR(J204="nein",J204="no"),1,0)</f>
        <v/>
      </c>
      <c r="AB204" s="35">
        <f>IF(OR(K204="nein",K204="no"),1,0)</f>
        <v/>
      </c>
      <c r="AC204" s="35">
        <f>IF(OR(G204="ja",G204="yes"),1,0)</f>
        <v/>
      </c>
      <c r="AD204" s="35">
        <f>IF(AND(AC204=1,OR(H204="ja",H204="yes")),1,0)</f>
        <v/>
      </c>
      <c r="AE204" s="35">
        <f>IF(AC204=1,IF(AD204=1,Pkt_Abk_mit,Pkt_Abk_ohne),0)</f>
        <v/>
      </c>
      <c r="AF204" s="35">
        <f>(G204&lt;&gt;"")+(I204&lt;&gt;"")+(J204&lt;&gt;"")+(K204&lt;&gt;"")</f>
        <v/>
      </c>
      <c r="AG204" s="35">
        <f>IF(Q204&lt;&gt;"",Q204,IF(AF204&lt;4,"",IF(Z204=1,Tage_nicht_beschaffbar,Tage_beschaffbar)))</f>
        <v/>
      </c>
      <c r="AH204" s="35">
        <f>IF(M204="","",M204*1000+Y204*10+(1000-ROW())/100000)</f>
        <v/>
      </c>
    </row>
    <row r="205" ht="34" customHeight="1">
      <c r="A205" s="23">
        <f>IF(B205="","",COUNTA($B$9:B205))</f>
        <v/>
      </c>
      <c r="B205" s="24" t="n"/>
      <c r="C205" s="25" t="n"/>
      <c r="D205" s="25" t="n"/>
      <c r="E205" s="25" t="n"/>
      <c r="F205" s="26" t="n"/>
      <c r="G205" s="26" t="n"/>
      <c r="H205" s="27" t="n"/>
      <c r="I205" s="26" t="n"/>
      <c r="J205" s="26" t="n"/>
      <c r="K205" s="26" t="n"/>
      <c r="L205" s="23">
        <f>IF(AF205&lt;4,"",Z205+AA205+AB205+AE205)</f>
        <v/>
      </c>
      <c r="M205" s="28">
        <f>IF(OR(L205="",Y205=""),"",Y205*L205)</f>
        <v/>
      </c>
      <c r="N205" s="29">
        <f>IF(M205="","",IF(M205&lt;=Gruen_bis,"grün",IF(M205&lt;=Gelb_bis,"gelb","rot")))</f>
        <v/>
      </c>
      <c r="O205" s="30">
        <f>IF(N205="",IF(B205="","","Bewertung unvollständig – ★-Felder ausfüllen"),IF(N205="grün",IF(AC205=1,IF(AD205=1,"Abgekündigt, Nachfolger vorhanden: Umstieg bei nächster Gelegenheit planen","Abgekündigt: Endbevorratung (Last-Time-Buy) prüfen, Ersatzlösung planen"),"Keine aktive Maßnahme – jährlich prüfen"),IF(AND(Z205=1,AA205=1,AB205=1),"Sofort sichern: Restbestand / Gebrauchtteil kaufen und Ersatzlösung (Retrofit) planen",IF(AND(Z205=1,AB205=1),"Reparaturweg absichern (Dienstleister, Tauschteil), Gebrauchtteil prüfen",IF(AD205=1,"Auf Nachfolgeprodukt umstellen: Kompatibilität prüfen, Umstieg planen",IF(AC205=1,IF(AB205=1,"Abgekündigt ohne Nachfolger: sofort Endbevorratung (Last-Time-Buy) und Ersatzlösung planen","Abgekündigt ohne Nachfolger: Lagerteil sichern, Ersatzlösung (Retrofit) planen"),IF(Z205=1,"Nicht beschaffbar: Lagerteil schützen, Ersatzlösung mittelfristig planen",IF(AB205=1,IF(LEFT(S205,4)="nein","Bevorratung lohnt nicht – Lieferzeit und Reparaturweg absichern","Lagerbestand anlegen (mind. 1 Stk.)"),"Reparaturmöglichkeit klären"))))))))</f>
        <v/>
      </c>
      <c r="P205" s="31" t="n"/>
      <c r="Q205" s="27" t="n"/>
      <c r="R205" s="32">
        <f>IF(OR(AG205="",Y205="",AB205=0),"",AG205*INDEX(Krit_Kosten,MATCH(F205,Krit_Liste,0)))</f>
        <v/>
      </c>
      <c r="S205" s="33">
        <f>IF(N205="","",IF(N205="grün","–",IF(AB205=0,"am Lager / in stock",IF(N(P205)&lt;=0,"Stückpreis fehlt",IF(R205&gt;=Faktor_lohnt*P205,"ja – "&amp;FIXED(R205/P205,0)&amp;"-fach","nein – "&amp;FIXED(R205/P205,IF(R205/P205&lt;1,2,1))&amp;"-fach")))))</f>
        <v/>
      </c>
      <c r="T205" s="25" t="n"/>
      <c r="U205" s="34" t="n"/>
      <c r="V205" s="27" t="n"/>
      <c r="W205" s="25" t="n"/>
      <c r="X205" s="2" t="n"/>
      <c r="Y205" s="35">
        <f>IFERROR(INDEX(Krit_Faktor,MATCH(F205,Krit_Liste,0)),"")</f>
        <v/>
      </c>
      <c r="Z205" s="35">
        <f>IF(OR(I205="nein",I205="no"),1,0)</f>
        <v/>
      </c>
      <c r="AA205" s="35">
        <f>IF(OR(J205="nein",J205="no"),1,0)</f>
        <v/>
      </c>
      <c r="AB205" s="35">
        <f>IF(OR(K205="nein",K205="no"),1,0)</f>
        <v/>
      </c>
      <c r="AC205" s="35">
        <f>IF(OR(G205="ja",G205="yes"),1,0)</f>
        <v/>
      </c>
      <c r="AD205" s="35">
        <f>IF(AND(AC205=1,OR(H205="ja",H205="yes")),1,0)</f>
        <v/>
      </c>
      <c r="AE205" s="35">
        <f>IF(AC205=1,IF(AD205=1,Pkt_Abk_mit,Pkt_Abk_ohne),0)</f>
        <v/>
      </c>
      <c r="AF205" s="35">
        <f>(G205&lt;&gt;"")+(I205&lt;&gt;"")+(J205&lt;&gt;"")+(K205&lt;&gt;"")</f>
        <v/>
      </c>
      <c r="AG205" s="35">
        <f>IF(Q205&lt;&gt;"",Q205,IF(AF205&lt;4,"",IF(Z205=1,Tage_nicht_beschaffbar,Tage_beschaffbar)))</f>
        <v/>
      </c>
      <c r="AH205" s="35">
        <f>IF(M205="","",M205*1000+Y205*10+(1000-ROW())/100000)</f>
        <v/>
      </c>
    </row>
    <row r="206" ht="34" customHeight="1">
      <c r="A206" s="23">
        <f>IF(B206="","",COUNTA($B$9:B206))</f>
        <v/>
      </c>
      <c r="B206" s="24" t="n"/>
      <c r="C206" s="25" t="n"/>
      <c r="D206" s="25" t="n"/>
      <c r="E206" s="25" t="n"/>
      <c r="F206" s="26" t="n"/>
      <c r="G206" s="26" t="n"/>
      <c r="H206" s="27" t="n"/>
      <c r="I206" s="26" t="n"/>
      <c r="J206" s="26" t="n"/>
      <c r="K206" s="26" t="n"/>
      <c r="L206" s="23">
        <f>IF(AF206&lt;4,"",Z206+AA206+AB206+AE206)</f>
        <v/>
      </c>
      <c r="M206" s="28">
        <f>IF(OR(L206="",Y206=""),"",Y206*L206)</f>
        <v/>
      </c>
      <c r="N206" s="29">
        <f>IF(M206="","",IF(M206&lt;=Gruen_bis,"grün",IF(M206&lt;=Gelb_bis,"gelb","rot")))</f>
        <v/>
      </c>
      <c r="O206" s="30">
        <f>IF(N206="",IF(B206="","","Bewertung unvollständig – ★-Felder ausfüllen"),IF(N206="grün",IF(AC206=1,IF(AD206=1,"Abgekündigt, Nachfolger vorhanden: Umstieg bei nächster Gelegenheit planen","Abgekündigt: Endbevorratung (Last-Time-Buy) prüfen, Ersatzlösung planen"),"Keine aktive Maßnahme – jährlich prüfen"),IF(AND(Z206=1,AA206=1,AB206=1),"Sofort sichern: Restbestand / Gebrauchtteil kaufen und Ersatzlösung (Retrofit) planen",IF(AND(Z206=1,AB206=1),"Reparaturweg absichern (Dienstleister, Tauschteil), Gebrauchtteil prüfen",IF(AD206=1,"Auf Nachfolgeprodukt umstellen: Kompatibilität prüfen, Umstieg planen",IF(AC206=1,IF(AB206=1,"Abgekündigt ohne Nachfolger: sofort Endbevorratung (Last-Time-Buy) und Ersatzlösung planen","Abgekündigt ohne Nachfolger: Lagerteil sichern, Ersatzlösung (Retrofit) planen"),IF(Z206=1,"Nicht beschaffbar: Lagerteil schützen, Ersatzlösung mittelfristig planen",IF(AB206=1,IF(LEFT(S206,4)="nein","Bevorratung lohnt nicht – Lieferzeit und Reparaturweg absichern","Lagerbestand anlegen (mind. 1 Stk.)"),"Reparaturmöglichkeit klären"))))))))</f>
        <v/>
      </c>
      <c r="P206" s="31" t="n"/>
      <c r="Q206" s="27" t="n"/>
      <c r="R206" s="32">
        <f>IF(OR(AG206="",Y206="",AB206=0),"",AG206*INDEX(Krit_Kosten,MATCH(F206,Krit_Liste,0)))</f>
        <v/>
      </c>
      <c r="S206" s="33">
        <f>IF(N206="","",IF(N206="grün","–",IF(AB206=0,"am Lager / in stock",IF(N(P206)&lt;=0,"Stückpreis fehlt",IF(R206&gt;=Faktor_lohnt*P206,"ja – "&amp;FIXED(R206/P206,0)&amp;"-fach","nein – "&amp;FIXED(R206/P206,IF(R206/P206&lt;1,2,1))&amp;"-fach")))))</f>
        <v/>
      </c>
      <c r="T206" s="25" t="n"/>
      <c r="U206" s="34" t="n"/>
      <c r="V206" s="27" t="n"/>
      <c r="W206" s="25" t="n"/>
      <c r="X206" s="2" t="n"/>
      <c r="Y206" s="35">
        <f>IFERROR(INDEX(Krit_Faktor,MATCH(F206,Krit_Liste,0)),"")</f>
        <v/>
      </c>
      <c r="Z206" s="35">
        <f>IF(OR(I206="nein",I206="no"),1,0)</f>
        <v/>
      </c>
      <c r="AA206" s="35">
        <f>IF(OR(J206="nein",J206="no"),1,0)</f>
        <v/>
      </c>
      <c r="AB206" s="35">
        <f>IF(OR(K206="nein",K206="no"),1,0)</f>
        <v/>
      </c>
      <c r="AC206" s="35">
        <f>IF(OR(G206="ja",G206="yes"),1,0)</f>
        <v/>
      </c>
      <c r="AD206" s="35">
        <f>IF(AND(AC206=1,OR(H206="ja",H206="yes")),1,0)</f>
        <v/>
      </c>
      <c r="AE206" s="35">
        <f>IF(AC206=1,IF(AD206=1,Pkt_Abk_mit,Pkt_Abk_ohne),0)</f>
        <v/>
      </c>
      <c r="AF206" s="35">
        <f>(G206&lt;&gt;"")+(I206&lt;&gt;"")+(J206&lt;&gt;"")+(K206&lt;&gt;"")</f>
        <v/>
      </c>
      <c r="AG206" s="35">
        <f>IF(Q206&lt;&gt;"",Q206,IF(AF206&lt;4,"",IF(Z206=1,Tage_nicht_beschaffbar,Tage_beschaffbar)))</f>
        <v/>
      </c>
      <c r="AH206" s="35">
        <f>IF(M206="","",M206*1000+Y206*10+(1000-ROW())/100000)</f>
        <v/>
      </c>
    </row>
    <row r="207" ht="34" customHeight="1">
      <c r="A207" s="23">
        <f>IF(B207="","",COUNTA($B$9:B207))</f>
        <v/>
      </c>
      <c r="B207" s="24" t="n"/>
      <c r="C207" s="25" t="n"/>
      <c r="D207" s="25" t="n"/>
      <c r="E207" s="25" t="n"/>
      <c r="F207" s="26" t="n"/>
      <c r="G207" s="26" t="n"/>
      <c r="H207" s="27" t="n"/>
      <c r="I207" s="26" t="n"/>
      <c r="J207" s="26" t="n"/>
      <c r="K207" s="26" t="n"/>
      <c r="L207" s="23">
        <f>IF(AF207&lt;4,"",Z207+AA207+AB207+AE207)</f>
        <v/>
      </c>
      <c r="M207" s="28">
        <f>IF(OR(L207="",Y207=""),"",Y207*L207)</f>
        <v/>
      </c>
      <c r="N207" s="29">
        <f>IF(M207="","",IF(M207&lt;=Gruen_bis,"grün",IF(M207&lt;=Gelb_bis,"gelb","rot")))</f>
        <v/>
      </c>
      <c r="O207" s="30">
        <f>IF(N207="",IF(B207="","","Bewertung unvollständig – ★-Felder ausfüllen"),IF(N207="grün",IF(AC207=1,IF(AD207=1,"Abgekündigt, Nachfolger vorhanden: Umstieg bei nächster Gelegenheit planen","Abgekündigt: Endbevorratung (Last-Time-Buy) prüfen, Ersatzlösung planen"),"Keine aktive Maßnahme – jährlich prüfen"),IF(AND(Z207=1,AA207=1,AB207=1),"Sofort sichern: Restbestand / Gebrauchtteil kaufen und Ersatzlösung (Retrofit) planen",IF(AND(Z207=1,AB207=1),"Reparaturweg absichern (Dienstleister, Tauschteil), Gebrauchtteil prüfen",IF(AD207=1,"Auf Nachfolgeprodukt umstellen: Kompatibilität prüfen, Umstieg planen",IF(AC207=1,IF(AB207=1,"Abgekündigt ohne Nachfolger: sofort Endbevorratung (Last-Time-Buy) und Ersatzlösung planen","Abgekündigt ohne Nachfolger: Lagerteil sichern, Ersatzlösung (Retrofit) planen"),IF(Z207=1,"Nicht beschaffbar: Lagerteil schützen, Ersatzlösung mittelfristig planen",IF(AB207=1,IF(LEFT(S207,4)="nein","Bevorratung lohnt nicht – Lieferzeit und Reparaturweg absichern","Lagerbestand anlegen (mind. 1 Stk.)"),"Reparaturmöglichkeit klären"))))))))</f>
        <v/>
      </c>
      <c r="P207" s="31" t="n"/>
      <c r="Q207" s="27" t="n"/>
      <c r="R207" s="32">
        <f>IF(OR(AG207="",Y207="",AB207=0),"",AG207*INDEX(Krit_Kosten,MATCH(F207,Krit_Liste,0)))</f>
        <v/>
      </c>
      <c r="S207" s="33">
        <f>IF(N207="","",IF(N207="grün","–",IF(AB207=0,"am Lager / in stock",IF(N(P207)&lt;=0,"Stückpreis fehlt",IF(R207&gt;=Faktor_lohnt*P207,"ja – "&amp;FIXED(R207/P207,0)&amp;"-fach","nein – "&amp;FIXED(R207/P207,IF(R207/P207&lt;1,2,1))&amp;"-fach")))))</f>
        <v/>
      </c>
      <c r="T207" s="25" t="n"/>
      <c r="U207" s="34" t="n"/>
      <c r="V207" s="27" t="n"/>
      <c r="W207" s="25" t="n"/>
      <c r="X207" s="2" t="n"/>
      <c r="Y207" s="35">
        <f>IFERROR(INDEX(Krit_Faktor,MATCH(F207,Krit_Liste,0)),"")</f>
        <v/>
      </c>
      <c r="Z207" s="35">
        <f>IF(OR(I207="nein",I207="no"),1,0)</f>
        <v/>
      </c>
      <c r="AA207" s="35">
        <f>IF(OR(J207="nein",J207="no"),1,0)</f>
        <v/>
      </c>
      <c r="AB207" s="35">
        <f>IF(OR(K207="nein",K207="no"),1,0)</f>
        <v/>
      </c>
      <c r="AC207" s="35">
        <f>IF(OR(G207="ja",G207="yes"),1,0)</f>
        <v/>
      </c>
      <c r="AD207" s="35">
        <f>IF(AND(AC207=1,OR(H207="ja",H207="yes")),1,0)</f>
        <v/>
      </c>
      <c r="AE207" s="35">
        <f>IF(AC207=1,IF(AD207=1,Pkt_Abk_mit,Pkt_Abk_ohne),0)</f>
        <v/>
      </c>
      <c r="AF207" s="35">
        <f>(G207&lt;&gt;"")+(I207&lt;&gt;"")+(J207&lt;&gt;"")+(K207&lt;&gt;"")</f>
        <v/>
      </c>
      <c r="AG207" s="35">
        <f>IF(Q207&lt;&gt;"",Q207,IF(AF207&lt;4,"",IF(Z207=1,Tage_nicht_beschaffbar,Tage_beschaffbar)))</f>
        <v/>
      </c>
      <c r="AH207" s="35">
        <f>IF(M207="","",M207*1000+Y207*10+(1000-ROW())/100000)</f>
        <v/>
      </c>
    </row>
    <row r="208" ht="34" customHeight="1">
      <c r="A208" s="23">
        <f>IF(B208="","",COUNTA($B$9:B208))</f>
        <v/>
      </c>
      <c r="B208" s="24" t="n"/>
      <c r="C208" s="25" t="n"/>
      <c r="D208" s="25" t="n"/>
      <c r="E208" s="25" t="n"/>
      <c r="F208" s="26" t="n"/>
      <c r="G208" s="26" t="n"/>
      <c r="H208" s="27" t="n"/>
      <c r="I208" s="26" t="n"/>
      <c r="J208" s="26" t="n"/>
      <c r="K208" s="26" t="n"/>
      <c r="L208" s="23">
        <f>IF(AF208&lt;4,"",Z208+AA208+AB208+AE208)</f>
        <v/>
      </c>
      <c r="M208" s="28">
        <f>IF(OR(L208="",Y208=""),"",Y208*L208)</f>
        <v/>
      </c>
      <c r="N208" s="29">
        <f>IF(M208="","",IF(M208&lt;=Gruen_bis,"grün",IF(M208&lt;=Gelb_bis,"gelb","rot")))</f>
        <v/>
      </c>
      <c r="O208" s="30">
        <f>IF(N208="",IF(B208="","","Bewertung unvollständig – ★-Felder ausfüllen"),IF(N208="grün",IF(AC208=1,IF(AD208=1,"Abgekündigt, Nachfolger vorhanden: Umstieg bei nächster Gelegenheit planen","Abgekündigt: Endbevorratung (Last-Time-Buy) prüfen, Ersatzlösung planen"),"Keine aktive Maßnahme – jährlich prüfen"),IF(AND(Z208=1,AA208=1,AB208=1),"Sofort sichern: Restbestand / Gebrauchtteil kaufen und Ersatzlösung (Retrofit) planen",IF(AND(Z208=1,AB208=1),"Reparaturweg absichern (Dienstleister, Tauschteil), Gebrauchtteil prüfen",IF(AD208=1,"Auf Nachfolgeprodukt umstellen: Kompatibilität prüfen, Umstieg planen",IF(AC208=1,IF(AB208=1,"Abgekündigt ohne Nachfolger: sofort Endbevorratung (Last-Time-Buy) und Ersatzlösung planen","Abgekündigt ohne Nachfolger: Lagerteil sichern, Ersatzlösung (Retrofit) planen"),IF(Z208=1,"Nicht beschaffbar: Lagerteil schützen, Ersatzlösung mittelfristig planen",IF(AB208=1,IF(LEFT(S208,4)="nein","Bevorratung lohnt nicht – Lieferzeit und Reparaturweg absichern","Lagerbestand anlegen (mind. 1 Stk.)"),"Reparaturmöglichkeit klären"))))))))</f>
        <v/>
      </c>
      <c r="P208" s="31" t="n"/>
      <c r="Q208" s="27" t="n"/>
      <c r="R208" s="32">
        <f>IF(OR(AG208="",Y208="",AB208=0),"",AG208*INDEX(Krit_Kosten,MATCH(F208,Krit_Liste,0)))</f>
        <v/>
      </c>
      <c r="S208" s="33">
        <f>IF(N208="","",IF(N208="grün","–",IF(AB208=0,"am Lager / in stock",IF(N(P208)&lt;=0,"Stückpreis fehlt",IF(R208&gt;=Faktor_lohnt*P208,"ja – "&amp;FIXED(R208/P208,0)&amp;"-fach","nein – "&amp;FIXED(R208/P208,IF(R208/P208&lt;1,2,1))&amp;"-fach")))))</f>
        <v/>
      </c>
      <c r="T208" s="25" t="n"/>
      <c r="U208" s="34" t="n"/>
      <c r="V208" s="27" t="n"/>
      <c r="W208" s="25" t="n"/>
      <c r="X208" s="2" t="n"/>
      <c r="Y208" s="35">
        <f>IFERROR(INDEX(Krit_Faktor,MATCH(F208,Krit_Liste,0)),"")</f>
        <v/>
      </c>
      <c r="Z208" s="35">
        <f>IF(OR(I208="nein",I208="no"),1,0)</f>
        <v/>
      </c>
      <c r="AA208" s="35">
        <f>IF(OR(J208="nein",J208="no"),1,0)</f>
        <v/>
      </c>
      <c r="AB208" s="35">
        <f>IF(OR(K208="nein",K208="no"),1,0)</f>
        <v/>
      </c>
      <c r="AC208" s="35">
        <f>IF(OR(G208="ja",G208="yes"),1,0)</f>
        <v/>
      </c>
      <c r="AD208" s="35">
        <f>IF(AND(AC208=1,OR(H208="ja",H208="yes")),1,0)</f>
        <v/>
      </c>
      <c r="AE208" s="35">
        <f>IF(AC208=1,IF(AD208=1,Pkt_Abk_mit,Pkt_Abk_ohne),0)</f>
        <v/>
      </c>
      <c r="AF208" s="35">
        <f>(G208&lt;&gt;"")+(I208&lt;&gt;"")+(J208&lt;&gt;"")+(K208&lt;&gt;"")</f>
        <v/>
      </c>
      <c r="AG208" s="35">
        <f>IF(Q208&lt;&gt;"",Q208,IF(AF208&lt;4,"",IF(Z208=1,Tage_nicht_beschaffbar,Tage_beschaffbar)))</f>
        <v/>
      </c>
      <c r="AH208" s="35">
        <f>IF(M208="","",M208*1000+Y208*10+(1000-ROW())/100000)</f>
        <v/>
      </c>
    </row>
  </sheetData>
  <autoFilter ref="A8:W208"/>
  <mergeCells count="19">
    <mergeCell ref="F5:H5"/>
    <mergeCell ref="L6:O6"/>
    <mergeCell ref="T6:W6"/>
    <mergeCell ref="L3:M3"/>
    <mergeCell ref="P5:S5"/>
    <mergeCell ref="I5:K5"/>
    <mergeCell ref="T5:W5"/>
    <mergeCell ref="A3:B3"/>
    <mergeCell ref="G3:H3"/>
    <mergeCell ref="P6:S6"/>
    <mergeCell ref="A2:W2"/>
    <mergeCell ref="C6:E6"/>
    <mergeCell ref="I6:K6"/>
    <mergeCell ref="L5:O5"/>
    <mergeCell ref="P3:Q3"/>
    <mergeCell ref="F6:H6"/>
    <mergeCell ref="C5:E5"/>
    <mergeCell ref="A1:L1"/>
    <mergeCell ref="C3:D3"/>
  </mergeCells>
  <conditionalFormatting sqref="F9:F208">
    <cfRule type="expression" priority="1" dxfId="0">
      <formula>F9="A"</formula>
    </cfRule>
    <cfRule type="expression" priority="2" dxfId="1">
      <formula>F9="B"</formula>
    </cfRule>
    <cfRule type="expression" priority="3" dxfId="2">
      <formula>F9="C"</formula>
    </cfRule>
    <cfRule type="expression" priority="20" dxfId="3">
      <formula>AND(COUNTA($B9:$K9)&gt;0,F9="")</formula>
    </cfRule>
  </conditionalFormatting>
  <conditionalFormatting sqref="G9:G208">
    <cfRule type="expression" priority="4" dxfId="4">
      <formula>OR(G9="ja",G9="yes")</formula>
    </cfRule>
    <cfRule type="expression" priority="5" dxfId="5">
      <formula>OR(G9="nein",G9="no")</formula>
    </cfRule>
    <cfRule type="expression" priority="21" dxfId="3">
      <formula>AND(COUNTA($B9:$K9)&gt;0,G9="")</formula>
    </cfRule>
  </conditionalFormatting>
  <conditionalFormatting sqref="H9:H208">
    <cfRule type="expression" priority="6" dxfId="6">
      <formula>AND(OR(G9="ja",G9="yes"),H9="")</formula>
    </cfRule>
    <cfRule type="expression" priority="7" dxfId="5">
      <formula>AND(OR(G9="ja",G9="yes"),OR(H9="ja",H9="yes"))</formula>
    </cfRule>
    <cfRule type="expression" priority="8" dxfId="4">
      <formula>AND(OR(G9="ja",G9="yes"),OR(H9="nein",H9="no"))</formula>
    </cfRule>
    <cfRule type="expression" priority="9" dxfId="7">
      <formula>NOT(OR(G9="ja",G9="yes"))</formula>
    </cfRule>
  </conditionalFormatting>
  <conditionalFormatting sqref="I9:I208">
    <cfRule type="expression" priority="10" dxfId="5">
      <formula>OR(I9="ja",I9="yes")</formula>
    </cfRule>
    <cfRule type="expression" priority="11" dxfId="4">
      <formula>OR(I9="nein",I9="no")</formula>
    </cfRule>
    <cfRule type="expression" priority="22" dxfId="3">
      <formula>AND(COUNTA($B9:$K9)&gt;0,I9="")</formula>
    </cfRule>
  </conditionalFormatting>
  <conditionalFormatting sqref="J9:J208">
    <cfRule type="expression" priority="12" dxfId="5">
      <formula>OR(J9="ja",J9="yes")</formula>
    </cfRule>
    <cfRule type="expression" priority="13" dxfId="4">
      <formula>OR(J9="nein",J9="no")</formula>
    </cfRule>
    <cfRule type="expression" priority="23" dxfId="3">
      <formula>AND(COUNTA($B9:$K9)&gt;0,J9="")</formula>
    </cfRule>
  </conditionalFormatting>
  <conditionalFormatting sqref="K9:K208">
    <cfRule type="expression" priority="14" dxfId="5">
      <formula>OR(K9="ja",K9="yes")</formula>
    </cfRule>
    <cfRule type="expression" priority="15" dxfId="4">
      <formula>OR(K9="nein",K9="no")</formula>
    </cfRule>
    <cfRule type="expression" priority="24" dxfId="3">
      <formula>AND(COUNTA($B9:$K9)&gt;0,K9="")</formula>
    </cfRule>
  </conditionalFormatting>
  <conditionalFormatting sqref="M9:N208">
    <cfRule type="expression" priority="16" dxfId="8">
      <formula>$N9="grün"</formula>
    </cfRule>
    <cfRule type="expression" priority="17" dxfId="9">
      <formula>$N9="gelb"</formula>
    </cfRule>
    <cfRule type="expression" priority="18" dxfId="0">
      <formula>$N9="rot"</formula>
    </cfRule>
  </conditionalFormatting>
  <conditionalFormatting sqref="B9:B208">
    <cfRule type="expression" priority="19" dxfId="3">
      <formula>AND(COUNTA($B9:$K9)&gt;0,B9="")</formula>
    </cfRule>
  </conditionalFormatting>
  <conditionalFormatting sqref="O9:O208">
    <cfRule type="expression" priority="25" dxfId="10">
      <formula>LEFT(O9,9)="Bewertung"</formula>
    </cfRule>
    <cfRule type="expression" priority="26" dxfId="11">
      <formula>LEFT(O9,6)="Abgekü"</formula>
    </cfRule>
  </conditionalFormatting>
  <conditionalFormatting sqref="S9:S208">
    <cfRule type="expression" priority="27" dxfId="12">
      <formula>LEFT(S9,2)="ja"</formula>
    </cfRule>
    <cfRule type="expression" priority="28" dxfId="13">
      <formula>LEFT(S9,4)="nein"</formula>
    </cfRule>
  </conditionalFormatting>
  <conditionalFormatting sqref="V9:V208">
    <cfRule type="expression" priority="29" dxfId="14">
      <formula>LEFT(V9,8)="erledigt"</formula>
    </cfRule>
  </conditionalFormatting>
  <conditionalFormatting sqref="U9:U208">
    <cfRule type="expression" priority="30" dxfId="10">
      <formula>AND(U9&lt;&gt;"",U9&lt;TODAY(),LEFT(V9,8)&lt;&gt;"erledigt")</formula>
    </cfRule>
  </conditionalFormatting>
  <dataValidations count="10">
    <dataValidation sqref="F9:F208" showDropDown="0" showInputMessage="1" showErrorMessage="0" allowBlank="1" errorTitle="Eingabe / Input" error="Bitte einen Wert aus der Liste wählen. / Please select a value from the list." promptTitle="Kritikalität / Criticality" prompt="A = Linie / Engpass steht, Kunde gefährdet&#10;B = Maschine steht, Ausweichen möglich&#10;C = kein Stillstand (Redundanz)" type="list">
      <formula1>=Krit_Liste</formula1>
    </dataValidation>
    <dataValidation sqref="G9:G208" showDropDown="0" showInputMessage="1" showErrorMessage="0" allowBlank="1" errorTitle="Eingabe / Input" error="Bitte einen Wert aus der Liste wählen. / Please select a value from the list." promptTitle="Abgekündigt? / Discontinued?" prompt="ja = vom Hersteller abgekündigt oder Abkündigung angekündigt (auch wenn noch Restbestände erhältlich sind)" type="list">
      <formula1>"ja,nein,yes,no"</formula1>
    </dataValidation>
    <dataValidation sqref="H9:H208" showDropDown="0" showInputMessage="1" showErrorMessage="0" allowBlank="1" errorTitle="Eingabe / Input" error="Bitte einen Wert aus der Liste wählen. / Please select a value from the list." promptTitle="Nachfolger? / Successor?" prompt="Nur bei „abgekündigt = ja“: Gibt es ein passendes Nachfolgeprodukt?&#10;leer = nein" type="list">
      <formula1>"ja,nein,yes,no"</formula1>
    </dataValidation>
    <dataValidation sqref="I9:I208" showDropDown="0" showInputMessage="1" showErrorMessage="0" allowBlank="1" errorTitle="Eingabe / Input" error="Bitte einen Wert aus der Liste wählen. / Please select a value from the list." promptTitle="Beschaffbar? / Available?" prompt="ja = heute in normaler Lieferzeit bestellbar&#10;nein = nicht mehr / nur Gebrauchtmarkt" type="list">
      <formula1>"ja,nein,yes,no"</formula1>
    </dataValidation>
    <dataValidation sqref="J9:J208" showDropDown="0" showInputMessage="1" showErrorMessage="0" allowBlank="1" errorTitle="Eingabe / Input" error="Bitte einen Wert aus der Liste wählen. / Please select a value from the list." promptTitle="Reparierbar? / Repairable?" prompt="ja = defektes Teil kann intern oder extern repariert werden" type="list">
      <formula1>"ja,nein,yes,no"</formula1>
    </dataValidation>
    <dataValidation sqref="K9:K208" showDropDown="0" showInputMessage="1" showErrorMessage="0" allowBlank="1" errorTitle="Eingabe / Input" error="Bitte einen Wert aus der Liste wählen. / Please select a value from the list." promptTitle="Lager vor Ort? / In stock?" prompt="ja = mind. 1 einsatzfähiges Teil im eigenen Werk" type="list">
      <formula1>"ja,nein,yes,no"</formula1>
    </dataValidation>
    <dataValidation sqref="V9:V208" showDropDown="0" showInputMessage="0" showErrorMessage="0" allowBlank="1" errorTitle="Eingabe / Input" error="Bitte einen Wert aus der Liste wählen. / Please select a value from the list." type="list">
      <formula1>=L_Status</formula1>
    </dataValidation>
    <dataValidation sqref="P9:P208" showDropDown="0" showInputMessage="0" showErrorMessage="0" allowBlank="1" errorTitle="Eingabe / Input" error="Zahl / number" type="decimal" operator="between">
      <formula1>0</formula1>
      <formula2>100000000</formula2>
    </dataValidation>
    <dataValidation sqref="Q9:Q208" showDropDown="0" showInputMessage="0" showErrorMessage="0" allowBlank="1" errorTitle="Eingabe / Input" error="Tage / days" type="decimal" operator="between">
      <formula1>0</formula1>
      <formula2>3650</formula2>
    </dataValidation>
    <dataValidation sqref="U9:U208" showDropDown="0" showInputMessage="0" showErrorMessage="0" allowBlank="1" type="date" operator="greaterThan">
      <formula1>36526</formula1>
    </dataValidation>
  </dataValidations>
  <pageMargins left="0.4" right="0.4" top="0.5" bottom="0.5" header="0.5" footer="0.5"/>
  <pageSetup orientation="landscape" paperSize="9" fitToHeight="0" fitToWidth="1"/>
  <headerFooter>
    <oddHeader/>
    <oddFooter>&amp;L&amp;8 Bewertung Ersatzteilkritikalität&amp;R&amp;8 Seite / Page &amp;P /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41339"/>
    <outlinePr summaryBelow="1" summaryRight="1"/>
    <pageSetUpPr fitToPage="1"/>
  </sheetPr>
  <dimension ref="A1:U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9" customWidth="1" min="20" max="20"/>
    <col width="9" customWidth="1" min="21" max="21"/>
  </cols>
  <sheetData>
    <row r="1" ht="30" customHeight="1">
      <c r="A1" s="2" t="n"/>
      <c r="B1" s="36" t="inlineStr">
        <is>
          <t>Übersicht Ersatzteilkritikalität / Overview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2" t="n"/>
      <c r="B2" s="37" t="inlineStr">
        <is>
          <t>Berechnet automatisch aus dem Blatt „Bewertung“. / Calculated from sheet “Bewertung”.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2" t="n"/>
      <c r="B3" s="38" t="inlineStr">
        <is>
          <t>Werk / Plant</t>
        </is>
      </c>
      <c r="C3" s="2" t="n"/>
      <c r="D3" s="2" t="n"/>
      <c r="E3" s="2" t="n"/>
      <c r="F3" s="38" t="inlineStr">
        <is>
          <t>Datum / Date</t>
        </is>
      </c>
      <c r="G3" s="2" t="n"/>
      <c r="H3" s="2" t="n"/>
      <c r="I3" s="38" t="inlineStr">
        <is>
          <t>Währung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>
      <c r="A4" s="2" t="n"/>
      <c r="B4" s="39">
        <f>IF(Bewertung!$C$3="","–",Bewertung!$C$3)</f>
        <v/>
      </c>
      <c r="C4" s="40" t="n"/>
      <c r="D4" s="40" t="n"/>
      <c r="E4" s="40" t="n"/>
      <c r="F4" s="41">
        <f>IF(Bewertung!$G$3="","–",Bewertung!$G$3)</f>
        <v/>
      </c>
      <c r="G4" s="40" t="n"/>
      <c r="H4" s="40" t="n"/>
      <c r="I4" s="39">
        <f>IF(Waehrung="","–",Waehrung)</f>
        <v/>
      </c>
      <c r="J4" s="40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>
      <c r="A6" s="2" t="n"/>
      <c r="B6" s="42" t="inlineStr">
        <is>
          <t>Ampel je Kritikalität / Traffic light by criticality</t>
        </is>
      </c>
      <c r="C6" s="43" t="n"/>
      <c r="D6" s="43" t="n"/>
      <c r="E6" s="43" t="n"/>
      <c r="F6" s="43" t="n"/>
      <c r="G6" s="43" t="n"/>
      <c r="H6" s="43" t="n"/>
      <c r="I6" s="43" t="n"/>
      <c r="J6" s="43" t="n"/>
      <c r="K6" s="43" t="n"/>
      <c r="L6" s="43" t="n"/>
      <c r="M6" s="43" t="n"/>
      <c r="N6" s="43" t="n"/>
      <c r="O6" s="43" t="n"/>
      <c r="P6" s="43" t="n"/>
      <c r="Q6" s="43" t="n"/>
      <c r="R6" s="43" t="n"/>
      <c r="S6" s="2" t="n"/>
      <c r="T6" s="2" t="n"/>
      <c r="U6" s="2" t="n"/>
    </row>
    <row r="7">
      <c r="A7" s="2" t="n"/>
      <c r="B7" s="20" t="inlineStr">
        <is>
          <t>Kritikalität</t>
        </is>
      </c>
      <c r="C7" s="20" t="n"/>
      <c r="D7" s="20" t="n"/>
      <c r="E7" s="20" t="inlineStr">
        <is>
          <t>grün</t>
        </is>
      </c>
      <c r="F7" s="20" t="n"/>
      <c r="G7" s="20" t="inlineStr">
        <is>
          <t>gelb</t>
        </is>
      </c>
      <c r="H7" s="20" t="n"/>
      <c r="I7" s="20" t="inlineStr">
        <is>
          <t>rot</t>
        </is>
      </c>
      <c r="J7" s="20" t="n"/>
      <c r="K7" s="20" t="inlineStr">
        <is>
          <t>unvollständig</t>
        </is>
      </c>
      <c r="L7" s="20" t="n"/>
      <c r="M7" s="20" t="inlineStr">
        <is>
          <t>Gesamt</t>
        </is>
      </c>
      <c r="N7" s="20" t="n"/>
      <c r="O7" s="2" t="n"/>
      <c r="P7" s="2" t="n"/>
      <c r="Q7" s="2" t="n"/>
      <c r="R7" s="2" t="n"/>
      <c r="S7" s="2" t="n"/>
      <c r="T7" s="44" t="inlineStr">
        <is>
          <t>Hilfswerte</t>
        </is>
      </c>
      <c r="U7" s="2" t="n"/>
    </row>
    <row r="8" ht="22" customHeight="1">
      <c r="A8" s="2" t="n"/>
      <c r="B8" s="45" t="inlineStr">
        <is>
          <t>A – Linie / Kunde</t>
        </is>
      </c>
      <c r="C8" s="46" t="n"/>
      <c r="D8" s="46" t="n"/>
      <c r="E8" s="46">
        <f>COUNTIFS(B_Krit,"A",B_Ampel,"grün")</f>
        <v/>
      </c>
      <c r="F8" s="46" t="n"/>
      <c r="G8" s="46">
        <f>COUNTIFS(B_Krit,"A",B_Ampel,"gelb")</f>
        <v/>
      </c>
      <c r="H8" s="46" t="n"/>
      <c r="I8" s="46">
        <f>COUNTIFS(B_Krit,"A",B_Ampel,"rot")</f>
        <v/>
      </c>
      <c r="J8" s="46" t="n"/>
      <c r="K8" s="46">
        <f>M8-E8-G8-I8</f>
        <v/>
      </c>
      <c r="L8" s="46" t="n"/>
      <c r="M8" s="46">
        <f>COUNTIF(B_Krit,"A")</f>
        <v/>
      </c>
      <c r="N8" s="46" t="n"/>
      <c r="O8" s="2" t="n"/>
      <c r="P8" s="2" t="n"/>
      <c r="Q8" s="2" t="n"/>
      <c r="R8" s="2" t="n"/>
      <c r="S8" s="2" t="n"/>
      <c r="T8" s="47" t="inlineStr">
        <is>
          <t>grün</t>
        </is>
      </c>
      <c r="U8" s="47">
        <f>E11</f>
        <v/>
      </c>
    </row>
    <row r="9" ht="22" customHeight="1">
      <c r="A9" s="2" t="n"/>
      <c r="B9" s="45" t="inlineStr">
        <is>
          <t>B – Maschine steht</t>
        </is>
      </c>
      <c r="C9" s="46" t="n"/>
      <c r="D9" s="46" t="n"/>
      <c r="E9" s="46">
        <f>COUNTIFS(B_Krit,"B",B_Ampel,"grün")</f>
        <v/>
      </c>
      <c r="F9" s="46" t="n"/>
      <c r="G9" s="46">
        <f>COUNTIFS(B_Krit,"B",B_Ampel,"gelb")</f>
        <v/>
      </c>
      <c r="H9" s="46" t="n"/>
      <c r="I9" s="46">
        <f>COUNTIFS(B_Krit,"B",B_Ampel,"rot")</f>
        <v/>
      </c>
      <c r="J9" s="46" t="n"/>
      <c r="K9" s="46">
        <f>M9-E9-G9-I9</f>
        <v/>
      </c>
      <c r="L9" s="46" t="n"/>
      <c r="M9" s="46">
        <f>COUNTIF(B_Krit,"B")</f>
        <v/>
      </c>
      <c r="N9" s="46" t="n"/>
      <c r="O9" s="2" t="n"/>
      <c r="P9" s="2" t="n"/>
      <c r="Q9" s="2" t="n"/>
      <c r="R9" s="2" t="n"/>
      <c r="S9" s="2" t="n"/>
      <c r="T9" s="47" t="inlineStr">
        <is>
          <t>gelb</t>
        </is>
      </c>
      <c r="U9" s="47">
        <f>G11</f>
        <v/>
      </c>
    </row>
    <row r="10" ht="22" customHeight="1">
      <c r="A10" s="2" t="n"/>
      <c r="B10" s="45" t="inlineStr">
        <is>
          <t>C – kein Stillstand</t>
        </is>
      </c>
      <c r="C10" s="46" t="n"/>
      <c r="D10" s="46" t="n"/>
      <c r="E10" s="46">
        <f>COUNTIFS(B_Krit,"C",B_Ampel,"grün")</f>
        <v/>
      </c>
      <c r="F10" s="46" t="n"/>
      <c r="G10" s="46">
        <f>COUNTIFS(B_Krit,"C",B_Ampel,"gelb")</f>
        <v/>
      </c>
      <c r="H10" s="46" t="n"/>
      <c r="I10" s="46">
        <f>COUNTIFS(B_Krit,"C",B_Ampel,"rot")</f>
        <v/>
      </c>
      <c r="J10" s="46" t="n"/>
      <c r="K10" s="46">
        <f>M10-E10-G10-I10</f>
        <v/>
      </c>
      <c r="L10" s="46" t="n"/>
      <c r="M10" s="46">
        <f>COUNTIF(B_Krit,"C")</f>
        <v/>
      </c>
      <c r="N10" s="46" t="n"/>
      <c r="O10" s="2" t="n"/>
      <c r="P10" s="2" t="n"/>
      <c r="Q10" s="2" t="n"/>
      <c r="R10" s="2" t="n"/>
      <c r="S10" s="2" t="n"/>
      <c r="T10" s="47" t="inlineStr">
        <is>
          <t>rot</t>
        </is>
      </c>
      <c r="U10" s="47">
        <f>I11</f>
        <v/>
      </c>
    </row>
    <row r="11" ht="22" customHeight="1">
      <c r="A11" s="2" t="n"/>
      <c r="B11" s="48" t="inlineStr">
        <is>
          <t>Gesamt</t>
        </is>
      </c>
      <c r="C11" s="49" t="n"/>
      <c r="D11" s="49" t="n"/>
      <c r="E11" s="49">
        <f>SUM(E8:E10)</f>
        <v/>
      </c>
      <c r="F11" s="49" t="n"/>
      <c r="G11" s="49">
        <f>SUM(G8:G10)</f>
        <v/>
      </c>
      <c r="H11" s="49" t="n"/>
      <c r="I11" s="49">
        <f>SUM(I8:I10)</f>
        <v/>
      </c>
      <c r="J11" s="49" t="n"/>
      <c r="K11" s="49">
        <f>SUM(K8:K10)</f>
        <v/>
      </c>
      <c r="L11" s="49" t="n"/>
      <c r="M11" s="49">
        <f>SUM(M8:M10)</f>
        <v/>
      </c>
      <c r="N11" s="49" t="n"/>
      <c r="O11" s="2" t="n"/>
      <c r="P11" s="2" t="n"/>
      <c r="Q11" s="2" t="n"/>
      <c r="R11" s="2" t="n"/>
      <c r="S11" s="2" t="n"/>
      <c r="T11" s="2" t="n"/>
      <c r="U11" s="2" t="n"/>
    </row>
    <row r="12">
      <c r="A12" s="2" t="n"/>
      <c r="B12" s="50">
        <f>IF(COUNTIF(B_Teil,"?*")&gt;SUM(M8:M10),"Ohne Kritikalität: "&amp;(COUNTIF(B_Teil,"?*")-SUM(M8:M10))&amp;" Teile","")</f>
        <v/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>
      <c r="A14" s="2" t="n"/>
      <c r="B14" s="42" t="inlineStr">
        <is>
          <t>Abkündigung / Discontinuation</t>
        </is>
      </c>
      <c r="C14" s="43" t="n"/>
      <c r="D14" s="43" t="n"/>
      <c r="E14" s="43" t="n"/>
      <c r="F14" s="43" t="n"/>
      <c r="G14" s="43" t="n"/>
      <c r="H14" s="43" t="n"/>
      <c r="I14" s="43" t="n"/>
      <c r="J14" s="2" t="n"/>
      <c r="K14" s="42" t="inlineStr">
        <is>
          <t>Warum rot oder gelb? / Why red or yellow?</t>
        </is>
      </c>
      <c r="L14" s="43" t="n"/>
      <c r="M14" s="43" t="n"/>
      <c r="N14" s="43" t="n"/>
      <c r="O14" s="43" t="n"/>
      <c r="P14" s="43" t="n"/>
      <c r="Q14" s="43" t="n"/>
      <c r="R14" s="43" t="n"/>
      <c r="S14" s="2" t="n"/>
      <c r="T14" s="2" t="n"/>
      <c r="U14" s="2" t="n"/>
    </row>
    <row r="15">
      <c r="A15" s="2" t="n"/>
      <c r="B15" s="20" t="inlineStr"/>
      <c r="C15" s="20" t="n"/>
      <c r="D15" s="20" t="n"/>
      <c r="E15" s="20" t="n"/>
      <c r="F15" s="20" t="n"/>
      <c r="G15" s="20" t="inlineStr">
        <is>
          <t>Teile</t>
        </is>
      </c>
      <c r="H15" s="20" t="n"/>
      <c r="I15" s="20" t="inlineStr">
        <is>
          <t>davon rot</t>
        </is>
      </c>
      <c r="J15" s="2" t="n"/>
      <c r="K15" s="20" t="inlineStr">
        <is>
          <t>Ursache</t>
        </is>
      </c>
      <c r="L15" s="20" t="n"/>
      <c r="M15" s="20" t="n"/>
      <c r="N15" s="20" t="n"/>
      <c r="O15" s="20" t="n"/>
      <c r="P15" s="20" t="inlineStr">
        <is>
          <t>rot</t>
        </is>
      </c>
      <c r="Q15" s="20" t="n"/>
      <c r="R15" s="20" t="inlineStr">
        <is>
          <t>gelb</t>
        </is>
      </c>
      <c r="S15" s="2" t="n"/>
      <c r="T15" s="2" t="n"/>
      <c r="U15" s="2" t="n"/>
    </row>
    <row r="16" ht="20" customHeight="1">
      <c r="A16" s="2" t="n"/>
      <c r="B16" s="51" t="inlineStr">
        <is>
          <t>Abgekündigt gesamt</t>
        </is>
      </c>
      <c r="C16" s="52" t="n"/>
      <c r="D16" s="52" t="n"/>
      <c r="E16" s="52" t="n"/>
      <c r="F16" s="52" t="n"/>
      <c r="G16" s="52">
        <f>SUM(B_IstAbk)</f>
        <v/>
      </c>
      <c r="H16" s="52" t="n"/>
      <c r="I16" s="52">
        <f>COUNTIFS(B_IstAbk,1,B_Ampel,"rot")</f>
        <v/>
      </c>
      <c r="J16" s="2" t="n"/>
      <c r="K16" s="51" t="inlineStr">
        <is>
          <t>Abgekündigt (Zuschlag)</t>
        </is>
      </c>
      <c r="L16" s="52" t="n"/>
      <c r="M16" s="52" t="n"/>
      <c r="N16" s="52" t="n"/>
      <c r="O16" s="52" t="n"/>
      <c r="P16" s="52">
        <f>COUNTIFS(B_Ampel,"rot",B_IstAbk,1)</f>
        <v/>
      </c>
      <c r="Q16" s="52" t="n"/>
      <c r="R16" s="52">
        <f>COUNTIFS(B_Ampel,"gelb",B_IstAbk,1)</f>
        <v/>
      </c>
      <c r="S16" s="2" t="n"/>
      <c r="T16" s="2" t="n"/>
      <c r="U16" s="2" t="n"/>
    </row>
    <row r="17" ht="20" customHeight="1">
      <c r="A17" s="2" t="n"/>
      <c r="B17" s="51" t="inlineStr">
        <is>
          <t>– mit Nachfolgeprodukt</t>
        </is>
      </c>
      <c r="C17" s="52" t="n"/>
      <c r="D17" s="52" t="n"/>
      <c r="E17" s="52" t="n"/>
      <c r="F17" s="52" t="n"/>
      <c r="G17" s="52">
        <f>SUM(B_HatNachf)</f>
        <v/>
      </c>
      <c r="H17" s="52" t="n"/>
      <c r="I17" s="52">
        <f>COUNTIFS(B_HatNachf,1,B_Ampel,"rot")</f>
        <v/>
      </c>
      <c r="J17" s="2" t="n"/>
      <c r="K17" s="51" t="inlineStr">
        <is>
          <t>nicht beschaffbar</t>
        </is>
      </c>
      <c r="L17" s="52" t="n"/>
      <c r="M17" s="52" t="n"/>
      <c r="N17" s="52" t="n"/>
      <c r="O17" s="52" t="n"/>
      <c r="P17" s="52">
        <f>COUNTIFS(B_Ampel,"rot",B_NeinBesch,1)</f>
        <v/>
      </c>
      <c r="Q17" s="52" t="n"/>
      <c r="R17" s="52">
        <f>COUNTIFS(B_Ampel,"gelb",B_NeinBesch,1)</f>
        <v/>
      </c>
      <c r="S17" s="2" t="n"/>
      <c r="T17" s="2" t="n"/>
      <c r="U17" s="2" t="n"/>
    </row>
    <row r="18" ht="20" customHeight="1">
      <c r="A18" s="2" t="n"/>
      <c r="B18" s="51" t="inlineStr">
        <is>
          <t>– ohne Nachfolgeprodukt</t>
        </is>
      </c>
      <c r="C18" s="52" t="n"/>
      <c r="D18" s="52" t="n"/>
      <c r="E18" s="52" t="n"/>
      <c r="F18" s="52" t="n"/>
      <c r="G18" s="52">
        <f>SUM(B_IstAbk)-SUM(B_HatNachf)</f>
        <v/>
      </c>
      <c r="H18" s="52" t="n"/>
      <c r="I18" s="52">
        <f>COUNTIFS(B_IstAbk,1,B_HatNachf,0,B_Ampel,"rot")</f>
        <v/>
      </c>
      <c r="J18" s="2" t="n"/>
      <c r="K18" s="51" t="inlineStr">
        <is>
          <t>nicht reparierbar</t>
        </is>
      </c>
      <c r="L18" s="52" t="n"/>
      <c r="M18" s="52" t="n"/>
      <c r="N18" s="52" t="n"/>
      <c r="O18" s="52" t="n"/>
      <c r="P18" s="52">
        <f>COUNTIFS(B_Ampel,"rot",B_NeinRep,1)</f>
        <v/>
      </c>
      <c r="Q18" s="52" t="n"/>
      <c r="R18" s="52">
        <f>COUNTIFS(B_Ampel,"gelb",B_NeinRep,1)</f>
        <v/>
      </c>
      <c r="S18" s="2" t="n"/>
      <c r="T18" s="2" t="n"/>
      <c r="U18" s="2" t="n"/>
    </row>
    <row r="19" ht="20" customHeight="1">
      <c r="A19" s="2" t="n"/>
      <c r="B19" s="53" t="inlineStr">
        <is>
          <t>Abgekündigt, ohne Nachfolger und ohne Lager</t>
        </is>
      </c>
      <c r="C19" s="52" t="n"/>
      <c r="D19" s="52" t="n"/>
      <c r="E19" s="52" t="n"/>
      <c r="F19" s="52" t="n"/>
      <c r="G19" s="52">
        <f>COUNTIFS(B_IstAbk,1,B_HatNachf,0,B_NeinLager,1)</f>
        <v/>
      </c>
      <c r="H19" s="52" t="n"/>
      <c r="I19" s="52">
        <f>COUNTIFS(B_IstAbk,1,B_HatNachf,0,B_NeinLager,1,B_Ampel,"rot")</f>
        <v/>
      </c>
      <c r="J19" s="2" t="n"/>
      <c r="K19" s="51" t="inlineStr">
        <is>
          <t>nicht vor Ort auf Lager</t>
        </is>
      </c>
      <c r="L19" s="52" t="n"/>
      <c r="M19" s="52" t="n"/>
      <c r="N19" s="52" t="n"/>
      <c r="O19" s="52" t="n"/>
      <c r="P19" s="52">
        <f>COUNTIFS(B_Ampel,"rot",B_NeinLager,1)</f>
        <v/>
      </c>
      <c r="Q19" s="52" t="n"/>
      <c r="R19" s="52">
        <f>COUNTIFS(B_Ampel,"gelb",B_NeinLager,1)</f>
        <v/>
      </c>
      <c r="S19" s="2" t="n"/>
      <c r="T19" s="2" t="n"/>
      <c r="U19" s="2" t="n"/>
    </row>
    <row r="20">
      <c r="A20" s="2" t="n"/>
      <c r="B20" s="54">
        <f>"Anteil abgekündigt: "&amp;IF(COUNTIF(B_Teil,"?*")=0,"–",FIXED(100*SUM(B_IstAbk)/COUNTIF(B_Teil,"?*"),0)&amp;" %")</f>
        <v/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38" t="inlineStr">
        <is>
          <t>Häufigste Ursache = wirksamster Hebel (z. B. Endbevorratung, Lagerbestand, Reparaturdienstleister).</t>
        </is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</row>
    <row r="22">
      <c r="A22" s="2" t="n"/>
      <c r="B22" s="42" t="inlineStr">
        <is>
          <t>Wirtschaftlichkeit – gelbe und rote Teile ohne Lager / Economics</t>
        </is>
      </c>
      <c r="C22" s="43" t="n"/>
      <c r="D22" s="43" t="n"/>
      <c r="E22" s="43" t="n"/>
      <c r="F22" s="43" t="n"/>
      <c r="G22" s="43" t="n"/>
      <c r="H22" s="43" t="n"/>
      <c r="I22" s="43" t="n"/>
      <c r="J22" s="43" t="n"/>
      <c r="K22" s="43" t="n"/>
      <c r="L22" s="43" t="n"/>
      <c r="M22" s="43" t="n"/>
      <c r="N22" s="43" t="n"/>
      <c r="O22" s="43" t="n"/>
      <c r="P22" s="43" t="n"/>
      <c r="Q22" s="43" t="n"/>
      <c r="R22" s="43" t="n"/>
      <c r="S22" s="2" t="n"/>
      <c r="T22" s="2" t="n"/>
      <c r="U22" s="2" t="n"/>
    </row>
    <row r="23">
      <c r="A23" s="2" t="n"/>
      <c r="B23" s="20" t="inlineStr"/>
      <c r="C23" s="20" t="n"/>
      <c r="D23" s="20" t="n"/>
      <c r="E23" s="20" t="n"/>
      <c r="F23" s="20" t="n"/>
      <c r="G23" s="20" t="n"/>
      <c r="H23" s="20" t="n"/>
      <c r="I23" s="20" t="inlineStr">
        <is>
          <t>Teile</t>
        </is>
      </c>
      <c r="J23" s="20" t="n"/>
      <c r="K23" s="20" t="inlineStr">
        <is>
          <t>Betrag</t>
        </is>
      </c>
      <c r="L23" s="20" t="n"/>
      <c r="M23" s="20" t="n"/>
      <c r="N23" s="2" t="n"/>
      <c r="O23" s="2" t="n"/>
      <c r="P23" s="2" t="n"/>
      <c r="Q23" s="2" t="n"/>
      <c r="R23" s="2" t="n"/>
      <c r="S23" s="2" t="n"/>
      <c r="T23" s="2" t="n"/>
      <c r="U23" s="2" t="n"/>
    </row>
    <row r="24" ht="20" customHeight="1">
      <c r="A24" s="2" t="n"/>
      <c r="B24" s="51" t="inlineStr">
        <is>
          <t>Teile gelb / rot ohne Lager (Stückpreise, 1 Stk. je Teil)</t>
        </is>
      </c>
      <c r="C24" s="52" t="n"/>
      <c r="D24" s="52" t="n"/>
      <c r="E24" s="52" t="n"/>
      <c r="F24" s="52" t="n"/>
      <c r="G24" s="52" t="n"/>
      <c r="H24" s="52" t="n"/>
      <c r="I24" s="52">
        <f>SUMPRODUCT(((B_Ampel="rot")+(B_Ampel="gelb"))*B_NeinLager)</f>
        <v/>
      </c>
      <c r="J24" s="52" t="n"/>
      <c r="K24" s="55">
        <f>SUMPRODUCT(((B_Ampel="rot")+(B_Ampel="gelb"))*B_NeinLager,B_Preis)</f>
        <v/>
      </c>
      <c r="L24" s="52" t="n"/>
      <c r="M24" s="52" t="n"/>
      <c r="N24" s="2" t="n"/>
      <c r="O24" s="2" t="n"/>
      <c r="P24" s="2" t="n"/>
      <c r="Q24" s="2" t="n"/>
      <c r="R24" s="2" t="n"/>
      <c r="S24" s="2" t="n"/>
      <c r="T24" s="2" t="n"/>
      <c r="U24" s="2" t="n"/>
    </row>
    <row r="25" ht="20" customHeight="1">
      <c r="A25" s="2" t="n"/>
      <c r="B25" s="51" t="inlineStr">
        <is>
          <t>davon Bevorratung lohnt</t>
        </is>
      </c>
      <c r="C25" s="52" t="n"/>
      <c r="D25" s="52" t="n"/>
      <c r="E25" s="52" t="n"/>
      <c r="F25" s="52" t="n"/>
      <c r="G25" s="52" t="n"/>
      <c r="H25" s="52" t="n"/>
      <c r="I25" s="52">
        <f>COUNTIF(B_Lohnt,"ja*")</f>
        <v/>
      </c>
      <c r="J25" s="52" t="n"/>
      <c r="K25" s="55">
        <f>SUMIFS(B_Preis,B_Lohnt,"ja*")</f>
        <v/>
      </c>
      <c r="L25" s="52" t="n"/>
      <c r="M25" s="52" t="n"/>
      <c r="N25" s="2" t="n"/>
      <c r="O25" s="2" t="n"/>
      <c r="P25" s="2" t="n"/>
      <c r="Q25" s="2" t="n"/>
      <c r="R25" s="2" t="n"/>
      <c r="S25" s="2" t="n"/>
      <c r="T25" s="2" t="n"/>
      <c r="U25" s="2" t="n"/>
    </row>
    <row r="26" ht="20" customHeight="1">
      <c r="A26" s="2" t="n"/>
      <c r="B26" s="51" t="inlineStr">
        <is>
          <t>davon lohnt nicht</t>
        </is>
      </c>
      <c r="C26" s="52" t="n"/>
      <c r="D26" s="52" t="n"/>
      <c r="E26" s="52" t="n"/>
      <c r="F26" s="52" t="n"/>
      <c r="G26" s="52" t="n"/>
      <c r="H26" s="52" t="n"/>
      <c r="I26" s="52">
        <f>COUNTIF(B_Lohnt,"nein*")</f>
        <v/>
      </c>
      <c r="J26" s="52" t="n"/>
      <c r="K26" s="55">
        <f>SUMIFS(B_Preis,B_Lohnt,"nein*")</f>
        <v/>
      </c>
      <c r="L26" s="52" t="n"/>
      <c r="M26" s="52" t="n"/>
      <c r="N26" s="2" t="n"/>
      <c r="O26" s="2" t="n"/>
      <c r="P26" s="2" t="n"/>
      <c r="Q26" s="2" t="n"/>
      <c r="R26" s="2" t="n"/>
      <c r="S26" s="2" t="n"/>
      <c r="T26" s="2" t="n"/>
      <c r="U26" s="2" t="n"/>
    </row>
    <row r="27" ht="20" customHeight="1">
      <c r="A27" s="2" t="n"/>
      <c r="B27" s="51" t="inlineStr">
        <is>
          <t>Stückpreis fehlt</t>
        </is>
      </c>
      <c r="C27" s="52" t="n"/>
      <c r="D27" s="52" t="n"/>
      <c r="E27" s="52" t="n"/>
      <c r="F27" s="52" t="n"/>
      <c r="G27" s="52" t="n"/>
      <c r="H27" s="52" t="n"/>
      <c r="I27" s="52">
        <f>COUNTIF(B_Lohnt,"Stückpreis fehlt")</f>
        <v/>
      </c>
      <c r="J27" s="52" t="n"/>
      <c r="K27" s="52" t="n"/>
      <c r="L27" s="52" t="n"/>
      <c r="M27" s="52" t="n"/>
      <c r="N27" s="2" t="n"/>
      <c r="O27" s="2" t="n"/>
      <c r="P27" s="2" t="n"/>
      <c r="Q27" s="2" t="n"/>
      <c r="R27" s="2" t="n"/>
      <c r="S27" s="2" t="n"/>
      <c r="T27" s="2" t="n"/>
      <c r="U27" s="2" t="n"/>
    </row>
    <row r="28" ht="20" customHeight="1">
      <c r="A28" s="2" t="n"/>
      <c r="B28" s="51" t="inlineStr">
        <is>
          <t>Ausfallkosten bei je einem Ausfall</t>
        </is>
      </c>
      <c r="C28" s="52" t="n"/>
      <c r="D28" s="52" t="n"/>
      <c r="E28" s="52" t="n"/>
      <c r="F28" s="52" t="n"/>
      <c r="G28" s="52" t="n"/>
      <c r="H28" s="52" t="n"/>
      <c r="I28" s="52" t="n"/>
      <c r="J28" s="52" t="n"/>
      <c r="K28" s="55">
        <f>SUMPRODUCT(((B_Ampel="rot")+(B_Ampel="gelb"))*B_NeinLager,B_Ausfall)</f>
        <v/>
      </c>
      <c r="L28" s="52" t="n"/>
      <c r="M28" s="52" t="n"/>
      <c r="N28" s="2" t="n"/>
      <c r="O28" s="2" t="n"/>
      <c r="P28" s="2" t="n"/>
      <c r="Q28" s="2" t="n"/>
      <c r="R28" s="2" t="n"/>
      <c r="S28" s="2" t="n"/>
      <c r="T28" s="2" t="n"/>
      <c r="U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</row>
    <row r="31">
      <c r="A31" s="2" t="n"/>
      <c r="B31" s="42" t="inlineStr">
        <is>
          <t>Teile mit dem höchsten Risiko (Top 15) / Highest risk parts</t>
        </is>
      </c>
      <c r="C31" s="43" t="n"/>
      <c r="D31" s="43" t="n"/>
      <c r="E31" s="43" t="n"/>
      <c r="F31" s="43" t="n"/>
      <c r="G31" s="43" t="n"/>
      <c r="H31" s="43" t="n"/>
      <c r="I31" s="43" t="n"/>
      <c r="J31" s="43" t="n"/>
      <c r="K31" s="43" t="n"/>
      <c r="L31" s="43" t="n"/>
      <c r="M31" s="43" t="n"/>
      <c r="N31" s="43" t="n"/>
      <c r="O31" s="43" t="n"/>
      <c r="P31" s="43" t="n"/>
      <c r="Q31" s="43" t="n"/>
      <c r="R31" s="43" t="n"/>
      <c r="S31" s="2" t="n"/>
      <c r="T31" s="2" t="n"/>
      <c r="U31" s="2" t="n"/>
    </row>
    <row r="32" ht="26" customHeight="1">
      <c r="A32" s="2" t="n"/>
      <c r="B32" s="20" t="inlineStr">
        <is>
          <t>Nr.</t>
        </is>
      </c>
      <c r="C32" s="20" t="inlineStr">
        <is>
          <t>Ersatzteil</t>
        </is>
      </c>
      <c r="D32" s="20" t="n"/>
      <c r="E32" s="20" t="n"/>
      <c r="F32" s="20" t="n"/>
      <c r="G32" s="20" t="inlineStr">
        <is>
          <t>Maschine</t>
        </is>
      </c>
      <c r="H32" s="20" t="n"/>
      <c r="I32" s="20" t="inlineStr">
        <is>
          <t>Krit.</t>
        </is>
      </c>
      <c r="J32" s="20" t="inlineStr">
        <is>
          <t>Abgek.</t>
        </is>
      </c>
      <c r="K32" s="20" t="inlineStr">
        <is>
          <t>Beschaffb.</t>
        </is>
      </c>
      <c r="L32" s="20" t="inlineStr">
        <is>
          <t>Reparierb.</t>
        </is>
      </c>
      <c r="M32" s="20" t="inlineStr">
        <is>
          <t>Lager</t>
        </is>
      </c>
      <c r="N32" s="20" t="inlineStr">
        <is>
          <t>Risiko</t>
        </is>
      </c>
      <c r="O32" s="20" t="inlineStr">
        <is>
          <t>Empfohlene Maßnahme</t>
        </is>
      </c>
      <c r="P32" s="20" t="n"/>
      <c r="Q32" s="20" t="n"/>
      <c r="R32" s="20" t="n"/>
      <c r="S32" s="2" t="n"/>
      <c r="T32" s="44" t="inlineStr">
        <is>
          <t>k-größter</t>
        </is>
      </c>
      <c r="U32" s="44" t="inlineStr">
        <is>
          <t>Position</t>
        </is>
      </c>
    </row>
    <row r="33" ht="22" customHeight="1">
      <c r="A33" s="2" t="n"/>
      <c r="B33" s="56">
        <f>IF($U33="","",IF(INDEX(B_Nr,$U33)="","–",INDEX(B_Nr,$U33)))</f>
        <v/>
      </c>
      <c r="C33" s="57">
        <f>IF($U33="","",IF(INDEX(B_Teil,$U33)="","–",INDEX(B_Teil,$U33)))</f>
        <v/>
      </c>
      <c r="D33" s="56" t="n"/>
      <c r="E33" s="56" t="n"/>
      <c r="F33" s="56" t="n"/>
      <c r="G33" s="57">
        <f>IF($U33="","",IF(INDEX(B_Masch,$U33)="","–",INDEX(B_Masch,$U33)))</f>
        <v/>
      </c>
      <c r="H33" s="56" t="n"/>
      <c r="I33" s="56">
        <f>IF($U33="","",IF(INDEX(B_Krit,$U33)="","–",INDEX(B_Krit,$U33)))</f>
        <v/>
      </c>
      <c r="J33" s="56">
        <f>IF($U33="","",IF(INDEX(B_Abk,$U33)="","–",INDEX(B_Abk,$U33)))</f>
        <v/>
      </c>
      <c r="K33" s="56">
        <f>IF($U33="","",IF(INDEX(B_Besch,$U33)="","–",INDEX(B_Besch,$U33)))</f>
        <v/>
      </c>
      <c r="L33" s="56">
        <f>IF($U33="","",IF(INDEX(B_Rep,$U33)="","–",INDEX(B_Rep,$U33)))</f>
        <v/>
      </c>
      <c r="M33" s="56">
        <f>IF($U33="","",IF(INDEX(B_Lager,$U33)="","–",INDEX(B_Lager,$U33)))</f>
        <v/>
      </c>
      <c r="N33" s="58">
        <f>IF($U33="","",IF(INDEX(B_Risiko,$U33)="","–",INDEX(B_Risiko,$U33)))</f>
        <v/>
      </c>
      <c r="O33" s="57">
        <f>IF($U33="","",IF(INDEX(B_Massn,$U33)="","–",INDEX(B_Massn,$U33)))</f>
        <v/>
      </c>
      <c r="P33" s="56" t="n"/>
      <c r="Q33" s="56" t="n"/>
      <c r="R33" s="56" t="n"/>
      <c r="S33" s="2" t="n"/>
      <c r="T33" s="47">
        <f>IFERROR(LARGE(B_Key,1),"")</f>
        <v/>
      </c>
      <c r="U33" s="47">
        <f>IF(T33="","",MATCH(T33,B_Key,0))</f>
        <v/>
      </c>
    </row>
    <row r="34" ht="22" customHeight="1">
      <c r="A34" s="2" t="n"/>
      <c r="B34" s="56">
        <f>IF($U34="","",IF(INDEX(B_Nr,$U34)="","–",INDEX(B_Nr,$U34)))</f>
        <v/>
      </c>
      <c r="C34" s="57">
        <f>IF($U34="","",IF(INDEX(B_Teil,$U34)="","–",INDEX(B_Teil,$U34)))</f>
        <v/>
      </c>
      <c r="D34" s="56" t="n"/>
      <c r="E34" s="56" t="n"/>
      <c r="F34" s="56" t="n"/>
      <c r="G34" s="57">
        <f>IF($U34="","",IF(INDEX(B_Masch,$U34)="","–",INDEX(B_Masch,$U34)))</f>
        <v/>
      </c>
      <c r="H34" s="56" t="n"/>
      <c r="I34" s="56">
        <f>IF($U34="","",IF(INDEX(B_Krit,$U34)="","–",INDEX(B_Krit,$U34)))</f>
        <v/>
      </c>
      <c r="J34" s="56">
        <f>IF($U34="","",IF(INDEX(B_Abk,$U34)="","–",INDEX(B_Abk,$U34)))</f>
        <v/>
      </c>
      <c r="K34" s="56">
        <f>IF($U34="","",IF(INDEX(B_Besch,$U34)="","–",INDEX(B_Besch,$U34)))</f>
        <v/>
      </c>
      <c r="L34" s="56">
        <f>IF($U34="","",IF(INDEX(B_Rep,$U34)="","–",INDEX(B_Rep,$U34)))</f>
        <v/>
      </c>
      <c r="M34" s="56">
        <f>IF($U34="","",IF(INDEX(B_Lager,$U34)="","–",INDEX(B_Lager,$U34)))</f>
        <v/>
      </c>
      <c r="N34" s="58">
        <f>IF($U34="","",IF(INDEX(B_Risiko,$U34)="","–",INDEX(B_Risiko,$U34)))</f>
        <v/>
      </c>
      <c r="O34" s="57">
        <f>IF($U34="","",IF(INDEX(B_Massn,$U34)="","–",INDEX(B_Massn,$U34)))</f>
        <v/>
      </c>
      <c r="P34" s="56" t="n"/>
      <c r="Q34" s="56" t="n"/>
      <c r="R34" s="56" t="n"/>
      <c r="S34" s="2" t="n"/>
      <c r="T34" s="47">
        <f>IFERROR(LARGE(B_Key,2),"")</f>
        <v/>
      </c>
      <c r="U34" s="47">
        <f>IF(T34="","",MATCH(T34,B_Key,0))</f>
        <v/>
      </c>
    </row>
    <row r="35" ht="22" customHeight="1">
      <c r="A35" s="2" t="n"/>
      <c r="B35" s="56">
        <f>IF($U35="","",IF(INDEX(B_Nr,$U35)="","–",INDEX(B_Nr,$U35)))</f>
        <v/>
      </c>
      <c r="C35" s="57">
        <f>IF($U35="","",IF(INDEX(B_Teil,$U35)="","–",INDEX(B_Teil,$U35)))</f>
        <v/>
      </c>
      <c r="D35" s="56" t="n"/>
      <c r="E35" s="56" t="n"/>
      <c r="F35" s="56" t="n"/>
      <c r="G35" s="57">
        <f>IF($U35="","",IF(INDEX(B_Masch,$U35)="","–",INDEX(B_Masch,$U35)))</f>
        <v/>
      </c>
      <c r="H35" s="56" t="n"/>
      <c r="I35" s="56">
        <f>IF($U35="","",IF(INDEX(B_Krit,$U35)="","–",INDEX(B_Krit,$U35)))</f>
        <v/>
      </c>
      <c r="J35" s="56">
        <f>IF($U35="","",IF(INDEX(B_Abk,$U35)="","–",INDEX(B_Abk,$U35)))</f>
        <v/>
      </c>
      <c r="K35" s="56">
        <f>IF($U35="","",IF(INDEX(B_Besch,$U35)="","–",INDEX(B_Besch,$U35)))</f>
        <v/>
      </c>
      <c r="L35" s="56">
        <f>IF($U35="","",IF(INDEX(B_Rep,$U35)="","–",INDEX(B_Rep,$U35)))</f>
        <v/>
      </c>
      <c r="M35" s="56">
        <f>IF($U35="","",IF(INDEX(B_Lager,$U35)="","–",INDEX(B_Lager,$U35)))</f>
        <v/>
      </c>
      <c r="N35" s="58">
        <f>IF($U35="","",IF(INDEX(B_Risiko,$U35)="","–",INDEX(B_Risiko,$U35)))</f>
        <v/>
      </c>
      <c r="O35" s="57">
        <f>IF($U35="","",IF(INDEX(B_Massn,$U35)="","–",INDEX(B_Massn,$U35)))</f>
        <v/>
      </c>
      <c r="P35" s="56" t="n"/>
      <c r="Q35" s="56" t="n"/>
      <c r="R35" s="56" t="n"/>
      <c r="S35" s="2" t="n"/>
      <c r="T35" s="47">
        <f>IFERROR(LARGE(B_Key,3),"")</f>
        <v/>
      </c>
      <c r="U35" s="47">
        <f>IF(T35="","",MATCH(T35,B_Key,0))</f>
        <v/>
      </c>
    </row>
    <row r="36" ht="22" customHeight="1">
      <c r="A36" s="2" t="n"/>
      <c r="B36" s="56">
        <f>IF($U36="","",IF(INDEX(B_Nr,$U36)="","–",INDEX(B_Nr,$U36)))</f>
        <v/>
      </c>
      <c r="C36" s="57">
        <f>IF($U36="","",IF(INDEX(B_Teil,$U36)="","–",INDEX(B_Teil,$U36)))</f>
        <v/>
      </c>
      <c r="D36" s="56" t="n"/>
      <c r="E36" s="56" t="n"/>
      <c r="F36" s="56" t="n"/>
      <c r="G36" s="57">
        <f>IF($U36="","",IF(INDEX(B_Masch,$U36)="","–",INDEX(B_Masch,$U36)))</f>
        <v/>
      </c>
      <c r="H36" s="56" t="n"/>
      <c r="I36" s="56">
        <f>IF($U36="","",IF(INDEX(B_Krit,$U36)="","–",INDEX(B_Krit,$U36)))</f>
        <v/>
      </c>
      <c r="J36" s="56">
        <f>IF($U36="","",IF(INDEX(B_Abk,$U36)="","–",INDEX(B_Abk,$U36)))</f>
        <v/>
      </c>
      <c r="K36" s="56">
        <f>IF($U36="","",IF(INDEX(B_Besch,$U36)="","–",INDEX(B_Besch,$U36)))</f>
        <v/>
      </c>
      <c r="L36" s="56">
        <f>IF($U36="","",IF(INDEX(B_Rep,$U36)="","–",INDEX(B_Rep,$U36)))</f>
        <v/>
      </c>
      <c r="M36" s="56">
        <f>IF($U36="","",IF(INDEX(B_Lager,$U36)="","–",INDEX(B_Lager,$U36)))</f>
        <v/>
      </c>
      <c r="N36" s="58">
        <f>IF($U36="","",IF(INDEX(B_Risiko,$U36)="","–",INDEX(B_Risiko,$U36)))</f>
        <v/>
      </c>
      <c r="O36" s="57">
        <f>IF($U36="","",IF(INDEX(B_Massn,$U36)="","–",INDEX(B_Massn,$U36)))</f>
        <v/>
      </c>
      <c r="P36" s="56" t="n"/>
      <c r="Q36" s="56" t="n"/>
      <c r="R36" s="56" t="n"/>
      <c r="S36" s="2" t="n"/>
      <c r="T36" s="47">
        <f>IFERROR(LARGE(B_Key,4),"")</f>
        <v/>
      </c>
      <c r="U36" s="47">
        <f>IF(T36="","",MATCH(T36,B_Key,0))</f>
        <v/>
      </c>
    </row>
    <row r="37" ht="22" customHeight="1">
      <c r="A37" s="2" t="n"/>
      <c r="B37" s="56">
        <f>IF($U37="","",IF(INDEX(B_Nr,$U37)="","–",INDEX(B_Nr,$U37)))</f>
        <v/>
      </c>
      <c r="C37" s="57">
        <f>IF($U37="","",IF(INDEX(B_Teil,$U37)="","–",INDEX(B_Teil,$U37)))</f>
        <v/>
      </c>
      <c r="D37" s="56" t="n"/>
      <c r="E37" s="56" t="n"/>
      <c r="F37" s="56" t="n"/>
      <c r="G37" s="57">
        <f>IF($U37="","",IF(INDEX(B_Masch,$U37)="","–",INDEX(B_Masch,$U37)))</f>
        <v/>
      </c>
      <c r="H37" s="56" t="n"/>
      <c r="I37" s="56">
        <f>IF($U37="","",IF(INDEX(B_Krit,$U37)="","–",INDEX(B_Krit,$U37)))</f>
        <v/>
      </c>
      <c r="J37" s="56">
        <f>IF($U37="","",IF(INDEX(B_Abk,$U37)="","–",INDEX(B_Abk,$U37)))</f>
        <v/>
      </c>
      <c r="K37" s="56">
        <f>IF($U37="","",IF(INDEX(B_Besch,$U37)="","–",INDEX(B_Besch,$U37)))</f>
        <v/>
      </c>
      <c r="L37" s="56">
        <f>IF($U37="","",IF(INDEX(B_Rep,$U37)="","–",INDEX(B_Rep,$U37)))</f>
        <v/>
      </c>
      <c r="M37" s="56">
        <f>IF($U37="","",IF(INDEX(B_Lager,$U37)="","–",INDEX(B_Lager,$U37)))</f>
        <v/>
      </c>
      <c r="N37" s="58">
        <f>IF($U37="","",IF(INDEX(B_Risiko,$U37)="","–",INDEX(B_Risiko,$U37)))</f>
        <v/>
      </c>
      <c r="O37" s="57">
        <f>IF($U37="","",IF(INDEX(B_Massn,$U37)="","–",INDEX(B_Massn,$U37)))</f>
        <v/>
      </c>
      <c r="P37" s="56" t="n"/>
      <c r="Q37" s="56" t="n"/>
      <c r="R37" s="56" t="n"/>
      <c r="S37" s="2" t="n"/>
      <c r="T37" s="47">
        <f>IFERROR(LARGE(B_Key,5),"")</f>
        <v/>
      </c>
      <c r="U37" s="47">
        <f>IF(T37="","",MATCH(T37,B_Key,0))</f>
        <v/>
      </c>
    </row>
    <row r="38" ht="22" customHeight="1">
      <c r="A38" s="2" t="n"/>
      <c r="B38" s="56">
        <f>IF($U38="","",IF(INDEX(B_Nr,$U38)="","–",INDEX(B_Nr,$U38)))</f>
        <v/>
      </c>
      <c r="C38" s="57">
        <f>IF($U38="","",IF(INDEX(B_Teil,$U38)="","–",INDEX(B_Teil,$U38)))</f>
        <v/>
      </c>
      <c r="D38" s="56" t="n"/>
      <c r="E38" s="56" t="n"/>
      <c r="F38" s="56" t="n"/>
      <c r="G38" s="57">
        <f>IF($U38="","",IF(INDEX(B_Masch,$U38)="","–",INDEX(B_Masch,$U38)))</f>
        <v/>
      </c>
      <c r="H38" s="56" t="n"/>
      <c r="I38" s="56">
        <f>IF($U38="","",IF(INDEX(B_Krit,$U38)="","–",INDEX(B_Krit,$U38)))</f>
        <v/>
      </c>
      <c r="J38" s="56">
        <f>IF($U38="","",IF(INDEX(B_Abk,$U38)="","–",INDEX(B_Abk,$U38)))</f>
        <v/>
      </c>
      <c r="K38" s="56">
        <f>IF($U38="","",IF(INDEX(B_Besch,$U38)="","–",INDEX(B_Besch,$U38)))</f>
        <v/>
      </c>
      <c r="L38" s="56">
        <f>IF($U38="","",IF(INDEX(B_Rep,$U38)="","–",INDEX(B_Rep,$U38)))</f>
        <v/>
      </c>
      <c r="M38" s="56">
        <f>IF($U38="","",IF(INDEX(B_Lager,$U38)="","–",INDEX(B_Lager,$U38)))</f>
        <v/>
      </c>
      <c r="N38" s="58">
        <f>IF($U38="","",IF(INDEX(B_Risiko,$U38)="","–",INDEX(B_Risiko,$U38)))</f>
        <v/>
      </c>
      <c r="O38" s="57">
        <f>IF($U38="","",IF(INDEX(B_Massn,$U38)="","–",INDEX(B_Massn,$U38)))</f>
        <v/>
      </c>
      <c r="P38" s="56" t="n"/>
      <c r="Q38" s="56" t="n"/>
      <c r="R38" s="56" t="n"/>
      <c r="S38" s="2" t="n"/>
      <c r="T38" s="47">
        <f>IFERROR(LARGE(B_Key,6),"")</f>
        <v/>
      </c>
      <c r="U38" s="47">
        <f>IF(T38="","",MATCH(T38,B_Key,0))</f>
        <v/>
      </c>
    </row>
    <row r="39" ht="22" customHeight="1">
      <c r="A39" s="2" t="n"/>
      <c r="B39" s="56">
        <f>IF($U39="","",IF(INDEX(B_Nr,$U39)="","–",INDEX(B_Nr,$U39)))</f>
        <v/>
      </c>
      <c r="C39" s="57">
        <f>IF($U39="","",IF(INDEX(B_Teil,$U39)="","–",INDEX(B_Teil,$U39)))</f>
        <v/>
      </c>
      <c r="D39" s="56" t="n"/>
      <c r="E39" s="56" t="n"/>
      <c r="F39" s="56" t="n"/>
      <c r="G39" s="57">
        <f>IF($U39="","",IF(INDEX(B_Masch,$U39)="","–",INDEX(B_Masch,$U39)))</f>
        <v/>
      </c>
      <c r="H39" s="56" t="n"/>
      <c r="I39" s="56">
        <f>IF($U39="","",IF(INDEX(B_Krit,$U39)="","–",INDEX(B_Krit,$U39)))</f>
        <v/>
      </c>
      <c r="J39" s="56">
        <f>IF($U39="","",IF(INDEX(B_Abk,$U39)="","–",INDEX(B_Abk,$U39)))</f>
        <v/>
      </c>
      <c r="K39" s="56">
        <f>IF($U39="","",IF(INDEX(B_Besch,$U39)="","–",INDEX(B_Besch,$U39)))</f>
        <v/>
      </c>
      <c r="L39" s="56">
        <f>IF($U39="","",IF(INDEX(B_Rep,$U39)="","–",INDEX(B_Rep,$U39)))</f>
        <v/>
      </c>
      <c r="M39" s="56">
        <f>IF($U39="","",IF(INDEX(B_Lager,$U39)="","–",INDEX(B_Lager,$U39)))</f>
        <v/>
      </c>
      <c r="N39" s="58">
        <f>IF($U39="","",IF(INDEX(B_Risiko,$U39)="","–",INDEX(B_Risiko,$U39)))</f>
        <v/>
      </c>
      <c r="O39" s="57">
        <f>IF($U39="","",IF(INDEX(B_Massn,$U39)="","–",INDEX(B_Massn,$U39)))</f>
        <v/>
      </c>
      <c r="P39" s="56" t="n"/>
      <c r="Q39" s="56" t="n"/>
      <c r="R39" s="56" t="n"/>
      <c r="S39" s="2" t="n"/>
      <c r="T39" s="47">
        <f>IFERROR(LARGE(B_Key,7),"")</f>
        <v/>
      </c>
      <c r="U39" s="47">
        <f>IF(T39="","",MATCH(T39,B_Key,0))</f>
        <v/>
      </c>
    </row>
    <row r="40" ht="22" customHeight="1">
      <c r="A40" s="2" t="n"/>
      <c r="B40" s="56">
        <f>IF($U40="","",IF(INDEX(B_Nr,$U40)="","–",INDEX(B_Nr,$U40)))</f>
        <v/>
      </c>
      <c r="C40" s="57">
        <f>IF($U40="","",IF(INDEX(B_Teil,$U40)="","–",INDEX(B_Teil,$U40)))</f>
        <v/>
      </c>
      <c r="D40" s="56" t="n"/>
      <c r="E40" s="56" t="n"/>
      <c r="F40" s="56" t="n"/>
      <c r="G40" s="57">
        <f>IF($U40="","",IF(INDEX(B_Masch,$U40)="","–",INDEX(B_Masch,$U40)))</f>
        <v/>
      </c>
      <c r="H40" s="56" t="n"/>
      <c r="I40" s="56">
        <f>IF($U40="","",IF(INDEX(B_Krit,$U40)="","–",INDEX(B_Krit,$U40)))</f>
        <v/>
      </c>
      <c r="J40" s="56">
        <f>IF($U40="","",IF(INDEX(B_Abk,$U40)="","–",INDEX(B_Abk,$U40)))</f>
        <v/>
      </c>
      <c r="K40" s="56">
        <f>IF($U40="","",IF(INDEX(B_Besch,$U40)="","–",INDEX(B_Besch,$U40)))</f>
        <v/>
      </c>
      <c r="L40" s="56">
        <f>IF($U40="","",IF(INDEX(B_Rep,$U40)="","–",INDEX(B_Rep,$U40)))</f>
        <v/>
      </c>
      <c r="M40" s="56">
        <f>IF($U40="","",IF(INDEX(B_Lager,$U40)="","–",INDEX(B_Lager,$U40)))</f>
        <v/>
      </c>
      <c r="N40" s="58">
        <f>IF($U40="","",IF(INDEX(B_Risiko,$U40)="","–",INDEX(B_Risiko,$U40)))</f>
        <v/>
      </c>
      <c r="O40" s="57">
        <f>IF($U40="","",IF(INDEX(B_Massn,$U40)="","–",INDEX(B_Massn,$U40)))</f>
        <v/>
      </c>
      <c r="P40" s="56" t="n"/>
      <c r="Q40" s="56" t="n"/>
      <c r="R40" s="56" t="n"/>
      <c r="S40" s="2" t="n"/>
      <c r="T40" s="47">
        <f>IFERROR(LARGE(B_Key,8),"")</f>
        <v/>
      </c>
      <c r="U40" s="47">
        <f>IF(T40="","",MATCH(T40,B_Key,0))</f>
        <v/>
      </c>
    </row>
    <row r="41" ht="22" customHeight="1">
      <c r="A41" s="2" t="n"/>
      <c r="B41" s="56">
        <f>IF($U41="","",IF(INDEX(B_Nr,$U41)="","–",INDEX(B_Nr,$U41)))</f>
        <v/>
      </c>
      <c r="C41" s="57">
        <f>IF($U41="","",IF(INDEX(B_Teil,$U41)="","–",INDEX(B_Teil,$U41)))</f>
        <v/>
      </c>
      <c r="D41" s="56" t="n"/>
      <c r="E41" s="56" t="n"/>
      <c r="F41" s="56" t="n"/>
      <c r="G41" s="57">
        <f>IF($U41="","",IF(INDEX(B_Masch,$U41)="","–",INDEX(B_Masch,$U41)))</f>
        <v/>
      </c>
      <c r="H41" s="56" t="n"/>
      <c r="I41" s="56">
        <f>IF($U41="","",IF(INDEX(B_Krit,$U41)="","–",INDEX(B_Krit,$U41)))</f>
        <v/>
      </c>
      <c r="J41" s="56">
        <f>IF($U41="","",IF(INDEX(B_Abk,$U41)="","–",INDEX(B_Abk,$U41)))</f>
        <v/>
      </c>
      <c r="K41" s="56">
        <f>IF($U41="","",IF(INDEX(B_Besch,$U41)="","–",INDEX(B_Besch,$U41)))</f>
        <v/>
      </c>
      <c r="L41" s="56">
        <f>IF($U41="","",IF(INDEX(B_Rep,$U41)="","–",INDEX(B_Rep,$U41)))</f>
        <v/>
      </c>
      <c r="M41" s="56">
        <f>IF($U41="","",IF(INDEX(B_Lager,$U41)="","–",INDEX(B_Lager,$U41)))</f>
        <v/>
      </c>
      <c r="N41" s="58">
        <f>IF($U41="","",IF(INDEX(B_Risiko,$U41)="","–",INDEX(B_Risiko,$U41)))</f>
        <v/>
      </c>
      <c r="O41" s="57">
        <f>IF($U41="","",IF(INDEX(B_Massn,$U41)="","–",INDEX(B_Massn,$U41)))</f>
        <v/>
      </c>
      <c r="P41" s="56" t="n"/>
      <c r="Q41" s="56" t="n"/>
      <c r="R41" s="56" t="n"/>
      <c r="S41" s="2" t="n"/>
      <c r="T41" s="47">
        <f>IFERROR(LARGE(B_Key,9),"")</f>
        <v/>
      </c>
      <c r="U41" s="47">
        <f>IF(T41="","",MATCH(T41,B_Key,0))</f>
        <v/>
      </c>
    </row>
    <row r="42" ht="22" customHeight="1">
      <c r="A42" s="2" t="n"/>
      <c r="B42" s="56">
        <f>IF($U42="","",IF(INDEX(B_Nr,$U42)="","–",INDEX(B_Nr,$U42)))</f>
        <v/>
      </c>
      <c r="C42" s="57">
        <f>IF($U42="","",IF(INDEX(B_Teil,$U42)="","–",INDEX(B_Teil,$U42)))</f>
        <v/>
      </c>
      <c r="D42" s="56" t="n"/>
      <c r="E42" s="56" t="n"/>
      <c r="F42" s="56" t="n"/>
      <c r="G42" s="57">
        <f>IF($U42="","",IF(INDEX(B_Masch,$U42)="","–",INDEX(B_Masch,$U42)))</f>
        <v/>
      </c>
      <c r="H42" s="56" t="n"/>
      <c r="I42" s="56">
        <f>IF($U42="","",IF(INDEX(B_Krit,$U42)="","–",INDEX(B_Krit,$U42)))</f>
        <v/>
      </c>
      <c r="J42" s="56">
        <f>IF($U42="","",IF(INDEX(B_Abk,$U42)="","–",INDEX(B_Abk,$U42)))</f>
        <v/>
      </c>
      <c r="K42" s="56">
        <f>IF($U42="","",IF(INDEX(B_Besch,$U42)="","–",INDEX(B_Besch,$U42)))</f>
        <v/>
      </c>
      <c r="L42" s="56">
        <f>IF($U42="","",IF(INDEX(B_Rep,$U42)="","–",INDEX(B_Rep,$U42)))</f>
        <v/>
      </c>
      <c r="M42" s="56">
        <f>IF($U42="","",IF(INDEX(B_Lager,$U42)="","–",INDEX(B_Lager,$U42)))</f>
        <v/>
      </c>
      <c r="N42" s="58">
        <f>IF($U42="","",IF(INDEX(B_Risiko,$U42)="","–",INDEX(B_Risiko,$U42)))</f>
        <v/>
      </c>
      <c r="O42" s="57">
        <f>IF($U42="","",IF(INDEX(B_Massn,$U42)="","–",INDEX(B_Massn,$U42)))</f>
        <v/>
      </c>
      <c r="P42" s="56" t="n"/>
      <c r="Q42" s="56" t="n"/>
      <c r="R42" s="56" t="n"/>
      <c r="S42" s="2" t="n"/>
      <c r="T42" s="47">
        <f>IFERROR(LARGE(B_Key,10),"")</f>
        <v/>
      </c>
      <c r="U42" s="47">
        <f>IF(T42="","",MATCH(T42,B_Key,0))</f>
        <v/>
      </c>
    </row>
    <row r="43" ht="22" customHeight="1">
      <c r="A43" s="2" t="n"/>
      <c r="B43" s="56">
        <f>IF($U43="","",IF(INDEX(B_Nr,$U43)="","–",INDEX(B_Nr,$U43)))</f>
        <v/>
      </c>
      <c r="C43" s="57">
        <f>IF($U43="","",IF(INDEX(B_Teil,$U43)="","–",INDEX(B_Teil,$U43)))</f>
        <v/>
      </c>
      <c r="D43" s="56" t="n"/>
      <c r="E43" s="56" t="n"/>
      <c r="F43" s="56" t="n"/>
      <c r="G43" s="57">
        <f>IF($U43="","",IF(INDEX(B_Masch,$U43)="","–",INDEX(B_Masch,$U43)))</f>
        <v/>
      </c>
      <c r="H43" s="56" t="n"/>
      <c r="I43" s="56">
        <f>IF($U43="","",IF(INDEX(B_Krit,$U43)="","–",INDEX(B_Krit,$U43)))</f>
        <v/>
      </c>
      <c r="J43" s="56">
        <f>IF($U43="","",IF(INDEX(B_Abk,$U43)="","–",INDEX(B_Abk,$U43)))</f>
        <v/>
      </c>
      <c r="K43" s="56">
        <f>IF($U43="","",IF(INDEX(B_Besch,$U43)="","–",INDEX(B_Besch,$U43)))</f>
        <v/>
      </c>
      <c r="L43" s="56">
        <f>IF($U43="","",IF(INDEX(B_Rep,$U43)="","–",INDEX(B_Rep,$U43)))</f>
        <v/>
      </c>
      <c r="M43" s="56">
        <f>IF($U43="","",IF(INDEX(B_Lager,$U43)="","–",INDEX(B_Lager,$U43)))</f>
        <v/>
      </c>
      <c r="N43" s="58">
        <f>IF($U43="","",IF(INDEX(B_Risiko,$U43)="","–",INDEX(B_Risiko,$U43)))</f>
        <v/>
      </c>
      <c r="O43" s="57">
        <f>IF($U43="","",IF(INDEX(B_Massn,$U43)="","–",INDEX(B_Massn,$U43)))</f>
        <v/>
      </c>
      <c r="P43" s="56" t="n"/>
      <c r="Q43" s="56" t="n"/>
      <c r="R43" s="56" t="n"/>
      <c r="S43" s="2" t="n"/>
      <c r="T43" s="47">
        <f>IFERROR(LARGE(B_Key,11),"")</f>
        <v/>
      </c>
      <c r="U43" s="47">
        <f>IF(T43="","",MATCH(T43,B_Key,0))</f>
        <v/>
      </c>
    </row>
    <row r="44" ht="22" customHeight="1">
      <c r="A44" s="2" t="n"/>
      <c r="B44" s="56">
        <f>IF($U44="","",IF(INDEX(B_Nr,$U44)="","–",INDEX(B_Nr,$U44)))</f>
        <v/>
      </c>
      <c r="C44" s="57">
        <f>IF($U44="","",IF(INDEX(B_Teil,$U44)="","–",INDEX(B_Teil,$U44)))</f>
        <v/>
      </c>
      <c r="D44" s="56" t="n"/>
      <c r="E44" s="56" t="n"/>
      <c r="F44" s="56" t="n"/>
      <c r="G44" s="57">
        <f>IF($U44="","",IF(INDEX(B_Masch,$U44)="","–",INDEX(B_Masch,$U44)))</f>
        <v/>
      </c>
      <c r="H44" s="56" t="n"/>
      <c r="I44" s="56">
        <f>IF($U44="","",IF(INDEX(B_Krit,$U44)="","–",INDEX(B_Krit,$U44)))</f>
        <v/>
      </c>
      <c r="J44" s="56">
        <f>IF($U44="","",IF(INDEX(B_Abk,$U44)="","–",INDEX(B_Abk,$U44)))</f>
        <v/>
      </c>
      <c r="K44" s="56">
        <f>IF($U44="","",IF(INDEX(B_Besch,$U44)="","–",INDEX(B_Besch,$U44)))</f>
        <v/>
      </c>
      <c r="L44" s="56">
        <f>IF($U44="","",IF(INDEX(B_Rep,$U44)="","–",INDEX(B_Rep,$U44)))</f>
        <v/>
      </c>
      <c r="M44" s="56">
        <f>IF($U44="","",IF(INDEX(B_Lager,$U44)="","–",INDEX(B_Lager,$U44)))</f>
        <v/>
      </c>
      <c r="N44" s="58">
        <f>IF($U44="","",IF(INDEX(B_Risiko,$U44)="","–",INDEX(B_Risiko,$U44)))</f>
        <v/>
      </c>
      <c r="O44" s="57">
        <f>IF($U44="","",IF(INDEX(B_Massn,$U44)="","–",INDEX(B_Massn,$U44)))</f>
        <v/>
      </c>
      <c r="P44" s="56" t="n"/>
      <c r="Q44" s="56" t="n"/>
      <c r="R44" s="56" t="n"/>
      <c r="S44" s="2" t="n"/>
      <c r="T44" s="47">
        <f>IFERROR(LARGE(B_Key,12),"")</f>
        <v/>
      </c>
      <c r="U44" s="47">
        <f>IF(T44="","",MATCH(T44,B_Key,0))</f>
        <v/>
      </c>
    </row>
    <row r="45" ht="22" customHeight="1">
      <c r="A45" s="2" t="n"/>
      <c r="B45" s="56">
        <f>IF($U45="","",IF(INDEX(B_Nr,$U45)="","–",INDEX(B_Nr,$U45)))</f>
        <v/>
      </c>
      <c r="C45" s="57">
        <f>IF($U45="","",IF(INDEX(B_Teil,$U45)="","–",INDEX(B_Teil,$U45)))</f>
        <v/>
      </c>
      <c r="D45" s="56" t="n"/>
      <c r="E45" s="56" t="n"/>
      <c r="F45" s="56" t="n"/>
      <c r="G45" s="57">
        <f>IF($U45="","",IF(INDEX(B_Masch,$U45)="","–",INDEX(B_Masch,$U45)))</f>
        <v/>
      </c>
      <c r="H45" s="56" t="n"/>
      <c r="I45" s="56">
        <f>IF($U45="","",IF(INDEX(B_Krit,$U45)="","–",INDEX(B_Krit,$U45)))</f>
        <v/>
      </c>
      <c r="J45" s="56">
        <f>IF($U45="","",IF(INDEX(B_Abk,$U45)="","–",INDEX(B_Abk,$U45)))</f>
        <v/>
      </c>
      <c r="K45" s="56">
        <f>IF($U45="","",IF(INDEX(B_Besch,$U45)="","–",INDEX(B_Besch,$U45)))</f>
        <v/>
      </c>
      <c r="L45" s="56">
        <f>IF($U45="","",IF(INDEX(B_Rep,$U45)="","–",INDEX(B_Rep,$U45)))</f>
        <v/>
      </c>
      <c r="M45" s="56">
        <f>IF($U45="","",IF(INDEX(B_Lager,$U45)="","–",INDEX(B_Lager,$U45)))</f>
        <v/>
      </c>
      <c r="N45" s="58">
        <f>IF($U45="","",IF(INDEX(B_Risiko,$U45)="","–",INDEX(B_Risiko,$U45)))</f>
        <v/>
      </c>
      <c r="O45" s="57">
        <f>IF($U45="","",IF(INDEX(B_Massn,$U45)="","–",INDEX(B_Massn,$U45)))</f>
        <v/>
      </c>
      <c r="P45" s="56" t="n"/>
      <c r="Q45" s="56" t="n"/>
      <c r="R45" s="56" t="n"/>
      <c r="S45" s="2" t="n"/>
      <c r="T45" s="47">
        <f>IFERROR(LARGE(B_Key,13),"")</f>
        <v/>
      </c>
      <c r="U45" s="47">
        <f>IF(T45="","",MATCH(T45,B_Key,0))</f>
        <v/>
      </c>
    </row>
    <row r="46" ht="22" customHeight="1">
      <c r="A46" s="2" t="n"/>
      <c r="B46" s="56">
        <f>IF($U46="","",IF(INDEX(B_Nr,$U46)="","–",INDEX(B_Nr,$U46)))</f>
        <v/>
      </c>
      <c r="C46" s="57">
        <f>IF($U46="","",IF(INDEX(B_Teil,$U46)="","–",INDEX(B_Teil,$U46)))</f>
        <v/>
      </c>
      <c r="D46" s="56" t="n"/>
      <c r="E46" s="56" t="n"/>
      <c r="F46" s="56" t="n"/>
      <c r="G46" s="57">
        <f>IF($U46="","",IF(INDEX(B_Masch,$U46)="","–",INDEX(B_Masch,$U46)))</f>
        <v/>
      </c>
      <c r="H46" s="56" t="n"/>
      <c r="I46" s="56">
        <f>IF($U46="","",IF(INDEX(B_Krit,$U46)="","–",INDEX(B_Krit,$U46)))</f>
        <v/>
      </c>
      <c r="J46" s="56">
        <f>IF($U46="","",IF(INDEX(B_Abk,$U46)="","–",INDEX(B_Abk,$U46)))</f>
        <v/>
      </c>
      <c r="K46" s="56">
        <f>IF($U46="","",IF(INDEX(B_Besch,$U46)="","–",INDEX(B_Besch,$U46)))</f>
        <v/>
      </c>
      <c r="L46" s="56">
        <f>IF($U46="","",IF(INDEX(B_Rep,$U46)="","–",INDEX(B_Rep,$U46)))</f>
        <v/>
      </c>
      <c r="M46" s="56">
        <f>IF($U46="","",IF(INDEX(B_Lager,$U46)="","–",INDEX(B_Lager,$U46)))</f>
        <v/>
      </c>
      <c r="N46" s="58">
        <f>IF($U46="","",IF(INDEX(B_Risiko,$U46)="","–",INDEX(B_Risiko,$U46)))</f>
        <v/>
      </c>
      <c r="O46" s="57">
        <f>IF($U46="","",IF(INDEX(B_Massn,$U46)="","–",INDEX(B_Massn,$U46)))</f>
        <v/>
      </c>
      <c r="P46" s="56" t="n"/>
      <c r="Q46" s="56" t="n"/>
      <c r="R46" s="56" t="n"/>
      <c r="S46" s="2" t="n"/>
      <c r="T46" s="47">
        <f>IFERROR(LARGE(B_Key,14),"")</f>
        <v/>
      </c>
      <c r="U46" s="47">
        <f>IF(T46="","",MATCH(T46,B_Key,0))</f>
        <v/>
      </c>
    </row>
    <row r="47" ht="22" customHeight="1">
      <c r="A47" s="2" t="n"/>
      <c r="B47" s="56">
        <f>IF($U47="","",IF(INDEX(B_Nr,$U47)="","–",INDEX(B_Nr,$U47)))</f>
        <v/>
      </c>
      <c r="C47" s="57">
        <f>IF($U47="","",IF(INDEX(B_Teil,$U47)="","–",INDEX(B_Teil,$U47)))</f>
        <v/>
      </c>
      <c r="D47" s="56" t="n"/>
      <c r="E47" s="56" t="n"/>
      <c r="F47" s="56" t="n"/>
      <c r="G47" s="57">
        <f>IF($U47="","",IF(INDEX(B_Masch,$U47)="","–",INDEX(B_Masch,$U47)))</f>
        <v/>
      </c>
      <c r="H47" s="56" t="n"/>
      <c r="I47" s="56">
        <f>IF($U47="","",IF(INDEX(B_Krit,$U47)="","–",INDEX(B_Krit,$U47)))</f>
        <v/>
      </c>
      <c r="J47" s="56">
        <f>IF($U47="","",IF(INDEX(B_Abk,$U47)="","–",INDEX(B_Abk,$U47)))</f>
        <v/>
      </c>
      <c r="K47" s="56">
        <f>IF($U47="","",IF(INDEX(B_Besch,$U47)="","–",INDEX(B_Besch,$U47)))</f>
        <v/>
      </c>
      <c r="L47" s="56">
        <f>IF($U47="","",IF(INDEX(B_Rep,$U47)="","–",INDEX(B_Rep,$U47)))</f>
        <v/>
      </c>
      <c r="M47" s="56">
        <f>IF($U47="","",IF(INDEX(B_Lager,$U47)="","–",INDEX(B_Lager,$U47)))</f>
        <v/>
      </c>
      <c r="N47" s="58">
        <f>IF($U47="","",IF(INDEX(B_Risiko,$U47)="","–",INDEX(B_Risiko,$U47)))</f>
        <v/>
      </c>
      <c r="O47" s="57">
        <f>IF($U47="","",IF(INDEX(B_Massn,$U47)="","–",INDEX(B_Massn,$U47)))</f>
        <v/>
      </c>
      <c r="P47" s="56" t="n"/>
      <c r="Q47" s="56" t="n"/>
      <c r="R47" s="56" t="n"/>
      <c r="S47" s="2" t="n"/>
      <c r="T47" s="47">
        <f>IFERROR(LARGE(B_Key,15),"")</f>
        <v/>
      </c>
      <c r="U47" s="47">
        <f>IF(T47="","",MATCH(T47,B_Key,0))</f>
        <v/>
      </c>
    </row>
    <row r="48">
      <c r="A48" s="2" t="n"/>
      <c r="B48" s="38" t="inlineStr">
        <is>
          <t>Sortiert nach Risiko, bei Gleichstand nach Kritikalität. Vollständige Liste: Blatt „Bewertung“ (Filter auf Spalte „Ampel“).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</row>
  </sheetData>
  <mergeCells count="129">
    <mergeCell ref="B11:D11"/>
    <mergeCell ref="C39:F39"/>
    <mergeCell ref="B16:F16"/>
    <mergeCell ref="B24:H24"/>
    <mergeCell ref="C32:F32"/>
    <mergeCell ref="C37:F37"/>
    <mergeCell ref="I26:J26"/>
    <mergeCell ref="E8:F8"/>
    <mergeCell ref="B18:F18"/>
    <mergeCell ref="O37:R37"/>
    <mergeCell ref="B26:H26"/>
    <mergeCell ref="K27:M27"/>
    <mergeCell ref="I25:J25"/>
    <mergeCell ref="M10:N10"/>
    <mergeCell ref="B25:H25"/>
    <mergeCell ref="G18:H18"/>
    <mergeCell ref="G34:H34"/>
    <mergeCell ref="B27:H27"/>
    <mergeCell ref="C41:F41"/>
    <mergeCell ref="K14:R14"/>
    <mergeCell ref="M8:N8"/>
    <mergeCell ref="K25:M25"/>
    <mergeCell ref="O32:R32"/>
    <mergeCell ref="O41:R41"/>
    <mergeCell ref="K17:O17"/>
    <mergeCell ref="O35:R35"/>
    <mergeCell ref="B15:F15"/>
    <mergeCell ref="P15:Q15"/>
    <mergeCell ref="C43:F43"/>
    <mergeCell ref="O43:R43"/>
    <mergeCell ref="K19:O19"/>
    <mergeCell ref="G44:H44"/>
    <mergeCell ref="O40:R40"/>
    <mergeCell ref="C36:F36"/>
    <mergeCell ref="K16:O16"/>
    <mergeCell ref="B8:D8"/>
    <mergeCell ref="B31:R31"/>
    <mergeCell ref="B10:D10"/>
    <mergeCell ref="G7:H7"/>
    <mergeCell ref="G38:H38"/>
    <mergeCell ref="I7:J7"/>
    <mergeCell ref="K23:M23"/>
    <mergeCell ref="B9:D9"/>
    <mergeCell ref="B14:I14"/>
    <mergeCell ref="B3:E3"/>
    <mergeCell ref="B17:F17"/>
    <mergeCell ref="M7:N7"/>
    <mergeCell ref="O45:R45"/>
    <mergeCell ref="I24:J24"/>
    <mergeCell ref="G33:H33"/>
    <mergeCell ref="B19:F19"/>
    <mergeCell ref="I8:J8"/>
    <mergeCell ref="G35:H35"/>
    <mergeCell ref="C40:F40"/>
    <mergeCell ref="G16:H16"/>
    <mergeCell ref="I10:J10"/>
    <mergeCell ref="K10:L10"/>
    <mergeCell ref="G9:H9"/>
    <mergeCell ref="F3:H3"/>
    <mergeCell ref="I9:J9"/>
    <mergeCell ref="B28:H28"/>
    <mergeCell ref="K18:O18"/>
    <mergeCell ref="G11:H11"/>
    <mergeCell ref="G42:H42"/>
    <mergeCell ref="K9:L9"/>
    <mergeCell ref="I11:J11"/>
    <mergeCell ref="M9:N9"/>
    <mergeCell ref="G39:H39"/>
    <mergeCell ref="B22:R22"/>
    <mergeCell ref="K11:L11"/>
    <mergeCell ref="M11:N11"/>
    <mergeCell ref="C34:F34"/>
    <mergeCell ref="G37:H37"/>
    <mergeCell ref="O34:R34"/>
    <mergeCell ref="P17:Q17"/>
    <mergeCell ref="C45:F45"/>
    <mergeCell ref="O39:R39"/>
    <mergeCell ref="K8:L8"/>
    <mergeCell ref="O36:R36"/>
    <mergeCell ref="G15:H15"/>
    <mergeCell ref="I23:J23"/>
    <mergeCell ref="P19:Q19"/>
    <mergeCell ref="C47:F47"/>
    <mergeCell ref="C44:F44"/>
    <mergeCell ref="B23:H23"/>
    <mergeCell ref="K7:L7"/>
    <mergeCell ref="K24:M24"/>
    <mergeCell ref="O44:R44"/>
    <mergeCell ref="E7:F7"/>
    <mergeCell ref="G32:H32"/>
    <mergeCell ref="G41:H41"/>
    <mergeCell ref="C46:F46"/>
    <mergeCell ref="K26:M26"/>
    <mergeCell ref="O46:R46"/>
    <mergeCell ref="G43:H43"/>
    <mergeCell ref="O47:R47"/>
    <mergeCell ref="K15:O15"/>
    <mergeCell ref="C38:F38"/>
    <mergeCell ref="I27:J27"/>
    <mergeCell ref="G36:H36"/>
    <mergeCell ref="B1:M1"/>
    <mergeCell ref="G8:H8"/>
    <mergeCell ref="O38:R38"/>
    <mergeCell ref="G17:H17"/>
    <mergeCell ref="B4:E4"/>
    <mergeCell ref="E10:F10"/>
    <mergeCell ref="G10:H10"/>
    <mergeCell ref="G19:H19"/>
    <mergeCell ref="B2:R2"/>
    <mergeCell ref="C33:F33"/>
    <mergeCell ref="I28:J28"/>
    <mergeCell ref="C42:F42"/>
    <mergeCell ref="E9:F9"/>
    <mergeCell ref="O33:R33"/>
    <mergeCell ref="I3:J3"/>
    <mergeCell ref="K28:M28"/>
    <mergeCell ref="C35:F35"/>
    <mergeCell ref="P16:Q16"/>
    <mergeCell ref="E11:F11"/>
    <mergeCell ref="F4:H4"/>
    <mergeCell ref="G45:H45"/>
    <mergeCell ref="B7:D7"/>
    <mergeCell ref="P18:Q18"/>
    <mergeCell ref="I4:J4"/>
    <mergeCell ref="G47:H47"/>
    <mergeCell ref="B6:R6"/>
    <mergeCell ref="G46:H46"/>
    <mergeCell ref="G40:H40"/>
    <mergeCell ref="O42:R42"/>
  </mergeCells>
  <conditionalFormatting sqref="B8:D8">
    <cfRule type="expression" priority="1" dxfId="3">
      <formula>TRUE</formula>
    </cfRule>
  </conditionalFormatting>
  <conditionalFormatting sqref="B9:D9">
    <cfRule type="expression" priority="2" dxfId="6">
      <formula>TRUE</formula>
    </cfRule>
  </conditionalFormatting>
  <conditionalFormatting sqref="B10:D10">
    <cfRule type="expression" priority="3" dxfId="14">
      <formula>TRUE</formula>
    </cfRule>
  </conditionalFormatting>
  <conditionalFormatting sqref="E8:E11">
    <cfRule type="cellIs" priority="4" operator="greaterThan" dxfId="14">
      <formula>0</formula>
    </cfRule>
  </conditionalFormatting>
  <conditionalFormatting sqref="G8:G11">
    <cfRule type="cellIs" priority="5" operator="greaterThan" dxfId="6">
      <formula>0</formula>
    </cfRule>
  </conditionalFormatting>
  <conditionalFormatting sqref="I8:I11">
    <cfRule type="cellIs" priority="6" operator="greaterThan" dxfId="3">
      <formula>0</formula>
    </cfRule>
  </conditionalFormatting>
  <conditionalFormatting sqref="G19:I19">
    <cfRule type="cellIs" priority="7" operator="greaterThan" dxfId="15">
      <formula>0</formula>
    </cfRule>
  </conditionalFormatting>
  <conditionalFormatting sqref="B25:M25">
    <cfRule type="expression" priority="8" dxfId="12">
      <formula>$I$25&gt;0</formula>
    </cfRule>
  </conditionalFormatting>
  <conditionalFormatting sqref="B27:M27">
    <cfRule type="expression" priority="9" dxfId="10">
      <formula>$I$27&gt;0</formula>
    </cfRule>
  </conditionalFormatting>
  <conditionalFormatting sqref="I33:I47">
    <cfRule type="expression" priority="10" dxfId="0">
      <formula>I33="A"</formula>
    </cfRule>
    <cfRule type="expression" priority="11" dxfId="1">
      <formula>I33="B"</formula>
    </cfRule>
    <cfRule type="expression" priority="12" dxfId="2">
      <formula>I33="C"</formula>
    </cfRule>
  </conditionalFormatting>
  <conditionalFormatting sqref="J33:J47">
    <cfRule type="expression" priority="13" dxfId="10">
      <formula>OR(J33="ja",J33="yes")</formula>
    </cfRule>
  </conditionalFormatting>
  <conditionalFormatting sqref="K33:K47">
    <cfRule type="expression" priority="14" dxfId="10">
      <formula>OR(K33="nein",K33="no")</formula>
    </cfRule>
  </conditionalFormatting>
  <conditionalFormatting sqref="L33:L47">
    <cfRule type="expression" priority="15" dxfId="10">
      <formula>OR(L33="nein",L33="no")</formula>
    </cfRule>
  </conditionalFormatting>
  <conditionalFormatting sqref="M33:M47">
    <cfRule type="expression" priority="16" dxfId="10">
      <formula>OR(M33="nein",M33="no")</formula>
    </cfRule>
  </conditionalFormatting>
  <conditionalFormatting sqref="N33:N47">
    <cfRule type="expression" priority="17" dxfId="0">
      <formula>AND(N33&lt;&gt;"",N33&lt;&gt;"–",N33&gt;Gelb_bis)</formula>
    </cfRule>
    <cfRule type="expression" priority="18" dxfId="6">
      <formula>AND(N33&lt;&gt;"",N33&lt;&gt;"–",N33&gt;Gruen_bis,N33&lt;=Gelb_bis)</formula>
    </cfRule>
    <cfRule type="expression" priority="19" dxfId="14">
      <formula>AND(N33&lt;&gt;"",N33&lt;&gt;"–",N33&lt;=Gruen_bis)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&amp;L&amp;8 Bewertung Ersatzteilkritikalität – Übersicht&amp;R&amp;8 Seite / Page &amp;P /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8A94A6"/>
    <outlinePr summaryBelow="1" summaryRight="1"/>
    <pageSetUpPr fitToPage="1"/>
  </sheetPr>
  <dimension ref="A1:E4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58" customWidth="1" min="4" max="4"/>
    <col width="50" customWidth="1" min="5" max="5"/>
    <col width="4" customWidth="1" min="6" max="6"/>
  </cols>
  <sheetData>
    <row r="1" ht="25.5" customHeight="1">
      <c r="A1" s="1" t="inlineStr">
        <is>
          <t>Einstellungen / Settings</t>
        </is>
      </c>
      <c r="B1" s="2" t="n"/>
      <c r="C1" s="2" t="n"/>
      <c r="D1" s="2" t="n"/>
      <c r="E1" s="2" t="n"/>
    </row>
    <row r="2">
      <c r="A2" s="37" t="inlineStr">
        <is>
          <t>Einmal je Werk prüfen. Blaue Werte sind änderbar – das Blatt „Bewertung“ rechnet automatisch mit. / Check once per plant.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42" t="inlineStr">
        <is>
          <t>1  Kritikalität / Criticality – Was passiert, wenn das Teil ausfällt?</t>
        </is>
      </c>
      <c r="B4" s="43" t="n"/>
      <c r="C4" s="43" t="n"/>
      <c r="D4" s="43" t="n"/>
      <c r="E4" s="43" t="n"/>
    </row>
    <row r="5">
      <c r="A5" s="20" t="inlineStr">
        <is>
          <t>Klasse / Class</t>
        </is>
      </c>
      <c r="B5" s="20" t="inlineStr">
        <is>
          <t>Faktor</t>
        </is>
      </c>
      <c r="C5" s="20" t="inlineStr">
        <is>
          <t>Ausfallkosten je Tag</t>
        </is>
      </c>
      <c r="D5" s="20" t="inlineStr">
        <is>
          <t>Bedeutung (DE)</t>
        </is>
      </c>
      <c r="E5" s="20" t="inlineStr">
        <is>
          <t>Meaning (EN)</t>
        </is>
      </c>
    </row>
    <row r="6" ht="28" customHeight="1">
      <c r="A6" s="59" t="inlineStr">
        <is>
          <t>A</t>
        </is>
      </c>
      <c r="B6" s="60" t="n">
        <v>3</v>
      </c>
      <c r="C6" s="61" t="n">
        <v>10000</v>
      </c>
      <c r="D6" s="62" t="inlineStr">
        <is>
          <t>Linie / Engpass steht, kein Ausweichen – Lieferung an den Kunden gefährdet.</t>
        </is>
      </c>
      <c r="E6" s="63" t="inlineStr">
        <is>
          <t>Line / bottleneck stops, no alternative – customer supply at risk.</t>
        </is>
      </c>
    </row>
    <row r="7" ht="28" customHeight="1">
      <c r="A7" s="59" t="inlineStr">
        <is>
          <t>B</t>
        </is>
      </c>
      <c r="B7" s="60" t="n">
        <v>2</v>
      </c>
      <c r="C7" s="61" t="n">
        <v>2000</v>
      </c>
      <c r="D7" s="62" t="inlineStr">
        <is>
          <t>Maschine steht, Produktion kann ausweichen oder Puffer reicht einige Tage.</t>
        </is>
      </c>
      <c r="E7" s="63" t="inlineStr">
        <is>
          <t>Machine stops, production can be shifted or buffer lasts a few days.</t>
        </is>
      </c>
    </row>
    <row r="8" ht="28" customHeight="1">
      <c r="A8" s="59" t="inlineStr">
        <is>
          <t>C</t>
        </is>
      </c>
      <c r="B8" s="60" t="n">
        <v>1</v>
      </c>
      <c r="C8" s="61" t="n">
        <v>0</v>
      </c>
      <c r="D8" s="62" t="inlineStr">
        <is>
          <t>Kein Stillstand: Redundanz, Ausweichanlage oder Teil nicht produktionsrelevant.</t>
        </is>
      </c>
      <c r="E8" s="63" t="inlineStr">
        <is>
          <t>No downtime: redundancy, alternative machine or not production-relevant.</t>
        </is>
      </c>
    </row>
    <row r="9">
      <c r="A9" s="38" t="inlineStr">
        <is>
          <t>Faktor: Risiko = Faktor × Risikopunkte. Ausfallkosten je Tag: Annahme (Vorschlag) – mit dem Controlling des Werks abstimmen.</t>
        </is>
      </c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42" t="inlineStr">
        <is>
          <t>2  Die Fragen / The questions</t>
        </is>
      </c>
      <c r="B11" s="43" t="n"/>
      <c r="C11" s="43" t="n"/>
      <c r="D11" s="43" t="n"/>
      <c r="E11" s="43" t="n"/>
    </row>
    <row r="12">
      <c r="A12" s="20" t="inlineStr">
        <is>
          <t>Frage / Question</t>
        </is>
      </c>
      <c r="B12" s="64" t="n"/>
      <c r="C12" s="65" t="n"/>
      <c r="D12" s="20" t="inlineStr">
        <is>
          <t>Mit „ja“ beantworten, wenn … (DE)</t>
        </is>
      </c>
      <c r="E12" s="20" t="inlineStr">
        <is>
          <t>Answer “yes” if … (EN)</t>
        </is>
      </c>
    </row>
    <row r="13" ht="30" customHeight="1">
      <c r="A13" s="66" t="inlineStr">
        <is>
          <t>Abgekündigt? / Discontinued?</t>
        </is>
      </c>
      <c r="B13" s="66" t="n"/>
      <c r="C13" s="66" t="n"/>
      <c r="D13" s="62" t="inlineStr">
        <is>
          <t>der Hersteller das Teil abgekündigt hat oder die Abkündigung angekündigt ist (auch wenn es noch Restbestände gibt).</t>
        </is>
      </c>
      <c r="E13" s="63" t="inlineStr">
        <is>
          <t>the manufacturer has discontinued the part or announced its discontinuation (even if stock is still available).</t>
        </is>
      </c>
    </row>
    <row r="14" ht="30" customHeight="1">
      <c r="A14" s="66" t="inlineStr">
        <is>
          <t>Nachfolger verfügbar? / Successor?</t>
        </is>
      </c>
      <c r="B14" s="66" t="n"/>
      <c r="C14" s="66" t="n"/>
      <c r="D14" s="62" t="inlineStr">
        <is>
          <t>es ein freigegebenes oder technisch passendes Nachfolgeprodukt gibt (nur bei „abgekündigt = ja“ ausfüllen; leer = nein).</t>
        </is>
      </c>
      <c r="E14" s="63" t="inlineStr">
        <is>
          <t>a released or technically suitable successor exists (only if discontinued = yes; empty = no).</t>
        </is>
      </c>
    </row>
    <row r="15" ht="30" customHeight="1">
      <c r="A15" s="66" t="inlineStr">
        <is>
          <t>Beschaffbar? / Available?</t>
        </is>
      </c>
      <c r="B15" s="66" t="n"/>
      <c r="C15" s="66" t="n"/>
      <c r="D15" s="62" t="inlineStr">
        <is>
          <t>das Teil heute beim Hersteller oder Händler in normaler Lieferzeit bestellbar ist (nicht nur Gebrauchtmarkt).</t>
        </is>
      </c>
      <c r="E15" s="63" t="inlineStr">
        <is>
          <t>the part can be ordered today from manufacturer or dealer within normal lead time (not used market only).</t>
        </is>
      </c>
    </row>
    <row r="16" ht="30" customHeight="1">
      <c r="A16" s="66" t="inlineStr">
        <is>
          <t>Reparierbar? / Repairable?</t>
        </is>
      </c>
      <c r="B16" s="66" t="n"/>
      <c r="C16" s="66" t="n"/>
      <c r="D16" s="62" t="inlineStr">
        <is>
          <t>das defekte Teil intern oder von einem Dienstleister repariert werden kann.</t>
        </is>
      </c>
      <c r="E16" s="63" t="inlineStr">
        <is>
          <t>the failed part can be repaired in-house or by a service provider.</t>
        </is>
      </c>
    </row>
    <row r="17" ht="30" customHeight="1">
      <c r="A17" s="66" t="inlineStr">
        <is>
          <t>Lager vor Ort? / In stock on site?</t>
        </is>
      </c>
      <c r="B17" s="66" t="n"/>
      <c r="C17" s="66" t="n"/>
      <c r="D17" s="62" t="inlineStr">
        <is>
          <t>mindestens ein einsatzfähiges Teil im eigenen Werk liegt.</t>
        </is>
      </c>
      <c r="E17" s="63" t="inlineStr">
        <is>
          <t>at least one ready-to-use part is stored at the own plant.</t>
        </is>
      </c>
    </row>
    <row r="18">
      <c r="A18" s="38" t="inlineStr">
        <is>
          <t>Risikopunkte = Anzahl „nein“ bei Beschaffbar / Reparierbar / Lager (0–3) + Zuschlag Abkündigung (Abschnitt 4). Eingabe „ja“/„nein“ oder „yes“/„no“.</t>
        </is>
      </c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42" t="inlineStr">
        <is>
          <t>3  Ampel / Traffic light</t>
        </is>
      </c>
      <c r="B20" s="43" t="n"/>
      <c r="C20" s="43" t="n"/>
      <c r="D20" s="43" t="n"/>
      <c r="E20" s="43" t="n"/>
    </row>
    <row r="21">
      <c r="A21" s="20" t="inlineStr">
        <is>
          <t>Ampel</t>
        </is>
      </c>
      <c r="B21" s="20" t="inlineStr">
        <is>
          <t>Risiko bis</t>
        </is>
      </c>
      <c r="C21" s="20" t="inlineStr"/>
      <c r="D21" s="20" t="inlineStr">
        <is>
          <t>Bedeutung</t>
        </is>
      </c>
      <c r="E21" s="2" t="n"/>
    </row>
    <row r="22" ht="20" customHeight="1">
      <c r="A22" s="67" t="inlineStr">
        <is>
          <t>grün</t>
        </is>
      </c>
      <c r="B22" s="60" t="n">
        <v>3</v>
      </c>
      <c r="C22" s="2" t="n"/>
      <c r="D22" s="68" t="inlineStr">
        <is>
          <t>Ausfall beherrschbar – keine aktive Maßnahme, jährlich prüfen.</t>
        </is>
      </c>
      <c r="E22" s="2" t="n"/>
    </row>
    <row r="23" ht="20" customHeight="1">
      <c r="A23" s="69" t="inlineStr">
        <is>
          <t>gelb</t>
        </is>
      </c>
      <c r="B23" s="60" t="n">
        <v>5</v>
      </c>
      <c r="C23" s="2" t="n"/>
      <c r="D23" s="68" t="inlineStr">
        <is>
          <t>Absicherung prüfen – Maßnahme planen.</t>
        </is>
      </c>
      <c r="E23" s="2" t="n"/>
    </row>
    <row r="24" ht="20" customHeight="1">
      <c r="A24" s="70" t="inlineStr">
        <is>
          <t>rot</t>
        </is>
      </c>
      <c r="B24" s="56" t="inlineStr">
        <is>
          <t>darüber</t>
        </is>
      </c>
      <c r="C24" s="2" t="n"/>
      <c r="D24" s="68" t="inlineStr">
        <is>
          <t>Hohes Risiko – Maßnahme mit Verantwortlichem und Termin.</t>
        </is>
      </c>
      <c r="E24" s="2" t="n"/>
    </row>
    <row r="25">
      <c r="A25" s="38" t="inlineStr">
        <is>
          <t>Standard wie im bisherigen Schema: grün 0–3, gelb 4–5, rot ab 6.</t>
        </is>
      </c>
      <c r="B25" s="2" t="n"/>
      <c r="C25" s="2" t="n"/>
      <c r="D25" s="2" t="n"/>
      <c r="E25" s="2" t="n"/>
    </row>
    <row r="26">
      <c r="A26" s="2" t="n"/>
      <c r="B26" s="2" t="n"/>
      <c r="C26" s="2" t="n"/>
      <c r="D26" s="2" t="n"/>
      <c r="E26" s="2" t="n"/>
    </row>
    <row r="27">
      <c r="A27" s="42" t="inlineStr">
        <is>
          <t>4  Zuschlag Abkündigung / Discontinuation surcharge</t>
        </is>
      </c>
      <c r="B27" s="43" t="n"/>
      <c r="C27" s="43" t="n"/>
      <c r="D27" s="43" t="n"/>
      <c r="E27" s="43" t="n"/>
    </row>
    <row r="28" ht="30" customHeight="1">
      <c r="A28" s="71" t="inlineStr">
        <is>
          <t>Abgekündigt, kein Nachfolger (Risikopunkte)</t>
        </is>
      </c>
      <c r="B28" s="2" t="n"/>
      <c r="C28" s="72" t="n">
        <v>2</v>
      </c>
      <c r="D28" s="73" t="inlineStr">
        <is>
          <t>Zuschlag zu den Risikopunkten. 2 = wiegt doppelt so schwer wie ein „nein“, weil die Versorgung langfristig nicht mehr gesichert ist. Beispiel: A-Teil am Lager, beschaffbar, reparierbar, aber abgekündigt ohne Nachfolger → 3 × 2 = 6 → rot.</t>
        </is>
      </c>
      <c r="E28" s="2" t="n"/>
    </row>
    <row r="29" ht="30" customHeight="1">
      <c r="A29" s="71" t="inlineStr">
        <is>
          <t>Abgekündigt, Nachfolger verfügbar (Risikopunkte)</t>
        </is>
      </c>
      <c r="B29" s="2" t="n"/>
      <c r="C29" s="72" t="n">
        <v>1</v>
      </c>
      <c r="D29" s="73" t="inlineStr">
        <is>
          <t>Geringerer Zuschlag, weil ein Umstieg möglich ist (Umrüstaufwand, Freigabe, Kompatibilität).</t>
        </is>
      </c>
      <c r="E29" s="2" t="n"/>
    </row>
    <row r="30">
      <c r="A30" s="2" t="n"/>
      <c r="B30" s="2" t="n"/>
      <c r="C30" s="2" t="n"/>
      <c r="D30" s="2" t="n"/>
      <c r="E30" s="2" t="n"/>
    </row>
    <row r="31">
      <c r="A31" s="42" t="inlineStr">
        <is>
          <t>5  Wirtschaftlichkeit / Economics</t>
        </is>
      </c>
      <c r="B31" s="43" t="n"/>
      <c r="C31" s="43" t="n"/>
      <c r="D31" s="43" t="n"/>
      <c r="E31" s="43" t="n"/>
    </row>
    <row r="32" ht="30" customHeight="1">
      <c r="A32" s="71" t="inlineStr">
        <is>
          <t>Ausfallzeit ohne Teil – beschaffbar (Tage)</t>
        </is>
      </c>
      <c r="B32" s="2" t="n"/>
      <c r="C32" s="72" t="n">
        <v>10</v>
      </c>
      <c r="D32" s="73" t="inlineStr">
        <is>
          <t>Annahme (Vorschlag): Tage bis zum Ersatz, wenn das Teil nicht am Lager, aber bestellbar ist. Gilt, wenn in der Bewertung nichts eingetragen ist.</t>
        </is>
      </c>
      <c r="E32" s="2" t="n"/>
    </row>
    <row r="33" ht="30" customHeight="1">
      <c r="A33" s="71" t="inlineStr">
        <is>
          <t>Ausfallzeit ohne Teil – nicht beschaffbar (Tage)</t>
        </is>
      </c>
      <c r="B33" s="2" t="n"/>
      <c r="C33" s="72" t="n">
        <v>30</v>
      </c>
      <c r="D33" s="73" t="inlineStr">
        <is>
          <t>Annahme (Vorschlag): Tage bis zur Ersatzlösung (Reparatur, Gebrauchtteil, Umbau), wenn das Teil nicht bestellbar ist.</t>
        </is>
      </c>
      <c r="E33" s="2" t="n"/>
    </row>
    <row r="34" ht="30" customHeight="1">
      <c r="A34" s="71" t="inlineStr">
        <is>
          <t>Bevorratung lohnt ab Faktor</t>
        </is>
      </c>
      <c r="B34" s="2" t="n"/>
      <c r="C34" s="74" t="n">
        <v>1</v>
      </c>
      <c r="D34" s="73" t="inlineStr">
        <is>
          <t>Bevorratung lohnt, wenn Ausfallkosten ≥ Faktor × Stückpreis.</t>
        </is>
      </c>
      <c r="E34" s="2" t="n"/>
    </row>
    <row r="35" ht="30" customHeight="1">
      <c r="A35" s="71" t="inlineStr">
        <is>
          <t>Währung / Currency</t>
        </is>
      </c>
      <c r="B35" s="2" t="n"/>
      <c r="C35" s="60" t="inlineStr">
        <is>
          <t>EUR</t>
        </is>
      </c>
      <c r="D35" s="73" t="inlineStr">
        <is>
          <t>Nur Anzeige.</t>
        </is>
      </c>
      <c r="E35" s="2" t="n"/>
    </row>
    <row r="36">
      <c r="A36" s="2" t="n"/>
      <c r="B36" s="2" t="n"/>
      <c r="C36" s="2" t="n"/>
      <c r="D36" s="2" t="n"/>
      <c r="E36" s="2" t="n"/>
    </row>
    <row r="37">
      <c r="A37" s="42" t="inlineStr">
        <is>
          <t>6  Status-Liste / Status list</t>
        </is>
      </c>
      <c r="B37" s="43" t="n"/>
      <c r="C37" s="43" t="n"/>
      <c r="D37" s="43" t="n"/>
      <c r="E37" s="43" t="n"/>
    </row>
    <row r="38">
      <c r="A38" s="75" t="inlineStr">
        <is>
          <t>offen / open</t>
        </is>
      </c>
      <c r="B38" s="2" t="n"/>
      <c r="C38" s="2" t="n"/>
      <c r="D38" s="2" t="n"/>
      <c r="E38" s="2" t="n"/>
    </row>
    <row r="39">
      <c r="A39" s="75" t="inlineStr">
        <is>
          <t>in Arbeit / in progress</t>
        </is>
      </c>
      <c r="B39" s="2" t="n"/>
      <c r="C39" s="2" t="n"/>
      <c r="D39" s="2" t="n"/>
      <c r="E39" s="2" t="n"/>
    </row>
    <row r="40">
      <c r="A40" s="75" t="inlineStr">
        <is>
          <t>erledigt / done</t>
        </is>
      </c>
      <c r="B40" s="2" t="n"/>
      <c r="C40" s="2" t="n"/>
      <c r="D40" s="2" t="n"/>
      <c r="E40" s="2" t="n"/>
    </row>
  </sheetData>
  <mergeCells count="24">
    <mergeCell ref="D34:E34"/>
    <mergeCell ref="A11:E11"/>
    <mergeCell ref="A12:C12"/>
    <mergeCell ref="D35:E35"/>
    <mergeCell ref="A14:C14"/>
    <mergeCell ref="A17:C17"/>
    <mergeCell ref="D32:E32"/>
    <mergeCell ref="A37:E37"/>
    <mergeCell ref="A27:E27"/>
    <mergeCell ref="A13:C13"/>
    <mergeCell ref="A33:B33"/>
    <mergeCell ref="A32:B32"/>
    <mergeCell ref="D28:E28"/>
    <mergeCell ref="A15:C15"/>
    <mergeCell ref="A35:B35"/>
    <mergeCell ref="A4:E4"/>
    <mergeCell ref="A20:E20"/>
    <mergeCell ref="A29:B29"/>
    <mergeCell ref="D33:E33"/>
    <mergeCell ref="D29:E29"/>
    <mergeCell ref="A28:B28"/>
    <mergeCell ref="A31:E31"/>
    <mergeCell ref="A16:C16"/>
    <mergeCell ref="A34:B34"/>
  </mergeCells>
  <conditionalFormatting sqref="A6:A8">
    <cfRule type="expression" priority="1" dxfId="0">
      <formula>A6="A"</formula>
    </cfRule>
    <cfRule type="expression" priority="2" dxfId="1">
      <formula>A6="B"</formula>
    </cfRule>
    <cfRule type="expression" priority="3" dxfId="2">
      <formula>A6="C"</formula>
    </cfRule>
  </conditionalFormatting>
  <pageMargins left="0.4" right="0.4" top="0.5" bottom="0.5" header="0.5" footer="0.5"/>
  <pageSetup orientation="landscape" paperSize="9" fitToHeight="0" fitToWidth="1"/>
  <headerFooter>
    <oddHeader/>
    <oddFooter>&amp;L&amp;8 Bewertung Ersatzteilkritikalität – Einstellungen&amp;R&amp;8 Seite /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8A94A6"/>
    <outlinePr summaryBelow="1" summaryRight="1"/>
    <pageSetUpPr fitToPage="1"/>
  </sheetPr>
  <dimension ref="A1:B2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8" customWidth="1" min="2" max="2"/>
  </cols>
  <sheetData>
    <row r="1" ht="25.5" customHeight="1">
      <c r="A1" s="1" t="inlineStr">
        <is>
          <t>Anleitung / Instructions</t>
        </is>
      </c>
      <c r="B1" s="2" t="n"/>
    </row>
    <row r="2">
      <c r="A2" s="37" t="inlineStr">
        <is>
          <t>Ersatzteilkritikalität in 1 Minute je Teil – 5 Eingaben, alles andere rechnet automatisch. Ohne Makros.</t>
        </is>
      </c>
      <c r="B2" s="2" t="n"/>
    </row>
    <row r="3">
      <c r="A3" s="2" t="n"/>
      <c r="B3" s="2" t="n"/>
    </row>
    <row r="4" ht="18" customHeight="1">
      <c r="A4" s="76" t="inlineStr">
        <is>
          <t>So geht's</t>
        </is>
      </c>
      <c r="B4" s="2" t="n"/>
    </row>
    <row r="5" ht="14" customHeight="1">
      <c r="A5" s="77" t="inlineStr">
        <is>
          <t>1. Ersatzteil ★</t>
        </is>
      </c>
      <c r="B5" s="78" t="inlineStr">
        <is>
          <t>Bezeichnung eintragen (Material-Nr., Maschine und Foto sind optional).</t>
        </is>
      </c>
    </row>
    <row r="6" ht="14" customHeight="1">
      <c r="A6" s="77" t="inlineStr">
        <is>
          <t>2. Kritikalität ★</t>
        </is>
      </c>
      <c r="B6" s="78" t="inlineStr">
        <is>
          <t>A = Linie / Engpass steht, Kunde gefährdet · B = Maschine steht, Ausweichen möglich · C = kein Stillstand (Redundanz).</t>
        </is>
      </c>
    </row>
    <row r="7" ht="28" customHeight="1">
      <c r="A7" s="77" t="inlineStr">
        <is>
          <t>3. Abgekündigt? ★</t>
        </is>
      </c>
      <c r="B7" s="78" t="inlineStr">
        <is>
          <t>ja, wenn der Hersteller das Teil abgekündigt oder die Abkündigung angekündigt hat. Dann zusätzlich „Nachfolger verfügbar?“ (das Feld wird orange, solange es leer ist; leer zählt als nein).</t>
        </is>
      </c>
    </row>
    <row r="8" ht="28" customHeight="1">
      <c r="A8" s="77" t="inlineStr">
        <is>
          <t>4. Drei Fragen ★</t>
        </is>
      </c>
      <c r="B8" s="78" t="inlineStr">
        <is>
          <t>Beschaffbar? (heute in normaler Lieferzeit bestellbar) · Reparierbar? (intern oder extern) · Lager vor Ort? (mind. 1 Stück im Werk). Jeweils ja / nein (yes / no).</t>
        </is>
      </c>
    </row>
    <row r="9" ht="28" customHeight="1">
      <c r="A9" s="77" t="inlineStr">
        <is>
          <t>5. Ergebnis</t>
        </is>
      </c>
      <c r="B9" s="78" t="inlineStr">
        <is>
          <t>Risikopunkte, Risiko, Ampel und empfohlene Maßnahme erscheinen sofort. Fehlt ein ★-Feld in einer begonnenen Zeile, wird es rot.</t>
        </is>
      </c>
    </row>
    <row r="10" ht="28" customHeight="1">
      <c r="A10" s="77" t="inlineStr">
        <is>
          <t>6. Optional</t>
        </is>
      </c>
      <c r="B10" s="78" t="inlineStr">
        <is>
          <t>Stückpreis → Wirtschaftlichkeit („Bevorratung lohnt?“). Ausfallzeit ohne Teil nur eintragen, wenn bekannt. Verantwortlich, Termin, Status für Maßnahmen.</t>
        </is>
      </c>
    </row>
    <row r="11" ht="28" customHeight="1">
      <c r="A11" s="77" t="inlineStr">
        <is>
          <t>7. Foto</t>
        </is>
      </c>
      <c r="B11" s="78" t="inlineStr">
        <is>
          <t>Excel 365: Zelle in Spalte „Foto“ wählen › Einfügen › Bilder › In Zelle platzieren. Das Bild bleibt beim Sortieren und Filtern in der Zeile.</t>
        </is>
      </c>
    </row>
    <row r="12">
      <c r="A12" s="2" t="n"/>
      <c r="B12" s="2" t="n"/>
    </row>
    <row r="13" ht="18" customHeight="1">
      <c r="A13" s="76" t="inlineStr">
        <is>
          <t>Bewertungslogik</t>
        </is>
      </c>
      <c r="B13" s="2" t="n"/>
    </row>
    <row r="14" ht="28" customHeight="1">
      <c r="A14" s="77" t="inlineStr">
        <is>
          <t>Risikopunkte</t>
        </is>
      </c>
      <c r="B14" s="78" t="inlineStr">
        <is>
          <t>Anzahl „nein“ bei Beschaffbar / Reparierbar / Lager (0–3) + Zuschlag Abkündigung: ohne Nachfolger +2, mit Nachfolger +1 (änderbar). Bereich 0–5.</t>
        </is>
      </c>
    </row>
    <row r="15" ht="14" customHeight="1">
      <c r="A15" s="77" t="inlineStr">
        <is>
          <t>Risiko</t>
        </is>
      </c>
      <c r="B15" s="78" t="inlineStr">
        <is>
          <t>Faktor der Kritikalität (A = 3, B = 2, C = 1) × Risikopunkte = 0 bis 15.</t>
        </is>
      </c>
    </row>
    <row r="16" ht="28" customHeight="1">
      <c r="A16" s="77" t="inlineStr">
        <is>
          <t>Ampel</t>
        </is>
      </c>
      <c r="B16" s="78" t="inlineStr">
        <is>
          <t>grün 0–3 · gelb 4–5 · rot ab 6. Beispiele: A-Teil abgekündigt ohne Nachfolger, sonst alles ja → 3 × 2 = 6 rot. B-Teil abgekündigt mit Nachfolger und ohne Lager → 2 × 2 = 4 gelb. C-Teil mit 1 × nein → 1 grün.</t>
        </is>
      </c>
    </row>
    <row r="17" ht="42" customHeight="1">
      <c r="A17" s="77" t="inlineStr">
        <is>
          <t>Maßnahme</t>
        </is>
      </c>
      <c r="B17" s="78" t="inlineStr">
        <is>
          <t>Abgekündigt ohne Nachfolger → Endbevorratung (Last-Time-Buy) und Ersatzlösung; mit Nachfolger → Umstieg planen. Alle drei Fragen nein → sofort sichern; nicht beschaffbar + kein Lager → Reparaturweg absichern; nur kein Lager → Lagerbestand anlegen; nur nicht reparierbar → Reparatur klären. Auch bei grünen Teilen erscheint ein Hinweis, wenn sie abgekündigt sind.</t>
        </is>
      </c>
    </row>
    <row r="18" ht="28" customHeight="1">
      <c r="A18" s="77" t="inlineStr">
        <is>
          <t>Wirtschaftlichkeit</t>
        </is>
      </c>
      <c r="B18" s="78" t="inlineStr">
        <is>
          <t>Nur für gelbe und rote Teile ohne Lager. Ausfallkosten = Ausfallzeit ohne Teil (Tage) × Ausfallkosten je Tag der Kritikalität. Bevorratung lohnt, wenn Ausfallkosten ≥ Stückpreis. Anzeige z. B. „ja – 40-fach“.</t>
        </is>
      </c>
    </row>
    <row r="19">
      <c r="A19" s="2" t="n"/>
      <c r="B19" s="2" t="n"/>
    </row>
    <row r="20" ht="18" customHeight="1">
      <c r="A20" s="76" t="inlineStr">
        <is>
          <t>Annahmen – bitte je Werk prüfen (Blatt „Einstellungen“)</t>
        </is>
      </c>
      <c r="B20" s="2" t="n"/>
    </row>
    <row r="21" ht="14" customHeight="1">
      <c r="A21" s="77" t="inlineStr">
        <is>
          <t>Zuschlag Abkündigung</t>
        </is>
      </c>
      <c r="B21" s="78" t="inlineStr">
        <is>
          <t>ohne Nachfolger +2 Risikopunkte, mit Nachfolger +1.</t>
        </is>
      </c>
    </row>
    <row r="22" ht="14" customHeight="1">
      <c r="A22" s="77" t="inlineStr">
        <is>
          <t>Ausfallkosten je Tag</t>
        </is>
      </c>
      <c r="B22" s="78" t="inlineStr">
        <is>
          <t>A = 10.000 · B = 2.000 · C = 0.</t>
        </is>
      </c>
    </row>
    <row r="23" ht="14" customHeight="1">
      <c r="A23" s="77" t="inlineStr">
        <is>
          <t>Ausfallzeit ohne Teil</t>
        </is>
      </c>
      <c r="B23" s="78" t="inlineStr">
        <is>
          <t>beschaffbar = 10 Tage · nicht beschaffbar = 30 Tage (wenn in der Bewertung nichts eingetragen ist).</t>
        </is>
      </c>
    </row>
  </sheetData>
  <pageMargins left="0.4" right="0.4" top="0.5" bottom="0.5" header="0.5" footer="0.5"/>
  <pageSetup orientation="landscape" paperSize="9" fitToHeight="0" fitToWidth="1"/>
  <headerFooter>
    <oddHeader/>
    <oddFooter>&amp;L&amp;8 Bewertung Ersatzteilkritikalität – Anleitung&amp;R&amp;8 Seite /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2026-10-09T12:51:23Z</dcterms:created>
  <dcterms:modified xmlns:dcterms="http://purl.org/dc/terms/" xmlns:xsi="http://www.w3.org/2001/XMLSchema-instance" xsi:type="dcterms:W3CDTF">2026-10-09T12:51:24Z</dcterms:modified>
</cp:coreProperties>
</file>