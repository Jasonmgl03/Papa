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nagement Dashboard" sheetId="1" state="visible" r:id="rId3"/>
    <sheet name="Capacity Planning" sheetId="2" state="visible" r:id="rId4"/>
  </sheets>
  <definedNames>
    <definedName function="false" hidden="false" localSheetId="1" name="_xlnm.Print_Area" vbProcedure="false">'Capacity Planning'!$A$1:$M$48</definedName>
    <definedName function="false" hidden="false" localSheetId="0" name="_xlnm.Print_Area" vbProcedure="false">'Management Dashboard'!$A$1:$N$40</definedName>
    <definedName function="false" hidden="false" name="AsOfDate" vbProcedure="false">'Capacity Planning'!$L$5</definedName>
    <definedName function="false" hidden="false" name="DaysPerWeek" vbProcedure="false">'Capacity Planning'!$L$7</definedName>
    <definedName function="false" hidden="false" name="Headcount" vbProcedure="false">'Capacity Planning'!$L$13</definedName>
    <definedName function="false" hidden="false" name="HoursPerEmployee" vbProcedure="false">'Capacity Planning'!$L$9</definedName>
    <definedName function="false" hidden="false" name="MonthsPerYear" vbProcedure="false">'Capacity Planning'!$L$8</definedName>
    <definedName function="false" hidden="false" name="RefDays" vbProcedure="false">'Capacity Planning'!$L$11</definedName>
    <definedName function="false" hidden="false" name="ReqHeadcount" vbProcedure="false">'Capacity Planning'!$L$20</definedName>
    <definedName function="false" hidden="false" name="SickFTE" vbProcedure="false">'Capacity Planning'!$L$19</definedName>
    <definedName function="false" hidden="false" name="SickRate" vbProcedure="false">'Capacity Planning'!$L$12</definedName>
    <definedName function="false" hidden="false" name="TasksFTE" vbProcedure="false">'Capacity Planning'!$L$17</definedName>
    <definedName function="false" hidden="false" name="TotalHoursDay" vbProcedure="false">'Capacity Planning'!$C$27</definedName>
    <definedName function="false" hidden="false" name="TotalHoursYear" vbProcedure="false">'Capacity Planning'!$F$27</definedName>
    <definedName function="false" hidden="false" name="VacationDays" vbProcedure="false">'Capacity Planning'!$L$10</definedName>
    <definedName function="false" hidden="false" name="VacationFTE" vbProcedure="false">'Capacity Planning'!$L$18</definedName>
    <definedName function="false" hidden="false" name="WorkDaysPerYear" vbProcedure="false">'Capacity Planning'!$L$6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<sst xmlns="http://schemas.openxmlformats.org/spreadsheetml/2006/main" count="92" uniqueCount="85">
  <si>
    <t xml:space="preserve">Maintenance BB2 – Staffing &amp; Capacity Dashboard</t>
  </si>
  <si>
    <t xml:space="preserve">TOTAL HOURS PER YEAR</t>
  </si>
  <si>
    <t xml:space="preserve">REQUIRED HEADCOUNT</t>
  </si>
  <si>
    <t xml:space="preserve">CURRENT HEADCOUNT</t>
  </si>
  <si>
    <t xml:space="preserve">STAFFING GAP</t>
  </si>
  <si>
    <t xml:space="preserve">all employees · all tasks</t>
  </si>
  <si>
    <t xml:space="preserve">employees available</t>
  </si>
  <si>
    <t xml:space="preserve">negative = employees missing</t>
  </si>
  <si>
    <t xml:space="preserve">HOURS PER EMPLOYEE / YEAR</t>
  </si>
  <si>
    <t xml:space="preserve">AVG. WORKLOAD PER EMPLOYEE / YEAR</t>
  </si>
  <si>
    <t xml:space="preserve">AVG. WORKLOAD PER EMPLOYEE / MONTH</t>
  </si>
  <si>
    <t xml:space="preserve">UTILISATION</t>
  </si>
  <si>
    <t xml:space="preserve">contractual capacity of 1 FTE</t>
  </si>
  <si>
    <t xml:space="preserve">total hours ÷ current headcount</t>
  </si>
  <si>
    <t xml:space="preserve">task hours ÷ capacity of current staff (excl. absences)</t>
  </si>
  <si>
    <t xml:space="preserve">Hours per period</t>
  </si>
  <si>
    <t xml:space="preserve">Distribution of annual hours by task</t>
  </si>
  <si>
    <t xml:space="preserve">Period</t>
  </si>
  <si>
    <t xml:space="preserve">All employees</t>
  </si>
  <si>
    <t xml:space="preserve">Avg. per
employee</t>
  </si>
  <si>
    <t xml:space="preserve">Capacity
per FTE</t>
  </si>
  <si>
    <t xml:space="preserve">Utilisation</t>
  </si>
  <si>
    <t xml:space="preserve">Day</t>
  </si>
  <si>
    <t xml:space="preserve">Week</t>
  </si>
  <si>
    <t xml:space="preserve">Month</t>
  </si>
  <si>
    <t xml:space="preserve">Year</t>
  </si>
  <si>
    <t xml:space="preserve">Staffing calculation</t>
  </si>
  <si>
    <t xml:space="preserve">Employees needed for tasks</t>
  </si>
  <si>
    <t xml:space="preserve">Required headcount</t>
  </si>
  <si>
    <t xml:space="preserve">Current headcount</t>
  </si>
  <si>
    <t xml:space="preserve">Hours by task – top 7 + others</t>
  </si>
  <si>
    <t xml:space="preserve">Rank</t>
  </si>
  <si>
    <t xml:space="preserve">Task</t>
  </si>
  <si>
    <t xml:space="preserve">Hours / year</t>
  </si>
  <si>
    <t xml:space="preserve">Share</t>
  </si>
  <si>
    <t xml:space="preserve">All other tasks</t>
  </si>
  <si>
    <t xml:space="preserve">Total</t>
  </si>
  <si>
    <t xml:space="preserve">Enter data on sheet “Capacity Planning” (yellow cells). This dashboard updates automatically.</t>
  </si>
  <si>
    <t xml:space="preserve">Capacity Planning – Maintenance BB2 (Implementation Team)</t>
  </si>
  <si>
    <t xml:space="preserve">Enter only the hours per day (yellow). Week, month, year and headcount are calculated automatically.</t>
  </si>
  <si>
    <t xml:space="preserve">No.</t>
  </si>
  <si>
    <t xml:space="preserve">Hours
per day</t>
  </si>
  <si>
    <t xml:space="preserve">Hours
per week</t>
  </si>
  <si>
    <t xml:space="preserve">Hours
per month</t>
  </si>
  <si>
    <t xml:space="preserve">Hours
per year</t>
  </si>
  <si>
    <t xml:space="preserve">Employees
(FTE)</t>
  </si>
  <si>
    <t xml:space="preserve">Share of
hours</t>
  </si>
  <si>
    <t xml:space="preserve">Remarks</t>
  </si>
  <si>
    <t xml:space="preserve">Assumptions</t>
  </si>
  <si>
    <t xml:space="preserve">Spare parts management – planning</t>
  </si>
  <si>
    <t xml:space="preserve">As of</t>
  </si>
  <si>
    <t xml:space="preserve">Spare parts relocation &amp; miscellaneous</t>
  </si>
  <si>
    <t xml:space="preserve">Warehousing / external spare parts procurement</t>
  </si>
  <si>
    <t xml:space="preserve">Working days per year</t>
  </si>
  <si>
    <t xml:space="preserve">Complex repairs / general overhauls</t>
  </si>
  <si>
    <t xml:space="preserve">Working days per week</t>
  </si>
  <si>
    <t xml:space="preserve">Repair / overhaul of spare parts</t>
  </si>
  <si>
    <t xml:space="preserve">Complex spare parts (pressure intensifiers, water valves …)</t>
  </si>
  <si>
    <t xml:space="preserve">Months per year</t>
  </si>
  <si>
    <t xml:space="preserve">Projects &amp; continuous improvement (lean, e.g. SMED)</t>
  </si>
  <si>
    <t xml:space="preserve">Development, calculation, ordering</t>
  </si>
  <si>
    <t xml:space="preserve">Hours per employee per year (1 FTE)</t>
  </si>
  <si>
    <t xml:space="preserve">Training / instruction / support / TPM / WPS</t>
  </si>
  <si>
    <t xml:space="preserve">Vacation days per employee</t>
  </si>
  <si>
    <t xml:space="preserve">Assignments abroad / international support</t>
  </si>
  <si>
    <t xml:space="preserve">Reference working days (vacation rate)</t>
  </si>
  <si>
    <t xml:space="preserve">Commissioning of new equipment</t>
  </si>
  <si>
    <t xml:space="preserve">Sickness rate</t>
  </si>
  <si>
    <t xml:space="preserve">Approval of new tools (trials)</t>
  </si>
  <si>
    <t xml:space="preserve">Current headcount (employees)</t>
  </si>
  <si>
    <t xml:space="preserve">Design / 3D CAD</t>
  </si>
  <si>
    <t xml:space="preserve">Yellow cells = input · all other cells calculate automatically</t>
  </si>
  <si>
    <t xml:space="preserve">Machine relocations</t>
  </si>
  <si>
    <t xml:space="preserve">CNC technology (e.g. re-turning blades)</t>
  </si>
  <si>
    <t xml:space="preserve">Staffing result</t>
  </si>
  <si>
    <t xml:space="preserve">Special tasks (storage systems …)</t>
  </si>
  <si>
    <t xml:space="preserve">Facility management</t>
  </si>
  <si>
    <t xml:space="preserve">Planning &amp; documentation</t>
  </si>
  <si>
    <t xml:space="preserve">Support of bellows area</t>
  </si>
  <si>
    <t xml:space="preserve">Maintenance of operating equipment</t>
  </si>
  <si>
    <t xml:space="preserve">Rounded up (persons)</t>
  </si>
  <si>
    <t xml:space="preserve">Maintenance of general machinery</t>
  </si>
  <si>
    <t xml:space="preserve">Administration</t>
  </si>
  <si>
    <t xml:space="preserve">Free row – add another task</t>
  </si>
  <si>
    <t xml:space="preserve">Distribution of hours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</si>
</sst>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&quot; h&quot;"/>
    <numFmt numFmtId="166" formatCode="0.0"/>
    <numFmt numFmtId="167" formatCode="\+0.0;\-0.0;0.0"/>
    <numFmt numFmtId="168" formatCode="0%"/>
    <numFmt numFmtId="169" formatCode="#,##0.0"/>
    <numFmt numFmtId="170" formatCode="#,##0"/>
    <numFmt numFmtId="171" formatCode="0.00"/>
    <numFmt numFmtId="172" formatCode="0"/>
    <numFmt numFmtId="173" formatCode="0.0%"/>
    <numFmt numFmtId="174" formatCode="General"/>
    <numFmt numFmtId="175" formatCode="dd\ mmm\ yyyy"/>
  </numFmts>
  <fonts count="3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9"/>
      <color rgb="FF6B7280"/>
      <name val="Arial"/>
      <family val="0"/>
      <charset val="1"/>
    </font>
    <font>
      <b val="true"/>
      <sz val="26"/>
      <color rgb="FF1F3864"/>
      <name val="Arial"/>
      <family val="0"/>
      <charset val="1"/>
    </font>
    <font>
      <b val="true"/>
      <sz val="26"/>
      <color rgb="FF2E75B6"/>
      <name val="Arial"/>
      <family val="0"/>
      <charset val="1"/>
    </font>
    <font>
      <b val="true"/>
      <sz val="26"/>
      <color rgb="FFC00000"/>
      <name val="Arial"/>
      <family val="0"/>
      <charset val="1"/>
    </font>
    <font>
      <i val="true"/>
      <sz val="8"/>
      <color rgb="FF6B72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10"/>
      <color rgb="FF6B7280"/>
      <name val="Arial"/>
      <family val="0"/>
      <charset val="1"/>
    </font>
    <font>
      <b val="true"/>
      <sz val="18"/>
      <color rgb="FF000000"/>
      <name val="Calibri"/>
      <family val="2"/>
    </font>
    <font>
      <b val="true"/>
      <sz val="10"/>
      <color rgb="FFFFFFFF"/>
      <name val="Calibri"/>
      <family val="2"/>
    </font>
    <font>
      <sz val="10"/>
      <color rgb="FF000000"/>
      <name val="Calibri"/>
      <family val="2"/>
    </font>
    <font>
      <b val="true"/>
      <sz val="16"/>
      <color rgb="FF1F3864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i val="true"/>
      <sz val="9"/>
      <color rgb="FFA6A6A6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4F81BD"/>
      </patternFill>
    </fill>
    <fill>
      <patternFill patternType="solid">
        <fgColor rgb="FFF3F6FA"/>
        <bgColor rgb="FFFFFFFF"/>
      </patternFill>
    </fill>
    <fill>
      <patternFill patternType="solid">
        <fgColor rgb="FFDDEBF7"/>
        <bgColor rgb="FFD9DEE7"/>
      </patternFill>
    </fill>
    <fill>
      <patternFill patternType="solid">
        <fgColor rgb="FFFFF4CC"/>
        <bgColor rgb="FFF3F6FA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 style="thick">
        <color rgb="FF1F3864"/>
      </top>
      <bottom/>
      <diagonal/>
    </border>
    <border diagonalUp="false" diagonalDown="false">
      <left/>
      <right/>
      <top style="thick">
        <color rgb="FF2E75B6"/>
      </top>
      <bottom/>
      <diagonal/>
    </border>
    <border diagonalUp="false" diagonalDown="false">
      <left/>
      <right/>
      <top style="thick">
        <color rgb="FFC00000"/>
      </top>
      <bottom/>
      <diagonal/>
    </border>
    <border diagonalUp="false" diagonalDown="false"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8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14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4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3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4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14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5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6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4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3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2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4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4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6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4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4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3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4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24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24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24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27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3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8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0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3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3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13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2E7D32"/>
        <sz val="26"/>
      </font>
    </dxf>
    <dxf>
      <font>
        <name val="Arial"/>
        <charset val="1"/>
        <family val="0"/>
        <b val="1"/>
        <color rgb="FF9C0006"/>
      </font>
      <fill>
        <patternFill>
          <bgColor rgb="FFF8CBAD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A3A1"/>
      <rgbColor rgb="FFD9D9D9"/>
      <rgbColor rgb="FF7F8C9F"/>
      <rgbColor rgb="FF8E7CC3"/>
      <rgbColor rgb="FF993366"/>
      <rgbColor rgb="FFFFF4CC"/>
      <rgbColor rgb="FFDDEBF7"/>
      <rgbColor rgb="FF660066"/>
      <rgbColor rgb="FFFF8080"/>
      <rgbColor rgb="FF0066CC"/>
      <rgbColor rgb="FFD9DEE7"/>
      <rgbColor rgb="FF000080"/>
      <rgbColor rgb="FFFF00FF"/>
      <rgbColor rgb="FFFFFF00"/>
      <rgbColor rgb="FF00FFFF"/>
      <rgbColor rgb="FF800080"/>
      <rgbColor rgb="FF800000"/>
      <rgbColor rgb="FF4F81BD"/>
      <rgbColor rgb="FF0000FF"/>
      <rgbColor rgb="FF00CCFF"/>
      <rgbColor rgb="FFF3F6FA"/>
      <rgbColor rgb="FFC6EFCE"/>
      <rgbColor rgb="FFFFFF99"/>
      <rgbColor rgb="FF99CCFF"/>
      <rgbColor rgb="FFFF99CC"/>
      <rgbColor rgb="FFCC99FF"/>
      <rgbColor rgb="FFF8CBAD"/>
      <rgbColor rgb="FF2E75B6"/>
      <rgbColor rgb="FF33CCCC"/>
      <rgbColor rgb="FF70AD47"/>
      <rgbColor rgb="FFFFC000"/>
      <rgbColor rgb="FFFF9900"/>
      <rgbColor rgb="FFED7D31"/>
      <rgbColor rgb="FF6B7280"/>
      <rgbColor rgb="FFA6A6A6"/>
      <rgbColor rgb="FF1F3864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Share of total hours per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1f3864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1"/>
            <c:spPr>
              <a:solidFill>
                <a:srgbClr val="2e75b6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2"/>
            <c:spPr>
              <a:solidFill>
                <a:srgbClr val="00a3a1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3"/>
            <c:spPr>
              <a:solidFill>
                <a:srgbClr val="70ad47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4"/>
            <c:spPr>
              <a:solidFill>
                <a:srgbClr val="ffc000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5"/>
            <c:spPr>
              <a:solidFill>
                <a:srgbClr val="ed7d31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6"/>
            <c:spPr>
              <a:solidFill>
                <a:srgbClr val="8e7cc3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7"/>
            <c:spPr>
              <a:solidFill>
                <a:srgbClr val="7f8c9f"/>
              </a:solidFill>
              <a:ln w="19080">
                <a:solidFill>
                  <a:srgbClr val="ffffff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1" sz="1000" spc="-1" strike="noStrike">
                      <a:solidFill>
                        <a:srgbClr val="ffffff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1" sz="1000" spc="-1" strike="noStrike">
                      <a:solidFill>
                        <a:srgbClr val="ffffff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1" sz="1000" spc="-1" strike="noStrike">
                      <a:solidFill>
                        <a:srgbClr val="ffffff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1" sz="1000" spc="-1" strike="noStrike">
                      <a:solidFill>
                        <a:srgbClr val="ffffff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1" sz="1000" spc="-1" strike="noStrike">
                      <a:solidFill>
                        <a:srgbClr val="ffffff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5"/>
              <c:txPr>
                <a:bodyPr wrap="square"/>
                <a:lstStyle/>
                <a:p>
                  <a:pPr>
                    <a:defRPr b="1" sz="1000" spc="-1" strike="noStrike">
                      <a:solidFill>
                        <a:srgbClr val="ffffff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6"/>
              <c:txPr>
                <a:bodyPr wrap="square"/>
                <a:lstStyle/>
                <a:p>
                  <a:pPr>
                    <a:defRPr b="1" sz="1000" spc="-1" strike="noStrike">
                      <a:solidFill>
                        <a:srgbClr val="ffffff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7"/>
              <c:txPr>
                <a:bodyPr wrap="square"/>
                <a:lstStyle/>
                <a:p>
                  <a:pPr>
                    <a:defRPr b="1" sz="1000" spc="-1" strike="noStrike">
                      <a:solidFill>
                        <a:srgbClr val="ffffff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1" sz="1000" spc="-1" strike="noStrike">
                    <a:solidFill>
                      <a:srgbClr val="ffffff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'Management Dashboard'!$C$30:$C$37</c:f>
              <c:strCache>
                <c:ptCount val="8"/>
                <c:pt idx="0">
                  <c:v>Projects &amp; continuous improvement (lean, e.g. SMED)</c:v>
                </c:pt>
                <c:pt idx="1">
                  <c:v>Facility management</c:v>
                </c:pt>
                <c:pt idx="2">
                  <c:v>Administration</c:v>
                </c:pt>
                <c:pt idx="3">
                  <c:v>Spare parts relocation &amp; miscellaneous</c:v>
                </c:pt>
                <c:pt idx="4">
                  <c:v>Support of bellows area</c:v>
                </c:pt>
                <c:pt idx="5">
                  <c:v>Spare parts management – planning</c:v>
                </c:pt>
                <c:pt idx="6">
                  <c:v>Design / 3D CAD</c:v>
                </c:pt>
                <c:pt idx="7">
                  <c:v>All other tasks</c:v>
                </c:pt>
              </c:strCache>
            </c:strRef>
          </c:cat>
          <c:val>
            <c:numRef>
              <c:f>'Management Dashboard'!$F$30:$F$37</c:f>
              <c:numCache>
                <c:formatCode>#,##0</c:formatCode>
                <c:ptCount val="8"/>
                <c:pt idx="0">
                  <c:v>2500</c:v>
                </c:pt>
                <c:pt idx="1">
                  <c:v>1500</c:v>
                </c:pt>
                <c:pt idx="2">
                  <c:v>750</c:v>
                </c:pt>
                <c:pt idx="3">
                  <c:v>500</c:v>
                </c:pt>
                <c:pt idx="4">
                  <c:v>500</c:v>
                </c:pt>
                <c:pt idx="5">
                  <c:v>375</c:v>
                </c:pt>
                <c:pt idx="6">
                  <c:v>250</c:v>
                </c:pt>
                <c:pt idx="7">
                  <c:v>650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Share of total hours per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1f3864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1"/>
            <c:spPr>
              <a:solidFill>
                <a:srgbClr val="2e75b6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2"/>
            <c:spPr>
              <a:solidFill>
                <a:srgbClr val="00a3a1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3"/>
            <c:spPr>
              <a:solidFill>
                <a:srgbClr val="70ad47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4"/>
            <c:spPr>
              <a:solidFill>
                <a:srgbClr val="ffc000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5"/>
            <c:spPr>
              <a:solidFill>
                <a:srgbClr val="ed7d31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6"/>
            <c:spPr>
              <a:solidFill>
                <a:srgbClr val="8e7cc3"/>
              </a:solidFill>
              <a:ln w="19080">
                <a:solidFill>
                  <a:srgbClr val="ffffff"/>
                </a:solidFill>
                <a:round/>
              </a:ln>
            </c:spPr>
          </c:dPt>
          <c:dPt>
            <c:idx val="7"/>
            <c:spPr>
              <a:solidFill>
                <a:srgbClr val="7f8c9f"/>
              </a:solidFill>
              <a:ln w="19080">
                <a:solidFill>
                  <a:srgbClr val="ffffff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1" sz="1000" spc="-1" strike="noStrike">
                      <a:solidFill>
                        <a:srgbClr val="ffffff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1" sz="1000" spc="-1" strike="noStrike">
                      <a:solidFill>
                        <a:srgbClr val="ffffff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1" sz="1000" spc="-1" strike="noStrike">
                      <a:solidFill>
                        <a:srgbClr val="ffffff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1" sz="1000" spc="-1" strike="noStrike">
                      <a:solidFill>
                        <a:srgbClr val="ffffff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1" sz="1000" spc="-1" strike="noStrike">
                      <a:solidFill>
                        <a:srgbClr val="ffffff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5"/>
              <c:txPr>
                <a:bodyPr wrap="square"/>
                <a:lstStyle/>
                <a:p>
                  <a:pPr>
                    <a:defRPr b="1" sz="1000" spc="-1" strike="noStrike">
                      <a:solidFill>
                        <a:srgbClr val="ffffff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6"/>
              <c:txPr>
                <a:bodyPr wrap="square"/>
                <a:lstStyle/>
                <a:p>
                  <a:pPr>
                    <a:defRPr b="1" sz="1000" spc="-1" strike="noStrike">
                      <a:solidFill>
                        <a:srgbClr val="ffffff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7"/>
              <c:txPr>
                <a:bodyPr wrap="square"/>
                <a:lstStyle/>
                <a:p>
                  <a:pPr>
                    <a:defRPr b="1" sz="1000" spc="-1" strike="noStrike">
                      <a:solidFill>
                        <a:srgbClr val="ffffff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1" sz="1000" spc="-1" strike="noStrike">
                    <a:solidFill>
                      <a:srgbClr val="ffffff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'Management Dashboard'!$C$30:$C$37</c:f>
              <c:strCache>
                <c:ptCount val="8"/>
                <c:pt idx="0">
                  <c:v>Projects &amp; continuous improvement (lean, e.g. SMED)</c:v>
                </c:pt>
                <c:pt idx="1">
                  <c:v>Facility management</c:v>
                </c:pt>
                <c:pt idx="2">
                  <c:v>Administration</c:v>
                </c:pt>
                <c:pt idx="3">
                  <c:v>Spare parts relocation &amp; miscellaneous</c:v>
                </c:pt>
                <c:pt idx="4">
                  <c:v>Support of bellows area</c:v>
                </c:pt>
                <c:pt idx="5">
                  <c:v>Spare parts management – planning</c:v>
                </c:pt>
                <c:pt idx="6">
                  <c:v>Design / 3D CAD</c:v>
                </c:pt>
                <c:pt idx="7">
                  <c:v>All other tasks</c:v>
                </c:pt>
              </c:strCache>
            </c:strRef>
          </c:cat>
          <c:val>
            <c:numRef>
              <c:f>'Management Dashboard'!$F$30:$F$37</c:f>
              <c:numCache>
                <c:formatCode>#,##0</c:formatCode>
                <c:ptCount val="8"/>
                <c:pt idx="0">
                  <c:v>2500</c:v>
                </c:pt>
                <c:pt idx="1">
                  <c:v>1500</c:v>
                </c:pt>
                <c:pt idx="2">
                  <c:v>750</c:v>
                </c:pt>
                <c:pt idx="3">
                  <c:v>500</c:v>
                </c:pt>
                <c:pt idx="4">
                  <c:v>500</c:v>
                </c:pt>
                <c:pt idx="5">
                  <c:v>375</c:v>
                </c:pt>
                <c:pt idx="6">
                  <c:v>250</c:v>
                </c:pt>
                <c:pt idx="7">
                  <c:v>650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13</xdr:row>
      <xdr:rowOff>0</xdr:rowOff>
    </xdr:from>
    <xdr:to>
      <xdr:col>12</xdr:col>
      <xdr:colOff>856440</xdr:colOff>
      <xdr:row>32</xdr:row>
      <xdr:rowOff>127800</xdr:rowOff>
    </xdr:to>
    <xdr:graphicFrame>
      <xdr:nvGraphicFramePr>
        <xdr:cNvPr id="0" name="Chart 1"/>
        <xdr:cNvGraphicFramePr/>
      </xdr:nvGraphicFramePr>
      <xdr:xfrm>
        <a:off x="5852160" y="3952800"/>
        <a:ext cx="5615640" cy="482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24</xdr:row>
      <xdr:rowOff>216720</xdr:rowOff>
    </xdr:from>
    <xdr:to>
      <xdr:col>13</xdr:col>
      <xdr:colOff>434160</xdr:colOff>
      <xdr:row>44</xdr:row>
      <xdr:rowOff>147240</xdr:rowOff>
    </xdr:to>
    <xdr:graphicFrame>
      <xdr:nvGraphicFramePr>
        <xdr:cNvPr id="1" name="Chart 1"/>
        <xdr:cNvGraphicFramePr/>
      </xdr:nvGraphicFramePr>
      <xdr:xfrm>
        <a:off x="10361160" y="6162840"/>
        <a:ext cx="449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B2:M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3" min="2" style="0" width="13.5"/>
    <col collapsed="false" customWidth="true" hidden="false" outlineLevel="0" max="14" min="14" style="0" width="2"/>
  </cols>
  <sheetData>
    <row r="2" customFormat="false" ht="42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21.75" hidden="false" customHeight="true" outlineLevel="0" collapsed="false">
      <c r="B3" s="2" t="str">
        <f aca="false">"Annual evaluation of the implementation team   ·   as of "&amp;TEXT(AsOfDate,"DD MMM YYYY")&amp;"   ·   basis: "&amp;TEXT(WorkDaysPerYear,"0")&amp;" working days, "&amp;TEXT(HoursPerEmployee,"#,##0")&amp;" h per employee and year"</f>
        <v>Annual evaluation of the implementation team   ·   as of 21 Jul 2025   ·   basis: 250 working days, 1,750 h per employee and year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5" customFormat="false" ht="21.75" hidden="false" customHeight="true" outlineLevel="0" collapsed="false">
      <c r="B5" s="3" t="s">
        <v>1</v>
      </c>
      <c r="C5" s="3"/>
      <c r="D5" s="3"/>
      <c r="E5" s="4" t="s">
        <v>2</v>
      </c>
      <c r="F5" s="4"/>
      <c r="G5" s="4"/>
      <c r="H5" s="3" t="s">
        <v>3</v>
      </c>
      <c r="I5" s="3"/>
      <c r="J5" s="3"/>
      <c r="K5" s="5" t="s">
        <v>4</v>
      </c>
      <c r="L5" s="5"/>
      <c r="M5" s="5"/>
    </row>
    <row r="6" customFormat="false" ht="39.75" hidden="false" customHeight="true" outlineLevel="0" collapsed="false">
      <c r="B6" s="6" t="n">
        <f aca="false">TotalHoursYear</f>
        <v>7025</v>
      </c>
      <c r="C6" s="6"/>
      <c r="D6" s="6"/>
      <c r="E6" s="7" t="n">
        <f aca="false">ReqHeadcount</f>
        <v>4.87224805194805</v>
      </c>
      <c r="F6" s="7"/>
      <c r="G6" s="7"/>
      <c r="H6" s="8" t="n">
        <f aca="false">Headcount</f>
        <v>4</v>
      </c>
      <c r="I6" s="8"/>
      <c r="J6" s="8"/>
      <c r="K6" s="9" t="n">
        <f aca="false">Headcount-ReqHeadcount</f>
        <v>-0.872248051948052</v>
      </c>
      <c r="L6" s="9"/>
      <c r="M6" s="9"/>
    </row>
    <row r="7" customFormat="false" ht="24" hidden="false" customHeight="true" outlineLevel="0" collapsed="false">
      <c r="B7" s="10" t="s">
        <v>5</v>
      </c>
      <c r="C7" s="10"/>
      <c r="D7" s="10"/>
      <c r="E7" s="10" t="str">
        <f aca="false">"incl. vacation &amp; sickness · "&amp;TEXT(ROUNDUP(ReqHeadcount,0),"0")&amp;" persons rounded up"</f>
        <v>incl. vacation &amp; sickness · 5 persons rounded up</v>
      </c>
      <c r="F7" s="10"/>
      <c r="G7" s="10"/>
      <c r="H7" s="10" t="s">
        <v>6</v>
      </c>
      <c r="I7" s="10"/>
      <c r="J7" s="10"/>
      <c r="K7" s="10" t="s">
        <v>7</v>
      </c>
      <c r="L7" s="10"/>
      <c r="M7" s="10"/>
    </row>
    <row r="8" customFormat="false" ht="9.75" hidden="false" customHeight="true" outlineLevel="0" collapsed="false"/>
    <row r="9" customFormat="false" ht="21.75" hidden="false" customHeight="true" outlineLevel="0" collapsed="false">
      <c r="B9" s="3" t="s">
        <v>8</v>
      </c>
      <c r="C9" s="3"/>
      <c r="D9" s="3"/>
      <c r="E9" s="4" t="s">
        <v>9</v>
      </c>
      <c r="F9" s="4"/>
      <c r="G9" s="4"/>
      <c r="H9" s="3" t="s">
        <v>10</v>
      </c>
      <c r="I9" s="3"/>
      <c r="J9" s="3"/>
      <c r="K9" s="5" t="s">
        <v>11</v>
      </c>
      <c r="L9" s="5"/>
      <c r="M9" s="5"/>
    </row>
    <row r="10" customFormat="false" ht="39.75" hidden="false" customHeight="true" outlineLevel="0" collapsed="false">
      <c r="B10" s="6" t="n">
        <f aca="false">HoursPerEmployee</f>
        <v>1750</v>
      </c>
      <c r="C10" s="6"/>
      <c r="D10" s="6"/>
      <c r="E10" s="11" t="n">
        <f aca="false">IF(Headcount=0,0,TotalHoursYear/Headcount)</f>
        <v>1756.25</v>
      </c>
      <c r="F10" s="11"/>
      <c r="G10" s="11"/>
      <c r="H10" s="6" t="n">
        <f aca="false">IF(Headcount=0,0,TotalHoursYear/Headcount/MonthsPerYear)</f>
        <v>146.354166666667</v>
      </c>
      <c r="I10" s="6"/>
      <c r="J10" s="6"/>
      <c r="K10" s="12" t="n">
        <f aca="false">IF(Headcount*HoursPerEmployee=0,0,TotalHoursYear/(Headcount*HoursPerEmployee))</f>
        <v>1.00357142857143</v>
      </c>
      <c r="L10" s="12"/>
      <c r="M10" s="12"/>
    </row>
    <row r="11" customFormat="false" ht="24" hidden="false" customHeight="true" outlineLevel="0" collapsed="false">
      <c r="B11" s="10" t="s">
        <v>12</v>
      </c>
      <c r="C11" s="10"/>
      <c r="D11" s="10"/>
      <c r="E11" s="10" t="s">
        <v>13</v>
      </c>
      <c r="F11" s="10"/>
      <c r="G11" s="10"/>
      <c r="H11" s="10" t="str">
        <f aca="false">"per week: "&amp;TEXT(IF(Headcount=0,0,TotalHoursDay*DaysPerWeek/Headcount),"0.0")&amp;" h"</f>
        <v>per week: 35.1 h</v>
      </c>
      <c r="I11" s="10"/>
      <c r="J11" s="10"/>
      <c r="K11" s="10" t="s">
        <v>14</v>
      </c>
      <c r="L11" s="10"/>
      <c r="M11" s="10"/>
    </row>
    <row r="13" customFormat="false" ht="21.75" hidden="false" customHeight="true" outlineLevel="0" collapsed="false">
      <c r="B13" s="13" t="s">
        <v>15</v>
      </c>
      <c r="C13" s="13"/>
      <c r="D13" s="13"/>
      <c r="E13" s="13"/>
      <c r="F13" s="13"/>
      <c r="G13" s="13"/>
      <c r="H13" s="13" t="s">
        <v>16</v>
      </c>
      <c r="I13" s="13"/>
      <c r="J13" s="13"/>
      <c r="K13" s="13"/>
      <c r="L13" s="13"/>
      <c r="M13" s="13"/>
    </row>
    <row r="14" customFormat="false" ht="30" hidden="false" customHeight="true" outlineLevel="0" collapsed="false">
      <c r="B14" s="14" t="s">
        <v>17</v>
      </c>
      <c r="C14" s="14" t="s">
        <v>18</v>
      </c>
      <c r="D14" s="14" t="s">
        <v>19</v>
      </c>
      <c r="E14" s="14" t="s">
        <v>20</v>
      </c>
      <c r="F14" s="14" t="s">
        <v>21</v>
      </c>
      <c r="G14" s="14"/>
    </row>
    <row r="15" customFormat="false" ht="19.5" hidden="false" customHeight="true" outlineLevel="0" collapsed="false">
      <c r="B15" s="15" t="s">
        <v>22</v>
      </c>
      <c r="C15" s="16" t="n">
        <f aca="false">TotalHoursDay</f>
        <v>28.1</v>
      </c>
      <c r="D15" s="16" t="n">
        <f aca="false">IF(Headcount=0,0,C15/Headcount)</f>
        <v>7.025</v>
      </c>
      <c r="E15" s="16" t="n">
        <f aca="false">HoursPerEmployee/WorkDaysPerYear</f>
        <v>7</v>
      </c>
      <c r="F15" s="17" t="n">
        <f aca="false">IF(E15=0,0,D15/E15)</f>
        <v>1.00357142857143</v>
      </c>
      <c r="G15" s="17"/>
    </row>
    <row r="16" customFormat="false" ht="19.5" hidden="false" customHeight="true" outlineLevel="0" collapsed="false">
      <c r="B16" s="15" t="s">
        <v>23</v>
      </c>
      <c r="C16" s="16" t="n">
        <f aca="false">TotalHoursDay*DaysPerWeek</f>
        <v>140.5</v>
      </c>
      <c r="D16" s="16" t="n">
        <f aca="false">IF(Headcount=0,0,C16/Headcount)</f>
        <v>35.125</v>
      </c>
      <c r="E16" s="16" t="n">
        <f aca="false">HoursPerEmployee/WorkDaysPerYear*DaysPerWeek</f>
        <v>35</v>
      </c>
      <c r="F16" s="17" t="n">
        <f aca="false">IF(E16=0,0,D16/E16)</f>
        <v>1.00357142857143</v>
      </c>
      <c r="G16" s="17"/>
    </row>
    <row r="17" customFormat="false" ht="19.5" hidden="false" customHeight="true" outlineLevel="0" collapsed="false">
      <c r="B17" s="15" t="s">
        <v>24</v>
      </c>
      <c r="C17" s="16" t="n">
        <f aca="false">TotalHoursYear/MonthsPerYear</f>
        <v>585.416666666667</v>
      </c>
      <c r="D17" s="16" t="n">
        <f aca="false">IF(Headcount=0,0,C17/Headcount)</f>
        <v>146.354166666667</v>
      </c>
      <c r="E17" s="16" t="n">
        <f aca="false">HoursPerEmployee/MonthsPerYear</f>
        <v>145.833333333333</v>
      </c>
      <c r="F17" s="17" t="n">
        <f aca="false">IF(E17=0,0,D17/E17)</f>
        <v>1.00357142857143</v>
      </c>
      <c r="G17" s="17"/>
    </row>
    <row r="18" customFormat="false" ht="19.5" hidden="false" customHeight="true" outlineLevel="0" collapsed="false">
      <c r="B18" s="15" t="s">
        <v>25</v>
      </c>
      <c r="C18" s="18" t="n">
        <f aca="false">TotalHoursYear</f>
        <v>7025</v>
      </c>
      <c r="D18" s="18" t="n">
        <f aca="false">IF(Headcount=0,0,C18/Headcount)</f>
        <v>1756.25</v>
      </c>
      <c r="E18" s="19" t="n">
        <f aca="false">HoursPerEmployee</f>
        <v>1750</v>
      </c>
      <c r="F18" s="17" t="n">
        <f aca="false">IF(E18=0,0,D18/E18)</f>
        <v>1.00357142857143</v>
      </c>
      <c r="G18" s="17"/>
    </row>
    <row r="20" customFormat="false" ht="21.75" hidden="false" customHeight="true" outlineLevel="0" collapsed="false">
      <c r="B20" s="13" t="s">
        <v>26</v>
      </c>
      <c r="C20" s="13"/>
      <c r="D20" s="13"/>
      <c r="E20" s="13"/>
      <c r="F20" s="13"/>
      <c r="G20" s="13"/>
    </row>
    <row r="21" customFormat="false" ht="19.5" hidden="false" customHeight="true" outlineLevel="0" collapsed="false">
      <c r="B21" s="20" t="s">
        <v>27</v>
      </c>
      <c r="C21" s="20"/>
      <c r="D21" s="20"/>
      <c r="E21" s="20"/>
      <c r="F21" s="21" t="n">
        <f aca="false">TasksFTE</f>
        <v>4.01428571428571</v>
      </c>
      <c r="G21" s="21"/>
    </row>
    <row r="22" customFormat="false" ht="19.5" hidden="false" customHeight="true" outlineLevel="0" collapsed="false">
      <c r="B22" s="20" t="str">
        <f aca="false">"+ Vacation ("&amp;TEXT(VacationDays/RefDays,"0.0%")&amp;")"</f>
        <v>+ Vacation (17.3%)</v>
      </c>
      <c r="C22" s="20"/>
      <c r="D22" s="20"/>
      <c r="E22" s="20"/>
      <c r="F22" s="21" t="n">
        <f aca="false">VacationFTE</f>
        <v>0.693376623376623</v>
      </c>
      <c r="G22" s="21"/>
    </row>
    <row r="23" customFormat="false" ht="19.5" hidden="false" customHeight="true" outlineLevel="0" collapsed="false">
      <c r="B23" s="20" t="str">
        <f aca="false">"+ Sickness ("&amp;TEXT(SickRate,"0.0%")&amp;")"</f>
        <v>+ Sickness (4.1%)</v>
      </c>
      <c r="C23" s="20"/>
      <c r="D23" s="20"/>
      <c r="E23" s="20"/>
      <c r="F23" s="21" t="n">
        <f aca="false">SickFTE</f>
        <v>0.164585714285714</v>
      </c>
      <c r="G23" s="21"/>
    </row>
    <row r="24" customFormat="false" ht="19.5" hidden="false" customHeight="true" outlineLevel="0" collapsed="false">
      <c r="B24" s="22" t="s">
        <v>28</v>
      </c>
      <c r="C24" s="22"/>
      <c r="D24" s="22"/>
      <c r="E24" s="22"/>
      <c r="F24" s="23" t="n">
        <f aca="false">ReqHeadcount</f>
        <v>4.87224805194805</v>
      </c>
      <c r="G24" s="23"/>
    </row>
    <row r="25" customFormat="false" ht="19.5" hidden="false" customHeight="true" outlineLevel="0" collapsed="false">
      <c r="B25" s="20" t="s">
        <v>29</v>
      </c>
      <c r="C25" s="20"/>
      <c r="D25" s="20"/>
      <c r="E25" s="20"/>
      <c r="F25" s="24" t="n">
        <f aca="false">Headcount</f>
        <v>4</v>
      </c>
      <c r="G25" s="24"/>
    </row>
    <row r="26" customFormat="false" ht="19.5" hidden="false" customHeight="true" outlineLevel="0" collapsed="false">
      <c r="B26" s="15" t="str">
        <f aca="false">IF(Headcount&gt;=ReqHeadcount,"Staffing reserve","Staffing gap")</f>
        <v>Staffing gap</v>
      </c>
      <c r="C26" s="15"/>
      <c r="D26" s="15"/>
      <c r="E26" s="15"/>
      <c r="F26" s="25" t="n">
        <f aca="false">Headcount-ReqHeadcount</f>
        <v>-0.872248051948052</v>
      </c>
      <c r="G26" s="25"/>
    </row>
    <row r="28" customFormat="false" ht="21.75" hidden="false" customHeight="true" outlineLevel="0" collapsed="false">
      <c r="B28" s="13" t="s">
        <v>30</v>
      </c>
      <c r="C28" s="13"/>
      <c r="D28" s="13"/>
      <c r="E28" s="13"/>
      <c r="F28" s="13"/>
      <c r="G28" s="13"/>
    </row>
    <row r="29" customFormat="false" ht="15" hidden="false" customHeight="true" outlineLevel="0" collapsed="false">
      <c r="B29" s="14" t="s">
        <v>31</v>
      </c>
      <c r="C29" s="14" t="s">
        <v>32</v>
      </c>
      <c r="D29" s="14"/>
      <c r="E29" s="14"/>
      <c r="F29" s="14" t="s">
        <v>33</v>
      </c>
      <c r="G29" s="14" t="s">
        <v>34</v>
      </c>
    </row>
    <row r="30" customFormat="false" ht="18.75" hidden="false" customHeight="true" outlineLevel="0" collapsed="false">
      <c r="B30" s="26" t="n">
        <v>1</v>
      </c>
      <c r="C30" s="20" t="str">
        <f aca="false">INDEX('Capacity Planning'!$B$5:$B$26,MATCH(LARGE('Capacity Planning'!$J$5:$J$26,1),'Capacity Planning'!$J$5:$J$26,0))</f>
        <v>Projects &amp; continuous improvement (lean, e.g. SMED)</v>
      </c>
      <c r="D30" s="20"/>
      <c r="E30" s="20"/>
      <c r="F30" s="19" t="n">
        <f aca="false">N(INDEX('Capacity Planning'!$F$5:$F$26,MATCH(LARGE('Capacity Planning'!$J$5:$J$26,1),'Capacity Planning'!$J$5:$J$26,0)))</f>
        <v>2500</v>
      </c>
      <c r="G30" s="27" t="n">
        <f aca="false">IF(TotalHoursYear=0,0,F30/TotalHoursYear)</f>
        <v>0.355871886120996</v>
      </c>
    </row>
    <row r="31" customFormat="false" ht="18.75" hidden="false" customHeight="true" outlineLevel="0" collapsed="false">
      <c r="B31" s="26" t="n">
        <v>2</v>
      </c>
      <c r="C31" s="20" t="str">
        <f aca="false">INDEX('Capacity Planning'!$B$5:$B$26,MATCH(LARGE('Capacity Planning'!$J$5:$J$26,2),'Capacity Planning'!$J$5:$J$26,0))</f>
        <v>Facility management</v>
      </c>
      <c r="D31" s="20"/>
      <c r="E31" s="20"/>
      <c r="F31" s="19" t="n">
        <f aca="false">N(INDEX('Capacity Planning'!$F$5:$F$26,MATCH(LARGE('Capacity Planning'!$J$5:$J$26,2),'Capacity Planning'!$J$5:$J$26,0)))</f>
        <v>1500</v>
      </c>
      <c r="G31" s="27" t="n">
        <f aca="false">IF(TotalHoursYear=0,0,F31/TotalHoursYear)</f>
        <v>0.213523131672598</v>
      </c>
    </row>
    <row r="32" customFormat="false" ht="18.75" hidden="false" customHeight="true" outlineLevel="0" collapsed="false">
      <c r="B32" s="26" t="n">
        <v>3</v>
      </c>
      <c r="C32" s="20" t="str">
        <f aca="false">INDEX('Capacity Planning'!$B$5:$B$26,MATCH(LARGE('Capacity Planning'!$J$5:$J$26,3),'Capacity Planning'!$J$5:$J$26,0))</f>
        <v>Administration</v>
      </c>
      <c r="D32" s="20"/>
      <c r="E32" s="20"/>
      <c r="F32" s="19" t="n">
        <f aca="false">N(INDEX('Capacity Planning'!$F$5:$F$26,MATCH(LARGE('Capacity Planning'!$J$5:$J$26,3),'Capacity Planning'!$J$5:$J$26,0)))</f>
        <v>750</v>
      </c>
      <c r="G32" s="27" t="n">
        <f aca="false">IF(TotalHoursYear=0,0,F32/TotalHoursYear)</f>
        <v>0.106761565836299</v>
      </c>
    </row>
    <row r="33" customFormat="false" ht="18.75" hidden="false" customHeight="true" outlineLevel="0" collapsed="false">
      <c r="B33" s="26" t="n">
        <v>4</v>
      </c>
      <c r="C33" s="20" t="str">
        <f aca="false">INDEX('Capacity Planning'!$B$5:$B$26,MATCH(LARGE('Capacity Planning'!$J$5:$J$26,4),'Capacity Planning'!$J$5:$J$26,0))</f>
        <v>Spare parts relocation &amp; miscellaneous</v>
      </c>
      <c r="D33" s="20"/>
      <c r="E33" s="20"/>
      <c r="F33" s="19" t="n">
        <f aca="false">N(INDEX('Capacity Planning'!$F$5:$F$26,MATCH(LARGE('Capacity Planning'!$J$5:$J$26,4),'Capacity Planning'!$J$5:$J$26,0)))</f>
        <v>500</v>
      </c>
      <c r="G33" s="27" t="n">
        <f aca="false">IF(TotalHoursYear=0,0,F33/TotalHoursYear)</f>
        <v>0.0711743772241993</v>
      </c>
    </row>
    <row r="34" customFormat="false" ht="18.75" hidden="false" customHeight="true" outlineLevel="0" collapsed="false">
      <c r="B34" s="26" t="n">
        <v>5</v>
      </c>
      <c r="C34" s="20" t="str">
        <f aca="false">INDEX('Capacity Planning'!$B$5:$B$26,MATCH(LARGE('Capacity Planning'!$J$5:$J$26,5),'Capacity Planning'!$J$5:$J$26,0))</f>
        <v>Support of bellows area</v>
      </c>
      <c r="D34" s="20"/>
      <c r="E34" s="20"/>
      <c r="F34" s="19" t="n">
        <f aca="false">N(INDEX('Capacity Planning'!$F$5:$F$26,MATCH(LARGE('Capacity Planning'!$J$5:$J$26,5),'Capacity Planning'!$J$5:$J$26,0)))</f>
        <v>500</v>
      </c>
      <c r="G34" s="27" t="n">
        <f aca="false">IF(TotalHoursYear=0,0,F34/TotalHoursYear)</f>
        <v>0.0711743772241993</v>
      </c>
    </row>
    <row r="35" customFormat="false" ht="18.75" hidden="false" customHeight="true" outlineLevel="0" collapsed="false">
      <c r="B35" s="26" t="n">
        <v>6</v>
      </c>
      <c r="C35" s="20" t="str">
        <f aca="false">INDEX('Capacity Planning'!$B$5:$B$26,MATCH(LARGE('Capacity Planning'!$J$5:$J$26,6),'Capacity Planning'!$J$5:$J$26,0))</f>
        <v>Spare parts management – planning</v>
      </c>
      <c r="D35" s="20"/>
      <c r="E35" s="20"/>
      <c r="F35" s="19" t="n">
        <f aca="false">N(INDEX('Capacity Planning'!$F$5:$F$26,MATCH(LARGE('Capacity Planning'!$J$5:$J$26,6),'Capacity Planning'!$J$5:$J$26,0)))</f>
        <v>375</v>
      </c>
      <c r="G35" s="27" t="n">
        <f aca="false">IF(TotalHoursYear=0,0,F35/TotalHoursYear)</f>
        <v>0.0533807829181495</v>
      </c>
    </row>
    <row r="36" customFormat="false" ht="18.75" hidden="false" customHeight="true" outlineLevel="0" collapsed="false">
      <c r="B36" s="26" t="n">
        <v>7</v>
      </c>
      <c r="C36" s="20" t="str">
        <f aca="false">INDEX('Capacity Planning'!$B$5:$B$26,MATCH(LARGE('Capacity Planning'!$J$5:$J$26,7),'Capacity Planning'!$J$5:$J$26,0))</f>
        <v>Design / 3D CAD</v>
      </c>
      <c r="D36" s="20"/>
      <c r="E36" s="20"/>
      <c r="F36" s="19" t="n">
        <f aca="false">N(INDEX('Capacity Planning'!$F$5:$F$26,MATCH(LARGE('Capacity Planning'!$J$5:$J$26,7),'Capacity Planning'!$J$5:$J$26,0)))</f>
        <v>250</v>
      </c>
      <c r="G36" s="27" t="n">
        <f aca="false">IF(TotalHoursYear=0,0,F36/TotalHoursYear)</f>
        <v>0.0355871886120997</v>
      </c>
    </row>
    <row r="37" customFormat="false" ht="15" hidden="false" customHeight="true" outlineLevel="0" collapsed="false">
      <c r="B37" s="26" t="n">
        <v>8</v>
      </c>
      <c r="C37" s="20" t="s">
        <v>35</v>
      </c>
      <c r="D37" s="20"/>
      <c r="E37" s="20"/>
      <c r="F37" s="19" t="n">
        <f aca="false">TotalHoursYear-SUM(F30:F36)</f>
        <v>650</v>
      </c>
      <c r="G37" s="27" t="n">
        <f aca="false">IF(TotalHoursYear=0,0,F37/TotalHoursYear)</f>
        <v>0.0925266903914591</v>
      </c>
    </row>
    <row r="38" customFormat="false" ht="15" hidden="false" customHeight="true" outlineLevel="0" collapsed="false">
      <c r="B38" s="22" t="s">
        <v>36</v>
      </c>
      <c r="C38" s="22"/>
      <c r="D38" s="22"/>
      <c r="E38" s="22"/>
      <c r="F38" s="28" t="n">
        <f aca="false">SUM(F30:F37)</f>
        <v>7025</v>
      </c>
      <c r="G38" s="29" t="n">
        <f aca="false">SUM(G30:G37)</f>
        <v>1</v>
      </c>
    </row>
    <row r="40" customFormat="false" ht="15" hidden="false" customHeight="false" outlineLevel="0" collapsed="false">
      <c r="B40" s="30" t="s">
        <v>37</v>
      </c>
    </row>
  </sheetData>
  <mergeCells count="57">
    <mergeCell ref="B2:M2"/>
    <mergeCell ref="B3:M3"/>
    <mergeCell ref="B5:D5"/>
    <mergeCell ref="E5:G5"/>
    <mergeCell ref="H5:J5"/>
    <mergeCell ref="K5:M5"/>
    <mergeCell ref="B6:D6"/>
    <mergeCell ref="E6:G6"/>
    <mergeCell ref="H6:J6"/>
    <mergeCell ref="K6:M6"/>
    <mergeCell ref="B7:D7"/>
    <mergeCell ref="E7:G7"/>
    <mergeCell ref="H7:J7"/>
    <mergeCell ref="K7:M7"/>
    <mergeCell ref="B9:D9"/>
    <mergeCell ref="E9:G9"/>
    <mergeCell ref="H9:J9"/>
    <mergeCell ref="K9:M9"/>
    <mergeCell ref="B10:D10"/>
    <mergeCell ref="E10:G10"/>
    <mergeCell ref="H10:J10"/>
    <mergeCell ref="K10:M10"/>
    <mergeCell ref="B11:D11"/>
    <mergeCell ref="E11:G11"/>
    <mergeCell ref="H11:J11"/>
    <mergeCell ref="K11:M11"/>
    <mergeCell ref="B13:G13"/>
    <mergeCell ref="H13:M13"/>
    <mergeCell ref="F14:G14"/>
    <mergeCell ref="F15:G15"/>
    <mergeCell ref="F16:G16"/>
    <mergeCell ref="F17:G17"/>
    <mergeCell ref="F18:G18"/>
    <mergeCell ref="B20:G20"/>
    <mergeCell ref="B21:E21"/>
    <mergeCell ref="F21:G21"/>
    <mergeCell ref="B22:E22"/>
    <mergeCell ref="F22:G22"/>
    <mergeCell ref="B23:E23"/>
    <mergeCell ref="F23:G23"/>
    <mergeCell ref="B24:E24"/>
    <mergeCell ref="F24:G24"/>
    <mergeCell ref="B25:E25"/>
    <mergeCell ref="F25:G25"/>
    <mergeCell ref="B26:E26"/>
    <mergeCell ref="F26:G26"/>
    <mergeCell ref="B28:G28"/>
    <mergeCell ref="C29:E29"/>
    <mergeCell ref="C30:E30"/>
    <mergeCell ref="C31:E31"/>
    <mergeCell ref="C32:E32"/>
    <mergeCell ref="C33:E33"/>
    <mergeCell ref="C34:E34"/>
    <mergeCell ref="C35:E35"/>
    <mergeCell ref="C36:E36"/>
    <mergeCell ref="C37:E37"/>
    <mergeCell ref="B38:E38"/>
  </mergeCells>
  <conditionalFormatting sqref="K6">
    <cfRule type="expression" priority="2" aboveAverage="0" equalAverage="0" bottom="0" percent="0" rank="0" text="" dxfId="0">
      <formula>$K$6&gt;=0</formula>
    </cfRule>
  </conditionalFormatting>
  <conditionalFormatting sqref="K10">
    <cfRule type="expression" priority="3" aboveAverage="0" equalAverage="0" bottom="0" percent="0" rank="0" text="" dxfId="0">
      <formula>$K$10&lt;=1</formula>
    </cfRule>
  </conditionalFormatting>
  <conditionalFormatting sqref="B26:G26">
    <cfRule type="expression" priority="4" aboveAverage="0" equalAverage="0" bottom="0" percent="0" rank="0" text="" dxfId="1">
      <formula>Headcount&lt;ReqHeadcount</formula>
    </cfRule>
    <cfRule type="expression" priority="5" aboveAverage="0" equalAverage="0" bottom="0" percent="0" rank="0" text="" dxfId="2">
      <formula>Headcount&gt;=ReqHeadcount</formula>
    </cfRule>
  </conditionalFormatting>
  <conditionalFormatting sqref="F30:F37">
    <cfRule type="dataBar" priority="6">
      <dataBar showValue="1" minLength="10" maxLength="90">
        <cfvo type="num" val="0"/>
        <cfvo type="max" val="0"/>
        <color rgb="FF9DC3E6"/>
      </dataBar>
      <extLst>
        <ext xmlns:x14="http://schemas.microsoft.com/office/spreadsheetml/2009/9/main" uri="{B025F937-C7B1-47D3-B67F-A62EFF666E3E}">
          <x14:id>{941D7D31-4600-4E8F-8C44-FDBA10F8F247}</x14:id>
        </ext>
      </extLst>
    </cfRule>
  </conditionalFormatting>
  <printOptions headings="false" gridLines="false" gridLinesSet="true" horizontalCentered="true" verticalCentered="false"/>
  <pageMargins left="0.75" right="0.75" top="1" bottom="1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&amp;L&amp;F&amp;Cfz-pA / Mrugalla&amp;R&amp;D</oddFooter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41D7D31-4600-4E8F-8C44-FDBA10F8F247}">
            <x14:dataBar minLength="10" maxLength="90" axisPosition="none" gradient="true">
              <x14:cfvo type="num">
                <xm:f>0</xm:f>
              </x14:cfvo>
              <x14:cfvo type="max"/>
              <x14:negativeFillColor rgb="FF9DC3E6"/>
              <x14:axisColor rgb="FF000000"/>
            </x14:dataBar>
          </x14:cfRule>
          <xm:sqref>F30:F37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true"/>
  </sheetPr>
  <dimension ref="A1:L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6"/>
    <col collapsed="false" customWidth="true" hidden="false" outlineLevel="0" max="5" min="3" style="0" width="9"/>
    <col collapsed="false" customWidth="true" hidden="false" outlineLevel="0" max="7" min="6" style="0" width="10"/>
    <col collapsed="false" customWidth="true" hidden="false" outlineLevel="0" max="8" min="8" style="0" width="9"/>
    <col collapsed="false" customWidth="true" hidden="false" outlineLevel="0" max="9" min="9" style="0" width="40"/>
    <col collapsed="false" customWidth="true" hidden="true" outlineLevel="0" max="10" min="10" style="0" width="3"/>
    <col collapsed="false" customWidth="true" hidden="false" outlineLevel="0" max="11" min="11" style="0" width="36"/>
    <col collapsed="false" customWidth="true" hidden="false" outlineLevel="0" max="12" min="12" style="0" width="13"/>
  </cols>
  <sheetData>
    <row r="1" customFormat="false" ht="19.7" hidden="false" customHeight="false" outlineLevel="0" collapsed="false">
      <c r="A1" s="31" t="s">
        <v>38</v>
      </c>
    </row>
    <row r="2" customFormat="false" ht="15" hidden="false" customHeight="false" outlineLevel="0" collapsed="false">
      <c r="A2" s="32" t="s">
        <v>39</v>
      </c>
    </row>
    <row r="4" customFormat="false" ht="33.75" hidden="false" customHeight="true" outlineLevel="0" collapsed="false">
      <c r="A4" s="33" t="s">
        <v>40</v>
      </c>
      <c r="B4" s="33" t="s">
        <v>32</v>
      </c>
      <c r="C4" s="33" t="s">
        <v>41</v>
      </c>
      <c r="D4" s="33" t="s">
        <v>42</v>
      </c>
      <c r="E4" s="33" t="s">
        <v>43</v>
      </c>
      <c r="F4" s="33" t="s">
        <v>44</v>
      </c>
      <c r="G4" s="33" t="s">
        <v>45</v>
      </c>
      <c r="H4" s="33" t="s">
        <v>46</v>
      </c>
      <c r="I4" s="33" t="s">
        <v>47</v>
      </c>
      <c r="K4" s="13" t="s">
        <v>48</v>
      </c>
      <c r="L4" s="13"/>
    </row>
    <row r="5" customFormat="false" ht="18.75" hidden="false" customHeight="true" outlineLevel="0" collapsed="false">
      <c r="A5" s="26" t="n">
        <v>1</v>
      </c>
      <c r="B5" s="34" t="s">
        <v>49</v>
      </c>
      <c r="C5" s="35" t="n">
        <v>1.5</v>
      </c>
      <c r="D5" s="16" t="n">
        <f aca="false">IF(C5="","",C5*DaysPerWeek)</f>
        <v>7.5</v>
      </c>
      <c r="E5" s="19" t="n">
        <f aca="false">IF(C5="","",F5/MonthsPerYear)</f>
        <v>31.25</v>
      </c>
      <c r="F5" s="18" t="n">
        <f aca="false">IF(C5="","",C5*WorkDaysPerYear)</f>
        <v>375</v>
      </c>
      <c r="G5" s="21" t="n">
        <f aca="false">IF(C5="","",F5/HoursPerEmployee)</f>
        <v>0.214285714285714</v>
      </c>
      <c r="H5" s="27" t="n">
        <f aca="false">IF(OR(C5="",$F$27=0),"",F5/$F$27)</f>
        <v>0.0533807829181495</v>
      </c>
      <c r="I5" s="36"/>
      <c r="J5" s="37" t="n">
        <f aca="false">N(F5)+(1000-ROW())/1000000</f>
        <v>375.000995</v>
      </c>
      <c r="K5" s="20" t="s">
        <v>50</v>
      </c>
      <c r="L5" s="38" t="n">
        <v>45859</v>
      </c>
    </row>
    <row r="6" customFormat="false" ht="18.75" hidden="false" customHeight="true" outlineLevel="0" collapsed="false">
      <c r="A6" s="39" t="n">
        <v>2</v>
      </c>
      <c r="B6" s="34" t="s">
        <v>51</v>
      </c>
      <c r="C6" s="35" t="n">
        <v>2</v>
      </c>
      <c r="D6" s="40" t="n">
        <f aca="false">IF(C6="","",C6*DaysPerWeek)</f>
        <v>10</v>
      </c>
      <c r="E6" s="41" t="n">
        <f aca="false">IF(C6="","",F6/MonthsPerYear)</f>
        <v>41.6666666666667</v>
      </c>
      <c r="F6" s="42" t="n">
        <f aca="false">IF(C6="","",C6*WorkDaysPerYear)</f>
        <v>500</v>
      </c>
      <c r="G6" s="43" t="n">
        <f aca="false">IF(C6="","",F6/HoursPerEmployee)</f>
        <v>0.285714285714286</v>
      </c>
      <c r="H6" s="44" t="n">
        <f aca="false">IF(OR(C6="",$F$27=0),"",F6/$F$27)</f>
        <v>0.0711743772241993</v>
      </c>
      <c r="I6" s="45" t="s">
        <v>52</v>
      </c>
      <c r="J6" s="37" t="n">
        <f aca="false">N(F6)+(1000-ROW())/1000000</f>
        <v>500.000994</v>
      </c>
      <c r="K6" s="20" t="s">
        <v>53</v>
      </c>
      <c r="L6" s="46" t="n">
        <v>250</v>
      </c>
    </row>
    <row r="7" customFormat="false" ht="18.75" hidden="false" customHeight="true" outlineLevel="0" collapsed="false">
      <c r="A7" s="26" t="n">
        <v>3</v>
      </c>
      <c r="B7" s="34" t="s">
        <v>54</v>
      </c>
      <c r="C7" s="35" t="n">
        <v>0.3</v>
      </c>
      <c r="D7" s="16" t="n">
        <f aca="false">IF(C7="","",C7*DaysPerWeek)</f>
        <v>1.5</v>
      </c>
      <c r="E7" s="19" t="n">
        <f aca="false">IF(C7="","",F7/MonthsPerYear)</f>
        <v>6.25</v>
      </c>
      <c r="F7" s="18" t="n">
        <f aca="false">IF(C7="","",C7*WorkDaysPerYear)</f>
        <v>75</v>
      </c>
      <c r="G7" s="21" t="n">
        <f aca="false">IF(C7="","",F7/HoursPerEmployee)</f>
        <v>0.0428571428571429</v>
      </c>
      <c r="H7" s="27" t="n">
        <f aca="false">IF(OR(C7="",$F$27=0),"",F7/$F$27)</f>
        <v>0.0106761565836299</v>
      </c>
      <c r="I7" s="36"/>
      <c r="J7" s="37" t="n">
        <f aca="false">N(F7)+(1000-ROW())/1000000</f>
        <v>75.000993</v>
      </c>
      <c r="K7" s="20" t="s">
        <v>55</v>
      </c>
      <c r="L7" s="46" t="n">
        <v>5</v>
      </c>
    </row>
    <row r="8" customFormat="false" ht="18.75" hidden="false" customHeight="true" outlineLevel="0" collapsed="false">
      <c r="A8" s="39" t="n">
        <v>4</v>
      </c>
      <c r="B8" s="34" t="s">
        <v>56</v>
      </c>
      <c r="C8" s="35" t="n">
        <v>0</v>
      </c>
      <c r="D8" s="40" t="n">
        <f aca="false">IF(C8="","",C8*DaysPerWeek)</f>
        <v>0</v>
      </c>
      <c r="E8" s="41" t="n">
        <f aca="false">IF(C8="","",F8/MonthsPerYear)</f>
        <v>0</v>
      </c>
      <c r="F8" s="42" t="n">
        <f aca="false">IF(C8="","",C8*WorkDaysPerYear)</f>
        <v>0</v>
      </c>
      <c r="G8" s="43" t="n">
        <f aca="false">IF(C8="","",F8/HoursPerEmployee)</f>
        <v>0</v>
      </c>
      <c r="H8" s="44" t="n">
        <f aca="false">IF(OR(C8="",$F$27=0),"",F8/$F$27)</f>
        <v>0</v>
      </c>
      <c r="I8" s="45" t="s">
        <v>57</v>
      </c>
      <c r="J8" s="37" t="n">
        <f aca="false">N(F8)+(1000-ROW())/1000000</f>
        <v>0.000992</v>
      </c>
      <c r="K8" s="20" t="s">
        <v>58</v>
      </c>
      <c r="L8" s="46" t="n">
        <v>12</v>
      </c>
    </row>
    <row r="9" customFormat="false" ht="18.75" hidden="false" customHeight="true" outlineLevel="0" collapsed="false">
      <c r="A9" s="26" t="n">
        <v>5</v>
      </c>
      <c r="B9" s="34" t="s">
        <v>59</v>
      </c>
      <c r="C9" s="35" t="n">
        <v>10</v>
      </c>
      <c r="D9" s="16" t="n">
        <f aca="false">IF(C9="","",C9*DaysPerWeek)</f>
        <v>50</v>
      </c>
      <c r="E9" s="19" t="n">
        <f aca="false">IF(C9="","",F9/MonthsPerYear)</f>
        <v>208.333333333333</v>
      </c>
      <c r="F9" s="18" t="n">
        <f aca="false">IF(C9="","",C9*WorkDaysPerYear)</f>
        <v>2500</v>
      </c>
      <c r="G9" s="21" t="n">
        <f aca="false">IF(C9="","",F9/HoursPerEmployee)</f>
        <v>1.42857142857143</v>
      </c>
      <c r="H9" s="27" t="n">
        <f aca="false">IF(OR(C9="",$F$27=0),"",F9/$F$27)</f>
        <v>0.355871886120996</v>
      </c>
      <c r="I9" s="36" t="s">
        <v>60</v>
      </c>
      <c r="J9" s="37" t="n">
        <f aca="false">N(F9)+(1000-ROW())/1000000</f>
        <v>2500.000991</v>
      </c>
      <c r="K9" s="20" t="s">
        <v>61</v>
      </c>
      <c r="L9" s="47" t="n">
        <v>1750</v>
      </c>
    </row>
    <row r="10" customFormat="false" ht="18.75" hidden="false" customHeight="true" outlineLevel="0" collapsed="false">
      <c r="A10" s="39" t="n">
        <v>6</v>
      </c>
      <c r="B10" s="34" t="s">
        <v>62</v>
      </c>
      <c r="C10" s="35" t="n">
        <v>0.5</v>
      </c>
      <c r="D10" s="40" t="n">
        <f aca="false">IF(C10="","",C10*DaysPerWeek)</f>
        <v>2.5</v>
      </c>
      <c r="E10" s="41" t="n">
        <f aca="false">IF(C10="","",F10/MonthsPerYear)</f>
        <v>10.4166666666667</v>
      </c>
      <c r="F10" s="42" t="n">
        <f aca="false">IF(C10="","",C10*WorkDaysPerYear)</f>
        <v>125</v>
      </c>
      <c r="G10" s="43" t="n">
        <f aca="false">IF(C10="","",F10/HoursPerEmployee)</f>
        <v>0.0714285714285714</v>
      </c>
      <c r="H10" s="44" t="n">
        <f aca="false">IF(OR(C10="",$F$27=0),"",F10/$F$27)</f>
        <v>0.0177935943060498</v>
      </c>
      <c r="I10" s="45"/>
      <c r="J10" s="37" t="n">
        <f aca="false">N(F10)+(1000-ROW())/1000000</f>
        <v>125.00099</v>
      </c>
      <c r="K10" s="20" t="s">
        <v>63</v>
      </c>
      <c r="L10" s="46" t="n">
        <v>38</v>
      </c>
    </row>
    <row r="11" customFormat="false" ht="18.75" hidden="false" customHeight="true" outlineLevel="0" collapsed="false">
      <c r="A11" s="26" t="n">
        <v>7</v>
      </c>
      <c r="B11" s="34" t="s">
        <v>64</v>
      </c>
      <c r="C11" s="35" t="n">
        <v>0.5</v>
      </c>
      <c r="D11" s="16" t="n">
        <f aca="false">IF(C11="","",C11*DaysPerWeek)</f>
        <v>2.5</v>
      </c>
      <c r="E11" s="19" t="n">
        <f aca="false">IF(C11="","",F11/MonthsPerYear)</f>
        <v>10.4166666666667</v>
      </c>
      <c r="F11" s="18" t="n">
        <f aca="false">IF(C11="","",C11*WorkDaysPerYear)</f>
        <v>125</v>
      </c>
      <c r="G11" s="21" t="n">
        <f aca="false">IF(C11="","",F11/HoursPerEmployee)</f>
        <v>0.0714285714285714</v>
      </c>
      <c r="H11" s="27" t="n">
        <f aca="false">IF(OR(C11="",$F$27=0),"",F11/$F$27)</f>
        <v>0.0177935943060498</v>
      </c>
      <c r="I11" s="36"/>
      <c r="J11" s="37" t="n">
        <f aca="false">N(F11)+(1000-ROW())/1000000</f>
        <v>125.000989</v>
      </c>
      <c r="K11" s="20" t="s">
        <v>65</v>
      </c>
      <c r="L11" s="46" t="n">
        <v>220</v>
      </c>
    </row>
    <row r="12" customFormat="false" ht="18.75" hidden="false" customHeight="true" outlineLevel="0" collapsed="false">
      <c r="A12" s="39" t="n">
        <v>8</v>
      </c>
      <c r="B12" s="34" t="s">
        <v>66</v>
      </c>
      <c r="C12" s="35" t="n">
        <v>0.5</v>
      </c>
      <c r="D12" s="40" t="n">
        <f aca="false">IF(C12="","",C12*DaysPerWeek)</f>
        <v>2.5</v>
      </c>
      <c r="E12" s="41" t="n">
        <f aca="false">IF(C12="","",F12/MonthsPerYear)</f>
        <v>10.4166666666667</v>
      </c>
      <c r="F12" s="42" t="n">
        <f aca="false">IF(C12="","",C12*WorkDaysPerYear)</f>
        <v>125</v>
      </c>
      <c r="G12" s="43" t="n">
        <f aca="false">IF(C12="","",F12/HoursPerEmployee)</f>
        <v>0.0714285714285714</v>
      </c>
      <c r="H12" s="44" t="n">
        <f aca="false">IF(OR(C12="",$F$27=0),"",F12/$F$27)</f>
        <v>0.0177935943060498</v>
      </c>
      <c r="I12" s="45"/>
      <c r="J12" s="37" t="n">
        <f aca="false">N(F12)+(1000-ROW())/1000000</f>
        <v>125.000988</v>
      </c>
      <c r="K12" s="20" t="s">
        <v>67</v>
      </c>
      <c r="L12" s="48" t="n">
        <v>0.041</v>
      </c>
    </row>
    <row r="13" customFormat="false" ht="18.75" hidden="false" customHeight="true" outlineLevel="0" collapsed="false">
      <c r="A13" s="26" t="n">
        <v>9</v>
      </c>
      <c r="B13" s="34" t="s">
        <v>68</v>
      </c>
      <c r="C13" s="35" t="n">
        <v>0.2</v>
      </c>
      <c r="D13" s="16" t="n">
        <f aca="false">IF(C13="","",C13*DaysPerWeek)</f>
        <v>1</v>
      </c>
      <c r="E13" s="19" t="n">
        <f aca="false">IF(C13="","",F13/MonthsPerYear)</f>
        <v>4.16666666666667</v>
      </c>
      <c r="F13" s="18" t="n">
        <f aca="false">IF(C13="","",C13*WorkDaysPerYear)</f>
        <v>50</v>
      </c>
      <c r="G13" s="21" t="n">
        <f aca="false">IF(C13="","",F13/HoursPerEmployee)</f>
        <v>0.0285714285714286</v>
      </c>
      <c r="H13" s="27" t="n">
        <f aca="false">IF(OR(C13="",$F$27=0),"",F13/$F$27)</f>
        <v>0.00711743772241993</v>
      </c>
      <c r="I13" s="36"/>
      <c r="J13" s="37" t="n">
        <f aca="false">N(F13)+(1000-ROW())/1000000</f>
        <v>50.000987</v>
      </c>
      <c r="K13" s="20" t="s">
        <v>69</v>
      </c>
      <c r="L13" s="35" t="n">
        <v>4</v>
      </c>
    </row>
    <row r="14" customFormat="false" ht="18.75" hidden="false" customHeight="true" outlineLevel="0" collapsed="false">
      <c r="A14" s="39" t="n">
        <v>10</v>
      </c>
      <c r="B14" s="34" t="s">
        <v>70</v>
      </c>
      <c r="C14" s="35" t="n">
        <v>1</v>
      </c>
      <c r="D14" s="40" t="n">
        <f aca="false">IF(C14="","",C14*DaysPerWeek)</f>
        <v>5</v>
      </c>
      <c r="E14" s="41" t="n">
        <f aca="false">IF(C14="","",F14/MonthsPerYear)</f>
        <v>20.8333333333333</v>
      </c>
      <c r="F14" s="42" t="n">
        <f aca="false">IF(C14="","",C14*WorkDaysPerYear)</f>
        <v>250</v>
      </c>
      <c r="G14" s="43" t="n">
        <f aca="false">IF(C14="","",F14/HoursPerEmployee)</f>
        <v>0.142857142857143</v>
      </c>
      <c r="H14" s="44" t="n">
        <f aca="false">IF(OR(C14="",$F$27=0),"",F14/$F$27)</f>
        <v>0.0355871886120997</v>
      </c>
      <c r="I14" s="45"/>
      <c r="J14" s="37" t="n">
        <f aca="false">N(F14)+(1000-ROW())/1000000</f>
        <v>250.000986</v>
      </c>
      <c r="K14" s="30" t="s">
        <v>71</v>
      </c>
    </row>
    <row r="15" customFormat="false" ht="18.75" hidden="false" customHeight="true" outlineLevel="0" collapsed="false">
      <c r="A15" s="26" t="n">
        <v>11</v>
      </c>
      <c r="B15" s="34" t="s">
        <v>72</v>
      </c>
      <c r="C15" s="35" t="n">
        <v>0.1</v>
      </c>
      <c r="D15" s="16" t="n">
        <f aca="false">IF(C15="","",C15*DaysPerWeek)</f>
        <v>0.5</v>
      </c>
      <c r="E15" s="19" t="n">
        <f aca="false">IF(C15="","",F15/MonthsPerYear)</f>
        <v>2.08333333333333</v>
      </c>
      <c r="F15" s="18" t="n">
        <f aca="false">IF(C15="","",C15*WorkDaysPerYear)</f>
        <v>25</v>
      </c>
      <c r="G15" s="21" t="n">
        <f aca="false">IF(C15="","",F15/HoursPerEmployee)</f>
        <v>0.0142857142857143</v>
      </c>
      <c r="H15" s="27" t="n">
        <f aca="false">IF(OR(C15="",$F$27=0),"",F15/$F$27)</f>
        <v>0.00355871886120996</v>
      </c>
      <c r="I15" s="36"/>
      <c r="J15" s="37" t="n">
        <f aca="false">N(F15)+(1000-ROW())/1000000</f>
        <v>25.000985</v>
      </c>
    </row>
    <row r="16" customFormat="false" ht="21.75" hidden="false" customHeight="true" outlineLevel="0" collapsed="false">
      <c r="A16" s="39" t="n">
        <v>12</v>
      </c>
      <c r="B16" s="34" t="s">
        <v>73</v>
      </c>
      <c r="C16" s="35" t="n">
        <v>0</v>
      </c>
      <c r="D16" s="40" t="n">
        <f aca="false">IF(C16="","",C16*DaysPerWeek)</f>
        <v>0</v>
      </c>
      <c r="E16" s="41" t="n">
        <f aca="false">IF(C16="","",F16/MonthsPerYear)</f>
        <v>0</v>
      </c>
      <c r="F16" s="42" t="n">
        <f aca="false">IF(C16="","",C16*WorkDaysPerYear)</f>
        <v>0</v>
      </c>
      <c r="G16" s="43" t="n">
        <f aca="false">IF(C16="","",F16/HoursPerEmployee)</f>
        <v>0</v>
      </c>
      <c r="H16" s="44" t="n">
        <f aca="false">IF(OR(C16="",$F$27=0),"",F16/$F$27)</f>
        <v>0</v>
      </c>
      <c r="I16" s="45"/>
      <c r="J16" s="37" t="n">
        <f aca="false">N(F16)+(1000-ROW())/1000000</f>
        <v>0.000984</v>
      </c>
      <c r="K16" s="13" t="s">
        <v>74</v>
      </c>
      <c r="L16" s="13"/>
    </row>
    <row r="17" customFormat="false" ht="18.75" hidden="false" customHeight="true" outlineLevel="0" collapsed="false">
      <c r="A17" s="26" t="n">
        <v>13</v>
      </c>
      <c r="B17" s="34" t="s">
        <v>75</v>
      </c>
      <c r="C17" s="35" t="n">
        <v>0.5</v>
      </c>
      <c r="D17" s="16" t="n">
        <f aca="false">IF(C17="","",C17*DaysPerWeek)</f>
        <v>2.5</v>
      </c>
      <c r="E17" s="19" t="n">
        <f aca="false">IF(C17="","",F17/MonthsPerYear)</f>
        <v>10.4166666666667</v>
      </c>
      <c r="F17" s="18" t="n">
        <f aca="false">IF(C17="","",C17*WorkDaysPerYear)</f>
        <v>125</v>
      </c>
      <c r="G17" s="21" t="n">
        <f aca="false">IF(C17="","",F17/HoursPerEmployee)</f>
        <v>0.0714285714285714</v>
      </c>
      <c r="H17" s="27" t="n">
        <f aca="false">IF(OR(C17="",$F$27=0),"",F17/$F$27)</f>
        <v>0.0177935943060498</v>
      </c>
      <c r="I17" s="36"/>
      <c r="J17" s="37" t="n">
        <f aca="false">N(F17)+(1000-ROW())/1000000</f>
        <v>125.000983</v>
      </c>
      <c r="K17" s="20" t="s">
        <v>27</v>
      </c>
      <c r="L17" s="21" t="n">
        <f aca="false">G27</f>
        <v>4.01428571428571</v>
      </c>
    </row>
    <row r="18" customFormat="false" ht="18.75" hidden="false" customHeight="true" outlineLevel="0" collapsed="false">
      <c r="A18" s="39" t="n">
        <v>14</v>
      </c>
      <c r="B18" s="34" t="s">
        <v>76</v>
      </c>
      <c r="C18" s="35" t="n">
        <v>6</v>
      </c>
      <c r="D18" s="40" t="n">
        <f aca="false">IF(C18="","",C18*DaysPerWeek)</f>
        <v>30</v>
      </c>
      <c r="E18" s="41" t="n">
        <f aca="false">IF(C18="","",F18/MonthsPerYear)</f>
        <v>125</v>
      </c>
      <c r="F18" s="42" t="n">
        <f aca="false">IF(C18="","",C18*WorkDaysPerYear)</f>
        <v>1500</v>
      </c>
      <c r="G18" s="43" t="n">
        <f aca="false">IF(C18="","",F18/HoursPerEmployee)</f>
        <v>0.857142857142857</v>
      </c>
      <c r="H18" s="44" t="n">
        <f aca="false">IF(OR(C18="",$F$27=0),"",F18/$F$27)</f>
        <v>0.213523131672598</v>
      </c>
      <c r="I18" s="45"/>
      <c r="J18" s="37" t="n">
        <f aca="false">N(F18)+(1000-ROW())/1000000</f>
        <v>1500.000982</v>
      </c>
      <c r="K18" s="20" t="str">
        <f aca="false">"+ Vacation ("&amp;TEXT(VacationDays/RefDays,"0.0%")&amp;")"</f>
        <v>+ Vacation (17.3%)</v>
      </c>
      <c r="L18" s="21" t="n">
        <f aca="false">G27*VacationDays/RefDays</f>
        <v>0.693376623376623</v>
      </c>
    </row>
    <row r="19" customFormat="false" ht="18.75" hidden="false" customHeight="true" outlineLevel="0" collapsed="false">
      <c r="A19" s="26" t="n">
        <v>15</v>
      </c>
      <c r="B19" s="34" t="s">
        <v>77</v>
      </c>
      <c r="C19" s="35" t="n">
        <v>0</v>
      </c>
      <c r="D19" s="16" t="n">
        <f aca="false">IF(C19="","",C19*DaysPerWeek)</f>
        <v>0</v>
      </c>
      <c r="E19" s="19" t="n">
        <f aca="false">IF(C19="","",F19/MonthsPerYear)</f>
        <v>0</v>
      </c>
      <c r="F19" s="18" t="n">
        <f aca="false">IF(C19="","",C19*WorkDaysPerYear)</f>
        <v>0</v>
      </c>
      <c r="G19" s="21" t="n">
        <f aca="false">IF(C19="","",F19/HoursPerEmployee)</f>
        <v>0</v>
      </c>
      <c r="H19" s="27" t="n">
        <f aca="false">IF(OR(C19="",$F$27=0),"",F19/$F$27)</f>
        <v>0</v>
      </c>
      <c r="I19" s="36"/>
      <c r="J19" s="37" t="n">
        <f aca="false">N(F19)+(1000-ROW())/1000000</f>
        <v>0.000981</v>
      </c>
      <c r="K19" s="20" t="str">
        <f aca="false">"+ Sickness ("&amp;TEXT(SickRate,"0.0%")&amp;")"</f>
        <v>+ Sickness (4.1%)</v>
      </c>
      <c r="L19" s="21" t="n">
        <f aca="false">G27*SickRate</f>
        <v>0.164585714285714</v>
      </c>
    </row>
    <row r="20" customFormat="false" ht="25.5" hidden="false" customHeight="true" outlineLevel="0" collapsed="false">
      <c r="A20" s="39" t="n">
        <v>16</v>
      </c>
      <c r="B20" s="34" t="s">
        <v>78</v>
      </c>
      <c r="C20" s="35" t="n">
        <v>2</v>
      </c>
      <c r="D20" s="40" t="n">
        <f aca="false">IF(C20="","",C20*DaysPerWeek)</f>
        <v>10</v>
      </c>
      <c r="E20" s="41" t="n">
        <f aca="false">IF(C20="","",F20/MonthsPerYear)</f>
        <v>41.6666666666667</v>
      </c>
      <c r="F20" s="42" t="n">
        <f aca="false">IF(C20="","",C20*WorkDaysPerYear)</f>
        <v>500</v>
      </c>
      <c r="G20" s="43" t="n">
        <f aca="false">IF(C20="","",F20/HoursPerEmployee)</f>
        <v>0.285714285714286</v>
      </c>
      <c r="H20" s="44" t="n">
        <f aca="false">IF(OR(C20="",$F$27=0),"",F20/$F$27)</f>
        <v>0.0711743772241993</v>
      </c>
      <c r="I20" s="45"/>
      <c r="J20" s="37" t="n">
        <f aca="false">N(F20)+(1000-ROW())/1000000</f>
        <v>500.00098</v>
      </c>
      <c r="K20" s="49" t="s">
        <v>28</v>
      </c>
      <c r="L20" s="50" t="n">
        <f aca="false">SUM(L17:L19)</f>
        <v>4.87224805194805</v>
      </c>
    </row>
    <row r="21" customFormat="false" ht="18.75" hidden="false" customHeight="true" outlineLevel="0" collapsed="false">
      <c r="A21" s="26" t="n">
        <v>17</v>
      </c>
      <c r="B21" s="34" t="s">
        <v>79</v>
      </c>
      <c r="C21" s="35" t="n">
        <v>0</v>
      </c>
      <c r="D21" s="16" t="n">
        <f aca="false">IF(C21="","",C21*DaysPerWeek)</f>
        <v>0</v>
      </c>
      <c r="E21" s="19" t="n">
        <f aca="false">IF(C21="","",F21/MonthsPerYear)</f>
        <v>0</v>
      </c>
      <c r="F21" s="18" t="n">
        <f aca="false">IF(C21="","",C21*WorkDaysPerYear)</f>
        <v>0</v>
      </c>
      <c r="G21" s="21" t="n">
        <f aca="false">IF(C21="","",F21/HoursPerEmployee)</f>
        <v>0</v>
      </c>
      <c r="H21" s="27" t="n">
        <f aca="false">IF(OR(C21="",$F$27=0),"",F21/$F$27)</f>
        <v>0</v>
      </c>
      <c r="I21" s="36"/>
      <c r="J21" s="37" t="n">
        <f aca="false">N(F21)+(1000-ROW())/1000000</f>
        <v>0.000979</v>
      </c>
      <c r="K21" s="15" t="s">
        <v>80</v>
      </c>
      <c r="L21" s="51" t="n">
        <f aca="false">ROUNDUP(L20,0)</f>
        <v>5</v>
      </c>
    </row>
    <row r="22" customFormat="false" ht="18.75" hidden="false" customHeight="true" outlineLevel="0" collapsed="false">
      <c r="A22" s="39" t="n">
        <v>18</v>
      </c>
      <c r="B22" s="34" t="s">
        <v>81</v>
      </c>
      <c r="C22" s="35" t="n">
        <v>0</v>
      </c>
      <c r="D22" s="40" t="n">
        <f aca="false">IF(C22="","",C22*DaysPerWeek)</f>
        <v>0</v>
      </c>
      <c r="E22" s="41" t="n">
        <f aca="false">IF(C22="","",F22/MonthsPerYear)</f>
        <v>0</v>
      </c>
      <c r="F22" s="42" t="n">
        <f aca="false">IF(C22="","",C22*WorkDaysPerYear)</f>
        <v>0</v>
      </c>
      <c r="G22" s="43" t="n">
        <f aca="false">IF(C22="","",F22/HoursPerEmployee)</f>
        <v>0</v>
      </c>
      <c r="H22" s="44" t="n">
        <f aca="false">IF(OR(C22="",$F$27=0),"",F22/$F$27)</f>
        <v>0</v>
      </c>
      <c r="I22" s="45"/>
      <c r="J22" s="37" t="n">
        <f aca="false">N(F22)+(1000-ROW())/1000000</f>
        <v>0.000978</v>
      </c>
      <c r="K22" s="20" t="s">
        <v>29</v>
      </c>
      <c r="L22" s="24" t="n">
        <f aca="false">Headcount</f>
        <v>4</v>
      </c>
    </row>
    <row r="23" customFormat="false" ht="18.75" hidden="false" customHeight="true" outlineLevel="0" collapsed="false">
      <c r="A23" s="26" t="n">
        <v>19</v>
      </c>
      <c r="B23" s="34" t="s">
        <v>82</v>
      </c>
      <c r="C23" s="35" t="n">
        <v>3</v>
      </c>
      <c r="D23" s="16" t="n">
        <f aca="false">IF(C23="","",C23*DaysPerWeek)</f>
        <v>15</v>
      </c>
      <c r="E23" s="19" t="n">
        <f aca="false">IF(C23="","",F23/MonthsPerYear)</f>
        <v>62.5</v>
      </c>
      <c r="F23" s="18" t="n">
        <f aca="false">IF(C23="","",C23*WorkDaysPerYear)</f>
        <v>750</v>
      </c>
      <c r="G23" s="21" t="n">
        <f aca="false">IF(C23="","",F23/HoursPerEmployee)</f>
        <v>0.428571428571429</v>
      </c>
      <c r="H23" s="27" t="n">
        <f aca="false">IF(OR(C23="",$F$27=0),"",F23/$F$27)</f>
        <v>0.106761565836299</v>
      </c>
      <c r="I23" s="36"/>
      <c r="J23" s="37" t="n">
        <f aca="false">N(F23)+(1000-ROW())/1000000</f>
        <v>750.000977</v>
      </c>
      <c r="K23" s="15" t="str">
        <f aca="false">IF(L22&gt;=L20,"Staffing reserve","Staffing gap")</f>
        <v>Staffing gap</v>
      </c>
      <c r="L23" s="52" t="n">
        <f aca="false">L22-L20</f>
        <v>-0.872248051948052</v>
      </c>
    </row>
    <row r="24" customFormat="false" ht="18.75" hidden="false" customHeight="true" outlineLevel="0" collapsed="false">
      <c r="A24" s="39" t="n">
        <v>20</v>
      </c>
      <c r="B24" s="34"/>
      <c r="C24" s="35"/>
      <c r="D24" s="40" t="str">
        <f aca="false">IF(C24="","",C24*DaysPerWeek)</f>
        <v/>
      </c>
      <c r="E24" s="41" t="str">
        <f aca="false">IF(C24="","",F24/MonthsPerYear)</f>
        <v/>
      </c>
      <c r="F24" s="42" t="str">
        <f aca="false">IF(C24="","",C24*WorkDaysPerYear)</f>
        <v/>
      </c>
      <c r="G24" s="43" t="str">
        <f aca="false">IF(C24="","",F24/HoursPerEmployee)</f>
        <v/>
      </c>
      <c r="H24" s="44" t="str">
        <f aca="false">IF(OR(C24="",$F$27=0),"",F24/$F$27)</f>
        <v/>
      </c>
      <c r="I24" s="53" t="s">
        <v>83</v>
      </c>
      <c r="J24" s="37" t="n">
        <f aca="false">N(F24)+(1000-ROW())/1000000</f>
        <v>0.000976</v>
      </c>
    </row>
    <row r="25" customFormat="false" ht="21.75" hidden="false" customHeight="true" outlineLevel="0" collapsed="false">
      <c r="A25" s="26" t="n">
        <v>21</v>
      </c>
      <c r="B25" s="34"/>
      <c r="C25" s="35"/>
      <c r="D25" s="16" t="str">
        <f aca="false">IF(C25="","",C25*DaysPerWeek)</f>
        <v/>
      </c>
      <c r="E25" s="19" t="str">
        <f aca="false">IF(C25="","",F25/MonthsPerYear)</f>
        <v/>
      </c>
      <c r="F25" s="18" t="str">
        <f aca="false">IF(C25="","",C25*WorkDaysPerYear)</f>
        <v/>
      </c>
      <c r="G25" s="21" t="str">
        <f aca="false">IF(C25="","",F25/HoursPerEmployee)</f>
        <v/>
      </c>
      <c r="H25" s="27" t="str">
        <f aca="false">IF(OR(C25="",$F$27=0),"",F25/$F$27)</f>
        <v/>
      </c>
      <c r="I25" s="54" t="s">
        <v>83</v>
      </c>
      <c r="J25" s="37" t="n">
        <f aca="false">N(F25)+(1000-ROW())/1000000</f>
        <v>0.000975</v>
      </c>
      <c r="K25" s="13" t="s">
        <v>84</v>
      </c>
      <c r="L25" s="13"/>
    </row>
    <row r="26" customFormat="false" ht="18.75" hidden="false" customHeight="true" outlineLevel="0" collapsed="false">
      <c r="A26" s="39" t="n">
        <v>22</v>
      </c>
      <c r="B26" s="34"/>
      <c r="C26" s="35"/>
      <c r="D26" s="40" t="str">
        <f aca="false">IF(C26="","",C26*DaysPerWeek)</f>
        <v/>
      </c>
      <c r="E26" s="41" t="str">
        <f aca="false">IF(C26="","",F26/MonthsPerYear)</f>
        <v/>
      </c>
      <c r="F26" s="42" t="str">
        <f aca="false">IF(C26="","",C26*WorkDaysPerYear)</f>
        <v/>
      </c>
      <c r="G26" s="43" t="str">
        <f aca="false">IF(C26="","",F26/HoursPerEmployee)</f>
        <v/>
      </c>
      <c r="H26" s="44" t="str">
        <f aca="false">IF(OR(C26="",$F$27=0),"",F26/$F$27)</f>
        <v/>
      </c>
      <c r="I26" s="53" t="s">
        <v>83</v>
      </c>
      <c r="J26" s="37" t="n">
        <f aca="false">N(F26)+(1000-ROW())/1000000</f>
        <v>0.000974</v>
      </c>
    </row>
    <row r="27" customFormat="false" ht="21.75" hidden="false" customHeight="true" outlineLevel="0" collapsed="false">
      <c r="A27" s="55"/>
      <c r="B27" s="22" t="s">
        <v>36</v>
      </c>
      <c r="C27" s="56" t="n">
        <f aca="false">SUM(C5:C26)</f>
        <v>28.1</v>
      </c>
      <c r="D27" s="57" t="n">
        <f aca="false">SUM(D5:D26)</f>
        <v>140.5</v>
      </c>
      <c r="E27" s="28" t="n">
        <f aca="false">SUM(E5:E26)</f>
        <v>585.416666666667</v>
      </c>
      <c r="F27" s="28" t="n">
        <f aca="false">SUM(F5:F26)</f>
        <v>7025</v>
      </c>
      <c r="G27" s="58" t="n">
        <f aca="false">SUM(G5:G26)</f>
        <v>4.01428571428571</v>
      </c>
      <c r="H27" s="59" t="n">
        <f aca="false">SUM(H5:H26)</f>
        <v>1</v>
      </c>
      <c r="I27" s="55"/>
    </row>
  </sheetData>
  <mergeCells count="3">
    <mergeCell ref="K4:L4"/>
    <mergeCell ref="K16:L16"/>
    <mergeCell ref="K25:L25"/>
  </mergeCells>
  <conditionalFormatting sqref="F5:F26">
    <cfRule type="dataBar" priority="2">
      <dataBar showValue="1" minLength="10" maxLength="90">
        <cfvo type="num" val="0"/>
        <cfvo type="max" val="0"/>
        <color rgb="FF9DC3E6"/>
      </dataBar>
      <extLst>
        <ext xmlns:x14="http://schemas.microsoft.com/office/spreadsheetml/2009/9/main" uri="{B025F937-C7B1-47D3-B67F-A62EFF666E3E}">
          <x14:id>{C93DD54C-5E6C-4728-BDE8-3455BF9325F9}</x14:id>
        </ext>
      </extLst>
    </cfRule>
  </conditionalFormatting>
  <conditionalFormatting sqref="K23:L23">
    <cfRule type="expression" priority="3" aboveAverage="0" equalAverage="0" bottom="0" percent="0" rank="0" text="" dxfId="1">
      <formula>$L$22&lt;$L$20</formula>
    </cfRule>
    <cfRule type="expression" priority="4" aboveAverage="0" equalAverage="0" bottom="0" percent="0" rank="0" text="" dxfId="2">
      <formula>$L$22&gt;=$L$20</formula>
    </cfRule>
  </conditionalFormatting>
  <dataValidations count="1">
    <dataValidation allowBlank="true" error="Please enter hours per day between 0 and 24." errorStyle="stop" errorTitle="Invalid input" operator="between" showDropDown="false" showErrorMessage="false" showInputMessage="false" sqref="C5:C26" type="decimal">
      <formula1>0</formula1>
      <formula2>24</formula2>
    </dataValidation>
  </dataValidations>
  <printOptions headings="false" gridLines="false" gridLinesSet="true" horizontalCentered="true" verticalCentered="false"/>
  <pageMargins left="0.75" right="0.75" top="1" bottom="1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&amp;L&amp;F&amp;Cfz-pA / Mrugalla&amp;R&amp;D</oddFooter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93DD54C-5E6C-4728-BDE8-3455BF9325F9}">
            <x14:dataBar minLength="10" maxLength="90" axisPosition="none" gradient="true">
              <x14:cfvo type="num">
                <xm:f>0</xm:f>
              </x14:cfvo>
              <x14:cfvo type="max"/>
              <x14:negativeFillColor rgb="FF9DC3E6"/>
              <x14:axisColor rgb="FF000000"/>
            </x14:dataBar>
          </x14:cfRule>
          <xm:sqref>F5:F26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2026-10-14T13:27:24Z</dcterms:created>
  <dc:creator>openpyxl</dc:creator>
  <dc:description/>
  <dc:language>en-US</dc:language>
  <cp:lastModifiedBy/>
  <dcterms:modified xsi:type="dcterms:W3CDTF">2026-10-14T13:27:26Z</dcterms:modified>
  <cp:revision>1</cp:revision>
  <dc:subject/>
  <dc:title>Maintenance BB2 – Staffing &amp; Capacity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