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/>
  <workbookPr/>
  <mc:AlternateContent xmlns:mc="http://schemas.openxmlformats.org/markup-compatibility/2006">
    <mc:Choice Requires="x15">
      <x15ac:absPath xmlns:x15ac="http://schemas.microsoft.com/office/spreadsheetml/2010/11/ac" url="https://witzenmanngroup-my.sharepoint.com/personal/bernhard_mrugalla_witzenmann_com/Documents/01 Dokumente/01 OX/01 Projekte/02 Projekt Wi/03 Hub/01 Betriebsmitten/"/>
    </mc:Choice>
  </mc:AlternateContent>
  <xr:revisionPtr revIDLastSave="11" documentId="8_{5AB7EF27-7AAA-4FFD-9368-58D6C9B03644}" xr6:coauthVersionLast="47" xr6:coauthVersionMax="47" xr10:uidLastSave="{16BC2A36-9023-45C7-921D-28EFE81693E8}"/>
  <bookViews>
    <workbookView xWindow="-120" yWindow="-120" windowWidth="29040" windowHeight="15720" tabRatio="596" xr2:uid="{00000000-000D-0000-FFFF-FFFF00000000}"/>
  </bookViews>
  <sheets>
    <sheet name="Kapa Personal BB IH_Plan_Umse" sheetId="2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6" i="23" l="1"/>
  <c r="B23" i="23"/>
  <c r="D24" i="23" s="1"/>
  <c r="D27" i="23" s="1"/>
  <c r="D22" i="23"/>
  <c r="E22" i="23" s="1"/>
  <c r="C22" i="23"/>
  <c r="D21" i="23"/>
  <c r="E21" i="23" s="1"/>
  <c r="C21" i="23"/>
  <c r="D20" i="23"/>
  <c r="E20" i="23" s="1"/>
  <c r="C20" i="23"/>
  <c r="D19" i="23"/>
  <c r="E19" i="23" s="1"/>
  <c r="C19" i="23"/>
  <c r="D18" i="23"/>
  <c r="E18" i="23" s="1"/>
  <c r="C18" i="23"/>
  <c r="D17" i="23"/>
  <c r="E17" i="23" s="1"/>
  <c r="C17" i="23"/>
  <c r="D16" i="23"/>
  <c r="E16" i="23" s="1"/>
  <c r="C16" i="23"/>
  <c r="D15" i="23"/>
  <c r="E15" i="23" s="1"/>
  <c r="C15" i="23"/>
  <c r="D14" i="23"/>
  <c r="E14" i="23" s="1"/>
  <c r="C14" i="23"/>
  <c r="D13" i="23"/>
  <c r="E13" i="23" s="1"/>
  <c r="C13" i="23"/>
  <c r="D12" i="23"/>
  <c r="E12" i="23" s="1"/>
  <c r="C12" i="23"/>
  <c r="D11" i="23"/>
  <c r="E11" i="23" s="1"/>
  <c r="C11" i="23"/>
  <c r="D10" i="23"/>
  <c r="E10" i="23" s="1"/>
  <c r="C10" i="23"/>
  <c r="D9" i="23"/>
  <c r="E9" i="23" s="1"/>
  <c r="C9" i="23"/>
  <c r="D8" i="23"/>
  <c r="E8" i="23" s="1"/>
  <c r="C8" i="23"/>
  <c r="D7" i="23"/>
  <c r="E7" i="23" s="1"/>
  <c r="C7" i="23"/>
  <c r="D6" i="23"/>
  <c r="E6" i="23" s="1"/>
  <c r="C6" i="23"/>
  <c r="D5" i="23"/>
  <c r="E5" i="23" s="1"/>
  <c r="C5" i="23"/>
  <c r="D4" i="23"/>
  <c r="E4" i="23" s="1"/>
  <c r="C4" i="23"/>
  <c r="D26" i="23" l="1"/>
  <c r="D28" i="23" s="1"/>
  <c r="D29" i="23" s="1"/>
  <c r="E24" i="23"/>
</calcChain>
</file>

<file path=xl/sharedStrings.xml><?xml version="1.0" encoding="utf-8"?>
<sst xmlns="http://schemas.openxmlformats.org/spreadsheetml/2006/main" count="47" uniqueCount="45">
  <si>
    <t>Bereich</t>
  </si>
  <si>
    <t>Krank</t>
  </si>
  <si>
    <t>Urlaub</t>
  </si>
  <si>
    <t>Summe 
MA</t>
  </si>
  <si>
    <t>Bemerkungen</t>
  </si>
  <si>
    <t>Summe Direkte Mitarbeiter</t>
  </si>
  <si>
    <t>netto</t>
  </si>
  <si>
    <t>Anteil
[%]</t>
  </si>
  <si>
    <t>brutto</t>
  </si>
  <si>
    <t>Verteilzeiten</t>
  </si>
  <si>
    <t>Summe Verteilzeiten</t>
  </si>
  <si>
    <t>Statistik fz-IH</t>
  </si>
  <si>
    <t>Reparatur / Überhollung von Ersatzteilen</t>
  </si>
  <si>
    <t>Anfahren von Neuanlagen</t>
  </si>
  <si>
    <t>Freiprüfung von neu WKZ (Versuche)</t>
  </si>
  <si>
    <t>Maschinenumzüge</t>
  </si>
  <si>
    <t>Gesamt</t>
  </si>
  <si>
    <t>Training / Schulung / Betreung / TPM / WPS</t>
  </si>
  <si>
    <t>Auslandeinsätze / Ausladsbetreuung</t>
  </si>
  <si>
    <t>Lagerhaltung / Ersatzteilbeschafung extern</t>
  </si>
  <si>
    <t>Std. / Jahr</t>
  </si>
  <si>
    <t>1 MA = 1750</t>
  </si>
  <si>
    <t xml:space="preserve">Entwicklung; Berechnung; Bestellung; </t>
  </si>
  <si>
    <t>Facility Managemant</t>
  </si>
  <si>
    <t>Konstrunktion / 3D</t>
  </si>
  <si>
    <t>Komplexe Reparaturen / Generallüberholungen</t>
  </si>
  <si>
    <t>Sonderaufgaben (Lagersystemme…)</t>
  </si>
  <si>
    <t>CNC-Technik (z.B. Nachdrehen Messer)</t>
  </si>
  <si>
    <t>38 Tage Urlaub / TZ/ 220 AT</t>
  </si>
  <si>
    <t>Betreung Balg-Bereich</t>
  </si>
  <si>
    <t>Wartung allg. Maschinen</t>
  </si>
  <si>
    <t>Scheifele</t>
  </si>
  <si>
    <t>Baran</t>
  </si>
  <si>
    <t>Vischer</t>
  </si>
  <si>
    <t>Mrugalla</t>
  </si>
  <si>
    <t>Projekte und KVP (Lean Projekte z.B SMED,….)</t>
  </si>
  <si>
    <t>Administrativ</t>
  </si>
  <si>
    <t>Wartung Betriebsmittel</t>
  </si>
  <si>
    <t>*Schcihtübegreifend</t>
  </si>
  <si>
    <t>Komplexe Ersatzeile (Druckübersetzter, Wasserventile…..)</t>
  </si>
  <si>
    <t>Mitarbeiterplanung BB2 Instandhaltung Umsetzung</t>
  </si>
  <si>
    <t>Ersatzteilmanagement Planung</t>
  </si>
  <si>
    <t>Ersatzteilumlagerung u. sonstiges</t>
  </si>
  <si>
    <t>Dauer/Min./Teil</t>
  </si>
  <si>
    <t xml:space="preserve">Planung und Dokumentationen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</si>
</sst>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10" x14ac:knownFonts="1">
    <font>
      <sz val="10"/>
      <name val="Arial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48"/>
      <name val="Arial"/>
      <family val="2"/>
    </font>
    <font>
      <b/>
      <u/>
      <sz val="12"/>
      <name val="Arial"/>
      <family val="2"/>
    </font>
    <font>
      <sz val="10"/>
      <color indexed="4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4" fillId="0" borderId="0" xfId="0" applyFont="1"/>
    <xf numFmtId="0" fontId="0" fillId="0" borderId="2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1" xfId="0" applyBorder="1" applyAlignment="1">
      <alignment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7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2" fontId="2" fillId="0" borderId="10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vertical="center"/>
    </xf>
    <xf numFmtId="0" fontId="2" fillId="0" borderId="0" xfId="0" applyFont="1"/>
    <xf numFmtId="164" fontId="0" fillId="0" borderId="1" xfId="0" applyNumberFormat="1" applyBorder="1" applyAlignment="1">
      <alignment horizontal="center" vertical="center"/>
    </xf>
    <xf numFmtId="14" fontId="2" fillId="0" borderId="0" xfId="0" applyNumberFormat="1" applyFont="1"/>
    <xf numFmtId="164" fontId="0" fillId="0" borderId="15" xfId="0" applyNumberForma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2" fontId="2" fillId="0" borderId="16" xfId="0" applyNumberFormat="1" applyFont="1" applyBorder="1" applyAlignment="1">
      <alignment horizontal="center" vertical="center"/>
    </xf>
    <xf numFmtId="0" fontId="2" fillId="2" borderId="4" xfId="0" applyFont="1" applyFill="1" applyBorder="1" applyAlignment="1">
      <alignment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left" vertical="center" wrapText="1"/>
    </xf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left" vertical="center" wrapText="1"/>
    </xf>
    <xf numFmtId="164" fontId="3" fillId="4" borderId="10" xfId="0" applyNumberFormat="1" applyFont="1" applyFill="1" applyBorder="1" applyAlignment="1">
      <alignment horizontal="center" vertical="center"/>
    </xf>
    <xf numFmtId="164" fontId="3" fillId="4" borderId="16" xfId="0" applyNumberFormat="1" applyFont="1" applyFill="1" applyBorder="1" applyAlignment="1">
      <alignment horizontal="center" vertical="center"/>
    </xf>
    <xf numFmtId="2" fontId="3" fillId="4" borderId="11" xfId="0" applyNumberFormat="1" applyFont="1" applyFill="1" applyBorder="1" applyAlignment="1">
      <alignment horizontal="center" vertical="center"/>
    </xf>
    <xf numFmtId="2" fontId="3" fillId="4" borderId="8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1" xfId="0" applyFill="1" applyBorder="1" applyAlignment="1">
      <alignment horizontal="center" vertical="center"/>
    </xf>
    <xf numFmtId="164" fontId="0" fillId="5" borderId="15" xfId="0" applyNumberFormat="1" applyFill="1" applyBorder="1" applyAlignment="1">
      <alignment horizontal="center" vertical="center"/>
    </xf>
    <xf numFmtId="0" fontId="0" fillId="5" borderId="3" xfId="0" applyFill="1" applyBorder="1" applyAlignment="1">
      <alignment vertical="center"/>
    </xf>
    <xf numFmtId="0" fontId="6" fillId="5" borderId="2" xfId="0" applyFont="1" applyFill="1" applyBorder="1" applyAlignment="1">
      <alignment vertical="center"/>
    </xf>
    <xf numFmtId="0" fontId="0" fillId="2" borderId="0" xfId="0" applyFill="1"/>
    <xf numFmtId="0" fontId="0" fillId="6" borderId="0" xfId="0" applyFill="1"/>
    <xf numFmtId="0" fontId="7" fillId="7" borderId="2" xfId="0" applyFont="1" applyFill="1" applyBorder="1" applyAlignment="1">
      <alignment vertical="center"/>
    </xf>
    <xf numFmtId="0" fontId="7" fillId="7" borderId="1" xfId="0" applyFont="1" applyFill="1" applyBorder="1" applyAlignment="1">
      <alignment horizontal="center" vertical="center"/>
    </xf>
    <xf numFmtId="164" fontId="7" fillId="7" borderId="15" xfId="0" applyNumberFormat="1" applyFont="1" applyFill="1" applyBorder="1" applyAlignment="1">
      <alignment horizontal="center" vertical="center"/>
    </xf>
    <xf numFmtId="0" fontId="7" fillId="7" borderId="3" xfId="0" applyFont="1" applyFill="1" applyBorder="1" applyAlignment="1">
      <alignment vertical="center"/>
    </xf>
    <xf numFmtId="0" fontId="7" fillId="8" borderId="2" xfId="0" applyFont="1" applyFill="1" applyBorder="1" applyAlignment="1">
      <alignment vertical="center"/>
    </xf>
    <xf numFmtId="0" fontId="7" fillId="8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4" fontId="7" fillId="8" borderId="15" xfId="0" applyNumberFormat="1" applyFont="1" applyFill="1" applyBorder="1" applyAlignment="1">
      <alignment horizontal="center" vertical="center"/>
    </xf>
    <xf numFmtId="0" fontId="7" fillId="8" borderId="3" xfId="0" applyFont="1" applyFill="1" applyBorder="1" applyAlignment="1">
      <alignment vertical="center"/>
    </xf>
    <xf numFmtId="0" fontId="7" fillId="5" borderId="2" xfId="0" applyFont="1" applyFill="1" applyBorder="1" applyAlignment="1">
      <alignment vertical="center"/>
    </xf>
    <xf numFmtId="0" fontId="7" fillId="5" borderId="1" xfId="0" applyFont="1" applyFill="1" applyBorder="1" applyAlignment="1">
      <alignment horizontal="center" vertical="center"/>
    </xf>
    <xf numFmtId="164" fontId="7" fillId="5" borderId="15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0" borderId="2" xfId="0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164" fontId="8" fillId="0" borderId="15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vertical="center" wrapText="1"/>
    </xf>
    <xf numFmtId="0" fontId="8" fillId="5" borderId="3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vertical="center"/>
    </xf>
    <xf numFmtId="0" fontId="9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9" fillId="5" borderId="15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vertical="center"/>
    </xf>
  </cellXfs>
  <cellStyles count="1">
    <cellStyle name="Standard" xfId="0" builtinId="0"/>
  </cellStyles>
  <dxfs count="0"/>
  <tableStyles count="1" defaultTableStyle="TableStyleMedium2" defaultPivotStyle="PivotStyleLight16">
    <tableStyle name="Invisible" pivot="0" table="0" count="0" xr9:uid="{35FB5B9E-C616-4F79-968C-9E7F69A5C52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de-DE"/>
              <a:t>Std./Jahr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5A5-4D06-BE1E-540B50B3F541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5A5-4D06-BE1E-540B50B3F541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5A5-4D06-BE1E-540B50B3F541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5A5-4D06-BE1E-540B50B3F541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5A5-4D06-BE1E-540B50B3F541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5A5-4D06-BE1E-540B50B3F541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5A5-4D06-BE1E-540B50B3F541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5A5-4D06-BE1E-540B50B3F541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5A5-4D06-BE1E-540B50B3F541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5A5-4D06-BE1E-540B50B3F541}"/>
              </c:ext>
            </c:extLst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5A5-4D06-BE1E-540B50B3F541}"/>
              </c:ext>
            </c:extLst>
          </c:dPt>
          <c:dPt>
            <c:idx val="11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5A5-4D06-BE1E-540B50B3F541}"/>
              </c:ext>
            </c:extLst>
          </c:dPt>
          <c:dPt>
            <c:idx val="12"/>
            <c:bubble3D val="0"/>
            <c:spPr>
              <a:gradFill>
                <a:gsLst>
                  <a:gs pos="100000">
                    <a:schemeClr val="accent1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5A5-4D06-BE1E-540B50B3F541}"/>
              </c:ext>
            </c:extLst>
          </c:dPt>
          <c:dPt>
            <c:idx val="13"/>
            <c:bubble3D val="0"/>
            <c:spPr>
              <a:gradFill>
                <a:gsLst>
                  <a:gs pos="100000">
                    <a:schemeClr val="accent2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5A5-4D06-BE1E-540B50B3F541}"/>
              </c:ext>
            </c:extLst>
          </c:dPt>
          <c:dPt>
            <c:idx val="14"/>
            <c:bubble3D val="0"/>
            <c:spPr>
              <a:gradFill>
                <a:gsLst>
                  <a:gs pos="100000">
                    <a:schemeClr val="accent3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F5A5-4D06-BE1E-540B50B3F54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'Kapa Personal BB IH_Plan_Umse'!$A$4:$A$18</c:f>
              <c:strCache>
                <c:ptCount val="15"/>
                <c:pt idx="0">
                  <c:v>Ersatzteilmanagement Planung</c:v>
                </c:pt>
                <c:pt idx="1">
                  <c:v>Ersatzteilumlagerung u. sonstiges</c:v>
                </c:pt>
                <c:pt idx="2">
                  <c:v>Komplexe Reparaturen / Generallüberholungen</c:v>
                </c:pt>
                <c:pt idx="3">
                  <c:v>Reparatur / Überhollung von Ersatzteilen</c:v>
                </c:pt>
                <c:pt idx="4">
                  <c:v>Projekte und KVP (Lean Projekte z.B SMED,….)</c:v>
                </c:pt>
                <c:pt idx="5">
                  <c:v>Training / Schulung / Betreung / TPM / WPS</c:v>
                </c:pt>
                <c:pt idx="6">
                  <c:v>Auslandeinsätze / Ausladsbetreuung</c:v>
                </c:pt>
                <c:pt idx="7">
                  <c:v>Anfahren von Neuanlagen</c:v>
                </c:pt>
                <c:pt idx="8">
                  <c:v>Freiprüfung von neu WKZ (Versuche)</c:v>
                </c:pt>
                <c:pt idx="9">
                  <c:v>Konstrunktion / 3D</c:v>
                </c:pt>
                <c:pt idx="10">
                  <c:v>Maschinenumzüge</c:v>
                </c:pt>
                <c:pt idx="11">
                  <c:v>CNC-Technik (z.B. Nachdrehen Messer)</c:v>
                </c:pt>
                <c:pt idx="12">
                  <c:v>Sonderaufgaben (Lagersystemme…)</c:v>
                </c:pt>
                <c:pt idx="13">
                  <c:v>Facility Managemant</c:v>
                </c:pt>
                <c:pt idx="14">
                  <c:v>Planung und Dokumentationen </c:v>
                </c:pt>
              </c:strCache>
            </c:strRef>
          </c:cat>
          <c:val>
            <c:numRef>
              <c:f>'Kapa Personal BB IH_Plan_Umse'!$D$4:$D$18</c:f>
              <c:numCache>
                <c:formatCode>General</c:formatCode>
                <c:ptCount val="15"/>
                <c:pt idx="0">
                  <c:v>375</c:v>
                </c:pt>
                <c:pt idx="1">
                  <c:v>500</c:v>
                </c:pt>
                <c:pt idx="2">
                  <c:v>75</c:v>
                </c:pt>
                <c:pt idx="3">
                  <c:v>0</c:v>
                </c:pt>
                <c:pt idx="4">
                  <c:v>2500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50</c:v>
                </c:pt>
                <c:pt idx="9">
                  <c:v>250</c:v>
                </c:pt>
                <c:pt idx="10">
                  <c:v>25</c:v>
                </c:pt>
                <c:pt idx="11">
                  <c:v>0</c:v>
                </c:pt>
                <c:pt idx="12">
                  <c:v>125</c:v>
                </c:pt>
                <c:pt idx="13">
                  <c:v>1500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5A5-4D06-BE1E-540B50B3F54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180975</xdr:colOff>
      <xdr:row>1</xdr:row>
      <xdr:rowOff>147636</xdr:rowOff>
    </xdr:from>
    <xdr:to>
      <xdr:col>17</xdr:col>
      <xdr:colOff>276225</xdr:colOff>
      <xdr:row>28</xdr:row>
      <xdr:rowOff>228599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C0CC77A-D07B-4492-A0C1-87031E2BB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0244B-C1DF-453B-BDC4-20619998D46C}">
  <sheetPr>
    <pageSetUpPr fitToPage="1"/>
  </sheetPr>
  <dimension ref="A1:F37"/>
  <sheetViews>
    <sheetView showGridLines="0" tabSelected="1" workbookViewId="0">
      <selection activeCell="A18" sqref="A18"/>
    </sheetView>
  </sheetViews>
  <sheetFormatPr baseColWidth="10" defaultRowHeight="12.75" x14ac:dyDescent="0.2"/>
  <cols>
    <col min="1" max="1" width="52" customWidth="1"/>
    <col min="2" max="2" width="13.5703125" customWidth="1"/>
    <col min="3" max="3" width="16.140625" customWidth="1"/>
    <col min="4" max="4" width="9.85546875" bestFit="1" customWidth="1"/>
    <col min="5" max="5" width="9.85546875" customWidth="1"/>
    <col min="6" max="6" width="35.85546875" customWidth="1"/>
    <col min="7" max="7" width="3.42578125" customWidth="1"/>
  </cols>
  <sheetData>
    <row r="1" spans="1:6" ht="26.25" customHeight="1" x14ac:dyDescent="0.25">
      <c r="A1" s="1" t="s">
        <v>40</v>
      </c>
      <c r="F1" s="20">
        <v>45859</v>
      </c>
    </row>
    <row r="2" spans="1:6" ht="13.5" thickBot="1" x14ac:dyDescent="0.25"/>
    <row r="3" spans="1:6" ht="34.5" customHeight="1" x14ac:dyDescent="0.2">
      <c r="A3" s="24" t="s">
        <v>0</v>
      </c>
      <c r="B3" s="25" t="s">
        <v>43</v>
      </c>
      <c r="C3" s="25"/>
      <c r="D3" s="25" t="s">
        <v>20</v>
      </c>
      <c r="E3" s="26" t="s">
        <v>21</v>
      </c>
      <c r="F3" s="27" t="s">
        <v>4</v>
      </c>
    </row>
    <row r="4" spans="1:6" ht="20.100000000000001" customHeight="1" x14ac:dyDescent="0.2">
      <c r="A4" s="2" t="s">
        <v>41</v>
      </c>
      <c r="B4" s="3">
        <v>1.5</v>
      </c>
      <c r="C4" s="3">
        <f>B4*5</f>
        <v>7.5</v>
      </c>
      <c r="D4" s="3">
        <f>B4*250</f>
        <v>375</v>
      </c>
      <c r="E4" s="21">
        <f>D4/1750</f>
        <v>0.21428571428571427</v>
      </c>
      <c r="F4" s="4"/>
    </row>
    <row r="5" spans="1:6" ht="26.25" customHeight="1" x14ac:dyDescent="0.2">
      <c r="A5" s="55" t="s">
        <v>42</v>
      </c>
      <c r="B5" s="56">
        <v>2</v>
      </c>
      <c r="C5" s="40">
        <f t="shared" ref="C5:C22" si="0">B5*5</f>
        <v>10</v>
      </c>
      <c r="D5" s="56">
        <f t="shared" ref="D5:D22" si="1">B5*250</f>
        <v>500</v>
      </c>
      <c r="E5" s="57">
        <f t="shared" ref="E5:E22" si="2">D5/1750</f>
        <v>0.2857142857142857</v>
      </c>
      <c r="F5" s="64" t="s">
        <v>19</v>
      </c>
    </row>
    <row r="6" spans="1:6" ht="20.100000000000001" customHeight="1" x14ac:dyDescent="0.2">
      <c r="A6" s="2" t="s">
        <v>25</v>
      </c>
      <c r="B6" s="3">
        <v>0.3</v>
      </c>
      <c r="C6" s="3">
        <f t="shared" si="0"/>
        <v>1.5</v>
      </c>
      <c r="D6" s="3">
        <f t="shared" si="1"/>
        <v>75</v>
      </c>
      <c r="E6" s="21">
        <f t="shared" si="2"/>
        <v>4.2857142857142858E-2</v>
      </c>
      <c r="F6" s="4"/>
    </row>
    <row r="7" spans="1:6" ht="26.25" customHeight="1" x14ac:dyDescent="0.2">
      <c r="A7" s="60" t="s">
        <v>12</v>
      </c>
      <c r="B7" s="61">
        <v>0</v>
      </c>
      <c r="C7" s="61">
        <f t="shared" si="0"/>
        <v>0</v>
      </c>
      <c r="D7" s="61">
        <f t="shared" si="1"/>
        <v>0</v>
      </c>
      <c r="E7" s="62">
        <f t="shared" si="2"/>
        <v>0</v>
      </c>
      <c r="F7" s="63" t="s">
        <v>39</v>
      </c>
    </row>
    <row r="8" spans="1:6" ht="20.100000000000001" customHeight="1" x14ac:dyDescent="0.2">
      <c r="A8" s="2" t="s">
        <v>35</v>
      </c>
      <c r="B8" s="3">
        <v>10</v>
      </c>
      <c r="C8" s="3">
        <f t="shared" si="0"/>
        <v>50</v>
      </c>
      <c r="D8" s="3">
        <f t="shared" si="1"/>
        <v>2500</v>
      </c>
      <c r="E8" s="21">
        <f t="shared" si="2"/>
        <v>1.4285714285714286</v>
      </c>
      <c r="F8" s="4" t="s">
        <v>22</v>
      </c>
    </row>
    <row r="9" spans="1:6" ht="20.100000000000001" customHeight="1" x14ac:dyDescent="0.2">
      <c r="A9" s="2" t="s">
        <v>17</v>
      </c>
      <c r="B9" s="3">
        <v>0.5</v>
      </c>
      <c r="C9" s="3">
        <f t="shared" si="0"/>
        <v>2.5</v>
      </c>
      <c r="D9" s="3">
        <f t="shared" si="1"/>
        <v>125</v>
      </c>
      <c r="E9" s="21">
        <f t="shared" si="2"/>
        <v>7.1428571428571425E-2</v>
      </c>
      <c r="F9" s="4"/>
    </row>
    <row r="10" spans="1:6" ht="20.100000000000001" customHeight="1" x14ac:dyDescent="0.2">
      <c r="A10" s="2" t="s">
        <v>18</v>
      </c>
      <c r="B10" s="3">
        <v>0.5</v>
      </c>
      <c r="C10" s="3">
        <f t="shared" si="0"/>
        <v>2.5</v>
      </c>
      <c r="D10" s="3">
        <f t="shared" si="1"/>
        <v>125</v>
      </c>
      <c r="E10" s="21">
        <f t="shared" si="2"/>
        <v>7.1428571428571425E-2</v>
      </c>
      <c r="F10" s="4"/>
    </row>
    <row r="11" spans="1:6" ht="20.100000000000001" customHeight="1" x14ac:dyDescent="0.2">
      <c r="A11" s="2" t="s">
        <v>13</v>
      </c>
      <c r="B11" s="3">
        <v>0.5</v>
      </c>
      <c r="C11" s="3">
        <f t="shared" si="0"/>
        <v>2.5</v>
      </c>
      <c r="D11" s="3">
        <f t="shared" si="1"/>
        <v>125</v>
      </c>
      <c r="E11" s="21">
        <f t="shared" si="2"/>
        <v>7.1428571428571425E-2</v>
      </c>
      <c r="F11" s="4"/>
    </row>
    <row r="12" spans="1:6" ht="20.100000000000001" customHeight="1" x14ac:dyDescent="0.2">
      <c r="A12" s="2" t="s">
        <v>14</v>
      </c>
      <c r="B12" s="3">
        <v>0.2</v>
      </c>
      <c r="C12" s="3">
        <f t="shared" si="0"/>
        <v>1</v>
      </c>
      <c r="D12" s="3">
        <f t="shared" si="1"/>
        <v>50</v>
      </c>
      <c r="E12" s="21">
        <f t="shared" si="2"/>
        <v>2.8571428571428571E-2</v>
      </c>
      <c r="F12" s="4"/>
    </row>
    <row r="13" spans="1:6" ht="20.100000000000001" customHeight="1" x14ac:dyDescent="0.2">
      <c r="A13" s="2" t="s">
        <v>24</v>
      </c>
      <c r="B13" s="3">
        <v>1</v>
      </c>
      <c r="C13" s="3">
        <f t="shared" si="0"/>
        <v>5</v>
      </c>
      <c r="D13" s="3">
        <f t="shared" si="1"/>
        <v>250</v>
      </c>
      <c r="E13" s="21">
        <f t="shared" si="2"/>
        <v>0.14285714285714285</v>
      </c>
      <c r="F13" s="4"/>
    </row>
    <row r="14" spans="1:6" ht="20.100000000000001" customHeight="1" x14ac:dyDescent="0.2">
      <c r="A14" s="2" t="s">
        <v>15</v>
      </c>
      <c r="B14" s="3">
        <v>0.1</v>
      </c>
      <c r="C14" s="3">
        <f t="shared" si="0"/>
        <v>0.5</v>
      </c>
      <c r="D14" s="3">
        <f t="shared" si="1"/>
        <v>25</v>
      </c>
      <c r="E14" s="21">
        <f t="shared" si="2"/>
        <v>1.4285714285714285E-2</v>
      </c>
      <c r="F14" s="4"/>
    </row>
    <row r="15" spans="1:6" ht="20.100000000000001" customHeight="1" x14ac:dyDescent="0.2">
      <c r="A15" s="37" t="s">
        <v>27</v>
      </c>
      <c r="B15" s="3">
        <v>0</v>
      </c>
      <c r="C15" s="3">
        <f t="shared" si="0"/>
        <v>0</v>
      </c>
      <c r="D15" s="3">
        <f t="shared" si="1"/>
        <v>0</v>
      </c>
      <c r="E15" s="21">
        <f t="shared" si="2"/>
        <v>0</v>
      </c>
      <c r="F15" s="4"/>
    </row>
    <row r="16" spans="1:6" ht="20.100000000000001" customHeight="1" x14ac:dyDescent="0.2">
      <c r="A16" s="39" t="s">
        <v>26</v>
      </c>
      <c r="B16" s="40">
        <v>0.5</v>
      </c>
      <c r="C16" s="40">
        <f t="shared" si="0"/>
        <v>2.5</v>
      </c>
      <c r="D16" s="40">
        <f t="shared" si="1"/>
        <v>125</v>
      </c>
      <c r="E16" s="41">
        <f t="shared" si="2"/>
        <v>7.1428571428571425E-2</v>
      </c>
      <c r="F16" s="42"/>
    </row>
    <row r="17" spans="1:6" ht="20.100000000000001" customHeight="1" x14ac:dyDescent="0.2">
      <c r="A17" s="43" t="s">
        <v>23</v>
      </c>
      <c r="B17" s="40">
        <v>6</v>
      </c>
      <c r="C17" s="40">
        <f t="shared" si="0"/>
        <v>30</v>
      </c>
      <c r="D17" s="40">
        <f t="shared" si="1"/>
        <v>1500</v>
      </c>
      <c r="E17" s="41">
        <f t="shared" si="2"/>
        <v>0.8571428571428571</v>
      </c>
      <c r="F17" s="42"/>
    </row>
    <row r="18" spans="1:6" ht="20.100000000000001" customHeight="1" x14ac:dyDescent="0.2">
      <c r="A18" s="50" t="s">
        <v>44</v>
      </c>
      <c r="B18" s="51">
        <v>0</v>
      </c>
      <c r="C18" s="52">
        <f t="shared" si="0"/>
        <v>0</v>
      </c>
      <c r="D18" s="51">
        <f t="shared" si="1"/>
        <v>0</v>
      </c>
      <c r="E18" s="53">
        <f t="shared" si="2"/>
        <v>0</v>
      </c>
      <c r="F18" s="54"/>
    </row>
    <row r="19" spans="1:6" ht="20.100000000000001" customHeight="1" x14ac:dyDescent="0.2">
      <c r="A19" s="43" t="s">
        <v>29</v>
      </c>
      <c r="B19" s="40">
        <v>2</v>
      </c>
      <c r="C19" s="40">
        <f t="shared" si="0"/>
        <v>10</v>
      </c>
      <c r="D19" s="40">
        <f t="shared" si="1"/>
        <v>500</v>
      </c>
      <c r="E19" s="41">
        <f t="shared" si="2"/>
        <v>0.2857142857142857</v>
      </c>
      <c r="F19" s="42"/>
    </row>
    <row r="20" spans="1:6" ht="20.100000000000001" customHeight="1" x14ac:dyDescent="0.2">
      <c r="A20" s="50" t="s">
        <v>37</v>
      </c>
      <c r="B20" s="51">
        <v>0</v>
      </c>
      <c r="C20" s="58">
        <f t="shared" si="0"/>
        <v>0</v>
      </c>
      <c r="D20" s="51">
        <f t="shared" si="1"/>
        <v>0</v>
      </c>
      <c r="E20" s="53">
        <f t="shared" si="2"/>
        <v>0</v>
      </c>
      <c r="F20" s="54"/>
    </row>
    <row r="21" spans="1:6" ht="20.100000000000001" customHeight="1" x14ac:dyDescent="0.2">
      <c r="A21" s="46" t="s">
        <v>30</v>
      </c>
      <c r="B21" s="47">
        <v>0</v>
      </c>
      <c r="C21" s="59">
        <f t="shared" si="0"/>
        <v>0</v>
      </c>
      <c r="D21" s="47">
        <f t="shared" si="1"/>
        <v>0</v>
      </c>
      <c r="E21" s="48">
        <f t="shared" si="2"/>
        <v>0</v>
      </c>
      <c r="F21" s="49"/>
    </row>
    <row r="22" spans="1:6" ht="20.100000000000001" customHeight="1" x14ac:dyDescent="0.2">
      <c r="A22" s="65" t="s">
        <v>36</v>
      </c>
      <c r="B22" s="66">
        <v>3</v>
      </c>
      <c r="C22" s="67">
        <f t="shared" si="0"/>
        <v>15</v>
      </c>
      <c r="D22" s="66">
        <f t="shared" si="1"/>
        <v>750</v>
      </c>
      <c r="E22" s="68">
        <f t="shared" si="2"/>
        <v>0.42857142857142855</v>
      </c>
      <c r="F22" s="69"/>
    </row>
    <row r="23" spans="1:6" ht="20.100000000000001" customHeight="1" x14ac:dyDescent="0.2">
      <c r="A23" s="2" t="s">
        <v>16</v>
      </c>
      <c r="B23" s="3">
        <f>SUM(B4:B22)</f>
        <v>28.1</v>
      </c>
      <c r="C23" s="3"/>
      <c r="D23" s="19"/>
      <c r="E23" s="21"/>
      <c r="F23" s="4"/>
    </row>
    <row r="24" spans="1:6" ht="20.100000000000001" customHeight="1" thickBot="1" x14ac:dyDescent="0.25">
      <c r="A24" s="11" t="s">
        <v>5</v>
      </c>
      <c r="B24" s="12"/>
      <c r="C24" s="12"/>
      <c r="D24" s="33">
        <f>B23/7</f>
        <v>4.0142857142857142</v>
      </c>
      <c r="E24" s="34">
        <f>SUM(E4:E23)</f>
        <v>4.0142857142857151</v>
      </c>
      <c r="F24" s="13" t="s">
        <v>6</v>
      </c>
    </row>
    <row r="25" spans="1:6" ht="34.5" customHeight="1" x14ac:dyDescent="0.2">
      <c r="A25" s="28" t="s">
        <v>9</v>
      </c>
      <c r="B25" s="29"/>
      <c r="C25" s="30" t="s">
        <v>7</v>
      </c>
      <c r="D25" s="30" t="s">
        <v>3</v>
      </c>
      <c r="E25" s="31"/>
      <c r="F25" s="32" t="s">
        <v>4</v>
      </c>
    </row>
    <row r="26" spans="1:6" ht="20.100000000000001" customHeight="1" x14ac:dyDescent="0.2">
      <c r="A26" s="2" t="s">
        <v>2</v>
      </c>
      <c r="B26" s="5"/>
      <c r="C26" s="6">
        <f>38/220*100</f>
        <v>17.272727272727273</v>
      </c>
      <c r="D26" s="6">
        <f>$D$24*C26/100</f>
        <v>0.69337662337662342</v>
      </c>
      <c r="E26" s="22"/>
      <c r="F26" s="38" t="s">
        <v>28</v>
      </c>
    </row>
    <row r="27" spans="1:6" ht="20.100000000000001" customHeight="1" x14ac:dyDescent="0.2">
      <c r="A27" s="2" t="s">
        <v>1</v>
      </c>
      <c r="B27" s="5"/>
      <c r="C27" s="6">
        <v>4.0999999999999996</v>
      </c>
      <c r="D27" s="6">
        <f>$D$24*C27/100</f>
        <v>0.16458571428571428</v>
      </c>
      <c r="E27" s="22"/>
      <c r="F27" s="4" t="s">
        <v>11</v>
      </c>
    </row>
    <row r="28" spans="1:6" ht="20.100000000000001" customHeight="1" thickBot="1" x14ac:dyDescent="0.25">
      <c r="A28" s="14" t="s">
        <v>10</v>
      </c>
      <c r="B28" s="15"/>
      <c r="C28" s="15"/>
      <c r="D28" s="16">
        <f>SUM(D26:D27)</f>
        <v>0.85796233766233776</v>
      </c>
      <c r="E28" s="23"/>
      <c r="F28" s="17"/>
    </row>
    <row r="29" spans="1:6" ht="20.100000000000001" customHeight="1" thickBot="1" x14ac:dyDescent="0.25">
      <c r="A29" s="8" t="s">
        <v>5</v>
      </c>
      <c r="B29" s="9"/>
      <c r="C29" s="9"/>
      <c r="D29" s="35">
        <f>D28+D24</f>
        <v>4.872248051948052</v>
      </c>
      <c r="E29" s="36"/>
      <c r="F29" s="10" t="s">
        <v>8</v>
      </c>
    </row>
    <row r="30" spans="1:6" ht="20.100000000000001" customHeight="1" x14ac:dyDescent="0.2">
      <c r="A30" s="7"/>
      <c r="B30" s="7"/>
      <c r="C30" s="7"/>
      <c r="D30" s="7"/>
      <c r="E30" s="7"/>
      <c r="F30" s="7"/>
    </row>
    <row r="31" spans="1:6" x14ac:dyDescent="0.2">
      <c r="A31" s="7"/>
    </row>
    <row r="32" spans="1:6" x14ac:dyDescent="0.2">
      <c r="A32" s="18" t="s">
        <v>38</v>
      </c>
    </row>
    <row r="34" spans="3:4" x14ac:dyDescent="0.2">
      <c r="C34">
        <v>1</v>
      </c>
      <c r="D34" s="44" t="s">
        <v>31</v>
      </c>
    </row>
    <row r="35" spans="3:4" x14ac:dyDescent="0.2">
      <c r="C35">
        <v>2</v>
      </c>
      <c r="D35" s="44" t="s">
        <v>32</v>
      </c>
    </row>
    <row r="36" spans="3:4" x14ac:dyDescent="0.2">
      <c r="C36">
        <v>4</v>
      </c>
      <c r="D36" s="44" t="s">
        <v>33</v>
      </c>
    </row>
    <row r="37" spans="3:4" x14ac:dyDescent="0.2">
      <c r="C37">
        <v>5</v>
      </c>
      <c r="D37" s="45" t="s">
        <v>34</v>
      </c>
    </row>
  </sheetData>
  <pageMargins left="0.78740157499999996" right="0.78740157499999996" top="0.984251969" bottom="0.984251969" header="0.4921259845" footer="0.4921259845"/>
  <pageSetup paperSize="9" scale="39" orientation="portrait" horizontalDpi="4294967292" r:id="rId1"/>
  <headerFooter alignWithMargins="0">
    <oddFooter>&amp;L&amp;8&amp;F&amp;C&amp;8fz-pA / Mrugalla&amp;R&amp;8&amp;D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Kapa Personal BB IH_Plan_Umse</vt:lpstr>
    </vt:vector>
  </TitlesOfParts>
  <Company>XXX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XXX</dc:creator>
  <cp:lastModifiedBy>Mrugalla, Bernhard</cp:lastModifiedBy>
  <cp:lastPrinted>2023-09-07T05:56:33Z</cp:lastPrinted>
  <dcterms:created xsi:type="dcterms:W3CDTF">2004-03-11T20:12:11Z</dcterms:created>
  <dcterms:modified xsi:type="dcterms:W3CDTF">2026-10-13T13:13:08Z</dcterms:modified>
</cp:coreProperties>
</file>