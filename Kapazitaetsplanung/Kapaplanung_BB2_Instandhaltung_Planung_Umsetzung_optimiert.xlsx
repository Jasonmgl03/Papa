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Dashboard" sheetId="2" state="visible" r:id="rId4"/>
    <sheet name="Kapazitätsbedarf" sheetId="3" state="visible" r:id="rId5"/>
    <sheet name="Personalbedarf" sheetId="4" state="visible" r:id="rId6"/>
    <sheet name="Parameter" sheetId="5" state="visible" r:id="rId7"/>
    <sheet name="Analyse" sheetId="6" state="visible" r:id="rId8"/>
    <sheet name="Änderungsprotokoll" sheetId="7" state="visible" r:id="rId9"/>
    <sheet name="Original 21.07.2025" sheetId="8" state="visible" r:id="rId10"/>
  </sheets>
  <definedNames>
    <definedName function="false" hidden="false" localSheetId="2" name="_xlnm.Print_Area" vbProcedure="false">Kapazitätsbedarf!$A$1:$W$38</definedName>
    <definedName function="false" hidden="false" localSheetId="2" name="_xlnm.Print_Titles" vbProcedure="false">Kapazitätsbedarf!$5:$5</definedName>
    <definedName function="false" hidden="true" localSheetId="2" name="_xlnm._FilterDatabase" vbProcedure="false">Kapazitätsbedarf!$A$5:$W$32</definedName>
    <definedName function="false" hidden="false" name="Lst_Bereich" vbProcedure="false">Parameter!$A$30:$A$38</definedName>
    <definedName function="false" hidden="false" name="Lst_DIN" vbProcedure="false">Parameter!$B$30:$B$34</definedName>
    <definedName function="false" hidden="false" name="Lst_Team" vbProcedure="false">Personalbedarf!$B$28:$B$33</definedName>
    <definedName function="false" hidden="false" name="P_AT" vbProcedure="false">Parameter!$B$6</definedName>
    <definedName function="false" hidden="false" name="P_BezugAT" vbProcedure="false">Parameter!$B$11</definedName>
    <definedName function="false" hidden="false" name="P_DeckGelb" vbProcedure="false">Parameter!$B$18</definedName>
    <definedName function="false" hidden="false" name="P_DeckGruen" vbProcedure="false">Parameter!$B$17</definedName>
    <definedName function="false" hidden="false" name="P_JahresStd" vbProcedure="false">Parameter!$B$8</definedName>
    <definedName function="false" hidden="false" name="P_Krank" vbProcedure="false">Parameter!$B$12</definedName>
    <definedName function="false" hidden="false" name="P_RiskHoch" vbProcedure="false">Parameter!$B$15</definedName>
    <definedName function="false" hidden="false" name="P_RiskMittel" vbProcedure="false">Parameter!$B$16</definedName>
    <definedName function="false" hidden="false" name="P_Sonst" vbProcedure="false">Parameter!$B$14</definedName>
    <definedName function="false" hidden="false" name="P_Stand" vbProcedure="false">Parameter!$B$5</definedName>
    <definedName function="false" hidden="false" name="P_StdTag" vbProcedure="false">Parameter!$B$9</definedName>
    <definedName function="false" hidden="false" name="P_TageWoche" vbProcedure="false">Parameter!$B$7</definedName>
    <definedName function="false" hidden="false" name="P_Urlaub" vbProcedure="false">Parameter!$B$10</definedName>
    <definedName function="false" hidden="false" name="P_WB" vbProcedure="false">Parameter!$B$13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6" authorId="0">
      <text>
        <r>
          <rPr>
            <sz val="10"/>
            <rFont val="Arial"/>
            <family val="2"/>
          </rPr>
          <t xml:space="preserve">Hart hinterlegter Referenzwert aus dem Original (Zelle E24), nur zur Kontrolle.</t>
        </r>
      </text>
    </comment>
  </commentList>
</comments>
</file>

<file path=xl/sharedStrings.xml><?xml version="1.0" encoding="utf-8"?>
<sst xmlns="http://schemas.openxmlformats.org/spreadsheetml/2006/main" count="711" uniqueCount="513">
  <si>
    <t xml:space="preserve">Kapazitätsplanung BB2 Instandhaltung – Umsetzung</t>
  </si>
  <si>
    <t xml:space="preserve">Personalbedarfsermittlung für das Umsetzungsteam der Instandhaltung BB2</t>
  </si>
  <si>
    <t xml:space="preserve">Zweck</t>
  </si>
  <si>
    <t xml:space="preserve">Die Datei ermittelt, wie viele Mitarbeitende (FTE) das Umsetzungsteam der Instandhaltung BB2 benötigt. Grundlage ist der geschätzte tägliche Zeitbedarf je Tätigkeit. Daraus werden Jahresstunden, Netto-FTE und – über Urlaub und Krankheit – der Brutto-Personalbedarf berechnet und mit dem verfügbaren Team abgeglichen.</t>
  </si>
  <si>
    <t xml:space="preserve">Ergebnis auf einen Blick</t>
  </si>
  <si>
    <t xml:space="preserve">Personalbedarf netto</t>
  </si>
  <si>
    <t xml:space="preserve">Personalbedarf brutto</t>
  </si>
  <si>
    <t xml:space="preserve">Verfügbare Kapazität (Annahme)</t>
  </si>
  <si>
    <t xml:space="preserve">Über-/Unterdeckung</t>
  </si>
  <si>
    <t xml:space="preserve">Bewertung</t>
  </si>
  <si>
    <t xml:space="preserve">Aufbau der Arbeitsmappe</t>
  </si>
  <si>
    <t xml:space="preserve">Blatt</t>
  </si>
  <si>
    <t xml:space="preserve">Inhalt</t>
  </si>
  <si>
    <t xml:space="preserve">Zielgruppe</t>
  </si>
  <si>
    <t xml:space="preserve">Übersicht</t>
  </si>
  <si>
    <t xml:space="preserve">Zweck, Ergebnis, Bedienung, Legende</t>
  </si>
  <si>
    <t xml:space="preserve">alle</t>
  </si>
  <si>
    <t xml:space="preserve">Dashboard</t>
  </si>
  <si>
    <t xml:space="preserve">Kennzahlen, Pareto, Top-Risiken, Diagramme (automatisch)</t>
  </si>
  <si>
    <t xml:space="preserve">Management, Produktion</t>
  </si>
  <si>
    <t xml:space="preserve">Kapazitätsbedarf</t>
  </si>
  <si>
    <t xml:space="preserve">Tätigkeiten mit Zeitbedarf, Kategorisierung, Verantwortung, Risiko, Plan-Ist</t>
  </si>
  <si>
    <t xml:space="preserve">Instandhaltung (Eingabe)</t>
  </si>
  <si>
    <t xml:space="preserve">Personalbedarf</t>
  </si>
  <si>
    <t xml:space="preserve">Netto → Brutto, Methodenvergleich, Abgleich mit Team</t>
  </si>
  <si>
    <t xml:space="preserve">Instandhaltung, Management</t>
  </si>
  <si>
    <t xml:space="preserve">Parameter</t>
  </si>
  <si>
    <t xml:space="preserve">Alle Annahmen (Arbeitstage, Jahresstunden, Urlaub, Krankenquote) und Bewertungsskalen</t>
  </si>
  <si>
    <t xml:space="preserve">Instandhaltung, Controlling</t>
  </si>
  <si>
    <t xml:space="preserve">Analyse</t>
  </si>
  <si>
    <t xml:space="preserve">Stärken/Schwächen der Ausgangsdatei, Kennzahlenvorschläge, nächste Schritte</t>
  </si>
  <si>
    <t xml:space="preserve">Änderungsprotokoll</t>
  </si>
  <si>
    <t xml:space="preserve">Jede Änderung gegenüber dem Original mit Begründung</t>
  </si>
  <si>
    <t xml:space="preserve">QM, Revision</t>
  </si>
  <si>
    <t xml:space="preserve">Original 21.07.2025</t>
  </si>
  <si>
    <t xml:space="preserve">Unveränderte Archivkopie der Ausgangsdatei</t>
  </si>
  <si>
    <t xml:space="preserve">Nachvollziehbarkeit</t>
  </si>
  <si>
    <t xml:space="preserve">Bedienung in 4 Schritten</t>
  </si>
  <si>
    <t xml:space="preserve">1. Blatt „Parameter“: Annahmen prüfen (Arbeitstage, Jahresstunden, Urlaub, Krankenquote).</t>
  </si>
  <si>
    <t xml:space="preserve">2. Blatt „Kapazitätsbedarf“: Std. je Arbeitstag (Spalte G) je Tätigkeit eintragen; neu ergänzte Tätigkeiten bewerten; Verantwortliche zuordnen.</t>
  </si>
  <si>
    <t xml:space="preserve">3. Risikovorschläge (lila) im Team validieren bzw. anpassen; Klärungsbedarf (Spalte V) abarbeiten.</t>
  </si>
  <si>
    <t xml:space="preserve">4. Blatt „Personalbedarf“: verfügbare FTE je Person bestätigen → Ergebnis erscheint auf Dashboard und Übersicht.</t>
  </si>
  <si>
    <t xml:space="preserve">Legende</t>
  </si>
  <si>
    <t xml:space="preserve">Eingabefeld</t>
  </si>
  <si>
    <t xml:space="preserve">blaue Schrift auf gelbem Grund</t>
  </si>
  <si>
    <t xml:space="preserve">Formel / Berechnung</t>
  </si>
  <si>
    <t xml:space="preserve">schwarze Schrift – nicht überschreiben</t>
  </si>
  <si>
    <t xml:space="preserve">Verknüpfung zu anderem Blatt</t>
  </si>
  <si>
    <t xml:space="preserve">grüne Schrift</t>
  </si>
  <si>
    <t xml:space="preserve">Erstvorschlag (zu validieren)</t>
  </si>
  <si>
    <t xml:space="preserve">lila kursiv auf hellviolettem Grund</t>
  </si>
  <si>
    <t xml:space="preserve">Neu ergänzte Tätigkeit</t>
  </si>
  <si>
    <t xml:space="preserve">grau hinterlegt, Herkunft „Neu (Vorschlag)“</t>
  </si>
  <si>
    <t xml:space="preserve">Dashboard Kapazitätsplanung BB2 Instandhaltung</t>
  </si>
  <si>
    <t xml:space="preserve">Automatische Auswertung – keine Eingaben auf diesem Blatt.</t>
  </si>
  <si>
    <t xml:space="preserve">Stand:</t>
  </si>
  <si>
    <t xml:space="preserve">Bedarf netto</t>
  </si>
  <si>
    <t xml:space="preserve">Bedarf brutto</t>
  </si>
  <si>
    <t xml:space="preserve">Verfügbar</t>
  </si>
  <si>
    <t xml:space="preserve">Deckungsgrad</t>
  </si>
  <si>
    <t xml:space="preserve">Präventivanteil
(Wartung + Inspektion)</t>
  </si>
  <si>
    <t xml:space="preserve">Status der Bewertung</t>
  </si>
  <si>
    <t xml:space="preserve">Top 10 Tätigkeiten (Pareto)</t>
  </si>
  <si>
    <t xml:space="preserve">Tätigkeiten gesamt</t>
  </si>
  <si>
    <t xml:space="preserve">Rang</t>
  </si>
  <si>
    <t xml:space="preserve">Tätigkeit</t>
  </si>
  <si>
    <t xml:space="preserve">Std./Jahr</t>
  </si>
  <si>
    <t xml:space="preserve">FTE</t>
  </si>
  <si>
    <t xml:space="preserve">Anteil</t>
  </si>
  <si>
    <t xml:space="preserve">kumuliert</t>
  </si>
  <si>
    <t xml:space="preserve">davon bewertet (&gt; 0 Std.)</t>
  </si>
  <si>
    <t xml:space="preserve">0 Std. – Plausibilität prüfen</t>
  </si>
  <si>
    <t xml:space="preserve">offen – neue Ergänzungen</t>
  </si>
  <si>
    <t xml:space="preserve">Risikoklasse „hoch“</t>
  </si>
  <si>
    <t xml:space="preserve">Risikoklasse „mittel“</t>
  </si>
  <si>
    <t xml:space="preserve">Kapazität nach Tätigkeitsbereich</t>
  </si>
  <si>
    <t xml:space="preserve">Tätigkeitsbereich</t>
  </si>
  <si>
    <t xml:space="preserve">Ersatzteilmanagement</t>
  </si>
  <si>
    <t xml:space="preserve">Instandsetzung &amp; Reparatur</t>
  </si>
  <si>
    <t xml:space="preserve">Präventive Instandhaltung</t>
  </si>
  <si>
    <t xml:space="preserve">Verbesserung, Projekte &amp; Technik</t>
  </si>
  <si>
    <t xml:space="preserve">Top 8 Risiken (Vorschlag – zu validieren)</t>
  </si>
  <si>
    <t xml:space="preserve">Neuanlagen, Werkzeuge &amp; Umzüge</t>
  </si>
  <si>
    <t xml:space="preserve">Risiko-
zahl</t>
  </si>
  <si>
    <t xml:space="preserve">Klasse</t>
  </si>
  <si>
    <t xml:space="preserve">Status</t>
  </si>
  <si>
    <t xml:space="preserve">Qualifizierung &amp; TPM</t>
  </si>
  <si>
    <t xml:space="preserve">Bereichs- &amp; Standortbetreuung</t>
  </si>
  <si>
    <t xml:space="preserve">Facility Management &amp; Sonderaufgaben</t>
  </si>
  <si>
    <t xml:space="preserve">Organisation &amp; Administration</t>
  </si>
  <si>
    <t xml:space="preserve">Summe</t>
  </si>
  <si>
    <t xml:space="preserve">Kapazität nach Instandhaltungsart (DIN 31051)</t>
  </si>
  <si>
    <t xml:space="preserve">Instandhaltungsart</t>
  </si>
  <si>
    <t xml:space="preserve">Wartung</t>
  </si>
  <si>
    <t xml:space="preserve">Inspektion</t>
  </si>
  <si>
    <t xml:space="preserve">Instandsetzung</t>
  </si>
  <si>
    <t xml:space="preserve">Verbesserung</t>
  </si>
  <si>
    <t xml:space="preserve">Unterstützende Tätigkeit</t>
  </si>
  <si>
    <t xml:space="preserve">Bedarf vs. Verfügbarkeit</t>
  </si>
  <si>
    <t xml:space="preserve">Größe</t>
  </si>
  <si>
    <t xml:space="preserve">Bedarf brutto (Methode 1, Original)</t>
  </si>
  <si>
    <t xml:space="preserve">Bedarf brutto (Methode 2)</t>
  </si>
  <si>
    <t xml:space="preserve">Verfügbar (Annahme)</t>
  </si>
  <si>
    <t xml:space="preserve">Diagramme</t>
  </si>
  <si>
    <t xml:space="preserve">Kapazitätsbedarf BB2 Instandhaltung – Umsetzung</t>
  </si>
  <si>
    <t xml:space="preserve">Eingabe: Std. je Arbeitstag (Spalte G). Wochen-, Jahres- und FTE-Werte werden aus den Parametern berechnet. Lila = Erstvorschlag zur Validierung im Team.</t>
  </si>
  <si>
    <t xml:space="preserve">Kapazität (Plan)</t>
  </si>
  <si>
    <t xml:space="preserve">Organisation</t>
  </si>
  <si>
    <t xml:space="preserve">Risikobewertung (Vorschlag)</t>
  </si>
  <si>
    <t xml:space="preserve">Plan-Ist-Vergleich</t>
  </si>
  <si>
    <t xml:space="preserve">Nr.</t>
  </si>
  <si>
    <t xml:space="preserve">Herkunft</t>
  </si>
  <si>
    <t xml:space="preserve">Instandhaltungs-
art (DIN 31051)</t>
  </si>
  <si>
    <t xml:space="preserve">Bemerkung (Original)</t>
  </si>
  <si>
    <t xml:space="preserve">Std. /
Arbeitstag</t>
  </si>
  <si>
    <t xml:space="preserve">Std. /
Woche</t>
  </si>
  <si>
    <t xml:space="preserve">Std. /
Jahr</t>
  </si>
  <si>
    <t xml:space="preserve">FTE
netto</t>
  </si>
  <si>
    <t xml:space="preserve">Anteil am
Gesamtbedarf</t>
  </si>
  <si>
    <t xml:space="preserve">Bewertungs-
status</t>
  </si>
  <si>
    <t xml:space="preserve">Verantwortlich</t>
  </si>
  <si>
    <t xml:space="preserve">Schicht-
übergreifend</t>
  </si>
  <si>
    <t xml:space="preserve">Datenbasis</t>
  </si>
  <si>
    <t xml:space="preserve">Auswirkung
(1–5)</t>
  </si>
  <si>
    <t xml:space="preserve">Wahrschein-
lichkeit (1–5)</t>
  </si>
  <si>
    <t xml:space="preserve">Risiko-
klasse</t>
  </si>
  <si>
    <t xml:space="preserve">Ist-Std. / Jahr
(Zeiterfassung)</t>
  </si>
  <si>
    <t xml:space="preserve">Abweichung
Ist vs. Plan</t>
  </si>
  <si>
    <t xml:space="preserve">Klärungsbedarf / Hinweis</t>
  </si>
  <si>
    <t xml:space="preserve">Kennzeichnung
im Original</t>
  </si>
  <si>
    <t xml:space="preserve">Hilfe
Pareto</t>
  </si>
  <si>
    <t xml:space="preserve">Hilfe
Risiko</t>
  </si>
  <si>
    <t xml:space="preserve">Original</t>
  </si>
  <si>
    <t xml:space="preserve">Ersatzteilmanagement – Planung</t>
  </si>
  <si>
    <t xml:space="preserve">–</t>
  </si>
  <si>
    <t xml:space="preserve">Ersatzteilumlagerung und Sonstiges</t>
  </si>
  <si>
    <t xml:space="preserve">Lagerhaltung / Ersatzteilbeschaffung extern</t>
  </si>
  <si>
    <t xml:space="preserve">Farbmarkierung im Original nicht erläutert – Bedeutung klären.</t>
  </si>
  <si>
    <t xml:space="preserve">grün hinterlegt, rote fette Schrift</t>
  </si>
  <si>
    <t xml:space="preserve">Komplexe Reparaturen / Generalüberholungen</t>
  </si>
  <si>
    <t xml:space="preserve">Reparatur / Überholung von Ersatzteilen</t>
  </si>
  <si>
    <t xml:space="preserve">Komplexe Ersatzteile (Druckübersetzer, Wasserventile …)</t>
  </si>
  <si>
    <t xml:space="preserve">0 h: Wird die Aufbereitung extern vergeben oder fehlt Kapazität? Kosten-/Zeitvergleich intern vs. extern.</t>
  </si>
  <si>
    <t xml:space="preserve">rote Schrift</t>
  </si>
  <si>
    <t xml:space="preserve">Projekte und KVP (Lean-Projekte, z. B. SMED)</t>
  </si>
  <si>
    <t xml:space="preserve">Entwicklung, Berechnung, Bestellung</t>
  </si>
  <si>
    <t xml:space="preserve">Größter Einzelposten (≈36 %). Empfehlung: Projektliste mit Stundenbudget hinterlegen.</t>
  </si>
  <si>
    <t xml:space="preserve">Training / Schulung / Betreuung / TPM / WPS</t>
  </si>
  <si>
    <t xml:space="preserve">Auslandseinsätze / Auslandsbetreuung</t>
  </si>
  <si>
    <t xml:space="preserve">Anfahren von Neuanlagen</t>
  </si>
  <si>
    <t xml:space="preserve">Freiprüfung neuer Werkzeuge (Versuche)</t>
  </si>
  <si>
    <t xml:space="preserve">Konstruktion / 3D</t>
  </si>
  <si>
    <t xml:space="preserve">Maschinenumzüge</t>
  </si>
  <si>
    <t xml:space="preserve">CNC-Technik (z. B. Nachdrehen Messer)</t>
  </si>
  <si>
    <t xml:space="preserve">0 h: Leistung extern bezogen oder nicht benötigt? Bitte bestätigen.</t>
  </si>
  <si>
    <t xml:space="preserve">Sonderaufgaben (Lagersysteme …)</t>
  </si>
  <si>
    <t xml:space="preserve">grün hinterlegt</t>
  </si>
  <si>
    <t xml:space="preserve">Facility Management</t>
  </si>
  <si>
    <t xml:space="preserve">Zweitgrößter Posten (≈21 %). Abgrenzung zu Gebäudetechnik/Hausmeisterei prüfen.</t>
  </si>
  <si>
    <t xml:space="preserve">Planung und Dokumentation</t>
  </si>
  <si>
    <t xml:space="preserve">0 h: Wartungsplanung, CMMS-Pflege und Dokumentation sind Grundlage für IATF 16949 (TPM) – Aufwand bewerten.</t>
  </si>
  <si>
    <t xml:space="preserve">orange hinterlegt, rote fette Schrift</t>
  </si>
  <si>
    <t xml:space="preserve">Betreuung Balg-Bereich</t>
  </si>
  <si>
    <t xml:space="preserve">Wartung Betriebsmittel</t>
  </si>
  <si>
    <t xml:space="preserve">0 h: Klären, ob die Wartung durch die Schicht-Instandhaltung abgedeckt ist. Falls nicht: höchstes Risiko.</t>
  </si>
  <si>
    <t xml:space="preserve">Wartung allgemeiner Maschinen</t>
  </si>
  <si>
    <t xml:space="preserve">0 h: wie Wartung Betriebsmittel – Zuständigkeit klären.</t>
  </si>
  <si>
    <t xml:space="preserve">rote fette Schrift</t>
  </si>
  <si>
    <t xml:space="preserve">Administration</t>
  </si>
  <si>
    <t xml:space="preserve">grün hinterlegt, fette Schrift</t>
  </si>
  <si>
    <t xml:space="preserve">Neu (Vorschlag)</t>
  </si>
  <si>
    <t xml:space="preserve">Störungsbehebung / ungeplante Instandsetzung</t>
  </si>
  <si>
    <t xml:space="preserve">Fehlt im Original. Nur relevant, falls das Umsetzungsteam Störungen mitbearbeitet (Abgrenzung zur Schicht-IH).</t>
  </si>
  <si>
    <t xml:space="preserve">Inspektion &amp; gesetzliche Prüfungen (DGUV V3, UVV, Krane, Druckbehälter)</t>
  </si>
  <si>
    <t xml:space="preserve">Fehlt im Original. Prüffristen sind rechtlich bindend.</t>
  </si>
  <si>
    <t xml:space="preserve">Arbeitssicherheit (Gefährdungsbeurteilung, LOTO, Unterweisungen)</t>
  </si>
  <si>
    <t xml:space="preserve">Fehlt im Original.</t>
  </si>
  <si>
    <t xml:space="preserve">Kennzahlen &amp; Schwachstellenanalyse (MTBF, MTTR, Top-Störer)</t>
  </si>
  <si>
    <t xml:space="preserve">Fehlt im Original. Grundlage für gezielte KVP-Projekte.</t>
  </si>
  <si>
    <t xml:space="preserve">Steuerung von Fremdfirmen / Dienstleistern</t>
  </si>
  <si>
    <t xml:space="preserve">Fehlt im Original (Angebote, Einweisung, Abnahme).</t>
  </si>
  <si>
    <t xml:space="preserve">Audits &amp; QM-Unterstützung (IATF 16949, ISO 14001/50001, 8D)</t>
  </si>
  <si>
    <t xml:space="preserve">Energiemanagement (z. B. Druckluft-Leckagen)</t>
  </si>
  <si>
    <t xml:space="preserve">Einarbeitung neuer Mitarbeitender / Wissenssicherung</t>
  </si>
  <si>
    <t xml:space="preserve">Fehlt im Original. Reduziert Abhängigkeit von Einzelpersonen.</t>
  </si>
  <si>
    <t xml:space="preserve">Gesamt (netto)</t>
  </si>
  <si>
    <t xml:space="preserve">Kontrolle: FTE nach Originalmethode (Std./Tag ÷ Std. je FTE und Tag)</t>
  </si>
  <si>
    <t xml:space="preserve">Kontrolle: Abgleich mit Originalwert 21.07.2025 (4,01 FTE netto, 28,1 Std./Tag)</t>
  </si>
  <si>
    <t xml:space="preserve">Legende: blau auf gelb = Eingabe · schwarz = Formel · lila = Erstvorschlag (zu validieren) · grau hinterlegt = neu ergänzte Tätigkeit (0 Std. bis zur Bewertung → ändert das Ergebnis nicht)</t>
  </si>
  <si>
    <t xml:space="preserve">Personalbedarf &amp; Kapazitätsabgleich</t>
  </si>
  <si>
    <t xml:space="preserve">Netto-Bedarf aus Blatt Kapazitätsbedarf + Verteilzeiten = Brutto-Bedarf; Abgleich mit verfügbarem Team.</t>
  </si>
  <si>
    <t xml:space="preserve">A) Netto-Bedarf</t>
  </si>
  <si>
    <t xml:space="preserve">Kennzahl</t>
  </si>
  <si>
    <t xml:space="preserve">Wert</t>
  </si>
  <si>
    <t xml:space="preserve">Einheit</t>
  </si>
  <si>
    <t xml:space="preserve">Wert Original
21.07.2025</t>
  </si>
  <si>
    <t xml:space="preserve">Abgleich</t>
  </si>
  <si>
    <t xml:space="preserve">Bemerkung</t>
  </si>
  <si>
    <t xml:space="preserve">Summe Stunden je Arbeitstag</t>
  </si>
  <si>
    <t xml:space="preserve">Std./AT</t>
  </si>
  <si>
    <t xml:space="preserve">Original B23 „Gesamt“</t>
  </si>
  <si>
    <t xml:space="preserve">Summe Stunden je Jahr</t>
  </si>
  <si>
    <t xml:space="preserve">Im Original nicht summiert – ergänzt</t>
  </si>
  <si>
    <t xml:space="preserve">Original D24/E24 „Summe Direkte Mitarbeiter – netto“</t>
  </si>
  <si>
    <t xml:space="preserve">B) Verteilzeiten (Ausfallzeiten) – Methode wie Original: Zuschlag auf Netto-Bedarf</t>
  </si>
  <si>
    <t xml:space="preserve">Verteilzeit</t>
  </si>
  <si>
    <t xml:space="preserve">Herleitung / Quelle</t>
  </si>
  <si>
    <t xml:space="preserve">Urlaub</t>
  </si>
  <si>
    <t xml:space="preserve">38 Urlaubstage / 220 Arbeitstage (Original)</t>
  </si>
  <si>
    <t xml:space="preserve">Krankheit</t>
  </si>
  <si>
    <t xml:space="preserve">Statistik fz-IH (Original)</t>
  </si>
  <si>
    <t xml:space="preserve">Weiterbildung (NEU)</t>
  </si>
  <si>
    <t xml:space="preserve">NEU – Parameter, derzeit 0</t>
  </si>
  <si>
    <t xml:space="preserve">Sonstige Ausfallzeiten (NEU)</t>
  </si>
  <si>
    <t xml:space="preserve">Summe Verteilzeiten</t>
  </si>
  <si>
    <t xml:space="preserve">Original D28</t>
  </si>
  <si>
    <t xml:space="preserve">Original D29 „brutto“ (im Original ebenfalls als „Summe Direkte Mitarbeiter“ bezeichnet)</t>
  </si>
  <si>
    <t xml:space="preserve">„Wert Original“: hart hinterlegte Referenzwerte aus der Datei vom 21.07.2025 – belegen, dass die Bewertung unverändert übernommen wurde.</t>
  </si>
  <si>
    <t xml:space="preserve">C) Methodenvergleich (Sensitivität)</t>
  </si>
  <si>
    <t xml:space="preserve">Methode</t>
  </si>
  <si>
    <t xml:space="preserve">Formel</t>
  </si>
  <si>
    <t xml:space="preserve">FTE brutto</t>
  </si>
  <si>
    <t xml:space="preserve">Differenz zu
Original</t>
  </si>
  <si>
    <t xml:space="preserve">Einordnung</t>
  </si>
  <si>
    <t xml:space="preserve">1 – Zuschlagsmethode (Original)</t>
  </si>
  <si>
    <t xml:space="preserve">netto × (1 + Σ Verteilzeit)</t>
  </si>
  <si>
    <t xml:space="preserve">Korrekt, wenn die 220 AT die tatsächlichen Anwesenheitstage sind.</t>
  </si>
  <si>
    <t xml:space="preserve">2 – Verfügbarkeitsmethode</t>
  </si>
  <si>
    <t xml:space="preserve">netto ÷ (1 − Σ Verteilzeit)</t>
  </si>
  <si>
    <t xml:space="preserve">Üblich, wenn Quoten auf die Soll-Arbeitszeit bezogen sind (z. B. Krankenquote). Konservativer Wert.</t>
  </si>
  <si>
    <t xml:space="preserve">Empfehlung: Bezugsbasis der 220 AT klären und eine Methode verbindlich festlegen. Bis dahin gilt Methode 1 (Original).</t>
  </si>
  <si>
    <t xml:space="preserve">D) Kapazitätsabgleich – verfügbares Team</t>
  </si>
  <si>
    <t xml:space="preserve">Nr. (Original)</t>
  </si>
  <si>
    <t xml:space="preserve">Name</t>
  </si>
  <si>
    <t xml:space="preserve">Verfügbare FTE</t>
  </si>
  <si>
    <t xml:space="preserve">Rolle / Funktion</t>
  </si>
  <si>
    <t xml:space="preserve">Scheifele</t>
  </si>
  <si>
    <t xml:space="preserve">Annahme 1,0 FTE (Vollzeit, voll im Umsetzungsteam) – bitte prüfen</t>
  </si>
  <si>
    <t xml:space="preserve">Baran</t>
  </si>
  <si>
    <t xml:space="preserve">Annahme 1,0 FTE – bitte prüfen</t>
  </si>
  <si>
    <t xml:space="preserve">Vischer</t>
  </si>
  <si>
    <t xml:space="preserve">Mrugalla</t>
  </si>
  <si>
    <t xml:space="preserve">blau hinterlegt</t>
  </si>
  <si>
    <t xml:space="preserve">freie Zeile (z. B. Neueinstellung, Leiharbeit)</t>
  </si>
  <si>
    <t xml:space="preserve">Verfügbare Kapazität</t>
  </si>
  <si>
    <t xml:space="preserve">Brutto-Bedarf (Methode 1)</t>
  </si>
  <si>
    <t xml:space="preserve">negativ = fehlende Kapazität</t>
  </si>
  <si>
    <t xml:space="preserve">verfügbare FTE ÷ Brutto-Bedarf</t>
  </si>
  <si>
    <t xml:space="preserve">Ampel</t>
  </si>
  <si>
    <t xml:space="preserve">Im Original stand die Namensliste ohne Erläuterung unter dem Hinweis „*Schichtübergreifend“; Nr. 3 ist dort nicht vergeben.</t>
  </si>
  <si>
    <t xml:space="preserve">Parameter &amp; Annahmen</t>
  </si>
  <si>
    <t xml:space="preserve">Alle Berechnungsgrundlagen an einer Stelle. Nur blaue Werte auf gelbem Grund ändern – alle Blätter rechnen automatisch neu.</t>
  </si>
  <si>
    <t xml:space="preserve">Quelle / Herleitung</t>
  </si>
  <si>
    <t xml:space="preserve">Planungsstand</t>
  </si>
  <si>
    <t xml:space="preserve">Datum</t>
  </si>
  <si>
    <t xml:space="preserve">Original, Zelle F1</t>
  </si>
  <si>
    <t xml:space="preserve">Arbeitstage pro Jahr</t>
  </si>
  <si>
    <t xml:space="preserve">AT/Jahr</t>
  </si>
  <si>
    <t xml:space="preserve">Original, Formel Std./Jahr = Std./Tag × 250</t>
  </si>
  <si>
    <t xml:space="preserve">Arbeitstage pro Woche</t>
  </si>
  <si>
    <t xml:space="preserve">AT/Woche</t>
  </si>
  <si>
    <t xml:space="preserve">Original, Formel Std./Woche = Std./Tag × 5</t>
  </si>
  <si>
    <t xml:space="preserve">Jahresarbeitsstunden je Mitarbeitende/r (1 FTE)</t>
  </si>
  <si>
    <t xml:space="preserve">Original, Spaltenkopf „1 MA = 1750“</t>
  </si>
  <si>
    <t xml:space="preserve">Stunden je FTE und Arbeitstag (abgeleitet)</t>
  </si>
  <si>
    <t xml:space="preserve">Berechnet: 1.750 / 250 = 7 (im Original fest als „/7“ in D24 hinterlegt)</t>
  </si>
  <si>
    <t xml:space="preserve">Urlaubstage je Mitarbeitende/r</t>
  </si>
  <si>
    <t xml:space="preserve">Tage/Jahr</t>
  </si>
  <si>
    <t xml:space="preserve">Original, Bemerkung „38 Tage Urlaub / TZ / 220 AT“</t>
  </si>
  <si>
    <t xml:space="preserve">Bezugsarbeitstage für Urlaubsquote</t>
  </si>
  <si>
    <t xml:space="preserve">AT</t>
  </si>
  <si>
    <t xml:space="preserve">Original, Formel Urlaub = 38/220</t>
  </si>
  <si>
    <t xml:space="preserve">Krankenquote</t>
  </si>
  <si>
    <t xml:space="preserve">%</t>
  </si>
  <si>
    <t xml:space="preserve">Original, „Statistik fz-IH“ (4,1 %)</t>
  </si>
  <si>
    <t xml:space="preserve">Weiterbildungstage je Mitarbeitende/r (NEU)</t>
  </si>
  <si>
    <t xml:space="preserve">NEU – im Original nicht enthalten; 0 = keine Auswirkung auf das Ergebnis. Bei Bedarf eintragen.</t>
  </si>
  <si>
    <t xml:space="preserve">NEU – z. B. Betriebsversammlung, Arztbesuche, Gremien; 0 = keine Auswirkung.</t>
  </si>
  <si>
    <t xml:space="preserve">Risikozahl ab der „hoch“ gilt</t>
  </si>
  <si>
    <t xml:space="preserve">Punkte</t>
  </si>
  <si>
    <t xml:space="preserve">Bewertungsmaßstab NEU: Auswirkung (1–5) × Wahrscheinlichkeit (1–5)</t>
  </si>
  <si>
    <t xml:space="preserve">Risikozahl ab der „mittel“ gilt</t>
  </si>
  <si>
    <t xml:space="preserve">Bewertungsmaßstab NEU</t>
  </si>
  <si>
    <t xml:space="preserve">Deckungsgrad Ampel grün ab</t>
  </si>
  <si>
    <t xml:space="preserve">Bewertungsmaßstab NEU: verfügbare FTE ÷ Brutto-Bedarf</t>
  </si>
  <si>
    <t xml:space="preserve">Deckungsgrad Ampel gelb ab</t>
  </si>
  <si>
    <t xml:space="preserve">Bewertungsskalen (einheitlich für alle Blätter)</t>
  </si>
  <si>
    <t xml:space="preserve">Auswirkung bei Nichterfüllung</t>
  </si>
  <si>
    <t xml:space="preserve">1 = gering (kein Einfluss auf Produktion/Qualität) · 2 = spürbar · 3 = deutlich (Verzögerungen, Mehraufwand) · 4 = hoch (Anlagenstillstand / Qualitätsrisiko) · 5 = kritisch (Sicherheit, Recht, Kunde)</t>
  </si>
  <si>
    <t xml:space="preserve">Eintrittswahrscheinlichkeit Engpass</t>
  </si>
  <si>
    <t xml:space="preserve">1 = sehr unwahrscheinlich · 2 = selten · 3 = gelegentlich · 4 = häufig · 5 = nahezu sicher</t>
  </si>
  <si>
    <t xml:space="preserve">Risikozahl / -klasse</t>
  </si>
  <si>
    <t xml:space="preserve">Auswirkung × Wahrscheinlichkeit (1–25). „hoch“ ≥ Schwelle hoch, „mittel“ ≥ Schwelle mittel, sonst „niedrig“.</t>
  </si>
  <si>
    <t xml:space="preserve">Messung (Zeiterfassung/CMMS) · Erfahrungswert · Schätzung</t>
  </si>
  <si>
    <t xml:space="preserve">Bewertungsstatus (automatisch)</t>
  </si>
  <si>
    <t xml:space="preserve">bewertet = Stunden &gt; 0 · „0 h – Plausibilität prüfen“ = bewusst 0 eingetragen · „offen – zu bewerten“ = noch kein Wert</t>
  </si>
  <si>
    <t xml:space="preserve">Auswahllisten</t>
  </si>
  <si>
    <t xml:space="preserve">Tätigkeitsbereiche</t>
  </si>
  <si>
    <t xml:space="preserve">DIN 31051</t>
  </si>
  <si>
    <t xml:space="preserve">Analyse der Ausgangsdatei (Stand 21.07.2025)</t>
  </si>
  <si>
    <t xml:space="preserve">Grundlage der Überarbeitung – siehe auch Änderungsprotokoll</t>
  </si>
  <si>
    <t xml:space="preserve">1. Stärken</t>
  </si>
  <si>
    <t xml:space="preserve">•  Kompakt: vollständige Personalbedarfsrechnung auf einer Seite, druckfertig (Fußzeile, An-Seite-anpassen).</t>
  </si>
  <si>
    <t xml:space="preserve">•  Nachvollziehbare Logik: Std./Tag → Std./Woche → Std./Jahr → FTE, durchgängig per Formel.</t>
  </si>
  <si>
    <t xml:space="preserve">•  Breites Tätigkeitsspektrum (19 Positionen) inkl. Projekten/KVP, Neuanlagen, Facility Management.</t>
  </si>
  <si>
    <t xml:space="preserve">•  Trennung Netto-Bedarf und Verteilzeiten (Urlaub, Krankheit) mit Quellenangabe (Statistik fz-IH).</t>
  </si>
  <si>
    <t xml:space="preserve">•  Visualisierung der Stundenverteilung per Kreisdiagramm.</t>
  </si>
  <si>
    <t xml:space="preserve">2. Schwächen</t>
  </si>
  <si>
    <t xml:space="preserve">•  Falsche Einheit im Spaltenkopf: „Dauer/Min./Teil“ – gerechnet wird mit Stunden je Arbeitstag (×250 = Std./Jahr).</t>
  </si>
  <si>
    <t xml:space="preserve">•  Spalte C (Std./Woche) ohne Überschrift.</t>
  </si>
  <si>
    <t xml:space="preserve">•  Parameter fest in Formeln (×5, ×250, /1750, /7, 38/220) – Änderungen fehleranfällig; 1.750 und 7 sind zwei getrennt gepflegte, voneinander abhängige Werte.</t>
  </si>
  <si>
    <t xml:space="preserve">•  Kreisdiagramm erfasst nur Zeilen 4–18: 1.250 Std./Jahr (Balg-Bereich, Wartung, Administration) fehlen, Prozentangaben dadurch verzerrt; 19 Segmente schwer lesbar.</t>
  </si>
  <si>
    <t xml:space="preserve">•  FTE je Zeile mit 1 Nachkommastelle → kleine Posten erscheinen als 0,0.</t>
  </si>
  <si>
    <t xml:space="preserve">•  Farbmarkierungen (grün, orange, rote Schrift) und Namensliste (Nr. 1, 2, 4, 5) ohne Legende; Hinweis „*Schichtübergreifend“ ohne Bezug (kein Stern in der Tabelle).</t>
  </si>
  <si>
    <t xml:space="preserve">•  „Summe Direkte Mitarbeiter“ doppelt verwendet (netto und brutto).</t>
  </si>
  <si>
    <t xml:space="preserve">•  Rechtschreibfehler (z. B. Überhollung, Konstrunktion, Managemant, Betreung, Ausladsbetreuung, Lagersystemme, Schcihtübegreifend).</t>
  </si>
  <si>
    <t xml:space="preserve">•  Kein Abgleich Bedarf ↔ verfügbares Personal; keine Verantwortlichkeiten, Prioritäten oder Risiken.</t>
  </si>
  <si>
    <t xml:space="preserve">•  Methodische Unschärfe: Verteilzeit als Zuschlag (× (1+q)) statt Verfügbarkeitsfaktor (÷ (1−q)) – Bezugsbasis der 220 AT unklar.</t>
  </si>
  <si>
    <t xml:space="preserve">3. Fehlende Inhalte</t>
  </si>
  <si>
    <t xml:space="preserve">•  Präventive Instandhaltung mit 0 Std. bewertet (Wartung Betriebsmittel / allgemeine Maschinen) – Zuständigkeit offen.</t>
  </si>
  <si>
    <t xml:space="preserve">•  Keine Positionen für Störungsbehebung, Inspektion/gesetzliche Prüfungen (DGUV V3, UVV), Arbeitssicherheit, Fremdfirmensteuerung, Audits/QM, Energiemanagement, Einarbeitung/Wissenssicherung.</t>
  </si>
  <si>
    <t xml:space="preserve">•  Keine Weiterbildungstage oder sonstigen Ausfallzeiten in den Verteilzeiten.</t>
  </si>
  <si>
    <t xml:space="preserve">•  Keine Kennzahlen (Präventivquote, Deckungsgrad), kein Plan-Ist-Vergleich, keine Versionierung.</t>
  </si>
  <si>
    <t xml:space="preserve">4. Verbesserungspotenzial</t>
  </si>
  <si>
    <t xml:space="preserve">•  Zentrale Parameter mit Quellenangabe → eine Änderung wirkt überall.</t>
  </si>
  <si>
    <t xml:space="preserve">•  Einheitliche Kategorisierung nach Tätigkeitsbereich und DIN 31051 (Wartung, Inspektion, Instandsetzung, Verbesserung).</t>
  </si>
  <si>
    <t xml:space="preserve">•  Risikobewertung je Tätigkeit (Auswirkung × Wahrscheinlichkeit) als Grundlage für Priorisierung.</t>
  </si>
  <si>
    <t xml:space="preserve">•  Kapazitätsabgleich mit Ampel, Dashboard mit Pareto und Top-Risiken.</t>
  </si>
  <si>
    <t xml:space="preserve">•  Plan-Ist-Spalte für die Validierung der Schätzwerte über die Zeiterfassung.</t>
  </si>
  <si>
    <t xml:space="preserve">•  Kontrollzeilen, die belegen, dass Ergebnisse zum Original identisch sind.</t>
  </si>
  <si>
    <t xml:space="preserve">5. Empfohlene neue Struktur</t>
  </si>
  <si>
    <t xml:space="preserve">•  Übersicht → Dashboard → Kapazitätsbedarf (Eingabe) → Personalbedarf → Parameter → Analyse → Änderungsprotokoll → Original (Archiv).</t>
  </si>
  <si>
    <t xml:space="preserve">•  Eingaben nur auf Kapazitätsbedarf, Personalbedarf (Team-FTE) und Parameter; Dashboard und Übersicht rein automatisch.</t>
  </si>
  <si>
    <t xml:space="preserve">6. Zentrale Erkenntnisse aus den Daten</t>
  </si>
  <si>
    <t xml:space="preserve">•  Netto-Bedarf 4,01 FTE (28,1 Std./Tag; 7.025 Std./Jahr), brutto 4,87 FTE – unverändert zum Original.</t>
  </si>
  <si>
    <t xml:space="preserve">•  Projekte/KVP (≈36 %) und Facility Management (≈21 %) binden zusammen &gt; 55 % der Kapazität.</t>
  </si>
  <si>
    <t xml:space="preserve">•  Präventivanteil (Wartung + Inspektion) aktuell 0 % – für ein Instandhaltungsteam auffällig; Zuständigkeit klären.</t>
  </si>
  <si>
    <t xml:space="preserve">•  Bei 4 Personen à 1,0 FTE (Annahme) fehlen ≈0,87 FTE (Deckungsgrad ≈82 %); nach Verfügbarkeitsmethode ≈1,1 FTE.</t>
  </si>
  <si>
    <t xml:space="preserve">•  Acht ergänzte Tätigkeiten sind noch unbewertet – der tatsächliche Bedarf liegt voraussichtlich höher.</t>
  </si>
  <si>
    <t xml:space="preserve">7. Vorgeschlagene zusätzliche Kennzahlen (benötigen Daten aus CMMS / Zeiterfassung / BDE)</t>
  </si>
  <si>
    <t xml:space="preserve">Berechnung</t>
  </si>
  <si>
    <t xml:space="preserve">Orientierungswert</t>
  </si>
  <si>
    <t xml:space="preserve">Datenquelle</t>
  </si>
  <si>
    <t xml:space="preserve">Deckungsgrad Personal</t>
  </si>
  <si>
    <t xml:space="preserve">≥ 100 %</t>
  </si>
  <si>
    <t xml:space="preserve">diese Datei</t>
  </si>
  <si>
    <t xml:space="preserve">Präventivquote</t>
  </si>
  <si>
    <t xml:space="preserve">Std. Wartung + Inspektion ÷ Gesamtstunden</t>
  </si>
  <si>
    <t xml:space="preserve">≥ 30–50 % (branchenüblich)</t>
  </si>
  <si>
    <t xml:space="preserve">diese Datei / CMMS</t>
  </si>
  <si>
    <t xml:space="preserve">Planungsgrad</t>
  </si>
  <si>
    <t xml:space="preserve">geplante IH-Stunden ÷ gesamte IH-Stunden</t>
  </si>
  <si>
    <t xml:space="preserve">≥ 80 %</t>
  </si>
  <si>
    <t xml:space="preserve">CMMS</t>
  </si>
  <si>
    <t xml:space="preserve">Wartungsplan-Erfüllung</t>
  </si>
  <si>
    <t xml:space="preserve">erledigte ÷ fällige Wartungsaufträge</t>
  </si>
  <si>
    <t xml:space="preserve">≥ 95 %</t>
  </si>
  <si>
    <t xml:space="preserve">MTBF / MTTR</t>
  </si>
  <si>
    <t xml:space="preserve">Betriebszeit ÷ Ausfälle / Reparaturzeit ÷ Ausfälle</t>
  </si>
  <si>
    <t xml:space="preserve">Trend steigend / fallend</t>
  </si>
  <si>
    <t xml:space="preserve">BDE, CMMS</t>
  </si>
  <si>
    <t xml:space="preserve">Technische Verfügbarkeit / OEE-Verlust durch IH</t>
  </si>
  <si>
    <t xml:space="preserve">Ausfallzeit IH ÷ geplante Laufzeit</t>
  </si>
  <si>
    <t xml:space="preserve">Ziel je Anlage</t>
  </si>
  <si>
    <t xml:space="preserve">BDE</t>
  </si>
  <si>
    <t xml:space="preserve">Plan-Ist-Abweichung Kapazität</t>
  </si>
  <si>
    <t xml:space="preserve">Ist-Std. ÷ Plan-Std. − 1</t>
  </si>
  <si>
    <t xml:space="preserve">± 10 %</t>
  </si>
  <si>
    <t xml:space="preserve">Zeiterfassung (Spalte T)</t>
  </si>
  <si>
    <t xml:space="preserve">Ersatzteilverfügbarkeit</t>
  </si>
  <si>
    <t xml:space="preserve">sofort verfügbare ÷ angeforderte Teile</t>
  </si>
  <si>
    <t xml:space="preserve">ERP/Lager</t>
  </si>
  <si>
    <t xml:space="preserve">Überstundenquote IH</t>
  </si>
  <si>
    <t xml:space="preserve">Überstunden ÷ Sollstunden</t>
  </si>
  <si>
    <t xml:space="preserve">≤ 5 %</t>
  </si>
  <si>
    <t xml:space="preserve">Zeiterfassung</t>
  </si>
  <si>
    <t xml:space="preserve">Instandhaltungskostenquote</t>
  </si>
  <si>
    <t xml:space="preserve">IH-Kosten ÷ Wiederbeschaffungswert</t>
  </si>
  <si>
    <t xml:space="preserve">2–5 % p. a.</t>
  </si>
  <si>
    <t xml:space="preserve">Controlling</t>
  </si>
  <si>
    <t xml:space="preserve">8. Nächste Schritte</t>
  </si>
  <si>
    <t xml:space="preserve">☐  Bedeutung der Farbmarkierungen und Namensliste im Original klären (Spalte W / Blatt Personalbedarf).</t>
  </si>
  <si>
    <t xml:space="preserve">☐  Zuständigkeit Wartung/Inspektion (Schicht-IH vs. Umsetzung) klären und Stunden eintragen.</t>
  </si>
  <si>
    <t xml:space="preserve">☐  Acht ergänzte Tätigkeiten bewerten (oder als „nicht zutreffend“ löschen).</t>
  </si>
  <si>
    <t xml:space="preserve">☐  Risikovorschläge im Team validieren; Verantwortliche und Datenbasis je Tätigkeit eintragen.</t>
  </si>
  <si>
    <t xml:space="preserve">☐  Methode für Verteilzeiten festlegen (Bezugsbasis 220 AT).</t>
  </si>
  <si>
    <t xml:space="preserve">☐  Quartalsweise Plan-Ist-Abgleich aus der Zeiterfassung (Spalte T).</t>
  </si>
  <si>
    <t xml:space="preserve">Alle Änderungen gegenüber der Datei vom 21.07.2025 – Bewertungen (Stundenwerte) sind unverändert übernommen.</t>
  </si>
  <si>
    <t xml:space="preserve">Bereich</t>
  </si>
  <si>
    <t xml:space="preserve">Neu</t>
  </si>
  <si>
    <t xml:space="preserve">Begründung</t>
  </si>
  <si>
    <t xml:space="preserve">Struktur</t>
  </si>
  <si>
    <t xml:space="preserve">1 Blatt</t>
  </si>
  <si>
    <t xml:space="preserve">8 Blätter (Übersicht, Dashboard, Kapazitätsbedarf, Personalbedarf, Parameter, Analyse, Änderungsprotokoll, Original)</t>
  </si>
  <si>
    <t xml:space="preserve">Trennung von Eingabe, Berechnung und Auswertung; jede Zielgruppe findet ihren Einstieg.</t>
  </si>
  <si>
    <t xml:space="preserve">250, 5, 1750, 7, 38/220, 4,1 % fest in Formeln</t>
  </si>
  <si>
    <t xml:space="preserve">Blatt „Parameter“ mit benannten Zellen und Quellen; 7 Std./Tag wird aus 1.750/250 abgeleitet</t>
  </si>
  <si>
    <t xml:space="preserve">Eine Änderung wirkt überall; keine widersprüchlichen Werte; Annahmen dokumentiert.</t>
  </si>
  <si>
    <t xml:space="preserve">„Dauer/Min./Teil“</t>
  </si>
  <si>
    <t xml:space="preserve">„Std. / Arbeitstag“</t>
  </si>
  <si>
    <t xml:space="preserve">Die Formeln rechnen mit Stunden je Arbeitstag (× 250 = Std./Jahr). Der alte Kopf war irreführend.</t>
  </si>
  <si>
    <t xml:space="preserve">Spaltenkopf</t>
  </si>
  <si>
    <t xml:space="preserve">Spalte C ohne Überschrift</t>
  </si>
  <si>
    <t xml:space="preserve">„Std. / Woche“</t>
  </si>
  <si>
    <t xml:space="preserve">Vollständige Beschriftung.</t>
  </si>
  <si>
    <t xml:space="preserve">„1 MA = 1750“</t>
  </si>
  <si>
    <t xml:space="preserve">„FTE netto“ (Jahresstunden je FTE im Parameterblatt)</t>
  </si>
  <si>
    <t xml:space="preserve">Einheitlicher Begriff FTE; Parameter sichtbar statt im Kopf versteckt.</t>
  </si>
  <si>
    <t xml:space="preserve">Bezeichnungen</t>
  </si>
  <si>
    <t xml:space="preserve">„Summe Direkte Mitarbeiter“ (2× für netto und brutto)</t>
  </si>
  <si>
    <t xml:space="preserve">„Personalbedarf netto“ / „Personalbedarf brutto“</t>
  </si>
  <si>
    <t xml:space="preserve">Eindeutigkeit.</t>
  </si>
  <si>
    <t xml:space="preserve">Rechtschreibung</t>
  </si>
  <si>
    <t xml:space="preserve">Ersatzteilbeschafung, Überhollung, Ersatzeile, Druckübersetzter, Betreung, Ausladsbetreuung, Konstrunktion, Lagersystemme, Managemant, Dokumentationen, neu WKZ, Schcihtübegreifend</t>
  </si>
  <si>
    <t xml:space="preserve">korrigiert (Ersatzteilbeschaffung, Überholung, Ersatzteile, Druckübersetzer, Betreuung, Auslandsbetreuung, Konstruktion, Lagersysteme, Management, Dokumentation, neuer Werkzeuge, schichtübergreifend)</t>
  </si>
  <si>
    <t xml:space="preserve">Professionelles Erscheinungsbild.</t>
  </si>
  <si>
    <t xml:space="preserve">„Administrativ“, „Wartung allg. Maschinen“, „Ersatzteilumlagerung u. sonstiges“</t>
  </si>
  <si>
    <t xml:space="preserve">„Administration“, „Wartung allgemeiner Maschinen“, „Ersatzteilumlagerung und Sonstiges“</t>
  </si>
  <si>
    <t xml:space="preserve">Einheitlicher Substantivstil, keine Abkürzungen.</t>
  </si>
  <si>
    <t xml:space="preserve">Bewertungen</t>
  </si>
  <si>
    <t xml:space="preserve">19 Stundenwerte</t>
  </si>
  <si>
    <t xml:space="preserve">identisch übernommen (Spalte G); Kontrollzeilen belegen 28,1 Std./Tag, 4,01 FTE netto, 4,87 FTE brutto</t>
  </si>
  <si>
    <t xml:space="preserve">Kein Informationsverlust; Nachweis per Formel.</t>
  </si>
  <si>
    <t xml:space="preserve">Bemerkungen</t>
  </si>
  <si>
    <t xml:space="preserve">Spalte F</t>
  </si>
  <si>
    <t xml:space="preserve">Spalte „Bemerkung (Original)“ – Wortlaut korrigiert, Inhalt unverändert</t>
  </si>
  <si>
    <t xml:space="preserve">Erhalt aller Informationen.</t>
  </si>
  <si>
    <t xml:space="preserve">Farbmarkierungen</t>
  </si>
  <si>
    <t xml:space="preserve">grün / orange / rote Schrift ohne Legende</t>
  </si>
  <si>
    <t xml:space="preserve">Spalte „Kennzeichnung im Original“ (Text) + Klärungsbedarf</t>
  </si>
  <si>
    <t xml:space="preserve">Information bleibt erhalten, Bedeutung wird explizit geklärt statt erraten.</t>
  </si>
  <si>
    <t xml:space="preserve">Namensliste</t>
  </si>
  <si>
    <t xml:space="preserve">Nr. 1, 2, 4, 5 mit Namen, ohne Überschrift</t>
  </si>
  <si>
    <t xml:space="preserve">Tabelle „Kapazitätsabgleich“ mit FTE-Annahme, Rolle, Kennzeichnung</t>
  </si>
  <si>
    <t xml:space="preserve">Ermöglicht Deckungsgrad-Berechnung; Annahme 1,0 FTE klar gekennzeichnet.</t>
  </si>
  <si>
    <t xml:space="preserve">Hinweis</t>
  </si>
  <si>
    <t xml:space="preserve">„*Schichtübergreifend“</t>
  </si>
  <si>
    <t xml:space="preserve">Spalte „Schichtübergreifend (Ja/Nein)“ je Tätigkeit</t>
  </si>
  <si>
    <t xml:space="preserve">Der Hinweis hatte im Original keinen Bezug; jetzt je Tätigkeit pflegbar.</t>
  </si>
  <si>
    <t xml:space="preserve">Kategorisierung</t>
  </si>
  <si>
    <t xml:space="preserve">Tätigkeitsbereich (9 Bereiche) und Instandhaltungsart nach DIN 31051</t>
  </si>
  <si>
    <t xml:space="preserve">Gemeinsame Sprache für IH, Produktion, QM und Management; Auswertung nach Bereichen.</t>
  </si>
  <si>
    <t xml:space="preserve">Neue Tätigkeiten</t>
  </si>
  <si>
    <t xml:space="preserve">8 ergänzte Tätigkeiten ohne Stundenwert (Status „offen – zu bewerten“)</t>
  </si>
  <si>
    <t xml:space="preserve">Schließt Lücken (Störungen, Prüfpflichten, Arbeitssicherheit …); ändert das Ergebnis erst nach Bewertung.</t>
  </si>
  <si>
    <t xml:space="preserve">Risiko</t>
  </si>
  <si>
    <t xml:space="preserve">Auswirkung × Wahrscheinlichkeit, Risikoklasse mit Ampel (Erstvorschlag)</t>
  </si>
  <si>
    <t xml:space="preserve">Priorisierung, Begründung von Personalbedarf gegenüber Management.</t>
  </si>
  <si>
    <t xml:space="preserve">Verantwortlich, Datenbasis</t>
  </si>
  <si>
    <t xml:space="preserve">Klare Zuständigkeit, Transparenz über Schätzgüte.</t>
  </si>
  <si>
    <t xml:space="preserve">Plan-Ist</t>
  </si>
  <si>
    <t xml:space="preserve">Ist-Std./Jahr und Abweichung</t>
  </si>
  <si>
    <t xml:space="preserve">Validierung der Schätzwerte (KVP-Regelkreis).</t>
  </si>
  <si>
    <t xml:space="preserve">Verteilzeiten</t>
  </si>
  <si>
    <t xml:space="preserve">Urlaub, Krankheit</t>
  </si>
  <si>
    <t xml:space="preserve">+ Weiterbildung, Sonstige (Parameter = 0)</t>
  </si>
  <si>
    <t xml:space="preserve">Vollständigkeit ohne Änderung des Ergebnisses.</t>
  </si>
  <si>
    <t xml:space="preserve">Methodik</t>
  </si>
  <si>
    <t xml:space="preserve">nur Zuschlagsmethode</t>
  </si>
  <si>
    <t xml:space="preserve">+ Verfügbarkeitsmethode als Sensitivität (≈5,10 FTE)</t>
  </si>
  <si>
    <t xml:space="preserve">Transparenz über methodische Bandbreite; Original bleibt Basis.</t>
  </si>
  <si>
    <t xml:space="preserve">Kapazitätsabgleich</t>
  </si>
  <si>
    <t xml:space="preserve">verfügbare FTE, Über-/Unterdeckung, Deckungsgrad, Ampel</t>
  </si>
  <si>
    <t xml:space="preserve">Kernaussage für das Management.</t>
  </si>
  <si>
    <t xml:space="preserve">Diagramm</t>
  </si>
  <si>
    <t xml:space="preserve">Kreisdiagramm mit 15 von 19 Positionen</t>
  </si>
  <si>
    <t xml:space="preserve">Balkendiagramme: Bereiche, Top 10, Bedarf vs. Verfügbarkeit (alle Positionen)</t>
  </si>
  <si>
    <t xml:space="preserve">Korrekte und lesbare Darstellung.</t>
  </si>
  <si>
    <t xml:space="preserve">Zahlenformat</t>
  </si>
  <si>
    <t xml:space="preserve">FTE mit 1 Nachkommastelle</t>
  </si>
  <si>
    <t xml:space="preserve">FTE mit 2 Nachkommastellen, Anteile in %</t>
  </si>
  <si>
    <t xml:space="preserve">Kleine Posten werden sichtbar.</t>
  </si>
  <si>
    <t xml:space="preserve">Benutzerfreundlichkeit</t>
  </si>
  <si>
    <t xml:space="preserve">Dropdowns, Eingabeprüfung (0–24 Std.), fixierte Kopfzeilen, Filter, Navigation per Link</t>
  </si>
  <si>
    <t xml:space="preserve">Weniger Eingabefehler, schnellere Bedienung.</t>
  </si>
  <si>
    <t xml:space="preserve">Dateiformat</t>
  </si>
  <si>
    <t xml:space="preserve">.xlsm (enthielt keine Makros)</t>
  </si>
  <si>
    <t xml:space="preserve">.xlsx</t>
  </si>
  <si>
    <t xml:space="preserve">Keine Makro-Sicherheitswarnung; Funktionsumfang identisch.</t>
  </si>
  <si>
    <t xml:space="preserve">Mitarbeiterplanung BB2 Instandhaltung Umsetzung</t>
  </si>
  <si>
    <t xml:space="preserve">Dauer/Min./Teil</t>
  </si>
  <si>
    <t xml:space="preserve">Std. / Jahr</t>
  </si>
  <si>
    <t xml:space="preserve">1 MA = 1750</t>
  </si>
  <si>
    <t xml:space="preserve">Ersatzteilmanagement Planung</t>
  </si>
  <si>
    <t xml:space="preserve">Ersatzteilumlagerung u. sonstiges</t>
  </si>
  <si>
    <t xml:space="preserve">Lagerhaltung / Ersatzteilbeschafung extern</t>
  </si>
  <si>
    <t xml:space="preserve">Komplexe Reparaturen / Generallüberholungen</t>
  </si>
  <si>
    <t xml:space="preserve">Reparatur / Überhollung von Ersatzteilen</t>
  </si>
  <si>
    <t xml:space="preserve">Komplexe Ersatzeile (Druckübersetzter, Wasserventile…..)</t>
  </si>
  <si>
    <t xml:space="preserve">Projekte und KVP (Lean Projekte z.B SMED,….)</t>
  </si>
  <si>
    <t xml:space="preserve">Entwicklung; Berechnung; Bestellung; </t>
  </si>
  <si>
    <t xml:space="preserve">Training / Schulung / Betreung / TPM / WPS</t>
  </si>
  <si>
    <t xml:space="preserve">Auslandeinsätze / Ausladsbetreuung</t>
  </si>
  <si>
    <t xml:space="preserve">Freiprüfung von neu WKZ (Versuche)</t>
  </si>
  <si>
    <t xml:space="preserve">Konstrunktion / 3D</t>
  </si>
  <si>
    <t xml:space="preserve">CNC-Technik (z.B. Nachdrehen Messer)</t>
  </si>
  <si>
    <t xml:space="preserve">Sonderaufgaben (Lagersystemme…)</t>
  </si>
  <si>
    <t xml:space="preserve">Facility Managemant</t>
  </si>
  <si>
    <t xml:space="preserve">Planung und Dokumentationen </t>
  </si>
  <si>
    <t xml:space="preserve">Betreung Balg-Bereich</t>
  </si>
  <si>
    <t xml:space="preserve">Wartung allg. Maschinen</t>
  </si>
  <si>
    <t xml:space="preserve">Administrativ</t>
  </si>
  <si>
    <t xml:space="preserve">Gesamt</t>
  </si>
  <si>
    <t xml:space="preserve">Summe Direkte Mitarbeiter</t>
  </si>
  <si>
    <t xml:space="preserve">netto</t>
  </si>
  <si>
    <t xml:space="preserve">Anteil
[%]</t>
  </si>
  <si>
    <t xml:space="preserve">Summe 
MA</t>
  </si>
  <si>
    <t xml:space="preserve">38 Tage Urlaub / TZ/ 220 AT</t>
  </si>
  <si>
    <t xml:space="preserve">Krank</t>
  </si>
  <si>
    <t xml:space="preserve">Statistik fz-IH</t>
  </si>
  <si>
    <t xml:space="preserve">brutto</t>
  </si>
  <si>
    <t xml:space="preserve">*Schcihtübegreifend</t>
  </si>
  <si>
    <t xml:space="preserve">Archiv: unveränderte Kopie der Originaldatei. Hinweis: Das Original-Kreisdiagramm umfasst nur Zeilen 4–18; Balg-Bereich, Wartung und Administrativ (1.250 Std./Jahr) fehlen, daher sind die Prozentwerte überhöht.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</si>
</sst>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&quot; FTE&quot;"/>
    <numFmt numFmtId="166" formatCode="\+0.00&quot; FTE&quot;;\-0.00&quot; FTE&quot;"/>
    <numFmt numFmtId="167" formatCode="dd\.mm\.yyyy"/>
    <numFmt numFmtId="168" formatCode="0%"/>
    <numFmt numFmtId="169" formatCode="0"/>
    <numFmt numFmtId="170" formatCode="#,##0"/>
    <numFmt numFmtId="171" formatCode="0.00"/>
    <numFmt numFmtId="172" formatCode="0.0%"/>
    <numFmt numFmtId="173" formatCode="0.0"/>
    <numFmt numFmtId="174" formatCode="\+0%;\-0%;0%"/>
    <numFmt numFmtId="175" formatCode="0.000000"/>
    <numFmt numFmtId="176" formatCode="\+0.00;\-0.00;0.00"/>
    <numFmt numFmtId="177" formatCode="m/d/yyyy"/>
    <numFmt numFmtId="178" formatCode="General"/>
  </numFmts>
  <fonts count="3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030A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u val="singl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3366FF"/>
      <name val="Arial"/>
      <family val="2"/>
      <charset val="1"/>
    </font>
    <font>
      <sz val="10"/>
      <color rgb="FF3366FF"/>
      <name val="Arial"/>
      <family val="2"/>
      <charset val="1"/>
    </font>
    <font>
      <i val="true"/>
      <sz val="9"/>
      <color rgb="FFC00000"/>
      <name val="Arial"/>
      <family val="0"/>
      <charset val="1"/>
    </font>
    <font>
      <b val="true"/>
      <sz val="16"/>
      <color rgb="FF808080"/>
      <name val="Cambria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DEADA"/>
      </patternFill>
    </fill>
    <fill>
      <patternFill patternType="solid">
        <fgColor rgb="FFEADCF8"/>
        <bgColor rgb="FFE7E6E6"/>
      </patternFill>
    </fill>
    <fill>
      <patternFill patternType="solid">
        <fgColor rgb="FFF2F2F2"/>
        <bgColor rgb="FFEEECE1"/>
      </patternFill>
    </fill>
    <fill>
      <patternFill patternType="solid">
        <fgColor rgb="FFD9E2F3"/>
        <bgColor rgb="FFDCE6F2"/>
      </patternFill>
    </fill>
    <fill>
      <patternFill patternType="solid">
        <fgColor theme="6" tint="0.7999"/>
        <bgColor rgb="FFEEECE1"/>
      </patternFill>
    </fill>
    <fill>
      <patternFill patternType="solid">
        <fgColor theme="6" tint="0.5999"/>
        <bgColor rgb="FFD9D9D9"/>
      </patternFill>
    </fill>
    <fill>
      <patternFill patternType="solid">
        <fgColor theme="9" tint="0.7999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2"/>
        <bgColor rgb="FFEBF1DE"/>
      </patternFill>
    </fill>
    <fill>
      <patternFill patternType="solid">
        <fgColor theme="8" tint="0.7999"/>
        <bgColor rgb="FFDCE6F2"/>
      </patternFill>
    </fill>
    <fill>
      <patternFill patternType="solid">
        <fgColor theme="4" tint="0.7999"/>
        <bgColor rgb="FFD9E2F3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8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29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9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  <sz val="18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DCF8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FF0000"/>
      <rgbColor rgb="FFEBF1DE"/>
      <rgbColor rgb="FF0000FF"/>
      <rgbColor rgb="FFD7E4BD"/>
      <rgbColor rgb="FFE7E6E6"/>
      <rgbColor rgb="FFD9E2F3"/>
      <rgbColor rgb="FFC00000"/>
      <rgbColor rgb="FF008000"/>
      <rgbColor rgb="FF000080"/>
      <rgbColor rgb="FF809B49"/>
      <rgbColor rgb="FFF2F2F2"/>
      <rgbColor rgb="FF0070C0"/>
      <rgbColor rgb="FFBFBFBF"/>
      <rgbColor rgb="FF808080"/>
      <rgbColor rgb="FF7F7F7F"/>
      <rgbColor rgb="FF9F423F"/>
      <rgbColor rgb="FFFFF2CC"/>
      <rgbColor rgb="FFDBEEF4"/>
      <rgbColor rgb="FF660066"/>
      <rgbColor rgb="FFCC7C3A"/>
      <rgbColor rgb="FF0563C1"/>
      <rgbColor rgb="FFD9D9D9"/>
      <rgbColor rgb="FF000080"/>
      <rgbColor rgb="FFEEECE1"/>
      <rgbColor rgb="FFFDEADA"/>
      <rgbColor rgb="FFE6E6E6"/>
      <rgbColor rgb="FF800080"/>
      <rgbColor rgb="FF800000"/>
      <rgbColor rgb="FF2E75B6"/>
      <rgbColor rgb="FF0000FF"/>
      <rgbColor rgb="FF4F81BD"/>
      <rgbColor rgb="FFDCE6F2"/>
      <rgbColor rgb="FFC6EFCE"/>
      <rgbColor rgb="FFFFE699"/>
      <rgbColor rgb="FFAABAD7"/>
      <rgbColor rgb="FFD8AAA9"/>
      <rgbColor rgb="FFEADCF8"/>
      <rgbColor rgb="FFF8CBAD"/>
      <rgbColor rgb="FF3366FF"/>
      <rgbColor rgb="FF4BACC6"/>
      <rgbColor rgb="FF9BBB59"/>
      <rgbColor rgb="FFC5D6AC"/>
      <rgbColor rgb="FFF79646"/>
      <rgbColor rgb="FFBF8F00"/>
      <rgbColor rgb="FF8064A2"/>
      <rgbColor rgb="FF878787"/>
      <rgbColor rgb="FF1F3864"/>
      <rgbColor rgb="FF3E8EA4"/>
      <rgbColor rgb="FF416A9C"/>
      <rgbColor rgb="FF595959"/>
      <rgbColor rgb="FFC0504D"/>
      <rgbColor rgb="FF7030A0"/>
      <rgbColor rgb="FF6A528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Std./Jahr nach Tätigkeitsbereich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Dashboard!$A$17:$A$25</c:f>
              <c:strCache>
                <c:ptCount val="9"/>
                <c:pt idx="0">
                  <c:v>Ersatzteilmanagement</c:v>
                </c:pt>
                <c:pt idx="1">
                  <c:v>Instandsetzung &amp; Reparatur</c:v>
                </c:pt>
                <c:pt idx="2">
                  <c:v>Präventive Instandhaltung</c:v>
                </c:pt>
                <c:pt idx="3">
                  <c:v>Verbesserung, Projekte &amp; Technik</c:v>
                </c:pt>
                <c:pt idx="4">
                  <c:v>Neuanlagen, Werkzeuge &amp; Umzüge</c:v>
                </c:pt>
                <c:pt idx="5">
                  <c:v>Qualifizierung &amp; TPM</c:v>
                </c:pt>
                <c:pt idx="6">
                  <c:v>Bereichs- &amp; Standortbetreuung</c:v>
                </c:pt>
                <c:pt idx="7">
                  <c:v>Facility Management &amp; Sonderaufgaben</c:v>
                </c:pt>
                <c:pt idx="8">
                  <c:v>Organisation &amp; Administration</c:v>
                </c:pt>
              </c:strCache>
            </c:strRef>
          </c:cat>
          <c:val>
            <c:numRef>
              <c:f>Dashboard!$B$17:$B$25</c:f>
              <c:numCache>
                <c:formatCode>#,##0</c:formatCode>
                <c:ptCount val="9"/>
                <c:pt idx="0">
                  <c:v>875</c:v>
                </c:pt>
                <c:pt idx="1">
                  <c:v>75</c:v>
                </c:pt>
                <c:pt idx="2">
                  <c:v>0</c:v>
                </c:pt>
                <c:pt idx="3">
                  <c:v>2750</c:v>
                </c:pt>
                <c:pt idx="4">
                  <c:v>200</c:v>
                </c:pt>
                <c:pt idx="5">
                  <c:v>125</c:v>
                </c:pt>
                <c:pt idx="6">
                  <c:v>625</c:v>
                </c:pt>
                <c:pt idx="7">
                  <c:v>1625</c:v>
                </c:pt>
                <c:pt idx="8">
                  <c:v>750</c:v>
                </c:pt>
              </c:numCache>
            </c:numRef>
          </c:val>
        </c:ser>
        <c:gapWidth val="150"/>
        <c:overlap val="0"/>
        <c:axId val="55715029"/>
        <c:axId val="34635642"/>
      </c:barChart>
      <c:catAx>
        <c:axId val="5571502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35642"/>
        <c:crosses val="autoZero"/>
        <c:auto val="1"/>
        <c:lblAlgn val="ctr"/>
        <c:lblOffset val="100"/>
        <c:noMultiLvlLbl val="0"/>
      </c:catAx>
      <c:valAx>
        <c:axId val="3463564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1502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Tätigkeiten (Std./Jahr)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Dashboard!$G$9:$G$18</c:f>
              <c:strCache>
                <c:ptCount val="10"/>
                <c:pt idx="0">
                  <c:v>Projekte und KVP (Lean-Projekte, z. B. SMED)</c:v>
                </c:pt>
                <c:pt idx="1">
                  <c:v>Facility Management</c:v>
                </c:pt>
                <c:pt idx="2">
                  <c:v>Administration</c:v>
                </c:pt>
                <c:pt idx="3">
                  <c:v>Ersatzteilumlagerung und Sonstiges</c:v>
                </c:pt>
                <c:pt idx="4">
                  <c:v>Betreuung Balg-Bereich</c:v>
                </c:pt>
                <c:pt idx="5">
                  <c:v>Ersatzteilmanagement – Planung</c:v>
                </c:pt>
                <c:pt idx="6">
                  <c:v>Konstruktion / 3D</c:v>
                </c:pt>
                <c:pt idx="7">
                  <c:v>Training / Schulung / Betreuung / TPM / WPS</c:v>
                </c:pt>
                <c:pt idx="8">
                  <c:v>Auslandseinsätze / Auslandsbetreuung</c:v>
                </c:pt>
                <c:pt idx="9">
                  <c:v>Anfahren von Neuanlagen</c:v>
                </c:pt>
              </c:strCache>
            </c:strRef>
          </c:cat>
          <c:val>
            <c:numRef>
              <c:f>Dashboard!$H$9:$H$18</c:f>
              <c:numCache>
                <c:formatCode>#,##0</c:formatCode>
                <c:ptCount val="10"/>
                <c:pt idx="0">
                  <c:v>2500</c:v>
                </c:pt>
                <c:pt idx="1">
                  <c:v>1500</c:v>
                </c:pt>
                <c:pt idx="2">
                  <c:v>750</c:v>
                </c:pt>
                <c:pt idx="3">
                  <c:v>500</c:v>
                </c:pt>
                <c:pt idx="4">
                  <c:v>500</c:v>
                </c:pt>
                <c:pt idx="5">
                  <c:v>375</c:v>
                </c:pt>
                <c:pt idx="6">
                  <c:v>250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</c:numCache>
            </c:numRef>
          </c:val>
        </c:ser>
        <c:gapWidth val="150"/>
        <c:overlap val="0"/>
        <c:axId val="73654310"/>
        <c:axId val="88382698"/>
      </c:barChart>
      <c:catAx>
        <c:axId val="736543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82698"/>
        <c:crosses val="autoZero"/>
        <c:auto val="1"/>
        <c:lblAlgn val="ctr"/>
        <c:lblOffset val="100"/>
        <c:noMultiLvlLbl val="0"/>
      </c:catAx>
      <c:valAx>
        <c:axId val="8838269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5431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Personalbedarf vs. verfügbare Kapazität (FTE)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Dashboard!$A$38:$A$41</c:f>
              <c:strCache>
                <c:ptCount val="4"/>
                <c:pt idx="0">
                  <c:v>Bedarf netto</c:v>
                </c:pt>
                <c:pt idx="1">
                  <c:v>Bedarf brutto (Methode 1, Original)</c:v>
                </c:pt>
                <c:pt idx="2">
                  <c:v>Bedarf brutto (Methode 2)</c:v>
                </c:pt>
                <c:pt idx="3">
                  <c:v>Verfügbar (Annahme)</c:v>
                </c:pt>
              </c:strCache>
            </c:strRef>
          </c:cat>
          <c:val>
            <c:numRef>
              <c:f>Dashboard!$B$38:$B$41</c:f>
              <c:numCache>
                <c:formatCode>0.00</c:formatCode>
                <c:ptCount val="4"/>
                <c:pt idx="0">
                  <c:v>4.01428571428571</c:v>
                </c:pt>
                <c:pt idx="1">
                  <c:v>4.87224805194805</c:v>
                </c:pt>
                <c:pt idx="2">
                  <c:v>5.10546223345391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79039475"/>
        <c:axId val="38638416"/>
      </c:barChart>
      <c:catAx>
        <c:axId val="79039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38416"/>
        <c:crosses val="autoZero"/>
        <c:auto val="1"/>
        <c:lblAlgn val="ctr"/>
        <c:lblOffset val="100"/>
        <c:noMultiLvlLbl val="0"/>
      </c:catAx>
      <c:valAx>
        <c:axId val="3863841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3947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de-DE" sz="1600" spc="-1" strike="noStrike">
                <a:solidFill>
                  <a:srgbClr val="808080"/>
                </a:solidFill>
                <a:latin typeface="Cambria"/>
              </a:defRPr>
            </a:pPr>
            <a:r>
              <a:rPr b="1" lang="de-DE" sz="1600" spc="-1" strike="noStrike">
                <a:solidFill>
                  <a:srgbClr val="808080"/>
                </a:solidFill>
                <a:latin typeface="Cambria"/>
              </a:rPr>
              <a:t>Std./Jahr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4f81bd"/>
                  </a:gs>
                  <a:gs pos="100000">
                    <a:srgbClr val="95b3d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gradFill>
                <a:gsLst>
                  <a:gs pos="0">
                    <a:srgbClr val="c0504d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gradFill>
                <a:gsLst>
                  <a:gs pos="0">
                    <a:srgbClr val="9bbb59"/>
                  </a:gs>
                  <a:gs pos="100000">
                    <a:srgbClr val="c3d69b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gradFill>
                <a:gsLst>
                  <a:gs pos="0">
                    <a:srgbClr val="8064a2"/>
                  </a:gs>
                  <a:gs pos="100000">
                    <a:srgbClr val="b3a2c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gradFill>
                <a:gsLst>
                  <a:gs pos="0">
                    <a:srgbClr val="4bacc6"/>
                  </a:gs>
                  <a:gs pos="100000">
                    <a:srgbClr val="93cddd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gradFill>
                <a:gsLst>
                  <a:gs pos="0">
                    <a:srgbClr val="f79646"/>
                  </a:gs>
                  <a:gs pos="100000">
                    <a:srgbClr val="fac090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gradFill>
                <a:gsLst>
                  <a:gs pos="0">
                    <a:srgbClr val="2c4d75"/>
                  </a:gs>
                  <a:gs pos="100000">
                    <a:srgbClr val="95b3d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gradFill>
                <a:gsLst>
                  <a:gs pos="0">
                    <a:srgbClr val="772c2a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gradFill>
                <a:gsLst>
                  <a:gs pos="0">
                    <a:srgbClr val="5f7530"/>
                  </a:gs>
                  <a:gs pos="100000">
                    <a:srgbClr val="c3d69b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gradFill>
                <a:gsLst>
                  <a:gs pos="0">
                    <a:srgbClr val="4d3b62"/>
                  </a:gs>
                  <a:gs pos="100000">
                    <a:srgbClr val="b3a2c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gradFill>
                <a:gsLst>
                  <a:gs pos="0">
                    <a:srgbClr val="276a7c"/>
                  </a:gs>
                  <a:gs pos="100000">
                    <a:srgbClr val="93cddd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1"/>
            <c:spPr>
              <a:gradFill>
                <a:gsLst>
                  <a:gs pos="0">
                    <a:srgbClr val="b65708"/>
                  </a:gs>
                  <a:gs pos="100000">
                    <a:srgbClr val="fac090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2"/>
            <c:spPr>
              <a:gradFill>
                <a:gsLst>
                  <a:gs pos="0">
                    <a:srgbClr val="729aca"/>
                  </a:gs>
                  <a:gs pos="100000">
                    <a:srgbClr val="95b3d7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3"/>
            <c:spPr>
              <a:gradFill>
                <a:gsLst>
                  <a:gs pos="0">
                    <a:srgbClr val="cd7371"/>
                  </a:gs>
                  <a:gs pos="100000">
                    <a:srgbClr val="d99694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Pt>
            <c:idx val="14"/>
            <c:spPr>
              <a:gradFill>
                <a:gsLst>
                  <a:gs pos="0">
                    <a:srgbClr val="afc97a"/>
                  </a:gs>
                  <a:gs pos="100000">
                    <a:srgbClr val="c3d69b"/>
                  </a:gs>
                </a:gsLst>
                <a:lin ang="5400000"/>
              </a:gra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categories</c:f>
              <c:strCache>
                <c:ptCount val="15"/>
                <c:pt idx="0">
                  <c:v>Ersatzteilmanagement Planung</c:v>
                </c:pt>
                <c:pt idx="1">
                  <c:v>Ersatzteilumlagerung u. sonstiges</c:v>
                </c:pt>
                <c:pt idx="2">
                  <c:v>Komplexe Reparaturen / Generallüberholungen</c:v>
                </c:pt>
                <c:pt idx="3">
                  <c:v>Reparatur / Überhollung von Ersatzteilen</c:v>
                </c:pt>
                <c:pt idx="4">
                  <c:v>Projekte und KVP (Lean Projekte z.B SMED,….)</c:v>
                </c:pt>
                <c:pt idx="5">
                  <c:v>Training / Schulung / Betreung / TPM / WPS</c:v>
                </c:pt>
                <c:pt idx="6">
                  <c:v>Auslandeinsätze / Ausladsbetreuung</c:v>
                </c:pt>
                <c:pt idx="7">
                  <c:v>Anfahren von Neuanlagen</c:v>
                </c:pt>
                <c:pt idx="8">
                  <c:v>Freiprüfung von neu WKZ (Versuche)</c:v>
                </c:pt>
                <c:pt idx="9">
                  <c:v>Konstrunktion / 3D</c:v>
                </c:pt>
                <c:pt idx="10">
                  <c:v>Maschinenumzüge</c:v>
                </c:pt>
                <c:pt idx="11">
                  <c:v>CNC-Technik (z.B. Nachdrehen Messer)</c:v>
                </c:pt>
                <c:pt idx="12">
                  <c:v>Sonderaufgaben (Lagersystemme…)</c:v>
                </c:pt>
                <c:pt idx="13">
                  <c:v>Facility Managemant</c:v>
                </c:pt>
                <c:pt idx="14">
                  <c:v>Planung und Dokumentationen 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5"/>
                <c:pt idx="0">
                  <c:v>375</c:v>
                </c:pt>
                <c:pt idx="1">
                  <c:v>500</c:v>
                </c:pt>
                <c:pt idx="2">
                  <c:v>75</c:v>
                </c:pt>
                <c:pt idx="3">
                  <c:v>0</c:v>
                </c:pt>
                <c:pt idx="4">
                  <c:v>2500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50</c:v>
                </c:pt>
                <c:pt idx="9">
                  <c:v>250</c:v>
                </c:pt>
                <c:pt idx="10">
                  <c:v>25</c:v>
                </c:pt>
                <c:pt idx="11">
                  <c:v>0</c:v>
                </c:pt>
                <c:pt idx="12">
                  <c:v>125</c:v>
                </c:pt>
                <c:pt idx="13">
                  <c:v>1500</c:v>
                </c:pt>
                <c:pt idx="1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fffff">
            <a:alpha val="50000"/>
          </a:srgbClr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pattFill prst="ltDnDiag">
      <a:fgClr>
        <a:srgbClr val="ffffff"/>
      </a:fgClr>
      <a:bgClr>
        <a:srgbClr val="e6e6e6"/>
      </a:bgClr>
    </a:patt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Std./Jahr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'Original 21.07.2025'!$A$4:$A$18</c:f>
              <c:strCache>
                <c:ptCount val="15"/>
                <c:pt idx="0">
                  <c:v>Ersatzteilmanagement Planung</c:v>
                </c:pt>
                <c:pt idx="1">
                  <c:v>Ersatzteilumlagerung u. sonstiges</c:v>
                </c:pt>
                <c:pt idx="2">
                  <c:v>Komplexe Reparaturen / Generallüberholungen</c:v>
                </c:pt>
                <c:pt idx="3">
                  <c:v>Reparatur / Überhollung von Ersatzteilen</c:v>
                </c:pt>
                <c:pt idx="4">
                  <c:v>Projekte und KVP (Lean Projekte z.B SMED,….)</c:v>
                </c:pt>
                <c:pt idx="5">
                  <c:v>Training / Schulung / Betreung / TPM / WPS</c:v>
                </c:pt>
                <c:pt idx="6">
                  <c:v>Auslandeinsätze / Ausladsbetreuung</c:v>
                </c:pt>
                <c:pt idx="7">
                  <c:v>Anfahren von Neuanlagen</c:v>
                </c:pt>
                <c:pt idx="8">
                  <c:v>Freiprüfung von neu WKZ (Versuche)</c:v>
                </c:pt>
                <c:pt idx="9">
                  <c:v>Konstrunktion / 3D</c:v>
                </c:pt>
                <c:pt idx="10">
                  <c:v>Maschinenumzüge</c:v>
                </c:pt>
                <c:pt idx="11">
                  <c:v>CNC-Technik (z.B. Nachdrehen Messer)</c:v>
                </c:pt>
                <c:pt idx="12">
                  <c:v>Sonderaufgaben (Lagersystemme…)</c:v>
                </c:pt>
                <c:pt idx="13">
                  <c:v>Facility Managemant</c:v>
                </c:pt>
                <c:pt idx="14">
                  <c:v>Planung und Dokumentationen </c:v>
                </c:pt>
              </c:strCache>
            </c:strRef>
          </c:cat>
          <c:val>
            <c:numRef>
              <c:f>'Original 21.07.2025'!$D$4:$D$18</c:f>
              <c:numCache>
                <c:formatCode>General</c:formatCode>
                <c:ptCount val="15"/>
                <c:pt idx="0">
                  <c:v>375</c:v>
                </c:pt>
                <c:pt idx="1">
                  <c:v>500</c:v>
                </c:pt>
                <c:pt idx="2">
                  <c:v>75</c:v>
                </c:pt>
                <c:pt idx="3">
                  <c:v>0</c:v>
                </c:pt>
                <c:pt idx="4">
                  <c:v>2500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50</c:v>
                </c:pt>
                <c:pt idx="9">
                  <c:v>250</c:v>
                </c:pt>
                <c:pt idx="10">
                  <c:v>25</c:v>
                </c:pt>
                <c:pt idx="11">
                  <c:v>0</c:v>
                </c:pt>
                <c:pt idx="12">
                  <c:v>125</c:v>
                </c:pt>
                <c:pt idx="13">
                  <c:v>1500</c:v>
                </c:pt>
                <c:pt idx="1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78120</xdr:rowOff>
    </xdr:from>
    <xdr:to>
      <xdr:col>6</xdr:col>
      <xdr:colOff>1334160</xdr:colOff>
      <xdr:row>67</xdr:row>
      <xdr:rowOff>79200</xdr:rowOff>
    </xdr:to>
    <xdr:graphicFrame>
      <xdr:nvGraphicFramePr>
        <xdr:cNvPr id="0" name="Chart 1"/>
        <xdr:cNvGraphicFramePr/>
      </xdr:nvGraphicFramePr>
      <xdr:xfrm>
        <a:off x="0" y="10887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50</xdr:row>
      <xdr:rowOff>78120</xdr:rowOff>
    </xdr:from>
    <xdr:to>
      <xdr:col>10</xdr:col>
      <xdr:colOff>621720</xdr:colOff>
      <xdr:row>67</xdr:row>
      <xdr:rowOff>79200</xdr:rowOff>
    </xdr:to>
    <xdr:graphicFrame>
      <xdr:nvGraphicFramePr>
        <xdr:cNvPr id="1" name="Chart 2"/>
        <xdr:cNvGraphicFramePr/>
      </xdr:nvGraphicFramePr>
      <xdr:xfrm>
        <a:off x="5145480" y="10887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78120</xdr:rowOff>
    </xdr:from>
    <xdr:to>
      <xdr:col>10</xdr:col>
      <xdr:colOff>621720</xdr:colOff>
      <xdr:row>46</xdr:row>
      <xdr:rowOff>46080</xdr:rowOff>
    </xdr:to>
    <xdr:graphicFrame>
      <xdr:nvGraphicFramePr>
        <xdr:cNvPr id="2" name="Chart 3"/>
        <xdr:cNvGraphicFramePr/>
      </xdr:nvGraphicFramePr>
      <xdr:xfrm>
        <a:off x="5145480" y="7753320"/>
        <a:ext cx="61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181080</xdr:colOff>
      <xdr:row>1</xdr:row>
      <xdr:rowOff>147600</xdr:rowOff>
    </xdr:from>
    <xdr:to>
      <xdr:col>17</xdr:col>
      <xdr:colOff>276120</xdr:colOff>
      <xdr:row>28</xdr:row>
      <xdr:rowOff>228240</xdr:rowOff>
    </xdr:to>
    <xdr:graphicFrame>
      <xdr:nvGraphicFramePr>
        <xdr:cNvPr id="3" name="Chart 1"/>
        <xdr:cNvGraphicFramePr/>
      </xdr:nvGraphicFramePr>
      <xdr:xfrm>
        <a:off x="9857160" y="480960"/>
        <a:ext cx="7861320" cy="724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</xdr:row>
      <xdr:rowOff>0</xdr:rowOff>
    </xdr:from>
    <xdr:to>
      <xdr:col>16</xdr:col>
      <xdr:colOff>427320</xdr:colOff>
      <xdr:row>18</xdr:row>
      <xdr:rowOff>183960</xdr:rowOff>
    </xdr:to>
    <xdr:graphicFrame>
      <xdr:nvGraphicFramePr>
        <xdr:cNvPr id="4" name="Chart 2"/>
        <xdr:cNvGraphicFramePr/>
      </xdr:nvGraphicFramePr>
      <xdr:xfrm>
        <a:off x="9917280" y="33336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apaplanung.xlsx" TargetMode="External"/><Relationship Id="rId2" Type="http://schemas.openxmlformats.org/officeDocument/2006/relationships/hyperlink" Target="Kapaplanung.xlsx" TargetMode="External"/><Relationship Id="rId3" Type="http://schemas.openxmlformats.org/officeDocument/2006/relationships/hyperlink" Target="Kapaplanung.xlsx" TargetMode="External"/><Relationship Id="rId4" Type="http://schemas.openxmlformats.org/officeDocument/2006/relationships/hyperlink" Target="Kapaplanung.xlsx" TargetMode="External"/><Relationship Id="rId5" Type="http://schemas.openxmlformats.org/officeDocument/2006/relationships/hyperlink" Target="Kapaplanung.xlsx" TargetMode="External"/><Relationship Id="rId6" Type="http://schemas.openxmlformats.org/officeDocument/2006/relationships/hyperlink" Target="Kapaplanung.xlsx" TargetMode="External"/><Relationship Id="rId7" Type="http://schemas.openxmlformats.org/officeDocument/2006/relationships/hyperlink" Target="Kapaplanung.xlsx" TargetMode="External"/><Relationship Id="rId8" Type="http://schemas.openxmlformats.org/officeDocument/2006/relationships/hyperlink" Target="Kapaplanung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  <col collapsed="false" customWidth="true" hidden="false" outlineLevel="0" max="3" min="3" style="0" width="28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"Planungsstand: "&amp;TEXT(P_Stand,"DD.MM.YYYY")&amp;"   ·   Verantwortlich: fz-pA / Mrugalla"</f>
        <v>Planungsstand: 21.07.2025   ·   Verantwortlich: fz-pA / Mrugalla</v>
      </c>
    </row>
    <row r="5" customFormat="false" ht="15" hidden="false" customHeight="false" outlineLevel="0" collapsed="false">
      <c r="A5" s="4" t="s">
        <v>2</v>
      </c>
      <c r="B5" s="5"/>
      <c r="C5" s="5"/>
    </row>
    <row r="6" customFormat="false" ht="48" hidden="false" customHeight="true" outlineLevel="0" collapsed="false">
      <c r="A6" s="6" t="s">
        <v>3</v>
      </c>
      <c r="B6" s="6"/>
      <c r="C6" s="6"/>
    </row>
    <row r="8" customFormat="false" ht="15" hidden="false" customHeight="false" outlineLevel="0" collapsed="false">
      <c r="A8" s="4" t="s">
        <v>4</v>
      </c>
      <c r="B8" s="5"/>
      <c r="C8" s="5"/>
    </row>
    <row r="9" customFormat="false" ht="15" hidden="false" customHeight="false" outlineLevel="0" collapsed="false">
      <c r="A9" s="7" t="s">
        <v>5</v>
      </c>
      <c r="B9" s="8" t="n">
        <f aca="false">Personalbedarf!B8</f>
        <v>4.01428571428571</v>
      </c>
    </row>
    <row r="10" customFormat="false" ht="15" hidden="false" customHeight="false" outlineLevel="0" collapsed="false">
      <c r="A10" s="7" t="s">
        <v>6</v>
      </c>
      <c r="B10" s="8" t="n">
        <f aca="false">Personalbedarf!C17</f>
        <v>4.87224805194805</v>
      </c>
    </row>
    <row r="11" customFormat="false" ht="15" hidden="false" customHeight="false" outlineLevel="0" collapsed="false">
      <c r="A11" s="7" t="s">
        <v>7</v>
      </c>
      <c r="B11" s="8" t="n">
        <f aca="false">Personalbedarf!C34</f>
        <v>4</v>
      </c>
    </row>
    <row r="12" customFormat="false" ht="15" hidden="false" customHeight="false" outlineLevel="0" collapsed="false">
      <c r="A12" s="7" t="s">
        <v>8</v>
      </c>
      <c r="B12" s="9" t="n">
        <f aca="false">Personalbedarf!C36</f>
        <v>-0.872248051948052</v>
      </c>
    </row>
    <row r="13" customFormat="false" ht="15" hidden="false" customHeight="false" outlineLevel="0" collapsed="false">
      <c r="A13" s="7" t="s">
        <v>9</v>
      </c>
      <c r="B13" s="10" t="str">
        <f aca="false">Personalbedarf!C38</f>
        <v>Unterdeckung</v>
      </c>
    </row>
    <row r="15" customFormat="false" ht="15" hidden="false" customHeight="false" outlineLevel="0" collapsed="false">
      <c r="A15" s="4" t="s">
        <v>10</v>
      </c>
      <c r="B15" s="5"/>
      <c r="C15" s="5"/>
    </row>
    <row r="16" customFormat="false" ht="19.5" hidden="false" customHeight="true" outlineLevel="0" collapsed="false">
      <c r="A16" s="11" t="s">
        <v>11</v>
      </c>
      <c r="B16" s="11" t="s">
        <v>12</v>
      </c>
      <c r="C16" s="11" t="s">
        <v>13</v>
      </c>
    </row>
    <row r="17" customFormat="false" ht="15" hidden="false" customHeight="false" outlineLevel="0" collapsed="false">
      <c r="A17" s="12" t="s">
        <v>14</v>
      </c>
      <c r="B17" s="13" t="s">
        <v>15</v>
      </c>
      <c r="C17" s="13" t="s">
        <v>16</v>
      </c>
    </row>
    <row r="18" customFormat="false" ht="15" hidden="false" customHeight="false" outlineLevel="0" collapsed="false">
      <c r="A18" s="12" t="s">
        <v>17</v>
      </c>
      <c r="B18" s="13" t="s">
        <v>18</v>
      </c>
      <c r="C18" s="13" t="s">
        <v>19</v>
      </c>
    </row>
    <row r="19" customFormat="false" ht="15" hidden="false" customHeight="false" outlineLevel="0" collapsed="false">
      <c r="A19" s="12" t="s">
        <v>20</v>
      </c>
      <c r="B19" s="13" t="s">
        <v>21</v>
      </c>
      <c r="C19" s="13" t="s">
        <v>22</v>
      </c>
    </row>
    <row r="20" customFormat="false" ht="15" hidden="false" customHeight="false" outlineLevel="0" collapsed="false">
      <c r="A20" s="12" t="s">
        <v>23</v>
      </c>
      <c r="B20" s="13" t="s">
        <v>24</v>
      </c>
      <c r="C20" s="13" t="s">
        <v>25</v>
      </c>
    </row>
    <row r="21" customFormat="false" ht="23.85" hidden="false" customHeight="false" outlineLevel="0" collapsed="false">
      <c r="A21" s="12" t="s">
        <v>26</v>
      </c>
      <c r="B21" s="13" t="s">
        <v>27</v>
      </c>
      <c r="C21" s="13" t="s">
        <v>28</v>
      </c>
    </row>
    <row r="22" customFormat="false" ht="15" hidden="false" customHeight="false" outlineLevel="0" collapsed="false">
      <c r="A22" s="12" t="s">
        <v>29</v>
      </c>
      <c r="B22" s="13" t="s">
        <v>30</v>
      </c>
      <c r="C22" s="13" t="s">
        <v>16</v>
      </c>
    </row>
    <row r="23" customFormat="false" ht="15" hidden="false" customHeight="false" outlineLevel="0" collapsed="false">
      <c r="A23" s="12" t="s">
        <v>31</v>
      </c>
      <c r="B23" s="13" t="s">
        <v>32</v>
      </c>
      <c r="C23" s="13" t="s">
        <v>33</v>
      </c>
    </row>
    <row r="24" customFormat="false" ht="15" hidden="false" customHeight="false" outlineLevel="0" collapsed="false">
      <c r="A24" s="12" t="s">
        <v>34</v>
      </c>
      <c r="B24" s="13" t="s">
        <v>35</v>
      </c>
      <c r="C24" s="13" t="s">
        <v>36</v>
      </c>
    </row>
    <row r="26" customFormat="false" ht="15" hidden="false" customHeight="false" outlineLevel="0" collapsed="false">
      <c r="A26" s="4" t="s">
        <v>37</v>
      </c>
      <c r="B26" s="5"/>
      <c r="C26" s="5"/>
    </row>
    <row r="27" customFormat="false" ht="27.75" hidden="false" customHeight="true" outlineLevel="0" collapsed="false">
      <c r="A27" s="6" t="s">
        <v>38</v>
      </c>
      <c r="B27" s="6"/>
      <c r="C27" s="6"/>
    </row>
    <row r="28" customFormat="false" ht="27.75" hidden="false" customHeight="true" outlineLevel="0" collapsed="false">
      <c r="A28" s="6" t="s">
        <v>39</v>
      </c>
      <c r="B28" s="6"/>
      <c r="C28" s="6"/>
    </row>
    <row r="29" customFormat="false" ht="27.75" hidden="false" customHeight="true" outlineLevel="0" collapsed="false">
      <c r="A29" s="6" t="s">
        <v>40</v>
      </c>
      <c r="B29" s="6"/>
      <c r="C29" s="6"/>
    </row>
    <row r="30" customFormat="false" ht="27.75" hidden="false" customHeight="true" outlineLevel="0" collapsed="false">
      <c r="A30" s="6" t="s">
        <v>41</v>
      </c>
      <c r="B30" s="6"/>
      <c r="C30" s="6"/>
    </row>
    <row r="32" customFormat="false" ht="15" hidden="false" customHeight="false" outlineLevel="0" collapsed="false">
      <c r="A32" s="4" t="s">
        <v>42</v>
      </c>
      <c r="B32" s="5"/>
      <c r="C32" s="5"/>
    </row>
    <row r="33" customFormat="false" ht="15" hidden="false" customHeight="true" outlineLevel="0" collapsed="false">
      <c r="A33" s="14" t="s">
        <v>43</v>
      </c>
      <c r="B33" s="15" t="s">
        <v>44</v>
      </c>
      <c r="C33" s="15"/>
    </row>
    <row r="34" customFormat="false" ht="15" hidden="false" customHeight="true" outlineLevel="0" collapsed="false">
      <c r="A34" s="13" t="s">
        <v>45</v>
      </c>
      <c r="B34" s="15" t="s">
        <v>46</v>
      </c>
      <c r="C34" s="15"/>
    </row>
    <row r="35" customFormat="false" ht="15" hidden="false" customHeight="true" outlineLevel="0" collapsed="false">
      <c r="A35" s="16" t="s">
        <v>47</v>
      </c>
      <c r="B35" s="15" t="s">
        <v>48</v>
      </c>
      <c r="C35" s="15"/>
    </row>
    <row r="36" customFormat="false" ht="15" hidden="false" customHeight="true" outlineLevel="0" collapsed="false">
      <c r="A36" s="17" t="s">
        <v>49</v>
      </c>
      <c r="B36" s="15" t="s">
        <v>50</v>
      </c>
      <c r="C36" s="15"/>
    </row>
    <row r="37" customFormat="false" ht="15" hidden="false" customHeight="true" outlineLevel="0" collapsed="false">
      <c r="A37" s="18" t="s">
        <v>51</v>
      </c>
      <c r="B37" s="15" t="s">
        <v>52</v>
      </c>
      <c r="C37" s="15"/>
    </row>
  </sheetData>
  <mergeCells count="10">
    <mergeCell ref="A6:C6"/>
    <mergeCell ref="A27:C27"/>
    <mergeCell ref="A28:C28"/>
    <mergeCell ref="A29:C29"/>
    <mergeCell ref="A30:C30"/>
    <mergeCell ref="B33:C33"/>
    <mergeCell ref="B34:C34"/>
    <mergeCell ref="B35:C35"/>
    <mergeCell ref="B36:C36"/>
    <mergeCell ref="B37:C37"/>
  </mergeCells>
  <conditionalFormatting sqref="B13">
    <cfRule type="cellIs" priority="2" operator="equal" aboveAverage="0" equalAverage="0" bottom="0" percent="0" rank="0" text="" dxfId="0">
      <formula>"gedeckt"</formula>
    </cfRule>
    <cfRule type="cellIs" priority="3" operator="equal" aboveAverage="0" equalAverage="0" bottom="0" percent="0" rank="0" text="" dxfId="1">
      <formula>"knapp"</formula>
    </cfRule>
    <cfRule type="cellIs" priority="4" operator="equal" aboveAverage="0" equalAverage="0" bottom="0" percent="0" rank="0" text="" dxfId="2">
      <formula>"Unterdeckung"</formula>
    </cfRule>
  </conditionalFormatting>
  <hyperlinks>
    <hyperlink ref="A17" r:id="rId1" location="'Übersicht'!A1" display="Übersicht"/>
    <hyperlink ref="A18" r:id="rId2" location="'Dashboard'!A1" display="Dashboard"/>
    <hyperlink ref="A19" r:id="rId3" location="'Kapazitätsbedarf'!A1" display="Kapazitätsbedarf"/>
    <hyperlink ref="A20" r:id="rId4" location="'Personalbedarf'!A1" display="Personalbedarf"/>
    <hyperlink ref="A21" r:id="rId5" location="'Parameter'!A1" display="Parameter"/>
    <hyperlink ref="A22" r:id="rId6" location="'Analyse'!A1" display="Analyse"/>
    <hyperlink ref="A23" r:id="rId7" location="'Änderungsprotokoll'!A1" display="Änderungsprotokoll"/>
    <hyperlink ref="A24" r:id="rId8" location="'Original%2021.07.2025'!A1" display="Original 21.07.2025"/>
  </hyperlink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3"/>
    <col collapsed="false" customWidth="true" hidden="false" outlineLevel="0" max="6" min="6" style="0" width="7"/>
    <col collapsed="false" customWidth="true" hidden="false" outlineLevel="0" max="7" min="7" style="0" width="46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3"/>
  </cols>
  <sheetData>
    <row r="1" customFormat="false" ht="25.5" hidden="false" customHeight="tru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  <c r="J2" s="19" t="s">
        <v>55</v>
      </c>
      <c r="K2" s="20" t="n">
        <f aca="false">P_Stand</f>
        <v>45859</v>
      </c>
    </row>
    <row r="4" customFormat="false" ht="30" hidden="false" customHeight="true" outlineLevel="0" collapsed="false">
      <c r="A4" s="21" t="s">
        <v>56</v>
      </c>
      <c r="B4" s="22" t="s">
        <v>57</v>
      </c>
      <c r="C4" s="22"/>
      <c r="D4" s="22"/>
      <c r="F4" s="22" t="s">
        <v>58</v>
      </c>
      <c r="G4" s="22"/>
      <c r="H4" s="22" t="s">
        <v>8</v>
      </c>
      <c r="I4" s="22"/>
      <c r="J4" s="21" t="s">
        <v>59</v>
      </c>
      <c r="K4" s="21" t="s">
        <v>60</v>
      </c>
    </row>
    <row r="5" customFormat="false" ht="39.75" hidden="false" customHeight="true" outlineLevel="0" collapsed="false">
      <c r="A5" s="23" t="n">
        <f aca="false">Personalbedarf!B8</f>
        <v>4.01428571428571</v>
      </c>
      <c r="B5" s="24" t="n">
        <f aca="false">Personalbedarf!C17</f>
        <v>4.87224805194805</v>
      </c>
      <c r="C5" s="24"/>
      <c r="D5" s="24"/>
      <c r="F5" s="24" t="n">
        <f aca="false">Personalbedarf!C34</f>
        <v>4</v>
      </c>
      <c r="G5" s="24"/>
      <c r="H5" s="25" t="n">
        <f aca="false">Personalbedarf!C36</f>
        <v>-0.872248051948052</v>
      </c>
      <c r="I5" s="25"/>
      <c r="J5" s="26" t="n">
        <f aca="false">Personalbedarf!C37</f>
        <v>0.820976263390509</v>
      </c>
      <c r="K5" s="26" t="n">
        <f aca="false">IF(Kapazitätsbedarf!I33=0,0,(SUMIFS(Kapazitätsbedarf!$I$6:$I$32,Kapazitätsbedarf!$D$6:$D$32,"Wartung")+SUMIFS(Kapazitätsbedarf!$I$6:$I$32,Kapazitätsbedarf!$D$6:$D$32,"Inspektion"))/Kapazitätsbedarf!I33)</f>
        <v>0</v>
      </c>
    </row>
    <row r="7" customFormat="false" ht="15" hidden="false" customHeight="false" outlineLevel="0" collapsed="false">
      <c r="A7" s="4" t="s">
        <v>61</v>
      </c>
      <c r="B7" s="5"/>
      <c r="C7" s="5"/>
      <c r="D7" s="5"/>
      <c r="F7" s="4" t="s">
        <v>62</v>
      </c>
      <c r="G7" s="5"/>
      <c r="H7" s="5"/>
      <c r="I7" s="5"/>
      <c r="J7" s="5"/>
      <c r="K7" s="5"/>
    </row>
    <row r="8" customFormat="false" ht="21.75" hidden="false" customHeight="true" outlineLevel="0" collapsed="false">
      <c r="A8" s="13" t="s">
        <v>63</v>
      </c>
      <c r="B8" s="13"/>
      <c r="C8" s="13"/>
      <c r="D8" s="27" t="n">
        <f aca="false">COUNTA(Kapazitätsbedarf!$E$6:$E$32)</f>
        <v>27</v>
      </c>
      <c r="F8" s="11" t="s">
        <v>64</v>
      </c>
      <c r="G8" s="11" t="s">
        <v>65</v>
      </c>
      <c r="H8" s="11" t="s">
        <v>66</v>
      </c>
      <c r="I8" s="11" t="s">
        <v>67</v>
      </c>
      <c r="J8" s="11" t="s">
        <v>68</v>
      </c>
      <c r="K8" s="11" t="s">
        <v>69</v>
      </c>
    </row>
    <row r="9" customFormat="false" ht="15" hidden="false" customHeight="true" outlineLevel="0" collapsed="false">
      <c r="A9" s="13" t="s">
        <v>70</v>
      </c>
      <c r="B9" s="13"/>
      <c r="C9" s="13"/>
      <c r="D9" s="27" t="n">
        <f aca="false">COUNTIF(Kapazitätsbedarf!$L$6:$L$32,"bewertet")</f>
        <v>14</v>
      </c>
      <c r="F9" s="28" t="n">
        <v>1</v>
      </c>
      <c r="G9" s="13" t="str">
        <f aca="false">INDEX(Kapazitätsbedarf!$E$6:$E$32,MATCH(LARGE(Kapazitätsbedarf!$X$6:$X$32,1),Kapazitätsbedarf!$X$6:$X$32,0))</f>
        <v>Projekte und KVP (Lean-Projekte, z. B. SMED)</v>
      </c>
      <c r="H9" s="29" t="n">
        <f aca="false">N(INDEX(Kapazitätsbedarf!$I$6:$I$32,MATCH(LARGE(Kapazitätsbedarf!$X$6:$X$32,1),Kapazitätsbedarf!$X$6:$X$32,0)))</f>
        <v>2500</v>
      </c>
      <c r="I9" s="30" t="n">
        <f aca="false">H9/P_JahresStd</f>
        <v>1.42857142857143</v>
      </c>
      <c r="J9" s="31" t="n">
        <f aca="false">IF(Kapazitätsbedarf!$I$33=0,0,H9/Kapazitätsbedarf!$I$33)</f>
        <v>0.355871886120996</v>
      </c>
      <c r="K9" s="31" t="n">
        <f aca="false">SUM($J$9:J9)</f>
        <v>0.355871886120996</v>
      </c>
    </row>
    <row r="10" customFormat="false" ht="15" hidden="false" customHeight="true" outlineLevel="0" collapsed="false">
      <c r="A10" s="13" t="s">
        <v>71</v>
      </c>
      <c r="B10" s="13"/>
      <c r="C10" s="13"/>
      <c r="D10" s="27" t="n">
        <f aca="false">COUNTIF(Kapazitätsbedarf!$L$6:$L$32,"0 h*")</f>
        <v>5</v>
      </c>
      <c r="F10" s="28" t="n">
        <v>2</v>
      </c>
      <c r="G10" s="13" t="str">
        <f aca="false">INDEX(Kapazitätsbedarf!$E$6:$E$32,MATCH(LARGE(Kapazitätsbedarf!$X$6:$X$32,2),Kapazitätsbedarf!$X$6:$X$32,0))</f>
        <v>Facility Management</v>
      </c>
      <c r="H10" s="29" t="n">
        <f aca="false">N(INDEX(Kapazitätsbedarf!$I$6:$I$32,MATCH(LARGE(Kapazitätsbedarf!$X$6:$X$32,2),Kapazitätsbedarf!$X$6:$X$32,0)))</f>
        <v>1500</v>
      </c>
      <c r="I10" s="30" t="n">
        <f aca="false">H10/P_JahresStd</f>
        <v>0.857142857142857</v>
      </c>
      <c r="J10" s="31" t="n">
        <f aca="false">IF(Kapazitätsbedarf!$I$33=0,0,H10/Kapazitätsbedarf!$I$33)</f>
        <v>0.213523131672598</v>
      </c>
      <c r="K10" s="31" t="n">
        <f aca="false">SUM($J$9:J10)</f>
        <v>0.569395017793594</v>
      </c>
    </row>
    <row r="11" customFormat="false" ht="15" hidden="false" customHeight="true" outlineLevel="0" collapsed="false">
      <c r="A11" s="13" t="s">
        <v>72</v>
      </c>
      <c r="B11" s="13"/>
      <c r="C11" s="13"/>
      <c r="D11" s="27" t="n">
        <f aca="false">COUNTIF(Kapazitätsbedarf!$L$6:$L$32,"offen*")</f>
        <v>8</v>
      </c>
      <c r="F11" s="28" t="n">
        <v>3</v>
      </c>
      <c r="G11" s="13" t="str">
        <f aca="false">INDEX(Kapazitätsbedarf!$E$6:$E$32,MATCH(LARGE(Kapazitätsbedarf!$X$6:$X$32,3),Kapazitätsbedarf!$X$6:$X$32,0))</f>
        <v>Administration</v>
      </c>
      <c r="H11" s="29" t="n">
        <f aca="false">N(INDEX(Kapazitätsbedarf!$I$6:$I$32,MATCH(LARGE(Kapazitätsbedarf!$X$6:$X$32,3),Kapazitätsbedarf!$X$6:$X$32,0)))</f>
        <v>750</v>
      </c>
      <c r="I11" s="30" t="n">
        <f aca="false">H11/P_JahresStd</f>
        <v>0.428571428571429</v>
      </c>
      <c r="J11" s="31" t="n">
        <f aca="false">IF(Kapazitätsbedarf!$I$33=0,0,H11/Kapazitätsbedarf!$I$33)</f>
        <v>0.106761565836299</v>
      </c>
      <c r="K11" s="31" t="n">
        <f aca="false">SUM($J$9:J11)</f>
        <v>0.676156583629893</v>
      </c>
    </row>
    <row r="12" customFormat="false" ht="15" hidden="false" customHeight="true" outlineLevel="0" collapsed="false">
      <c r="A12" s="13" t="s">
        <v>73</v>
      </c>
      <c r="B12" s="13"/>
      <c r="C12" s="13"/>
      <c r="D12" s="27" t="n">
        <f aca="false">COUNTIF(Kapazitätsbedarf!$S$6:$S$32,"hoch")</f>
        <v>5</v>
      </c>
      <c r="F12" s="28" t="n">
        <v>4</v>
      </c>
      <c r="G12" s="13" t="str">
        <f aca="false">INDEX(Kapazitätsbedarf!$E$6:$E$32,MATCH(LARGE(Kapazitätsbedarf!$X$6:$X$32,4),Kapazitätsbedarf!$X$6:$X$32,0))</f>
        <v>Ersatzteilumlagerung und Sonstiges</v>
      </c>
      <c r="H12" s="29" t="n">
        <f aca="false">N(INDEX(Kapazitätsbedarf!$I$6:$I$32,MATCH(LARGE(Kapazitätsbedarf!$X$6:$X$32,4),Kapazitätsbedarf!$X$6:$X$32,0)))</f>
        <v>500</v>
      </c>
      <c r="I12" s="30" t="n">
        <f aca="false">H12/P_JahresStd</f>
        <v>0.285714285714286</v>
      </c>
      <c r="J12" s="31" t="n">
        <f aca="false">IF(Kapazitätsbedarf!$I$33=0,0,H12/Kapazitätsbedarf!$I$33)</f>
        <v>0.0711743772241993</v>
      </c>
      <c r="K12" s="31" t="n">
        <f aca="false">SUM($J$9:J12)</f>
        <v>0.747330960854093</v>
      </c>
    </row>
    <row r="13" customFormat="false" ht="15" hidden="false" customHeight="true" outlineLevel="0" collapsed="false">
      <c r="A13" s="13" t="s">
        <v>74</v>
      </c>
      <c r="B13" s="13"/>
      <c r="C13" s="13"/>
      <c r="D13" s="27" t="n">
        <f aca="false">COUNTIF(Kapazitätsbedarf!$S$6:$S$32,"mittel")</f>
        <v>11</v>
      </c>
      <c r="F13" s="28" t="n">
        <v>5</v>
      </c>
      <c r="G13" s="13" t="str">
        <f aca="false">INDEX(Kapazitätsbedarf!$E$6:$E$32,MATCH(LARGE(Kapazitätsbedarf!$X$6:$X$32,5),Kapazitätsbedarf!$X$6:$X$32,0))</f>
        <v>Betreuung Balg-Bereich</v>
      </c>
      <c r="H13" s="29" t="n">
        <f aca="false">N(INDEX(Kapazitätsbedarf!$I$6:$I$32,MATCH(LARGE(Kapazitätsbedarf!$X$6:$X$32,5),Kapazitätsbedarf!$X$6:$X$32,0)))</f>
        <v>500</v>
      </c>
      <c r="I13" s="30" t="n">
        <f aca="false">H13/P_JahresStd</f>
        <v>0.285714285714286</v>
      </c>
      <c r="J13" s="31" t="n">
        <f aca="false">IF(Kapazitätsbedarf!$I$33=0,0,H13/Kapazitätsbedarf!$I$33)</f>
        <v>0.0711743772241993</v>
      </c>
      <c r="K13" s="31" t="n">
        <f aca="false">SUM($J$9:J13)</f>
        <v>0.818505338078292</v>
      </c>
    </row>
    <row r="14" customFormat="false" ht="15" hidden="false" customHeight="false" outlineLevel="0" collapsed="false">
      <c r="F14" s="28" t="n">
        <v>6</v>
      </c>
      <c r="G14" s="13" t="str">
        <f aca="false">INDEX(Kapazitätsbedarf!$E$6:$E$32,MATCH(LARGE(Kapazitätsbedarf!$X$6:$X$32,6),Kapazitätsbedarf!$X$6:$X$32,0))</f>
        <v>Ersatzteilmanagement – Planung</v>
      </c>
      <c r="H14" s="29" t="n">
        <f aca="false">N(INDEX(Kapazitätsbedarf!$I$6:$I$32,MATCH(LARGE(Kapazitätsbedarf!$X$6:$X$32,6),Kapazitätsbedarf!$X$6:$X$32,0)))</f>
        <v>375</v>
      </c>
      <c r="I14" s="30" t="n">
        <f aca="false">H14/P_JahresStd</f>
        <v>0.214285714285714</v>
      </c>
      <c r="J14" s="31" t="n">
        <f aca="false">IF(Kapazitätsbedarf!$I$33=0,0,H14/Kapazitätsbedarf!$I$33)</f>
        <v>0.0533807829181495</v>
      </c>
      <c r="K14" s="31" t="n">
        <f aca="false">SUM($J$9:J14)</f>
        <v>0.871886120996441</v>
      </c>
    </row>
    <row r="15" customFormat="false" ht="15" hidden="false" customHeight="false" outlineLevel="0" collapsed="false">
      <c r="A15" s="4" t="s">
        <v>75</v>
      </c>
      <c r="B15" s="5"/>
      <c r="C15" s="5"/>
      <c r="D15" s="5"/>
      <c r="F15" s="28" t="n">
        <v>7</v>
      </c>
      <c r="G15" s="13" t="str">
        <f aca="false">INDEX(Kapazitätsbedarf!$E$6:$E$32,MATCH(LARGE(Kapazitätsbedarf!$X$6:$X$32,7),Kapazitätsbedarf!$X$6:$X$32,0))</f>
        <v>Konstruktion / 3D</v>
      </c>
      <c r="H15" s="29" t="n">
        <f aca="false">N(INDEX(Kapazitätsbedarf!$I$6:$I$32,MATCH(LARGE(Kapazitätsbedarf!$X$6:$X$32,7),Kapazitätsbedarf!$X$6:$X$32,0)))</f>
        <v>250</v>
      </c>
      <c r="I15" s="30" t="n">
        <f aca="false">H15/P_JahresStd</f>
        <v>0.142857142857143</v>
      </c>
      <c r="J15" s="31" t="n">
        <f aca="false">IF(Kapazitätsbedarf!$I$33=0,0,H15/Kapazitätsbedarf!$I$33)</f>
        <v>0.0355871886120997</v>
      </c>
      <c r="K15" s="31" t="n">
        <f aca="false">SUM($J$9:J15)</f>
        <v>0.907473309608541</v>
      </c>
    </row>
    <row r="16" customFormat="false" ht="21.75" hidden="false" customHeight="true" outlineLevel="0" collapsed="false">
      <c r="A16" s="11" t="s">
        <v>76</v>
      </c>
      <c r="B16" s="11" t="s">
        <v>66</v>
      </c>
      <c r="C16" s="11" t="s">
        <v>67</v>
      </c>
      <c r="D16" s="11" t="s">
        <v>68</v>
      </c>
      <c r="F16" s="28" t="n">
        <v>8</v>
      </c>
      <c r="G16" s="13" t="str">
        <f aca="false">INDEX(Kapazitätsbedarf!$E$6:$E$32,MATCH(LARGE(Kapazitätsbedarf!$X$6:$X$32,8),Kapazitätsbedarf!$X$6:$X$32,0))</f>
        <v>Training / Schulung / Betreuung / TPM / WPS</v>
      </c>
      <c r="H16" s="29" t="n">
        <f aca="false">N(INDEX(Kapazitätsbedarf!$I$6:$I$32,MATCH(LARGE(Kapazitätsbedarf!$X$6:$X$32,8),Kapazitätsbedarf!$X$6:$X$32,0)))</f>
        <v>125</v>
      </c>
      <c r="I16" s="30" t="n">
        <f aca="false">H16/P_JahresStd</f>
        <v>0.0714285714285714</v>
      </c>
      <c r="J16" s="31" t="n">
        <f aca="false">IF(Kapazitätsbedarf!$I$33=0,0,H16/Kapazitätsbedarf!$I$33)</f>
        <v>0.0177935943060498</v>
      </c>
      <c r="K16" s="31" t="n">
        <f aca="false">SUM($J$9:J16)</f>
        <v>0.925266903914591</v>
      </c>
    </row>
    <row r="17" customFormat="false" ht="15" hidden="false" customHeight="false" outlineLevel="0" collapsed="false">
      <c r="A17" s="13" t="s">
        <v>77</v>
      </c>
      <c r="B17" s="29" t="n">
        <f aca="false">SUMIFS(Kapazitätsbedarf!$I$6:$I$32,Kapazitätsbedarf!$C$6:$C$32,A17)</f>
        <v>875</v>
      </c>
      <c r="C17" s="30" t="n">
        <f aca="false">B17/P_JahresStd</f>
        <v>0.5</v>
      </c>
      <c r="D17" s="31" t="n">
        <f aca="false">IF(Kapazitätsbedarf!$I$33=0,0,B17/Kapazitätsbedarf!$I$33)</f>
        <v>0.124555160142349</v>
      </c>
      <c r="F17" s="28" t="n">
        <v>9</v>
      </c>
      <c r="G17" s="13" t="str">
        <f aca="false">INDEX(Kapazitätsbedarf!$E$6:$E$32,MATCH(LARGE(Kapazitätsbedarf!$X$6:$X$32,9),Kapazitätsbedarf!$X$6:$X$32,0))</f>
        <v>Auslandseinsätze / Auslandsbetreuung</v>
      </c>
      <c r="H17" s="29" t="n">
        <f aca="false">N(INDEX(Kapazitätsbedarf!$I$6:$I$32,MATCH(LARGE(Kapazitätsbedarf!$X$6:$X$32,9),Kapazitätsbedarf!$X$6:$X$32,0)))</f>
        <v>125</v>
      </c>
      <c r="I17" s="30" t="n">
        <f aca="false">H17/P_JahresStd</f>
        <v>0.0714285714285714</v>
      </c>
      <c r="J17" s="31" t="n">
        <f aca="false">IF(Kapazitätsbedarf!$I$33=0,0,H17/Kapazitätsbedarf!$I$33)</f>
        <v>0.0177935943060498</v>
      </c>
      <c r="K17" s="31" t="n">
        <f aca="false">SUM($J$9:J17)</f>
        <v>0.943060498220641</v>
      </c>
    </row>
    <row r="18" customFormat="false" ht="15" hidden="false" customHeight="false" outlineLevel="0" collapsed="false">
      <c r="A18" s="13" t="s">
        <v>78</v>
      </c>
      <c r="B18" s="29" t="n">
        <f aca="false">SUMIFS(Kapazitätsbedarf!$I$6:$I$32,Kapazitätsbedarf!$C$6:$C$32,A18)</f>
        <v>75</v>
      </c>
      <c r="C18" s="30" t="n">
        <f aca="false">B18/P_JahresStd</f>
        <v>0.0428571428571429</v>
      </c>
      <c r="D18" s="31" t="n">
        <f aca="false">IF(Kapazitätsbedarf!$I$33=0,0,B18/Kapazitätsbedarf!$I$33)</f>
        <v>0.0106761565836299</v>
      </c>
      <c r="F18" s="28" t="n">
        <v>10</v>
      </c>
      <c r="G18" s="13" t="str">
        <f aca="false">INDEX(Kapazitätsbedarf!$E$6:$E$32,MATCH(LARGE(Kapazitätsbedarf!$X$6:$X$32,10),Kapazitätsbedarf!$X$6:$X$32,0))</f>
        <v>Anfahren von Neuanlagen</v>
      </c>
      <c r="H18" s="29" t="n">
        <f aca="false">N(INDEX(Kapazitätsbedarf!$I$6:$I$32,MATCH(LARGE(Kapazitätsbedarf!$X$6:$X$32,10),Kapazitätsbedarf!$X$6:$X$32,0)))</f>
        <v>125</v>
      </c>
      <c r="I18" s="30" t="n">
        <f aca="false">H18/P_JahresStd</f>
        <v>0.0714285714285714</v>
      </c>
      <c r="J18" s="31" t="n">
        <f aca="false">IF(Kapazitätsbedarf!$I$33=0,0,H18/Kapazitätsbedarf!$I$33)</f>
        <v>0.0177935943060498</v>
      </c>
      <c r="K18" s="31" t="n">
        <f aca="false">SUM($J$9:J18)</f>
        <v>0.960854092526691</v>
      </c>
    </row>
    <row r="19" customFormat="false" ht="15" hidden="false" customHeight="false" outlineLevel="0" collapsed="false">
      <c r="A19" s="13" t="s">
        <v>79</v>
      </c>
      <c r="B19" s="29" t="n">
        <f aca="false">SUMIFS(Kapazitätsbedarf!$I$6:$I$32,Kapazitätsbedarf!$C$6:$C$32,A19)</f>
        <v>0</v>
      </c>
      <c r="C19" s="30" t="n">
        <f aca="false">B19/P_JahresStd</f>
        <v>0</v>
      </c>
      <c r="D19" s="31" t="n">
        <f aca="false">IF(Kapazitätsbedarf!$I$33=0,0,B19/Kapazitätsbedarf!$I$33)</f>
        <v>0</v>
      </c>
    </row>
    <row r="20" customFormat="false" ht="15" hidden="false" customHeight="false" outlineLevel="0" collapsed="false">
      <c r="A20" s="13" t="s">
        <v>80</v>
      </c>
      <c r="B20" s="29" t="n">
        <f aca="false">SUMIFS(Kapazitätsbedarf!$I$6:$I$32,Kapazitätsbedarf!$C$6:$C$32,A20)</f>
        <v>2750</v>
      </c>
      <c r="C20" s="30" t="n">
        <f aca="false">B20/P_JahresStd</f>
        <v>1.57142857142857</v>
      </c>
      <c r="D20" s="31" t="n">
        <f aca="false">IF(Kapazitätsbedarf!$I$33=0,0,B20/Kapazitätsbedarf!$I$33)</f>
        <v>0.391459074733096</v>
      </c>
      <c r="F20" s="4" t="s">
        <v>81</v>
      </c>
      <c r="G20" s="5"/>
      <c r="H20" s="5"/>
      <c r="I20" s="5"/>
      <c r="J20" s="5"/>
      <c r="K20" s="5"/>
    </row>
    <row r="21" customFormat="false" ht="30" hidden="false" customHeight="true" outlineLevel="0" collapsed="false">
      <c r="A21" s="13" t="s">
        <v>82</v>
      </c>
      <c r="B21" s="29" t="n">
        <f aca="false">SUMIFS(Kapazitätsbedarf!$I$6:$I$32,Kapazitätsbedarf!$C$6:$C$32,A21)</f>
        <v>200</v>
      </c>
      <c r="C21" s="30" t="n">
        <f aca="false">B21/P_JahresStd</f>
        <v>0.114285714285714</v>
      </c>
      <c r="D21" s="31" t="n">
        <f aca="false">IF(Kapazitätsbedarf!$I$33=0,0,B21/Kapazitätsbedarf!$I$33)</f>
        <v>0.0284697508896797</v>
      </c>
      <c r="F21" s="11" t="s">
        <v>64</v>
      </c>
      <c r="G21" s="11" t="s">
        <v>65</v>
      </c>
      <c r="H21" s="11" t="s">
        <v>83</v>
      </c>
      <c r="I21" s="11" t="s">
        <v>84</v>
      </c>
      <c r="J21" s="11" t="s">
        <v>66</v>
      </c>
      <c r="K21" s="11" t="s">
        <v>85</v>
      </c>
    </row>
    <row r="22" customFormat="false" ht="15" hidden="false" customHeight="false" outlineLevel="0" collapsed="false">
      <c r="A22" s="13" t="s">
        <v>86</v>
      </c>
      <c r="B22" s="29" t="n">
        <f aca="false">SUMIFS(Kapazitätsbedarf!$I$6:$I$32,Kapazitätsbedarf!$C$6:$C$32,A22)</f>
        <v>125</v>
      </c>
      <c r="C22" s="30" t="n">
        <f aca="false">B22/P_JahresStd</f>
        <v>0.0714285714285714</v>
      </c>
      <c r="D22" s="31" t="n">
        <f aca="false">IF(Kapazitätsbedarf!$I$33=0,0,B22/Kapazitätsbedarf!$I$33)</f>
        <v>0.0177935943060498</v>
      </c>
      <c r="F22" s="28" t="n">
        <v>1</v>
      </c>
      <c r="G22" s="13" t="str">
        <f aca="false">INDEX(Kapazitätsbedarf!$E$6:$E$32,MATCH(LARGE(Kapazitätsbedarf!$Y$6:$Y$32,1),Kapazitätsbedarf!$Y$6:$Y$32,0))</f>
        <v>Wartung Betriebsmittel</v>
      </c>
      <c r="H22" s="28" t="n">
        <f aca="false">INDEX(Kapazitätsbedarf!$R$6:$R$32,MATCH(LARGE(Kapazitätsbedarf!$Y$6:$Y$32,1),Kapazitätsbedarf!$Y$6:$Y$32,0))</f>
        <v>20</v>
      </c>
      <c r="I22" s="32" t="str">
        <f aca="false">INDEX(Kapazitätsbedarf!$S$6:$S$32,MATCH(LARGE(Kapazitätsbedarf!$Y$6:$Y$32,1),Kapazitätsbedarf!$Y$6:$Y$32,0))</f>
        <v>hoch</v>
      </c>
      <c r="J22" s="29" t="n">
        <f aca="false">N(INDEX(Kapazitätsbedarf!$I$6:$I$32,MATCH(LARGE(Kapazitätsbedarf!$Y$6:$Y$32,1),Kapazitätsbedarf!$Y$6:$Y$32,0)))</f>
        <v>0</v>
      </c>
      <c r="K22" s="32" t="str">
        <f aca="false">INDEX(Kapazitätsbedarf!$L$6:$L$32,MATCH(LARGE(Kapazitätsbedarf!$Y$6:$Y$32,1),Kapazitätsbedarf!$Y$6:$Y$32,0))</f>
        <v>0 h – Plausibilität prüfen</v>
      </c>
    </row>
    <row r="23" customFormat="false" ht="15" hidden="false" customHeight="false" outlineLevel="0" collapsed="false">
      <c r="A23" s="13" t="s">
        <v>87</v>
      </c>
      <c r="B23" s="29" t="n">
        <f aca="false">SUMIFS(Kapazitätsbedarf!$I$6:$I$32,Kapazitätsbedarf!$C$6:$C$32,A23)</f>
        <v>625</v>
      </c>
      <c r="C23" s="30" t="n">
        <f aca="false">B23/P_JahresStd</f>
        <v>0.357142857142857</v>
      </c>
      <c r="D23" s="31" t="n">
        <f aca="false">IF(Kapazitätsbedarf!$I$33=0,0,B23/Kapazitätsbedarf!$I$33)</f>
        <v>0.0889679715302491</v>
      </c>
      <c r="F23" s="28" t="n">
        <v>2</v>
      </c>
      <c r="G23" s="13" t="str">
        <f aca="false">INDEX(Kapazitätsbedarf!$E$6:$E$32,MATCH(LARGE(Kapazitätsbedarf!$Y$6:$Y$32,2),Kapazitätsbedarf!$Y$6:$Y$32,0))</f>
        <v>Wartung allgemeiner Maschinen</v>
      </c>
      <c r="H23" s="28" t="n">
        <f aca="false">INDEX(Kapazitätsbedarf!$R$6:$R$32,MATCH(LARGE(Kapazitätsbedarf!$Y$6:$Y$32,2),Kapazitätsbedarf!$Y$6:$Y$32,0))</f>
        <v>20</v>
      </c>
      <c r="I23" s="32" t="str">
        <f aca="false">INDEX(Kapazitätsbedarf!$S$6:$S$32,MATCH(LARGE(Kapazitätsbedarf!$Y$6:$Y$32,2),Kapazitätsbedarf!$Y$6:$Y$32,0))</f>
        <v>hoch</v>
      </c>
      <c r="J23" s="29" t="n">
        <f aca="false">N(INDEX(Kapazitätsbedarf!$I$6:$I$32,MATCH(LARGE(Kapazitätsbedarf!$Y$6:$Y$32,2),Kapazitätsbedarf!$Y$6:$Y$32,0)))</f>
        <v>0</v>
      </c>
      <c r="K23" s="32" t="str">
        <f aca="false">INDEX(Kapazitätsbedarf!$L$6:$L$32,MATCH(LARGE(Kapazitätsbedarf!$Y$6:$Y$32,2),Kapazitätsbedarf!$Y$6:$Y$32,0))</f>
        <v>0 h – Plausibilität prüfen</v>
      </c>
    </row>
    <row r="24" customFormat="false" ht="15" hidden="false" customHeight="false" outlineLevel="0" collapsed="false">
      <c r="A24" s="13" t="s">
        <v>88</v>
      </c>
      <c r="B24" s="29" t="n">
        <f aca="false">SUMIFS(Kapazitätsbedarf!$I$6:$I$32,Kapazitätsbedarf!$C$6:$C$32,A24)</f>
        <v>1625</v>
      </c>
      <c r="C24" s="30" t="n">
        <f aca="false">B24/P_JahresStd</f>
        <v>0.928571428571429</v>
      </c>
      <c r="D24" s="31" t="n">
        <f aca="false">IF(Kapazitätsbedarf!$I$33=0,0,B24/Kapazitätsbedarf!$I$33)</f>
        <v>0.231316725978648</v>
      </c>
      <c r="F24" s="28" t="n">
        <v>3</v>
      </c>
      <c r="G24" s="13" t="str">
        <f aca="false">INDEX(Kapazitätsbedarf!$E$6:$E$32,MATCH(LARGE(Kapazitätsbedarf!$Y$6:$Y$32,3),Kapazitätsbedarf!$Y$6:$Y$32,0))</f>
        <v>Planung und Dokumentation</v>
      </c>
      <c r="H24" s="28" t="n">
        <f aca="false">INDEX(Kapazitätsbedarf!$R$6:$R$32,MATCH(LARGE(Kapazitätsbedarf!$Y$6:$Y$32,3),Kapazitätsbedarf!$Y$6:$Y$32,0))</f>
        <v>16</v>
      </c>
      <c r="I24" s="32" t="str">
        <f aca="false">INDEX(Kapazitätsbedarf!$S$6:$S$32,MATCH(LARGE(Kapazitätsbedarf!$Y$6:$Y$32,3),Kapazitätsbedarf!$Y$6:$Y$32,0))</f>
        <v>hoch</v>
      </c>
      <c r="J24" s="29" t="n">
        <f aca="false">N(INDEX(Kapazitätsbedarf!$I$6:$I$32,MATCH(LARGE(Kapazitätsbedarf!$Y$6:$Y$32,3),Kapazitätsbedarf!$Y$6:$Y$32,0)))</f>
        <v>0</v>
      </c>
      <c r="K24" s="32" t="str">
        <f aca="false">INDEX(Kapazitätsbedarf!$L$6:$L$32,MATCH(LARGE(Kapazitätsbedarf!$Y$6:$Y$32,3),Kapazitätsbedarf!$Y$6:$Y$32,0))</f>
        <v>0 h – Plausibilität prüfen</v>
      </c>
    </row>
    <row r="25" customFormat="false" ht="15" hidden="false" customHeight="false" outlineLevel="0" collapsed="false">
      <c r="A25" s="13" t="s">
        <v>89</v>
      </c>
      <c r="B25" s="29" t="n">
        <f aca="false">SUMIFS(Kapazitätsbedarf!$I$6:$I$32,Kapazitätsbedarf!$C$6:$C$32,A25)</f>
        <v>750</v>
      </c>
      <c r="C25" s="30" t="n">
        <f aca="false">B25/P_JahresStd</f>
        <v>0.428571428571429</v>
      </c>
      <c r="D25" s="31" t="n">
        <f aca="false">IF(Kapazitätsbedarf!$I$33=0,0,B25/Kapazitätsbedarf!$I$33)</f>
        <v>0.106761565836299</v>
      </c>
      <c r="F25" s="28" t="n">
        <v>4</v>
      </c>
      <c r="G25" s="13" t="str">
        <f aca="false">INDEX(Kapazitätsbedarf!$E$6:$E$32,MATCH(LARGE(Kapazitätsbedarf!$Y$6:$Y$32,4),Kapazitätsbedarf!$Y$6:$Y$32,0))</f>
        <v>Störungsbehebung / ungeplante Instandsetzung</v>
      </c>
      <c r="H25" s="28" t="n">
        <f aca="false">INDEX(Kapazitätsbedarf!$R$6:$R$32,MATCH(LARGE(Kapazitätsbedarf!$Y$6:$Y$32,4),Kapazitätsbedarf!$Y$6:$Y$32,0))</f>
        <v>15</v>
      </c>
      <c r="I25" s="32" t="str">
        <f aca="false">INDEX(Kapazitätsbedarf!$S$6:$S$32,MATCH(LARGE(Kapazitätsbedarf!$Y$6:$Y$32,4),Kapazitätsbedarf!$Y$6:$Y$32,0))</f>
        <v>hoch</v>
      </c>
      <c r="J25" s="29" t="n">
        <f aca="false">N(INDEX(Kapazitätsbedarf!$I$6:$I$32,MATCH(LARGE(Kapazitätsbedarf!$Y$6:$Y$32,4),Kapazitätsbedarf!$Y$6:$Y$32,0)))</f>
        <v>0</v>
      </c>
      <c r="K25" s="32" t="str">
        <f aca="false">INDEX(Kapazitätsbedarf!$L$6:$L$32,MATCH(LARGE(Kapazitätsbedarf!$Y$6:$Y$32,4),Kapazitätsbedarf!$Y$6:$Y$32,0))</f>
        <v>offen – zu bewerten</v>
      </c>
    </row>
    <row r="26" customFormat="false" ht="23.85" hidden="false" customHeight="false" outlineLevel="0" collapsed="false">
      <c r="A26" s="7" t="s">
        <v>90</v>
      </c>
      <c r="B26" s="33" t="n">
        <f aca="false">SUM(B17:B25)</f>
        <v>7025</v>
      </c>
      <c r="C26" s="34" t="n">
        <f aca="false">SUM(C17:C25)</f>
        <v>4.01428571428571</v>
      </c>
      <c r="D26" s="35" t="n">
        <f aca="false">SUM(D17:D25)</f>
        <v>1</v>
      </c>
      <c r="F26" s="28" t="n">
        <v>5</v>
      </c>
      <c r="G26" s="13" t="str">
        <f aca="false">INDEX(Kapazitätsbedarf!$E$6:$E$32,MATCH(LARGE(Kapazitätsbedarf!$Y$6:$Y$32,5),Kapazitätsbedarf!$Y$6:$Y$32,0))</f>
        <v>Inspektion &amp; gesetzliche Prüfungen (DGUV V3, UVV, Krane, Druckbehälter)</v>
      </c>
      <c r="H26" s="28" t="n">
        <f aca="false">INDEX(Kapazitätsbedarf!$R$6:$R$32,MATCH(LARGE(Kapazitätsbedarf!$Y$6:$Y$32,5),Kapazitätsbedarf!$Y$6:$Y$32,0))</f>
        <v>15</v>
      </c>
      <c r="I26" s="32" t="str">
        <f aca="false">INDEX(Kapazitätsbedarf!$S$6:$S$32,MATCH(LARGE(Kapazitätsbedarf!$Y$6:$Y$32,5),Kapazitätsbedarf!$Y$6:$Y$32,0))</f>
        <v>hoch</v>
      </c>
      <c r="J26" s="29" t="n">
        <f aca="false">N(INDEX(Kapazitätsbedarf!$I$6:$I$32,MATCH(LARGE(Kapazitätsbedarf!$Y$6:$Y$32,5),Kapazitätsbedarf!$Y$6:$Y$32,0)))</f>
        <v>0</v>
      </c>
      <c r="K26" s="32" t="str">
        <f aca="false">INDEX(Kapazitätsbedarf!$L$6:$L$32,MATCH(LARGE(Kapazitätsbedarf!$Y$6:$Y$32,5),Kapazitätsbedarf!$Y$6:$Y$32,0))</f>
        <v>offen – zu bewerten</v>
      </c>
    </row>
    <row r="27" customFormat="false" ht="15" hidden="false" customHeight="false" outlineLevel="0" collapsed="false">
      <c r="F27" s="28" t="n">
        <v>6</v>
      </c>
      <c r="G27" s="13" t="str">
        <f aca="false">INDEX(Kapazitätsbedarf!$E$6:$E$32,MATCH(LARGE(Kapazitätsbedarf!$Y$6:$Y$32,6),Kapazitätsbedarf!$Y$6:$Y$32,0))</f>
        <v>Ersatzteilmanagement – Planung</v>
      </c>
      <c r="H27" s="28" t="n">
        <f aca="false">INDEX(Kapazitätsbedarf!$R$6:$R$32,MATCH(LARGE(Kapazitätsbedarf!$Y$6:$Y$32,6),Kapazitätsbedarf!$Y$6:$Y$32,0))</f>
        <v>12</v>
      </c>
      <c r="I27" s="32" t="str">
        <f aca="false">INDEX(Kapazitätsbedarf!$S$6:$S$32,MATCH(LARGE(Kapazitätsbedarf!$Y$6:$Y$32,6),Kapazitätsbedarf!$Y$6:$Y$32,0))</f>
        <v>mittel</v>
      </c>
      <c r="J27" s="29" t="n">
        <f aca="false">N(INDEX(Kapazitätsbedarf!$I$6:$I$32,MATCH(LARGE(Kapazitätsbedarf!$Y$6:$Y$32,6),Kapazitätsbedarf!$Y$6:$Y$32,0)))</f>
        <v>375</v>
      </c>
      <c r="K27" s="32" t="str">
        <f aca="false">INDEX(Kapazitätsbedarf!$L$6:$L$32,MATCH(LARGE(Kapazitätsbedarf!$Y$6:$Y$32,6),Kapazitätsbedarf!$Y$6:$Y$32,0))</f>
        <v>bewertet</v>
      </c>
    </row>
    <row r="28" customFormat="false" ht="15" hidden="false" customHeight="false" outlineLevel="0" collapsed="false">
      <c r="A28" s="4" t="s">
        <v>91</v>
      </c>
      <c r="B28" s="5"/>
      <c r="C28" s="5"/>
      <c r="D28" s="5"/>
      <c r="F28" s="28" t="n">
        <v>7</v>
      </c>
      <c r="G28" s="13" t="str">
        <f aca="false">INDEX(Kapazitätsbedarf!$E$6:$E$32,MATCH(LARGE(Kapazitätsbedarf!$Y$6:$Y$32,7),Kapazitätsbedarf!$Y$6:$Y$32,0))</f>
        <v>Komplexe Reparaturen / Generalüberholungen</v>
      </c>
      <c r="H28" s="28" t="n">
        <f aca="false">INDEX(Kapazitätsbedarf!$R$6:$R$32,MATCH(LARGE(Kapazitätsbedarf!$Y$6:$Y$32,7),Kapazitätsbedarf!$Y$6:$Y$32,0))</f>
        <v>12</v>
      </c>
      <c r="I28" s="32" t="str">
        <f aca="false">INDEX(Kapazitätsbedarf!$S$6:$S$32,MATCH(LARGE(Kapazitätsbedarf!$Y$6:$Y$32,7),Kapazitätsbedarf!$Y$6:$Y$32,0))</f>
        <v>mittel</v>
      </c>
      <c r="J28" s="29" t="n">
        <f aca="false">N(INDEX(Kapazitätsbedarf!$I$6:$I$32,MATCH(LARGE(Kapazitätsbedarf!$Y$6:$Y$32,7),Kapazitätsbedarf!$Y$6:$Y$32,0)))</f>
        <v>75</v>
      </c>
      <c r="K28" s="32" t="str">
        <f aca="false">INDEX(Kapazitätsbedarf!$L$6:$L$32,MATCH(LARGE(Kapazitätsbedarf!$Y$6:$Y$32,7),Kapazitätsbedarf!$Y$6:$Y$32,0))</f>
        <v>bewertet</v>
      </c>
    </row>
    <row r="29" customFormat="false" ht="21.75" hidden="false" customHeight="true" outlineLevel="0" collapsed="false">
      <c r="A29" s="11" t="s">
        <v>92</v>
      </c>
      <c r="B29" s="11" t="s">
        <v>66</v>
      </c>
      <c r="C29" s="11" t="s">
        <v>67</v>
      </c>
      <c r="D29" s="11" t="s">
        <v>68</v>
      </c>
      <c r="F29" s="28" t="n">
        <v>8</v>
      </c>
      <c r="G29" s="13" t="str">
        <f aca="false">INDEX(Kapazitätsbedarf!$E$6:$E$32,MATCH(LARGE(Kapazitätsbedarf!$Y$6:$Y$32,8),Kapazitätsbedarf!$Y$6:$Y$32,0))</f>
        <v>Reparatur / Überholung von Ersatzteilen</v>
      </c>
      <c r="H29" s="28" t="n">
        <f aca="false">INDEX(Kapazitätsbedarf!$R$6:$R$32,MATCH(LARGE(Kapazitätsbedarf!$Y$6:$Y$32,8),Kapazitätsbedarf!$Y$6:$Y$32,0))</f>
        <v>12</v>
      </c>
      <c r="I29" s="32" t="str">
        <f aca="false">INDEX(Kapazitätsbedarf!$S$6:$S$32,MATCH(LARGE(Kapazitätsbedarf!$Y$6:$Y$32,8),Kapazitätsbedarf!$Y$6:$Y$32,0))</f>
        <v>mittel</v>
      </c>
      <c r="J29" s="29" t="n">
        <f aca="false">N(INDEX(Kapazitätsbedarf!$I$6:$I$32,MATCH(LARGE(Kapazitätsbedarf!$Y$6:$Y$32,8),Kapazitätsbedarf!$Y$6:$Y$32,0)))</f>
        <v>0</v>
      </c>
      <c r="K29" s="32" t="str">
        <f aca="false">INDEX(Kapazitätsbedarf!$L$6:$L$32,MATCH(LARGE(Kapazitätsbedarf!$Y$6:$Y$32,8),Kapazitätsbedarf!$Y$6:$Y$32,0))</f>
        <v>0 h – Plausibilität prüfen</v>
      </c>
    </row>
    <row r="30" customFormat="false" ht="15" hidden="false" customHeight="false" outlineLevel="0" collapsed="false">
      <c r="A30" s="13" t="s">
        <v>93</v>
      </c>
      <c r="B30" s="29" t="n">
        <f aca="false">SUMIFS(Kapazitätsbedarf!$I$6:$I$32,Kapazitätsbedarf!$D$6:$D$32,A30)</f>
        <v>0</v>
      </c>
      <c r="C30" s="30" t="n">
        <f aca="false">B30/P_JahresStd</f>
        <v>0</v>
      </c>
      <c r="D30" s="31" t="n">
        <f aca="false">IF(Kapazitätsbedarf!$I$33=0,0,B30/Kapazitätsbedarf!$I$33)</f>
        <v>0</v>
      </c>
    </row>
    <row r="31" customFormat="false" ht="15" hidden="false" customHeight="false" outlineLevel="0" collapsed="false">
      <c r="A31" s="13" t="s">
        <v>94</v>
      </c>
      <c r="B31" s="29" t="n">
        <f aca="false">SUMIFS(Kapazitätsbedarf!$I$6:$I$32,Kapazitätsbedarf!$D$6:$D$32,A31)</f>
        <v>0</v>
      </c>
      <c r="C31" s="30" t="n">
        <f aca="false">B31/P_JahresStd</f>
        <v>0</v>
      </c>
      <c r="D31" s="31" t="n">
        <f aca="false">IF(Kapazitätsbedarf!$I$33=0,0,B31/Kapazitätsbedarf!$I$33)</f>
        <v>0</v>
      </c>
    </row>
    <row r="32" customFormat="false" ht="15" hidden="false" customHeight="false" outlineLevel="0" collapsed="false">
      <c r="A32" s="13" t="s">
        <v>95</v>
      </c>
      <c r="B32" s="29" t="n">
        <f aca="false">SUMIFS(Kapazitätsbedarf!$I$6:$I$32,Kapazitätsbedarf!$D$6:$D$32,A32)</f>
        <v>75</v>
      </c>
      <c r="C32" s="30" t="n">
        <f aca="false">B32/P_JahresStd</f>
        <v>0.0428571428571429</v>
      </c>
      <c r="D32" s="31" t="n">
        <f aca="false">IF(Kapazitätsbedarf!$I$33=0,0,B32/Kapazitätsbedarf!$I$33)</f>
        <v>0.0106761565836299</v>
      </c>
    </row>
    <row r="33" customFormat="false" ht="15" hidden="false" customHeight="false" outlineLevel="0" collapsed="false">
      <c r="A33" s="13" t="s">
        <v>96</v>
      </c>
      <c r="B33" s="29" t="n">
        <f aca="false">SUMIFS(Kapazitätsbedarf!$I$6:$I$32,Kapazitätsbedarf!$D$6:$D$32,A33)</f>
        <v>2750</v>
      </c>
      <c r="C33" s="30" t="n">
        <f aca="false">B33/P_JahresStd</f>
        <v>1.57142857142857</v>
      </c>
      <c r="D33" s="31" t="n">
        <f aca="false">IF(Kapazitätsbedarf!$I$33=0,0,B33/Kapazitätsbedarf!$I$33)</f>
        <v>0.391459074733096</v>
      </c>
    </row>
    <row r="34" customFormat="false" ht="15" hidden="false" customHeight="false" outlineLevel="0" collapsed="false">
      <c r="A34" s="13" t="s">
        <v>97</v>
      </c>
      <c r="B34" s="29" t="n">
        <f aca="false">SUMIFS(Kapazitätsbedarf!$I$6:$I$32,Kapazitätsbedarf!$D$6:$D$32,A34)</f>
        <v>4200</v>
      </c>
      <c r="C34" s="30" t="n">
        <f aca="false">B34/P_JahresStd</f>
        <v>2.4</v>
      </c>
      <c r="D34" s="31" t="n">
        <f aca="false">IF(Kapazitätsbedarf!$I$33=0,0,B34/Kapazitätsbedarf!$I$33)</f>
        <v>0.597864768683274</v>
      </c>
    </row>
    <row r="36" customFormat="false" ht="15" hidden="false" customHeight="false" outlineLevel="0" collapsed="false">
      <c r="A36" s="4" t="s">
        <v>98</v>
      </c>
      <c r="B36" s="5"/>
      <c r="C36" s="5"/>
      <c r="D36" s="5"/>
    </row>
    <row r="37" customFormat="false" ht="21.75" hidden="false" customHeight="true" outlineLevel="0" collapsed="false">
      <c r="A37" s="11" t="s">
        <v>99</v>
      </c>
      <c r="B37" s="11" t="s">
        <v>67</v>
      </c>
    </row>
    <row r="38" customFormat="false" ht="15" hidden="false" customHeight="false" outlineLevel="0" collapsed="false">
      <c r="A38" s="13" t="s">
        <v>56</v>
      </c>
      <c r="B38" s="30" t="n">
        <f aca="false">A5</f>
        <v>4.01428571428571</v>
      </c>
    </row>
    <row r="39" customFormat="false" ht="15" hidden="false" customHeight="false" outlineLevel="0" collapsed="false">
      <c r="A39" s="13" t="s">
        <v>100</v>
      </c>
      <c r="B39" s="30" t="n">
        <f aca="false">B5</f>
        <v>4.87224805194805</v>
      </c>
    </row>
    <row r="40" customFormat="false" ht="15" hidden="false" customHeight="false" outlineLevel="0" collapsed="false">
      <c r="A40" s="13" t="s">
        <v>101</v>
      </c>
      <c r="B40" s="30" t="n">
        <f aca="false">Personalbedarf!C23</f>
        <v>5.10546223345391</v>
      </c>
    </row>
    <row r="41" customFormat="false" ht="15" hidden="false" customHeight="false" outlineLevel="0" collapsed="false">
      <c r="A41" s="13" t="s">
        <v>102</v>
      </c>
      <c r="B41" s="30" t="n">
        <f aca="false">F5</f>
        <v>4</v>
      </c>
    </row>
    <row r="50" customFormat="false" ht="15" hidden="false" customHeight="false" outlineLevel="0" collapsed="false">
      <c r="A50" s="36" t="s">
        <v>103</v>
      </c>
    </row>
  </sheetData>
  <mergeCells count="12">
    <mergeCell ref="B4:D4"/>
    <mergeCell ref="F4:G4"/>
    <mergeCell ref="H4:I4"/>
    <mergeCell ref="B5:D5"/>
    <mergeCell ref="F5:G5"/>
    <mergeCell ref="H5:I5"/>
    <mergeCell ref="A8:C8"/>
    <mergeCell ref="A9:C9"/>
    <mergeCell ref="A10:C10"/>
    <mergeCell ref="A11:C11"/>
    <mergeCell ref="A12:C12"/>
    <mergeCell ref="A13:C13"/>
  </mergeCells>
  <conditionalFormatting sqref="H5">
    <cfRule type="cellIs" priority="2" operator="lessThan" aboveAverage="0" equalAverage="0" bottom="0" percent="0" rank="0" text="" dxfId="3">
      <formula>0</formula>
    </cfRule>
  </conditionalFormatting>
  <conditionalFormatting sqref="J5">
    <cfRule type="cellIs" priority="3" operator="lessThan" aboveAverage="0" equalAverage="0" bottom="0" percent="0" rank="0" text="" dxfId="2">
      <formula>P_DeckGelb</formula>
    </cfRule>
    <cfRule type="cellIs" priority="4" operator="between" aboveAverage="0" equalAverage="0" bottom="0" percent="0" rank="0" text="" dxfId="1">
      <formula>P_DeckGelb</formula>
      <formula>P_DeckGruen-0.0001</formula>
    </cfRule>
    <cfRule type="cellIs" priority="5" operator="greaterThanOrEqual" aboveAverage="0" equalAverage="0" bottom="0" percent="0" rank="0" text="" dxfId="0">
      <formula>P_DeckGruen</formula>
    </cfRule>
  </conditionalFormatting>
  <conditionalFormatting sqref="K5">
    <cfRule type="cellIs" priority="6" operator="lessThan" aboveAverage="0" equalAverage="0" bottom="0" percent="0" rank="0" text="" dxfId="2">
      <formula>0.1</formula>
    </cfRule>
  </conditionalFormatting>
  <conditionalFormatting sqref="I22:I29">
    <cfRule type="cellIs" priority="7" operator="equal" aboveAverage="0" equalAverage="0" bottom="0" percent="0" rank="0" text="" dxfId="2">
      <formula>"hoch"</formula>
    </cfRule>
    <cfRule type="cellIs" priority="8" operator="equal" aboveAverage="0" equalAverage="0" bottom="0" percent="0" rank="0" text="" dxfId="1">
      <formula>"mittel"</formula>
    </cfRule>
    <cfRule type="cellIs" priority="9" operator="equal" aboveAverage="0" equalAverage="0" bottom="0" percent="0" rank="0" text="" dxfId="0">
      <formula>"niedrig"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Y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9" min="7" style="0" width="9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2" min="22" style="0" width="50"/>
    <col collapsed="false" customWidth="true" hidden="false" outlineLevel="0" max="23" min="23" style="0" width="20"/>
    <col collapsed="false" customWidth="true" hidden="true" outlineLevel="0" max="25" min="24" style="0" width="8"/>
  </cols>
  <sheetData>
    <row r="1" customFormat="false" ht="25.5" hidden="false" customHeight="tru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  <c r="L2" s="19" t="s">
        <v>55</v>
      </c>
      <c r="M2" s="20" t="n">
        <f aca="false">P_Stand</f>
        <v>45859</v>
      </c>
    </row>
    <row r="4" customFormat="false" ht="15" hidden="false" customHeight="false" outlineLevel="0" collapsed="false">
      <c r="G4" s="37" t="s">
        <v>106</v>
      </c>
      <c r="M4" s="37" t="s">
        <v>107</v>
      </c>
      <c r="P4" s="37" t="s">
        <v>108</v>
      </c>
      <c r="T4" s="37" t="s">
        <v>109</v>
      </c>
    </row>
    <row r="5" customFormat="false" ht="43.5" hidden="false" customHeight="true" outlineLevel="0" collapsed="false">
      <c r="A5" s="11" t="s">
        <v>110</v>
      </c>
      <c r="B5" s="11" t="s">
        <v>111</v>
      </c>
      <c r="C5" s="11" t="s">
        <v>76</v>
      </c>
      <c r="D5" s="11" t="s">
        <v>112</v>
      </c>
      <c r="E5" s="11" t="s">
        <v>65</v>
      </c>
      <c r="F5" s="11" t="s">
        <v>113</v>
      </c>
      <c r="G5" s="11" t="s">
        <v>114</v>
      </c>
      <c r="H5" s="11" t="s">
        <v>115</v>
      </c>
      <c r="I5" s="11" t="s">
        <v>116</v>
      </c>
      <c r="J5" s="11" t="s">
        <v>117</v>
      </c>
      <c r="K5" s="11" t="s">
        <v>118</v>
      </c>
      <c r="L5" s="11" t="s">
        <v>119</v>
      </c>
      <c r="M5" s="11" t="s">
        <v>120</v>
      </c>
      <c r="N5" s="11" t="s">
        <v>121</v>
      </c>
      <c r="O5" s="11" t="s">
        <v>122</v>
      </c>
      <c r="P5" s="11" t="s">
        <v>123</v>
      </c>
      <c r="Q5" s="11" t="s">
        <v>124</v>
      </c>
      <c r="R5" s="11" t="s">
        <v>83</v>
      </c>
      <c r="S5" s="11" t="s">
        <v>125</v>
      </c>
      <c r="T5" s="11" t="s">
        <v>126</v>
      </c>
      <c r="U5" s="11" t="s">
        <v>127</v>
      </c>
      <c r="V5" s="11" t="s">
        <v>128</v>
      </c>
      <c r="W5" s="11" t="s">
        <v>129</v>
      </c>
      <c r="X5" s="11" t="s">
        <v>130</v>
      </c>
      <c r="Y5" s="11" t="s">
        <v>131</v>
      </c>
    </row>
    <row r="6" customFormat="false" ht="30" hidden="false" customHeight="true" outlineLevel="0" collapsed="false">
      <c r="A6" s="28" t="n">
        <v>1</v>
      </c>
      <c r="B6" s="13" t="s">
        <v>132</v>
      </c>
      <c r="C6" s="13" t="s">
        <v>77</v>
      </c>
      <c r="D6" s="13" t="s">
        <v>97</v>
      </c>
      <c r="E6" s="13" t="s">
        <v>133</v>
      </c>
      <c r="F6" s="13"/>
      <c r="G6" s="38" t="n">
        <v>1.5</v>
      </c>
      <c r="H6" s="39" t="n">
        <f aca="false">IF(G6="","",G6*P_TageWoche)</f>
        <v>7.5</v>
      </c>
      <c r="I6" s="29" t="n">
        <f aca="false">IF(G6="","",G6*P_AT)</f>
        <v>375</v>
      </c>
      <c r="J6" s="30" t="n">
        <f aca="false">IF(G6="","",I6/P_JahresStd)</f>
        <v>0.214285714285714</v>
      </c>
      <c r="K6" s="31" t="n">
        <f aca="false">IF(G6="","",I6/$I$33)</f>
        <v>0.0533807829181495</v>
      </c>
      <c r="L6" s="32" t="str">
        <f aca="false">IF(G6="","offen – zu bewerten",IF(G6=0,"0 h – Plausibilität prüfen","bewertet"))</f>
        <v>bewertet</v>
      </c>
      <c r="M6" s="14"/>
      <c r="N6" s="40"/>
      <c r="O6" s="14"/>
      <c r="P6" s="41" t="n">
        <v>4</v>
      </c>
      <c r="Q6" s="41" t="n">
        <v>3</v>
      </c>
      <c r="R6" s="28" t="n">
        <f aca="false">IF(OR(P6="",Q6=""),"",P6*Q6)</f>
        <v>12</v>
      </c>
      <c r="S6" s="32" t="str">
        <f aca="false">IF(R6="","",IF(R6&gt;=P_RiskHoch,"hoch",IF(R6&gt;=P_RiskMittel,"mittel","niedrig")))</f>
        <v>mittel</v>
      </c>
      <c r="T6" s="42"/>
      <c r="U6" s="43" t="str">
        <f aca="false">IF(OR(T6="",N(I6)=0),"",T6/I6-1)</f>
        <v/>
      </c>
      <c r="V6" s="13"/>
      <c r="W6" s="13" t="s">
        <v>134</v>
      </c>
      <c r="X6" s="44" t="n">
        <f aca="false">N(I6)+(1000-ROW())/1000000</f>
        <v>375.000994</v>
      </c>
      <c r="Y6" s="44" t="n">
        <f aca="false">N(R6)+(1000-ROW())/1000000</f>
        <v>12.000994</v>
      </c>
    </row>
    <row r="7" customFormat="false" ht="30" hidden="false" customHeight="true" outlineLevel="0" collapsed="false">
      <c r="A7" s="28" t="n">
        <v>2</v>
      </c>
      <c r="B7" s="13" t="s">
        <v>132</v>
      </c>
      <c r="C7" s="13" t="s">
        <v>77</v>
      </c>
      <c r="D7" s="13" t="s">
        <v>97</v>
      </c>
      <c r="E7" s="13" t="s">
        <v>135</v>
      </c>
      <c r="F7" s="13" t="s">
        <v>136</v>
      </c>
      <c r="G7" s="38" t="n">
        <v>2</v>
      </c>
      <c r="H7" s="39" t="n">
        <f aca="false">IF(G7="","",G7*P_TageWoche)</f>
        <v>10</v>
      </c>
      <c r="I7" s="29" t="n">
        <f aca="false">IF(G7="","",G7*P_AT)</f>
        <v>500</v>
      </c>
      <c r="J7" s="30" t="n">
        <f aca="false">IF(G7="","",I7/P_JahresStd)</f>
        <v>0.285714285714286</v>
      </c>
      <c r="K7" s="31" t="n">
        <f aca="false">IF(G7="","",I7/$I$33)</f>
        <v>0.0711743772241993</v>
      </c>
      <c r="L7" s="32" t="str">
        <f aca="false">IF(G7="","offen – zu bewerten",IF(G7=0,"0 h – Plausibilität prüfen","bewertet"))</f>
        <v>bewertet</v>
      </c>
      <c r="M7" s="14"/>
      <c r="N7" s="40"/>
      <c r="O7" s="14"/>
      <c r="P7" s="41" t="n">
        <v>3</v>
      </c>
      <c r="Q7" s="41" t="n">
        <v>2</v>
      </c>
      <c r="R7" s="28" t="n">
        <f aca="false">IF(OR(P7="",Q7=""),"",P7*Q7)</f>
        <v>6</v>
      </c>
      <c r="S7" s="32" t="str">
        <f aca="false">IF(R7="","",IF(R7&gt;=P_RiskHoch,"hoch",IF(R7&gt;=P_RiskMittel,"mittel","niedrig")))</f>
        <v>niedrig</v>
      </c>
      <c r="T7" s="42"/>
      <c r="U7" s="43" t="str">
        <f aca="false">IF(OR(T7="",N(I7)=0),"",T7/I7-1)</f>
        <v/>
      </c>
      <c r="V7" s="13" t="s">
        <v>137</v>
      </c>
      <c r="W7" s="13" t="s">
        <v>138</v>
      </c>
      <c r="X7" s="44" t="n">
        <f aca="false">N(I7)+(1000-ROW())/1000000</f>
        <v>500.000993</v>
      </c>
      <c r="Y7" s="44" t="n">
        <f aca="false">N(R7)+(1000-ROW())/1000000</f>
        <v>6.000993</v>
      </c>
    </row>
    <row r="8" customFormat="false" ht="30" hidden="false" customHeight="true" outlineLevel="0" collapsed="false">
      <c r="A8" s="28" t="n">
        <v>3</v>
      </c>
      <c r="B8" s="13" t="s">
        <v>132</v>
      </c>
      <c r="C8" s="13" t="s">
        <v>78</v>
      </c>
      <c r="D8" s="13" t="s">
        <v>95</v>
      </c>
      <c r="E8" s="13" t="s">
        <v>139</v>
      </c>
      <c r="F8" s="13"/>
      <c r="G8" s="38" t="n">
        <v>0.3</v>
      </c>
      <c r="H8" s="39" t="n">
        <f aca="false">IF(G8="","",G8*P_TageWoche)</f>
        <v>1.5</v>
      </c>
      <c r="I8" s="29" t="n">
        <f aca="false">IF(G8="","",G8*P_AT)</f>
        <v>75</v>
      </c>
      <c r="J8" s="30" t="n">
        <f aca="false">IF(G8="","",I8/P_JahresStd)</f>
        <v>0.0428571428571429</v>
      </c>
      <c r="K8" s="31" t="n">
        <f aca="false">IF(G8="","",I8/$I$33)</f>
        <v>0.0106761565836299</v>
      </c>
      <c r="L8" s="32" t="str">
        <f aca="false">IF(G8="","offen – zu bewerten",IF(G8=0,"0 h – Plausibilität prüfen","bewertet"))</f>
        <v>bewertet</v>
      </c>
      <c r="M8" s="14"/>
      <c r="N8" s="40"/>
      <c r="O8" s="14"/>
      <c r="P8" s="41" t="n">
        <v>4</v>
      </c>
      <c r="Q8" s="41" t="n">
        <v>3</v>
      </c>
      <c r="R8" s="28" t="n">
        <f aca="false">IF(OR(P8="",Q8=""),"",P8*Q8)</f>
        <v>12</v>
      </c>
      <c r="S8" s="32" t="str">
        <f aca="false">IF(R8="","",IF(R8&gt;=P_RiskHoch,"hoch",IF(R8&gt;=P_RiskMittel,"mittel","niedrig")))</f>
        <v>mittel</v>
      </c>
      <c r="T8" s="42"/>
      <c r="U8" s="43" t="str">
        <f aca="false">IF(OR(T8="",N(I8)=0),"",T8/I8-1)</f>
        <v/>
      </c>
      <c r="V8" s="13"/>
      <c r="W8" s="13" t="s">
        <v>134</v>
      </c>
      <c r="X8" s="44" t="n">
        <f aca="false">N(I8)+(1000-ROW())/1000000</f>
        <v>75.000992</v>
      </c>
      <c r="Y8" s="44" t="n">
        <f aca="false">N(R8)+(1000-ROW())/1000000</f>
        <v>12.000992</v>
      </c>
    </row>
    <row r="9" customFormat="false" ht="30" hidden="false" customHeight="true" outlineLevel="0" collapsed="false">
      <c r="A9" s="28" t="n">
        <v>4</v>
      </c>
      <c r="B9" s="13" t="s">
        <v>132</v>
      </c>
      <c r="C9" s="13" t="s">
        <v>78</v>
      </c>
      <c r="D9" s="13" t="s">
        <v>95</v>
      </c>
      <c r="E9" s="13" t="s">
        <v>140</v>
      </c>
      <c r="F9" s="13" t="s">
        <v>141</v>
      </c>
      <c r="G9" s="38" t="n">
        <v>0</v>
      </c>
      <c r="H9" s="39" t="n">
        <f aca="false">IF(G9="","",G9*P_TageWoche)</f>
        <v>0</v>
      </c>
      <c r="I9" s="29" t="n">
        <f aca="false">IF(G9="","",G9*P_AT)</f>
        <v>0</v>
      </c>
      <c r="J9" s="30" t="n">
        <f aca="false">IF(G9="","",I9/P_JahresStd)</f>
        <v>0</v>
      </c>
      <c r="K9" s="31" t="n">
        <f aca="false">IF(G9="","",I9/$I$33)</f>
        <v>0</v>
      </c>
      <c r="L9" s="32" t="str">
        <f aca="false">IF(G9="","offen – zu bewerten",IF(G9=0,"0 h – Plausibilität prüfen","bewertet"))</f>
        <v>0 h – Plausibilität prüfen</v>
      </c>
      <c r="M9" s="14"/>
      <c r="N9" s="40"/>
      <c r="O9" s="14"/>
      <c r="P9" s="41" t="n">
        <v>4</v>
      </c>
      <c r="Q9" s="41" t="n">
        <v>3</v>
      </c>
      <c r="R9" s="28" t="n">
        <f aca="false">IF(OR(P9="",Q9=""),"",P9*Q9)</f>
        <v>12</v>
      </c>
      <c r="S9" s="32" t="str">
        <f aca="false">IF(R9="","",IF(R9&gt;=P_RiskHoch,"hoch",IF(R9&gt;=P_RiskMittel,"mittel","niedrig")))</f>
        <v>mittel</v>
      </c>
      <c r="T9" s="42"/>
      <c r="U9" s="43" t="str">
        <f aca="false">IF(OR(T9="",N(I9)=0),"",T9/I9-1)</f>
        <v/>
      </c>
      <c r="V9" s="13" t="s">
        <v>142</v>
      </c>
      <c r="W9" s="13" t="s">
        <v>143</v>
      </c>
      <c r="X9" s="44" t="n">
        <f aca="false">N(I9)+(1000-ROW())/1000000</f>
        <v>0.000991</v>
      </c>
      <c r="Y9" s="44" t="n">
        <f aca="false">N(R9)+(1000-ROW())/1000000</f>
        <v>12.000991</v>
      </c>
    </row>
    <row r="10" customFormat="false" ht="30" hidden="false" customHeight="true" outlineLevel="0" collapsed="false">
      <c r="A10" s="28" t="n">
        <v>5</v>
      </c>
      <c r="B10" s="13" t="s">
        <v>132</v>
      </c>
      <c r="C10" s="13" t="s">
        <v>80</v>
      </c>
      <c r="D10" s="13" t="s">
        <v>96</v>
      </c>
      <c r="E10" s="13" t="s">
        <v>144</v>
      </c>
      <c r="F10" s="13" t="s">
        <v>145</v>
      </c>
      <c r="G10" s="38" t="n">
        <v>10</v>
      </c>
      <c r="H10" s="39" t="n">
        <f aca="false">IF(G10="","",G10*P_TageWoche)</f>
        <v>50</v>
      </c>
      <c r="I10" s="29" t="n">
        <f aca="false">IF(G10="","",G10*P_AT)</f>
        <v>2500</v>
      </c>
      <c r="J10" s="30" t="n">
        <f aca="false">IF(G10="","",I10/P_JahresStd)</f>
        <v>1.42857142857143</v>
      </c>
      <c r="K10" s="31" t="n">
        <f aca="false">IF(G10="","",I10/$I$33)</f>
        <v>0.355871886120996</v>
      </c>
      <c r="L10" s="32" t="str">
        <f aca="false">IF(G10="","offen – zu bewerten",IF(G10=0,"0 h – Plausibilität prüfen","bewertet"))</f>
        <v>bewertet</v>
      </c>
      <c r="M10" s="14"/>
      <c r="N10" s="40"/>
      <c r="O10" s="14"/>
      <c r="P10" s="41" t="n">
        <v>3</v>
      </c>
      <c r="Q10" s="41" t="n">
        <v>3</v>
      </c>
      <c r="R10" s="28" t="n">
        <f aca="false">IF(OR(P10="",Q10=""),"",P10*Q10)</f>
        <v>9</v>
      </c>
      <c r="S10" s="32" t="str">
        <f aca="false">IF(R10="","",IF(R10&gt;=P_RiskHoch,"hoch",IF(R10&gt;=P_RiskMittel,"mittel","niedrig")))</f>
        <v>mittel</v>
      </c>
      <c r="T10" s="42"/>
      <c r="U10" s="43" t="str">
        <f aca="false">IF(OR(T10="",N(I10)=0),"",T10/I10-1)</f>
        <v/>
      </c>
      <c r="V10" s="13" t="s">
        <v>146</v>
      </c>
      <c r="W10" s="13" t="s">
        <v>134</v>
      </c>
      <c r="X10" s="44" t="n">
        <f aca="false">N(I10)+(1000-ROW())/1000000</f>
        <v>2500.00099</v>
      </c>
      <c r="Y10" s="44" t="n">
        <f aca="false">N(R10)+(1000-ROW())/1000000</f>
        <v>9.00099</v>
      </c>
    </row>
    <row r="11" customFormat="false" ht="30" hidden="false" customHeight="true" outlineLevel="0" collapsed="false">
      <c r="A11" s="28" t="n">
        <v>6</v>
      </c>
      <c r="B11" s="13" t="s">
        <v>132</v>
      </c>
      <c r="C11" s="13" t="s">
        <v>86</v>
      </c>
      <c r="D11" s="13" t="s">
        <v>97</v>
      </c>
      <c r="E11" s="13" t="s">
        <v>147</v>
      </c>
      <c r="F11" s="13"/>
      <c r="G11" s="38" t="n">
        <v>0.5</v>
      </c>
      <c r="H11" s="39" t="n">
        <f aca="false">IF(G11="","",G11*P_TageWoche)</f>
        <v>2.5</v>
      </c>
      <c r="I11" s="29" t="n">
        <f aca="false">IF(G11="","",G11*P_AT)</f>
        <v>125</v>
      </c>
      <c r="J11" s="30" t="n">
        <f aca="false">IF(G11="","",I11/P_JahresStd)</f>
        <v>0.0714285714285714</v>
      </c>
      <c r="K11" s="31" t="n">
        <f aca="false">IF(G11="","",I11/$I$33)</f>
        <v>0.0177935943060498</v>
      </c>
      <c r="L11" s="32" t="str">
        <f aca="false">IF(G11="","offen – zu bewerten",IF(G11=0,"0 h – Plausibilität prüfen","bewertet"))</f>
        <v>bewertet</v>
      </c>
      <c r="M11" s="14"/>
      <c r="N11" s="40"/>
      <c r="O11" s="14"/>
      <c r="P11" s="41" t="n">
        <v>3</v>
      </c>
      <c r="Q11" s="41" t="n">
        <v>3</v>
      </c>
      <c r="R11" s="28" t="n">
        <f aca="false">IF(OR(P11="",Q11=""),"",P11*Q11)</f>
        <v>9</v>
      </c>
      <c r="S11" s="32" t="str">
        <f aca="false">IF(R11="","",IF(R11&gt;=P_RiskHoch,"hoch",IF(R11&gt;=P_RiskMittel,"mittel","niedrig")))</f>
        <v>mittel</v>
      </c>
      <c r="T11" s="42"/>
      <c r="U11" s="43" t="str">
        <f aca="false">IF(OR(T11="",N(I11)=0),"",T11/I11-1)</f>
        <v/>
      </c>
      <c r="V11" s="13"/>
      <c r="W11" s="13" t="s">
        <v>134</v>
      </c>
      <c r="X11" s="44" t="n">
        <f aca="false">N(I11)+(1000-ROW())/1000000</f>
        <v>125.000989</v>
      </c>
      <c r="Y11" s="44" t="n">
        <f aca="false">N(R11)+(1000-ROW())/1000000</f>
        <v>9.000989</v>
      </c>
    </row>
    <row r="12" customFormat="false" ht="30" hidden="false" customHeight="true" outlineLevel="0" collapsed="false">
      <c r="A12" s="28" t="n">
        <v>7</v>
      </c>
      <c r="B12" s="13" t="s">
        <v>132</v>
      </c>
      <c r="C12" s="13" t="s">
        <v>87</v>
      </c>
      <c r="D12" s="13" t="s">
        <v>97</v>
      </c>
      <c r="E12" s="13" t="s">
        <v>148</v>
      </c>
      <c r="F12" s="13"/>
      <c r="G12" s="38" t="n">
        <v>0.5</v>
      </c>
      <c r="H12" s="39" t="n">
        <f aca="false">IF(G12="","",G12*P_TageWoche)</f>
        <v>2.5</v>
      </c>
      <c r="I12" s="29" t="n">
        <f aca="false">IF(G12="","",G12*P_AT)</f>
        <v>125</v>
      </c>
      <c r="J12" s="30" t="n">
        <f aca="false">IF(G12="","",I12/P_JahresStd)</f>
        <v>0.0714285714285714</v>
      </c>
      <c r="K12" s="31" t="n">
        <f aca="false">IF(G12="","",I12/$I$33)</f>
        <v>0.0177935943060498</v>
      </c>
      <c r="L12" s="32" t="str">
        <f aca="false">IF(G12="","offen – zu bewerten",IF(G12=0,"0 h – Plausibilität prüfen","bewertet"))</f>
        <v>bewertet</v>
      </c>
      <c r="M12" s="14"/>
      <c r="N12" s="40"/>
      <c r="O12" s="14"/>
      <c r="P12" s="41" t="n">
        <v>2</v>
      </c>
      <c r="Q12" s="41" t="n">
        <v>2</v>
      </c>
      <c r="R12" s="28" t="n">
        <f aca="false">IF(OR(P12="",Q12=""),"",P12*Q12)</f>
        <v>4</v>
      </c>
      <c r="S12" s="32" t="str">
        <f aca="false">IF(R12="","",IF(R12&gt;=P_RiskHoch,"hoch",IF(R12&gt;=P_RiskMittel,"mittel","niedrig")))</f>
        <v>niedrig</v>
      </c>
      <c r="T12" s="42"/>
      <c r="U12" s="43" t="str">
        <f aca="false">IF(OR(T12="",N(I12)=0),"",T12/I12-1)</f>
        <v/>
      </c>
      <c r="V12" s="13"/>
      <c r="W12" s="13" t="s">
        <v>134</v>
      </c>
      <c r="X12" s="44" t="n">
        <f aca="false">N(I12)+(1000-ROW())/1000000</f>
        <v>125.000988</v>
      </c>
      <c r="Y12" s="44" t="n">
        <f aca="false">N(R12)+(1000-ROW())/1000000</f>
        <v>4.000988</v>
      </c>
    </row>
    <row r="13" customFormat="false" ht="30" hidden="false" customHeight="true" outlineLevel="0" collapsed="false">
      <c r="A13" s="28" t="n">
        <v>8</v>
      </c>
      <c r="B13" s="13" t="s">
        <v>132</v>
      </c>
      <c r="C13" s="13" t="s">
        <v>82</v>
      </c>
      <c r="D13" s="13" t="s">
        <v>97</v>
      </c>
      <c r="E13" s="13" t="s">
        <v>149</v>
      </c>
      <c r="F13" s="13"/>
      <c r="G13" s="38" t="n">
        <v>0.5</v>
      </c>
      <c r="H13" s="39" t="n">
        <f aca="false">IF(G13="","",G13*P_TageWoche)</f>
        <v>2.5</v>
      </c>
      <c r="I13" s="29" t="n">
        <f aca="false">IF(G13="","",G13*P_AT)</f>
        <v>125</v>
      </c>
      <c r="J13" s="30" t="n">
        <f aca="false">IF(G13="","",I13/P_JahresStd)</f>
        <v>0.0714285714285714</v>
      </c>
      <c r="K13" s="31" t="n">
        <f aca="false">IF(G13="","",I13/$I$33)</f>
        <v>0.0177935943060498</v>
      </c>
      <c r="L13" s="32" t="str">
        <f aca="false">IF(G13="","offen – zu bewerten",IF(G13=0,"0 h – Plausibilität prüfen","bewertet"))</f>
        <v>bewertet</v>
      </c>
      <c r="M13" s="14"/>
      <c r="N13" s="40"/>
      <c r="O13" s="14"/>
      <c r="P13" s="41" t="n">
        <v>4</v>
      </c>
      <c r="Q13" s="41" t="n">
        <v>3</v>
      </c>
      <c r="R13" s="28" t="n">
        <f aca="false">IF(OR(P13="",Q13=""),"",P13*Q13)</f>
        <v>12</v>
      </c>
      <c r="S13" s="32" t="str">
        <f aca="false">IF(R13="","",IF(R13&gt;=P_RiskHoch,"hoch",IF(R13&gt;=P_RiskMittel,"mittel","niedrig")))</f>
        <v>mittel</v>
      </c>
      <c r="T13" s="42"/>
      <c r="U13" s="43" t="str">
        <f aca="false">IF(OR(T13="",N(I13)=0),"",T13/I13-1)</f>
        <v/>
      </c>
      <c r="V13" s="13"/>
      <c r="W13" s="13" t="s">
        <v>134</v>
      </c>
      <c r="X13" s="44" t="n">
        <f aca="false">N(I13)+(1000-ROW())/1000000</f>
        <v>125.000987</v>
      </c>
      <c r="Y13" s="44" t="n">
        <f aca="false">N(R13)+(1000-ROW())/1000000</f>
        <v>12.000987</v>
      </c>
    </row>
    <row r="14" customFormat="false" ht="30" hidden="false" customHeight="true" outlineLevel="0" collapsed="false">
      <c r="A14" s="28" t="n">
        <v>9</v>
      </c>
      <c r="B14" s="13" t="s">
        <v>132</v>
      </c>
      <c r="C14" s="13" t="s">
        <v>82</v>
      </c>
      <c r="D14" s="13" t="s">
        <v>97</v>
      </c>
      <c r="E14" s="13" t="s">
        <v>150</v>
      </c>
      <c r="F14" s="13"/>
      <c r="G14" s="38" t="n">
        <v>0.2</v>
      </c>
      <c r="H14" s="39" t="n">
        <f aca="false">IF(G14="","",G14*P_TageWoche)</f>
        <v>1</v>
      </c>
      <c r="I14" s="29" t="n">
        <f aca="false">IF(G14="","",G14*P_AT)</f>
        <v>50</v>
      </c>
      <c r="J14" s="30" t="n">
        <f aca="false">IF(G14="","",I14/P_JahresStd)</f>
        <v>0.0285714285714286</v>
      </c>
      <c r="K14" s="31" t="n">
        <f aca="false">IF(G14="","",I14/$I$33)</f>
        <v>0.00711743772241993</v>
      </c>
      <c r="L14" s="32" t="str">
        <f aca="false">IF(G14="","offen – zu bewerten",IF(G14=0,"0 h – Plausibilität prüfen","bewertet"))</f>
        <v>bewertet</v>
      </c>
      <c r="M14" s="14"/>
      <c r="N14" s="40"/>
      <c r="O14" s="14"/>
      <c r="P14" s="41" t="n">
        <v>4</v>
      </c>
      <c r="Q14" s="41" t="n">
        <v>2</v>
      </c>
      <c r="R14" s="28" t="n">
        <f aca="false">IF(OR(P14="",Q14=""),"",P14*Q14)</f>
        <v>8</v>
      </c>
      <c r="S14" s="32" t="str">
        <f aca="false">IF(R14="","",IF(R14&gt;=P_RiskHoch,"hoch",IF(R14&gt;=P_RiskMittel,"mittel","niedrig")))</f>
        <v>mittel</v>
      </c>
      <c r="T14" s="42"/>
      <c r="U14" s="43" t="str">
        <f aca="false">IF(OR(T14="",N(I14)=0),"",T14/I14-1)</f>
        <v/>
      </c>
      <c r="V14" s="13"/>
      <c r="W14" s="13" t="s">
        <v>134</v>
      </c>
      <c r="X14" s="44" t="n">
        <f aca="false">N(I14)+(1000-ROW())/1000000</f>
        <v>50.000986</v>
      </c>
      <c r="Y14" s="44" t="n">
        <f aca="false">N(R14)+(1000-ROW())/1000000</f>
        <v>8.000986</v>
      </c>
    </row>
    <row r="15" customFormat="false" ht="30" hidden="false" customHeight="true" outlineLevel="0" collapsed="false">
      <c r="A15" s="28" t="n">
        <v>10</v>
      </c>
      <c r="B15" s="13" t="s">
        <v>132</v>
      </c>
      <c r="C15" s="13" t="s">
        <v>80</v>
      </c>
      <c r="D15" s="13" t="s">
        <v>96</v>
      </c>
      <c r="E15" s="13" t="s">
        <v>151</v>
      </c>
      <c r="F15" s="13"/>
      <c r="G15" s="38" t="n">
        <v>1</v>
      </c>
      <c r="H15" s="39" t="n">
        <f aca="false">IF(G15="","",G15*P_TageWoche)</f>
        <v>5</v>
      </c>
      <c r="I15" s="29" t="n">
        <f aca="false">IF(G15="","",G15*P_AT)</f>
        <v>250</v>
      </c>
      <c r="J15" s="30" t="n">
        <f aca="false">IF(G15="","",I15/P_JahresStd)</f>
        <v>0.142857142857143</v>
      </c>
      <c r="K15" s="31" t="n">
        <f aca="false">IF(G15="","",I15/$I$33)</f>
        <v>0.0355871886120997</v>
      </c>
      <c r="L15" s="32" t="str">
        <f aca="false">IF(G15="","offen – zu bewerten",IF(G15=0,"0 h – Plausibilität prüfen","bewertet"))</f>
        <v>bewertet</v>
      </c>
      <c r="M15" s="14"/>
      <c r="N15" s="40"/>
      <c r="O15" s="14"/>
      <c r="P15" s="41" t="n">
        <v>2</v>
      </c>
      <c r="Q15" s="41" t="n">
        <v>2</v>
      </c>
      <c r="R15" s="28" t="n">
        <f aca="false">IF(OR(P15="",Q15=""),"",P15*Q15)</f>
        <v>4</v>
      </c>
      <c r="S15" s="32" t="str">
        <f aca="false">IF(R15="","",IF(R15&gt;=P_RiskHoch,"hoch",IF(R15&gt;=P_RiskMittel,"mittel","niedrig")))</f>
        <v>niedrig</v>
      </c>
      <c r="T15" s="42"/>
      <c r="U15" s="43" t="str">
        <f aca="false">IF(OR(T15="",N(I15)=0),"",T15/I15-1)</f>
        <v/>
      </c>
      <c r="V15" s="13"/>
      <c r="W15" s="13" t="s">
        <v>134</v>
      </c>
      <c r="X15" s="44" t="n">
        <f aca="false">N(I15)+(1000-ROW())/1000000</f>
        <v>250.000985</v>
      </c>
      <c r="Y15" s="44" t="n">
        <f aca="false">N(R15)+(1000-ROW())/1000000</f>
        <v>4.000985</v>
      </c>
    </row>
    <row r="16" customFormat="false" ht="30" hidden="false" customHeight="true" outlineLevel="0" collapsed="false">
      <c r="A16" s="28" t="n">
        <v>11</v>
      </c>
      <c r="B16" s="13" t="s">
        <v>132</v>
      </c>
      <c r="C16" s="13" t="s">
        <v>82</v>
      </c>
      <c r="D16" s="13" t="s">
        <v>97</v>
      </c>
      <c r="E16" s="13" t="s">
        <v>152</v>
      </c>
      <c r="F16" s="13"/>
      <c r="G16" s="38" t="n">
        <v>0.1</v>
      </c>
      <c r="H16" s="39" t="n">
        <f aca="false">IF(G16="","",G16*P_TageWoche)</f>
        <v>0.5</v>
      </c>
      <c r="I16" s="29" t="n">
        <f aca="false">IF(G16="","",G16*P_AT)</f>
        <v>25</v>
      </c>
      <c r="J16" s="30" t="n">
        <f aca="false">IF(G16="","",I16/P_JahresStd)</f>
        <v>0.0142857142857143</v>
      </c>
      <c r="K16" s="31" t="n">
        <f aca="false">IF(G16="","",I16/$I$33)</f>
        <v>0.00355871886120996</v>
      </c>
      <c r="L16" s="32" t="str">
        <f aca="false">IF(G16="","offen – zu bewerten",IF(G16=0,"0 h – Plausibilität prüfen","bewertet"))</f>
        <v>bewertet</v>
      </c>
      <c r="M16" s="14"/>
      <c r="N16" s="40"/>
      <c r="O16" s="14"/>
      <c r="P16" s="41" t="n">
        <v>3</v>
      </c>
      <c r="Q16" s="41" t="n">
        <v>2</v>
      </c>
      <c r="R16" s="28" t="n">
        <f aca="false">IF(OR(P16="",Q16=""),"",P16*Q16)</f>
        <v>6</v>
      </c>
      <c r="S16" s="32" t="str">
        <f aca="false">IF(R16="","",IF(R16&gt;=P_RiskHoch,"hoch",IF(R16&gt;=P_RiskMittel,"mittel","niedrig")))</f>
        <v>niedrig</v>
      </c>
      <c r="T16" s="42"/>
      <c r="U16" s="43" t="str">
        <f aca="false">IF(OR(T16="",N(I16)=0),"",T16/I16-1)</f>
        <v/>
      </c>
      <c r="V16" s="13"/>
      <c r="W16" s="13" t="s">
        <v>134</v>
      </c>
      <c r="X16" s="44" t="n">
        <f aca="false">N(I16)+(1000-ROW())/1000000</f>
        <v>25.000984</v>
      </c>
      <c r="Y16" s="44" t="n">
        <f aca="false">N(R16)+(1000-ROW())/1000000</f>
        <v>6.000984</v>
      </c>
    </row>
    <row r="17" customFormat="false" ht="30" hidden="false" customHeight="true" outlineLevel="0" collapsed="false">
      <c r="A17" s="28" t="n">
        <v>12</v>
      </c>
      <c r="B17" s="13" t="s">
        <v>132</v>
      </c>
      <c r="C17" s="13" t="s">
        <v>80</v>
      </c>
      <c r="D17" s="13" t="s">
        <v>95</v>
      </c>
      <c r="E17" s="13" t="s">
        <v>153</v>
      </c>
      <c r="F17" s="13"/>
      <c r="G17" s="38" t="n">
        <v>0</v>
      </c>
      <c r="H17" s="39" t="n">
        <f aca="false">IF(G17="","",G17*P_TageWoche)</f>
        <v>0</v>
      </c>
      <c r="I17" s="29" t="n">
        <f aca="false">IF(G17="","",G17*P_AT)</f>
        <v>0</v>
      </c>
      <c r="J17" s="30" t="n">
        <f aca="false">IF(G17="","",I17/P_JahresStd)</f>
        <v>0</v>
      </c>
      <c r="K17" s="31" t="n">
        <f aca="false">IF(G17="","",I17/$I$33)</f>
        <v>0</v>
      </c>
      <c r="L17" s="32" t="str">
        <f aca="false">IF(G17="","offen – zu bewerten",IF(G17=0,"0 h – Plausibilität prüfen","bewertet"))</f>
        <v>0 h – Plausibilität prüfen</v>
      </c>
      <c r="M17" s="14"/>
      <c r="N17" s="40"/>
      <c r="O17" s="14"/>
      <c r="P17" s="41" t="n">
        <v>2</v>
      </c>
      <c r="Q17" s="41" t="n">
        <v>2</v>
      </c>
      <c r="R17" s="28" t="n">
        <f aca="false">IF(OR(P17="",Q17=""),"",P17*Q17)</f>
        <v>4</v>
      </c>
      <c r="S17" s="32" t="str">
        <f aca="false">IF(R17="","",IF(R17&gt;=P_RiskHoch,"hoch",IF(R17&gt;=P_RiskMittel,"mittel","niedrig")))</f>
        <v>niedrig</v>
      </c>
      <c r="T17" s="42"/>
      <c r="U17" s="43" t="str">
        <f aca="false">IF(OR(T17="",N(I17)=0),"",T17/I17-1)</f>
        <v/>
      </c>
      <c r="V17" s="13" t="s">
        <v>154</v>
      </c>
      <c r="W17" s="13" t="s">
        <v>134</v>
      </c>
      <c r="X17" s="44" t="n">
        <f aca="false">N(I17)+(1000-ROW())/1000000</f>
        <v>0.000983</v>
      </c>
      <c r="Y17" s="44" t="n">
        <f aca="false">N(R17)+(1000-ROW())/1000000</f>
        <v>4.000983</v>
      </c>
    </row>
    <row r="18" customFormat="false" ht="30" hidden="false" customHeight="true" outlineLevel="0" collapsed="false">
      <c r="A18" s="28" t="n">
        <v>13</v>
      </c>
      <c r="B18" s="13" t="s">
        <v>132</v>
      </c>
      <c r="C18" s="13" t="s">
        <v>88</v>
      </c>
      <c r="D18" s="13" t="s">
        <v>97</v>
      </c>
      <c r="E18" s="13" t="s">
        <v>155</v>
      </c>
      <c r="F18" s="13"/>
      <c r="G18" s="38" t="n">
        <v>0.5</v>
      </c>
      <c r="H18" s="39" t="n">
        <f aca="false">IF(G18="","",G18*P_TageWoche)</f>
        <v>2.5</v>
      </c>
      <c r="I18" s="29" t="n">
        <f aca="false">IF(G18="","",G18*P_AT)</f>
        <v>125</v>
      </c>
      <c r="J18" s="30" t="n">
        <f aca="false">IF(G18="","",I18/P_JahresStd)</f>
        <v>0.0714285714285714</v>
      </c>
      <c r="K18" s="31" t="n">
        <f aca="false">IF(G18="","",I18/$I$33)</f>
        <v>0.0177935943060498</v>
      </c>
      <c r="L18" s="32" t="str">
        <f aca="false">IF(G18="","offen – zu bewerten",IF(G18=0,"0 h – Plausibilität prüfen","bewertet"))</f>
        <v>bewertet</v>
      </c>
      <c r="M18" s="14"/>
      <c r="N18" s="40"/>
      <c r="O18" s="14"/>
      <c r="P18" s="41" t="n">
        <v>2</v>
      </c>
      <c r="Q18" s="41" t="n">
        <v>2</v>
      </c>
      <c r="R18" s="28" t="n">
        <f aca="false">IF(OR(P18="",Q18=""),"",P18*Q18)</f>
        <v>4</v>
      </c>
      <c r="S18" s="32" t="str">
        <f aca="false">IF(R18="","",IF(R18&gt;=P_RiskHoch,"hoch",IF(R18&gt;=P_RiskMittel,"mittel","niedrig")))</f>
        <v>niedrig</v>
      </c>
      <c r="T18" s="42"/>
      <c r="U18" s="43" t="str">
        <f aca="false">IF(OR(T18="",N(I18)=0),"",T18/I18-1)</f>
        <v/>
      </c>
      <c r="V18" s="13"/>
      <c r="W18" s="13" t="s">
        <v>156</v>
      </c>
      <c r="X18" s="44" t="n">
        <f aca="false">N(I18)+(1000-ROW())/1000000</f>
        <v>125.000982</v>
      </c>
      <c r="Y18" s="44" t="n">
        <f aca="false">N(R18)+(1000-ROW())/1000000</f>
        <v>4.000982</v>
      </c>
    </row>
    <row r="19" customFormat="false" ht="30" hidden="false" customHeight="true" outlineLevel="0" collapsed="false">
      <c r="A19" s="28" t="n">
        <v>14</v>
      </c>
      <c r="B19" s="13" t="s">
        <v>132</v>
      </c>
      <c r="C19" s="13" t="s">
        <v>88</v>
      </c>
      <c r="D19" s="13" t="s">
        <v>97</v>
      </c>
      <c r="E19" s="13" t="s">
        <v>157</v>
      </c>
      <c r="F19" s="13"/>
      <c r="G19" s="38" t="n">
        <v>6</v>
      </c>
      <c r="H19" s="39" t="n">
        <f aca="false">IF(G19="","",G19*P_TageWoche)</f>
        <v>30</v>
      </c>
      <c r="I19" s="29" t="n">
        <f aca="false">IF(G19="","",G19*P_AT)</f>
        <v>1500</v>
      </c>
      <c r="J19" s="30" t="n">
        <f aca="false">IF(G19="","",I19/P_JahresStd)</f>
        <v>0.857142857142857</v>
      </c>
      <c r="K19" s="31" t="n">
        <f aca="false">IF(G19="","",I19/$I$33)</f>
        <v>0.213523131672598</v>
      </c>
      <c r="L19" s="32" t="str">
        <f aca="false">IF(G19="","offen – zu bewerten",IF(G19=0,"0 h – Plausibilität prüfen","bewertet"))</f>
        <v>bewertet</v>
      </c>
      <c r="M19" s="14"/>
      <c r="N19" s="40"/>
      <c r="O19" s="14"/>
      <c r="P19" s="41" t="n">
        <v>3</v>
      </c>
      <c r="Q19" s="41" t="n">
        <v>2</v>
      </c>
      <c r="R19" s="28" t="n">
        <f aca="false">IF(OR(P19="",Q19=""),"",P19*Q19)</f>
        <v>6</v>
      </c>
      <c r="S19" s="32" t="str">
        <f aca="false">IF(R19="","",IF(R19&gt;=P_RiskHoch,"hoch",IF(R19&gt;=P_RiskMittel,"mittel","niedrig")))</f>
        <v>niedrig</v>
      </c>
      <c r="T19" s="42"/>
      <c r="U19" s="43" t="str">
        <f aca="false">IF(OR(T19="",N(I19)=0),"",T19/I19-1)</f>
        <v/>
      </c>
      <c r="V19" s="13" t="s">
        <v>158</v>
      </c>
      <c r="W19" s="13" t="s">
        <v>156</v>
      </c>
      <c r="X19" s="44" t="n">
        <f aca="false">N(I19)+(1000-ROW())/1000000</f>
        <v>1500.000981</v>
      </c>
      <c r="Y19" s="44" t="n">
        <f aca="false">N(R19)+(1000-ROW())/1000000</f>
        <v>6.000981</v>
      </c>
    </row>
    <row r="20" customFormat="false" ht="30" hidden="false" customHeight="true" outlineLevel="0" collapsed="false">
      <c r="A20" s="28" t="n">
        <v>15</v>
      </c>
      <c r="B20" s="13" t="s">
        <v>132</v>
      </c>
      <c r="C20" s="13" t="s">
        <v>89</v>
      </c>
      <c r="D20" s="13" t="s">
        <v>97</v>
      </c>
      <c r="E20" s="13" t="s">
        <v>159</v>
      </c>
      <c r="F20" s="13"/>
      <c r="G20" s="38" t="n">
        <v>0</v>
      </c>
      <c r="H20" s="39" t="n">
        <f aca="false">IF(G20="","",G20*P_TageWoche)</f>
        <v>0</v>
      </c>
      <c r="I20" s="29" t="n">
        <f aca="false">IF(G20="","",G20*P_AT)</f>
        <v>0</v>
      </c>
      <c r="J20" s="30" t="n">
        <f aca="false">IF(G20="","",I20/P_JahresStd)</f>
        <v>0</v>
      </c>
      <c r="K20" s="31" t="n">
        <f aca="false">IF(G20="","",I20/$I$33)</f>
        <v>0</v>
      </c>
      <c r="L20" s="32" t="str">
        <f aca="false">IF(G20="","offen – zu bewerten",IF(G20=0,"0 h – Plausibilität prüfen","bewertet"))</f>
        <v>0 h – Plausibilität prüfen</v>
      </c>
      <c r="M20" s="14"/>
      <c r="N20" s="40"/>
      <c r="O20" s="14"/>
      <c r="P20" s="41" t="n">
        <v>4</v>
      </c>
      <c r="Q20" s="41" t="n">
        <v>4</v>
      </c>
      <c r="R20" s="28" t="n">
        <f aca="false">IF(OR(P20="",Q20=""),"",P20*Q20)</f>
        <v>16</v>
      </c>
      <c r="S20" s="32" t="str">
        <f aca="false">IF(R20="","",IF(R20&gt;=P_RiskHoch,"hoch",IF(R20&gt;=P_RiskMittel,"mittel","niedrig")))</f>
        <v>hoch</v>
      </c>
      <c r="T20" s="42"/>
      <c r="U20" s="43" t="str">
        <f aca="false">IF(OR(T20="",N(I20)=0),"",T20/I20-1)</f>
        <v/>
      </c>
      <c r="V20" s="13" t="s">
        <v>160</v>
      </c>
      <c r="W20" s="13" t="s">
        <v>161</v>
      </c>
      <c r="X20" s="44" t="n">
        <f aca="false">N(I20)+(1000-ROW())/1000000</f>
        <v>0.00098</v>
      </c>
      <c r="Y20" s="44" t="n">
        <f aca="false">N(R20)+(1000-ROW())/1000000</f>
        <v>16.00098</v>
      </c>
    </row>
    <row r="21" customFormat="false" ht="30" hidden="false" customHeight="true" outlineLevel="0" collapsed="false">
      <c r="A21" s="28" t="n">
        <v>16</v>
      </c>
      <c r="B21" s="13" t="s">
        <v>132</v>
      </c>
      <c r="C21" s="13" t="s">
        <v>87</v>
      </c>
      <c r="D21" s="13" t="s">
        <v>97</v>
      </c>
      <c r="E21" s="13" t="s">
        <v>162</v>
      </c>
      <c r="F21" s="13"/>
      <c r="G21" s="38" t="n">
        <v>2</v>
      </c>
      <c r="H21" s="39" t="n">
        <f aca="false">IF(G21="","",G21*P_TageWoche)</f>
        <v>10</v>
      </c>
      <c r="I21" s="29" t="n">
        <f aca="false">IF(G21="","",G21*P_AT)</f>
        <v>500</v>
      </c>
      <c r="J21" s="30" t="n">
        <f aca="false">IF(G21="","",I21/P_JahresStd)</f>
        <v>0.285714285714286</v>
      </c>
      <c r="K21" s="31" t="n">
        <f aca="false">IF(G21="","",I21/$I$33)</f>
        <v>0.0711743772241993</v>
      </c>
      <c r="L21" s="32" t="str">
        <f aca="false">IF(G21="","offen – zu bewerten",IF(G21=0,"0 h – Plausibilität prüfen","bewertet"))</f>
        <v>bewertet</v>
      </c>
      <c r="M21" s="14"/>
      <c r="N21" s="40"/>
      <c r="O21" s="14"/>
      <c r="P21" s="41" t="n">
        <v>3</v>
      </c>
      <c r="Q21" s="41" t="n">
        <v>2</v>
      </c>
      <c r="R21" s="28" t="n">
        <f aca="false">IF(OR(P21="",Q21=""),"",P21*Q21)</f>
        <v>6</v>
      </c>
      <c r="S21" s="32" t="str">
        <f aca="false">IF(R21="","",IF(R21&gt;=P_RiskHoch,"hoch",IF(R21&gt;=P_RiskMittel,"mittel","niedrig")))</f>
        <v>niedrig</v>
      </c>
      <c r="T21" s="42"/>
      <c r="U21" s="43" t="str">
        <f aca="false">IF(OR(T21="",N(I21)=0),"",T21/I21-1)</f>
        <v/>
      </c>
      <c r="V21" s="13" t="s">
        <v>137</v>
      </c>
      <c r="W21" s="13" t="s">
        <v>156</v>
      </c>
      <c r="X21" s="44" t="n">
        <f aca="false">N(I21)+(1000-ROW())/1000000</f>
        <v>500.000979</v>
      </c>
      <c r="Y21" s="44" t="n">
        <f aca="false">N(R21)+(1000-ROW())/1000000</f>
        <v>6.000979</v>
      </c>
    </row>
    <row r="22" customFormat="false" ht="30" hidden="false" customHeight="true" outlineLevel="0" collapsed="false">
      <c r="A22" s="28" t="n">
        <v>17</v>
      </c>
      <c r="B22" s="13" t="s">
        <v>132</v>
      </c>
      <c r="C22" s="13" t="s">
        <v>79</v>
      </c>
      <c r="D22" s="13" t="s">
        <v>93</v>
      </c>
      <c r="E22" s="13" t="s">
        <v>163</v>
      </c>
      <c r="F22" s="13"/>
      <c r="G22" s="38" t="n">
        <v>0</v>
      </c>
      <c r="H22" s="39" t="n">
        <f aca="false">IF(G22="","",G22*P_TageWoche)</f>
        <v>0</v>
      </c>
      <c r="I22" s="29" t="n">
        <f aca="false">IF(G22="","",G22*P_AT)</f>
        <v>0</v>
      </c>
      <c r="J22" s="30" t="n">
        <f aca="false">IF(G22="","",I22/P_JahresStd)</f>
        <v>0</v>
      </c>
      <c r="K22" s="31" t="n">
        <f aca="false">IF(G22="","",I22/$I$33)</f>
        <v>0</v>
      </c>
      <c r="L22" s="32" t="str">
        <f aca="false">IF(G22="","offen – zu bewerten",IF(G22=0,"0 h – Plausibilität prüfen","bewertet"))</f>
        <v>0 h – Plausibilität prüfen</v>
      </c>
      <c r="M22" s="14"/>
      <c r="N22" s="40"/>
      <c r="O22" s="14"/>
      <c r="P22" s="41" t="n">
        <v>5</v>
      </c>
      <c r="Q22" s="41" t="n">
        <v>4</v>
      </c>
      <c r="R22" s="28" t="n">
        <f aca="false">IF(OR(P22="",Q22=""),"",P22*Q22)</f>
        <v>20</v>
      </c>
      <c r="S22" s="32" t="str">
        <f aca="false">IF(R22="","",IF(R22&gt;=P_RiskHoch,"hoch",IF(R22&gt;=P_RiskMittel,"mittel","niedrig")))</f>
        <v>hoch</v>
      </c>
      <c r="T22" s="42"/>
      <c r="U22" s="43" t="str">
        <f aca="false">IF(OR(T22="",N(I22)=0),"",T22/I22-1)</f>
        <v/>
      </c>
      <c r="V22" s="13" t="s">
        <v>164</v>
      </c>
      <c r="W22" s="13" t="s">
        <v>161</v>
      </c>
      <c r="X22" s="44" t="n">
        <f aca="false">N(I22)+(1000-ROW())/1000000</f>
        <v>0.000978</v>
      </c>
      <c r="Y22" s="44" t="n">
        <f aca="false">N(R22)+(1000-ROW())/1000000</f>
        <v>20.000978</v>
      </c>
    </row>
    <row r="23" customFormat="false" ht="30" hidden="false" customHeight="true" outlineLevel="0" collapsed="false">
      <c r="A23" s="28" t="n">
        <v>18</v>
      </c>
      <c r="B23" s="13" t="s">
        <v>132</v>
      </c>
      <c r="C23" s="13" t="s">
        <v>79</v>
      </c>
      <c r="D23" s="13" t="s">
        <v>93</v>
      </c>
      <c r="E23" s="13" t="s">
        <v>165</v>
      </c>
      <c r="F23" s="13"/>
      <c r="G23" s="38" t="n">
        <v>0</v>
      </c>
      <c r="H23" s="39" t="n">
        <f aca="false">IF(G23="","",G23*P_TageWoche)</f>
        <v>0</v>
      </c>
      <c r="I23" s="29" t="n">
        <f aca="false">IF(G23="","",G23*P_AT)</f>
        <v>0</v>
      </c>
      <c r="J23" s="30" t="n">
        <f aca="false">IF(G23="","",I23/P_JahresStd)</f>
        <v>0</v>
      </c>
      <c r="K23" s="31" t="n">
        <f aca="false">IF(G23="","",I23/$I$33)</f>
        <v>0</v>
      </c>
      <c r="L23" s="32" t="str">
        <f aca="false">IF(G23="","offen – zu bewerten",IF(G23=0,"0 h – Plausibilität prüfen","bewertet"))</f>
        <v>0 h – Plausibilität prüfen</v>
      </c>
      <c r="M23" s="14"/>
      <c r="N23" s="40"/>
      <c r="O23" s="14"/>
      <c r="P23" s="41" t="n">
        <v>5</v>
      </c>
      <c r="Q23" s="41" t="n">
        <v>4</v>
      </c>
      <c r="R23" s="28" t="n">
        <f aca="false">IF(OR(P23="",Q23=""),"",P23*Q23)</f>
        <v>20</v>
      </c>
      <c r="S23" s="32" t="str">
        <f aca="false">IF(R23="","",IF(R23&gt;=P_RiskHoch,"hoch",IF(R23&gt;=P_RiskMittel,"mittel","niedrig")))</f>
        <v>hoch</v>
      </c>
      <c r="T23" s="42"/>
      <c r="U23" s="43" t="str">
        <f aca="false">IF(OR(T23="",N(I23)=0),"",T23/I23-1)</f>
        <v/>
      </c>
      <c r="V23" s="13" t="s">
        <v>166</v>
      </c>
      <c r="W23" s="13" t="s">
        <v>167</v>
      </c>
      <c r="X23" s="44" t="n">
        <f aca="false">N(I23)+(1000-ROW())/1000000</f>
        <v>0.000977</v>
      </c>
      <c r="Y23" s="44" t="n">
        <f aca="false">N(R23)+(1000-ROW())/1000000</f>
        <v>20.000977</v>
      </c>
    </row>
    <row r="24" customFormat="false" ht="30" hidden="false" customHeight="true" outlineLevel="0" collapsed="false">
      <c r="A24" s="28" t="n">
        <v>19</v>
      </c>
      <c r="B24" s="13" t="s">
        <v>132</v>
      </c>
      <c r="C24" s="13" t="s">
        <v>89</v>
      </c>
      <c r="D24" s="13" t="s">
        <v>97</v>
      </c>
      <c r="E24" s="13" t="s">
        <v>168</v>
      </c>
      <c r="F24" s="13"/>
      <c r="G24" s="38" t="n">
        <v>3</v>
      </c>
      <c r="H24" s="39" t="n">
        <f aca="false">IF(G24="","",G24*P_TageWoche)</f>
        <v>15</v>
      </c>
      <c r="I24" s="29" t="n">
        <f aca="false">IF(G24="","",G24*P_AT)</f>
        <v>750</v>
      </c>
      <c r="J24" s="30" t="n">
        <f aca="false">IF(G24="","",I24/P_JahresStd)</f>
        <v>0.428571428571429</v>
      </c>
      <c r="K24" s="31" t="n">
        <f aca="false">IF(G24="","",I24/$I$33)</f>
        <v>0.106761565836299</v>
      </c>
      <c r="L24" s="32" t="str">
        <f aca="false">IF(G24="","offen – zu bewerten",IF(G24=0,"0 h – Plausibilität prüfen","bewertet"))</f>
        <v>bewertet</v>
      </c>
      <c r="M24" s="14"/>
      <c r="N24" s="40"/>
      <c r="O24" s="14"/>
      <c r="P24" s="41" t="n">
        <v>2</v>
      </c>
      <c r="Q24" s="41" t="n">
        <v>2</v>
      </c>
      <c r="R24" s="28" t="n">
        <f aca="false">IF(OR(P24="",Q24=""),"",P24*Q24)</f>
        <v>4</v>
      </c>
      <c r="S24" s="32" t="str">
        <f aca="false">IF(R24="","",IF(R24&gt;=P_RiskHoch,"hoch",IF(R24&gt;=P_RiskMittel,"mittel","niedrig")))</f>
        <v>niedrig</v>
      </c>
      <c r="T24" s="42"/>
      <c r="U24" s="43" t="str">
        <f aca="false">IF(OR(T24="",N(I24)=0),"",T24/I24-1)</f>
        <v/>
      </c>
      <c r="V24" s="13"/>
      <c r="W24" s="13" t="s">
        <v>169</v>
      </c>
      <c r="X24" s="44" t="n">
        <f aca="false">N(I24)+(1000-ROW())/1000000</f>
        <v>750.000976</v>
      </c>
      <c r="Y24" s="44" t="n">
        <f aca="false">N(R24)+(1000-ROW())/1000000</f>
        <v>4.000976</v>
      </c>
    </row>
    <row r="25" customFormat="false" ht="30" hidden="false" customHeight="true" outlineLevel="0" collapsed="false">
      <c r="A25" s="45" t="n">
        <v>20</v>
      </c>
      <c r="B25" s="17" t="s">
        <v>170</v>
      </c>
      <c r="C25" s="18" t="s">
        <v>78</v>
      </c>
      <c r="D25" s="18" t="s">
        <v>95</v>
      </c>
      <c r="E25" s="18" t="s">
        <v>171</v>
      </c>
      <c r="F25" s="18"/>
      <c r="G25" s="38"/>
      <c r="H25" s="39" t="str">
        <f aca="false">IF(G25="","",G25*P_TageWoche)</f>
        <v/>
      </c>
      <c r="I25" s="29" t="str">
        <f aca="false">IF(G25="","",G25*P_AT)</f>
        <v/>
      </c>
      <c r="J25" s="30" t="str">
        <f aca="false">IF(G25="","",I25/P_JahresStd)</f>
        <v/>
      </c>
      <c r="K25" s="31" t="str">
        <f aca="false">IF(G25="","",I25/$I$33)</f>
        <v/>
      </c>
      <c r="L25" s="32" t="str">
        <f aca="false">IF(G25="","offen – zu bewerten",IF(G25=0,"0 h – Plausibilität prüfen","bewertet"))</f>
        <v>offen – zu bewerten</v>
      </c>
      <c r="M25" s="14"/>
      <c r="N25" s="40"/>
      <c r="O25" s="14"/>
      <c r="P25" s="41" t="n">
        <v>5</v>
      </c>
      <c r="Q25" s="41" t="n">
        <v>3</v>
      </c>
      <c r="R25" s="28" t="n">
        <f aca="false">IF(OR(P25="",Q25=""),"",P25*Q25)</f>
        <v>15</v>
      </c>
      <c r="S25" s="32" t="str">
        <f aca="false">IF(R25="","",IF(R25&gt;=P_RiskHoch,"hoch",IF(R25&gt;=P_RiskMittel,"mittel","niedrig")))</f>
        <v>hoch</v>
      </c>
      <c r="T25" s="42"/>
      <c r="U25" s="43" t="str">
        <f aca="false">IF(OR(T25="",N(I25)=0),"",T25/I25-1)</f>
        <v/>
      </c>
      <c r="V25" s="13" t="s">
        <v>172</v>
      </c>
      <c r="W25" s="13" t="s">
        <v>134</v>
      </c>
      <c r="X25" s="44" t="n">
        <f aca="false">N(I25)+(1000-ROW())/1000000</f>
        <v>0.000975</v>
      </c>
      <c r="Y25" s="44" t="n">
        <f aca="false">N(R25)+(1000-ROW())/1000000</f>
        <v>15.000975</v>
      </c>
    </row>
    <row r="26" customFormat="false" ht="30" hidden="false" customHeight="true" outlineLevel="0" collapsed="false">
      <c r="A26" s="45" t="n">
        <v>21</v>
      </c>
      <c r="B26" s="17" t="s">
        <v>170</v>
      </c>
      <c r="C26" s="18" t="s">
        <v>79</v>
      </c>
      <c r="D26" s="18" t="s">
        <v>94</v>
      </c>
      <c r="E26" s="18" t="s">
        <v>173</v>
      </c>
      <c r="F26" s="18"/>
      <c r="G26" s="38"/>
      <c r="H26" s="39" t="str">
        <f aca="false">IF(G26="","",G26*P_TageWoche)</f>
        <v/>
      </c>
      <c r="I26" s="29" t="str">
        <f aca="false">IF(G26="","",G26*P_AT)</f>
        <v/>
      </c>
      <c r="J26" s="30" t="str">
        <f aca="false">IF(G26="","",I26/P_JahresStd)</f>
        <v/>
      </c>
      <c r="K26" s="31" t="str">
        <f aca="false">IF(G26="","",I26/$I$33)</f>
        <v/>
      </c>
      <c r="L26" s="32" t="str">
        <f aca="false">IF(G26="","offen – zu bewerten",IF(G26=0,"0 h – Plausibilität prüfen","bewertet"))</f>
        <v>offen – zu bewerten</v>
      </c>
      <c r="M26" s="14"/>
      <c r="N26" s="40"/>
      <c r="O26" s="14"/>
      <c r="P26" s="41" t="n">
        <v>5</v>
      </c>
      <c r="Q26" s="41" t="n">
        <v>3</v>
      </c>
      <c r="R26" s="28" t="n">
        <f aca="false">IF(OR(P26="",Q26=""),"",P26*Q26)</f>
        <v>15</v>
      </c>
      <c r="S26" s="32" t="str">
        <f aca="false">IF(R26="","",IF(R26&gt;=P_RiskHoch,"hoch",IF(R26&gt;=P_RiskMittel,"mittel","niedrig")))</f>
        <v>hoch</v>
      </c>
      <c r="T26" s="42"/>
      <c r="U26" s="43" t="str">
        <f aca="false">IF(OR(T26="",N(I26)=0),"",T26/I26-1)</f>
        <v/>
      </c>
      <c r="V26" s="13" t="s">
        <v>174</v>
      </c>
      <c r="W26" s="13" t="s">
        <v>134</v>
      </c>
      <c r="X26" s="44" t="n">
        <f aca="false">N(I26)+(1000-ROW())/1000000</f>
        <v>0.000974</v>
      </c>
      <c r="Y26" s="44" t="n">
        <f aca="false">N(R26)+(1000-ROW())/1000000</f>
        <v>15.000974</v>
      </c>
    </row>
    <row r="27" customFormat="false" ht="30" hidden="false" customHeight="true" outlineLevel="0" collapsed="false">
      <c r="A27" s="45" t="n">
        <v>22</v>
      </c>
      <c r="B27" s="17" t="s">
        <v>170</v>
      </c>
      <c r="C27" s="18" t="s">
        <v>89</v>
      </c>
      <c r="D27" s="18" t="s">
        <v>97</v>
      </c>
      <c r="E27" s="18" t="s">
        <v>175</v>
      </c>
      <c r="F27" s="18"/>
      <c r="G27" s="38"/>
      <c r="H27" s="39" t="str">
        <f aca="false">IF(G27="","",G27*P_TageWoche)</f>
        <v/>
      </c>
      <c r="I27" s="29" t="str">
        <f aca="false">IF(G27="","",G27*P_AT)</f>
        <v/>
      </c>
      <c r="J27" s="30" t="str">
        <f aca="false">IF(G27="","",I27/P_JahresStd)</f>
        <v/>
      </c>
      <c r="K27" s="31" t="str">
        <f aca="false">IF(G27="","",I27/$I$33)</f>
        <v/>
      </c>
      <c r="L27" s="32" t="str">
        <f aca="false">IF(G27="","offen – zu bewerten",IF(G27=0,"0 h – Plausibilität prüfen","bewertet"))</f>
        <v>offen – zu bewerten</v>
      </c>
      <c r="M27" s="14"/>
      <c r="N27" s="40"/>
      <c r="O27" s="14"/>
      <c r="P27" s="41" t="n">
        <v>5</v>
      </c>
      <c r="Q27" s="41" t="n">
        <v>2</v>
      </c>
      <c r="R27" s="28" t="n">
        <f aca="false">IF(OR(P27="",Q27=""),"",P27*Q27)</f>
        <v>10</v>
      </c>
      <c r="S27" s="32" t="str">
        <f aca="false">IF(R27="","",IF(R27&gt;=P_RiskHoch,"hoch",IF(R27&gt;=P_RiskMittel,"mittel","niedrig")))</f>
        <v>mittel</v>
      </c>
      <c r="T27" s="42"/>
      <c r="U27" s="43" t="str">
        <f aca="false">IF(OR(T27="",N(I27)=0),"",T27/I27-1)</f>
        <v/>
      </c>
      <c r="V27" s="13" t="s">
        <v>176</v>
      </c>
      <c r="W27" s="13" t="s">
        <v>134</v>
      </c>
      <c r="X27" s="44" t="n">
        <f aca="false">N(I27)+(1000-ROW())/1000000</f>
        <v>0.000973</v>
      </c>
      <c r="Y27" s="44" t="n">
        <f aca="false">N(R27)+(1000-ROW())/1000000</f>
        <v>10.000973</v>
      </c>
    </row>
    <row r="28" customFormat="false" ht="30" hidden="false" customHeight="true" outlineLevel="0" collapsed="false">
      <c r="A28" s="45" t="n">
        <v>23</v>
      </c>
      <c r="B28" s="17" t="s">
        <v>170</v>
      </c>
      <c r="C28" s="18" t="s">
        <v>80</v>
      </c>
      <c r="D28" s="18" t="s">
        <v>96</v>
      </c>
      <c r="E28" s="18" t="s">
        <v>177</v>
      </c>
      <c r="F28" s="18"/>
      <c r="G28" s="38"/>
      <c r="H28" s="39" t="str">
        <f aca="false">IF(G28="","",G28*P_TageWoche)</f>
        <v/>
      </c>
      <c r="I28" s="29" t="str">
        <f aca="false">IF(G28="","",G28*P_AT)</f>
        <v/>
      </c>
      <c r="J28" s="30" t="str">
        <f aca="false">IF(G28="","",I28/P_JahresStd)</f>
        <v/>
      </c>
      <c r="K28" s="31" t="str">
        <f aca="false">IF(G28="","",I28/$I$33)</f>
        <v/>
      </c>
      <c r="L28" s="32" t="str">
        <f aca="false">IF(G28="","offen – zu bewerten",IF(G28=0,"0 h – Plausibilität prüfen","bewertet"))</f>
        <v>offen – zu bewerten</v>
      </c>
      <c r="M28" s="14"/>
      <c r="N28" s="40"/>
      <c r="O28" s="14"/>
      <c r="P28" s="41" t="n">
        <v>3</v>
      </c>
      <c r="Q28" s="41" t="n">
        <v>3</v>
      </c>
      <c r="R28" s="28" t="n">
        <f aca="false">IF(OR(P28="",Q28=""),"",P28*Q28)</f>
        <v>9</v>
      </c>
      <c r="S28" s="32" t="str">
        <f aca="false">IF(R28="","",IF(R28&gt;=P_RiskHoch,"hoch",IF(R28&gt;=P_RiskMittel,"mittel","niedrig")))</f>
        <v>mittel</v>
      </c>
      <c r="T28" s="42"/>
      <c r="U28" s="43" t="str">
        <f aca="false">IF(OR(T28="",N(I28)=0),"",T28/I28-1)</f>
        <v/>
      </c>
      <c r="V28" s="13" t="s">
        <v>178</v>
      </c>
      <c r="W28" s="13" t="s">
        <v>134</v>
      </c>
      <c r="X28" s="44" t="n">
        <f aca="false">N(I28)+(1000-ROW())/1000000</f>
        <v>0.000972</v>
      </c>
      <c r="Y28" s="44" t="n">
        <f aca="false">N(R28)+(1000-ROW())/1000000</f>
        <v>9.000972</v>
      </c>
    </row>
    <row r="29" customFormat="false" ht="30" hidden="false" customHeight="true" outlineLevel="0" collapsed="false">
      <c r="A29" s="45" t="n">
        <v>24</v>
      </c>
      <c r="B29" s="17" t="s">
        <v>170</v>
      </c>
      <c r="C29" s="18" t="s">
        <v>89</v>
      </c>
      <c r="D29" s="18" t="s">
        <v>97</v>
      </c>
      <c r="E29" s="18" t="s">
        <v>179</v>
      </c>
      <c r="F29" s="18"/>
      <c r="G29" s="38"/>
      <c r="H29" s="39" t="str">
        <f aca="false">IF(G29="","",G29*P_TageWoche)</f>
        <v/>
      </c>
      <c r="I29" s="29" t="str">
        <f aca="false">IF(G29="","",G29*P_AT)</f>
        <v/>
      </c>
      <c r="J29" s="30" t="str">
        <f aca="false">IF(G29="","",I29/P_JahresStd)</f>
        <v/>
      </c>
      <c r="K29" s="31" t="str">
        <f aca="false">IF(G29="","",I29/$I$33)</f>
        <v/>
      </c>
      <c r="L29" s="32" t="str">
        <f aca="false">IF(G29="","offen – zu bewerten",IF(G29=0,"0 h – Plausibilität prüfen","bewertet"))</f>
        <v>offen – zu bewerten</v>
      </c>
      <c r="M29" s="14"/>
      <c r="N29" s="40"/>
      <c r="O29" s="14"/>
      <c r="P29" s="41" t="n">
        <v>3</v>
      </c>
      <c r="Q29" s="41" t="n">
        <v>2</v>
      </c>
      <c r="R29" s="28" t="n">
        <f aca="false">IF(OR(P29="",Q29=""),"",P29*Q29)</f>
        <v>6</v>
      </c>
      <c r="S29" s="32" t="str">
        <f aca="false">IF(R29="","",IF(R29&gt;=P_RiskHoch,"hoch",IF(R29&gt;=P_RiskMittel,"mittel","niedrig")))</f>
        <v>niedrig</v>
      </c>
      <c r="T29" s="42"/>
      <c r="U29" s="43" t="str">
        <f aca="false">IF(OR(T29="",N(I29)=0),"",T29/I29-1)</f>
        <v/>
      </c>
      <c r="V29" s="13" t="s">
        <v>180</v>
      </c>
      <c r="W29" s="13" t="s">
        <v>134</v>
      </c>
      <c r="X29" s="44" t="n">
        <f aca="false">N(I29)+(1000-ROW())/1000000</f>
        <v>0.000971</v>
      </c>
      <c r="Y29" s="44" t="n">
        <f aca="false">N(R29)+(1000-ROW())/1000000</f>
        <v>6.000971</v>
      </c>
    </row>
    <row r="30" customFormat="false" ht="30" hidden="false" customHeight="true" outlineLevel="0" collapsed="false">
      <c r="A30" s="45" t="n">
        <v>25</v>
      </c>
      <c r="B30" s="17" t="s">
        <v>170</v>
      </c>
      <c r="C30" s="18" t="s">
        <v>86</v>
      </c>
      <c r="D30" s="18" t="s">
        <v>97</v>
      </c>
      <c r="E30" s="18" t="s">
        <v>181</v>
      </c>
      <c r="F30" s="18"/>
      <c r="G30" s="38"/>
      <c r="H30" s="39" t="str">
        <f aca="false">IF(G30="","",G30*P_TageWoche)</f>
        <v/>
      </c>
      <c r="I30" s="29" t="str">
        <f aca="false">IF(G30="","",G30*P_AT)</f>
        <v/>
      </c>
      <c r="J30" s="30" t="str">
        <f aca="false">IF(G30="","",I30/P_JahresStd)</f>
        <v/>
      </c>
      <c r="K30" s="31" t="str">
        <f aca="false">IF(G30="","",I30/$I$33)</f>
        <v/>
      </c>
      <c r="L30" s="32" t="str">
        <f aca="false">IF(G30="","offen – zu bewerten",IF(G30=0,"0 h – Plausibilität prüfen","bewertet"))</f>
        <v>offen – zu bewerten</v>
      </c>
      <c r="M30" s="14"/>
      <c r="N30" s="40"/>
      <c r="O30" s="14"/>
      <c r="P30" s="41" t="n">
        <v>4</v>
      </c>
      <c r="Q30" s="41" t="n">
        <v>2</v>
      </c>
      <c r="R30" s="28" t="n">
        <f aca="false">IF(OR(P30="",Q30=""),"",P30*Q30)</f>
        <v>8</v>
      </c>
      <c r="S30" s="32" t="str">
        <f aca="false">IF(R30="","",IF(R30&gt;=P_RiskHoch,"hoch",IF(R30&gt;=P_RiskMittel,"mittel","niedrig")))</f>
        <v>mittel</v>
      </c>
      <c r="T30" s="42"/>
      <c r="U30" s="43" t="str">
        <f aca="false">IF(OR(T30="",N(I30)=0),"",T30/I30-1)</f>
        <v/>
      </c>
      <c r="V30" s="13" t="s">
        <v>176</v>
      </c>
      <c r="W30" s="13" t="s">
        <v>134</v>
      </c>
      <c r="X30" s="44" t="n">
        <f aca="false">N(I30)+(1000-ROW())/1000000</f>
        <v>0.00097</v>
      </c>
      <c r="Y30" s="44" t="n">
        <f aca="false">N(R30)+(1000-ROW())/1000000</f>
        <v>8.00097</v>
      </c>
    </row>
    <row r="31" customFormat="false" ht="30" hidden="false" customHeight="true" outlineLevel="0" collapsed="false">
      <c r="A31" s="45" t="n">
        <v>26</v>
      </c>
      <c r="B31" s="17" t="s">
        <v>170</v>
      </c>
      <c r="C31" s="18" t="s">
        <v>80</v>
      </c>
      <c r="D31" s="18" t="s">
        <v>96</v>
      </c>
      <c r="E31" s="18" t="s">
        <v>182</v>
      </c>
      <c r="F31" s="18"/>
      <c r="G31" s="38"/>
      <c r="H31" s="39" t="str">
        <f aca="false">IF(G31="","",G31*P_TageWoche)</f>
        <v/>
      </c>
      <c r="I31" s="29" t="str">
        <f aca="false">IF(G31="","",G31*P_AT)</f>
        <v/>
      </c>
      <c r="J31" s="30" t="str">
        <f aca="false">IF(G31="","",I31/P_JahresStd)</f>
        <v/>
      </c>
      <c r="K31" s="31" t="str">
        <f aca="false">IF(G31="","",I31/$I$33)</f>
        <v/>
      </c>
      <c r="L31" s="32" t="str">
        <f aca="false">IF(G31="","offen – zu bewerten",IF(G31=0,"0 h – Plausibilität prüfen","bewertet"))</f>
        <v>offen – zu bewerten</v>
      </c>
      <c r="M31" s="14"/>
      <c r="N31" s="40"/>
      <c r="O31" s="14"/>
      <c r="P31" s="41" t="n">
        <v>2</v>
      </c>
      <c r="Q31" s="41" t="n">
        <v>2</v>
      </c>
      <c r="R31" s="28" t="n">
        <f aca="false">IF(OR(P31="",Q31=""),"",P31*Q31)</f>
        <v>4</v>
      </c>
      <c r="S31" s="32" t="str">
        <f aca="false">IF(R31="","",IF(R31&gt;=P_RiskHoch,"hoch",IF(R31&gt;=P_RiskMittel,"mittel","niedrig")))</f>
        <v>niedrig</v>
      </c>
      <c r="T31" s="42"/>
      <c r="U31" s="43" t="str">
        <f aca="false">IF(OR(T31="",N(I31)=0),"",T31/I31-1)</f>
        <v/>
      </c>
      <c r="V31" s="13" t="s">
        <v>176</v>
      </c>
      <c r="W31" s="13" t="s">
        <v>134</v>
      </c>
      <c r="X31" s="44" t="n">
        <f aca="false">N(I31)+(1000-ROW())/1000000</f>
        <v>0.000969</v>
      </c>
      <c r="Y31" s="44" t="n">
        <f aca="false">N(R31)+(1000-ROW())/1000000</f>
        <v>4.000969</v>
      </c>
    </row>
    <row r="32" customFormat="false" ht="30" hidden="false" customHeight="true" outlineLevel="0" collapsed="false">
      <c r="A32" s="45" t="n">
        <v>27</v>
      </c>
      <c r="B32" s="17" t="s">
        <v>170</v>
      </c>
      <c r="C32" s="18" t="s">
        <v>86</v>
      </c>
      <c r="D32" s="18" t="s">
        <v>97</v>
      </c>
      <c r="E32" s="18" t="s">
        <v>183</v>
      </c>
      <c r="F32" s="18"/>
      <c r="G32" s="38"/>
      <c r="H32" s="39" t="str">
        <f aca="false">IF(G32="","",G32*P_TageWoche)</f>
        <v/>
      </c>
      <c r="I32" s="29" t="str">
        <f aca="false">IF(G32="","",G32*P_AT)</f>
        <v/>
      </c>
      <c r="J32" s="30" t="str">
        <f aca="false">IF(G32="","",I32/P_JahresStd)</f>
        <v/>
      </c>
      <c r="K32" s="31" t="str">
        <f aca="false">IF(G32="","",I32/$I$33)</f>
        <v/>
      </c>
      <c r="L32" s="32" t="str">
        <f aca="false">IF(G32="","offen – zu bewerten",IF(G32=0,"0 h – Plausibilität prüfen","bewertet"))</f>
        <v>offen – zu bewerten</v>
      </c>
      <c r="M32" s="14"/>
      <c r="N32" s="40"/>
      <c r="O32" s="14"/>
      <c r="P32" s="41" t="n">
        <v>4</v>
      </c>
      <c r="Q32" s="41" t="n">
        <v>3</v>
      </c>
      <c r="R32" s="28" t="n">
        <f aca="false">IF(OR(P32="",Q32=""),"",P32*Q32)</f>
        <v>12</v>
      </c>
      <c r="S32" s="32" t="str">
        <f aca="false">IF(R32="","",IF(R32&gt;=P_RiskHoch,"hoch",IF(R32&gt;=P_RiskMittel,"mittel","niedrig")))</f>
        <v>mittel</v>
      </c>
      <c r="T32" s="42"/>
      <c r="U32" s="43" t="str">
        <f aca="false">IF(OR(T32="",N(I32)=0),"",T32/I32-1)</f>
        <v/>
      </c>
      <c r="V32" s="13" t="s">
        <v>184</v>
      </c>
      <c r="W32" s="13" t="s">
        <v>134</v>
      </c>
      <c r="X32" s="44" t="n">
        <f aca="false">N(I32)+(1000-ROW())/1000000</f>
        <v>0.000968</v>
      </c>
      <c r="Y32" s="44" t="n">
        <f aca="false">N(R32)+(1000-ROW())/1000000</f>
        <v>12.000968</v>
      </c>
    </row>
    <row r="33" customFormat="false" ht="21.75" hidden="false" customHeight="true" outlineLevel="0" collapsed="false">
      <c r="A33" s="46"/>
      <c r="B33" s="46"/>
      <c r="C33" s="46"/>
      <c r="D33" s="46"/>
      <c r="E33" s="47" t="s">
        <v>185</v>
      </c>
      <c r="F33" s="46"/>
      <c r="G33" s="48" t="n">
        <f aca="false">SUM(G6:G32)</f>
        <v>28.1</v>
      </c>
      <c r="H33" s="48" t="n">
        <f aca="false">SUM(H6:H32)</f>
        <v>140.5</v>
      </c>
      <c r="I33" s="49" t="n">
        <f aca="false">SUM(I6:I32)</f>
        <v>7025</v>
      </c>
      <c r="J33" s="50" t="n">
        <f aca="false">SUM(J6:J32)</f>
        <v>4.01428571428571</v>
      </c>
      <c r="K33" s="51" t="n">
        <f aca="false">SUM(K6:K32)</f>
        <v>1</v>
      </c>
      <c r="L33" s="46"/>
      <c r="M33" s="46"/>
      <c r="N33" s="46"/>
      <c r="O33" s="46"/>
      <c r="P33" s="46"/>
      <c r="Q33" s="46"/>
      <c r="R33" s="46"/>
      <c r="S33" s="46"/>
      <c r="T33" s="49" t="str">
        <f aca="false">IF(COUNT(T6:T32)=0,"",SUM(T6:T32))</f>
        <v/>
      </c>
      <c r="U33" s="52" t="str">
        <f aca="false">IF(T33="","",T33/I33-1)</f>
        <v/>
      </c>
      <c r="V33" s="46"/>
      <c r="W33" s="46"/>
    </row>
    <row r="35" customFormat="false" ht="15" hidden="false" customHeight="false" outlineLevel="0" collapsed="false">
      <c r="E35" s="53" t="s">
        <v>186</v>
      </c>
      <c r="J35" s="54" t="n">
        <f aca="false">G33/P_StdTag</f>
        <v>4.01428571428571</v>
      </c>
      <c r="K35" s="55" t="str">
        <f aca="false">IF(ABS(J35-J33)&lt;0.0001,"✔ identisch","✘ Abweichung")</f>
        <v>✔ identisch</v>
      </c>
    </row>
    <row r="36" customFormat="false" ht="15" hidden="false" customHeight="false" outlineLevel="0" collapsed="false">
      <c r="E36" s="53" t="s">
        <v>187</v>
      </c>
      <c r="J36" s="56" t="n">
        <v>4.01428571428571</v>
      </c>
      <c r="K36" s="55" t="str">
        <f aca="false">IF(ABS(J36-J33)&lt;0.0001,"✔ unverändert","Δ "&amp;TEXT(J33-J36,"+0.00;-0.00"))</f>
        <v>✔ unverändert</v>
      </c>
    </row>
    <row r="38" customFormat="false" ht="15" hidden="false" customHeight="false" outlineLevel="0" collapsed="false">
      <c r="E38" s="2" t="s">
        <v>188</v>
      </c>
    </row>
  </sheetData>
  <autoFilter ref="A5:W32"/>
  <conditionalFormatting sqref="S6:S32">
    <cfRule type="cellIs" priority="2" operator="equal" aboveAverage="0" equalAverage="0" bottom="0" percent="0" rank="0" text="" dxfId="2">
      <formula>"hoch"</formula>
    </cfRule>
    <cfRule type="cellIs" priority="3" operator="equal" aboveAverage="0" equalAverage="0" bottom="0" percent="0" rank="0" text="" dxfId="1">
      <formula>"mittel"</formula>
    </cfRule>
    <cfRule type="cellIs" priority="4" operator="equal" aboveAverage="0" equalAverage="0" bottom="0" percent="0" rank="0" text="" dxfId="0">
      <formula>"niedrig"</formula>
    </cfRule>
  </conditionalFormatting>
  <conditionalFormatting sqref="L6:L32">
    <cfRule type="expression" priority="5" aboveAverage="0" equalAverage="0" bottom="0" percent="0" rank="0" text="" dxfId="1">
      <formula>LEFT(L6,1)="0"</formula>
    </cfRule>
    <cfRule type="expression" priority="6" aboveAverage="0" equalAverage="0" bottom="0" percent="0" rank="0" text="" dxfId="17">
      <formula>LEFT(L6,1)="o"</formula>
    </cfRule>
  </conditionalFormatting>
  <conditionalFormatting sqref="I6:I32">
    <cfRule type="dataBar" priority="7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{3A6FD39C-C6E7-49AD-8A3E-4395C3841C33}</x14:id>
        </ext>
      </extLst>
    </cfRule>
  </conditionalFormatting>
  <dataValidations count="8">
    <dataValidation allowBlank="true" errorStyle="stop" operator="between" showDropDown="false" showErrorMessage="false" showInputMessage="false" sqref="N6:N32" type="list">
      <formula1>"Ja,Nein"</formula1>
      <formula2>0</formula2>
    </dataValidation>
    <dataValidation allowBlank="true" errorStyle="stop" operator="between" showDropDown="false" showErrorMessage="false" showInputMessage="false" sqref="O6:O32" type="list">
      <formula1>"Messung,Erfahrungswert,Schätzung"</formula1>
      <formula2>0</formula2>
    </dataValidation>
    <dataValidation allowBlank="true" errorStyle="stop" operator="between" prompt="Skala siehe Blatt Parameter" promptTitle="Hinweis" showDropDown="false" showErrorMessage="false" showInputMessage="true" sqref="P6:Q32" type="list">
      <formula1>"1,2,3,4,5"</formula1>
      <formula2>0</formula2>
    </dataValidation>
    <dataValidation allowBlank="true" errorStyle="stop" operator="between" showDropDown="false" showErrorMessage="false" showInputMessage="false" sqref="C6:C32" type="list">
      <formula1>Lst_Bereich</formula1>
      <formula2>0</formula2>
    </dataValidation>
    <dataValidation allowBlank="true" errorStyle="stop" operator="between" showDropDown="false" showErrorMessage="false" showInputMessage="false" sqref="D6:D32" type="list">
      <formula1>Lst_DIN</formula1>
      <formula2>0</formula2>
    </dataValidation>
    <dataValidation allowBlank="true" errorStyle="stop" operator="between" showDropDown="false" showErrorMessage="false" showInputMessage="false" sqref="M6:M32" type="list">
      <formula1>Lst_Team</formula1>
      <formula2>0</formula2>
    </dataValidation>
    <dataValidation allowBlank="true" errorStyle="stop" operator="between" showDropDown="false" showErrorMessage="false" showInputMessage="false" sqref="B6:B32" type="list">
      <formula1>"Original,Neu (Vorschlag)"</formula1>
      <formula2>0</formula2>
    </dataValidation>
    <dataValidation allowBlank="true" error="Bitte Stunden je Arbeitstag zwischen 0 und 24 eingeben." errorStyle="stop" errorTitle="Ungültig" operator="between" showDropDown="false" showErrorMessage="false" showInputMessage="false" sqref="G6:G32" type="decimal">
      <formula1>0</formula1>
      <formula2>24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6FD39C-C6E7-49AD-8A3E-4395C3841C33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I6:I32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70"/>
  </cols>
  <sheetData>
    <row r="1" customFormat="false" ht="25.5" hidden="false" customHeight="tru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4" t="s">
        <v>191</v>
      </c>
      <c r="B4" s="5"/>
      <c r="C4" s="5"/>
      <c r="D4" s="5"/>
      <c r="E4" s="5"/>
      <c r="F4" s="5"/>
    </row>
    <row r="5" customFormat="false" ht="31.5" hidden="false" customHeight="true" outlineLevel="0" collapsed="false">
      <c r="A5" s="11" t="s">
        <v>192</v>
      </c>
      <c r="B5" s="11" t="s">
        <v>193</v>
      </c>
      <c r="C5" s="11" t="s">
        <v>194</v>
      </c>
      <c r="D5" s="11" t="s">
        <v>195</v>
      </c>
      <c r="E5" s="11" t="s">
        <v>196</v>
      </c>
      <c r="F5" s="11" t="s">
        <v>197</v>
      </c>
    </row>
    <row r="6" customFormat="false" ht="15" hidden="false" customHeight="false" outlineLevel="0" collapsed="false">
      <c r="A6" s="13" t="s">
        <v>198</v>
      </c>
      <c r="B6" s="57" t="n">
        <f aca="false">Kapazitätsbedarf!G33</f>
        <v>28.1</v>
      </c>
      <c r="C6" s="13" t="s">
        <v>199</v>
      </c>
      <c r="D6" s="58" t="n">
        <v>28.1</v>
      </c>
      <c r="E6" s="32" t="str">
        <f aca="false">IF(ABS(B6-D6)&lt;0.0001,"✔","Δ")</f>
        <v>✔</v>
      </c>
      <c r="F6" s="59" t="s">
        <v>200</v>
      </c>
    </row>
    <row r="7" customFormat="false" ht="15" hidden="false" customHeight="false" outlineLevel="0" collapsed="false">
      <c r="A7" s="13" t="s">
        <v>201</v>
      </c>
      <c r="B7" s="60" t="n">
        <f aca="false">Kapazitätsbedarf!I33</f>
        <v>7025</v>
      </c>
      <c r="C7" s="13" t="s">
        <v>66</v>
      </c>
      <c r="D7" s="13"/>
      <c r="E7" s="13"/>
      <c r="F7" s="59" t="s">
        <v>202</v>
      </c>
    </row>
    <row r="8" customFormat="false" ht="15" hidden="false" customHeight="false" outlineLevel="0" collapsed="false">
      <c r="A8" s="7" t="s">
        <v>5</v>
      </c>
      <c r="B8" s="61" t="n">
        <f aca="false">Kapazitätsbedarf!J33</f>
        <v>4.01428571428571</v>
      </c>
      <c r="C8" s="13" t="s">
        <v>67</v>
      </c>
      <c r="D8" s="62" t="n">
        <v>4.01428571428571</v>
      </c>
      <c r="E8" s="32" t="str">
        <f aca="false">IF(ABS(B8-D8)&lt;0.0001,"✔","Δ")</f>
        <v>✔</v>
      </c>
      <c r="F8" s="59" t="s">
        <v>203</v>
      </c>
    </row>
    <row r="10" customFormat="false" ht="15" hidden="false" customHeight="false" outlineLevel="0" collapsed="false">
      <c r="A10" s="4" t="s">
        <v>204</v>
      </c>
      <c r="B10" s="5"/>
      <c r="C10" s="5"/>
      <c r="D10" s="5"/>
      <c r="E10" s="5"/>
      <c r="F10" s="5"/>
    </row>
    <row r="11" customFormat="false" ht="31.5" hidden="false" customHeight="true" outlineLevel="0" collapsed="false">
      <c r="A11" s="11" t="s">
        <v>205</v>
      </c>
      <c r="B11" s="11" t="s">
        <v>68</v>
      </c>
      <c r="C11" s="11" t="s">
        <v>67</v>
      </c>
      <c r="D11" s="11" t="s">
        <v>195</v>
      </c>
      <c r="E11" s="11" t="s">
        <v>196</v>
      </c>
      <c r="F11" s="11" t="s">
        <v>206</v>
      </c>
    </row>
    <row r="12" customFormat="false" ht="15" hidden="false" customHeight="false" outlineLevel="0" collapsed="false">
      <c r="A12" s="13" t="s">
        <v>207</v>
      </c>
      <c r="B12" s="63" t="n">
        <f aca="false">P_Urlaub/P_BezugAT</f>
        <v>0.172727272727273</v>
      </c>
      <c r="C12" s="64" t="n">
        <f aca="false">$B$8*B12</f>
        <v>0.693376623376623</v>
      </c>
      <c r="D12" s="62" t="n">
        <v>0.693376623376623</v>
      </c>
      <c r="E12" s="32" t="str">
        <f aca="false">IF(D12="","",IF(ABS(C12-D12)&lt;0.0001,"✔","Δ"))</f>
        <v>✔</v>
      </c>
      <c r="F12" s="59" t="s">
        <v>208</v>
      </c>
    </row>
    <row r="13" customFormat="false" ht="15" hidden="false" customHeight="false" outlineLevel="0" collapsed="false">
      <c r="A13" s="13" t="s">
        <v>209</v>
      </c>
      <c r="B13" s="63" t="n">
        <f aca="false">P_Krank</f>
        <v>0.041</v>
      </c>
      <c r="C13" s="64" t="n">
        <f aca="false">$B$8*B13</f>
        <v>0.164585714285714</v>
      </c>
      <c r="D13" s="62" t="n">
        <v>0.164585714285714</v>
      </c>
      <c r="E13" s="32" t="str">
        <f aca="false">IF(D13="","",IF(ABS(C13-D13)&lt;0.0001,"✔","Δ"))</f>
        <v>✔</v>
      </c>
      <c r="F13" s="59" t="s">
        <v>210</v>
      </c>
    </row>
    <row r="14" customFormat="false" ht="15" hidden="false" customHeight="false" outlineLevel="0" collapsed="false">
      <c r="A14" s="13" t="s">
        <v>211</v>
      </c>
      <c r="B14" s="63" t="n">
        <f aca="false">P_WB/P_BezugAT</f>
        <v>0</v>
      </c>
      <c r="C14" s="64" t="n">
        <f aca="false">$B$8*B14</f>
        <v>0</v>
      </c>
      <c r="D14" s="62"/>
      <c r="E14" s="32" t="str">
        <f aca="false">IF(D14="","",IF(ABS(C14-D14)&lt;0.0001,"✔","Δ"))</f>
        <v/>
      </c>
      <c r="F14" s="59" t="s">
        <v>212</v>
      </c>
    </row>
    <row r="15" customFormat="false" ht="15" hidden="false" customHeight="false" outlineLevel="0" collapsed="false">
      <c r="A15" s="13" t="s">
        <v>213</v>
      </c>
      <c r="B15" s="63" t="n">
        <f aca="false">P_Sonst</f>
        <v>0</v>
      </c>
      <c r="C15" s="64" t="n">
        <f aca="false">$B$8*B15</f>
        <v>0</v>
      </c>
      <c r="D15" s="62"/>
      <c r="E15" s="32" t="str">
        <f aca="false">IF(D15="","",IF(ABS(C15-D15)&lt;0.0001,"✔","Δ"))</f>
        <v/>
      </c>
      <c r="F15" s="59" t="s">
        <v>212</v>
      </c>
    </row>
    <row r="16" customFormat="false" ht="15" hidden="false" customHeight="false" outlineLevel="0" collapsed="false">
      <c r="A16" s="7" t="s">
        <v>214</v>
      </c>
      <c r="B16" s="65" t="n">
        <f aca="false">SUM(B12:B15)</f>
        <v>0.213727272727273</v>
      </c>
      <c r="C16" s="66" t="n">
        <f aca="false">SUM(C12:C15)</f>
        <v>0.857962337662338</v>
      </c>
      <c r="D16" s="62" t="n">
        <v>0.857962337662338</v>
      </c>
      <c r="E16" s="32" t="str">
        <f aca="false">IF(ABS(C16-D16)&lt;0.0001,"✔","Δ")</f>
        <v>✔</v>
      </c>
      <c r="F16" s="59" t="s">
        <v>215</v>
      </c>
    </row>
    <row r="17" customFormat="false" ht="23.85" hidden="false" customHeight="false" outlineLevel="0" collapsed="false">
      <c r="A17" s="67" t="s">
        <v>6</v>
      </c>
      <c r="B17" s="68"/>
      <c r="C17" s="69" t="n">
        <f aca="false">B8+C16</f>
        <v>4.87224805194805</v>
      </c>
      <c r="D17" s="70" t="n">
        <v>4.87224805194805</v>
      </c>
      <c r="E17" s="71" t="str">
        <f aca="false">IF(ABS(C17-D17)&lt;0.0001,"✔","Δ")</f>
        <v>✔</v>
      </c>
      <c r="F17" s="72" t="s">
        <v>216</v>
      </c>
    </row>
    <row r="18" customFormat="false" ht="15" hidden="false" customHeight="false" outlineLevel="0" collapsed="false">
      <c r="A18" s="2" t="s">
        <v>217</v>
      </c>
    </row>
    <row r="20" customFormat="false" ht="15" hidden="false" customHeight="false" outlineLevel="0" collapsed="false">
      <c r="A20" s="4" t="s">
        <v>218</v>
      </c>
      <c r="B20" s="5"/>
      <c r="C20" s="5"/>
      <c r="D20" s="5"/>
      <c r="E20" s="5"/>
      <c r="F20" s="5"/>
    </row>
    <row r="21" customFormat="false" ht="31.5" hidden="false" customHeight="true" outlineLevel="0" collapsed="false">
      <c r="A21" s="11" t="s">
        <v>219</v>
      </c>
      <c r="B21" s="11" t="s">
        <v>220</v>
      </c>
      <c r="C21" s="11" t="s">
        <v>221</v>
      </c>
      <c r="D21" s="11" t="s">
        <v>222</v>
      </c>
      <c r="E21" s="11"/>
      <c r="F21" s="11" t="s">
        <v>223</v>
      </c>
    </row>
    <row r="22" customFormat="false" ht="30" hidden="false" customHeight="true" outlineLevel="0" collapsed="false">
      <c r="A22" s="13" t="s">
        <v>224</v>
      </c>
      <c r="B22" s="13" t="s">
        <v>225</v>
      </c>
      <c r="C22" s="64" t="n">
        <f aca="false">C17</f>
        <v>4.87224805194805</v>
      </c>
      <c r="D22" s="73" t="n">
        <v>0</v>
      </c>
      <c r="E22" s="13"/>
      <c r="F22" s="13" t="s">
        <v>226</v>
      </c>
    </row>
    <row r="23" customFormat="false" ht="30" hidden="false" customHeight="true" outlineLevel="0" collapsed="false">
      <c r="A23" s="13" t="s">
        <v>227</v>
      </c>
      <c r="B23" s="13" t="s">
        <v>228</v>
      </c>
      <c r="C23" s="64" t="n">
        <f aca="false">B8/(1-B16)</f>
        <v>5.10546223345391</v>
      </c>
      <c r="D23" s="73" t="n">
        <f aca="false">C23-C22</f>
        <v>0.233214181505857</v>
      </c>
      <c r="E23" s="13"/>
      <c r="F23" s="13" t="s">
        <v>229</v>
      </c>
    </row>
    <row r="24" customFormat="false" ht="15" hidden="false" customHeight="false" outlineLevel="0" collapsed="false">
      <c r="A24" s="2" t="s">
        <v>230</v>
      </c>
    </row>
    <row r="26" customFormat="false" ht="15" hidden="false" customHeight="false" outlineLevel="0" collapsed="false">
      <c r="A26" s="4" t="s">
        <v>231</v>
      </c>
      <c r="B26" s="5"/>
      <c r="C26" s="5"/>
      <c r="D26" s="5"/>
      <c r="E26" s="5"/>
      <c r="F26" s="5"/>
    </row>
    <row r="27" customFormat="false" ht="31.5" hidden="false" customHeight="true" outlineLevel="0" collapsed="false">
      <c r="A27" s="11" t="s">
        <v>232</v>
      </c>
      <c r="B27" s="11" t="s">
        <v>233</v>
      </c>
      <c r="C27" s="11" t="s">
        <v>234</v>
      </c>
      <c r="D27" s="11" t="s">
        <v>235</v>
      </c>
      <c r="E27" s="11" t="s">
        <v>129</v>
      </c>
      <c r="F27" s="11" t="s">
        <v>197</v>
      </c>
    </row>
    <row r="28" customFormat="false" ht="15" hidden="false" customHeight="false" outlineLevel="0" collapsed="false">
      <c r="A28" s="28" t="n">
        <v>1</v>
      </c>
      <c r="B28" s="13" t="s">
        <v>236</v>
      </c>
      <c r="C28" s="74" t="n">
        <v>1</v>
      </c>
      <c r="D28" s="14"/>
      <c r="E28" s="13" t="s">
        <v>156</v>
      </c>
      <c r="F28" s="13" t="s">
        <v>237</v>
      </c>
    </row>
    <row r="29" customFormat="false" ht="15" hidden="false" customHeight="false" outlineLevel="0" collapsed="false">
      <c r="A29" s="28" t="n">
        <v>2</v>
      </c>
      <c r="B29" s="13" t="s">
        <v>238</v>
      </c>
      <c r="C29" s="74" t="n">
        <v>1</v>
      </c>
      <c r="D29" s="14"/>
      <c r="E29" s="13" t="s">
        <v>156</v>
      </c>
      <c r="F29" s="13" t="s">
        <v>239</v>
      </c>
    </row>
    <row r="30" customFormat="false" ht="15" hidden="false" customHeight="false" outlineLevel="0" collapsed="false">
      <c r="A30" s="28" t="n">
        <v>4</v>
      </c>
      <c r="B30" s="13" t="s">
        <v>240</v>
      </c>
      <c r="C30" s="74" t="n">
        <v>1</v>
      </c>
      <c r="D30" s="14"/>
      <c r="E30" s="13" t="s">
        <v>156</v>
      </c>
      <c r="F30" s="13" t="s">
        <v>239</v>
      </c>
    </row>
    <row r="31" customFormat="false" ht="15" hidden="false" customHeight="false" outlineLevel="0" collapsed="false">
      <c r="A31" s="28" t="n">
        <v>5</v>
      </c>
      <c r="B31" s="13" t="s">
        <v>241</v>
      </c>
      <c r="C31" s="74" t="n">
        <v>1</v>
      </c>
      <c r="D31" s="14"/>
      <c r="E31" s="13" t="s">
        <v>242</v>
      </c>
      <c r="F31" s="13" t="s">
        <v>239</v>
      </c>
    </row>
    <row r="32" customFormat="false" ht="15" hidden="false" customHeight="false" outlineLevel="0" collapsed="false">
      <c r="A32" s="14"/>
      <c r="B32" s="14"/>
      <c r="C32" s="75"/>
      <c r="D32" s="14"/>
      <c r="E32" s="13"/>
      <c r="F32" s="13" t="s">
        <v>243</v>
      </c>
    </row>
    <row r="33" customFormat="false" ht="15" hidden="false" customHeight="false" outlineLevel="0" collapsed="false">
      <c r="A33" s="14"/>
      <c r="B33" s="14"/>
      <c r="C33" s="75"/>
      <c r="D33" s="14"/>
      <c r="E33" s="13"/>
      <c r="F33" s="13" t="s">
        <v>243</v>
      </c>
    </row>
    <row r="34" customFormat="false" ht="15" hidden="false" customHeight="false" outlineLevel="0" collapsed="false">
      <c r="A34" s="7" t="s">
        <v>244</v>
      </c>
      <c r="B34" s="13"/>
      <c r="C34" s="66" t="n">
        <f aca="false">SUM(C28:C33)</f>
        <v>4</v>
      </c>
      <c r="D34" s="76"/>
      <c r="E34" s="76"/>
      <c r="F34" s="76"/>
    </row>
    <row r="35" customFormat="false" ht="15" hidden="false" customHeight="false" outlineLevel="0" collapsed="false">
      <c r="A35" s="7" t="s">
        <v>245</v>
      </c>
      <c r="B35" s="13"/>
      <c r="C35" s="66" t="n">
        <f aca="false">C17</f>
        <v>4.87224805194805</v>
      </c>
      <c r="D35" s="76"/>
      <c r="E35" s="76"/>
      <c r="F35" s="76"/>
    </row>
    <row r="36" customFormat="false" ht="15" hidden="false" customHeight="false" outlineLevel="0" collapsed="false">
      <c r="A36" s="7" t="s">
        <v>8</v>
      </c>
      <c r="B36" s="13"/>
      <c r="C36" s="77" t="n">
        <f aca="false">C34-C35</f>
        <v>-0.872248051948052</v>
      </c>
      <c r="D36" s="78" t="s">
        <v>246</v>
      </c>
      <c r="E36" s="76"/>
      <c r="F36" s="76"/>
    </row>
    <row r="37" customFormat="false" ht="15" hidden="false" customHeight="false" outlineLevel="0" collapsed="false">
      <c r="A37" s="7" t="s">
        <v>59</v>
      </c>
      <c r="B37" s="13"/>
      <c r="C37" s="79" t="n">
        <f aca="false">IF(C35=0,"",C34/C35)</f>
        <v>0.820976263390509</v>
      </c>
      <c r="D37" s="78" t="s">
        <v>247</v>
      </c>
      <c r="E37" s="76"/>
      <c r="F37" s="76"/>
    </row>
    <row r="38" customFormat="false" ht="15" hidden="false" customHeight="false" outlineLevel="0" collapsed="false">
      <c r="A38" s="7" t="s">
        <v>248</v>
      </c>
      <c r="B38" s="13"/>
      <c r="C38" s="10" t="str">
        <f aca="false">IF(C37="","",IF(C37&gt;=P_DeckGruen,"gedeckt",IF(C37&gt;=P_DeckGelb,"knapp","Unterdeckung")))</f>
        <v>Unterdeckung</v>
      </c>
      <c r="D38" s="76"/>
      <c r="E38" s="76"/>
      <c r="F38" s="76"/>
    </row>
    <row r="39" customFormat="false" ht="15" hidden="false" customHeight="false" outlineLevel="0" collapsed="false">
      <c r="A39" s="2" t="s">
        <v>249</v>
      </c>
    </row>
  </sheetData>
  <conditionalFormatting sqref="C38">
    <cfRule type="cellIs" priority="2" operator="equal" aboveAverage="0" equalAverage="0" bottom="0" percent="0" rank="0" text="" dxfId="0">
      <formula>"gedeckt"</formula>
    </cfRule>
    <cfRule type="cellIs" priority="3" operator="equal" aboveAverage="0" equalAverage="0" bottom="0" percent="0" rank="0" text="" dxfId="1">
      <formula>"knapp"</formula>
    </cfRule>
    <cfRule type="cellIs" priority="4" operator="equal" aboveAverage="0" equalAverage="0" bottom="0" percent="0" rank="0" text="" dxfId="2">
      <formula>"Unterdeckung"</formula>
    </cfRule>
  </conditionalFormatting>
  <conditionalFormatting sqref="C36">
    <cfRule type="cellIs" priority="5" operator="lessThan" aboveAverage="0" equalAverage="0" bottom="0" percent="0" rank="0" text="" dxfId="18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25.5" hidden="false" customHeight="tru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31.5" hidden="false" customHeight="true" outlineLevel="0" collapsed="false">
      <c r="A4" s="11" t="s">
        <v>26</v>
      </c>
      <c r="B4" s="11" t="s">
        <v>193</v>
      </c>
      <c r="C4" s="11" t="s">
        <v>194</v>
      </c>
      <c r="D4" s="11" t="s">
        <v>252</v>
      </c>
    </row>
    <row r="5" customFormat="false" ht="15" hidden="false" customHeight="false" outlineLevel="0" collapsed="false">
      <c r="A5" s="13" t="s">
        <v>253</v>
      </c>
      <c r="B5" s="80" t="n">
        <v>45859</v>
      </c>
      <c r="C5" s="13" t="s">
        <v>254</v>
      </c>
      <c r="D5" s="13" t="s">
        <v>255</v>
      </c>
    </row>
    <row r="6" customFormat="false" ht="15" hidden="false" customHeight="false" outlineLevel="0" collapsed="false">
      <c r="A6" s="13" t="s">
        <v>256</v>
      </c>
      <c r="B6" s="81" t="n">
        <v>250</v>
      </c>
      <c r="C6" s="13" t="s">
        <v>257</v>
      </c>
      <c r="D6" s="13" t="s">
        <v>258</v>
      </c>
    </row>
    <row r="7" customFormat="false" ht="15" hidden="false" customHeight="false" outlineLevel="0" collapsed="false">
      <c r="A7" s="13" t="s">
        <v>259</v>
      </c>
      <c r="B7" s="81" t="n">
        <v>5</v>
      </c>
      <c r="C7" s="13" t="s">
        <v>260</v>
      </c>
      <c r="D7" s="13" t="s">
        <v>261</v>
      </c>
    </row>
    <row r="8" customFormat="false" ht="15" hidden="false" customHeight="false" outlineLevel="0" collapsed="false">
      <c r="A8" s="13" t="s">
        <v>262</v>
      </c>
      <c r="B8" s="82" t="n">
        <v>1750</v>
      </c>
      <c r="C8" s="13" t="s">
        <v>66</v>
      </c>
      <c r="D8" s="13" t="s">
        <v>263</v>
      </c>
    </row>
    <row r="9" customFormat="false" ht="15" hidden="false" customHeight="false" outlineLevel="0" collapsed="false">
      <c r="A9" s="13" t="s">
        <v>264</v>
      </c>
      <c r="B9" s="83" t="n">
        <f aca="false">P_JahresStd/P_AT</f>
        <v>7</v>
      </c>
      <c r="C9" s="13" t="s">
        <v>199</v>
      </c>
      <c r="D9" s="13" t="s">
        <v>265</v>
      </c>
    </row>
    <row r="10" customFormat="false" ht="15" hidden="false" customHeight="false" outlineLevel="0" collapsed="false">
      <c r="A10" s="13" t="s">
        <v>266</v>
      </c>
      <c r="B10" s="81" t="n">
        <v>38</v>
      </c>
      <c r="C10" s="13" t="s">
        <v>267</v>
      </c>
      <c r="D10" s="13" t="s">
        <v>268</v>
      </c>
    </row>
    <row r="11" customFormat="false" ht="15" hidden="false" customHeight="false" outlineLevel="0" collapsed="false">
      <c r="A11" s="13" t="s">
        <v>269</v>
      </c>
      <c r="B11" s="81" t="n">
        <v>220</v>
      </c>
      <c r="C11" s="13" t="s">
        <v>270</v>
      </c>
      <c r="D11" s="13" t="s">
        <v>271</v>
      </c>
    </row>
    <row r="12" customFormat="false" ht="15" hidden="false" customHeight="false" outlineLevel="0" collapsed="false">
      <c r="A12" s="13" t="s">
        <v>272</v>
      </c>
      <c r="B12" s="84" t="n">
        <v>0.041</v>
      </c>
      <c r="C12" s="13" t="s">
        <v>273</v>
      </c>
      <c r="D12" s="13" t="s">
        <v>274</v>
      </c>
    </row>
    <row r="13" customFormat="false" ht="15" hidden="false" customHeight="false" outlineLevel="0" collapsed="false">
      <c r="A13" s="13" t="s">
        <v>275</v>
      </c>
      <c r="B13" s="81" t="n">
        <v>0</v>
      </c>
      <c r="C13" s="13" t="s">
        <v>267</v>
      </c>
      <c r="D13" s="13" t="s">
        <v>276</v>
      </c>
    </row>
    <row r="14" customFormat="false" ht="15" hidden="false" customHeight="false" outlineLevel="0" collapsed="false">
      <c r="A14" s="13" t="s">
        <v>213</v>
      </c>
      <c r="B14" s="84" t="n">
        <v>0</v>
      </c>
      <c r="C14" s="13" t="s">
        <v>273</v>
      </c>
      <c r="D14" s="13" t="s">
        <v>277</v>
      </c>
    </row>
    <row r="15" customFormat="false" ht="15" hidden="false" customHeight="false" outlineLevel="0" collapsed="false">
      <c r="A15" s="13" t="s">
        <v>278</v>
      </c>
      <c r="B15" s="81" t="n">
        <v>15</v>
      </c>
      <c r="C15" s="13" t="s">
        <v>279</v>
      </c>
      <c r="D15" s="13" t="s">
        <v>280</v>
      </c>
    </row>
    <row r="16" customFormat="false" ht="15" hidden="false" customHeight="false" outlineLevel="0" collapsed="false">
      <c r="A16" s="13" t="s">
        <v>281</v>
      </c>
      <c r="B16" s="81" t="n">
        <v>8</v>
      </c>
      <c r="C16" s="13" t="s">
        <v>279</v>
      </c>
      <c r="D16" s="13" t="s">
        <v>282</v>
      </c>
    </row>
    <row r="17" customFormat="false" ht="15" hidden="false" customHeight="false" outlineLevel="0" collapsed="false">
      <c r="A17" s="13" t="s">
        <v>283</v>
      </c>
      <c r="B17" s="85" t="n">
        <v>1</v>
      </c>
      <c r="C17" s="13" t="s">
        <v>273</v>
      </c>
      <c r="D17" s="13" t="s">
        <v>284</v>
      </c>
    </row>
    <row r="18" customFormat="false" ht="15" hidden="false" customHeight="false" outlineLevel="0" collapsed="false">
      <c r="A18" s="13" t="s">
        <v>285</v>
      </c>
      <c r="B18" s="85" t="n">
        <v>0.9</v>
      </c>
      <c r="C18" s="13" t="s">
        <v>273</v>
      </c>
      <c r="D18" s="13" t="s">
        <v>282</v>
      </c>
    </row>
    <row r="20" customFormat="false" ht="15" hidden="false" customHeight="false" outlineLevel="0" collapsed="false">
      <c r="A20" s="4" t="s">
        <v>286</v>
      </c>
      <c r="B20" s="5"/>
      <c r="C20" s="5"/>
      <c r="D20" s="5"/>
    </row>
    <row r="21" customFormat="false" ht="30" hidden="false" customHeight="true" outlineLevel="0" collapsed="false">
      <c r="A21" s="7" t="s">
        <v>287</v>
      </c>
      <c r="B21" s="15" t="s">
        <v>288</v>
      </c>
      <c r="C21" s="15"/>
      <c r="D21" s="15"/>
    </row>
    <row r="22" customFormat="false" ht="30" hidden="false" customHeight="true" outlineLevel="0" collapsed="false">
      <c r="A22" s="7" t="s">
        <v>289</v>
      </c>
      <c r="B22" s="15" t="s">
        <v>290</v>
      </c>
      <c r="C22" s="15"/>
      <c r="D22" s="15"/>
    </row>
    <row r="23" customFormat="false" ht="30" hidden="false" customHeight="true" outlineLevel="0" collapsed="false">
      <c r="A23" s="7" t="s">
        <v>291</v>
      </c>
      <c r="B23" s="15" t="s">
        <v>292</v>
      </c>
      <c r="C23" s="15"/>
      <c r="D23" s="15"/>
    </row>
    <row r="24" customFormat="false" ht="30" hidden="false" customHeight="true" outlineLevel="0" collapsed="false">
      <c r="A24" s="7" t="s">
        <v>122</v>
      </c>
      <c r="B24" s="15" t="s">
        <v>293</v>
      </c>
      <c r="C24" s="15"/>
      <c r="D24" s="15"/>
    </row>
    <row r="25" customFormat="false" ht="30" hidden="false" customHeight="true" outlineLevel="0" collapsed="false">
      <c r="A25" s="7" t="s">
        <v>294</v>
      </c>
      <c r="B25" s="15" t="s">
        <v>295</v>
      </c>
      <c r="C25" s="15"/>
      <c r="D25" s="15"/>
    </row>
    <row r="28" customFormat="false" ht="15" hidden="false" customHeight="false" outlineLevel="0" collapsed="false">
      <c r="A28" s="4" t="s">
        <v>296</v>
      </c>
      <c r="B28" s="5"/>
      <c r="C28" s="5"/>
      <c r="D28" s="5"/>
    </row>
    <row r="29" customFormat="false" ht="15" hidden="false" customHeight="true" outlineLevel="0" collapsed="false">
      <c r="A29" s="7" t="s">
        <v>297</v>
      </c>
      <c r="B29" s="7" t="s">
        <v>298</v>
      </c>
      <c r="C29" s="7"/>
    </row>
    <row r="30" customFormat="false" ht="15" hidden="false" customHeight="true" outlineLevel="0" collapsed="false">
      <c r="A30" s="13" t="s">
        <v>77</v>
      </c>
      <c r="B30" s="15" t="s">
        <v>93</v>
      </c>
      <c r="C30" s="15"/>
    </row>
    <row r="31" customFormat="false" ht="15" hidden="false" customHeight="true" outlineLevel="0" collapsed="false">
      <c r="A31" s="13" t="s">
        <v>78</v>
      </c>
      <c r="B31" s="15" t="s">
        <v>94</v>
      </c>
      <c r="C31" s="15"/>
    </row>
    <row r="32" customFormat="false" ht="15" hidden="false" customHeight="true" outlineLevel="0" collapsed="false">
      <c r="A32" s="13" t="s">
        <v>79</v>
      </c>
      <c r="B32" s="15" t="s">
        <v>95</v>
      </c>
      <c r="C32" s="15"/>
    </row>
    <row r="33" customFormat="false" ht="15" hidden="false" customHeight="true" outlineLevel="0" collapsed="false">
      <c r="A33" s="13" t="s">
        <v>80</v>
      </c>
      <c r="B33" s="15" t="s">
        <v>96</v>
      </c>
      <c r="C33" s="15"/>
    </row>
    <row r="34" customFormat="false" ht="15" hidden="false" customHeight="true" outlineLevel="0" collapsed="false">
      <c r="A34" s="13" t="s">
        <v>82</v>
      </c>
      <c r="B34" s="15" t="s">
        <v>97</v>
      </c>
      <c r="C34" s="15"/>
    </row>
    <row r="35" customFormat="false" ht="15" hidden="false" customHeight="false" outlineLevel="0" collapsed="false">
      <c r="A35" s="13" t="s">
        <v>86</v>
      </c>
    </row>
    <row r="36" customFormat="false" ht="15" hidden="false" customHeight="false" outlineLevel="0" collapsed="false">
      <c r="A36" s="13" t="s">
        <v>87</v>
      </c>
    </row>
    <row r="37" customFormat="false" ht="15" hidden="false" customHeight="false" outlineLevel="0" collapsed="false">
      <c r="A37" s="13" t="s">
        <v>88</v>
      </c>
    </row>
    <row r="38" customFormat="false" ht="15" hidden="false" customHeight="false" outlineLevel="0" collapsed="false">
      <c r="A38" s="13" t="s">
        <v>89</v>
      </c>
    </row>
  </sheetData>
  <mergeCells count="11">
    <mergeCell ref="B21:D21"/>
    <mergeCell ref="B22:D22"/>
    <mergeCell ref="B23:D23"/>
    <mergeCell ref="B24:D24"/>
    <mergeCell ref="B25:D25"/>
    <mergeCell ref="B29:C29"/>
    <mergeCell ref="B30:C30"/>
    <mergeCell ref="B31:C31"/>
    <mergeCell ref="B32:C32"/>
    <mergeCell ref="B33:C33"/>
    <mergeCell ref="B34:C34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D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8"/>
    <col collapsed="false" customWidth="true" hidden="false" outlineLevel="0" max="4" min="3" style="0" width="26"/>
  </cols>
  <sheetData>
    <row r="1" customFormat="false" ht="25.5" hidden="false" customHeight="tru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15" hidden="false" customHeight="false" outlineLevel="0" collapsed="false">
      <c r="A4" s="4" t="s">
        <v>301</v>
      </c>
      <c r="B4" s="5"/>
      <c r="C4" s="5"/>
      <c r="D4" s="5"/>
    </row>
    <row r="5" customFormat="false" ht="15.75" hidden="false" customHeight="true" outlineLevel="0" collapsed="false">
      <c r="A5" s="6" t="s">
        <v>302</v>
      </c>
      <c r="B5" s="6"/>
      <c r="C5" s="6"/>
      <c r="D5" s="6"/>
    </row>
    <row r="6" customFormat="false" ht="15.75" hidden="false" customHeight="true" outlineLevel="0" collapsed="false">
      <c r="A6" s="6" t="s">
        <v>303</v>
      </c>
      <c r="B6" s="6"/>
      <c r="C6" s="6"/>
      <c r="D6" s="6"/>
    </row>
    <row r="7" customFormat="false" ht="15.75" hidden="false" customHeight="true" outlineLevel="0" collapsed="false">
      <c r="A7" s="6" t="s">
        <v>304</v>
      </c>
      <c r="B7" s="6"/>
      <c r="C7" s="6"/>
      <c r="D7" s="6"/>
    </row>
    <row r="8" customFormat="false" ht="15.75" hidden="false" customHeight="true" outlineLevel="0" collapsed="false">
      <c r="A8" s="6" t="s">
        <v>305</v>
      </c>
      <c r="B8" s="6"/>
      <c r="C8" s="6"/>
      <c r="D8" s="6"/>
    </row>
    <row r="9" customFormat="false" ht="15.75" hidden="false" customHeight="true" outlineLevel="0" collapsed="false">
      <c r="A9" s="6" t="s">
        <v>306</v>
      </c>
      <c r="B9" s="6"/>
      <c r="C9" s="6"/>
      <c r="D9" s="6"/>
    </row>
    <row r="11" customFormat="false" ht="15" hidden="false" customHeight="false" outlineLevel="0" collapsed="false">
      <c r="A11" s="4" t="s">
        <v>307</v>
      </c>
      <c r="B11" s="5"/>
      <c r="C11" s="5"/>
      <c r="D11" s="5"/>
    </row>
    <row r="12" customFormat="false" ht="27.75" hidden="false" customHeight="true" outlineLevel="0" collapsed="false">
      <c r="A12" s="6" t="s">
        <v>308</v>
      </c>
      <c r="B12" s="6"/>
      <c r="C12" s="6"/>
      <c r="D12" s="6"/>
    </row>
    <row r="13" customFormat="false" ht="15.75" hidden="false" customHeight="true" outlineLevel="0" collapsed="false">
      <c r="A13" s="6" t="s">
        <v>309</v>
      </c>
      <c r="B13" s="6"/>
      <c r="C13" s="6"/>
      <c r="D13" s="6"/>
    </row>
    <row r="14" customFormat="false" ht="27.75" hidden="false" customHeight="true" outlineLevel="0" collapsed="false">
      <c r="A14" s="6" t="s">
        <v>310</v>
      </c>
      <c r="B14" s="6"/>
      <c r="C14" s="6"/>
      <c r="D14" s="6"/>
    </row>
    <row r="15" customFormat="false" ht="27.75" hidden="false" customHeight="true" outlineLevel="0" collapsed="false">
      <c r="A15" s="6" t="s">
        <v>311</v>
      </c>
      <c r="B15" s="6"/>
      <c r="C15" s="6"/>
      <c r="D15" s="6"/>
    </row>
    <row r="16" customFormat="false" ht="15.75" hidden="false" customHeight="true" outlineLevel="0" collapsed="false">
      <c r="A16" s="6" t="s">
        <v>312</v>
      </c>
      <c r="B16" s="6"/>
      <c r="C16" s="6"/>
      <c r="D16" s="6"/>
    </row>
    <row r="17" customFormat="false" ht="27.75" hidden="false" customHeight="true" outlineLevel="0" collapsed="false">
      <c r="A17" s="6" t="s">
        <v>313</v>
      </c>
      <c r="B17" s="6"/>
      <c r="C17" s="6"/>
      <c r="D17" s="6"/>
    </row>
    <row r="18" customFormat="false" ht="15.75" hidden="false" customHeight="true" outlineLevel="0" collapsed="false">
      <c r="A18" s="6" t="s">
        <v>314</v>
      </c>
      <c r="B18" s="6"/>
      <c r="C18" s="6"/>
      <c r="D18" s="6"/>
    </row>
    <row r="19" customFormat="false" ht="27.75" hidden="false" customHeight="true" outlineLevel="0" collapsed="false">
      <c r="A19" s="6" t="s">
        <v>315</v>
      </c>
      <c r="B19" s="6"/>
      <c r="C19" s="6"/>
      <c r="D19" s="6"/>
    </row>
    <row r="20" customFormat="false" ht="15.75" hidden="false" customHeight="true" outlineLevel="0" collapsed="false">
      <c r="A20" s="6" t="s">
        <v>316</v>
      </c>
      <c r="B20" s="6"/>
      <c r="C20" s="6"/>
      <c r="D20" s="6"/>
    </row>
    <row r="21" customFormat="false" ht="27.75" hidden="false" customHeight="true" outlineLevel="0" collapsed="false">
      <c r="A21" s="6" t="s">
        <v>317</v>
      </c>
      <c r="B21" s="6"/>
      <c r="C21" s="6"/>
      <c r="D21" s="6"/>
    </row>
    <row r="23" customFormat="false" ht="15" hidden="false" customHeight="false" outlineLevel="0" collapsed="false">
      <c r="A23" s="4" t="s">
        <v>318</v>
      </c>
      <c r="B23" s="5"/>
      <c r="C23" s="5"/>
      <c r="D23" s="5"/>
    </row>
    <row r="24" customFormat="false" ht="27.75" hidden="false" customHeight="true" outlineLevel="0" collapsed="false">
      <c r="A24" s="6" t="s">
        <v>319</v>
      </c>
      <c r="B24" s="6"/>
      <c r="C24" s="6"/>
      <c r="D24" s="6"/>
    </row>
    <row r="25" customFormat="false" ht="27.75" hidden="false" customHeight="true" outlineLevel="0" collapsed="false">
      <c r="A25" s="6" t="s">
        <v>320</v>
      </c>
      <c r="B25" s="6"/>
      <c r="C25" s="6"/>
      <c r="D25" s="6"/>
    </row>
    <row r="26" customFormat="false" ht="15.75" hidden="false" customHeight="true" outlineLevel="0" collapsed="false">
      <c r="A26" s="6" t="s">
        <v>321</v>
      </c>
      <c r="B26" s="6"/>
      <c r="C26" s="6"/>
      <c r="D26" s="6"/>
    </row>
    <row r="27" customFormat="false" ht="15.75" hidden="false" customHeight="true" outlineLevel="0" collapsed="false">
      <c r="A27" s="6" t="s">
        <v>322</v>
      </c>
      <c r="B27" s="6"/>
      <c r="C27" s="6"/>
      <c r="D27" s="6"/>
    </row>
    <row r="29" customFormat="false" ht="15" hidden="false" customHeight="false" outlineLevel="0" collapsed="false">
      <c r="A29" s="4" t="s">
        <v>323</v>
      </c>
      <c r="B29" s="5"/>
      <c r="C29" s="5"/>
      <c r="D29" s="5"/>
    </row>
    <row r="30" customFormat="false" ht="15.75" hidden="false" customHeight="true" outlineLevel="0" collapsed="false">
      <c r="A30" s="6" t="s">
        <v>324</v>
      </c>
      <c r="B30" s="6"/>
      <c r="C30" s="6"/>
      <c r="D30" s="6"/>
    </row>
    <row r="31" customFormat="false" ht="27.75" hidden="false" customHeight="true" outlineLevel="0" collapsed="false">
      <c r="A31" s="6" t="s">
        <v>325</v>
      </c>
      <c r="B31" s="6"/>
      <c r="C31" s="6"/>
      <c r="D31" s="6"/>
    </row>
    <row r="32" customFormat="false" ht="15.75" hidden="false" customHeight="true" outlineLevel="0" collapsed="false">
      <c r="A32" s="6" t="s">
        <v>326</v>
      </c>
      <c r="B32" s="6"/>
      <c r="C32" s="6"/>
      <c r="D32" s="6"/>
    </row>
    <row r="33" customFormat="false" ht="15.75" hidden="false" customHeight="true" outlineLevel="0" collapsed="false">
      <c r="A33" s="6" t="s">
        <v>327</v>
      </c>
      <c r="B33" s="6"/>
      <c r="C33" s="6"/>
      <c r="D33" s="6"/>
    </row>
    <row r="34" customFormat="false" ht="15.75" hidden="false" customHeight="true" outlineLevel="0" collapsed="false">
      <c r="A34" s="6" t="s">
        <v>328</v>
      </c>
      <c r="B34" s="6"/>
      <c r="C34" s="6"/>
      <c r="D34" s="6"/>
    </row>
    <row r="35" customFormat="false" ht="15.75" hidden="false" customHeight="true" outlineLevel="0" collapsed="false">
      <c r="A35" s="6" t="s">
        <v>329</v>
      </c>
      <c r="B35" s="6"/>
      <c r="C35" s="6"/>
      <c r="D35" s="6"/>
    </row>
    <row r="37" customFormat="false" ht="15" hidden="false" customHeight="false" outlineLevel="0" collapsed="false">
      <c r="A37" s="4" t="s">
        <v>330</v>
      </c>
      <c r="B37" s="5"/>
      <c r="C37" s="5"/>
      <c r="D37" s="5"/>
    </row>
    <row r="38" customFormat="false" ht="27.75" hidden="false" customHeight="true" outlineLevel="0" collapsed="false">
      <c r="A38" s="6" t="s">
        <v>331</v>
      </c>
      <c r="B38" s="6"/>
      <c r="C38" s="6"/>
      <c r="D38" s="6"/>
    </row>
    <row r="39" customFormat="false" ht="27.75" hidden="false" customHeight="true" outlineLevel="0" collapsed="false">
      <c r="A39" s="6" t="s">
        <v>332</v>
      </c>
      <c r="B39" s="6"/>
      <c r="C39" s="6"/>
      <c r="D39" s="6"/>
    </row>
    <row r="41" customFormat="false" ht="15" hidden="false" customHeight="false" outlineLevel="0" collapsed="false">
      <c r="A41" s="4" t="s">
        <v>333</v>
      </c>
      <c r="B41" s="5"/>
      <c r="C41" s="5"/>
      <c r="D41" s="5"/>
    </row>
    <row r="42" customFormat="false" ht="15.75" hidden="false" customHeight="true" outlineLevel="0" collapsed="false">
      <c r="A42" s="6" t="s">
        <v>334</v>
      </c>
      <c r="B42" s="6"/>
      <c r="C42" s="6"/>
      <c r="D42" s="6"/>
    </row>
    <row r="43" customFormat="false" ht="15.75" hidden="false" customHeight="true" outlineLevel="0" collapsed="false">
      <c r="A43" s="6" t="s">
        <v>335</v>
      </c>
      <c r="B43" s="6"/>
      <c r="C43" s="6"/>
      <c r="D43" s="6"/>
    </row>
    <row r="44" customFormat="false" ht="27.75" hidden="false" customHeight="true" outlineLevel="0" collapsed="false">
      <c r="A44" s="6" t="s">
        <v>336</v>
      </c>
      <c r="B44" s="6"/>
      <c r="C44" s="6"/>
      <c r="D44" s="6"/>
    </row>
    <row r="45" customFormat="false" ht="15.75" hidden="false" customHeight="true" outlineLevel="0" collapsed="false">
      <c r="A45" s="6" t="s">
        <v>337</v>
      </c>
      <c r="B45" s="6"/>
      <c r="C45" s="6"/>
      <c r="D45" s="6"/>
    </row>
    <row r="46" customFormat="false" ht="15.75" hidden="false" customHeight="true" outlineLevel="0" collapsed="false">
      <c r="A46" s="6" t="s">
        <v>338</v>
      </c>
      <c r="B46" s="6"/>
      <c r="C46" s="6"/>
      <c r="D46" s="6"/>
    </row>
    <row r="48" customFormat="false" ht="15" hidden="false" customHeight="false" outlineLevel="0" collapsed="false">
      <c r="A48" s="4" t="s">
        <v>339</v>
      </c>
      <c r="B48" s="5"/>
      <c r="C48" s="5"/>
      <c r="D48" s="5"/>
    </row>
    <row r="49" customFormat="false" ht="19.5" hidden="false" customHeight="true" outlineLevel="0" collapsed="false">
      <c r="A49" s="11" t="s">
        <v>192</v>
      </c>
      <c r="B49" s="11" t="s">
        <v>340</v>
      </c>
      <c r="C49" s="11" t="s">
        <v>341</v>
      </c>
      <c r="D49" s="11" t="s">
        <v>342</v>
      </c>
    </row>
    <row r="50" customFormat="false" ht="15" hidden="false" customHeight="false" outlineLevel="0" collapsed="false">
      <c r="A50" s="13" t="s">
        <v>343</v>
      </c>
      <c r="B50" s="13" t="s">
        <v>247</v>
      </c>
      <c r="C50" s="13" t="s">
        <v>344</v>
      </c>
      <c r="D50" s="13" t="s">
        <v>345</v>
      </c>
    </row>
    <row r="51" customFormat="false" ht="15" hidden="false" customHeight="false" outlineLevel="0" collapsed="false">
      <c r="A51" s="13" t="s">
        <v>346</v>
      </c>
      <c r="B51" s="13" t="s">
        <v>347</v>
      </c>
      <c r="C51" s="13" t="s">
        <v>348</v>
      </c>
      <c r="D51" s="13" t="s">
        <v>349</v>
      </c>
    </row>
    <row r="52" customFormat="false" ht="15" hidden="false" customHeight="false" outlineLevel="0" collapsed="false">
      <c r="A52" s="13" t="s">
        <v>350</v>
      </c>
      <c r="B52" s="13" t="s">
        <v>351</v>
      </c>
      <c r="C52" s="13" t="s">
        <v>352</v>
      </c>
      <c r="D52" s="13" t="s">
        <v>353</v>
      </c>
    </row>
    <row r="53" customFormat="false" ht="15" hidden="false" customHeight="false" outlineLevel="0" collapsed="false">
      <c r="A53" s="13" t="s">
        <v>354</v>
      </c>
      <c r="B53" s="13" t="s">
        <v>355</v>
      </c>
      <c r="C53" s="13" t="s">
        <v>356</v>
      </c>
      <c r="D53" s="13" t="s">
        <v>353</v>
      </c>
    </row>
    <row r="54" customFormat="false" ht="15" hidden="false" customHeight="false" outlineLevel="0" collapsed="false">
      <c r="A54" s="13" t="s">
        <v>357</v>
      </c>
      <c r="B54" s="13" t="s">
        <v>358</v>
      </c>
      <c r="C54" s="13" t="s">
        <v>359</v>
      </c>
      <c r="D54" s="13" t="s">
        <v>360</v>
      </c>
    </row>
    <row r="55" customFormat="false" ht="15" hidden="false" customHeight="false" outlineLevel="0" collapsed="false">
      <c r="A55" s="13" t="s">
        <v>361</v>
      </c>
      <c r="B55" s="13" t="s">
        <v>362</v>
      </c>
      <c r="C55" s="13" t="s">
        <v>363</v>
      </c>
      <c r="D55" s="13" t="s">
        <v>364</v>
      </c>
    </row>
    <row r="56" customFormat="false" ht="15" hidden="false" customHeight="false" outlineLevel="0" collapsed="false">
      <c r="A56" s="13" t="s">
        <v>365</v>
      </c>
      <c r="B56" s="13" t="s">
        <v>366</v>
      </c>
      <c r="C56" s="13" t="s">
        <v>367</v>
      </c>
      <c r="D56" s="13" t="s">
        <v>368</v>
      </c>
    </row>
    <row r="57" customFormat="false" ht="15" hidden="false" customHeight="false" outlineLevel="0" collapsed="false">
      <c r="A57" s="13" t="s">
        <v>369</v>
      </c>
      <c r="B57" s="13" t="s">
        <v>370</v>
      </c>
      <c r="C57" s="13" t="s">
        <v>356</v>
      </c>
      <c r="D57" s="13" t="s">
        <v>371</v>
      </c>
    </row>
    <row r="58" customFormat="false" ht="15" hidden="false" customHeight="false" outlineLevel="0" collapsed="false">
      <c r="A58" s="13" t="s">
        <v>372</v>
      </c>
      <c r="B58" s="13" t="s">
        <v>373</v>
      </c>
      <c r="C58" s="13" t="s">
        <v>374</v>
      </c>
      <c r="D58" s="13" t="s">
        <v>375</v>
      </c>
    </row>
    <row r="59" customFormat="false" ht="15" hidden="false" customHeight="false" outlineLevel="0" collapsed="false">
      <c r="A59" s="13" t="s">
        <v>376</v>
      </c>
      <c r="B59" s="13" t="s">
        <v>377</v>
      </c>
      <c r="C59" s="13" t="s">
        <v>378</v>
      </c>
      <c r="D59" s="13" t="s">
        <v>379</v>
      </c>
    </row>
    <row r="61" customFormat="false" ht="15" hidden="false" customHeight="false" outlineLevel="0" collapsed="false">
      <c r="A61" s="4" t="s">
        <v>380</v>
      </c>
      <c r="B61" s="5"/>
      <c r="C61" s="5"/>
      <c r="D61" s="5"/>
    </row>
    <row r="62" customFormat="false" ht="15" hidden="false" customHeight="false" outlineLevel="0" collapsed="false">
      <c r="A62" s="86" t="s">
        <v>381</v>
      </c>
      <c r="B62" s="86"/>
      <c r="C62" s="86"/>
      <c r="D62" s="86"/>
    </row>
    <row r="63" customFormat="false" ht="15" hidden="false" customHeight="false" outlineLevel="0" collapsed="false">
      <c r="A63" s="86" t="s">
        <v>382</v>
      </c>
      <c r="B63" s="86"/>
      <c r="C63" s="86"/>
      <c r="D63" s="86"/>
    </row>
    <row r="64" customFormat="false" ht="15" hidden="false" customHeight="false" outlineLevel="0" collapsed="false">
      <c r="A64" s="86" t="s">
        <v>383</v>
      </c>
      <c r="B64" s="86"/>
      <c r="C64" s="86"/>
      <c r="D64" s="86"/>
    </row>
    <row r="65" customFormat="false" ht="15" hidden="false" customHeight="false" outlineLevel="0" collapsed="false">
      <c r="A65" s="86" t="s">
        <v>384</v>
      </c>
      <c r="B65" s="86"/>
      <c r="C65" s="86"/>
      <c r="D65" s="86"/>
    </row>
    <row r="66" customFormat="false" ht="15" hidden="false" customHeight="false" outlineLevel="0" collapsed="false">
      <c r="A66" s="86" t="s">
        <v>385</v>
      </c>
      <c r="B66" s="86"/>
      <c r="C66" s="86"/>
      <c r="D66" s="86"/>
    </row>
    <row r="67" customFormat="false" ht="15" hidden="false" customHeight="false" outlineLevel="0" collapsed="false">
      <c r="A67" s="86" t="s">
        <v>386</v>
      </c>
      <c r="B67" s="86"/>
      <c r="C67" s="86"/>
      <c r="D67" s="86"/>
    </row>
  </sheetData>
  <mergeCells count="38">
    <mergeCell ref="A5:D5"/>
    <mergeCell ref="A6:D6"/>
    <mergeCell ref="A7:D7"/>
    <mergeCell ref="A8:D8"/>
    <mergeCell ref="A9:D9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4:D24"/>
    <mergeCell ref="A25:D25"/>
    <mergeCell ref="A26:D26"/>
    <mergeCell ref="A27:D27"/>
    <mergeCell ref="A30:D30"/>
    <mergeCell ref="A31:D31"/>
    <mergeCell ref="A32:D32"/>
    <mergeCell ref="A33:D33"/>
    <mergeCell ref="A34:D34"/>
    <mergeCell ref="A35:D35"/>
    <mergeCell ref="A38:D38"/>
    <mergeCell ref="A39:D39"/>
    <mergeCell ref="A42:D42"/>
    <mergeCell ref="A43:D43"/>
    <mergeCell ref="A44:D44"/>
    <mergeCell ref="A45:D45"/>
    <mergeCell ref="A46:D46"/>
    <mergeCell ref="A62:D62"/>
    <mergeCell ref="A63:D63"/>
    <mergeCell ref="A64:D64"/>
    <mergeCell ref="A65:D65"/>
    <mergeCell ref="A66:D66"/>
    <mergeCell ref="A67:D67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31</v>
      </c>
    </row>
    <row r="2" customFormat="false" ht="15" hidden="false" customHeight="false" outlineLevel="0" collapsed="false">
      <c r="A2" s="2" t="s">
        <v>387</v>
      </c>
    </row>
    <row r="4" customFormat="false" ht="31.5" hidden="false" customHeight="true" outlineLevel="0" collapsed="false">
      <c r="A4" s="11" t="s">
        <v>110</v>
      </c>
      <c r="B4" s="11" t="s">
        <v>388</v>
      </c>
      <c r="C4" s="11" t="s">
        <v>132</v>
      </c>
      <c r="D4" s="11" t="s">
        <v>389</v>
      </c>
      <c r="E4" s="11" t="s">
        <v>390</v>
      </c>
    </row>
    <row r="5" customFormat="false" ht="35.05" hidden="false" customHeight="false" outlineLevel="0" collapsed="false">
      <c r="A5" s="28" t="n">
        <v>1</v>
      </c>
      <c r="B5" s="59" t="s">
        <v>391</v>
      </c>
      <c r="C5" s="59" t="s">
        <v>392</v>
      </c>
      <c r="D5" s="59" t="s">
        <v>393</v>
      </c>
      <c r="E5" s="59" t="s">
        <v>394</v>
      </c>
    </row>
    <row r="6" customFormat="false" ht="23.85" hidden="false" customHeight="false" outlineLevel="0" collapsed="false">
      <c r="A6" s="28" t="n">
        <v>2</v>
      </c>
      <c r="B6" s="59" t="s">
        <v>26</v>
      </c>
      <c r="C6" s="59" t="s">
        <v>395</v>
      </c>
      <c r="D6" s="59" t="s">
        <v>396</v>
      </c>
      <c r="E6" s="59" t="s">
        <v>397</v>
      </c>
    </row>
    <row r="7" customFormat="false" ht="23.85" hidden="false" customHeight="false" outlineLevel="0" collapsed="false">
      <c r="A7" s="28" t="n">
        <v>3</v>
      </c>
      <c r="B7" s="59" t="s">
        <v>194</v>
      </c>
      <c r="C7" s="59" t="s">
        <v>398</v>
      </c>
      <c r="D7" s="59" t="s">
        <v>399</v>
      </c>
      <c r="E7" s="59" t="s">
        <v>400</v>
      </c>
    </row>
    <row r="8" customFormat="false" ht="15" hidden="false" customHeight="false" outlineLevel="0" collapsed="false">
      <c r="A8" s="28" t="n">
        <v>4</v>
      </c>
      <c r="B8" s="59" t="s">
        <v>401</v>
      </c>
      <c r="C8" s="59" t="s">
        <v>402</v>
      </c>
      <c r="D8" s="59" t="s">
        <v>403</v>
      </c>
      <c r="E8" s="59" t="s">
        <v>404</v>
      </c>
    </row>
    <row r="9" customFormat="false" ht="23.85" hidden="false" customHeight="false" outlineLevel="0" collapsed="false">
      <c r="A9" s="28" t="n">
        <v>5</v>
      </c>
      <c r="B9" s="59" t="s">
        <v>401</v>
      </c>
      <c r="C9" s="59" t="s">
        <v>405</v>
      </c>
      <c r="D9" s="59" t="s">
        <v>406</v>
      </c>
      <c r="E9" s="59" t="s">
        <v>407</v>
      </c>
    </row>
    <row r="10" customFormat="false" ht="23.85" hidden="false" customHeight="false" outlineLevel="0" collapsed="false">
      <c r="A10" s="28" t="n">
        <v>6</v>
      </c>
      <c r="B10" s="59" t="s">
        <v>408</v>
      </c>
      <c r="C10" s="59" t="s">
        <v>409</v>
      </c>
      <c r="D10" s="59" t="s">
        <v>410</v>
      </c>
      <c r="E10" s="59" t="s">
        <v>411</v>
      </c>
    </row>
    <row r="11" customFormat="false" ht="46.25" hidden="false" customHeight="false" outlineLevel="0" collapsed="false">
      <c r="A11" s="28" t="n">
        <v>7</v>
      </c>
      <c r="B11" s="59" t="s">
        <v>412</v>
      </c>
      <c r="C11" s="59" t="s">
        <v>413</v>
      </c>
      <c r="D11" s="59" t="s">
        <v>414</v>
      </c>
      <c r="E11" s="59" t="s">
        <v>415</v>
      </c>
    </row>
    <row r="12" customFormat="false" ht="23.85" hidden="false" customHeight="false" outlineLevel="0" collapsed="false">
      <c r="A12" s="28" t="n">
        <v>8</v>
      </c>
      <c r="B12" s="59" t="s">
        <v>408</v>
      </c>
      <c r="C12" s="59" t="s">
        <v>416</v>
      </c>
      <c r="D12" s="59" t="s">
        <v>417</v>
      </c>
      <c r="E12" s="59" t="s">
        <v>418</v>
      </c>
    </row>
    <row r="13" customFormat="false" ht="23.85" hidden="false" customHeight="false" outlineLevel="0" collapsed="false">
      <c r="A13" s="28" t="n">
        <v>9</v>
      </c>
      <c r="B13" s="59" t="s">
        <v>419</v>
      </c>
      <c r="C13" s="59" t="s">
        <v>420</v>
      </c>
      <c r="D13" s="59" t="s">
        <v>421</v>
      </c>
      <c r="E13" s="59" t="s">
        <v>422</v>
      </c>
    </row>
    <row r="14" customFormat="false" ht="23.85" hidden="false" customHeight="false" outlineLevel="0" collapsed="false">
      <c r="A14" s="28" t="n">
        <v>10</v>
      </c>
      <c r="B14" s="59" t="s">
        <v>423</v>
      </c>
      <c r="C14" s="59" t="s">
        <v>424</v>
      </c>
      <c r="D14" s="59" t="s">
        <v>425</v>
      </c>
      <c r="E14" s="59" t="s">
        <v>426</v>
      </c>
    </row>
    <row r="15" customFormat="false" ht="23.85" hidden="false" customHeight="false" outlineLevel="0" collapsed="false">
      <c r="A15" s="28" t="n">
        <v>11</v>
      </c>
      <c r="B15" s="59" t="s">
        <v>427</v>
      </c>
      <c r="C15" s="59" t="s">
        <v>428</v>
      </c>
      <c r="D15" s="59" t="s">
        <v>429</v>
      </c>
      <c r="E15" s="59" t="s">
        <v>430</v>
      </c>
    </row>
    <row r="16" customFormat="false" ht="23.85" hidden="false" customHeight="false" outlineLevel="0" collapsed="false">
      <c r="A16" s="28" t="n">
        <v>12</v>
      </c>
      <c r="B16" s="59" t="s">
        <v>431</v>
      </c>
      <c r="C16" s="59" t="s">
        <v>432</v>
      </c>
      <c r="D16" s="59" t="s">
        <v>433</v>
      </c>
      <c r="E16" s="59" t="s">
        <v>434</v>
      </c>
    </row>
    <row r="17" customFormat="false" ht="23.85" hidden="false" customHeight="false" outlineLevel="0" collapsed="false">
      <c r="A17" s="28" t="n">
        <v>13</v>
      </c>
      <c r="B17" s="59" t="s">
        <v>435</v>
      </c>
      <c r="C17" s="59" t="s">
        <v>436</v>
      </c>
      <c r="D17" s="59" t="s">
        <v>437</v>
      </c>
      <c r="E17" s="59" t="s">
        <v>438</v>
      </c>
    </row>
    <row r="18" customFormat="false" ht="23.85" hidden="false" customHeight="false" outlineLevel="0" collapsed="false">
      <c r="A18" s="28" t="n">
        <v>14</v>
      </c>
      <c r="B18" s="59" t="s">
        <v>439</v>
      </c>
      <c r="C18" s="59" t="s">
        <v>134</v>
      </c>
      <c r="D18" s="59" t="s">
        <v>440</v>
      </c>
      <c r="E18" s="59" t="s">
        <v>441</v>
      </c>
    </row>
    <row r="19" customFormat="false" ht="23.85" hidden="false" customHeight="false" outlineLevel="0" collapsed="false">
      <c r="A19" s="28" t="n">
        <v>15</v>
      </c>
      <c r="B19" s="59" t="s">
        <v>442</v>
      </c>
      <c r="C19" s="59" t="s">
        <v>134</v>
      </c>
      <c r="D19" s="59" t="s">
        <v>443</v>
      </c>
      <c r="E19" s="59" t="s">
        <v>444</v>
      </c>
    </row>
    <row r="20" customFormat="false" ht="23.85" hidden="false" customHeight="false" outlineLevel="0" collapsed="false">
      <c r="A20" s="28" t="n">
        <v>16</v>
      </c>
      <c r="B20" s="59" t="s">
        <v>445</v>
      </c>
      <c r="C20" s="59" t="s">
        <v>134</v>
      </c>
      <c r="D20" s="59" t="s">
        <v>446</v>
      </c>
      <c r="E20" s="59" t="s">
        <v>447</v>
      </c>
    </row>
    <row r="21" customFormat="false" ht="15" hidden="false" customHeight="false" outlineLevel="0" collapsed="false">
      <c r="A21" s="28" t="n">
        <v>17</v>
      </c>
      <c r="B21" s="59" t="s">
        <v>107</v>
      </c>
      <c r="C21" s="59" t="s">
        <v>134</v>
      </c>
      <c r="D21" s="59" t="s">
        <v>448</v>
      </c>
      <c r="E21" s="59" t="s">
        <v>449</v>
      </c>
    </row>
    <row r="22" customFormat="false" ht="15" hidden="false" customHeight="false" outlineLevel="0" collapsed="false">
      <c r="A22" s="28" t="n">
        <v>18</v>
      </c>
      <c r="B22" s="59" t="s">
        <v>450</v>
      </c>
      <c r="C22" s="59" t="s">
        <v>134</v>
      </c>
      <c r="D22" s="59" t="s">
        <v>451</v>
      </c>
      <c r="E22" s="59" t="s">
        <v>452</v>
      </c>
    </row>
    <row r="23" customFormat="false" ht="15" hidden="false" customHeight="false" outlineLevel="0" collapsed="false">
      <c r="A23" s="28" t="n">
        <v>19</v>
      </c>
      <c r="B23" s="59" t="s">
        <v>453</v>
      </c>
      <c r="C23" s="59" t="s">
        <v>454</v>
      </c>
      <c r="D23" s="59" t="s">
        <v>455</v>
      </c>
      <c r="E23" s="59" t="s">
        <v>456</v>
      </c>
    </row>
    <row r="24" customFormat="false" ht="15" hidden="false" customHeight="false" outlineLevel="0" collapsed="false">
      <c r="A24" s="28" t="n">
        <v>20</v>
      </c>
      <c r="B24" s="59" t="s">
        <v>457</v>
      </c>
      <c r="C24" s="59" t="s">
        <v>458</v>
      </c>
      <c r="D24" s="59" t="s">
        <v>459</v>
      </c>
      <c r="E24" s="59" t="s">
        <v>460</v>
      </c>
    </row>
    <row r="25" customFormat="false" ht="15" hidden="false" customHeight="false" outlineLevel="0" collapsed="false">
      <c r="A25" s="28" t="n">
        <v>21</v>
      </c>
      <c r="B25" s="59" t="s">
        <v>461</v>
      </c>
      <c r="C25" s="59" t="s">
        <v>134</v>
      </c>
      <c r="D25" s="59" t="s">
        <v>462</v>
      </c>
      <c r="E25" s="59" t="s">
        <v>463</v>
      </c>
    </row>
    <row r="26" customFormat="false" ht="23.85" hidden="false" customHeight="false" outlineLevel="0" collapsed="false">
      <c r="A26" s="28" t="n">
        <v>22</v>
      </c>
      <c r="B26" s="59" t="s">
        <v>464</v>
      </c>
      <c r="C26" s="59" t="s">
        <v>465</v>
      </c>
      <c r="D26" s="59" t="s">
        <v>466</v>
      </c>
      <c r="E26" s="59" t="s">
        <v>467</v>
      </c>
    </row>
    <row r="27" customFormat="false" ht="15" hidden="false" customHeight="false" outlineLevel="0" collapsed="false">
      <c r="A27" s="28" t="n">
        <v>23</v>
      </c>
      <c r="B27" s="59" t="s">
        <v>468</v>
      </c>
      <c r="C27" s="59" t="s">
        <v>469</v>
      </c>
      <c r="D27" s="59" t="s">
        <v>470</v>
      </c>
      <c r="E27" s="59" t="s">
        <v>471</v>
      </c>
    </row>
    <row r="28" customFormat="false" ht="23.85" hidden="false" customHeight="false" outlineLevel="0" collapsed="false">
      <c r="A28" s="28" t="n">
        <v>24</v>
      </c>
      <c r="B28" s="59" t="s">
        <v>472</v>
      </c>
      <c r="C28" s="59" t="s">
        <v>134</v>
      </c>
      <c r="D28" s="59" t="s">
        <v>473</v>
      </c>
      <c r="E28" s="59" t="s">
        <v>474</v>
      </c>
    </row>
    <row r="29" customFormat="false" ht="15" hidden="false" customHeight="false" outlineLevel="0" collapsed="false">
      <c r="A29" s="28" t="n">
        <v>25</v>
      </c>
      <c r="B29" s="59" t="s">
        <v>475</v>
      </c>
      <c r="C29" s="59" t="s">
        <v>476</v>
      </c>
      <c r="D29" s="59" t="s">
        <v>477</v>
      </c>
      <c r="E29" s="59" t="s">
        <v>478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 – &amp;A&amp;Cfz-pA / Mrugalla&amp;RSeite &amp;P / &amp;N ·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.57"/>
    <col collapsed="false" customWidth="true" hidden="false" outlineLevel="0" max="3" min="3" style="0" width="16.14"/>
    <col collapsed="false" customWidth="true" hidden="false" outlineLevel="0" max="5" min="4" style="0" width="9.86"/>
    <col collapsed="false" customWidth="true" hidden="false" outlineLevel="0" max="6" min="6" style="0" width="35.85"/>
    <col collapsed="false" customWidth="true" hidden="false" outlineLevel="0" max="7" min="7" style="0" width="3.42"/>
  </cols>
  <sheetData>
    <row r="1" customFormat="false" ht="26.25" hidden="false" customHeight="true" outlineLevel="0" collapsed="false">
      <c r="A1" s="87" t="s">
        <v>479</v>
      </c>
      <c r="F1" s="88" t="n">
        <v>45859</v>
      </c>
    </row>
    <row r="2" customFormat="false" ht="13.5" hidden="false" customHeight="true" outlineLevel="0" collapsed="false"/>
    <row r="3" customFormat="false" ht="34.5" hidden="false" customHeight="true" outlineLevel="0" collapsed="false">
      <c r="A3" s="89" t="s">
        <v>388</v>
      </c>
      <c r="B3" s="90" t="s">
        <v>480</v>
      </c>
      <c r="C3" s="90"/>
      <c r="D3" s="90" t="s">
        <v>481</v>
      </c>
      <c r="E3" s="91" t="s">
        <v>482</v>
      </c>
      <c r="F3" s="92" t="s">
        <v>423</v>
      </c>
    </row>
    <row r="4" customFormat="false" ht="19.5" hidden="false" customHeight="true" outlineLevel="0" collapsed="false">
      <c r="A4" s="93" t="s">
        <v>483</v>
      </c>
      <c r="B4" s="94" t="n">
        <v>1.5</v>
      </c>
      <c r="C4" s="94" t="n">
        <f aca="false">B4*5</f>
        <v>7.5</v>
      </c>
      <c r="D4" s="94" t="n">
        <f aca="false">B4*250</f>
        <v>375</v>
      </c>
      <c r="E4" s="95" t="n">
        <f aca="false">D4/1750</f>
        <v>0.214285714285714</v>
      </c>
      <c r="F4" s="96"/>
    </row>
    <row r="5" customFormat="false" ht="26.25" hidden="false" customHeight="true" outlineLevel="0" collapsed="false">
      <c r="A5" s="97" t="s">
        <v>484</v>
      </c>
      <c r="B5" s="98" t="n">
        <v>2</v>
      </c>
      <c r="C5" s="99" t="n">
        <f aca="false">B5*5</f>
        <v>10</v>
      </c>
      <c r="D5" s="98" t="n">
        <f aca="false">B5*250</f>
        <v>500</v>
      </c>
      <c r="E5" s="100" t="n">
        <f aca="false">D5/1750</f>
        <v>0.285714285714286</v>
      </c>
      <c r="F5" s="101" t="s">
        <v>485</v>
      </c>
    </row>
    <row r="6" customFormat="false" ht="19.5" hidden="false" customHeight="true" outlineLevel="0" collapsed="false">
      <c r="A6" s="93" t="s">
        <v>486</v>
      </c>
      <c r="B6" s="94" t="n">
        <v>0.3</v>
      </c>
      <c r="C6" s="94" t="n">
        <f aca="false">B6*5</f>
        <v>1.5</v>
      </c>
      <c r="D6" s="94" t="n">
        <f aca="false">B6*250</f>
        <v>75</v>
      </c>
      <c r="E6" s="95" t="n">
        <f aca="false">D6/1750</f>
        <v>0.0428571428571429</v>
      </c>
      <c r="F6" s="96"/>
    </row>
    <row r="7" customFormat="false" ht="26.25" hidden="false" customHeight="true" outlineLevel="0" collapsed="false">
      <c r="A7" s="102" t="s">
        <v>487</v>
      </c>
      <c r="B7" s="103" t="n">
        <v>0</v>
      </c>
      <c r="C7" s="103" t="n">
        <f aca="false">B7*5</f>
        <v>0</v>
      </c>
      <c r="D7" s="103" t="n">
        <f aca="false">B7*250</f>
        <v>0</v>
      </c>
      <c r="E7" s="104" t="n">
        <f aca="false">D7/1750</f>
        <v>0</v>
      </c>
      <c r="F7" s="105" t="s">
        <v>488</v>
      </c>
    </row>
    <row r="8" customFormat="false" ht="19.5" hidden="false" customHeight="true" outlineLevel="0" collapsed="false">
      <c r="A8" s="93" t="s">
        <v>489</v>
      </c>
      <c r="B8" s="94" t="n">
        <v>10</v>
      </c>
      <c r="C8" s="94" t="n">
        <f aca="false">B8*5</f>
        <v>50</v>
      </c>
      <c r="D8" s="94" t="n">
        <f aca="false">B8*250</f>
        <v>2500</v>
      </c>
      <c r="E8" s="95" t="n">
        <f aca="false">D8/1750</f>
        <v>1.42857142857143</v>
      </c>
      <c r="F8" s="96" t="s">
        <v>490</v>
      </c>
    </row>
    <row r="9" customFormat="false" ht="19.5" hidden="false" customHeight="true" outlineLevel="0" collapsed="false">
      <c r="A9" s="93" t="s">
        <v>491</v>
      </c>
      <c r="B9" s="94" t="n">
        <v>0.5</v>
      </c>
      <c r="C9" s="94" t="n">
        <f aca="false">B9*5</f>
        <v>2.5</v>
      </c>
      <c r="D9" s="94" t="n">
        <f aca="false">B9*250</f>
        <v>125</v>
      </c>
      <c r="E9" s="95" t="n">
        <f aca="false">D9/1750</f>
        <v>0.0714285714285714</v>
      </c>
      <c r="F9" s="96"/>
    </row>
    <row r="10" customFormat="false" ht="19.5" hidden="false" customHeight="true" outlineLevel="0" collapsed="false">
      <c r="A10" s="93" t="s">
        <v>492</v>
      </c>
      <c r="B10" s="94" t="n">
        <v>0.5</v>
      </c>
      <c r="C10" s="94" t="n">
        <f aca="false">B10*5</f>
        <v>2.5</v>
      </c>
      <c r="D10" s="94" t="n">
        <f aca="false">B10*250</f>
        <v>125</v>
      </c>
      <c r="E10" s="95" t="n">
        <f aca="false">D10/1750</f>
        <v>0.0714285714285714</v>
      </c>
      <c r="F10" s="96"/>
    </row>
    <row r="11" customFormat="false" ht="19.5" hidden="false" customHeight="true" outlineLevel="0" collapsed="false">
      <c r="A11" s="93" t="s">
        <v>149</v>
      </c>
      <c r="B11" s="94" t="n">
        <v>0.5</v>
      </c>
      <c r="C11" s="94" t="n">
        <f aca="false">B11*5</f>
        <v>2.5</v>
      </c>
      <c r="D11" s="94" t="n">
        <f aca="false">B11*250</f>
        <v>125</v>
      </c>
      <c r="E11" s="95" t="n">
        <f aca="false">D11/1750</f>
        <v>0.0714285714285714</v>
      </c>
      <c r="F11" s="96"/>
    </row>
    <row r="12" customFormat="false" ht="19.5" hidden="false" customHeight="true" outlineLevel="0" collapsed="false">
      <c r="A12" s="93" t="s">
        <v>493</v>
      </c>
      <c r="B12" s="94" t="n">
        <v>0.2</v>
      </c>
      <c r="C12" s="94" t="n">
        <f aca="false">B12*5</f>
        <v>1</v>
      </c>
      <c r="D12" s="94" t="n">
        <f aca="false">B12*250</f>
        <v>50</v>
      </c>
      <c r="E12" s="95" t="n">
        <f aca="false">D12/1750</f>
        <v>0.0285714285714286</v>
      </c>
      <c r="F12" s="96"/>
    </row>
    <row r="13" customFormat="false" ht="19.5" hidden="false" customHeight="true" outlineLevel="0" collapsed="false">
      <c r="A13" s="93" t="s">
        <v>494</v>
      </c>
      <c r="B13" s="94" t="n">
        <v>1</v>
      </c>
      <c r="C13" s="94" t="n">
        <f aca="false">B13*5</f>
        <v>5</v>
      </c>
      <c r="D13" s="94" t="n">
        <f aca="false">B13*250</f>
        <v>250</v>
      </c>
      <c r="E13" s="95" t="n">
        <f aca="false">D13/1750</f>
        <v>0.142857142857143</v>
      </c>
      <c r="F13" s="96"/>
    </row>
    <row r="14" customFormat="false" ht="19.5" hidden="false" customHeight="true" outlineLevel="0" collapsed="false">
      <c r="A14" s="93" t="s">
        <v>152</v>
      </c>
      <c r="B14" s="94" t="n">
        <v>0.1</v>
      </c>
      <c r="C14" s="94" t="n">
        <f aca="false">B14*5</f>
        <v>0.5</v>
      </c>
      <c r="D14" s="94" t="n">
        <f aca="false">B14*250</f>
        <v>25</v>
      </c>
      <c r="E14" s="95" t="n">
        <f aca="false">D14/1750</f>
        <v>0.0142857142857143</v>
      </c>
      <c r="F14" s="96"/>
    </row>
    <row r="15" customFormat="false" ht="19.5" hidden="false" customHeight="true" outlineLevel="0" collapsed="false">
      <c r="A15" s="106" t="s">
        <v>495</v>
      </c>
      <c r="B15" s="94" t="n">
        <v>0</v>
      </c>
      <c r="C15" s="94" t="n">
        <f aca="false">B15*5</f>
        <v>0</v>
      </c>
      <c r="D15" s="94" t="n">
        <f aca="false">B15*250</f>
        <v>0</v>
      </c>
      <c r="E15" s="95" t="n">
        <f aca="false">D15/1750</f>
        <v>0</v>
      </c>
      <c r="F15" s="96"/>
    </row>
    <row r="16" customFormat="false" ht="19.5" hidden="false" customHeight="true" outlineLevel="0" collapsed="false">
      <c r="A16" s="107" t="s">
        <v>496</v>
      </c>
      <c r="B16" s="99" t="n">
        <v>0.5</v>
      </c>
      <c r="C16" s="99" t="n">
        <f aca="false">B16*5</f>
        <v>2.5</v>
      </c>
      <c r="D16" s="99" t="n">
        <f aca="false">B16*250</f>
        <v>125</v>
      </c>
      <c r="E16" s="108" t="n">
        <f aca="false">D16/1750</f>
        <v>0.0714285714285714</v>
      </c>
      <c r="F16" s="109"/>
    </row>
    <row r="17" customFormat="false" ht="19.5" hidden="false" customHeight="true" outlineLevel="0" collapsed="false">
      <c r="A17" s="110" t="s">
        <v>497</v>
      </c>
      <c r="B17" s="99" t="n">
        <v>6</v>
      </c>
      <c r="C17" s="99" t="n">
        <f aca="false">B17*5</f>
        <v>30</v>
      </c>
      <c r="D17" s="99" t="n">
        <f aca="false">B17*250</f>
        <v>1500</v>
      </c>
      <c r="E17" s="108" t="n">
        <f aca="false">D17/1750</f>
        <v>0.857142857142857</v>
      </c>
      <c r="F17" s="109"/>
    </row>
    <row r="18" customFormat="false" ht="19.5" hidden="false" customHeight="true" outlineLevel="0" collapsed="false">
      <c r="A18" s="111" t="s">
        <v>498</v>
      </c>
      <c r="B18" s="112" t="n">
        <v>0</v>
      </c>
      <c r="C18" s="113" t="n">
        <f aca="false">B18*5</f>
        <v>0</v>
      </c>
      <c r="D18" s="112" t="n">
        <f aca="false">B18*250</f>
        <v>0</v>
      </c>
      <c r="E18" s="114" t="n">
        <f aca="false">D18/1750</f>
        <v>0</v>
      </c>
      <c r="F18" s="115"/>
    </row>
    <row r="19" customFormat="false" ht="19.5" hidden="false" customHeight="true" outlineLevel="0" collapsed="false">
      <c r="A19" s="110" t="s">
        <v>499</v>
      </c>
      <c r="B19" s="99" t="n">
        <v>2</v>
      </c>
      <c r="C19" s="99" t="n">
        <f aca="false">B19*5</f>
        <v>10</v>
      </c>
      <c r="D19" s="99" t="n">
        <f aca="false">B19*250</f>
        <v>500</v>
      </c>
      <c r="E19" s="108" t="n">
        <f aca="false">D19/1750</f>
        <v>0.285714285714286</v>
      </c>
      <c r="F19" s="109"/>
    </row>
    <row r="20" customFormat="false" ht="19.5" hidden="false" customHeight="true" outlineLevel="0" collapsed="false">
      <c r="A20" s="111" t="s">
        <v>163</v>
      </c>
      <c r="B20" s="112" t="n">
        <v>0</v>
      </c>
      <c r="C20" s="116" t="n">
        <f aca="false">B20*5</f>
        <v>0</v>
      </c>
      <c r="D20" s="112" t="n">
        <f aca="false">B20*250</f>
        <v>0</v>
      </c>
      <c r="E20" s="114" t="n">
        <f aca="false">D20/1750</f>
        <v>0</v>
      </c>
      <c r="F20" s="115"/>
    </row>
    <row r="21" customFormat="false" ht="19.5" hidden="false" customHeight="true" outlineLevel="0" collapsed="false">
      <c r="A21" s="117" t="s">
        <v>500</v>
      </c>
      <c r="B21" s="118" t="n">
        <v>0</v>
      </c>
      <c r="C21" s="119" t="n">
        <f aca="false">B21*5</f>
        <v>0</v>
      </c>
      <c r="D21" s="118" t="n">
        <f aca="false">B21*250</f>
        <v>0</v>
      </c>
      <c r="E21" s="120" t="n">
        <f aca="false">D21/1750</f>
        <v>0</v>
      </c>
      <c r="F21" s="121"/>
    </row>
    <row r="22" customFormat="false" ht="19.5" hidden="false" customHeight="true" outlineLevel="0" collapsed="false">
      <c r="A22" s="122" t="s">
        <v>501</v>
      </c>
      <c r="B22" s="123" t="n">
        <v>3</v>
      </c>
      <c r="C22" s="124" t="n">
        <f aca="false">B22*5</f>
        <v>15</v>
      </c>
      <c r="D22" s="123" t="n">
        <f aca="false">B22*250</f>
        <v>750</v>
      </c>
      <c r="E22" s="125" t="n">
        <f aca="false">D22/1750</f>
        <v>0.428571428571429</v>
      </c>
      <c r="F22" s="126"/>
    </row>
    <row r="23" customFormat="false" ht="19.5" hidden="false" customHeight="true" outlineLevel="0" collapsed="false">
      <c r="A23" s="93" t="s">
        <v>502</v>
      </c>
      <c r="B23" s="94" t="n">
        <f aca="false">SUM(B4:B22)</f>
        <v>28.1</v>
      </c>
      <c r="C23" s="94"/>
      <c r="D23" s="127"/>
      <c r="E23" s="95"/>
      <c r="F23" s="96"/>
    </row>
    <row r="24" customFormat="false" ht="19.5" hidden="false" customHeight="true" outlineLevel="0" collapsed="false">
      <c r="A24" s="128" t="s">
        <v>503</v>
      </c>
      <c r="B24" s="129"/>
      <c r="C24" s="129"/>
      <c r="D24" s="130" t="n">
        <f aca="false">B23/7</f>
        <v>4.01428571428571</v>
      </c>
      <c r="E24" s="131" t="n">
        <f aca="false">SUM(E4:E23)</f>
        <v>4.01428571428571</v>
      </c>
      <c r="F24" s="132" t="s">
        <v>504</v>
      </c>
    </row>
    <row r="25" customFormat="false" ht="34.5" hidden="false" customHeight="true" outlineLevel="0" collapsed="false">
      <c r="A25" s="133" t="s">
        <v>453</v>
      </c>
      <c r="B25" s="134"/>
      <c r="C25" s="135" t="s">
        <v>505</v>
      </c>
      <c r="D25" s="135" t="s">
        <v>506</v>
      </c>
      <c r="E25" s="136"/>
      <c r="F25" s="137" t="s">
        <v>423</v>
      </c>
    </row>
    <row r="26" customFormat="false" ht="19.5" hidden="false" customHeight="true" outlineLevel="0" collapsed="false">
      <c r="A26" s="93" t="s">
        <v>207</v>
      </c>
      <c r="B26" s="138"/>
      <c r="C26" s="139" t="n">
        <f aca="false">38/220*100</f>
        <v>17.2727272727273</v>
      </c>
      <c r="D26" s="139" t="n">
        <f aca="false">$D$24*C26/100</f>
        <v>0.693376623376623</v>
      </c>
      <c r="E26" s="140"/>
      <c r="F26" s="141" t="s">
        <v>507</v>
      </c>
    </row>
    <row r="27" customFormat="false" ht="19.5" hidden="false" customHeight="true" outlineLevel="0" collapsed="false">
      <c r="A27" s="93" t="s">
        <v>508</v>
      </c>
      <c r="B27" s="138"/>
      <c r="C27" s="139" t="n">
        <v>4.1</v>
      </c>
      <c r="D27" s="139" t="n">
        <f aca="false">$D$24*C27/100</f>
        <v>0.164585714285714</v>
      </c>
      <c r="E27" s="140"/>
      <c r="F27" s="96" t="s">
        <v>509</v>
      </c>
    </row>
    <row r="28" customFormat="false" ht="19.5" hidden="false" customHeight="true" outlineLevel="0" collapsed="false">
      <c r="A28" s="142" t="s">
        <v>214</v>
      </c>
      <c r="B28" s="143"/>
      <c r="C28" s="143"/>
      <c r="D28" s="144" t="n">
        <f aca="false">SUM(D26:D27)</f>
        <v>0.857962337662338</v>
      </c>
      <c r="E28" s="145"/>
      <c r="F28" s="146"/>
    </row>
    <row r="29" customFormat="false" ht="19.5" hidden="false" customHeight="true" outlineLevel="0" collapsed="false">
      <c r="A29" s="147" t="s">
        <v>503</v>
      </c>
      <c r="B29" s="148"/>
      <c r="C29" s="148"/>
      <c r="D29" s="149" t="n">
        <f aca="false">D28+D24</f>
        <v>4.87224805194805</v>
      </c>
      <c r="E29" s="150"/>
      <c r="F29" s="151" t="s">
        <v>510</v>
      </c>
    </row>
    <row r="30" customFormat="false" ht="19.5" hidden="false" customHeight="true" outlineLevel="0" collapsed="false">
      <c r="A30" s="152"/>
      <c r="B30" s="152"/>
      <c r="C30" s="152"/>
      <c r="D30" s="152"/>
      <c r="E30" s="152"/>
      <c r="F30" s="152"/>
    </row>
    <row r="31" customFormat="false" ht="12.75" hidden="false" customHeight="false" outlineLevel="0" collapsed="false">
      <c r="A31" s="152"/>
    </row>
    <row r="32" customFormat="false" ht="12.75" hidden="false" customHeight="false" outlineLevel="0" collapsed="false">
      <c r="A32" s="153" t="s">
        <v>511</v>
      </c>
      <c r="H32" s="154" t="s">
        <v>512</v>
      </c>
    </row>
    <row r="34" customFormat="false" ht="12.75" hidden="false" customHeight="false" outlineLevel="0" collapsed="false">
      <c r="C34" s="0" t="n">
        <v>1</v>
      </c>
      <c r="D34" s="155" t="s">
        <v>236</v>
      </c>
    </row>
    <row r="35" customFormat="false" ht="12.75" hidden="false" customHeight="false" outlineLevel="0" collapsed="false">
      <c r="C35" s="0" t="n">
        <v>2</v>
      </c>
      <c r="D35" s="155" t="s">
        <v>238</v>
      </c>
    </row>
    <row r="36" customFormat="false" ht="12.75" hidden="false" customHeight="false" outlineLevel="0" collapsed="false">
      <c r="C36" s="0" t="n">
        <v>4</v>
      </c>
      <c r="D36" s="155" t="s">
        <v>240</v>
      </c>
    </row>
    <row r="37" customFormat="false" ht="12.75" hidden="false" customHeight="false" outlineLevel="0" collapsed="false">
      <c r="C37" s="0" t="n">
        <v>5</v>
      </c>
      <c r="D37" s="156" t="s">
        <v>241</v>
      </c>
    </row>
  </sheetData>
  <printOptions headings="false" gridLines="false" gridLinesSet="true" horizontalCentered="false" verticalCentered="false"/>
  <pageMargins left="0.7875" right="0.7875" top="0.984027777777778" bottom="0.984722222222222" header="0.511811023622047" footer="0.49236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&amp;F&amp;C&amp;8 fz-pA / Mrugalla&amp;R&amp;8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2004-03-11T20:12:11Z</dcterms:created>
  <dc:creator>XXX</dc:creator>
  <dc:description/>
  <dc:language>en-US</dc:language>
  <cp:lastModifiedBy/>
  <cp:lastPrinted>2023-09-07T05:56:33Z</cp:lastPrinted>
  <dcterms:modified xsi:type="dcterms:W3CDTF">2026-10-14T11:01:15Z</dcterms:modified>
  <cp:revision>1</cp:revision>
  <dc:subject/>
  <dc:title>Kapazitätsplanung BB2 Instandhaltung – Umsetzung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