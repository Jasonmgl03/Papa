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lbedarf" sheetId="1" state="visible" r:id="rId3"/>
    <sheet name="Origi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<sst xmlns="http://schemas.openxmlformats.org/spreadsheetml/2006/main" count="95" uniqueCount="88">
  <si>
    <t xml:space="preserve">Personalbedarf Instandhaltung BB2 – Umsetzung</t>
  </si>
  <si>
    <t xml:space="preserve">Wie viele Mitarbeiter brauchen wir, um diese Aufgaben zu erledigen?</t>
  </si>
  <si>
    <t xml:space="preserve">Stand:</t>
  </si>
  <si>
    <t xml:space="preserve">Nr.</t>
  </si>
  <si>
    <t xml:space="preserve">Aufgabe</t>
  </si>
  <si>
    <t xml:space="preserve">Stunden
pro Tag</t>
  </si>
  <si>
    <t xml:space="preserve">Stunden
pro Jahr</t>
  </si>
  <si>
    <t xml:space="preserve">Mitarbeiter</t>
  </si>
  <si>
    <t xml:space="preserve">Bemerkung</t>
  </si>
  <si>
    <t xml:space="preserve">Grundlagen</t>
  </si>
  <si>
    <t xml:space="preserve">Ersatzteilmanagement – Planung</t>
  </si>
  <si>
    <t xml:space="preserve">Arbeitstage pro Jahr</t>
  </si>
  <si>
    <t xml:space="preserve">Ersatzteilumlagerung und Sonstiges</t>
  </si>
  <si>
    <t xml:space="preserve">Lagerhaltung / Ersatzteilbeschaffung extern</t>
  </si>
  <si>
    <t xml:space="preserve">Stunden pro Mitarbeiter und Jahr</t>
  </si>
  <si>
    <t xml:space="preserve">Komplexe Reparaturen / Generalüberholungen</t>
  </si>
  <si>
    <t xml:space="preserve">Urlaubstage pro Mitarbeiter</t>
  </si>
  <si>
    <t xml:space="preserve">Reparatur / Überholung von Ersatzteilen</t>
  </si>
  <si>
    <t xml:space="preserve">Komplexe Ersatzteile (Druckübersetzer, Wasserventile …)</t>
  </si>
  <si>
    <t xml:space="preserve">bezogen auf Arbeitstage</t>
  </si>
  <si>
    <t xml:space="preserve">Projekte und KVP (Lean-Projekte, z. B. SMED)</t>
  </si>
  <si>
    <t xml:space="preserve">Entwicklung, Berechnung, Bestellung</t>
  </si>
  <si>
    <t xml:space="preserve">Krankenquote</t>
  </si>
  <si>
    <t xml:space="preserve">Training / Schulung / Betreuung / TPM / WPS</t>
  </si>
  <si>
    <t xml:space="preserve">Gelbe Felder können geändert werden – alles andere rechnet automatisch.</t>
  </si>
  <si>
    <t xml:space="preserve">Auslandseinsätze / Auslandsbetreuung</t>
  </si>
  <si>
    <t xml:space="preserve">Anfahren von Neuanlagen</t>
  </si>
  <si>
    <t xml:space="preserve">Ergebnis</t>
  </si>
  <si>
    <t xml:space="preserve">Freiprüfung neuer Werkzeuge (Versuche)</t>
  </si>
  <si>
    <t xml:space="preserve">Mitarbeiter für die Aufgaben</t>
  </si>
  <si>
    <t xml:space="preserve">Konstruktion / 3D</t>
  </si>
  <si>
    <t xml:space="preserve">Maschinenumzüge</t>
  </si>
  <si>
    <t xml:space="preserve">CNC-Technik (z. B. Nachdrehen Messer)</t>
  </si>
  <si>
    <t xml:space="preserve">Benötigte Mitarbeiter gesamt</t>
  </si>
  <si>
    <t xml:space="preserve">Sonderaufgaben (Lagersysteme …)</t>
  </si>
  <si>
    <t xml:space="preserve">aufgerundet (Personen)</t>
  </si>
  <si>
    <t xml:space="preserve">Facility Management</t>
  </si>
  <si>
    <t xml:space="preserve">Planung und Dokumentation</t>
  </si>
  <si>
    <t xml:space="preserve">Vorhandene Mitarbeiter</t>
  </si>
  <si>
    <t xml:space="preserve">Betreuung Balg-Bereich</t>
  </si>
  <si>
    <t xml:space="preserve">Wartung Betriebsmittel</t>
  </si>
  <si>
    <t xml:space="preserve">Original: 4 Personen (Scheifele, Baran, Vischer, Mrugalla)</t>
  </si>
  <si>
    <t xml:space="preserve">Wartung allgemeiner Maschinen</t>
  </si>
  <si>
    <t xml:space="preserve">Administration</t>
  </si>
  <si>
    <t xml:space="preserve">freie Zeile – weitere Aufgabe eintragen</t>
  </si>
  <si>
    <t xml:space="preserve">Summe</t>
  </si>
  <si>
    <t xml:space="preserve">Mitarbeiterplanung BB2 Instandhaltung Umsetzung</t>
  </si>
  <si>
    <t xml:space="preserve">Bereich</t>
  </si>
  <si>
    <t xml:space="preserve">Dauer/Min./Teil</t>
  </si>
  <si>
    <t xml:space="preserve">Std. / Jahr</t>
  </si>
  <si>
    <t xml:space="preserve">1 MA = 1750</t>
  </si>
  <si>
    <t xml:space="preserve">Bemerkungen</t>
  </si>
  <si>
    <t xml:space="preserve">Ersatzteilmanagement Planung</t>
  </si>
  <si>
    <t xml:space="preserve">Ersatzteilumlagerung u. sonstiges</t>
  </si>
  <si>
    <t xml:space="preserve">Lagerhaltung / Ersatzteilbeschafung extern</t>
  </si>
  <si>
    <t xml:space="preserve">Komplexe Reparaturen / Generallüberholungen</t>
  </si>
  <si>
    <t xml:space="preserve">Reparatur / Überhollung von Ersatzteilen</t>
  </si>
  <si>
    <t xml:space="preserve">Komplexe Ersatzeile (Druckübersetzter, Wasserventile…..)</t>
  </si>
  <si>
    <t xml:space="preserve">Projekte und KVP (Lean Projekte z.B SMED,….)</t>
  </si>
  <si>
    <t xml:space="preserve">Entwicklung; Berechnung; Bestellung; </t>
  </si>
  <si>
    <t xml:space="preserve">Training / Schulung / Betreung / TPM / WPS</t>
  </si>
  <si>
    <t xml:space="preserve">Auslandeinsätze / Ausladsbetreuung</t>
  </si>
  <si>
    <t xml:space="preserve">Freiprüfung von neu WKZ (Versuche)</t>
  </si>
  <si>
    <t xml:space="preserve">Konstrunktion / 3D</t>
  </si>
  <si>
    <t xml:space="preserve">CNC-Technik (z.B. Nachdrehen Messer)</t>
  </si>
  <si>
    <t xml:space="preserve">Sonderaufgaben (Lagersystemme…)</t>
  </si>
  <si>
    <t xml:space="preserve">Facility Managemant</t>
  </si>
  <si>
    <t xml:space="preserve">Planung und Dokumentationen </t>
  </si>
  <si>
    <t xml:space="preserve">Betreung Balg-Bereich</t>
  </si>
  <si>
    <t xml:space="preserve">Wartung allg. Maschinen</t>
  </si>
  <si>
    <t xml:space="preserve">Administrativ</t>
  </si>
  <si>
    <t xml:space="preserve">Gesamt</t>
  </si>
  <si>
    <t xml:space="preserve">Summe Direkte Mitarbeiter</t>
  </si>
  <si>
    <t xml:space="preserve">netto</t>
  </si>
  <si>
    <t xml:space="preserve">Verteilzeiten</t>
  </si>
  <si>
    <t xml:space="preserve">Anteil
[%]</t>
  </si>
  <si>
    <t xml:space="preserve">Summe 
MA</t>
  </si>
  <si>
    <t xml:space="preserve">Urlaub</t>
  </si>
  <si>
    <t xml:space="preserve">38 Tage Urlaub / TZ/ 220 AT</t>
  </si>
  <si>
    <t xml:space="preserve">Krank</t>
  </si>
  <si>
    <t xml:space="preserve">Statistik fz-IH</t>
  </si>
  <si>
    <t xml:space="preserve">Summe Verteilzeiten</t>
  </si>
  <si>
    <t xml:space="preserve">brutto</t>
  </si>
  <si>
    <t xml:space="preserve">*Schcihtübegreifend</t>
  </si>
  <si>
    <t xml:space="preserve">Scheifele</t>
  </si>
  <si>
    <t xml:space="preserve">Baran</t>
  </si>
  <si>
    <t xml:space="preserve">Vischer</t>
  </si>
  <si>
    <t xml:space="preserve">Mrugalla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</si>
</sst>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0.0"/>
    <numFmt numFmtId="167" formatCode="#,##0"/>
    <numFmt numFmtId="168" formatCode="0.00"/>
    <numFmt numFmtId="169" formatCode="0"/>
    <numFmt numFmtId="170" formatCode="0.0%"/>
    <numFmt numFmtId="171" formatCode="m/d/yyyy"/>
    <numFmt numFmtId="172" formatCode="General"/>
  </numFmts>
  <fonts count="2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A6A6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u val="singl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3366FF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6"/>
      <color rgb="FF808080"/>
      <name val="Cambria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rgb="FF1F3864"/>
        <bgColor rgb="FF333399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BEEF4"/>
      </patternFill>
    </fill>
    <fill>
      <patternFill patternType="solid">
        <fgColor theme="6" tint="0.7999"/>
        <bgColor rgb="FFEEECE1"/>
      </patternFill>
    </fill>
    <fill>
      <patternFill patternType="solid">
        <fgColor theme="6" tint="0.5999"/>
        <bgColor rgb="FFD9D9D9"/>
      </patternFill>
    </fill>
    <fill>
      <patternFill patternType="solid">
        <fgColor theme="9" tint="0.7999"/>
        <bgColor rgb="FFFFF2CC"/>
      </patternFill>
    </fill>
    <fill>
      <patternFill patternType="solid">
        <fgColor theme="0"/>
        <bgColor rgb="FFF7F9FC"/>
      </patternFill>
    </fill>
    <fill>
      <patternFill patternType="solid">
        <fgColor theme="2"/>
        <bgColor rgb="FFEBF1DE"/>
      </patternFill>
    </fill>
    <fill>
      <patternFill patternType="solid">
        <fgColor theme="8" tint="0.7999"/>
        <bgColor rgb="FFDDEBF7"/>
      </patternFill>
    </fill>
    <fill>
      <patternFill patternType="solid">
        <fgColor theme="4" tint="0.7999"/>
        <bgColor rgb="FFDDEB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7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3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2CC"/>
      <rgbColor rgb="FFDBEEF4"/>
      <rgbColor rgb="FF660066"/>
      <rgbColor rgb="FFFF8080"/>
      <rgbColor rgb="FF2E75B6"/>
      <rgbColor rgb="FFD9D9D9"/>
      <rgbColor rgb="FF000080"/>
      <rgbColor rgb="FFFF00FF"/>
      <rgbColor rgb="FFEEECE1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DEADA"/>
      <rgbColor rgb="FFDCE6F2"/>
      <rgbColor rgb="FFE6E6E6"/>
      <rgbColor rgb="FFD7E4BD"/>
      <rgbColor rgb="FFF8CBAD"/>
      <rgbColor rgb="FF3366FF"/>
      <rgbColor rgb="FF33CCCC"/>
      <rgbColor rgb="FF99CC00"/>
      <rgbColor rgb="FFF7F9FC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Mitarbeiter je Aufgabe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Personalbedarf!$B$5:$B$23</c:f>
              <c:strCache>
                <c:ptCount val="19"/>
                <c:pt idx="0">
                  <c:v>Ersatzteilmanagement – Planung</c:v>
                </c:pt>
                <c:pt idx="1">
                  <c:v>Ersatzteilumlagerung und Sonstiges</c:v>
                </c:pt>
                <c:pt idx="2">
                  <c:v>Komplexe Reparaturen / Generalüberholungen</c:v>
                </c:pt>
                <c:pt idx="3">
                  <c:v>Reparatur / Überholung von Ersatzteilen</c:v>
                </c:pt>
                <c:pt idx="4">
                  <c:v>Projekte und KVP (Lean-Projekte, z. B. SMED)</c:v>
                </c:pt>
                <c:pt idx="5">
                  <c:v>Training / Schulung / Betreuung / TPM / WPS</c:v>
                </c:pt>
                <c:pt idx="6">
                  <c:v>Auslandseinsätze / Auslandsbetreuung</c:v>
                </c:pt>
                <c:pt idx="7">
                  <c:v>Anfahren von Neuanlagen</c:v>
                </c:pt>
                <c:pt idx="8">
                  <c:v>Freiprüfung neuer Werkzeuge (Versuche)</c:v>
                </c:pt>
                <c:pt idx="9">
                  <c:v>Konstruktion / 3D</c:v>
                </c:pt>
                <c:pt idx="10">
                  <c:v>Maschinenumzüge</c:v>
                </c:pt>
                <c:pt idx="11">
                  <c:v>CNC-Technik (z. B. Nachdrehen Messer)</c:v>
                </c:pt>
                <c:pt idx="12">
                  <c:v>Sonderaufgaben (Lagersysteme …)</c:v>
                </c:pt>
                <c:pt idx="13">
                  <c:v>Facility Management</c:v>
                </c:pt>
                <c:pt idx="14">
                  <c:v>Planung und Dokumentation</c:v>
                </c:pt>
                <c:pt idx="15">
                  <c:v>Betreuung Balg-Bereich</c:v>
                </c:pt>
                <c:pt idx="16">
                  <c:v>Wartung Betriebsmittel</c:v>
                </c:pt>
                <c:pt idx="17">
                  <c:v>Wartung allgemeiner Maschinen</c:v>
                </c:pt>
                <c:pt idx="18">
                  <c:v>Administration</c:v>
                </c:pt>
              </c:strCache>
            </c:strRef>
          </c:cat>
          <c:val>
            <c:numRef>
              <c:f>Personalbedarf!$E$5:$E$23</c:f>
              <c:numCache>
                <c:formatCode>0.00</c:formatCode>
                <c:ptCount val="19"/>
                <c:pt idx="0">
                  <c:v>0.214285714285714</c:v>
                </c:pt>
                <c:pt idx="1">
                  <c:v>0.285714285714286</c:v>
                </c:pt>
                <c:pt idx="2">
                  <c:v>0.0428571428571429</c:v>
                </c:pt>
                <c:pt idx="3">
                  <c:v>0</c:v>
                </c:pt>
                <c:pt idx="4">
                  <c:v>1.42857142857143</c:v>
                </c:pt>
                <c:pt idx="5">
                  <c:v>0.0714285714285714</c:v>
                </c:pt>
                <c:pt idx="6">
                  <c:v>0.0714285714285714</c:v>
                </c:pt>
                <c:pt idx="7">
                  <c:v>0.0714285714285714</c:v>
                </c:pt>
                <c:pt idx="8">
                  <c:v>0.0285714285714286</c:v>
                </c:pt>
                <c:pt idx="9">
                  <c:v>0.142857142857143</c:v>
                </c:pt>
                <c:pt idx="10">
                  <c:v>0.0142857142857143</c:v>
                </c:pt>
                <c:pt idx="11">
                  <c:v>0</c:v>
                </c:pt>
                <c:pt idx="12">
                  <c:v>0.0714285714285714</c:v>
                </c:pt>
                <c:pt idx="13">
                  <c:v>0.857142857142857</c:v>
                </c:pt>
                <c:pt idx="14">
                  <c:v>0</c:v>
                </c:pt>
                <c:pt idx="15">
                  <c:v>0.285714285714286</c:v>
                </c:pt>
                <c:pt idx="16">
                  <c:v>0</c:v>
                </c:pt>
                <c:pt idx="17">
                  <c:v>0</c:v>
                </c:pt>
                <c:pt idx="18">
                  <c:v>0.428571428571429</c:v>
                </c:pt>
              </c:numCache>
            </c:numRef>
          </c:val>
        </c:ser>
        <c:gapWidth val="40"/>
        <c:overlap val="0"/>
        <c:axId val="82425730"/>
        <c:axId val="51587884"/>
      </c:barChart>
      <c:catAx>
        <c:axId val="824257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7884"/>
        <c:crosses val="autoZero"/>
        <c:auto val="1"/>
        <c:lblAlgn val="ctr"/>
        <c:lblOffset val="100"/>
        <c:noMultiLvlLbl val="0"/>
      </c:catAx>
      <c:valAx>
        <c:axId val="515878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2573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de-DE" sz="1600" spc="-1" strike="noStrike">
                <a:solidFill>
                  <a:srgbClr val="808080"/>
                </a:solidFill>
                <a:latin typeface="Cambria"/>
              </a:defRPr>
            </a:pPr>
            <a:r>
              <a:rPr b="1" lang="de-DE" sz="1600" spc="-1" strike="noStrike">
                <a:solidFill>
                  <a:srgbClr val="808080"/>
                </a:solidFill>
                <a:latin typeface="Cambria"/>
              </a:rPr>
              <a:t>Std./Jahr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4f81bd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gradFill>
                <a:gsLst>
                  <a:gs pos="0">
                    <a:srgbClr val="c0504d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gradFill>
                <a:gsLst>
                  <a:gs pos="0">
                    <a:srgbClr val="9bbb59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gradFill>
                <a:gsLst>
                  <a:gs pos="0">
                    <a:srgbClr val="8064a2"/>
                  </a:gs>
                  <a:gs pos="100000">
                    <a:srgbClr val="b3a2c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gradFill>
                <a:gsLst>
                  <a:gs pos="0">
                    <a:srgbClr val="4bacc6"/>
                  </a:gs>
                  <a:gs pos="100000">
                    <a:srgbClr val="93cddd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gradFill>
                <a:gsLst>
                  <a:gs pos="0">
                    <a:srgbClr val="f79646"/>
                  </a:gs>
                  <a:gs pos="100000">
                    <a:srgbClr val="fac090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gradFill>
                <a:gsLst>
                  <a:gs pos="0">
                    <a:srgbClr val="2c4d75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gradFill>
                <a:gsLst>
                  <a:gs pos="0">
                    <a:srgbClr val="772c2a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gradFill>
                <a:gsLst>
                  <a:gs pos="0">
                    <a:srgbClr val="5f7530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gradFill>
                <a:gsLst>
                  <a:gs pos="0">
                    <a:srgbClr val="4d3b62"/>
                  </a:gs>
                  <a:gs pos="100000">
                    <a:srgbClr val="b3a2c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gradFill>
                <a:gsLst>
                  <a:gs pos="0">
                    <a:srgbClr val="276a7c"/>
                  </a:gs>
                  <a:gs pos="100000">
                    <a:srgbClr val="93cddd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1"/>
            <c:spPr>
              <a:gradFill>
                <a:gsLst>
                  <a:gs pos="0">
                    <a:srgbClr val="b65708"/>
                  </a:gs>
                  <a:gs pos="100000">
                    <a:srgbClr val="fac090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2"/>
            <c:spPr>
              <a:gradFill>
                <a:gsLst>
                  <a:gs pos="0">
                    <a:srgbClr val="729aca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3"/>
            <c:spPr>
              <a:gradFill>
                <a:gsLst>
                  <a:gs pos="0">
                    <a:srgbClr val="cd7371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4"/>
            <c:spPr>
              <a:gradFill>
                <a:gsLst>
                  <a:gs pos="0">
                    <a:srgbClr val="afc97a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categories</c:f>
              <c:strCache>
                <c:ptCount val="15"/>
                <c:pt idx="0">
                  <c:v>Ersatzteilmanagement Planung</c:v>
                </c:pt>
                <c:pt idx="1">
                  <c:v>Ersatzteilumlagerung u. sonstiges</c:v>
                </c:pt>
                <c:pt idx="2">
                  <c:v>Komplexe Reparaturen / Generallüberholungen</c:v>
                </c:pt>
                <c:pt idx="3">
                  <c:v>Reparatur / Überhollung von Ersatzteilen</c:v>
                </c:pt>
                <c:pt idx="4">
                  <c:v>Projekte und KVP (Lean Projekte z.B SMED,….)</c:v>
                </c:pt>
                <c:pt idx="5">
                  <c:v>Training / Schulung / Betreung / TPM / WPS</c:v>
                </c:pt>
                <c:pt idx="6">
                  <c:v>Auslandeinsätze / Ausladsbetreuung</c:v>
                </c:pt>
                <c:pt idx="7">
                  <c:v>Anfahren von Neuanlagen</c:v>
                </c:pt>
                <c:pt idx="8">
                  <c:v>Freiprüfung von neu WKZ (Versuche)</c:v>
                </c:pt>
                <c:pt idx="9">
                  <c:v>Konstrunktion / 3D</c:v>
                </c:pt>
                <c:pt idx="10">
                  <c:v>Maschinenumzüge</c:v>
                </c:pt>
                <c:pt idx="11">
                  <c:v>CNC-Technik (z.B. Nachdrehen Messer)</c:v>
                </c:pt>
                <c:pt idx="12">
                  <c:v>Sonderaufgaben (Lagersystemme…)</c:v>
                </c:pt>
                <c:pt idx="13">
                  <c:v>Facility Managemant</c:v>
                </c:pt>
                <c:pt idx="14">
                  <c:v>Planung und Dokumentationen 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5"/>
                <c:pt idx="0">
                  <c:v>375</c:v>
                </c:pt>
                <c:pt idx="1">
                  <c:v>500</c:v>
                </c:pt>
                <c:pt idx="2">
                  <c:v>75</c:v>
                </c:pt>
                <c:pt idx="3">
                  <c:v>0</c:v>
                </c:pt>
                <c:pt idx="4">
                  <c:v>2500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50</c:v>
                </c:pt>
                <c:pt idx="9">
                  <c:v>250</c:v>
                </c:pt>
                <c:pt idx="10">
                  <c:v>25</c:v>
                </c:pt>
                <c:pt idx="11">
                  <c:v>0</c:v>
                </c:pt>
                <c:pt idx="12">
                  <c:v>125</c:v>
                </c:pt>
                <c:pt idx="13">
                  <c:v>1500</c:v>
                </c:pt>
                <c:pt idx="1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fffff">
            <a:alpha val="50000"/>
          </a:srgbClr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pattFill prst="ltDnDiag">
      <a:fgClr>
        <a:srgbClr val="ffffff"/>
      </a:fgClr>
      <a:bgClr>
        <a:srgbClr val="e6e6e6"/>
      </a:bgClr>
    </a:patt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131040</xdr:rowOff>
    </xdr:from>
    <xdr:to>
      <xdr:col>5</xdr:col>
      <xdr:colOff>2210400</xdr:colOff>
      <xdr:row>50</xdr:row>
      <xdr:rowOff>69120</xdr:rowOff>
    </xdr:to>
    <xdr:graphicFrame>
      <xdr:nvGraphicFramePr>
        <xdr:cNvPr id="0" name="Chart 1"/>
        <xdr:cNvGraphicFramePr/>
      </xdr:nvGraphicFramePr>
      <xdr:xfrm>
        <a:off x="0" y="7020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181080</xdr:colOff>
      <xdr:row>1</xdr:row>
      <xdr:rowOff>147600</xdr:rowOff>
    </xdr:from>
    <xdr:to>
      <xdr:col>17</xdr:col>
      <xdr:colOff>276120</xdr:colOff>
      <xdr:row>28</xdr:row>
      <xdr:rowOff>228240</xdr:rowOff>
    </xdr:to>
    <xdr:graphicFrame>
      <xdr:nvGraphicFramePr>
        <xdr:cNvPr id="1" name="Chart 1"/>
        <xdr:cNvGraphicFramePr/>
      </xdr:nvGraphicFramePr>
      <xdr:xfrm>
        <a:off x="9857160" y="480960"/>
        <a:ext cx="7861320" cy="724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E2" s="3" t="s">
        <v>2</v>
      </c>
      <c r="F2" s="4" t="n">
        <v>45859</v>
      </c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H4" s="6" t="s">
        <v>9</v>
      </c>
      <c r="I4" s="7"/>
    </row>
    <row r="5" customFormat="false" ht="19.5" hidden="false" customHeight="true" outlineLevel="0" collapsed="false">
      <c r="A5" s="8" t="n">
        <v>1</v>
      </c>
      <c r="B5" s="9" t="s">
        <v>10</v>
      </c>
      <c r="C5" s="10" t="n">
        <v>1.5</v>
      </c>
      <c r="D5" s="11" t="n">
        <f aca="false">IF(C5="","",C5*$I$5)</f>
        <v>375</v>
      </c>
      <c r="E5" s="12" t="n">
        <f aca="false">IF(C5="","",D5/$I$6)</f>
        <v>0.214285714285714</v>
      </c>
      <c r="F5" s="13"/>
      <c r="H5" s="14" t="s">
        <v>11</v>
      </c>
      <c r="I5" s="15" t="n">
        <v>250</v>
      </c>
    </row>
    <row r="6" customFormat="false" ht="19.5" hidden="false" customHeight="true" outlineLevel="0" collapsed="false">
      <c r="A6" s="16" t="n">
        <v>2</v>
      </c>
      <c r="B6" s="9" t="s">
        <v>12</v>
      </c>
      <c r="C6" s="10" t="n">
        <v>2</v>
      </c>
      <c r="D6" s="17" t="n">
        <f aca="false">IF(C6="","",C6*$I$5)</f>
        <v>500</v>
      </c>
      <c r="E6" s="18" t="n">
        <f aca="false">IF(C6="","",D6/$I$6)</f>
        <v>0.285714285714286</v>
      </c>
      <c r="F6" s="19" t="s">
        <v>13</v>
      </c>
      <c r="H6" s="14" t="s">
        <v>14</v>
      </c>
      <c r="I6" s="20" t="n">
        <v>1750</v>
      </c>
    </row>
    <row r="7" customFormat="false" ht="19.5" hidden="false" customHeight="true" outlineLevel="0" collapsed="false">
      <c r="A7" s="8" t="n">
        <v>3</v>
      </c>
      <c r="B7" s="9" t="s">
        <v>15</v>
      </c>
      <c r="C7" s="10" t="n">
        <v>0.3</v>
      </c>
      <c r="D7" s="11" t="n">
        <f aca="false">IF(C7="","",C7*$I$5)</f>
        <v>75</v>
      </c>
      <c r="E7" s="12" t="n">
        <f aca="false">IF(C7="","",D7/$I$6)</f>
        <v>0.0428571428571429</v>
      </c>
      <c r="F7" s="13"/>
      <c r="H7" s="14" t="s">
        <v>16</v>
      </c>
      <c r="I7" s="15" t="n">
        <v>38</v>
      </c>
    </row>
    <row r="8" customFormat="false" ht="19.5" hidden="false" customHeight="true" outlineLevel="0" collapsed="false">
      <c r="A8" s="16" t="n">
        <v>4</v>
      </c>
      <c r="B8" s="9" t="s">
        <v>17</v>
      </c>
      <c r="C8" s="10" t="n">
        <v>0</v>
      </c>
      <c r="D8" s="17" t="n">
        <f aca="false">IF(C8="","",C8*$I$5)</f>
        <v>0</v>
      </c>
      <c r="E8" s="18" t="n">
        <f aca="false">IF(C8="","",D8/$I$6)</f>
        <v>0</v>
      </c>
      <c r="F8" s="19" t="s">
        <v>18</v>
      </c>
      <c r="H8" s="14" t="s">
        <v>19</v>
      </c>
      <c r="I8" s="15" t="n">
        <v>220</v>
      </c>
    </row>
    <row r="9" customFormat="false" ht="19.5" hidden="false" customHeight="true" outlineLevel="0" collapsed="false">
      <c r="A9" s="8" t="n">
        <v>5</v>
      </c>
      <c r="B9" s="9" t="s">
        <v>20</v>
      </c>
      <c r="C9" s="10" t="n">
        <v>10</v>
      </c>
      <c r="D9" s="11" t="n">
        <f aca="false">IF(C9="","",C9*$I$5)</f>
        <v>2500</v>
      </c>
      <c r="E9" s="12" t="n">
        <f aca="false">IF(C9="","",D9/$I$6)</f>
        <v>1.42857142857143</v>
      </c>
      <c r="F9" s="13" t="s">
        <v>21</v>
      </c>
      <c r="H9" s="14" t="s">
        <v>22</v>
      </c>
      <c r="I9" s="21" t="n">
        <v>0.041</v>
      </c>
    </row>
    <row r="10" customFormat="false" ht="19.5" hidden="false" customHeight="true" outlineLevel="0" collapsed="false">
      <c r="A10" s="16" t="n">
        <v>6</v>
      </c>
      <c r="B10" s="9" t="s">
        <v>23</v>
      </c>
      <c r="C10" s="10" t="n">
        <v>0.5</v>
      </c>
      <c r="D10" s="17" t="n">
        <f aca="false">IF(C10="","",C10*$I$5)</f>
        <v>125</v>
      </c>
      <c r="E10" s="18" t="n">
        <f aca="false">IF(C10="","",D10/$I$6)</f>
        <v>0.0714285714285714</v>
      </c>
      <c r="F10" s="19"/>
      <c r="H10" s="22" t="s">
        <v>24</v>
      </c>
    </row>
    <row r="11" customFormat="false" ht="19.5" hidden="false" customHeight="true" outlineLevel="0" collapsed="false">
      <c r="A11" s="8" t="n">
        <v>7</v>
      </c>
      <c r="B11" s="9" t="s">
        <v>25</v>
      </c>
      <c r="C11" s="10" t="n">
        <v>0.5</v>
      </c>
      <c r="D11" s="11" t="n">
        <f aca="false">IF(C11="","",C11*$I$5)</f>
        <v>125</v>
      </c>
      <c r="E11" s="12" t="n">
        <f aca="false">IF(C11="","",D11/$I$6)</f>
        <v>0.0714285714285714</v>
      </c>
      <c r="F11" s="13"/>
    </row>
    <row r="12" customFormat="false" ht="19.5" hidden="false" customHeight="true" outlineLevel="0" collapsed="false">
      <c r="A12" s="16" t="n">
        <v>8</v>
      </c>
      <c r="B12" s="9" t="s">
        <v>26</v>
      </c>
      <c r="C12" s="10" t="n">
        <v>0.5</v>
      </c>
      <c r="D12" s="17" t="n">
        <f aca="false">IF(C12="","",C12*$I$5)</f>
        <v>125</v>
      </c>
      <c r="E12" s="18" t="n">
        <f aca="false">IF(C12="","",D12/$I$6)</f>
        <v>0.0714285714285714</v>
      </c>
      <c r="F12" s="19"/>
      <c r="H12" s="6" t="s">
        <v>27</v>
      </c>
      <c r="I12" s="7"/>
    </row>
    <row r="13" customFormat="false" ht="19.5" hidden="false" customHeight="true" outlineLevel="0" collapsed="false">
      <c r="A13" s="8" t="n">
        <v>9</v>
      </c>
      <c r="B13" s="9" t="s">
        <v>28</v>
      </c>
      <c r="C13" s="10" t="n">
        <v>0.2</v>
      </c>
      <c r="D13" s="11" t="n">
        <f aca="false">IF(C13="","",C13*$I$5)</f>
        <v>50</v>
      </c>
      <c r="E13" s="12" t="n">
        <f aca="false">IF(C13="","",D13/$I$6)</f>
        <v>0.0285714285714286</v>
      </c>
      <c r="F13" s="13"/>
      <c r="H13" s="14" t="s">
        <v>29</v>
      </c>
      <c r="I13" s="12" t="n">
        <f aca="false">E27</f>
        <v>4.01428571428571</v>
      </c>
    </row>
    <row r="14" customFormat="false" ht="19.5" hidden="false" customHeight="true" outlineLevel="0" collapsed="false">
      <c r="A14" s="16" t="n">
        <v>10</v>
      </c>
      <c r="B14" s="9" t="s">
        <v>30</v>
      </c>
      <c r="C14" s="10" t="n">
        <v>1</v>
      </c>
      <c r="D14" s="17" t="n">
        <f aca="false">IF(C14="","",C14*$I$5)</f>
        <v>250</v>
      </c>
      <c r="E14" s="18" t="n">
        <f aca="false">IF(C14="","",D14/$I$6)</f>
        <v>0.142857142857143</v>
      </c>
      <c r="F14" s="19"/>
      <c r="H14" s="14" t="str">
        <f aca="false">"+ Urlaub ("&amp;TEXT(I7/I8,"0.0%")&amp;")"</f>
        <v>+ Urlaub (17.3%)</v>
      </c>
      <c r="I14" s="12" t="n">
        <f aca="false">E27*I7/I8</f>
        <v>0.693376623376623</v>
      </c>
    </row>
    <row r="15" customFormat="false" ht="19.5" hidden="false" customHeight="true" outlineLevel="0" collapsed="false">
      <c r="A15" s="8" t="n">
        <v>11</v>
      </c>
      <c r="B15" s="9" t="s">
        <v>31</v>
      </c>
      <c r="C15" s="10" t="n">
        <v>0.1</v>
      </c>
      <c r="D15" s="11" t="n">
        <f aca="false">IF(C15="","",C15*$I$5)</f>
        <v>25</v>
      </c>
      <c r="E15" s="12" t="n">
        <f aca="false">IF(C15="","",D15/$I$6)</f>
        <v>0.0142857142857143</v>
      </c>
      <c r="F15" s="13"/>
      <c r="H15" s="14" t="str">
        <f aca="false">"+ Krankheit ("&amp;TEXT(I9,"0.0%")&amp;")"</f>
        <v>+ Krankheit (4.1%)</v>
      </c>
      <c r="I15" s="12" t="n">
        <f aca="false">E27*I9</f>
        <v>0.164585714285714</v>
      </c>
    </row>
    <row r="16" customFormat="false" ht="30" hidden="false" customHeight="true" outlineLevel="0" collapsed="false">
      <c r="A16" s="16" t="n">
        <v>12</v>
      </c>
      <c r="B16" s="9" t="s">
        <v>32</v>
      </c>
      <c r="C16" s="10" t="n">
        <v>0</v>
      </c>
      <c r="D16" s="17" t="n">
        <f aca="false">IF(C16="","",C16*$I$5)</f>
        <v>0</v>
      </c>
      <c r="E16" s="18" t="n">
        <f aca="false">IF(C16="","",D16/$I$6)</f>
        <v>0</v>
      </c>
      <c r="F16" s="19"/>
      <c r="H16" s="23" t="s">
        <v>33</v>
      </c>
      <c r="I16" s="24" t="n">
        <f aca="false">SUM(I13:I15)</f>
        <v>4.87224805194805</v>
      </c>
    </row>
    <row r="17" customFormat="false" ht="19.5" hidden="false" customHeight="true" outlineLevel="0" collapsed="false">
      <c r="A17" s="8" t="n">
        <v>13</v>
      </c>
      <c r="B17" s="9" t="s">
        <v>34</v>
      </c>
      <c r="C17" s="10" t="n">
        <v>0.5</v>
      </c>
      <c r="D17" s="11" t="n">
        <f aca="false">IF(C17="","",C17*$I$5)</f>
        <v>125</v>
      </c>
      <c r="E17" s="12" t="n">
        <f aca="false">IF(C17="","",D17/$I$6)</f>
        <v>0.0714285714285714</v>
      </c>
      <c r="F17" s="13"/>
      <c r="H17" s="25" t="s">
        <v>35</v>
      </c>
      <c r="I17" s="26" t="n">
        <f aca="false">ROUNDUP(I16,0)</f>
        <v>5</v>
      </c>
    </row>
    <row r="18" customFormat="false" ht="19.5" hidden="false" customHeight="true" outlineLevel="0" collapsed="false">
      <c r="A18" s="16" t="n">
        <v>14</v>
      </c>
      <c r="B18" s="9" t="s">
        <v>36</v>
      </c>
      <c r="C18" s="10" t="n">
        <v>6</v>
      </c>
      <c r="D18" s="17" t="n">
        <f aca="false">IF(C18="","",C18*$I$5)</f>
        <v>1500</v>
      </c>
      <c r="E18" s="18" t="n">
        <f aca="false">IF(C18="","",D18/$I$6)</f>
        <v>0.857142857142857</v>
      </c>
      <c r="F18" s="19"/>
    </row>
    <row r="19" customFormat="false" ht="19.5" hidden="false" customHeight="true" outlineLevel="0" collapsed="false">
      <c r="A19" s="8" t="n">
        <v>15</v>
      </c>
      <c r="B19" s="9" t="s">
        <v>37</v>
      </c>
      <c r="C19" s="10" t="n">
        <v>0</v>
      </c>
      <c r="D19" s="11" t="n">
        <f aca="false">IF(C19="","",C19*$I$5)</f>
        <v>0</v>
      </c>
      <c r="E19" s="12" t="n">
        <f aca="false">IF(C19="","",D19/$I$6)</f>
        <v>0</v>
      </c>
      <c r="F19" s="13"/>
      <c r="H19" s="14" t="s">
        <v>38</v>
      </c>
      <c r="I19" s="10" t="n">
        <v>4</v>
      </c>
    </row>
    <row r="20" customFormat="false" ht="19.5" hidden="false" customHeight="true" outlineLevel="0" collapsed="false">
      <c r="A20" s="16" t="n">
        <v>16</v>
      </c>
      <c r="B20" s="9" t="s">
        <v>39</v>
      </c>
      <c r="C20" s="10" t="n">
        <v>2</v>
      </c>
      <c r="D20" s="17" t="n">
        <f aca="false">IF(C20="","",C20*$I$5)</f>
        <v>500</v>
      </c>
      <c r="E20" s="18" t="n">
        <f aca="false">IF(C20="","",D20/$I$6)</f>
        <v>0.285714285714286</v>
      </c>
      <c r="F20" s="19"/>
      <c r="H20" s="25" t="str">
        <f aca="false">IF(I19&gt;=I16,"Reserve","Es fehlen")</f>
        <v>Es fehlen</v>
      </c>
      <c r="I20" s="27" t="n">
        <f aca="false">ABS(I19-I16)</f>
        <v>0.872248051948052</v>
      </c>
    </row>
    <row r="21" customFormat="false" ht="19.5" hidden="false" customHeight="true" outlineLevel="0" collapsed="false">
      <c r="A21" s="8" t="n">
        <v>17</v>
      </c>
      <c r="B21" s="9" t="s">
        <v>40</v>
      </c>
      <c r="C21" s="10" t="n">
        <v>0</v>
      </c>
      <c r="D21" s="11" t="n">
        <f aca="false">IF(C21="","",C21*$I$5)</f>
        <v>0</v>
      </c>
      <c r="E21" s="12" t="n">
        <f aca="false">IF(C21="","",D21/$I$6)</f>
        <v>0</v>
      </c>
      <c r="F21" s="13"/>
      <c r="H21" s="22" t="s">
        <v>41</v>
      </c>
    </row>
    <row r="22" customFormat="false" ht="19.5" hidden="false" customHeight="true" outlineLevel="0" collapsed="false">
      <c r="A22" s="16" t="n">
        <v>18</v>
      </c>
      <c r="B22" s="9" t="s">
        <v>42</v>
      </c>
      <c r="C22" s="10" t="n">
        <v>0</v>
      </c>
      <c r="D22" s="17" t="n">
        <f aca="false">IF(C22="","",C22*$I$5)</f>
        <v>0</v>
      </c>
      <c r="E22" s="18" t="n">
        <f aca="false">IF(C22="","",D22/$I$6)</f>
        <v>0</v>
      </c>
      <c r="F22" s="19"/>
    </row>
    <row r="23" customFormat="false" ht="19.5" hidden="false" customHeight="true" outlineLevel="0" collapsed="false">
      <c r="A23" s="8" t="n">
        <v>19</v>
      </c>
      <c r="B23" s="9" t="s">
        <v>43</v>
      </c>
      <c r="C23" s="10" t="n">
        <v>3</v>
      </c>
      <c r="D23" s="11" t="n">
        <f aca="false">IF(C23="","",C23*$I$5)</f>
        <v>750</v>
      </c>
      <c r="E23" s="12" t="n">
        <f aca="false">IF(C23="","",D23/$I$6)</f>
        <v>0.428571428571429</v>
      </c>
      <c r="F23" s="13"/>
    </row>
    <row r="24" customFormat="false" ht="19.5" hidden="false" customHeight="true" outlineLevel="0" collapsed="false">
      <c r="A24" s="16" t="n">
        <v>20</v>
      </c>
      <c r="B24" s="9"/>
      <c r="C24" s="10"/>
      <c r="D24" s="17" t="str">
        <f aca="false">IF(C24="","",C24*$I$5)</f>
        <v/>
      </c>
      <c r="E24" s="18" t="str">
        <f aca="false">IF(C24="","",D24/$I$6)</f>
        <v/>
      </c>
      <c r="F24" s="28" t="s">
        <v>44</v>
      </c>
    </row>
    <row r="25" customFormat="false" ht="19.5" hidden="false" customHeight="true" outlineLevel="0" collapsed="false">
      <c r="A25" s="8" t="n">
        <v>21</v>
      </c>
      <c r="B25" s="9"/>
      <c r="C25" s="10"/>
      <c r="D25" s="11" t="str">
        <f aca="false">IF(C25="","",C25*$I$5)</f>
        <v/>
      </c>
      <c r="E25" s="12" t="str">
        <f aca="false">IF(C25="","",D25/$I$6)</f>
        <v/>
      </c>
      <c r="F25" s="29" t="s">
        <v>44</v>
      </c>
    </row>
    <row r="26" customFormat="false" ht="19.5" hidden="false" customHeight="true" outlineLevel="0" collapsed="false">
      <c r="A26" s="16" t="n">
        <v>22</v>
      </c>
      <c r="B26" s="9"/>
      <c r="C26" s="10"/>
      <c r="D26" s="17" t="str">
        <f aca="false">IF(C26="","",C26*$I$5)</f>
        <v/>
      </c>
      <c r="E26" s="18" t="str">
        <f aca="false">IF(C26="","",D26/$I$6)</f>
        <v/>
      </c>
      <c r="F26" s="28" t="s">
        <v>44</v>
      </c>
    </row>
    <row r="27" customFormat="false" ht="21.75" hidden="false" customHeight="true" outlineLevel="0" collapsed="false">
      <c r="A27" s="30"/>
      <c r="B27" s="31" t="s">
        <v>45</v>
      </c>
      <c r="C27" s="32" t="n">
        <f aca="false">SUM(C5:C26)</f>
        <v>28.1</v>
      </c>
      <c r="D27" s="33" t="n">
        <f aca="false">SUM(D5:D26)</f>
        <v>7025</v>
      </c>
      <c r="E27" s="34" t="n">
        <f aca="false">SUM(E5:E26)</f>
        <v>4.01428571428571</v>
      </c>
      <c r="F27" s="30"/>
    </row>
  </sheetData>
  <conditionalFormatting sqref="H20:I20">
    <cfRule type="expression" priority="2" aboveAverage="0" equalAverage="0" bottom="0" percent="0" rank="0" text="" dxfId="0">
      <formula>$I$19&lt;$I$16</formula>
    </cfRule>
    <cfRule type="expression" priority="3" aboveAverage="0" equalAverage="0" bottom="0" percent="0" rank="0" text="" dxfId="1">
      <formula>$I$19&gt;=$I$16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&amp;L&amp;F&amp;Cfz-pA / Mrugalla&amp;R&amp;D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.57"/>
    <col collapsed="false" customWidth="true" hidden="false" outlineLevel="0" max="3" min="3" style="0" width="16.14"/>
    <col collapsed="false" customWidth="true" hidden="false" outlineLevel="0" max="5" min="4" style="0" width="9.86"/>
    <col collapsed="false" customWidth="true" hidden="false" outlineLevel="0" max="6" min="6" style="0" width="35.85"/>
    <col collapsed="false" customWidth="true" hidden="false" outlineLevel="0" max="7" min="7" style="0" width="3.42"/>
  </cols>
  <sheetData>
    <row r="1" customFormat="false" ht="26.25" hidden="false" customHeight="true" outlineLevel="0" collapsed="false">
      <c r="A1" s="35" t="s">
        <v>46</v>
      </c>
      <c r="F1" s="36" t="n">
        <v>45859</v>
      </c>
    </row>
    <row r="2" customFormat="false" ht="13.5" hidden="false" customHeight="true" outlineLevel="0" collapsed="false"/>
    <row r="3" customFormat="false" ht="34.5" hidden="false" customHeight="true" outlineLevel="0" collapsed="false">
      <c r="A3" s="37" t="s">
        <v>47</v>
      </c>
      <c r="B3" s="38" t="s">
        <v>48</v>
      </c>
      <c r="C3" s="38"/>
      <c r="D3" s="38" t="s">
        <v>49</v>
      </c>
      <c r="E3" s="39" t="s">
        <v>50</v>
      </c>
      <c r="F3" s="40" t="s">
        <v>51</v>
      </c>
    </row>
    <row r="4" customFormat="false" ht="19.5" hidden="false" customHeight="true" outlineLevel="0" collapsed="false">
      <c r="A4" s="41" t="s">
        <v>52</v>
      </c>
      <c r="B4" s="42" t="n">
        <v>1.5</v>
      </c>
      <c r="C4" s="42" t="n">
        <f aca="false">B4*5</f>
        <v>7.5</v>
      </c>
      <c r="D4" s="42" t="n">
        <f aca="false">B4*250</f>
        <v>375</v>
      </c>
      <c r="E4" s="43" t="n">
        <f aca="false">D4/1750</f>
        <v>0.214285714285714</v>
      </c>
      <c r="F4" s="44"/>
    </row>
    <row r="5" customFormat="false" ht="26.25" hidden="false" customHeight="true" outlineLevel="0" collapsed="false">
      <c r="A5" s="45" t="s">
        <v>53</v>
      </c>
      <c r="B5" s="46" t="n">
        <v>2</v>
      </c>
      <c r="C5" s="47" t="n">
        <f aca="false">B5*5</f>
        <v>10</v>
      </c>
      <c r="D5" s="46" t="n">
        <f aca="false">B5*250</f>
        <v>500</v>
      </c>
      <c r="E5" s="48" t="n">
        <f aca="false">D5/1750</f>
        <v>0.285714285714286</v>
      </c>
      <c r="F5" s="49" t="s">
        <v>54</v>
      </c>
    </row>
    <row r="6" customFormat="false" ht="19.5" hidden="false" customHeight="true" outlineLevel="0" collapsed="false">
      <c r="A6" s="41" t="s">
        <v>55</v>
      </c>
      <c r="B6" s="42" t="n">
        <v>0.3</v>
      </c>
      <c r="C6" s="42" t="n">
        <f aca="false">B6*5</f>
        <v>1.5</v>
      </c>
      <c r="D6" s="42" t="n">
        <f aca="false">B6*250</f>
        <v>75</v>
      </c>
      <c r="E6" s="43" t="n">
        <f aca="false">D6/1750</f>
        <v>0.0428571428571429</v>
      </c>
      <c r="F6" s="44"/>
    </row>
    <row r="7" customFormat="false" ht="26.25" hidden="false" customHeight="true" outlineLevel="0" collapsed="false">
      <c r="A7" s="50" t="s">
        <v>56</v>
      </c>
      <c r="B7" s="51" t="n">
        <v>0</v>
      </c>
      <c r="C7" s="51" t="n">
        <f aca="false">B7*5</f>
        <v>0</v>
      </c>
      <c r="D7" s="51" t="n">
        <f aca="false">B7*250</f>
        <v>0</v>
      </c>
      <c r="E7" s="52" t="n">
        <f aca="false">D7/1750</f>
        <v>0</v>
      </c>
      <c r="F7" s="53" t="s">
        <v>57</v>
      </c>
    </row>
    <row r="8" customFormat="false" ht="19.5" hidden="false" customHeight="true" outlineLevel="0" collapsed="false">
      <c r="A8" s="41" t="s">
        <v>58</v>
      </c>
      <c r="B8" s="42" t="n">
        <v>10</v>
      </c>
      <c r="C8" s="42" t="n">
        <f aca="false">B8*5</f>
        <v>50</v>
      </c>
      <c r="D8" s="42" t="n">
        <f aca="false">B8*250</f>
        <v>2500</v>
      </c>
      <c r="E8" s="43" t="n">
        <f aca="false">D8/1750</f>
        <v>1.42857142857143</v>
      </c>
      <c r="F8" s="44" t="s">
        <v>59</v>
      </c>
    </row>
    <row r="9" customFormat="false" ht="19.5" hidden="false" customHeight="true" outlineLevel="0" collapsed="false">
      <c r="A9" s="41" t="s">
        <v>60</v>
      </c>
      <c r="B9" s="42" t="n">
        <v>0.5</v>
      </c>
      <c r="C9" s="42" t="n">
        <f aca="false">B9*5</f>
        <v>2.5</v>
      </c>
      <c r="D9" s="42" t="n">
        <f aca="false">B9*250</f>
        <v>125</v>
      </c>
      <c r="E9" s="43" t="n">
        <f aca="false">D9/1750</f>
        <v>0.0714285714285714</v>
      </c>
      <c r="F9" s="44"/>
    </row>
    <row r="10" customFormat="false" ht="19.5" hidden="false" customHeight="true" outlineLevel="0" collapsed="false">
      <c r="A10" s="41" t="s">
        <v>61</v>
      </c>
      <c r="B10" s="42" t="n">
        <v>0.5</v>
      </c>
      <c r="C10" s="42" t="n">
        <f aca="false">B10*5</f>
        <v>2.5</v>
      </c>
      <c r="D10" s="42" t="n">
        <f aca="false">B10*250</f>
        <v>125</v>
      </c>
      <c r="E10" s="43" t="n">
        <f aca="false">D10/1750</f>
        <v>0.0714285714285714</v>
      </c>
      <c r="F10" s="44"/>
    </row>
    <row r="11" customFormat="false" ht="19.5" hidden="false" customHeight="true" outlineLevel="0" collapsed="false">
      <c r="A11" s="41" t="s">
        <v>26</v>
      </c>
      <c r="B11" s="42" t="n">
        <v>0.5</v>
      </c>
      <c r="C11" s="42" t="n">
        <f aca="false">B11*5</f>
        <v>2.5</v>
      </c>
      <c r="D11" s="42" t="n">
        <f aca="false">B11*250</f>
        <v>125</v>
      </c>
      <c r="E11" s="43" t="n">
        <f aca="false">D11/1750</f>
        <v>0.0714285714285714</v>
      </c>
      <c r="F11" s="44"/>
    </row>
    <row r="12" customFormat="false" ht="19.5" hidden="false" customHeight="true" outlineLevel="0" collapsed="false">
      <c r="A12" s="41" t="s">
        <v>62</v>
      </c>
      <c r="B12" s="42" t="n">
        <v>0.2</v>
      </c>
      <c r="C12" s="42" t="n">
        <f aca="false">B12*5</f>
        <v>1</v>
      </c>
      <c r="D12" s="42" t="n">
        <f aca="false">B12*250</f>
        <v>50</v>
      </c>
      <c r="E12" s="43" t="n">
        <f aca="false">D12/1750</f>
        <v>0.0285714285714286</v>
      </c>
      <c r="F12" s="44"/>
    </row>
    <row r="13" customFormat="false" ht="19.5" hidden="false" customHeight="true" outlineLevel="0" collapsed="false">
      <c r="A13" s="41" t="s">
        <v>63</v>
      </c>
      <c r="B13" s="42" t="n">
        <v>1</v>
      </c>
      <c r="C13" s="42" t="n">
        <f aca="false">B13*5</f>
        <v>5</v>
      </c>
      <c r="D13" s="42" t="n">
        <f aca="false">B13*250</f>
        <v>250</v>
      </c>
      <c r="E13" s="43" t="n">
        <f aca="false">D13/1750</f>
        <v>0.142857142857143</v>
      </c>
      <c r="F13" s="44"/>
    </row>
    <row r="14" customFormat="false" ht="19.5" hidden="false" customHeight="true" outlineLevel="0" collapsed="false">
      <c r="A14" s="41" t="s">
        <v>31</v>
      </c>
      <c r="B14" s="42" t="n">
        <v>0.1</v>
      </c>
      <c r="C14" s="42" t="n">
        <f aca="false">B14*5</f>
        <v>0.5</v>
      </c>
      <c r="D14" s="42" t="n">
        <f aca="false">B14*250</f>
        <v>25</v>
      </c>
      <c r="E14" s="43" t="n">
        <f aca="false">D14/1750</f>
        <v>0.0142857142857143</v>
      </c>
      <c r="F14" s="44"/>
    </row>
    <row r="15" customFormat="false" ht="19.5" hidden="false" customHeight="true" outlineLevel="0" collapsed="false">
      <c r="A15" s="54" t="s">
        <v>64</v>
      </c>
      <c r="B15" s="42" t="n">
        <v>0</v>
      </c>
      <c r="C15" s="42" t="n">
        <f aca="false">B15*5</f>
        <v>0</v>
      </c>
      <c r="D15" s="42" t="n">
        <f aca="false">B15*250</f>
        <v>0</v>
      </c>
      <c r="E15" s="43" t="n">
        <f aca="false">D15/1750</f>
        <v>0</v>
      </c>
      <c r="F15" s="44"/>
    </row>
    <row r="16" customFormat="false" ht="19.5" hidden="false" customHeight="true" outlineLevel="0" collapsed="false">
      <c r="A16" s="55" t="s">
        <v>65</v>
      </c>
      <c r="B16" s="47" t="n">
        <v>0.5</v>
      </c>
      <c r="C16" s="47" t="n">
        <f aca="false">B16*5</f>
        <v>2.5</v>
      </c>
      <c r="D16" s="47" t="n">
        <f aca="false">B16*250</f>
        <v>125</v>
      </c>
      <c r="E16" s="56" t="n">
        <f aca="false">D16/1750</f>
        <v>0.0714285714285714</v>
      </c>
      <c r="F16" s="57"/>
    </row>
    <row r="17" customFormat="false" ht="19.5" hidden="false" customHeight="true" outlineLevel="0" collapsed="false">
      <c r="A17" s="58" t="s">
        <v>66</v>
      </c>
      <c r="B17" s="47" t="n">
        <v>6</v>
      </c>
      <c r="C17" s="47" t="n">
        <f aca="false">B17*5</f>
        <v>30</v>
      </c>
      <c r="D17" s="47" t="n">
        <f aca="false">B17*250</f>
        <v>1500</v>
      </c>
      <c r="E17" s="56" t="n">
        <f aca="false">D17/1750</f>
        <v>0.857142857142857</v>
      </c>
      <c r="F17" s="57"/>
    </row>
    <row r="18" customFormat="false" ht="19.5" hidden="false" customHeight="true" outlineLevel="0" collapsed="false">
      <c r="A18" s="59" t="s">
        <v>67</v>
      </c>
      <c r="B18" s="60" t="n">
        <v>0</v>
      </c>
      <c r="C18" s="61" t="n">
        <f aca="false">B18*5</f>
        <v>0</v>
      </c>
      <c r="D18" s="60" t="n">
        <f aca="false">B18*250</f>
        <v>0</v>
      </c>
      <c r="E18" s="62" t="n">
        <f aca="false">D18/1750</f>
        <v>0</v>
      </c>
      <c r="F18" s="63"/>
    </row>
    <row r="19" customFormat="false" ht="19.5" hidden="false" customHeight="true" outlineLevel="0" collapsed="false">
      <c r="A19" s="58" t="s">
        <v>68</v>
      </c>
      <c r="B19" s="47" t="n">
        <v>2</v>
      </c>
      <c r="C19" s="47" t="n">
        <f aca="false">B19*5</f>
        <v>10</v>
      </c>
      <c r="D19" s="47" t="n">
        <f aca="false">B19*250</f>
        <v>500</v>
      </c>
      <c r="E19" s="56" t="n">
        <f aca="false">D19/1750</f>
        <v>0.285714285714286</v>
      </c>
      <c r="F19" s="57"/>
    </row>
    <row r="20" customFormat="false" ht="19.5" hidden="false" customHeight="true" outlineLevel="0" collapsed="false">
      <c r="A20" s="59" t="s">
        <v>40</v>
      </c>
      <c r="B20" s="60" t="n">
        <v>0</v>
      </c>
      <c r="C20" s="64" t="n">
        <f aca="false">B20*5</f>
        <v>0</v>
      </c>
      <c r="D20" s="60" t="n">
        <f aca="false">B20*250</f>
        <v>0</v>
      </c>
      <c r="E20" s="62" t="n">
        <f aca="false">D20/1750</f>
        <v>0</v>
      </c>
      <c r="F20" s="63"/>
    </row>
    <row r="21" customFormat="false" ht="19.5" hidden="false" customHeight="true" outlineLevel="0" collapsed="false">
      <c r="A21" s="65" t="s">
        <v>69</v>
      </c>
      <c r="B21" s="66" t="n">
        <v>0</v>
      </c>
      <c r="C21" s="67" t="n">
        <f aca="false">B21*5</f>
        <v>0</v>
      </c>
      <c r="D21" s="66" t="n">
        <f aca="false">B21*250</f>
        <v>0</v>
      </c>
      <c r="E21" s="68" t="n">
        <f aca="false">D21/1750</f>
        <v>0</v>
      </c>
      <c r="F21" s="69"/>
    </row>
    <row r="22" customFormat="false" ht="19.5" hidden="false" customHeight="true" outlineLevel="0" collapsed="false">
      <c r="A22" s="70" t="s">
        <v>70</v>
      </c>
      <c r="B22" s="71" t="n">
        <v>3</v>
      </c>
      <c r="C22" s="72" t="n">
        <f aca="false">B22*5</f>
        <v>15</v>
      </c>
      <c r="D22" s="71" t="n">
        <f aca="false">B22*250</f>
        <v>750</v>
      </c>
      <c r="E22" s="73" t="n">
        <f aca="false">D22/1750</f>
        <v>0.428571428571429</v>
      </c>
      <c r="F22" s="74"/>
    </row>
    <row r="23" customFormat="false" ht="19.5" hidden="false" customHeight="true" outlineLevel="0" collapsed="false">
      <c r="A23" s="41" t="s">
        <v>71</v>
      </c>
      <c r="B23" s="42" t="n">
        <f aca="false">SUM(B4:B22)</f>
        <v>28.1</v>
      </c>
      <c r="C23" s="42"/>
      <c r="D23" s="75"/>
      <c r="E23" s="43"/>
      <c r="F23" s="44"/>
    </row>
    <row r="24" customFormat="false" ht="19.5" hidden="false" customHeight="true" outlineLevel="0" collapsed="false">
      <c r="A24" s="76" t="s">
        <v>72</v>
      </c>
      <c r="B24" s="77"/>
      <c r="C24" s="77"/>
      <c r="D24" s="78" t="n">
        <f aca="false">B23/7</f>
        <v>4.01428571428571</v>
      </c>
      <c r="E24" s="79" t="n">
        <f aca="false">SUM(E4:E23)</f>
        <v>4.01428571428571</v>
      </c>
      <c r="F24" s="80" t="s">
        <v>73</v>
      </c>
    </row>
    <row r="25" customFormat="false" ht="34.5" hidden="false" customHeight="true" outlineLevel="0" collapsed="false">
      <c r="A25" s="81" t="s">
        <v>74</v>
      </c>
      <c r="B25" s="82"/>
      <c r="C25" s="83" t="s">
        <v>75</v>
      </c>
      <c r="D25" s="83" t="s">
        <v>76</v>
      </c>
      <c r="E25" s="84"/>
      <c r="F25" s="85" t="s">
        <v>51</v>
      </c>
    </row>
    <row r="26" customFormat="false" ht="19.5" hidden="false" customHeight="true" outlineLevel="0" collapsed="false">
      <c r="A26" s="41" t="s">
        <v>77</v>
      </c>
      <c r="B26" s="86"/>
      <c r="C26" s="87" t="n">
        <f aca="false">38/220*100</f>
        <v>17.2727272727273</v>
      </c>
      <c r="D26" s="87" t="n">
        <f aca="false">$D$24*C26/100</f>
        <v>0.693376623376623</v>
      </c>
      <c r="E26" s="88"/>
      <c r="F26" s="89" t="s">
        <v>78</v>
      </c>
    </row>
    <row r="27" customFormat="false" ht="19.5" hidden="false" customHeight="true" outlineLevel="0" collapsed="false">
      <c r="A27" s="41" t="s">
        <v>79</v>
      </c>
      <c r="B27" s="86"/>
      <c r="C27" s="87" t="n">
        <v>4.1</v>
      </c>
      <c r="D27" s="87" t="n">
        <f aca="false">$D$24*C27/100</f>
        <v>0.164585714285714</v>
      </c>
      <c r="E27" s="88"/>
      <c r="F27" s="44" t="s">
        <v>80</v>
      </c>
    </row>
    <row r="28" customFormat="false" ht="19.5" hidden="false" customHeight="true" outlineLevel="0" collapsed="false">
      <c r="A28" s="90" t="s">
        <v>81</v>
      </c>
      <c r="B28" s="91"/>
      <c r="C28" s="91"/>
      <c r="D28" s="92" t="n">
        <f aca="false">SUM(D26:D27)</f>
        <v>0.857962337662338</v>
      </c>
      <c r="E28" s="93"/>
      <c r="F28" s="94"/>
    </row>
    <row r="29" customFormat="false" ht="19.5" hidden="false" customHeight="true" outlineLevel="0" collapsed="false">
      <c r="A29" s="95" t="s">
        <v>72</v>
      </c>
      <c r="B29" s="96"/>
      <c r="C29" s="96"/>
      <c r="D29" s="97" t="n">
        <f aca="false">D28+D24</f>
        <v>4.87224805194805</v>
      </c>
      <c r="E29" s="98"/>
      <c r="F29" s="99" t="s">
        <v>82</v>
      </c>
    </row>
    <row r="30" customFormat="false" ht="19.5" hidden="false" customHeight="true" outlineLevel="0" collapsed="false">
      <c r="A30" s="100"/>
      <c r="B30" s="100"/>
      <c r="C30" s="100"/>
      <c r="D30" s="100"/>
      <c r="E30" s="100"/>
      <c r="F30" s="100"/>
    </row>
    <row r="31" customFormat="false" ht="12.75" hidden="false" customHeight="false" outlineLevel="0" collapsed="false">
      <c r="A31" s="100"/>
    </row>
    <row r="32" customFormat="false" ht="12.75" hidden="false" customHeight="false" outlineLevel="0" collapsed="false">
      <c r="A32" s="101" t="s">
        <v>83</v>
      </c>
    </row>
    <row r="34" customFormat="false" ht="12.75" hidden="false" customHeight="false" outlineLevel="0" collapsed="false">
      <c r="C34" s="0" t="n">
        <v>1</v>
      </c>
      <c r="D34" s="102" t="s">
        <v>84</v>
      </c>
    </row>
    <row r="35" customFormat="false" ht="12.75" hidden="false" customHeight="false" outlineLevel="0" collapsed="false">
      <c r="C35" s="0" t="n">
        <v>2</v>
      </c>
      <c r="D35" s="102" t="s">
        <v>85</v>
      </c>
    </row>
    <row r="36" customFormat="false" ht="12.75" hidden="false" customHeight="false" outlineLevel="0" collapsed="false">
      <c r="C36" s="0" t="n">
        <v>4</v>
      </c>
      <c r="D36" s="102" t="s">
        <v>86</v>
      </c>
    </row>
    <row r="37" customFormat="false" ht="12.75" hidden="false" customHeight="false" outlineLevel="0" collapsed="false">
      <c r="C37" s="0" t="n">
        <v>5</v>
      </c>
      <c r="D37" s="103" t="s">
        <v>87</v>
      </c>
    </row>
  </sheetData>
  <printOptions headings="false" gridLines="false" gridLinesSet="true" horizontalCentered="false" verticalCentered="false"/>
  <pageMargins left="0.7875" right="0.7875" top="0.984027777777778" bottom="0.984722222222222" header="0.511811023622047" footer="0.49236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&amp;F&amp;C&amp;8 fz-pA / Mrugalla&amp;R&amp;8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2004-03-11T20:12:11Z</dcterms:created>
  <dc:creator>XXX</dc:creator>
  <dc:description/>
  <dc:language>en-US</dc:language>
  <cp:lastModifiedBy/>
  <cp:lastPrinted>2023-09-07T05:56:33Z</cp:lastPrinted>
  <dcterms:modified xsi:type="dcterms:W3CDTF">2026-10-14T13:12:19Z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