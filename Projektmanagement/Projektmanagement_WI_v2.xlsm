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witzenmanngroup-my.sharepoint.com/personal/bernhard_mrugalla_witzenmann_com/Documents/01 Dokumente/01 OX/01 Projekte/01 Gruppenweite Instandhaltung/"/>
    </mc:Choice>
  </mc:AlternateContent>
  <xr:revisionPtr revIDLastSave="2658" documentId="8_{D471FEA5-F646-46EE-A0ED-80DBB869FB9E}" xr6:coauthVersionLast="47" xr6:coauthVersionMax="47" xr10:uidLastSave="{D9459363-F2E9-454A-86AB-1C38846C9D15}"/>
  <bookViews>
    <workbookView xWindow="-120" yWindow="-120" windowWidth="29040" windowHeight="15720" firstSheet="0" activeTab="0" xr2:uid="{861CB499-0AA3-4425-85E9-656F05A8BD84}"/>
  </bookViews>
  <sheets>
    <sheet name="Start" sheetId="9" r:id="rId1"/>
    <sheet name="Dashboard" sheetId="1" r:id="rId2"/>
    <sheet name="Dashboard_zwei" sheetId="23" r:id="rId3"/>
    <sheet name="Projekte" sheetId="3" r:id="rId4"/>
    <sheet name="Tabelle1" sheetId="27" state="hidden" r:id="rId5"/>
    <sheet name="Tabelle2" sheetId="26" state="hidden" r:id="rId6"/>
    <sheet name="Daten" sheetId="6" r:id="rId7"/>
    <sheet name="Personen" sheetId="2" state="hidden" r:id="rId8"/>
    <sheet name="Auswertung_Pivo" sheetId="24" state="hidden" r:id="rId9"/>
    <sheet name="Auswertung ProjektDiag" sheetId="7" state="hidden" r:id="rId10"/>
    <sheet name="Dashboard_Steuerung" sheetId="14" state="hidden" r:id="rId11"/>
    <sheet name="Projekt_erstellen" sheetId="16" r:id="rId12"/>
    <sheet name="Zeiterfassung" sheetId="10" r:id="rId15"/>
  </sheets>
  <definedNames>
    <definedName name="_xleta.T" hidden="1" xlm="1">#NAME?</definedName>
    <definedName name="_xlpm.a" hidden="1" xlm="1">#NAME?</definedName>
    <definedName name="_xlpm.colPerson" hidden="1" xlm="1">#NAME?</definedName>
    <definedName name="_xlpm.colProjekt" hidden="1" xlm="1">#NAME?</definedName>
    <definedName name="_xlpm.colStunden" hidden="1" xlm="1">#NAME?</definedName>
    <definedName name="_xlpm.f" hidden="1" xlm="1">#NAME?</definedName>
    <definedName name="_xlpm.p" hidden="1" xlm="1">#NAME?</definedName>
    <definedName name="_xlpm.pr" hidden="1" xlm="1">#NAME?</definedName>
    <definedName name="_xlpm.s" hidden="1" xlm="1">#NAME?</definedName>
    <definedName name="_xlpm.st" hidden="1" xlm="1">#NAME?</definedName>
    <definedName name="_xlpm.status" hidden="1" xlm="1">#NAME?</definedName>
    <definedName name="_xlpm.t" hidden="1" xlm="1">#NAME?</definedName>
    <definedName name="_xlpm.u" hidden="1" xlm="1">#NAME?</definedName>
    <definedName name="_xlpm.x" hidden="1" xlm="1">#NAME?</definedName>
    <definedName name="inpDatum">Zeiterfassung!$B$5</definedName>
    <definedName name="inpKosten">Zeiterfassung!$B$8</definedName>
    <definedName name="inpNotiz">Zeiterfassung!$B$9</definedName>
    <definedName name="inpPerson">Zeiterfassung!$B$4</definedName>
    <definedName name="inpProjekt">Zeiterfassung!$B$6</definedName>
    <definedName name="inpStunden">Zeiterfassung!$B$7</definedName>
    <definedName name="P_Auswahl">Personen[Personen]</definedName>
    <definedName name="Projekt_Aktiv">_xlfn.ANCHORARRAY(Personen!$M$2)</definedName>
    <definedName name="Projekt_Auswahl">Projekte[Projekt]</definedName>
    <definedName name="ProjFortschritt">_xlfn.ANCHORARRAY(Dashboard_Steuerung!$I$2)</definedName>
    <definedName name="ProjListe">_xlfn.ANCHORARRAY(Dashboard_Steuerung!$H$2)</definedName>
  </definedNames>
  <calcPr calcId="191028" fullCalcOnLoad="1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<sst xmlns="http://schemas.openxmlformats.org/spreadsheetml/2006/main" count="655" uniqueCount="197">
  <si>
    <t>Benny</t>
  </si>
  <si>
    <t>Projekt</t>
  </si>
  <si>
    <t>Stunden</t>
  </si>
  <si>
    <t>Alle</t>
  </si>
  <si>
    <t>Gruppenweite Instandhaltung</t>
  </si>
  <si>
    <t>Fortschritt</t>
  </si>
  <si>
    <t>Offen</t>
  </si>
  <si>
    <t>-</t>
  </si>
  <si>
    <t>Projekt fertig</t>
  </si>
  <si>
    <t>Budget ist</t>
  </si>
  <si>
    <t>Budget soll</t>
  </si>
  <si>
    <t>Projektstart</t>
  </si>
  <si>
    <t>Projektstunden (SOLL)</t>
  </si>
  <si>
    <t>Projektstunden (IST)</t>
  </si>
  <si>
    <t>Rest Stunden</t>
  </si>
  <si>
    <t>Aktiv</t>
  </si>
  <si>
    <t>Fortschritt %</t>
  </si>
  <si>
    <t>Projekt Buchbusch</t>
  </si>
  <si>
    <t>Stabilisierung Instandhaltung WI-Mex</t>
  </si>
  <si>
    <t>Predictive Maintenance allg.</t>
  </si>
  <si>
    <t>Aufbau eines Globalen Produktionsnetzwerkes</t>
  </si>
  <si>
    <t>Projekt Vertrieb mb - Lean Admin</t>
  </si>
  <si>
    <t>Diverse Themen / Unterstützungen</t>
  </si>
  <si>
    <t>Verlustauswertung</t>
  </si>
  <si>
    <t>SAP S4</t>
  </si>
  <si>
    <t>Führung</t>
  </si>
  <si>
    <t>BCM</t>
  </si>
  <si>
    <t>Buchbusch</t>
  </si>
  <si>
    <t>Zeilenbeschriftungen</t>
  </si>
  <si>
    <t>Summe von Stunden (gearbeitet)</t>
  </si>
  <si>
    <t>Gesamtergebnis</t>
  </si>
  <si>
    <t>Person</t>
  </si>
  <si>
    <t>Stunden (gearbeitet)</t>
  </si>
  <si>
    <t>Notiz</t>
  </si>
  <si>
    <t>Kosten (bezahlt)</t>
  </si>
  <si>
    <t>Datum</t>
  </si>
  <si>
    <t>Linda</t>
  </si>
  <si>
    <t>03.03.2026</t>
  </si>
  <si>
    <t>04.03.2026</t>
  </si>
  <si>
    <t>06.03.2026</t>
  </si>
  <si>
    <t>10.03.2026</t>
  </si>
  <si>
    <t>11.03.2026</t>
  </si>
  <si>
    <t>12.03.2026</t>
  </si>
  <si>
    <t>13.03.2026</t>
  </si>
  <si>
    <t>Jose</t>
  </si>
  <si>
    <t>16.03.2026</t>
  </si>
  <si>
    <t>17.03.2026</t>
  </si>
  <si>
    <t>18.03.2026</t>
  </si>
  <si>
    <t>19.03.2026</t>
  </si>
  <si>
    <t>23.03.2026</t>
  </si>
  <si>
    <t>24.03.2026</t>
  </si>
  <si>
    <t>25.03.2026</t>
  </si>
  <si>
    <t>Abschätzung der Stunden seit KW 6</t>
  </si>
  <si>
    <t>Administrative Themen</t>
  </si>
  <si>
    <t>BCM / Anlagen</t>
  </si>
  <si>
    <t>Buchbusch / Vistable / Betriebsmitteln</t>
  </si>
  <si>
    <t>Equipments BB / Hub´s</t>
  </si>
  <si>
    <t>Halb Tages Tagung &amp; Vorbereitung der Tagung</t>
  </si>
  <si>
    <t>HUB,s Eguipment</t>
  </si>
  <si>
    <t>Informationspool</t>
  </si>
  <si>
    <t>Instandhaltungsprogramm OPRA</t>
  </si>
  <si>
    <t>NC VPA</t>
  </si>
  <si>
    <t>NC_VPA</t>
  </si>
  <si>
    <t>Opra / Standardisierung der Wartungspläne</t>
  </si>
  <si>
    <t>Opra / Wartungspläne</t>
  </si>
  <si>
    <t>Opra-Wartungsplan-BSF</t>
  </si>
  <si>
    <t>Planung Vistable / Opra</t>
  </si>
  <si>
    <t>Rohrschweißen /Emulsion SIM</t>
  </si>
  <si>
    <t>Strategie</t>
  </si>
  <si>
    <t>Strategie / Vorgehesweise</t>
  </si>
  <si>
    <t>Stunden für 02.03</t>
  </si>
  <si>
    <t>VPA NC</t>
  </si>
  <si>
    <t>Wartungspläne NFM</t>
  </si>
  <si>
    <t>WSP-Equipments</t>
  </si>
  <si>
    <t>Ziele 2026</t>
  </si>
  <si>
    <t>26.03 Abschätzung</t>
  </si>
  <si>
    <t>27.03.2026</t>
  </si>
  <si>
    <t>30.03.2026</t>
  </si>
  <si>
    <t>31.03.2026</t>
  </si>
  <si>
    <t>01.04.2026</t>
  </si>
  <si>
    <t>02.04.2026</t>
  </si>
  <si>
    <t>07.04.2026</t>
  </si>
  <si>
    <t>10.04.2026</t>
  </si>
  <si>
    <t>08.04.2026</t>
  </si>
  <si>
    <t>09.04.2026</t>
  </si>
  <si>
    <t>13.04.2026</t>
  </si>
  <si>
    <t>14.04.2026</t>
  </si>
  <si>
    <t>HUB´s Planung</t>
  </si>
  <si>
    <t>Opra</t>
  </si>
  <si>
    <t>Standorte WI-CZ/Mex</t>
  </si>
  <si>
    <t>Zustandanalyse</t>
  </si>
  <si>
    <t>Opra / Hub´s / Instandhaltung Aufbau</t>
  </si>
  <si>
    <t>Maschinenbewertung /BCM</t>
  </si>
  <si>
    <t>16.04.2026</t>
  </si>
  <si>
    <t>11.05.2026</t>
  </si>
  <si>
    <t>12.05.2026</t>
  </si>
  <si>
    <t>13.05.2026</t>
  </si>
  <si>
    <t>KW21</t>
  </si>
  <si>
    <t>26.-28.05</t>
  </si>
  <si>
    <t>diverse Betriebsmitteln; Planung  Hub´s BB 20.04-22.04</t>
  </si>
  <si>
    <t>MAG Linien</t>
  </si>
  <si>
    <t>WI-F 27.04-30.04.</t>
  </si>
  <si>
    <t>WI-UK 05.05-08.05</t>
  </si>
  <si>
    <t>Datenanalyse WI-F /WI-UK</t>
  </si>
  <si>
    <t>Wartungsanleitungen 12.05</t>
  </si>
  <si>
    <t>Bewertungstool Zustand der Anlagen</t>
  </si>
  <si>
    <t>Iinstandhaltung  OPRA</t>
  </si>
  <si>
    <t>BCM / Risiko Toll Bewertung WI-F</t>
  </si>
  <si>
    <t>Hub´s Betriebsaustattung</t>
  </si>
  <si>
    <t>Wartungsanleitungen</t>
  </si>
  <si>
    <t>Remchingen / BCM /Werkzeuge</t>
  </si>
  <si>
    <t>01.-03.06</t>
  </si>
  <si>
    <t>10.06.2026</t>
  </si>
  <si>
    <t>08.06-09.06</t>
  </si>
  <si>
    <t>09.06.2026</t>
  </si>
  <si>
    <t>KW10</t>
  </si>
  <si>
    <t>KW12</t>
  </si>
  <si>
    <t>KW13</t>
  </si>
  <si>
    <t>KW14</t>
  </si>
  <si>
    <t>Kw15</t>
  </si>
  <si>
    <t>KW16</t>
  </si>
  <si>
    <t>KW20</t>
  </si>
  <si>
    <t>LK-P, KW20</t>
  </si>
  <si>
    <t>KW22, Vorbereitung Kennzahlenstruktur</t>
  </si>
  <si>
    <t>KW23</t>
  </si>
  <si>
    <t>KW24</t>
  </si>
  <si>
    <t>KW24, LK-P</t>
  </si>
  <si>
    <t>Werkzeuge Hub´s</t>
  </si>
  <si>
    <t>Remchingen</t>
  </si>
  <si>
    <t>Risikoanalyse Frankreich</t>
  </si>
  <si>
    <t>BCM /Ersatzteile Mexiko</t>
  </si>
  <si>
    <t>Standardisierung Wartungsaufträge</t>
  </si>
  <si>
    <t>WI-Belgien 23-26.06</t>
  </si>
  <si>
    <t>Layoutanpassung Werkzeug Hub Präzteile und Membran</t>
  </si>
  <si>
    <t>Präsi globale Instandhaltung</t>
  </si>
  <si>
    <t xml:space="preserve">IH Software OPRA </t>
  </si>
  <si>
    <t>Achsen Nullen VPA / MAG</t>
  </si>
  <si>
    <t>Kritische Ersatzteile / Rem</t>
  </si>
  <si>
    <t>Instandhaltung / Umzug / Aufbau 13.07-17.07</t>
  </si>
  <si>
    <t>mGuards Sicherheit der Anlagen</t>
  </si>
  <si>
    <t>Opra Wartungsanleitungen</t>
  </si>
  <si>
    <t>Ersatellung:Katallog Wartungskriterien für Wartungsanleitung</t>
  </si>
  <si>
    <t>Risikoanalyse / AbweichungenWI- Benelux</t>
  </si>
  <si>
    <t>schieber Vermessung für SIM 1280</t>
  </si>
  <si>
    <t>WI-MEX - Inbetriebnahme Montagelinien 03.08-10.08</t>
  </si>
  <si>
    <t>Instandhaltung Ausfbau 20.07-28.07</t>
  </si>
  <si>
    <t>Insandhaltung BB / Aufbau /05-06.08</t>
  </si>
  <si>
    <t>BCM / OT / WKZM / IH Struktur / Lastenheft</t>
  </si>
  <si>
    <t>Lastenheft Instandhaltung</t>
  </si>
  <si>
    <t>Opra / Hub´s / Instandhaltung 08-11.09</t>
  </si>
  <si>
    <t>OPRA / Wartungsanleitungen</t>
  </si>
  <si>
    <t>kritische Ersatzteile</t>
  </si>
  <si>
    <t>BCM / IH / WKZ-Mng.</t>
  </si>
  <si>
    <t>Betriebstoffe IH &amp; Hub´s</t>
  </si>
  <si>
    <t>Opra / Wartungsmerkmale</t>
  </si>
  <si>
    <t>Rohrschweißen Rem</t>
  </si>
  <si>
    <t>kritische Ersatzteile WI-BR</t>
  </si>
  <si>
    <t>Kritische Ersatzteile Scame Ofen</t>
  </si>
  <si>
    <t>Vorbereitung WI-E / WI-CZ</t>
  </si>
  <si>
    <t>Personen</t>
  </si>
  <si>
    <t>Mitarbeiter</t>
  </si>
  <si>
    <t>Auslastung</t>
  </si>
  <si>
    <t>Frei</t>
  </si>
  <si>
    <t>Hilfspalte</t>
  </si>
  <si>
    <t>Kapazität/Jahr</t>
  </si>
  <si>
    <t>nn1</t>
  </si>
  <si>
    <t>nn2</t>
  </si>
  <si>
    <t>nn3</t>
  </si>
  <si>
    <t>Bereich</t>
  </si>
  <si>
    <t>Wert</t>
  </si>
  <si>
    <t>Zeiger</t>
  </si>
  <si>
    <t>Verbraucht</t>
  </si>
  <si>
    <t>Rest</t>
  </si>
  <si>
    <t>Rot</t>
  </si>
  <si>
    <t>Gelb</t>
  </si>
  <si>
    <t>Grün</t>
  </si>
  <si>
    <t>Leer</t>
  </si>
  <si>
    <t>Leer2</t>
  </si>
  <si>
    <t>Status</t>
  </si>
  <si>
    <t>Kennzahl</t>
  </si>
  <si>
    <t>Projekt gewählt</t>
  </si>
  <si>
    <t>Budget SOLL</t>
  </si>
  <si>
    <t>Budget IST</t>
  </si>
  <si>
    <t>Budget verbraucht</t>
  </si>
  <si>
    <t>Stunden SOLL</t>
  </si>
  <si>
    <t>Stunden IST</t>
  </si>
  <si>
    <t>Enddatum</t>
  </si>
  <si>
    <t>Zeitfortschritt %</t>
  </si>
  <si>
    <t>Projekt erstellen</t>
  </si>
  <si>
    <t>Name</t>
  </si>
  <si>
    <t>Projektstunden SOLL</t>
  </si>
  <si>
    <t>Eintrag für Jose</t>
  </si>
  <si>
    <t>Eintrag für Linda</t>
  </si>
  <si>
    <t>Eintrag für Benny</t>
  </si>
  <si>
    <t>Eintrag für nn1</t>
  </si>
  <si>
    <t>Eintrag für nn2</t>
  </si>
  <si>
    <t>Eintrag für nn3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</si>
</sst>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30"/>
      <color theme="1"/>
      <name val="Arial"/>
      <family val="2"/>
    </font>
    <font>
      <b/>
      <sz val="20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4" fillId="0" borderId="0" xfId="0" applyFont="1" applyAlignment="1">
      <alignment wrapText="1"/>
    </xf>
    <xf numFmtId="164" fontId="0" fillId="0" borderId="0" xfId="0" applyNumberFormat="1"/>
    <xf numFmtId="0" fontId="6" fillId="0" borderId="0" xfId="0" applyFont="1"/>
    <xf numFmtId="0" fontId="0" fillId="0" borderId="0" xfId="0" pivotButton="1"/>
    <xf numFmtId="0" fontId="8" fillId="0" borderId="0" xfId="0" applyFont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left" vertical="top"/>
      <protection locked="0"/>
    </xf>
    <xf numFmtId="0" fontId="5" fillId="0" borderId="1" xfId="0" applyFont="1" applyBorder="1" applyAlignment="1" applyProtection="1">
      <alignment horizontal="left" vertical="top"/>
      <protection locked="0"/>
    </xf>
    <xf numFmtId="0" fontId="2" fillId="0" borderId="0" xfId="0" applyFont="1" applyAlignment="1">
      <alignment vertical="center"/>
    </xf>
    <xf numFmtId="0" fontId="0" fillId="0" borderId="2" xfId="0" applyBorder="1"/>
    <xf numFmtId="0" fontId="4" fillId="0" borderId="2" xfId="0" applyFont="1" applyBorder="1"/>
    <xf numFmtId="0" fontId="0" fillId="0" borderId="3" xfId="0" applyBorder="1"/>
    <xf numFmtId="0" fontId="4" fillId="0" borderId="3" xfId="0" applyFont="1" applyBorder="1"/>
    <xf numFmtId="0" fontId="2" fillId="0" borderId="3" xfId="0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Protection="1"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5" fillId="0" borderId="1" xfId="0" applyNumberFormat="1" applyFont="1" applyBorder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</cellXfs>
  <cellStyles count="1">
    <cellStyle name="Standard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4" formatCode="0.00%"/>
    </dxf>
    <dxf>
      <numFmt numFmtId="0" formatCode="General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b/>
        <color rgb="FFFF0000"/>
      </font>
    </dxf>
  </dxfs>
  <tableStyles count="1" defaultTableStyle="TableStyleMedium2" defaultPivotStyle="PivotStyleLight16">
    <tableStyle name="Invisible" pivot="0" table="0" count="0" xr9:uid="{BC2E7740-375C-4CD1-8218-F34A1791540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537295741258137E-2"/>
          <c:y val="0.14690798721742299"/>
          <c:w val="0.83580687494708328"/>
          <c:h val="0.8495082614740066"/>
        </c:manualLayout>
      </c:layout>
      <c:doughnutChart>
        <c:varyColors val="1"/>
        <c:ser>
          <c:idx val="0"/>
          <c:order val="0"/>
          <c:tx>
            <c:v>Projekt 1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EC-4A33-92CF-82C4B05361B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EC-4A33-92CF-82C4B05361B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8EC-4A33-92CF-82C4B05361B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EC-4A33-92CF-82C4B05361B4}"/>
              </c:ext>
            </c:extLst>
          </c:dPt>
          <c:val>
            <c:numRef>
              <c:f>'Auswertung ProjektDiag'!$B$2:$B$5</c:f>
              <c:numCache>
                <c:formatCode>General</c:formatCode>
                <c:ptCount val="4"/>
                <c:pt idx="0">
                  <c:v>30</c:v>
                </c:pt>
                <c:pt idx="1">
                  <c:v>40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C-4A33-92CF-82C4B053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pieChart>
        <c:varyColors val="1"/>
        <c:ser>
          <c:idx val="1"/>
          <c:order val="1"/>
          <c:tx>
            <c:v>Zeiger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8EC-4A33-92CF-82C4B05361B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8EC-4A33-92CF-82C4B05361B4}"/>
              </c:ext>
            </c:extLst>
          </c:dPt>
          <c:dPt>
            <c:idx val="2"/>
            <c:bubble3D val="0"/>
            <c:explosion val="55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8EC-4A33-92CF-82C4B05361B4}"/>
              </c:ext>
            </c:extLst>
          </c:dPt>
          <c:dPt>
            <c:idx val="3"/>
            <c:bubble3D val="0"/>
            <c:explosion val="2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8EC-4A33-92CF-82C4B05361B4}"/>
              </c:ext>
            </c:extLst>
          </c:dPt>
          <c:val>
            <c:numRef>
              <c:f>'Auswertung ProjektDiag'!$E$2:$E$5</c:f>
              <c:numCache>
                <c:formatCode>General</c:formatCode>
                <c:ptCount val="4"/>
                <c:pt idx="0">
                  <c:v>100</c:v>
                </c:pt>
                <c:pt idx="1">
                  <c:v>1.5</c:v>
                </c:pt>
                <c:pt idx="2">
                  <c:v>-1.5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EC-4A33-92CF-82C4B053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56905014909955E-2"/>
          <c:y val="5.2287545820221416E-2"/>
          <c:w val="0.98843094985090041"/>
          <c:h val="0.94771245417977856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'Auswertung ProjektDiag'!$G$2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C-4C9F-B42D-B681143CE8BD}"/>
            </c:ext>
          </c:extLst>
        </c:ser>
        <c:ser>
          <c:idx val="1"/>
          <c:order val="1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'Auswertung ProjektDiag'!$H$2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C-4C9F-B42D-B681143CE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34623"/>
        <c:axId val="53421183"/>
      </c:barChart>
      <c:catAx>
        <c:axId val="53434623"/>
        <c:scaling>
          <c:orientation val="minMax"/>
        </c:scaling>
        <c:delete val="1"/>
        <c:axPos val="l"/>
        <c:majorTickMark val="none"/>
        <c:minorTickMark val="none"/>
        <c:tickLblPos val="nextTo"/>
        <c:crossAx val="53421183"/>
        <c:crosses val="autoZero"/>
        <c:auto val="1"/>
        <c:lblAlgn val="ctr"/>
        <c:lblOffset val="100"/>
        <c:noMultiLvlLbl val="0"/>
      </c:catAx>
      <c:valAx>
        <c:axId val="53421183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343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074-4CE3-8F4E-7F8B4C8E55FC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74-4CE3-8F4E-7F8B4C8E55FC}"/>
              </c:ext>
            </c:extLst>
          </c:dPt>
          <c:dLbls>
            <c:dLbl>
              <c:idx val="0"/>
              <c:layout>
                <c:manualLayout>
                  <c:x val="4.6642496356908328E-2"/>
                  <c:y val="-0.1881144467816329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3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3200"/>
                      <a:t>Fortschritt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074-4CE3-8F4E-7F8B4C8E55FC}"/>
                </c:ext>
              </c:extLst>
            </c:dLbl>
            <c:dLbl>
              <c:idx val="1"/>
              <c:layout>
                <c:manualLayout>
                  <c:x val="0.23560325027989398"/>
                  <c:y val="-8.81787675825667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32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3200"/>
                      <a:t>Offen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074-4CE3-8F4E-7F8B4C8E55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Dashboard!$Y$38:$Z$38</c:f>
              <c:numCache>
                <c:formatCode>General</c:formatCode>
                <c:ptCount val="2"/>
                <c:pt idx="0">
                  <c:v>1.5800000000000002E-2</c:v>
                </c:pt>
                <c:pt idx="1">
                  <c:v>0.98419999999999996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4-4903-A5D4-95064DB79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4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bg1"/>
                </a:solidFill>
              </a:rPr>
              <a:t>Projekt Fortschritt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4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ProjektFortschritt</c:v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[0]!ProjListe</c:f>
              <c:strCache>
                <c:ptCount val="11"/>
                <c:pt idx="0">
                  <c:v>Projekt Buchbusch</c:v>
                </c:pt>
                <c:pt idx="1">
                  <c:v>Stabilisierung Instandhaltung WI-Mex</c:v>
                </c:pt>
                <c:pt idx="2">
                  <c:v>Gruppenweite Instandhaltung</c:v>
                </c:pt>
                <c:pt idx="3">
                  <c:v>Predictive Maintenance allg.</c:v>
                </c:pt>
                <c:pt idx="4">
                  <c:v>Aufbau eines Globalen Produktionsnetzwerkes</c:v>
                </c:pt>
                <c:pt idx="5">
                  <c:v>Projekt Vertrieb mb - Lean Admin</c:v>
                </c:pt>
                <c:pt idx="6">
                  <c:v>Diverse Themen / Unterstützungen</c:v>
                </c:pt>
                <c:pt idx="7">
                  <c:v>Verlustauswertung</c:v>
                </c:pt>
                <c:pt idx="8">
                  <c:v>SAP S4</c:v>
                </c:pt>
                <c:pt idx="9">
                  <c:v>Führung</c:v>
                </c:pt>
                <c:pt idx="10">
                  <c:v>BCM</c:v>
                </c:pt>
              </c:strCache>
            </c:strRef>
          </c:cat>
          <c:val>
            <c:numRef>
              <c:f>[0]!ProjFortschritt</c:f>
              <c:numCache>
                <c:formatCode>General</c:formatCode>
                <c:ptCount val="11"/>
                <c:pt idx="0">
                  <c:v>0.89846153846153842</c:v>
                </c:pt>
                <c:pt idx="1">
                  <c:v>4.0499999999999998E-3</c:v>
                </c:pt>
                <c:pt idx="2">
                  <c:v>1.5800000000000002E-2</c:v>
                </c:pt>
                <c:pt idx="3">
                  <c:v>4.0000000000000002E-4</c:v>
                </c:pt>
                <c:pt idx="4">
                  <c:v>0.29870129870129869</c:v>
                </c:pt>
                <c:pt idx="5">
                  <c:v>1.6233766233766232E-2</c:v>
                </c:pt>
                <c:pt idx="6">
                  <c:v>0.70454545454545459</c:v>
                </c:pt>
                <c:pt idx="7">
                  <c:v>1.6870967741935483</c:v>
                </c:pt>
                <c:pt idx="8">
                  <c:v>0.55000000000000004</c:v>
                </c:pt>
                <c:pt idx="9">
                  <c:v>0.13</c:v>
                </c:pt>
                <c:pt idx="10">
                  <c:v>4.3449999999999998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7-4F28-A85F-52A4D8060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7289791"/>
        <c:axId val="767292671"/>
      </c:barChart>
      <c:catAx>
        <c:axId val="767289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292671"/>
        <c:crosses val="autoZero"/>
        <c:auto val="1"/>
        <c:lblAlgn val="ctr"/>
        <c:lblOffset val="100"/>
        <c:noMultiLvlLbl val="0"/>
      </c:catAx>
      <c:valAx>
        <c:axId val="76729267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28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[Projektmanagement_WI_v1.xlsm]Dashboard_Steuerung!PivotTable1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bg1"/>
                </a:solidFill>
              </a:rPr>
              <a:t>Projekteinteilung</a:t>
            </a:r>
          </a:p>
        </c:rich>
      </c:tx>
      <c:overlay val="0"/>
      <c:spPr>
        <a:noFill/>
        <a:ln>
          <a:noFill/>
        </a:ln>
        <a:effectLst>
          <a:outerShdw blurRad="774700" dist="50800" dir="5400000" sx="82000" sy="82000" algn="ctr" rotWithShape="0">
            <a:schemeClr val="bg1">
              <a:alpha val="0"/>
            </a:schemeClr>
          </a:outerShdw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Dashboard_Steuerung!$O$3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F54-47F0-A981-1022CF285419}"/>
              </c:ext>
            </c:extLst>
          </c:dPt>
          <c:cat>
            <c:multiLvlStrRef>
              <c:f>Dashboard_Steuerung!$M$4:$N$12</c:f>
              <c:multiLvlStrCache>
                <c:ptCount val="9"/>
                <c:lvl>
                  <c:pt idx="0">
                    <c:v>Benny</c:v>
                  </c:pt>
                  <c:pt idx="1">
                    <c:v>Jose</c:v>
                  </c:pt>
                  <c:pt idx="2">
                    <c:v>Jose</c:v>
                  </c:pt>
                  <c:pt idx="3">
                    <c:v>Linda</c:v>
                  </c:pt>
                  <c:pt idx="4">
                    <c:v>Linda</c:v>
                  </c:pt>
                  <c:pt idx="5">
                    <c:v>Benny</c:v>
                  </c:pt>
                  <c:pt idx="6">
                    <c:v>Jose</c:v>
                  </c:pt>
                  <c:pt idx="7">
                    <c:v>Benny</c:v>
                  </c:pt>
                  <c:pt idx="8">
                    <c:v>Jose</c:v>
                  </c:pt>
                </c:lvl>
                <c:lvl>
                  <c:pt idx="0">
                    <c:v>Stabilisierung Instandhaltung WI-Mex</c:v>
                  </c:pt>
                  <c:pt idx="2">
                    <c:v>Aufbau eines Globalen Produktionsnetzwerkes</c:v>
                  </c:pt>
                  <c:pt idx="4">
                    <c:v>Projekt Vertrieb mb - Lean Admin</c:v>
                  </c:pt>
                  <c:pt idx="5">
                    <c:v>Diverse Themen / Unterstützungen</c:v>
                  </c:pt>
                  <c:pt idx="7">
                    <c:v>Projekt Buchbusch</c:v>
                  </c:pt>
                </c:lvl>
              </c:multiLvlStrCache>
            </c:multiLvlStrRef>
          </c:cat>
          <c:val>
            <c:numRef>
              <c:f>Dashboard_Steuerung!$O$4:$O$12</c:f>
              <c:numCache>
                <c:formatCode>General</c:formatCode>
                <c:ptCount val="9"/>
                <c:pt idx="0">
                  <c:v>79</c:v>
                </c:pt>
                <c:pt idx="1">
                  <c:v>2</c:v>
                </c:pt>
                <c:pt idx="2">
                  <c:v>90</c:v>
                </c:pt>
                <c:pt idx="3">
                  <c:v>94</c:v>
                </c:pt>
                <c:pt idx="4">
                  <c:v>10</c:v>
                </c:pt>
                <c:pt idx="5">
                  <c:v>11</c:v>
                </c:pt>
                <c:pt idx="6">
                  <c:v>206</c:v>
                </c:pt>
                <c:pt idx="7">
                  <c:v>498</c:v>
                </c:pt>
                <c:pt idx="8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7F0-A981-1022CF285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27"/>
        <c:axId val="522994207"/>
        <c:axId val="522986527"/>
      </c:barChart>
      <c:catAx>
        <c:axId val="522994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t" anchorCtr="0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2986527"/>
        <c:crosses val="autoZero"/>
        <c:auto val="1"/>
        <c:lblAlgn val="ctr"/>
        <c:lblOffset val="100"/>
        <c:noMultiLvlLbl val="1"/>
      </c:catAx>
      <c:valAx>
        <c:axId val="522986527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4000">
                    <a:solidFill>
                      <a:schemeClr val="bg1"/>
                    </a:solidFill>
                  </a:rPr>
                  <a:t>Stunden</a:t>
                </a:r>
                <a:r>
                  <a:rPr lang="de-DE" sz="4000" baseline="0">
                    <a:solidFill>
                      <a:schemeClr val="bg1"/>
                    </a:solidFill>
                  </a:rPr>
                  <a:t> pro Projekt</a:t>
                </a:r>
                <a:endParaRPr lang="de-DE" sz="4000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299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Auswertung_Pivo!$B$1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Auswertung_Pivo!$A$2:$A$12</c:f>
              <c:multiLvlStrCache>
                <c:ptCount val="9"/>
                <c:lvl>
                  <c:pt idx="0">
                    <c:v>Aufbau eines Globalen Produktionsnetzwerkes</c:v>
                  </c:pt>
                  <c:pt idx="1">
                    <c:v>Diverse Themen / Unterstützungen</c:v>
                  </c:pt>
                  <c:pt idx="2">
                    <c:v>Stabilisierung Instandhaltung WI-Mex</c:v>
                  </c:pt>
                  <c:pt idx="3">
                    <c:v>Projekt Buchbusch</c:v>
                  </c:pt>
                  <c:pt idx="4">
                    <c:v>Verlustauswertung</c:v>
                  </c:pt>
                  <c:pt idx="5">
                    <c:v>SAP S4</c:v>
                  </c:pt>
                  <c:pt idx="6">
                    <c:v>Gruppenweite Instandhaltung</c:v>
                  </c:pt>
                  <c:pt idx="7">
                    <c:v>Führung</c:v>
                  </c:pt>
                  <c:pt idx="8">
                    <c:v>BCM</c:v>
                  </c:pt>
                </c:lvl>
                <c:lvl>
                  <c:pt idx="0">
                    <c:v>Jose</c:v>
                  </c:pt>
                </c:lvl>
              </c:multiLvlStrCache>
            </c:multiLvlStrRef>
          </c:cat>
          <c:val>
            <c:numRef>
              <c:f>Auswertung_Pivo!$B$2:$B$12</c:f>
              <c:numCache>
                <c:formatCode>General</c:formatCode>
                <c:ptCount val="9"/>
                <c:pt idx="0">
                  <c:v>90</c:v>
                </c:pt>
                <c:pt idx="1">
                  <c:v>206</c:v>
                </c:pt>
                <c:pt idx="2">
                  <c:v>2</c:v>
                </c:pt>
                <c:pt idx="3">
                  <c:v>86</c:v>
                </c:pt>
                <c:pt idx="4">
                  <c:v>24</c:v>
                </c:pt>
                <c:pt idx="5">
                  <c:v>22</c:v>
                </c:pt>
                <c:pt idx="6">
                  <c:v>16</c:v>
                </c:pt>
                <c:pt idx="7">
                  <c:v>26</c:v>
                </c:pt>
                <c:pt idx="8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AD-45C3-B1C3-651D5C57C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077920"/>
        <c:axId val="321078400"/>
      </c:barChart>
      <c:catAx>
        <c:axId val="32107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1078400"/>
        <c:crosses val="autoZero"/>
        <c:auto val="1"/>
        <c:lblAlgn val="ctr"/>
        <c:lblOffset val="100"/>
        <c:noMultiLvlLbl val="1"/>
      </c:catAx>
      <c:valAx>
        <c:axId val="3210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10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Auswertung_Pivo!$E$1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Auswertung_Pivo!$D$2:$D$7</c:f>
              <c:multiLvlStrCache>
                <c:ptCount val="4"/>
                <c:lvl>
                  <c:pt idx="0">
                    <c:v>Aufbau eines Globalen Produktionsnetzwerkes</c:v>
                  </c:pt>
                  <c:pt idx="1">
                    <c:v>Projekt Vertrieb mb - Lean Admin</c:v>
                  </c:pt>
                  <c:pt idx="2">
                    <c:v>Verlustauswertung</c:v>
                  </c:pt>
                  <c:pt idx="3">
                    <c:v>BCM</c:v>
                  </c:pt>
                </c:lvl>
                <c:lvl>
                  <c:pt idx="0">
                    <c:v>Linda</c:v>
                  </c:pt>
                </c:lvl>
              </c:multiLvlStrCache>
            </c:multiLvlStrRef>
          </c:cat>
          <c:val>
            <c:numRef>
              <c:f>Auswertung_Pivo!$E$2:$E$7</c:f>
              <c:numCache>
                <c:formatCode>General</c:formatCode>
                <c:ptCount val="4"/>
                <c:pt idx="0">
                  <c:v>94</c:v>
                </c:pt>
                <c:pt idx="1">
                  <c:v>10</c:v>
                </c:pt>
                <c:pt idx="2">
                  <c:v>237.5</c:v>
                </c:pt>
                <c:pt idx="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A-44DA-A9DB-3659349F2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1938895"/>
        <c:axId val="1651939375"/>
      </c:barChart>
      <c:catAx>
        <c:axId val="165193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1939375"/>
        <c:crosses val="autoZero"/>
        <c:auto val="1"/>
        <c:lblAlgn val="ctr"/>
        <c:lblOffset val="100"/>
        <c:noMultiLvlLbl val="1"/>
      </c:catAx>
      <c:valAx>
        <c:axId val="16519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193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[Projektmanagement_WI_v1.xlsm]Auswertung_Pivo!PivotTable3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Auswertung_Pivo!$H$1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Auswertung_Pivo!$G$2:$G$9</c:f>
              <c:multiLvlStrCache>
                <c:ptCount val="6"/>
                <c:lvl>
                  <c:pt idx="0">
                    <c:v>Diverse Themen / Unterstützungen</c:v>
                  </c:pt>
                  <c:pt idx="1">
                    <c:v>Stabilisierung Instandhaltung WI-Mex</c:v>
                  </c:pt>
                  <c:pt idx="2">
                    <c:v>Projekt Buchbusch</c:v>
                  </c:pt>
                  <c:pt idx="3">
                    <c:v>Gruppenweite Instandhaltung</c:v>
                  </c:pt>
                  <c:pt idx="4">
                    <c:v>Predictive Maintenance allg.</c:v>
                  </c:pt>
                  <c:pt idx="5">
                    <c:v>BCM</c:v>
                  </c:pt>
                </c:lvl>
                <c:lvl>
                  <c:pt idx="0">
                    <c:v>Benny</c:v>
                  </c:pt>
                </c:lvl>
              </c:multiLvlStrCache>
            </c:multiLvlStrRef>
          </c:cat>
          <c:val>
            <c:numRef>
              <c:f>Auswertung_Pivo!$H$2:$H$9</c:f>
              <c:numCache>
                <c:formatCode>General</c:formatCode>
                <c:ptCount val="6"/>
                <c:pt idx="0">
                  <c:v>11</c:v>
                </c:pt>
                <c:pt idx="1">
                  <c:v>79</c:v>
                </c:pt>
                <c:pt idx="2">
                  <c:v>498</c:v>
                </c:pt>
                <c:pt idx="3">
                  <c:v>142</c:v>
                </c:pt>
                <c:pt idx="4">
                  <c:v>6</c:v>
                </c:pt>
                <c:pt idx="5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8-4A74-8F20-6F838BEC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1413551"/>
        <c:axId val="2081414031"/>
      </c:barChart>
      <c:catAx>
        <c:axId val="208141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414031"/>
        <c:crosses val="autoZero"/>
        <c:auto val="1"/>
        <c:lblAlgn val="ctr"/>
        <c:lblOffset val="100"/>
        <c:noMultiLvlLbl val="1"/>
      </c:catAx>
      <c:valAx>
        <c:axId val="208141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41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[Projektmanagement_WI_v1.xlsm]Tabelle2!PivotTable2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Tabelle2!$B$3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Tabelle2!$A$4</c:f>
              <c:strCache>
                <c:ptCount val="1"/>
                <c:pt idx="0">
                  <c:v>Gesamtergebnis</c:v>
                </c:pt>
              </c:strCache>
            </c:strRef>
          </c:cat>
          <c:val>
            <c:numRef>
              <c:f>Tabelle2!$B$4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012-4354-9983-CD42582A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768816"/>
        <c:axId val="1764777936"/>
      </c:barChart>
      <c:catAx>
        <c:axId val="176476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64777936"/>
        <c:crosses val="autoZero"/>
        <c:auto val="1"/>
        <c:lblAlgn val="ctr"/>
        <c:lblOffset val="100"/>
        <c:noMultiLvlLbl val="0"/>
      </c:catAx>
      <c:valAx>
        <c:axId val="176477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647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4</xdr:row>
      <xdr:rowOff>19050</xdr:rowOff>
    </xdr:from>
    <xdr:to>
      <xdr:col>8</xdr:col>
      <xdr:colOff>533400</xdr:colOff>
      <xdr:row>11</xdr:row>
      <xdr:rowOff>170791</xdr:rowOff>
    </xdr:to>
    <xdr:sp macro="[0]!Go_Dashboard" textlink="">
      <xdr:nvSpPr>
        <xdr:cNvPr id="3" name="Rechteck: abgerundete Ecken 3">
          <a:extLst>
            <a:ext uri="{FF2B5EF4-FFF2-40B4-BE49-F238E27FC236}">
              <a16:creationId xmlns:a16="http://schemas.microsoft.com/office/drawing/2014/main" id="{4351CD81-907F-7AA7-3565-D0AFB5D47669}"/>
            </a:ext>
          </a:extLst>
        </xdr:cNvPr>
        <xdr:cNvSpPr/>
      </xdr:nvSpPr>
      <xdr:spPr>
        <a:xfrm>
          <a:off x="3895725" y="781050"/>
          <a:ext cx="2733675" cy="1485241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Dashboard</a:t>
          </a:r>
          <a:r>
            <a:rPr lang="de-DE" sz="4000" kern="1200" baseline="0"/>
            <a:t> Projekt</a:t>
          </a:r>
          <a:endParaRPr lang="de-DE" sz="4000" kern="1200"/>
        </a:p>
      </xdr:txBody>
    </xdr:sp>
    <xdr:clientData/>
  </xdr:twoCellAnchor>
  <xdr:twoCellAnchor>
    <xdr:from>
      <xdr:col>5</xdr:col>
      <xdr:colOff>53975</xdr:colOff>
      <xdr:row>13</xdr:row>
      <xdr:rowOff>57150</xdr:rowOff>
    </xdr:from>
    <xdr:to>
      <xdr:col>8</xdr:col>
      <xdr:colOff>482600</xdr:colOff>
      <xdr:row>21</xdr:row>
      <xdr:rowOff>16494</xdr:rowOff>
    </xdr:to>
    <xdr:sp macro="[0]!Go_Benny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281396CC-6C4B-42D8-B829-BC2E6CCB3F09}"/>
            </a:ext>
          </a:extLst>
        </xdr:cNvPr>
        <xdr:cNvSpPr/>
      </xdr:nvSpPr>
      <xdr:spPr>
        <a:xfrm>
          <a:off x="3863975" y="2533650"/>
          <a:ext cx="2714625" cy="1483344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Benny</a:t>
          </a:r>
        </a:p>
      </xdr:txBody>
    </xdr:sp>
    <xdr:clientData/>
  </xdr:twoCellAnchor>
  <xdr:twoCellAnchor>
    <xdr:from>
      <xdr:col>9</xdr:col>
      <xdr:colOff>355792</xdr:colOff>
      <xdr:row>13</xdr:row>
      <xdr:rowOff>60325</xdr:rowOff>
    </xdr:from>
    <xdr:to>
      <xdr:col>13</xdr:col>
      <xdr:colOff>22417</xdr:colOff>
      <xdr:row>21</xdr:row>
      <xdr:rowOff>21566</xdr:rowOff>
    </xdr:to>
    <xdr:sp macro="[0]!Go_Jose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6B160384-087C-41CD-B8F5-A883A098CD13}"/>
            </a:ext>
          </a:extLst>
        </xdr:cNvPr>
        <xdr:cNvSpPr/>
      </xdr:nvSpPr>
      <xdr:spPr>
        <a:xfrm>
          <a:off x="7213792" y="2536825"/>
          <a:ext cx="2714625" cy="1485241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Jose</a:t>
          </a:r>
        </a:p>
      </xdr:txBody>
    </xdr:sp>
    <xdr:clientData/>
  </xdr:twoCellAnchor>
  <xdr:twoCellAnchor>
    <xdr:from>
      <xdr:col>13</xdr:col>
      <xdr:colOff>638175</xdr:colOff>
      <xdr:row>13</xdr:row>
      <xdr:rowOff>73025</xdr:rowOff>
    </xdr:from>
    <xdr:to>
      <xdr:col>17</xdr:col>
      <xdr:colOff>304800</xdr:colOff>
      <xdr:row>21</xdr:row>
      <xdr:rowOff>28575</xdr:rowOff>
    </xdr:to>
    <xdr:sp macro="[0]!Go_Linda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BB583F53-6B91-4F52-83F8-A3CD249D5FE4}"/>
            </a:ext>
          </a:extLst>
        </xdr:cNvPr>
        <xdr:cNvSpPr/>
      </xdr:nvSpPr>
      <xdr:spPr>
        <a:xfrm>
          <a:off x="10544175" y="2549525"/>
          <a:ext cx="2714625" cy="147955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Linda</a:t>
          </a:r>
        </a:p>
      </xdr:txBody>
    </xdr:sp>
    <xdr:clientData/>
  </xdr:twoCellAnchor>
  <xdr:twoCellAnchor>
    <xdr:from>
      <xdr:col>0</xdr:col>
      <xdr:colOff>171449</xdr:colOff>
      <xdr:row>0</xdr:row>
      <xdr:rowOff>152401</xdr:rowOff>
    </xdr:from>
    <xdr:to>
      <xdr:col>2</xdr:col>
      <xdr:colOff>609600</xdr:colOff>
      <xdr:row>3</xdr:row>
      <xdr:rowOff>152401</xdr:rowOff>
    </xdr:to>
    <xdr:sp macro="[0]!Go_ProjektErstellen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AAFBDB85-A603-43BF-AACD-62B1275714F9}"/>
            </a:ext>
          </a:extLst>
        </xdr:cNvPr>
        <xdr:cNvSpPr/>
      </xdr:nvSpPr>
      <xdr:spPr>
        <a:xfrm>
          <a:off x="171449" y="152401"/>
          <a:ext cx="1962151" cy="57150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Projekt</a:t>
          </a:r>
          <a:r>
            <a:rPr lang="de-DE" sz="2000" kern="1200" baseline="0"/>
            <a:t> erstellen</a:t>
          </a:r>
          <a:endParaRPr lang="de-DE" sz="2000" kern="1200"/>
        </a:p>
      </xdr:txBody>
    </xdr:sp>
    <xdr:clientData/>
  </xdr:twoCellAnchor>
  <xdr:twoCellAnchor>
    <xdr:from>
      <xdr:col>5</xdr:col>
      <xdr:colOff>53975</xdr:colOff>
      <xdr:row>22</xdr:row>
      <xdr:rowOff>133350</xdr:rowOff>
    </xdr:from>
    <xdr:to>
      <xdr:col>8</xdr:col>
      <xdr:colOff>482600</xdr:colOff>
      <xdr:row>30</xdr:row>
      <xdr:rowOff>92694</xdr:rowOff>
    </xdr:to>
    <xdr:sp macro="[0]!Go_nn1" textlink="">
      <xdr:nvSpPr>
        <xdr:cNvPr id="12" name="Rechteck: abgerundete Ecken 11">
          <a:extLst>
            <a:ext uri="{FF2B5EF4-FFF2-40B4-BE49-F238E27FC236}">
              <a16:creationId xmlns:a16="http://schemas.microsoft.com/office/drawing/2014/main" id="{593A36DE-1E1E-4147-BF9A-8218FA8E06EB}"/>
            </a:ext>
          </a:extLst>
        </xdr:cNvPr>
        <xdr:cNvSpPr/>
      </xdr:nvSpPr>
      <xdr:spPr>
        <a:xfrm>
          <a:off x="3863975" y="4324350"/>
          <a:ext cx="2714625" cy="1483344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nn1</a:t>
          </a:r>
        </a:p>
      </xdr:txBody>
    </xdr:sp>
    <xdr:clientData/>
  </xdr:twoCellAnchor>
  <xdr:twoCellAnchor>
    <xdr:from>
      <xdr:col>9</xdr:col>
      <xdr:colOff>355792</xdr:colOff>
      <xdr:row>22</xdr:row>
      <xdr:rowOff>130175</xdr:rowOff>
    </xdr:from>
    <xdr:to>
      <xdr:col>13</xdr:col>
      <xdr:colOff>22417</xdr:colOff>
      <xdr:row>30</xdr:row>
      <xdr:rowOff>91416</xdr:rowOff>
    </xdr:to>
    <xdr:sp macro="[0]!Go_nn2" textlink="">
      <xdr:nvSpPr>
        <xdr:cNvPr id="13" name="Rechteck: abgerundete Ecken 12">
          <a:extLst>
            <a:ext uri="{FF2B5EF4-FFF2-40B4-BE49-F238E27FC236}">
              <a16:creationId xmlns:a16="http://schemas.microsoft.com/office/drawing/2014/main" id="{70D58E9A-394F-43DD-996B-AE3E2FA4AAE7}"/>
            </a:ext>
          </a:extLst>
        </xdr:cNvPr>
        <xdr:cNvSpPr/>
      </xdr:nvSpPr>
      <xdr:spPr>
        <a:xfrm>
          <a:off x="7196474" y="4363508"/>
          <a:ext cx="2706928" cy="1500635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nn2</a:t>
          </a:r>
        </a:p>
      </xdr:txBody>
    </xdr:sp>
    <xdr:clientData/>
  </xdr:twoCellAnchor>
  <xdr:twoCellAnchor>
    <xdr:from>
      <xdr:col>13</xdr:col>
      <xdr:colOff>638175</xdr:colOff>
      <xdr:row>22</xdr:row>
      <xdr:rowOff>149225</xdr:rowOff>
    </xdr:from>
    <xdr:to>
      <xdr:col>17</xdr:col>
      <xdr:colOff>304800</xdr:colOff>
      <xdr:row>30</xdr:row>
      <xdr:rowOff>104775</xdr:rowOff>
    </xdr:to>
    <xdr:sp macro="[0]!Go_3" textlink="">
      <xdr:nvSpPr>
        <xdr:cNvPr id="14" name="Rechteck: abgerundete Ecken 13">
          <a:extLst>
            <a:ext uri="{FF2B5EF4-FFF2-40B4-BE49-F238E27FC236}">
              <a16:creationId xmlns:a16="http://schemas.microsoft.com/office/drawing/2014/main" id="{6DC6593C-7E79-4487-8A9A-D974220EBF3A}"/>
            </a:ext>
          </a:extLst>
        </xdr:cNvPr>
        <xdr:cNvSpPr/>
      </xdr:nvSpPr>
      <xdr:spPr>
        <a:xfrm>
          <a:off x="10544175" y="4340225"/>
          <a:ext cx="2714625" cy="1479550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nn3</a:t>
          </a:r>
        </a:p>
      </xdr:txBody>
    </xdr:sp>
    <xdr:clientData/>
  </xdr:twoCellAnchor>
  <xdr:twoCellAnchor>
    <xdr:from>
      <xdr:col>13</xdr:col>
      <xdr:colOff>609601</xdr:colOff>
      <xdr:row>4</xdr:row>
      <xdr:rowOff>0</xdr:rowOff>
    </xdr:from>
    <xdr:to>
      <xdr:col>17</xdr:col>
      <xdr:colOff>333375</xdr:colOff>
      <xdr:row>11</xdr:row>
      <xdr:rowOff>167616</xdr:rowOff>
    </xdr:to>
    <xdr:sp macro="[0]!Go_Dashboard_zwei" textlink="">
      <xdr:nvSpPr>
        <xdr:cNvPr id="9" name="Rechteck: abgerundete Ecken 8">
          <a:extLst>
            <a:ext uri="{FF2B5EF4-FFF2-40B4-BE49-F238E27FC236}">
              <a16:creationId xmlns:a16="http://schemas.microsoft.com/office/drawing/2014/main" id="{D3596DF7-040B-4A00-A319-55983DCB98E5}"/>
            </a:ext>
          </a:extLst>
        </xdr:cNvPr>
        <xdr:cNvSpPr/>
      </xdr:nvSpPr>
      <xdr:spPr>
        <a:xfrm>
          <a:off x="10515601" y="762000"/>
          <a:ext cx="2771774" cy="1501116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000" kern="1200"/>
            <a:t>Dashboard</a:t>
          </a:r>
          <a:r>
            <a:rPr lang="de-DE" sz="4000" kern="1200" baseline="0"/>
            <a:t>    </a:t>
          </a:r>
          <a:r>
            <a:rPr lang="de-DE" sz="4000" kern="1200"/>
            <a:t>Mitarbeiter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7919357</xdr:colOff>
      <xdr:row>5</xdr:row>
      <xdr:rowOff>353785</xdr:rowOff>
    </xdr:from>
    <xdr:to>
      <xdr:col>19</xdr:col>
      <xdr:colOff>3688446</xdr:colOff>
      <xdr:row>89</xdr:row>
      <xdr:rowOff>87993</xdr:rowOff>
    </xdr:to>
    <xdr:sp macro="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B35AE2B6-EFCB-137B-1D82-40929AB898CA}"/>
            </a:ext>
          </a:extLst>
        </xdr:cNvPr>
        <xdr:cNvSpPr/>
      </xdr:nvSpPr>
      <xdr:spPr>
        <a:xfrm>
          <a:off x="9225643" y="3673928"/>
          <a:ext cx="22166946" cy="16062779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0</xdr:col>
      <xdr:colOff>288471</xdr:colOff>
      <xdr:row>5</xdr:row>
      <xdr:rowOff>430893</xdr:rowOff>
    </xdr:from>
    <xdr:to>
      <xdr:col>1</xdr:col>
      <xdr:colOff>7864928</xdr:colOff>
      <xdr:row>88</xdr:row>
      <xdr:rowOff>81644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7CD3385A-0757-4566-9E6B-4D252D4639B5}"/>
            </a:ext>
          </a:extLst>
        </xdr:cNvPr>
        <xdr:cNvSpPr/>
      </xdr:nvSpPr>
      <xdr:spPr>
        <a:xfrm>
          <a:off x="288471" y="3751036"/>
          <a:ext cx="8964386" cy="16142608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19</xdr:col>
      <xdr:colOff>3778254</xdr:colOff>
      <xdr:row>5</xdr:row>
      <xdr:rowOff>448583</xdr:rowOff>
    </xdr:from>
    <xdr:to>
      <xdr:col>20</xdr:col>
      <xdr:colOff>6504215</xdr:colOff>
      <xdr:row>89</xdr:row>
      <xdr:rowOff>1</xdr:rowOff>
    </xdr:to>
    <xdr:sp macro="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56A8E790-EEE5-4F70-A13D-2BD01DAD1EA4}"/>
            </a:ext>
          </a:extLst>
        </xdr:cNvPr>
        <xdr:cNvSpPr/>
      </xdr:nvSpPr>
      <xdr:spPr>
        <a:xfrm>
          <a:off x="32298825" y="3768726"/>
          <a:ext cx="18918461" cy="16233775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0</xdr:col>
      <xdr:colOff>1</xdr:colOff>
      <xdr:row>4</xdr:row>
      <xdr:rowOff>869991</xdr:rowOff>
    </xdr:from>
    <xdr:to>
      <xdr:col>2</xdr:col>
      <xdr:colOff>95250</xdr:colOff>
      <xdr:row>50</xdr:row>
      <xdr:rowOff>152398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151630D-BDCC-D410-E316-5E30662DB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668126</xdr:colOff>
      <xdr:row>28</xdr:row>
      <xdr:rowOff>123688</xdr:rowOff>
    </xdr:from>
    <xdr:to>
      <xdr:col>1</xdr:col>
      <xdr:colOff>7483928</xdr:colOff>
      <xdr:row>39</xdr:row>
      <xdr:rowOff>143233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20D0ACD8-421B-E8E1-C3F6-4647183BDB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3743263</xdr:colOff>
      <xdr:row>39</xdr:row>
      <xdr:rowOff>36929</xdr:rowOff>
    </xdr:from>
    <xdr:to>
      <xdr:col>1</xdr:col>
      <xdr:colOff>5953487</xdr:colOff>
      <xdr:row>43</xdr:row>
      <xdr:rowOff>55468</xdr:rowOff>
    </xdr:to>
    <xdr:sp macro="" textlink="Dashboard_Steuerung!E3">
      <xdr:nvSpPr>
        <xdr:cNvPr id="35" name="Textfeld 34">
          <a:extLst>
            <a:ext uri="{FF2B5EF4-FFF2-40B4-BE49-F238E27FC236}">
              <a16:creationId xmlns:a16="http://schemas.microsoft.com/office/drawing/2014/main" id="{75FC9FDF-E594-9903-CDFF-DB6E7353FAF0}"/>
            </a:ext>
          </a:extLst>
        </xdr:cNvPr>
        <xdr:cNvSpPr txBox="1"/>
      </xdr:nvSpPr>
      <xdr:spPr>
        <a:xfrm>
          <a:off x="5131192" y="10514429"/>
          <a:ext cx="2210224" cy="780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7E6E422-8C44-436C-BE06-8E729A6704AA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0,00 €</a:t>
          </a:fld>
          <a:endParaRPr lang="de-DE" sz="36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3660439</xdr:colOff>
      <xdr:row>42</xdr:row>
      <xdr:rowOff>94502</xdr:rowOff>
    </xdr:from>
    <xdr:to>
      <xdr:col>1</xdr:col>
      <xdr:colOff>5941653</xdr:colOff>
      <xdr:row>46</xdr:row>
      <xdr:rowOff>55834</xdr:rowOff>
    </xdr:to>
    <xdr:sp macro="" textlink="Dashboard_Steuerung!E2">
      <xdr:nvSpPr>
        <xdr:cNvPr id="36" name="Textfeld 35">
          <a:extLst>
            <a:ext uri="{FF2B5EF4-FFF2-40B4-BE49-F238E27FC236}">
              <a16:creationId xmlns:a16="http://schemas.microsoft.com/office/drawing/2014/main" id="{6F352E7D-E779-45EE-BF25-03CC58F9CC4E}"/>
            </a:ext>
          </a:extLst>
        </xdr:cNvPr>
        <xdr:cNvSpPr txBox="1"/>
      </xdr:nvSpPr>
      <xdr:spPr>
        <a:xfrm>
          <a:off x="5048368" y="11143502"/>
          <a:ext cx="2281214" cy="723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4ADA05-C8A9-440C-A73C-44BC78B9AF39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250.000,00 €</a:t>
          </a:fld>
          <a:endParaRPr lang="de-DE" sz="36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1</xdr:col>
      <xdr:colOff>6313714</xdr:colOff>
      <xdr:row>2</xdr:row>
      <xdr:rowOff>680358</xdr:rowOff>
    </xdr:to>
    <xdr:sp macro="" textlink="">
      <xdr:nvSpPr>
        <xdr:cNvPr id="93" name="Textfeld 92">
          <a:extLst>
            <a:ext uri="{FF2B5EF4-FFF2-40B4-BE49-F238E27FC236}">
              <a16:creationId xmlns:a16="http://schemas.microsoft.com/office/drawing/2014/main" id="{88573098-7AB8-A5E9-69EA-68E9137B7829}"/>
            </a:ext>
          </a:extLst>
        </xdr:cNvPr>
        <xdr:cNvSpPr txBox="1"/>
      </xdr:nvSpPr>
      <xdr:spPr>
        <a:xfrm>
          <a:off x="0" y="1"/>
          <a:ext cx="7620000" cy="1306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7200" b="1" kern="1200">
              <a:solidFill>
                <a:schemeClr val="bg1"/>
              </a:solidFill>
            </a:rPr>
            <a:t>Projektplaner OXC1</a:t>
          </a:r>
        </a:p>
      </xdr:txBody>
    </xdr:sp>
    <xdr:clientData/>
  </xdr:twoCellAnchor>
  <xdr:twoCellAnchor>
    <xdr:from>
      <xdr:col>0</xdr:col>
      <xdr:colOff>934724</xdr:colOff>
      <xdr:row>5</xdr:row>
      <xdr:rowOff>81642</xdr:rowOff>
    </xdr:from>
    <xdr:to>
      <xdr:col>1</xdr:col>
      <xdr:colOff>7194282</xdr:colOff>
      <xdr:row>11</xdr:row>
      <xdr:rowOff>190140</xdr:rowOff>
    </xdr:to>
    <xdr:sp macro="" textlink="Dashboard_Steuerung!B2">
      <xdr:nvSpPr>
        <xdr:cNvPr id="34" name="Textfeld 33">
          <a:extLst>
            <a:ext uri="{FF2B5EF4-FFF2-40B4-BE49-F238E27FC236}">
              <a16:creationId xmlns:a16="http://schemas.microsoft.com/office/drawing/2014/main" id="{117993E4-2539-B4AF-3A15-0B6798160DFE}"/>
            </a:ext>
          </a:extLst>
        </xdr:cNvPr>
        <xdr:cNvSpPr txBox="1"/>
      </xdr:nvSpPr>
      <xdr:spPr>
        <a:xfrm>
          <a:off x="934724" y="3401785"/>
          <a:ext cx="7565844" cy="1578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B3AC43-30A3-40AE-809F-B12C84FD182A}" type="TxLink">
            <a:rPr lang="en-US" sz="3200" b="1" i="0" u="none" strike="noStrike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Gruppenweite Instandhaltung</a:t>
          </a:fld>
          <a:endParaRPr lang="de-DE" sz="4400" b="1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190499</xdr:colOff>
      <xdr:row>41</xdr:row>
      <xdr:rowOff>170628</xdr:rowOff>
    </xdr:from>
    <xdr:to>
      <xdr:col>1</xdr:col>
      <xdr:colOff>7946571</xdr:colOff>
      <xdr:row>92</xdr:row>
      <xdr:rowOff>47867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247C0A4-CFFA-C3FE-92F9-A9B12DC52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2037163</xdr:colOff>
      <xdr:row>16</xdr:row>
      <xdr:rowOff>61570</xdr:rowOff>
    </xdr:from>
    <xdr:to>
      <xdr:col>1</xdr:col>
      <xdr:colOff>5100338</xdr:colOff>
      <xdr:row>32</xdr:row>
      <xdr:rowOff>79838</xdr:rowOff>
    </xdr:to>
    <xdr:sp macro="" textlink="Dashboard!AA1">
      <xdr:nvSpPr>
        <xdr:cNvPr id="105" name="Ellipse 104">
          <a:extLst>
            <a:ext uri="{FF2B5EF4-FFF2-40B4-BE49-F238E27FC236}">
              <a16:creationId xmlns:a16="http://schemas.microsoft.com/office/drawing/2014/main" id="{4490093A-CA52-90F5-F983-1AA92ACC7706}"/>
            </a:ext>
          </a:extLst>
        </xdr:cNvPr>
        <xdr:cNvSpPr/>
      </xdr:nvSpPr>
      <xdr:spPr>
        <a:xfrm>
          <a:off x="3343449" y="5803784"/>
          <a:ext cx="3063175" cy="3066268"/>
        </a:xfrm>
        <a:prstGeom prst="ellipse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301B87-1BAD-4475-8F36-1AAABA614EA4}" type="TxLink">
            <a:rPr lang="en-US" sz="4400" b="1" i="0" u="none" strike="noStrike" kern="1200">
              <a:solidFill>
                <a:schemeClr val="bg1"/>
              </a:solidFill>
              <a:latin typeface="Aptos Narrow"/>
            </a:rPr>
            <a:pPr algn="ctr"/>
            <a:t>100%</a:t>
          </a:fld>
          <a:endParaRPr lang="de-DE" sz="44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611102</xdr:colOff>
      <xdr:row>39</xdr:row>
      <xdr:rowOff>4117</xdr:rowOff>
    </xdr:from>
    <xdr:to>
      <xdr:col>1</xdr:col>
      <xdr:colOff>1836737</xdr:colOff>
      <xdr:row>43</xdr:row>
      <xdr:rowOff>9364</xdr:rowOff>
    </xdr:to>
    <xdr:sp macro="" textlink="">
      <xdr:nvSpPr>
        <xdr:cNvPr id="106" name="Textfeld 105">
          <a:extLst>
            <a:ext uri="{FF2B5EF4-FFF2-40B4-BE49-F238E27FC236}">
              <a16:creationId xmlns:a16="http://schemas.microsoft.com/office/drawing/2014/main" id="{ECC8F03A-7BEA-46EF-9E77-DA29A58691F6}"/>
            </a:ext>
          </a:extLst>
        </xdr:cNvPr>
        <xdr:cNvSpPr txBox="1"/>
      </xdr:nvSpPr>
      <xdr:spPr>
        <a:xfrm>
          <a:off x="611102" y="10481617"/>
          <a:ext cx="2613564" cy="767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i="0" u="none" strike="noStrike" kern="1200">
              <a:solidFill>
                <a:schemeClr val="bg1"/>
              </a:solidFill>
              <a:latin typeface="Arial"/>
              <a:cs typeface="Arial"/>
            </a:rPr>
            <a:t>Kosten IST</a:t>
          </a:r>
        </a:p>
      </xdr:txBody>
    </xdr:sp>
    <xdr:clientData/>
  </xdr:twoCellAnchor>
  <xdr:twoCellAnchor>
    <xdr:from>
      <xdr:col>0</xdr:col>
      <xdr:colOff>621058</xdr:colOff>
      <xdr:row>42</xdr:row>
      <xdr:rowOff>99715</xdr:rowOff>
    </xdr:from>
    <xdr:to>
      <xdr:col>1</xdr:col>
      <xdr:colOff>2381249</xdr:colOff>
      <xdr:row>46</xdr:row>
      <xdr:rowOff>151777</xdr:rowOff>
    </xdr:to>
    <xdr:sp macro="" textlink="">
      <xdr:nvSpPr>
        <xdr:cNvPr id="107" name="Textfeld 106">
          <a:extLst>
            <a:ext uri="{FF2B5EF4-FFF2-40B4-BE49-F238E27FC236}">
              <a16:creationId xmlns:a16="http://schemas.microsoft.com/office/drawing/2014/main" id="{C09B6EB5-3444-4A33-81D6-CAE8E35F97EE}"/>
            </a:ext>
          </a:extLst>
        </xdr:cNvPr>
        <xdr:cNvSpPr txBox="1"/>
      </xdr:nvSpPr>
      <xdr:spPr>
        <a:xfrm>
          <a:off x="621058" y="11148715"/>
          <a:ext cx="3148120" cy="814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 i="0" u="none" strike="noStrike" kern="1200">
              <a:solidFill>
                <a:schemeClr val="bg1"/>
              </a:solidFill>
              <a:latin typeface="Arial"/>
              <a:cs typeface="Arial"/>
            </a:rPr>
            <a:t>Kosten SOLL</a:t>
          </a:r>
        </a:p>
      </xdr:txBody>
    </xdr:sp>
    <xdr:clientData/>
  </xdr:twoCellAnchor>
  <xdr:twoCellAnchor>
    <xdr:from>
      <xdr:col>19</xdr:col>
      <xdr:colOff>3730217</xdr:colOff>
      <xdr:row>9</xdr:row>
      <xdr:rowOff>85280</xdr:rowOff>
    </xdr:from>
    <xdr:to>
      <xdr:col>20</xdr:col>
      <xdr:colOff>6448430</xdr:colOff>
      <xdr:row>77</xdr:row>
      <xdr:rowOff>163565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548541C-FA2D-46CA-8A69-B6E054E01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102510</xdr:colOff>
      <xdr:row>9</xdr:row>
      <xdr:rowOff>102512</xdr:rowOff>
    </xdr:from>
    <xdr:to>
      <xdr:col>19</xdr:col>
      <xdr:colOff>3361874</xdr:colOff>
      <xdr:row>79</xdr:row>
      <xdr:rowOff>160342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B2E59A-87DB-4BA1-8A9A-4CC0FD80A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3456214</xdr:colOff>
      <xdr:row>3</xdr:row>
      <xdr:rowOff>106600</xdr:rowOff>
    </xdr:from>
    <xdr:to>
      <xdr:col>20</xdr:col>
      <xdr:colOff>5225142</xdr:colOff>
      <xdr:row>5</xdr:row>
      <xdr:rowOff>241756</xdr:rowOff>
    </xdr:to>
    <xdr:sp macro="[0]!Go_Start" textlink="">
      <xdr:nvSpPr>
        <xdr:cNvPr id="95" name="Pfeil: nach links 94">
          <a:extLst>
            <a:ext uri="{FF2B5EF4-FFF2-40B4-BE49-F238E27FC236}">
              <a16:creationId xmlns:a16="http://schemas.microsoft.com/office/drawing/2014/main" id="{4A965FEB-8BDB-4E6D-80EA-E1C9B6874960}"/>
            </a:ext>
          </a:extLst>
        </xdr:cNvPr>
        <xdr:cNvSpPr/>
      </xdr:nvSpPr>
      <xdr:spPr>
        <a:xfrm>
          <a:off x="48169285" y="2229314"/>
          <a:ext cx="1768928" cy="133258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Zurück</a:t>
          </a:r>
        </a:p>
      </xdr:txBody>
    </xdr:sp>
    <xdr:clientData/>
  </xdr:twoCellAnchor>
  <xdr:twoCellAnchor editAs="oneCell">
    <xdr:from>
      <xdr:col>19</xdr:col>
      <xdr:colOff>3380672</xdr:colOff>
      <xdr:row>5</xdr:row>
      <xdr:rowOff>411392</xdr:rowOff>
    </xdr:from>
    <xdr:to>
      <xdr:col>19</xdr:col>
      <xdr:colOff>4416019</xdr:colOff>
      <xdr:row>10</xdr:row>
      <xdr:rowOff>167080</xdr:rowOff>
    </xdr:to>
    <xdr:pic macro="[0]!AllePivotsAktualisieren">
      <xdr:nvPicPr>
        <xdr:cNvPr id="8" name="Grafik 7" descr="Aktualisieren mit einfarbiger Füllung">
          <a:extLst>
            <a:ext uri="{FF2B5EF4-FFF2-40B4-BE49-F238E27FC236}">
              <a16:creationId xmlns:a16="http://schemas.microsoft.com/office/drawing/2014/main" id="{42B97425-28B6-3A95-E312-09AF8B985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255029" y="3731535"/>
          <a:ext cx="1032172" cy="10284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136071</xdr:rowOff>
    </xdr:from>
    <xdr:to>
      <xdr:col>18</xdr:col>
      <xdr:colOff>324000</xdr:colOff>
      <xdr:row>100</xdr:row>
      <xdr:rowOff>76071</xdr:rowOff>
    </xdr:to>
    <xdr:sp macro="" textlink="">
      <xdr:nvSpPr>
        <xdr:cNvPr id="25" name="Rechteck: abgerundete Ecken 24">
          <a:extLst>
            <a:ext uri="{FF2B5EF4-FFF2-40B4-BE49-F238E27FC236}">
              <a16:creationId xmlns:a16="http://schemas.microsoft.com/office/drawing/2014/main" id="{F8899488-60BD-4C4D-A40E-AA9F9AF4C8B6}"/>
            </a:ext>
          </a:extLst>
        </xdr:cNvPr>
        <xdr:cNvSpPr/>
      </xdr:nvSpPr>
      <xdr:spPr>
        <a:xfrm>
          <a:off x="0" y="2422071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21</xdr:col>
      <xdr:colOff>43541</xdr:colOff>
      <xdr:row>12</xdr:row>
      <xdr:rowOff>125187</xdr:rowOff>
    </xdr:from>
    <xdr:to>
      <xdr:col>39</xdr:col>
      <xdr:colOff>367541</xdr:colOff>
      <xdr:row>100</xdr:row>
      <xdr:rowOff>65187</xdr:rowOff>
    </xdr:to>
    <xdr:sp macro="" textlink="">
      <xdr:nvSpPr>
        <xdr:cNvPr id="26" name="Rechteck: abgerundete Ecken 25">
          <a:extLst>
            <a:ext uri="{FF2B5EF4-FFF2-40B4-BE49-F238E27FC236}">
              <a16:creationId xmlns:a16="http://schemas.microsoft.com/office/drawing/2014/main" id="{89503BB3-5AF2-4EF8-8B7C-BE2CCF4DCA4E}"/>
            </a:ext>
          </a:extLst>
        </xdr:cNvPr>
        <xdr:cNvSpPr/>
      </xdr:nvSpPr>
      <xdr:spPr>
        <a:xfrm>
          <a:off x="16045541" y="2411187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42</xdr:col>
      <xdr:colOff>168733</xdr:colOff>
      <xdr:row>12</xdr:row>
      <xdr:rowOff>141515</xdr:rowOff>
    </xdr:from>
    <xdr:to>
      <xdr:col>60</xdr:col>
      <xdr:colOff>492733</xdr:colOff>
      <xdr:row>100</xdr:row>
      <xdr:rowOff>81515</xdr:rowOff>
    </xdr:to>
    <xdr:sp macro="" textlink="">
      <xdr:nvSpPr>
        <xdr:cNvPr id="27" name="Rechteck: abgerundete Ecken 26">
          <a:extLst>
            <a:ext uri="{FF2B5EF4-FFF2-40B4-BE49-F238E27FC236}">
              <a16:creationId xmlns:a16="http://schemas.microsoft.com/office/drawing/2014/main" id="{77DD794D-BD2A-4066-AD49-11CD4F52FDAA}"/>
            </a:ext>
          </a:extLst>
        </xdr:cNvPr>
        <xdr:cNvSpPr/>
      </xdr:nvSpPr>
      <xdr:spPr>
        <a:xfrm>
          <a:off x="32172733" y="2427515"/>
          <a:ext cx="14040000" cy="16704000"/>
        </a:xfrm>
        <a:prstGeom prst="roundRect">
          <a:avLst/>
        </a:prstGeom>
        <a:solidFill>
          <a:schemeClr val="bg2">
            <a:lumMod val="90000"/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kern="1200"/>
        </a:p>
      </xdr:txBody>
    </xdr:sp>
    <xdr:clientData/>
  </xdr:twoCellAnchor>
  <xdr:twoCellAnchor>
    <xdr:from>
      <xdr:col>48</xdr:col>
      <xdr:colOff>153048</xdr:colOff>
      <xdr:row>16</xdr:row>
      <xdr:rowOff>46361</xdr:rowOff>
    </xdr:from>
    <xdr:to>
      <xdr:col>54</xdr:col>
      <xdr:colOff>367425</xdr:colOff>
      <xdr:row>24</xdr:row>
      <xdr:rowOff>166103</xdr:rowOff>
    </xdr:to>
    <xdr:sp macro="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EDCB585E-3440-4F5A-AD14-C594765C1E11}"/>
            </a:ext>
          </a:extLst>
        </xdr:cNvPr>
        <xdr:cNvSpPr/>
      </xdr:nvSpPr>
      <xdr:spPr>
        <a:xfrm>
          <a:off x="36729048" y="3094361"/>
          <a:ext cx="4786377" cy="164374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Benny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26</xdr:col>
      <xdr:colOff>558053</xdr:colOff>
      <xdr:row>16</xdr:row>
      <xdr:rowOff>59933</xdr:rowOff>
    </xdr:from>
    <xdr:to>
      <xdr:col>33</xdr:col>
      <xdr:colOff>10430</xdr:colOff>
      <xdr:row>24</xdr:row>
      <xdr:rowOff>129919</xdr:rowOff>
    </xdr:to>
    <xdr:sp macro="" textlink="">
      <xdr:nvSpPr>
        <xdr:cNvPr id="3" name="Rechteck: abgerundete Ecken 2">
          <a:extLst>
            <a:ext uri="{FF2B5EF4-FFF2-40B4-BE49-F238E27FC236}">
              <a16:creationId xmlns:a16="http://schemas.microsoft.com/office/drawing/2014/main" id="{BF7F4BB1-8922-4932-8AAE-6C6BC83D76FB}"/>
            </a:ext>
          </a:extLst>
        </xdr:cNvPr>
        <xdr:cNvSpPr/>
      </xdr:nvSpPr>
      <xdr:spPr>
        <a:xfrm>
          <a:off x="20370053" y="3107933"/>
          <a:ext cx="4786377" cy="159398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Linda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5</xdr:col>
      <xdr:colOff>174172</xdr:colOff>
      <xdr:row>16</xdr:row>
      <xdr:rowOff>1019</xdr:rowOff>
    </xdr:from>
    <xdr:to>
      <xdr:col>11</xdr:col>
      <xdr:colOff>388549</xdr:colOff>
      <xdr:row>24</xdr:row>
      <xdr:rowOff>120761</xdr:rowOff>
    </xdr:to>
    <xdr:sp macro="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A950E92A-4C58-4559-8D42-061C67F59084}"/>
            </a:ext>
          </a:extLst>
        </xdr:cNvPr>
        <xdr:cNvSpPr/>
      </xdr:nvSpPr>
      <xdr:spPr>
        <a:xfrm>
          <a:off x="3984172" y="3049019"/>
          <a:ext cx="4786377" cy="164374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600" b="1" kern="1200">
              <a:solidFill>
                <a:sysClr val="windowText" lastClr="000000"/>
              </a:solidFill>
            </a:rPr>
            <a:t>Jose</a:t>
          </a: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>
            <a:solidFill>
              <a:sysClr val="windowText" lastClr="000000"/>
            </a:solidFill>
          </a:endParaRPr>
        </a:p>
        <a:p>
          <a:pPr algn="ctr"/>
          <a:endParaRPr lang="de-DE" sz="9600" kern="1200"/>
        </a:p>
      </xdr:txBody>
    </xdr:sp>
    <xdr:clientData/>
  </xdr:twoCellAnchor>
  <xdr:twoCellAnchor>
    <xdr:from>
      <xdr:col>0</xdr:col>
      <xdr:colOff>1</xdr:colOff>
      <xdr:row>0</xdr:row>
      <xdr:rowOff>47625</xdr:rowOff>
    </xdr:from>
    <xdr:to>
      <xdr:col>9</xdr:col>
      <xdr:colOff>734787</xdr:colOff>
      <xdr:row>6</xdr:row>
      <xdr:rowOff>136071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586953E1-76E1-42DC-AEE6-0B4B348603B8}"/>
            </a:ext>
          </a:extLst>
        </xdr:cNvPr>
        <xdr:cNvSpPr txBox="1"/>
      </xdr:nvSpPr>
      <xdr:spPr>
        <a:xfrm>
          <a:off x="1" y="47625"/>
          <a:ext cx="7592786" cy="1231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7200" b="1" kern="1200">
              <a:solidFill>
                <a:schemeClr val="bg1"/>
              </a:solidFill>
            </a:rPr>
            <a:t>Projektplaner OXC1</a:t>
          </a:r>
        </a:p>
      </xdr:txBody>
    </xdr:sp>
    <xdr:clientData/>
  </xdr:twoCellAnchor>
  <xdr:twoCellAnchor>
    <xdr:from>
      <xdr:col>0</xdr:col>
      <xdr:colOff>302687</xdr:colOff>
      <xdr:row>26</xdr:row>
      <xdr:rowOff>16328</xdr:rowOff>
    </xdr:from>
    <xdr:to>
      <xdr:col>17</xdr:col>
      <xdr:colOff>578729</xdr:colOff>
      <xdr:row>95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222DD489-AD4A-4E7A-9624-9C89CAF5A0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360136</xdr:colOff>
      <xdr:row>26</xdr:row>
      <xdr:rowOff>33564</xdr:rowOff>
    </xdr:from>
    <xdr:to>
      <xdr:col>38</xdr:col>
      <xdr:colOff>636178</xdr:colOff>
      <xdr:row>95</xdr:row>
      <xdr:rowOff>112539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64864D8F-226B-45D2-9E1E-E36CCC599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605072</xdr:colOff>
      <xdr:row>26</xdr:row>
      <xdr:rowOff>-1</xdr:rowOff>
    </xdr:from>
    <xdr:to>
      <xdr:col>60</xdr:col>
      <xdr:colOff>113822</xdr:colOff>
      <xdr:row>95</xdr:row>
      <xdr:rowOff>144624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E7C50B70-6487-4A1C-B2C8-C9BE8008C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163285</xdr:colOff>
      <xdr:row>18</xdr:row>
      <xdr:rowOff>0</xdr:rowOff>
    </xdr:from>
    <xdr:to>
      <xdr:col>20</xdr:col>
      <xdr:colOff>428468</xdr:colOff>
      <xdr:row>23</xdr:row>
      <xdr:rowOff>79084</xdr:rowOff>
    </xdr:to>
    <xdr:pic macro="[0]!AllePivotsAktualisieren">
      <xdr:nvPicPr>
        <xdr:cNvPr id="20" name="Grafik 19" descr="Aktualisieren mit einfarbiger Füllung">
          <a:extLst>
            <a:ext uri="{FF2B5EF4-FFF2-40B4-BE49-F238E27FC236}">
              <a16:creationId xmlns:a16="http://schemas.microsoft.com/office/drawing/2014/main" id="{40184A20-E608-4182-BEEE-7ABCE168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641285" y="3429000"/>
          <a:ext cx="1027183" cy="1031584"/>
        </a:xfrm>
        <a:prstGeom prst="rect">
          <a:avLst/>
        </a:prstGeom>
      </xdr:spPr>
    </xdr:pic>
    <xdr:clientData/>
  </xdr:twoCellAnchor>
  <xdr:twoCellAnchor editAs="oneCell">
    <xdr:from>
      <xdr:col>40</xdr:col>
      <xdr:colOff>232531</xdr:colOff>
      <xdr:row>18</xdr:row>
      <xdr:rowOff>39312</xdr:rowOff>
    </xdr:from>
    <xdr:to>
      <xdr:col>41</xdr:col>
      <xdr:colOff>500889</xdr:colOff>
      <xdr:row>23</xdr:row>
      <xdr:rowOff>124746</xdr:rowOff>
    </xdr:to>
    <xdr:pic macro="[0]!AllePivotsAktualisieren">
      <xdr:nvPicPr>
        <xdr:cNvPr id="21" name="Grafik 20" descr="Aktualisieren mit einfarbiger Füllung">
          <a:extLst>
            <a:ext uri="{FF2B5EF4-FFF2-40B4-BE49-F238E27FC236}">
              <a16:creationId xmlns:a16="http://schemas.microsoft.com/office/drawing/2014/main" id="{A2CA73E4-699E-4CD4-AF8F-C04E6967D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712531" y="3468312"/>
          <a:ext cx="1030358" cy="1037934"/>
        </a:xfrm>
        <a:prstGeom prst="rect">
          <a:avLst/>
        </a:prstGeom>
      </xdr:spPr>
    </xdr:pic>
    <xdr:clientData/>
  </xdr:twoCellAnchor>
  <xdr:twoCellAnchor>
    <xdr:from>
      <xdr:col>62</xdr:col>
      <xdr:colOff>407850</xdr:colOff>
      <xdr:row>12</xdr:row>
      <xdr:rowOff>55218</xdr:rowOff>
    </xdr:from>
    <xdr:to>
      <xdr:col>64</xdr:col>
      <xdr:colOff>645370</xdr:colOff>
      <xdr:row>19</xdr:row>
      <xdr:rowOff>97693</xdr:rowOff>
    </xdr:to>
    <xdr:sp macro="[0]!Go_Start" textlink="">
      <xdr:nvSpPr>
        <xdr:cNvPr id="22" name="Pfeil: nach links 21">
          <a:extLst>
            <a:ext uri="{FF2B5EF4-FFF2-40B4-BE49-F238E27FC236}">
              <a16:creationId xmlns:a16="http://schemas.microsoft.com/office/drawing/2014/main" id="{E08B80DB-1339-4BF7-BDCB-0E37276546F4}"/>
            </a:ext>
          </a:extLst>
        </xdr:cNvPr>
        <xdr:cNvSpPr/>
      </xdr:nvSpPr>
      <xdr:spPr>
        <a:xfrm>
          <a:off x="50048285" y="2374348"/>
          <a:ext cx="1838824" cy="1395302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kern="1200"/>
            <a:t>Zurück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2</xdr:row>
      <xdr:rowOff>23811</xdr:rowOff>
    </xdr:from>
    <xdr:to>
      <xdr:col>8</xdr:col>
      <xdr:colOff>561975</xdr:colOff>
      <xdr:row>17</xdr:row>
      <xdr:rowOff>123824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8A93BA-C2FF-138D-F390-3F338BB28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0</xdr:rowOff>
    </xdr:from>
    <xdr:to>
      <xdr:col>1</xdr:col>
      <xdr:colOff>1410075</xdr:colOff>
      <xdr:row>11</xdr:row>
      <xdr:rowOff>0</xdr:rowOff>
    </xdr:to>
    <xdr:sp macro="[0]!ProjektSpeichern" textlink="">
      <xdr:nvSpPr>
        <xdr:cNvPr id="2" name="Rechteck 1">
          <a:extLst>
            <a:ext uri="{FF2B5EF4-FFF2-40B4-BE49-F238E27FC236}">
              <a16:creationId xmlns:a16="http://schemas.microsoft.com/office/drawing/2014/main" id="{89EA64A1-ACB0-4D74-B11A-8EDA7D94826A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0</xdr:row>
      <xdr:rowOff>9525</xdr:rowOff>
    </xdr:from>
    <xdr:to>
      <xdr:col>3</xdr:col>
      <xdr:colOff>755025</xdr:colOff>
      <xdr:row>1</xdr:row>
      <xdr:rowOff>16125</xdr:rowOff>
    </xdr:to>
    <xdr:sp macro="[0]!Go_Start" textlink="">
      <xdr:nvSpPr>
        <xdr:cNvPr id="3" name="Pfeil: nach links 2">
          <a:extLst>
            <a:ext uri="{FF2B5EF4-FFF2-40B4-BE49-F238E27FC236}">
              <a16:creationId xmlns:a16="http://schemas.microsoft.com/office/drawing/2014/main" id="{9B4CF60A-0010-43E1-B66C-BE1294B71799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10</xdr:row>
      <xdr:rowOff>0</xdr:rowOff>
    </xdr:from>
    <xdr:to>
      <xdr:col>1</xdr:col>
      <xdr:colOff>1410075</xdr:colOff>
      <xdr:row>14</xdr:row>
      <xdr:rowOff>0</xdr:rowOff>
    </xdr:to>
    <xdr:sp macro="[0]!ZeitSpeichern" textlink="">
      <xdr:nvSpPr>
        <xdr:cNvPr id="2" name="Rechteck 1">
          <a:extLst>
            <a:ext uri="{FF2B5EF4-FFF2-40B4-BE49-F238E27FC236}">
              <a16:creationId xmlns:a16="http://schemas.microsoft.com/office/drawing/2014/main" id="{54701299-B585-D86A-5597-9CF29E53D45C}"/>
            </a:ext>
          </a:extLst>
        </xdr:cNvPr>
        <xdr:cNvSpPr/>
      </xdr:nvSpPr>
      <xdr:spPr>
        <a:xfrm>
          <a:off x="95250" y="2809875"/>
          <a:ext cx="3096000" cy="126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 kern="1200"/>
            <a:t>Speichern</a:t>
          </a:r>
        </a:p>
      </xdr:txBody>
    </xdr:sp>
    <xdr:clientData/>
  </xdr:twoCellAnchor>
  <xdr:twoCellAnchor>
    <xdr:from>
      <xdr:col>2</xdr:col>
      <xdr:colOff>581025</xdr:colOff>
      <xdr:row>1</xdr:row>
      <xdr:rowOff>9525</xdr:rowOff>
    </xdr:from>
    <xdr:to>
      <xdr:col>3</xdr:col>
      <xdr:colOff>755025</xdr:colOff>
      <xdr:row>3</xdr:row>
      <xdr:rowOff>16125</xdr:rowOff>
    </xdr:to>
    <xdr:sp macro="[0]!Go_Start" textlink="">
      <xdr:nvSpPr>
        <xdr:cNvPr id="4" name="Pfeil: nach links 3">
          <a:extLst>
            <a:ext uri="{FF2B5EF4-FFF2-40B4-BE49-F238E27FC236}">
              <a16:creationId xmlns:a16="http://schemas.microsoft.com/office/drawing/2014/main" id="{AEF95B9E-4AD4-3E25-D30F-EF45B6A0E476}"/>
            </a:ext>
          </a:extLst>
        </xdr:cNvPr>
        <xdr:cNvSpPr/>
      </xdr:nvSpPr>
      <xdr:spPr>
        <a:xfrm>
          <a:off x="5876925" y="9525"/>
          <a:ext cx="936000" cy="540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kern="1200"/>
            <a:t>Zurück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rugalla, Bernhard" refreshedDate="46294.343923726854" createdVersion="8" refreshedVersion="8" minRefreshableVersion="3" recordCount="180" xr:uid="{A417F20D-C327-4795-860E-8965246E06F4}">
  <cacheSource type="worksheet">
    <worksheetSource name="Auswertung"/>
  </cacheSource>
  <cacheFields count="6">
    <cacheField name="Projekt" numFmtId="0">
      <sharedItems containsBlank="1" count="15">
        <s v="Verlustauswertung"/>
        <s v="Diverse Themen / Unterstützungen"/>
        <s v="Gruppenweite Instandhaltung"/>
        <s v="Projekt Buchbusch"/>
        <s v="Projekt Vertrieb mb - Lean Admin"/>
        <s v="Stabilisierung Instandhaltung WI-Mex"/>
        <s v="Predictive Maintenance allg."/>
        <m/>
        <s v="SAP S4"/>
        <s v="Aufbau eines Globalen Produktionsnetzwerkes"/>
        <s v="Führung"/>
        <s v="BCM"/>
        <s v="Buchbusch" u="1"/>
        <s v="Analyseprogramm zur Überwachung von Maschinen" u="1"/>
        <s v="Predictive Maintenance SIM Pressen Emulsion" u="1"/>
      </sharedItems>
    </cacheField>
    <cacheField name="Person" numFmtId="0">
      <sharedItems containsBlank="1" count="8">
        <s v="Linda"/>
        <s v="Jose"/>
        <s v="Benny"/>
        <m/>
        <s v="nn1" u="1"/>
        <s v="Lisa" u="1"/>
        <s v="Nona" u="1"/>
        <s v="Markus" u="1"/>
      </sharedItems>
    </cacheField>
    <cacheField name="Stunden (gearbeitet)" numFmtId="0">
      <sharedItems containsString="0" containsBlank="1" containsNumber="1" minValue="0.5" maxValue="60"/>
    </cacheField>
    <cacheField name="Notiz" numFmtId="0">
      <sharedItems containsDate="1" containsBlank="1" containsMixedTypes="1" minDate="2026-03-09T00:00:00" maxDate="2026-04-18T00:00:00"/>
    </cacheField>
    <cacheField name="Kosten (bezahlt)" numFmtId="0">
      <sharedItems containsString="0" containsBlank="1" containsNumber="1" containsInteger="1" minValue="0" maxValue="0"/>
    </cacheField>
    <cacheField name="Datum" numFmtId="0">
      <sharedItems containsNonDate="0" containsDate="1" containsString="0" containsBlank="1" minDate="2026-02-25T00:00:00" maxDate="2026-09-29T00:00:00" count="84">
        <d v="2026-03-09T00:00:00"/>
        <d v="2026-03-18T00:00:00"/>
        <d v="2026-03-04T00:00:00"/>
        <d v="2026-03-06T00:00:00"/>
        <d v="2026-03-10T00:00:00"/>
        <d v="2026-03-11T00:00:00"/>
        <d v="2026-03-13T00:00:00"/>
        <d v="2026-03-26T00:00:00"/>
        <d v="2026-03-19T00:00:00"/>
        <d v="2026-03-24T00:00:00"/>
        <d v="2026-03-02T00:00:00"/>
        <d v="2026-03-17T00:00:00"/>
        <d v="2026-03-05T00:00:00"/>
        <d v="2026-03-16T00:00:00"/>
        <d v="2026-03-12T00:00:00"/>
        <d v="2026-03-25T00:00:00"/>
        <d v="2026-03-23T00:00:00"/>
        <m/>
        <d v="2026-03-20T00:00:00"/>
        <d v="2026-03-31T00:00:00"/>
        <d v="2026-03-27T00:00:00"/>
        <d v="2026-04-02T00:00:00"/>
        <d v="2026-04-08T00:00:00"/>
        <d v="2026-04-10T00:00:00"/>
        <d v="2026-04-14T00:00:00"/>
        <d v="2026-04-13T00:00:00"/>
        <d v="2026-04-15T00:00:00"/>
        <d v="2026-04-20T00:00:00"/>
        <d v="2026-04-21T00:00:00"/>
        <d v="2026-05-11T00:00:00"/>
        <d v="2026-05-13T00:00:00"/>
        <d v="2026-05-22T00:00:00"/>
        <d v="2026-04-17T00:00:00"/>
        <d v="2026-04-24T00:00:00"/>
        <d v="2026-05-30T00:00:00"/>
        <d v="2026-05-08T00:00:00"/>
        <d v="2026-05-12T00:00:00"/>
        <d v="2026-05-28T00:00:00"/>
        <d v="2026-04-22T00:00:00"/>
        <d v="2026-04-23T00:00:00"/>
        <d v="2026-05-05T00:00:00"/>
        <d v="2026-05-18T00:00:00"/>
        <d v="2026-05-20T00:00:00"/>
        <d v="2026-05-21T00:00:00"/>
        <d v="2026-05-27T00:00:00"/>
        <d v="2026-05-29T00:00:00"/>
        <d v="2026-06-03T00:00:00"/>
        <d v="2026-06-10T00:00:00"/>
        <d v="2026-06-12T00:00:00"/>
        <d v="2026-06-26T00:00:00"/>
        <d v="2026-06-19T00:00:00"/>
        <d v="2026-07-03T00:00:00"/>
        <d v="2026-07-10T00:00:00"/>
        <d v="2026-06-08T00:00:00"/>
        <d v="2026-06-11T00:00:00"/>
        <d v="2026-06-15T00:00:00"/>
        <d v="2026-06-16T00:00:00"/>
        <d v="2026-06-17T00:00:00"/>
        <d v="2026-06-18T00:00:00"/>
        <d v="2026-06-29T00:00:00"/>
        <d v="2026-06-30T00:00:00"/>
        <d v="2026-07-01T00:00:00"/>
        <d v="2026-07-02T00:00:00"/>
        <d v="2026-07-17T00:00:00"/>
        <d v="2026-07-09T00:00:00"/>
        <d v="2026-07-08T00:00:00"/>
        <d v="2026-07-07T00:00:00"/>
        <d v="2026-07-06T00:00:00"/>
        <d v="2026-07-24T00:00:00"/>
        <d v="2026-08-13T00:00:00"/>
        <d v="2026-09-07T00:00:00"/>
        <d v="2026-09-11T00:00:00"/>
        <d v="2026-09-16T00:00:00"/>
        <d v="2026-09-17T00:00:00"/>
        <d v="2026-09-14T00:00:00"/>
        <d v="2026-09-28T00:00:00"/>
        <d v="2026-09-23T00:00:00"/>
        <d v="2026-09-24T00:00:00"/>
        <d v="2026-09-15T00:00:00"/>
        <d v="2026-09-18T00:00:00"/>
        <d v="2026-09-22T00:00:00"/>
        <d v="2026-05-24T00:00:00" u="1"/>
        <d v="2026-04-27T00:00:00" u="1"/>
        <d v="2026-02-25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  <n v="1.5"/>
    <d v="2026-03-09T00:00:00"/>
    <n v="0"/>
    <x v="0"/>
  </r>
  <r>
    <x v="0"/>
    <x v="0"/>
    <n v="3.5"/>
    <d v="2026-03-13T00:00:00"/>
    <n v="0"/>
    <x v="1"/>
  </r>
  <r>
    <x v="0"/>
    <x v="0"/>
    <n v="1"/>
    <s v="03.03.2026"/>
    <n v="0"/>
    <x v="2"/>
  </r>
  <r>
    <x v="0"/>
    <x v="0"/>
    <n v="6.5"/>
    <s v="04.03.2026"/>
    <n v="0"/>
    <x v="2"/>
  </r>
  <r>
    <x v="0"/>
    <x v="0"/>
    <n v="4.5"/>
    <s v="06.03.2026"/>
    <n v="0"/>
    <x v="3"/>
  </r>
  <r>
    <x v="0"/>
    <x v="0"/>
    <n v="5"/>
    <s v="10.03.2026"/>
    <n v="0"/>
    <x v="4"/>
  </r>
  <r>
    <x v="0"/>
    <x v="0"/>
    <n v="6.5"/>
    <s v="11.03.2026"/>
    <n v="0"/>
    <x v="5"/>
  </r>
  <r>
    <x v="0"/>
    <x v="0"/>
    <n v="4"/>
    <s v="12.03.2026"/>
    <n v="0"/>
    <x v="6"/>
  </r>
  <r>
    <x v="0"/>
    <x v="0"/>
    <n v="1"/>
    <s v="13.03.2026"/>
    <n v="0"/>
    <x v="6"/>
  </r>
  <r>
    <x v="0"/>
    <x v="1"/>
    <n v="2"/>
    <s v="16.03.2026"/>
    <n v="0"/>
    <x v="6"/>
  </r>
  <r>
    <x v="0"/>
    <x v="0"/>
    <n v="4.5"/>
    <s v="16.03.2026"/>
    <n v="0"/>
    <x v="7"/>
  </r>
  <r>
    <x v="0"/>
    <x v="0"/>
    <n v="6.5"/>
    <s v="17.03.2026"/>
    <n v="0"/>
    <x v="1"/>
  </r>
  <r>
    <x v="0"/>
    <x v="0"/>
    <n v="8.5"/>
    <s v="18.03.2026"/>
    <n v="0"/>
    <x v="1"/>
  </r>
  <r>
    <x v="0"/>
    <x v="0"/>
    <n v="7"/>
    <s v="19.03.2026"/>
    <n v="0"/>
    <x v="8"/>
  </r>
  <r>
    <x v="0"/>
    <x v="0"/>
    <n v="3.5"/>
    <s v="23.03.2026"/>
    <n v="0"/>
    <x v="9"/>
  </r>
  <r>
    <x v="0"/>
    <x v="0"/>
    <n v="6.5"/>
    <s v="24.03.2026"/>
    <n v="0"/>
    <x v="7"/>
  </r>
  <r>
    <x v="0"/>
    <x v="0"/>
    <n v="4"/>
    <s v="25.03.2026"/>
    <n v="0"/>
    <x v="7"/>
  </r>
  <r>
    <x v="0"/>
    <x v="0"/>
    <n v="31.5"/>
    <s v="Abschätzung der Stunden seit KW 6"/>
    <n v="0"/>
    <x v="10"/>
  </r>
  <r>
    <x v="1"/>
    <x v="1"/>
    <n v="7"/>
    <s v="Administrative Themen"/>
    <n v="0"/>
    <x v="10"/>
  </r>
  <r>
    <x v="2"/>
    <x v="2"/>
    <n v="6"/>
    <s v="BCM / Anlagen"/>
    <n v="0"/>
    <x v="7"/>
  </r>
  <r>
    <x v="3"/>
    <x v="2"/>
    <n v="40"/>
    <s v="Buchbusch / Vistable / Betriebsmitteln"/>
    <n v="0"/>
    <x v="10"/>
  </r>
  <r>
    <x v="3"/>
    <x v="2"/>
    <n v="16"/>
    <s v="Equipments BB / Hub´s"/>
    <n v="0"/>
    <x v="11"/>
  </r>
  <r>
    <x v="4"/>
    <x v="0"/>
    <n v="10"/>
    <s v="Halb Tages Tagung &amp; Vorbereitung der Tagung"/>
    <n v="0"/>
    <x v="10"/>
  </r>
  <r>
    <x v="3"/>
    <x v="2"/>
    <n v="8"/>
    <s v="HUB,s Eguipment"/>
    <n v="0"/>
    <x v="0"/>
  </r>
  <r>
    <x v="2"/>
    <x v="2"/>
    <n v="6"/>
    <s v="Informationspool"/>
    <n v="0"/>
    <x v="12"/>
  </r>
  <r>
    <x v="3"/>
    <x v="2"/>
    <n v="60"/>
    <s v="Instandhaltungsprogramm OPRA"/>
    <n v="0"/>
    <x v="10"/>
  </r>
  <r>
    <x v="5"/>
    <x v="2"/>
    <n v="2"/>
    <s v="NC VPA"/>
    <n v="0"/>
    <x v="13"/>
  </r>
  <r>
    <x v="5"/>
    <x v="2"/>
    <n v="6"/>
    <s v="NC_VPA"/>
    <n v="0"/>
    <x v="4"/>
  </r>
  <r>
    <x v="3"/>
    <x v="2"/>
    <n v="8"/>
    <s v="Opra / Standardisierung der Wartungspläne"/>
    <n v="0"/>
    <x v="8"/>
  </r>
  <r>
    <x v="3"/>
    <x v="2"/>
    <n v="10"/>
    <s v="Opra / Wartungspläne"/>
    <n v="0"/>
    <x v="5"/>
  </r>
  <r>
    <x v="3"/>
    <x v="2"/>
    <n v="10"/>
    <s v="Opra-Wartungsplan-BSF"/>
    <n v="0"/>
    <x v="9"/>
  </r>
  <r>
    <x v="3"/>
    <x v="2"/>
    <n v="20"/>
    <s v="Planung Vistable / Opra"/>
    <n v="0"/>
    <x v="12"/>
  </r>
  <r>
    <x v="6"/>
    <x v="2"/>
    <n v="6"/>
    <s v="Rohrschweißen /Emulsion SIM"/>
    <n v="0"/>
    <x v="6"/>
  </r>
  <r>
    <x v="2"/>
    <x v="2"/>
    <n v="8"/>
    <s v="Strategie"/>
    <n v="0"/>
    <x v="1"/>
  </r>
  <r>
    <x v="2"/>
    <x v="2"/>
    <n v="10"/>
    <s v="Strategie / Vorgehesweise"/>
    <n v="0"/>
    <x v="14"/>
  </r>
  <r>
    <x v="0"/>
    <x v="0"/>
    <n v="3.5"/>
    <s v="Stunden für 02.03"/>
    <n v="0"/>
    <x v="10"/>
  </r>
  <r>
    <x v="5"/>
    <x v="2"/>
    <n v="2"/>
    <s v="VPA NC"/>
    <n v="0"/>
    <x v="15"/>
  </r>
  <r>
    <x v="3"/>
    <x v="2"/>
    <n v="22"/>
    <s v="Wartungspläne NFM"/>
    <n v="0"/>
    <x v="10"/>
  </r>
  <r>
    <x v="3"/>
    <x v="2"/>
    <n v="10"/>
    <s v="WSP-Equipments"/>
    <n v="0"/>
    <x v="16"/>
  </r>
  <r>
    <x v="1"/>
    <x v="1"/>
    <n v="20"/>
    <s v="Ziele 2026"/>
    <n v="0"/>
    <x v="3"/>
  </r>
  <r>
    <x v="7"/>
    <x v="3"/>
    <m/>
    <m/>
    <m/>
    <x v="17"/>
  </r>
  <r>
    <x v="8"/>
    <x v="1"/>
    <n v="2"/>
    <m/>
    <n v="0"/>
    <x v="10"/>
  </r>
  <r>
    <x v="1"/>
    <x v="2"/>
    <n v="4"/>
    <m/>
    <n v="0"/>
    <x v="12"/>
  </r>
  <r>
    <x v="8"/>
    <x v="1"/>
    <n v="20"/>
    <m/>
    <n v="0"/>
    <x v="3"/>
  </r>
  <r>
    <x v="1"/>
    <x v="1"/>
    <n v="35"/>
    <m/>
    <n v="0"/>
    <x v="6"/>
  </r>
  <r>
    <x v="9"/>
    <x v="1"/>
    <n v="25"/>
    <m/>
    <n v="0"/>
    <x v="18"/>
  </r>
  <r>
    <x v="1"/>
    <x v="1"/>
    <n v="25"/>
    <m/>
    <n v="0"/>
    <x v="18"/>
  </r>
  <r>
    <x v="9"/>
    <x v="1"/>
    <n v="15"/>
    <m/>
    <n v="0"/>
    <x v="19"/>
  </r>
  <r>
    <x v="10"/>
    <x v="1"/>
    <n v="8"/>
    <m/>
    <n v="0"/>
    <x v="20"/>
  </r>
  <r>
    <x v="2"/>
    <x v="1"/>
    <n v="4"/>
    <m/>
    <n v="0"/>
    <x v="20"/>
  </r>
  <r>
    <x v="1"/>
    <x v="1"/>
    <n v="13"/>
    <m/>
    <n v="0"/>
    <x v="20"/>
  </r>
  <r>
    <x v="10"/>
    <x v="1"/>
    <n v="4"/>
    <m/>
    <n v="0"/>
    <x v="21"/>
  </r>
  <r>
    <x v="0"/>
    <x v="1"/>
    <n v="4"/>
    <m/>
    <n v="0"/>
    <x v="21"/>
  </r>
  <r>
    <x v="2"/>
    <x v="1"/>
    <n v="4"/>
    <m/>
    <n v="0"/>
    <x v="21"/>
  </r>
  <r>
    <x v="9"/>
    <x v="1"/>
    <n v="6"/>
    <m/>
    <n v="0"/>
    <x v="21"/>
  </r>
  <r>
    <x v="5"/>
    <x v="1"/>
    <n v="2"/>
    <m/>
    <n v="0"/>
    <x v="21"/>
  </r>
  <r>
    <x v="1"/>
    <x v="1"/>
    <n v="4"/>
    <m/>
    <n v="0"/>
    <x v="21"/>
  </r>
  <r>
    <x v="0"/>
    <x v="0"/>
    <n v="4"/>
    <s v="26.03 Abschätzung"/>
    <n v="0"/>
    <x v="22"/>
  </r>
  <r>
    <x v="0"/>
    <x v="0"/>
    <n v="6"/>
    <s v="27.03.2026"/>
    <n v="0"/>
    <x v="22"/>
  </r>
  <r>
    <x v="0"/>
    <x v="0"/>
    <n v="2.5"/>
    <s v="30.03.2026"/>
    <n v="0"/>
    <x v="22"/>
  </r>
  <r>
    <x v="0"/>
    <x v="0"/>
    <n v="1"/>
    <s v="31.03.2026"/>
    <n v="0"/>
    <x v="22"/>
  </r>
  <r>
    <x v="0"/>
    <x v="0"/>
    <n v="4.5"/>
    <s v="01.04.2026"/>
    <n v="0"/>
    <x v="22"/>
  </r>
  <r>
    <x v="0"/>
    <x v="0"/>
    <n v="6"/>
    <s v="02.04.2026"/>
    <n v="0"/>
    <x v="22"/>
  </r>
  <r>
    <x v="0"/>
    <x v="0"/>
    <n v="7"/>
    <s v="07.04.2026"/>
    <n v="0"/>
    <x v="22"/>
  </r>
  <r>
    <x v="0"/>
    <x v="0"/>
    <n v="2.5"/>
    <s v="10.04.2026"/>
    <n v="0"/>
    <x v="23"/>
  </r>
  <r>
    <x v="0"/>
    <x v="0"/>
    <n v="8"/>
    <s v="08.04.2026"/>
    <n v="0"/>
    <x v="23"/>
  </r>
  <r>
    <x v="0"/>
    <x v="0"/>
    <n v="5"/>
    <s v="09.04.2026"/>
    <n v="0"/>
    <x v="23"/>
  </r>
  <r>
    <x v="0"/>
    <x v="0"/>
    <n v="2.75"/>
    <s v="13.04.2026"/>
    <n v="0"/>
    <x v="24"/>
  </r>
  <r>
    <x v="0"/>
    <x v="0"/>
    <n v="6.75"/>
    <s v="14.04.2026"/>
    <n v="0"/>
    <x v="24"/>
  </r>
  <r>
    <x v="3"/>
    <x v="2"/>
    <n v="8"/>
    <s v="HUB´s Planung"/>
    <n v="0"/>
    <x v="25"/>
  </r>
  <r>
    <x v="3"/>
    <x v="2"/>
    <n v="8"/>
    <s v="Opra"/>
    <n v="0"/>
    <x v="24"/>
  </r>
  <r>
    <x v="2"/>
    <x v="2"/>
    <n v="2"/>
    <s v="Standorte WI-CZ/Mex"/>
    <m/>
    <x v="26"/>
  </r>
  <r>
    <x v="2"/>
    <x v="2"/>
    <n v="7"/>
    <s v="Zustandanalyse"/>
    <n v="0"/>
    <x v="26"/>
  </r>
  <r>
    <x v="1"/>
    <x v="1"/>
    <n v="8"/>
    <m/>
    <n v="0"/>
    <x v="23"/>
  </r>
  <r>
    <x v="10"/>
    <x v="1"/>
    <n v="4"/>
    <m/>
    <n v="0"/>
    <x v="23"/>
  </r>
  <r>
    <x v="2"/>
    <x v="1"/>
    <n v="8"/>
    <m/>
    <n v="0"/>
    <x v="23"/>
  </r>
  <r>
    <x v="0"/>
    <x v="1"/>
    <n v="4"/>
    <m/>
    <n v="0"/>
    <x v="23"/>
  </r>
  <r>
    <x v="9"/>
    <x v="1"/>
    <n v="6"/>
    <m/>
    <n v="0"/>
    <x v="23"/>
  </r>
  <r>
    <x v="1"/>
    <x v="1"/>
    <n v="10"/>
    <m/>
    <n v="0"/>
    <x v="23"/>
  </r>
  <r>
    <x v="3"/>
    <x v="2"/>
    <n v="15"/>
    <s v="Opra / Hub´s / Instandhaltung Aufbau"/>
    <n v="0"/>
    <x v="27"/>
  </r>
  <r>
    <x v="2"/>
    <x v="2"/>
    <n v="14"/>
    <s v="Maschinenbewertung /BCM"/>
    <n v="0"/>
    <x v="28"/>
  </r>
  <r>
    <x v="0"/>
    <x v="0"/>
    <n v="6"/>
    <s v="16.04.2026"/>
    <n v="0"/>
    <x v="29"/>
  </r>
  <r>
    <x v="0"/>
    <x v="0"/>
    <n v="4"/>
    <d v="2026-04-17T00:00:00"/>
    <n v="0"/>
    <x v="29"/>
  </r>
  <r>
    <x v="0"/>
    <x v="0"/>
    <n v="4.5"/>
    <s v="11.05.2026"/>
    <n v="0"/>
    <x v="30"/>
  </r>
  <r>
    <x v="0"/>
    <x v="0"/>
    <n v="4"/>
    <s v="12.05.2026"/>
    <n v="0"/>
    <x v="30"/>
  </r>
  <r>
    <x v="0"/>
    <x v="0"/>
    <n v="4.5"/>
    <s v="13.05.2026"/>
    <n v="0"/>
    <x v="30"/>
  </r>
  <r>
    <x v="0"/>
    <x v="0"/>
    <n v="23.5"/>
    <s v="KW21"/>
    <n v="0"/>
    <x v="31"/>
  </r>
  <r>
    <x v="0"/>
    <x v="1"/>
    <n v="8"/>
    <m/>
    <n v="0"/>
    <x v="32"/>
  </r>
  <r>
    <x v="9"/>
    <x v="1"/>
    <n v="16"/>
    <m/>
    <n v="0"/>
    <x v="32"/>
  </r>
  <r>
    <x v="1"/>
    <x v="1"/>
    <n v="16"/>
    <m/>
    <n v="0"/>
    <x v="32"/>
  </r>
  <r>
    <x v="9"/>
    <x v="1"/>
    <n v="8"/>
    <m/>
    <n v="0"/>
    <x v="33"/>
  </r>
  <r>
    <x v="1"/>
    <x v="1"/>
    <n v="32"/>
    <m/>
    <n v="0"/>
    <x v="33"/>
  </r>
  <r>
    <x v="11"/>
    <x v="1"/>
    <n v="40"/>
    <m/>
    <n v="0"/>
    <x v="34"/>
  </r>
  <r>
    <x v="11"/>
    <x v="1"/>
    <n v="40"/>
    <m/>
    <n v="0"/>
    <x v="35"/>
  </r>
  <r>
    <x v="11"/>
    <x v="1"/>
    <n v="16"/>
    <m/>
    <n v="0"/>
    <x v="36"/>
  </r>
  <r>
    <x v="11"/>
    <x v="1"/>
    <n v="20"/>
    <m/>
    <n v="0"/>
    <x v="31"/>
  </r>
  <r>
    <x v="1"/>
    <x v="1"/>
    <n v="20"/>
    <m/>
    <n v="0"/>
    <x v="31"/>
  </r>
  <r>
    <x v="0"/>
    <x v="0"/>
    <n v="9.5"/>
    <s v="26.-28.05"/>
    <n v="0"/>
    <x v="37"/>
  </r>
  <r>
    <x v="3"/>
    <x v="2"/>
    <n v="8"/>
    <s v="Opra"/>
    <n v="0"/>
    <x v="26"/>
  </r>
  <r>
    <x v="3"/>
    <x v="2"/>
    <n v="24"/>
    <s v="diverse Betriebsmitteln; Planung  Hub´s BB 20.04-22.04"/>
    <n v="0"/>
    <x v="38"/>
  </r>
  <r>
    <x v="5"/>
    <x v="2"/>
    <n v="5"/>
    <s v="MAG Linien"/>
    <n v="0"/>
    <x v="39"/>
  </r>
  <r>
    <x v="11"/>
    <x v="2"/>
    <n v="40"/>
    <s v="WI-F 27.04-30.04."/>
    <n v="0"/>
    <x v="40"/>
  </r>
  <r>
    <x v="11"/>
    <x v="2"/>
    <n v="40"/>
    <s v="WI-UK 05.05-08.05"/>
    <n v="0"/>
    <x v="40"/>
  </r>
  <r>
    <x v="11"/>
    <x v="2"/>
    <n v="8"/>
    <s v="Datenanalyse WI-F /WI-UK"/>
    <n v="0"/>
    <x v="29"/>
  </r>
  <r>
    <x v="3"/>
    <x v="2"/>
    <n v="8"/>
    <s v="Wartungsanleitungen 12.05"/>
    <n v="0"/>
    <x v="36"/>
  </r>
  <r>
    <x v="2"/>
    <x v="2"/>
    <n v="8"/>
    <s v="Bewertungstool Zustand der Anlagen"/>
    <n v="0"/>
    <x v="41"/>
  </r>
  <r>
    <x v="3"/>
    <x v="2"/>
    <n v="8"/>
    <s v="Iinstandhaltung  OPRA"/>
    <n v="0"/>
    <x v="42"/>
  </r>
  <r>
    <x v="11"/>
    <x v="2"/>
    <n v="8"/>
    <s v="BCM / Risiko Toll Bewertung WI-F"/>
    <n v="0"/>
    <x v="43"/>
  </r>
  <r>
    <x v="3"/>
    <x v="2"/>
    <n v="7"/>
    <s v="Hub´s Betriebsaustattung"/>
    <n v="0"/>
    <x v="37"/>
  </r>
  <r>
    <x v="3"/>
    <x v="2"/>
    <n v="6"/>
    <s v="Wartungsanleitungen"/>
    <n v="0"/>
    <x v="44"/>
  </r>
  <r>
    <x v="11"/>
    <x v="2"/>
    <n v="6"/>
    <s v="Remchingen / BCM /Werkzeuge"/>
    <n v="0"/>
    <x v="45"/>
  </r>
  <r>
    <x v="9"/>
    <x v="1"/>
    <n v="8"/>
    <m/>
    <n v="0"/>
    <x v="45"/>
  </r>
  <r>
    <x v="11"/>
    <x v="1"/>
    <n v="16"/>
    <m/>
    <n v="0"/>
    <x v="45"/>
  </r>
  <r>
    <x v="0"/>
    <x v="1"/>
    <n v="2"/>
    <m/>
    <n v="0"/>
    <x v="45"/>
  </r>
  <r>
    <x v="9"/>
    <x v="1"/>
    <n v="6"/>
    <m/>
    <n v="0"/>
    <x v="45"/>
  </r>
  <r>
    <x v="0"/>
    <x v="1"/>
    <n v="4"/>
    <m/>
    <n v="0"/>
    <x v="46"/>
  </r>
  <r>
    <x v="11"/>
    <x v="1"/>
    <n v="4"/>
    <m/>
    <n v="0"/>
    <x v="46"/>
  </r>
  <r>
    <x v="1"/>
    <x v="1"/>
    <n v="16"/>
    <m/>
    <n v="0"/>
    <x v="46"/>
  </r>
  <r>
    <x v="0"/>
    <x v="0"/>
    <n v="6"/>
    <s v="01.-03.06"/>
    <n v="0"/>
    <x v="47"/>
  </r>
  <r>
    <x v="9"/>
    <x v="0"/>
    <n v="19"/>
    <s v="01.-03.06"/>
    <n v="0"/>
    <x v="47"/>
  </r>
  <r>
    <x v="0"/>
    <x v="0"/>
    <n v="4"/>
    <s v="10.06.2026"/>
    <n v="0"/>
    <x v="47"/>
  </r>
  <r>
    <x v="0"/>
    <x v="0"/>
    <n v="6.5"/>
    <s v="08.06-09.06"/>
    <n v="0"/>
    <x v="47"/>
  </r>
  <r>
    <x v="11"/>
    <x v="0"/>
    <n v="1"/>
    <s v="09.06.2026"/>
    <n v="0"/>
    <x v="47"/>
  </r>
  <r>
    <x v="11"/>
    <x v="0"/>
    <n v="0.5"/>
    <s v="10.06.2026"/>
    <n v="0"/>
    <x v="47"/>
  </r>
  <r>
    <x v="9"/>
    <x v="0"/>
    <n v="8"/>
    <s v="08.06-09.06"/>
    <n v="0"/>
    <x v="47"/>
  </r>
  <r>
    <x v="9"/>
    <x v="0"/>
    <n v="2"/>
    <s v="KW10"/>
    <n v="0"/>
    <x v="48"/>
  </r>
  <r>
    <x v="9"/>
    <x v="0"/>
    <n v="4"/>
    <s v="KW12"/>
    <n v="0"/>
    <x v="48"/>
  </r>
  <r>
    <x v="9"/>
    <x v="0"/>
    <n v="5.5"/>
    <s v="KW13"/>
    <n v="0"/>
    <x v="48"/>
  </r>
  <r>
    <x v="9"/>
    <x v="0"/>
    <n v="4"/>
    <s v="KW14"/>
    <n v="0"/>
    <x v="48"/>
  </r>
  <r>
    <x v="9"/>
    <x v="0"/>
    <n v="4"/>
    <s v="Kw15"/>
    <n v="0"/>
    <x v="48"/>
  </r>
  <r>
    <x v="9"/>
    <x v="0"/>
    <n v="5"/>
    <s v="KW16"/>
    <n v="0"/>
    <x v="48"/>
  </r>
  <r>
    <x v="9"/>
    <x v="0"/>
    <n v="2"/>
    <s v="KW20"/>
    <n v="0"/>
    <x v="48"/>
  </r>
  <r>
    <x v="9"/>
    <x v="0"/>
    <n v="2.5"/>
    <s v="LK-P, KW20"/>
    <n v="0"/>
    <x v="48"/>
  </r>
  <r>
    <x v="9"/>
    <x v="0"/>
    <n v="5.5"/>
    <s v="KW21"/>
    <n v="0"/>
    <x v="48"/>
  </r>
  <r>
    <x v="9"/>
    <x v="0"/>
    <n v="12"/>
    <s v="KW22, Vorbereitung Kennzahlenstruktur"/>
    <n v="0"/>
    <x v="48"/>
  </r>
  <r>
    <x v="9"/>
    <x v="0"/>
    <n v="9"/>
    <s v="KW23"/>
    <n v="0"/>
    <x v="48"/>
  </r>
  <r>
    <x v="9"/>
    <x v="0"/>
    <n v="10"/>
    <s v="KW24"/>
    <n v="0"/>
    <x v="48"/>
  </r>
  <r>
    <x v="9"/>
    <x v="0"/>
    <n v="1.5"/>
    <s v="KW24, LK-P"/>
    <n v="0"/>
    <x v="48"/>
  </r>
  <r>
    <x v="11"/>
    <x v="1"/>
    <n v="50"/>
    <m/>
    <n v="0"/>
    <x v="49"/>
  </r>
  <r>
    <x v="11"/>
    <x v="1"/>
    <n v="24"/>
    <m/>
    <n v="0"/>
    <x v="50"/>
  </r>
  <r>
    <x v="11"/>
    <x v="1"/>
    <n v="40"/>
    <m/>
    <n v="0"/>
    <x v="51"/>
  </r>
  <r>
    <x v="11"/>
    <x v="1"/>
    <n v="24"/>
    <m/>
    <n v="0"/>
    <x v="52"/>
  </r>
  <r>
    <x v="3"/>
    <x v="1"/>
    <n v="16"/>
    <m/>
    <n v="0"/>
    <x v="52"/>
  </r>
  <r>
    <x v="3"/>
    <x v="2"/>
    <n v="3"/>
    <m/>
    <n v="0"/>
    <x v="53"/>
  </r>
  <r>
    <x v="3"/>
    <x v="2"/>
    <n v="8"/>
    <s v="Werkzeuge Hub´s"/>
    <n v="0"/>
    <x v="54"/>
  </r>
  <r>
    <x v="1"/>
    <x v="2"/>
    <n v="7"/>
    <s v="Remchingen"/>
    <n v="0"/>
    <x v="48"/>
  </r>
  <r>
    <x v="11"/>
    <x v="2"/>
    <n v="7"/>
    <s v="Risikoanalyse Frankreich"/>
    <n v="0"/>
    <x v="55"/>
  </r>
  <r>
    <x v="5"/>
    <x v="2"/>
    <n v="8"/>
    <s v="BCM /Ersatzteile Mexiko"/>
    <n v="0"/>
    <x v="56"/>
  </r>
  <r>
    <x v="3"/>
    <x v="2"/>
    <n v="8"/>
    <s v="Opra"/>
    <n v="0"/>
    <x v="57"/>
  </r>
  <r>
    <x v="2"/>
    <x v="2"/>
    <n v="7"/>
    <s v="Standardisierung Wartungsaufträge"/>
    <n v="0"/>
    <x v="58"/>
  </r>
  <r>
    <x v="11"/>
    <x v="2"/>
    <n v="30"/>
    <s v="WI-Belgien 23-26.06"/>
    <n v="0"/>
    <x v="49"/>
  </r>
  <r>
    <x v="3"/>
    <x v="2"/>
    <n v="7"/>
    <s v="Layoutanpassung Werkzeug Hub Präzteile und Membran"/>
    <n v="0"/>
    <x v="59"/>
  </r>
  <r>
    <x v="2"/>
    <x v="2"/>
    <n v="8"/>
    <s v="Präsi globale Instandhaltung"/>
    <n v="0"/>
    <x v="60"/>
  </r>
  <r>
    <x v="3"/>
    <x v="2"/>
    <n v="8"/>
    <s v="IH Software OPRA "/>
    <n v="0"/>
    <x v="61"/>
  </r>
  <r>
    <x v="5"/>
    <x v="2"/>
    <n v="5"/>
    <s v="Achsen Nullen VPA / MAG"/>
    <n v="0"/>
    <x v="62"/>
  </r>
  <r>
    <x v="2"/>
    <x v="2"/>
    <n v="7"/>
    <s v="Kritische Ersatzteile / Rem"/>
    <n v="0"/>
    <x v="51"/>
  </r>
  <r>
    <x v="3"/>
    <x v="2"/>
    <n v="36"/>
    <s v="Instandhaltung / Umzug / Aufbau 13.07-17.07"/>
    <n v="0"/>
    <x v="63"/>
  </r>
  <r>
    <x v="5"/>
    <x v="2"/>
    <n v="6"/>
    <s v="mGuards Sicherheit der Anlagen"/>
    <n v="0"/>
    <x v="64"/>
  </r>
  <r>
    <x v="3"/>
    <x v="2"/>
    <n v="8"/>
    <s v="Opra Wartungsanleitungen"/>
    <n v="0"/>
    <x v="65"/>
  </r>
  <r>
    <x v="3"/>
    <x v="2"/>
    <n v="9"/>
    <s v="Ersatellung:Katallog Wartungskriterien für Wartungsanleitung"/>
    <n v="0"/>
    <x v="66"/>
  </r>
  <r>
    <x v="11"/>
    <x v="2"/>
    <n v="5"/>
    <s v="Risikoanalyse / AbweichungenWI- Benelux"/>
    <n v="0"/>
    <x v="67"/>
  </r>
  <r>
    <x v="2"/>
    <x v="2"/>
    <n v="3"/>
    <s v="schieber Vermessung für SIM 1280"/>
    <n v="0"/>
    <x v="67"/>
  </r>
  <r>
    <x v="3"/>
    <x v="1"/>
    <n v="30"/>
    <m/>
    <n v="0"/>
    <x v="63"/>
  </r>
  <r>
    <x v="10"/>
    <x v="1"/>
    <n v="10"/>
    <m/>
    <n v="0"/>
    <x v="63"/>
  </r>
  <r>
    <x v="3"/>
    <x v="1"/>
    <n v="40"/>
    <m/>
    <n v="0"/>
    <x v="68"/>
  </r>
  <r>
    <x v="5"/>
    <x v="2"/>
    <n v="45"/>
    <s v="WI-MEX - Inbetriebnahme Montagelinien 03.08-10.08"/>
    <n v="0"/>
    <x v="69"/>
  </r>
  <r>
    <x v="3"/>
    <x v="2"/>
    <n v="50"/>
    <s v="Instandhaltung Ausfbau 20.07-28.07"/>
    <n v="0"/>
    <x v="69"/>
  </r>
  <r>
    <x v="3"/>
    <x v="2"/>
    <n v="16"/>
    <s v="Insandhaltung BB / Aufbau /05-06.08"/>
    <n v="0"/>
    <x v="69"/>
  </r>
  <r>
    <x v="11"/>
    <x v="2"/>
    <n v="7"/>
    <s v="BCM / OT / WKZM / IH Struktur / Lastenheft"/>
    <n v="0"/>
    <x v="69"/>
  </r>
  <r>
    <x v="2"/>
    <x v="2"/>
    <n v="10"/>
    <s v="Lastenheft Instandhaltung"/>
    <n v="0"/>
    <x v="70"/>
  </r>
  <r>
    <x v="3"/>
    <x v="2"/>
    <n v="28"/>
    <s v="Opra / Hub´s / Instandhaltung 08-11.09"/>
    <n v="0"/>
    <x v="71"/>
  </r>
  <r>
    <x v="3"/>
    <x v="2"/>
    <n v="8"/>
    <s v="OPRA / Wartungsanleitungen"/>
    <n v="0"/>
    <x v="72"/>
  </r>
  <r>
    <x v="2"/>
    <x v="2"/>
    <n v="16"/>
    <s v="kritische Ersatzteile"/>
    <n v="0"/>
    <x v="73"/>
  </r>
  <r>
    <x v="11"/>
    <x v="2"/>
    <n v="8"/>
    <s v="BCM / IH / WKZ-Mng."/>
    <n v="0"/>
    <x v="74"/>
  </r>
  <r>
    <x v="3"/>
    <x v="2"/>
    <n v="5"/>
    <s v="Betriebstoffe IH &amp; Hub´s"/>
    <n v="0"/>
    <x v="75"/>
  </r>
  <r>
    <x v="3"/>
    <x v="2"/>
    <n v="8"/>
    <s v="Opra / Wartungsmerkmale"/>
    <n v="0"/>
    <x v="76"/>
  </r>
  <r>
    <x v="2"/>
    <x v="2"/>
    <n v="8"/>
    <s v="Rohrschweißen Rem"/>
    <n v="0"/>
    <x v="77"/>
  </r>
  <r>
    <x v="2"/>
    <x v="2"/>
    <n v="8"/>
    <s v="kritische Ersatzteile WI-BR"/>
    <n v="0"/>
    <x v="78"/>
  </r>
  <r>
    <x v="2"/>
    <x v="2"/>
    <n v="6"/>
    <s v="Kritische Ersatzteile Scame Ofen"/>
    <n v="0"/>
    <x v="79"/>
  </r>
  <r>
    <x v="2"/>
    <x v="2"/>
    <n v="8"/>
    <s v="Vorbereitung WI-E / WI-CZ"/>
    <n v="0"/>
    <x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1247B7-B430-46A5-B1AC-06273182239C}" name="PivotTable2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3:B4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showAll="0"/>
    <pivotField dataField="1" showAll="0"/>
    <pivotField showAll="0"/>
    <pivotField showAll="0"/>
    <pivotField axis="axisRow" showAll="0">
      <items count="85">
        <item m="1" x="83"/>
        <item h="1" x="17"/>
        <item h="1" x="10"/>
        <item h="1" x="2"/>
        <item h="1" x="12"/>
        <item h="1" x="3"/>
        <item h="1" x="0"/>
        <item h="1" x="4"/>
        <item h="1" x="5"/>
        <item h="1" x="6"/>
        <item h="1" x="14"/>
        <item h="1" x="1"/>
        <item h="1" x="8"/>
        <item h="1" x="18"/>
        <item h="1" x="13"/>
        <item h="1" x="11"/>
        <item h="1" x="9"/>
        <item h="1" x="7"/>
        <item h="1" x="16"/>
        <item h="1" x="15"/>
        <item h="1" x="19"/>
        <item h="1" x="20"/>
        <item h="1" x="21"/>
        <item h="1" x="22"/>
        <item h="1" x="23"/>
        <item h="1" x="24"/>
        <item h="1" x="25"/>
        <item h="1" x="26"/>
        <item h="1" m="1" x="82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m="1" x="81"/>
        <item h="1" x="38"/>
        <item h="1" x="39"/>
        <item h="1" x="45"/>
        <item h="1" x="40"/>
        <item h="1" x="41"/>
        <item h="1" x="42"/>
        <item h="1" x="43"/>
        <item h="1" x="44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t="default"/>
      </items>
    </pivotField>
  </pivotFields>
  <rowFields count="2">
    <field x="0"/>
    <field x="5"/>
  </rowFields>
  <rowItems count="1"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CE09B-B592-432A-8649-CDE222B1B4A7}" name="PivotTable3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5">
  <location ref="G1:H9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x="2"/>
        <item h="1" x="1"/>
        <item h="1"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8">
    <i>
      <x/>
    </i>
    <i r="1">
      <x v="3"/>
    </i>
    <i r="1">
      <x v="6"/>
    </i>
    <i r="1">
      <x v="8"/>
    </i>
    <i r="1">
      <x v="11"/>
    </i>
    <i r="1">
      <x v="12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1DD34-3D42-4CDF-A2A5-F86ABEBA681B}" name="PivotTable2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3">
  <location ref="D1:E7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h="1" x="2"/>
        <item h="1" x="1"/>
        <item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6">
    <i>
      <x v="2"/>
    </i>
    <i r="1">
      <x v="1"/>
    </i>
    <i r="1">
      <x v="5"/>
    </i>
    <i r="1">
      <x v="9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074AE-CC5F-47D6-8C76-8E3691E9EBB7}" name="PivotTable1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6">
    <pivotField axis="axisRow" showAll="0">
      <items count="16">
        <item m="1" x="13"/>
        <item x="9"/>
        <item m="1" x="12"/>
        <item x="1"/>
        <item m="1" x="14"/>
        <item x="4"/>
        <item x="5"/>
        <item x="7"/>
        <item x="3"/>
        <item x="0"/>
        <item x="8"/>
        <item x="2"/>
        <item x="6"/>
        <item x="10"/>
        <item x="11"/>
        <item t="default"/>
      </items>
    </pivotField>
    <pivotField axis="axisRow" showAll="0">
      <items count="9">
        <item h="1" x="2"/>
        <item x="1"/>
        <item h="1" x="0"/>
        <item h="1" m="1" x="5"/>
        <item h="1" m="1" x="7"/>
        <item h="1" m="1" x="4"/>
        <item h="1" m="1" x="6"/>
        <item h="1" x="3"/>
        <item t="default"/>
      </items>
    </pivotField>
    <pivotField dataField="1" showAll="0"/>
    <pivotField showAll="0"/>
    <pivotField showAll="0"/>
    <pivotField showAll="0"/>
  </pivotFields>
  <rowFields count="2">
    <field x="1"/>
    <field x="0"/>
  </rowFields>
  <rowItems count="11">
    <i>
      <x v="1"/>
    </i>
    <i r="1">
      <x v="1"/>
    </i>
    <i r="1">
      <x v="3"/>
    </i>
    <i r="1">
      <x v="6"/>
    </i>
    <i r="1">
      <x v="8"/>
    </i>
    <i r="1">
      <x v="9"/>
    </i>
    <i r="1">
      <x v="10"/>
    </i>
    <i r="1">
      <x v="11"/>
    </i>
    <i r="1">
      <x v="13"/>
    </i>
    <i r="1">
      <x v="14"/>
    </i>
    <i t="grand">
      <x/>
    </i>
  </rowItems>
  <colItems count="1">
    <i/>
  </colItems>
  <dataFields count="1">
    <dataField name="Summe von Stunden (gearbeitet)" fld="2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24939-8BDD-47A7-ABF4-A3E95397A2C5}" name="PivotTable1" cacheId="0" applyNumberFormats="0" applyBorderFormats="0" applyFontFormats="0" applyPatternFormats="0" applyAlignmentFormats="0" applyWidthHeightFormats="1" dataCaption="Werte" updatedVersion="8" minRefreshableVersion="3" useAutoFormatting="1" rowGrandTotals="0" colGrandTotals="0" itemPrintTitles="1" createdVersion="8" indent="0" compact="0" compactData="0" multipleFieldFilters="0" chartFormat="10">
  <location ref="M3:O12" firstHeaderRow="1" firstDataRow="1" firstDataCol="2"/>
  <pivotFields count="6">
    <pivotField axis="axisRow" compact="0" outline="0" showAll="0" defaultSubtotal="0">
      <items count="15">
        <item m="1" x="12"/>
        <item x="5"/>
        <item h="1" x="7"/>
        <item m="1" x="13"/>
        <item m="1" x="14"/>
        <item x="9"/>
        <item x="4"/>
        <item x="1"/>
        <item x="3"/>
        <item h="1" x="0"/>
        <item h="1" x="8"/>
        <item h="1" x="2"/>
        <item h="1" x="6"/>
        <item h="1" x="10"/>
        <item h="1" x="11"/>
      </items>
    </pivotField>
    <pivotField axis="axisRow" compact="0" outline="0" multipleItemSelectionAllowed="1" showAll="0" defaultSubtotal="0">
      <items count="8">
        <item x="2"/>
        <item x="1"/>
        <item x="0"/>
        <item h="1" m="1" x="5"/>
        <item h="1" m="1" x="7"/>
        <item h="1" m="1" x="6"/>
        <item h="1" x="3"/>
        <item h="1" m="1"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</pivotFields>
  <rowFields count="2">
    <field x="0"/>
    <field x="1"/>
  </rowFields>
  <rowItems count="9">
    <i>
      <x v="1"/>
      <x/>
    </i>
    <i r="1">
      <x v="1"/>
    </i>
    <i>
      <x v="5"/>
      <x v="1"/>
    </i>
    <i r="1">
      <x v="2"/>
    </i>
    <i>
      <x v="6"/>
      <x v="2"/>
    </i>
    <i>
      <x v="7"/>
      <x/>
    </i>
    <i r="1">
      <x v="1"/>
    </i>
    <i>
      <x v="8"/>
      <x/>
    </i>
    <i r="1">
      <x v="1"/>
    </i>
  </rowItems>
  <colItems count="1">
    <i/>
  </colItems>
  <dataFields count="1">
    <dataField name="Summe von Stunden (gearbeitet)" fld="2" baseField="0" baseItem="0"/>
  </dataFields>
  <chartFormats count="1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5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5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5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5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5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5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F990D8-5B71-4B2B-8C67-1AD93FC50733}" name="Projekte" displayName="Projekte" ref="A1:J13" totalsRowShown="0">
  <autoFilter ref="A1:J13" xr:uid="{B6F990D8-5B71-4B2B-8C67-1AD93FC50733}"/>
  <tableColumns count="10">
    <tableColumn id="1" xr3:uid="{5EC22720-B700-4EDB-B965-F9F50E1105C5}" name="Projekt"/>
    <tableColumn id="2" xr3:uid="{7C28E709-A859-4F37-BE29-65D135F9AF6E}" name="Projekt fertig"/>
    <tableColumn id="3" xr3:uid="{C08C53C9-0EBA-4F0C-B562-F1E9B7A779D7}" name="Budget ist" dataDxfId="14">
      <calculatedColumnFormula>IFERROR(SUMIFS(Daten!$E:$E,Daten!$A:$A,$A2),0)</calculatedColumnFormula>
    </tableColumn>
    <tableColumn id="4" xr3:uid="{7EFAA488-7847-4BA6-A3AD-B112325AB953}" name="Budget soll"/>
    <tableColumn id="5" xr3:uid="{EA51FAE9-CA2B-49C0-A4B3-EB0A16267EF8}" name="Projektstart" dataDxfId="13"/>
    <tableColumn id="6" xr3:uid="{D8C68006-BAF7-41FE-ADF5-39058BC5F7CF}" name="Projektstunden (SOLL)"/>
    <tableColumn id="7" xr3:uid="{84A9269A-8D87-4761-83F4-8D693C9C4D33}" name="Projektstunden (IST)" dataDxfId="12">
      <calculatedColumnFormula>IFERROR(SUMIFS(Daten!$C:$C,Daten!$A:$A,$A2),0)</calculatedColumnFormula>
    </tableColumn>
    <tableColumn id="8" xr3:uid="{7A58C9CF-BEC9-4DBA-92ED-088AD3062D4F}" name="Rest Stunden" dataDxfId="11">
      <calculatedColumnFormula>Projekte[[#This Row],[Projektstunden (SOLL)]]-Projekte[[#This Row],[Projektstunden (IST)]]</calculatedColumnFormula>
    </tableColumn>
    <tableColumn id="9" xr3:uid="{CB99F596-0F5A-4630-98E1-A4CF0BE49E51}" name="Aktiv"/>
    <tableColumn id="10" xr3:uid="{6BCF166D-D16D-449B-9ED9-ABA1111D814B}" name="Fortschritt %" dataDxfId="10">
      <calculatedColumnFormula>IFERROR($G2/$F2,0)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B328BE-C52E-4469-9C6B-CD88A1FAA71D}" name="Auswertung" displayName="Auswertung" ref="A1:F180" totalsRowShown="0">
  <autoFilter ref="A1:F180" xr:uid="{83B328BE-C52E-4469-9C6B-CD88A1FAA71D}"/>
  <tableColumns count="6">
    <tableColumn id="1" xr3:uid="{C43B5AE6-F017-4C1D-910C-5D325034733C}" name="Projekt"/>
    <tableColumn id="2" xr3:uid="{839F8E22-D117-4667-BE14-61C4A4D28B3C}" name="Person"/>
    <tableColumn id="3" xr3:uid="{DEB12E63-3063-4AFB-BE2F-EFA0F3FFC8C8}" name="Stunden (gearbeitet)"/>
    <tableColumn id="4" xr3:uid="{4C608E22-C940-4F2B-A228-BFBAADD91B2C}" name="Notiz"/>
    <tableColumn id="5" xr3:uid="{938EF589-9F76-49D8-B89E-E49E46EB9E4C}" name="Kosten (bezahlt)"/>
    <tableColumn id="6" xr3:uid="{EA7BC1AD-04DD-4771-ACBA-4879B9802D2D}" name="Datu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8A67C0-3042-4AA7-BD12-7754295242C7}" name="Personen" displayName="Personen" ref="A1:A7" totalsRowShown="0">
  <autoFilter ref="A1:A7" xr:uid="{988A67C0-3042-4AA7-BD12-7754295242C7}"/>
  <tableColumns count="1">
    <tableColumn id="1" xr3:uid="{BEEFA8F0-5298-4C55-914D-5027C980CCF6}" name="Person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C8BA06C-46CE-4173-B0B6-D67D9B82AD41}" name="Tabelle27" displayName="Tabelle27" ref="F1:K7" totalsRowShown="0">
  <autoFilter ref="F1:K7" xr:uid="{BC8BA06C-46CE-4173-B0B6-D67D9B82AD41}"/>
  <tableColumns count="6">
    <tableColumn id="1" xr3:uid="{730B688F-B835-46D4-9075-BEE952521E85}" name="Mitarbeiter"/>
    <tableColumn id="2" xr3:uid="{999CB02C-9BAB-4217-A5F1-4B34A0CACE07}" name="Stunden" dataDxfId="6">
      <calculatedColumnFormula>SUMIF(Daten!B:B,F2,Daten!C:C)</calculatedColumnFormula>
    </tableColumn>
    <tableColumn id="3" xr3:uid="{B683A416-73D2-4879-894B-6B3CF4E28A4B}" name="Auslastung" dataDxfId="5">
      <calculatedColumnFormula>G2/K2</calculatedColumnFormula>
    </tableColumn>
    <tableColumn id="4" xr3:uid="{B3FD90B1-59C4-465C-8273-C7BA8B5B2D49}" name="Frei" dataDxfId="4"/>
    <tableColumn id="5" xr3:uid="{84A5349D-798A-42CD-BB5D-F3E079A979A3}" name="Hilfspalte" dataDxfId="3">
      <calculatedColumnFormula>IF(H2&lt;=0.7,"Grün",IF(H2&lt;=0.9,"Gelb","Rot"))</calculatedColumnFormula>
    </tableColumn>
    <tableColumn id="6" xr3:uid="{82174971-AA78-4F98-AAE7-41D59F073DB6}" name="Kapazität/Jah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AD9ECF-D7CC-420D-808F-99EC666F3087}" name="DiagAus" displayName="DiagAus" ref="A1:B5" totalsRowShown="0">
  <autoFilter ref="A1:B5" xr:uid="{28AD9ECF-D7CC-420D-808F-99EC666F3087}"/>
  <tableColumns count="2">
    <tableColumn id="1" xr3:uid="{0AB2678D-CB63-466F-BBF0-C543B85E747F}" name="Bereich"/>
    <tableColumn id="2" xr3:uid="{AF59916D-0EF8-4687-B4E8-3F809B665C19}" name="Wer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00176C-42E6-4E93-B1C0-2C057C152FC4}" name="Tabelle6" displayName="Tabelle6" ref="D1:E5" totalsRowShown="0">
  <autoFilter ref="D1:E5" xr:uid="{8100176C-42E6-4E93-B1C0-2C057C152FC4}"/>
  <tableColumns count="2">
    <tableColumn id="1" xr3:uid="{914B8BD3-8E8D-4BB4-854A-9BE1448FABE7}" name="Zeiger"/>
    <tableColumn id="2" xr3:uid="{C0CE156D-80B9-4DDC-B36A-F4D9082242CB}" name="Wert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9325563-8A76-4E9D-B522-B351AFBD7739}" name="Tabelle16" displayName="Tabelle16" ref="G1:H2" totalsRowShown="0">
  <autoFilter ref="G1:H2" xr:uid="{89325563-8A76-4E9D-B522-B351AFBD7739}"/>
  <tableColumns count="2">
    <tableColumn id="1" xr3:uid="{97446D6A-23C7-4797-BD48-080235FD9F34}" name="Verbraucht" dataDxfId="1">
      <calculatedColumnFormula>Dashboard_Steuerung!E4</calculatedColumnFormula>
    </tableColumn>
    <tableColumn id="2" xr3:uid="{A7CE079F-E6BB-4AD6-A2F7-AB231925E7F8}" name="Rest" dataDxfId="0">
      <calculatedColumnFormula>1-Dashboard_Steuerung!E4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69FF-E6AB-4DF9-A1DF-C41795D1A1A9}">
  <sheetPr codeName="Tabelle4">
    <tabColor theme="1"/>
  </sheetPr>
  <dimension ref="A1"/>
  <sheetViews>
    <sheetView showGridLines="0" showRowColHeaders="0" zoomScale="71" zoomScaleNormal="100" workbookViewId="0">
      <selection activeCell="Q9" sqref="Q9"/>
    </sheetView>
  </sheetViews>
  <sheetFormatPr baseColWidth="10" defaultColWidth="11.42578125" defaultRowHeight="15" x14ac:dyDescent="0.25"/>
  <sheetData/>
  <sheetProtection sheet="1" selectLockedCells="1" sort="0" autoFilter="0" pivotTables="0"/>
  <pageMargins left="0.7" right="0.7" top="0.78740157499999996" bottom="0.78740157499999996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18A8-D6B9-449F-9F29-53180BFD0B62}">
  <sheetPr codeName="Tabelle1">
    <tabColor theme="8" tint="-0.249977111117893"/>
  </sheetPr>
  <dimension ref="A1:AL99"/>
  <sheetViews>
    <sheetView showGridLines="0" showRowColHeaders="0" topLeftCell="A2" zoomScale="30" zoomScaleNormal="30" workbookViewId="0">
      <selection activeCell="T115" sqref="T115"/>
    </sheetView>
  </sheetViews>
  <sheetFormatPr baseColWidth="10" defaultColWidth="11.42578125" defaultRowHeight="15" x14ac:dyDescent="0.25"/>
  <cols>
    <col min="1" max="1" width="19.7109375" customWidth="1"/>
    <col min="2" max="2" width="126.42578125" customWidth="1"/>
    <col min="13" max="13" width="28.140625" customWidth="1"/>
    <col min="14" max="14" width="69.85546875" customWidth="1"/>
    <col min="18" max="19" width="11.42578125" customWidth="1"/>
    <col min="20" max="20" width="231.85546875" customWidth="1"/>
    <col min="21" max="21" width="255.85546875" customWidth="1"/>
    <col min="22" max="22" width="98.28515625" customWidth="1"/>
    <col min="23" max="23" width="253.5703125" customWidth="1"/>
    <col min="24" max="24" width="255.7109375" customWidth="1"/>
    <col min="25" max="25" width="25.140625" customWidth="1"/>
    <col min="26" max="26" width="23.28515625" customWidth="1"/>
    <col min="27" max="27" width="27" customWidth="1"/>
    <col min="28" max="28" width="21" customWidth="1"/>
    <col min="29" max="29" width="20.85546875" customWidth="1"/>
    <col min="30" max="30" width="41.42578125" customWidth="1"/>
    <col min="31" max="31" width="38.140625" customWidth="1"/>
    <col min="32" max="32" width="11.85546875" customWidth="1"/>
    <col min="33" max="34" width="14.42578125" customWidth="1"/>
    <col min="35" max="35" width="14.5703125" customWidth="1"/>
    <col min="36" max="38" width="11.42578125" hidden="1" customWidth="1"/>
  </cols>
  <sheetData>
    <row r="1" spans="1:36" ht="15" hidden="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AA1" s="5" t="str">
        <f ca="1">TEXT('Auswertung ProjektDiag'!E2,"0")&amp;"%"</f>
        <v>100%</v>
      </c>
      <c r="AC1" s="5" t="s">
        <v>0</v>
      </c>
      <c r="AD1" s="5" t="s">
        <v>1</v>
      </c>
      <c r="AE1" s="5" t="s">
        <v>2</v>
      </c>
      <c r="AF1" s="5"/>
      <c r="AG1" s="5"/>
    </row>
    <row r="2" spans="1:36" ht="50.25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28"/>
      <c r="N2" s="28"/>
      <c r="O2" s="28"/>
      <c r="P2" s="28"/>
      <c r="V2" s="5"/>
      <c r="W2" s="5"/>
      <c r="X2" s="5"/>
      <c r="Y2" s="5"/>
      <c r="Z2" s="5"/>
      <c r="AA2" s="5"/>
      <c r="AB2" s="5"/>
      <c r="AC2" s="5"/>
      <c r="AD2" s="5" t="str" cm="1">
        <f t="array" ref="AD2:AD4">_xlfn.LET(
_xlpm.t,Daten!A:Z,
_xlpm.p,MATCH("Projekt",Daten!1:1,0),
_xlpm.u,MATCH("Person",Daten!1:1,0),
_xlpm.s,MATCH("Stunden (gearbeitet)",Daten!1:1,0),
_xlpm.x,_xlfn._xlws.FILTER(_xlpm.t,TRIM(INDEX(_xlpm.t,,_xlpm.u))="Benny"),
IFERROR(
INDEX(_xlpm.x,_xlfn.SEQUENCE(3),_xlpm.p) &amp; "",
"")
)</f>
        <v>Gruppenweite Instandhaltung</v>
      </c>
      <c r="AE2" s="5" cm="1">
        <f t="array" ref="AE2:AE4">_xlfn.LET(_xlpm.t,Daten!A:Z,_xlpm.s,MATCH("Stunden (gearbeitet)",Daten!1:1,0),_xlpm.u,MATCH("Person",Daten!1:1,0),_xlpm.x,_xlfn._xlws.FILTER(_xlpm.t,TRIM(INDEX(_xlpm.t,,_xlpm.u))="Benny"),IFERROR(INDEX(_xlpm.x,_xlfn.SEQUENCE(3),_xlpm.s),""))</f>
        <v>6</v>
      </c>
      <c r="AF2" s="5"/>
      <c r="AG2" s="5"/>
    </row>
    <row r="3" spans="1:36" s="16" customFormat="1" ht="117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9"/>
      <c r="N3" s="29"/>
      <c r="O3" s="29"/>
      <c r="P3" s="29"/>
      <c r="Q3" s="18"/>
      <c r="R3" s="18"/>
      <c r="S3" s="19"/>
      <c r="T3" s="18"/>
      <c r="U3" s="18"/>
      <c r="V3" s="17"/>
      <c r="W3" s="17"/>
      <c r="X3" s="17"/>
      <c r="Y3" s="17"/>
      <c r="Z3" s="17"/>
      <c r="AA3" s="17"/>
      <c r="AB3" s="17"/>
      <c r="AC3" s="17"/>
      <c r="AD3" s="17" t="str">
        <v>Projekt Buchbusch</v>
      </c>
      <c r="AE3" s="17">
        <v>40</v>
      </c>
      <c r="AF3" s="17"/>
      <c r="AG3" s="17"/>
    </row>
    <row r="4" spans="1:36" ht="22.5" customHeight="1" x14ac:dyDescent="0.25">
      <c r="A4" s="21"/>
      <c r="B4" s="21"/>
      <c r="C4" s="21"/>
      <c r="D4" s="21"/>
      <c r="E4" s="15"/>
      <c r="F4" s="15"/>
      <c r="G4" s="15"/>
      <c r="H4" s="15"/>
      <c r="I4" s="15"/>
      <c r="J4" s="15"/>
      <c r="K4" s="15"/>
      <c r="L4" s="15"/>
      <c r="V4" s="5"/>
      <c r="W4" s="5"/>
      <c r="X4" s="5"/>
      <c r="Y4" s="5"/>
      <c r="Z4" s="5"/>
      <c r="AA4" s="5"/>
      <c r="AB4" s="5"/>
      <c r="AC4" s="5"/>
      <c r="AD4" s="5" t="str">
        <v>Projekt Buchbusch</v>
      </c>
      <c r="AE4" s="5">
        <v>16</v>
      </c>
      <c r="AF4" s="5"/>
      <c r="AG4" s="5"/>
    </row>
    <row r="5" spans="1:36" ht="71.25" customHeight="1" x14ac:dyDescent="0.25">
      <c r="A5" s="23" t="s">
        <v>3</v>
      </c>
      <c r="B5" s="24" t="s">
        <v>4</v>
      </c>
      <c r="C5" s="21"/>
      <c r="D5" s="21"/>
      <c r="E5" s="15"/>
      <c r="F5" s="15"/>
      <c r="G5" s="15"/>
      <c r="H5" s="15"/>
      <c r="I5" s="15"/>
      <c r="J5" s="15"/>
      <c r="K5" s="15"/>
      <c r="L5" s="1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6" ht="39.75" customHeight="1" x14ac:dyDescent="0.25">
      <c r="A6" s="21"/>
      <c r="B6" s="21"/>
      <c r="C6" s="21"/>
      <c r="D6" s="21"/>
      <c r="E6" s="15"/>
      <c r="F6" s="15"/>
      <c r="G6" s="15"/>
      <c r="H6" s="15"/>
      <c r="I6" s="15"/>
      <c r="J6" s="15"/>
      <c r="K6" s="15"/>
      <c r="L6" s="1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</row>
    <row r="7" spans="1:36" ht="15" customHeight="1" x14ac:dyDescent="0.4">
      <c r="A7" s="22"/>
      <c r="B7" s="21"/>
      <c r="C7" s="21"/>
      <c r="D7" s="21"/>
      <c r="E7" s="15"/>
      <c r="F7" s="15"/>
      <c r="G7" s="15"/>
      <c r="H7" s="15"/>
      <c r="I7" s="15"/>
      <c r="J7" s="15"/>
      <c r="K7" s="15"/>
      <c r="L7" s="1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</row>
    <row r="8" spans="1:36" ht="1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1:36" x14ac:dyDescent="0.25"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1:36" x14ac:dyDescent="0.25"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1:36" x14ac:dyDescent="0.25"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1:36" x14ac:dyDescent="0.25"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6"/>
      <c r="AH12" s="5"/>
      <c r="AI12" s="5"/>
      <c r="AJ12" s="5"/>
    </row>
    <row r="13" spans="1:36" x14ac:dyDescent="0.25"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</row>
    <row r="14" spans="1:36" x14ac:dyDescent="0.25"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x14ac:dyDescent="0.25"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</row>
    <row r="16" spans="1:36" x14ac:dyDescent="0.25"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x14ac:dyDescent="0.25"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</row>
    <row r="18" spans="1:36" x14ac:dyDescent="0.25">
      <c r="A18" s="2"/>
      <c r="B18" s="2"/>
      <c r="C18" s="2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1:36" x14ac:dyDescent="0.25"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</row>
    <row r="20" spans="1:36" x14ac:dyDescent="0.25"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</row>
    <row r="21" spans="1:36" x14ac:dyDescent="0.25"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</row>
    <row r="22" spans="1:36" x14ac:dyDescent="0.25"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</row>
    <row r="23" spans="1:36" x14ac:dyDescent="0.25"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</row>
    <row r="24" spans="1:36" x14ac:dyDescent="0.25"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  <row r="25" spans="1:36" x14ac:dyDescent="0.25"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:36" x14ac:dyDescent="0.25"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x14ac:dyDescent="0.25"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:36" x14ac:dyDescent="0.25"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x14ac:dyDescent="0.25"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x14ac:dyDescent="0.25"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</row>
    <row r="31" spans="1:36" x14ac:dyDescent="0.25"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</row>
    <row r="32" spans="1:36" x14ac:dyDescent="0.25"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</row>
    <row r="33" spans="22:36" x14ac:dyDescent="0.25"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</row>
    <row r="34" spans="22:36" x14ac:dyDescent="0.25"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</row>
    <row r="35" spans="22:36" x14ac:dyDescent="0.25"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</row>
    <row r="36" spans="22:36" x14ac:dyDescent="0.25"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</row>
    <row r="37" spans="22:36" x14ac:dyDescent="0.25">
      <c r="V37" s="5"/>
      <c r="W37" s="5"/>
      <c r="X37" s="5" t="str" cm="1">
        <f t="array" ref="X37:X50">Projekte[[#All],[Projektstunden (IST)]]</f>
        <v>Projektstunden (IST)</v>
      </c>
      <c r="Y37" s="5" t="s">
        <v>5</v>
      </c>
      <c r="Z37" s="5" t="s">
        <v>6</v>
      </c>
      <c r="AA37" s="5"/>
      <c r="AB37" s="5"/>
      <c r="AC37" s="5"/>
      <c r="AD37" s="5"/>
      <c r="AE37" s="5"/>
      <c r="AF37" s="5"/>
      <c r="AG37" s="5"/>
      <c r="AH37" s="5"/>
      <c r="AI37" s="5"/>
      <c r="AJ37" s="5"/>
    </row>
    <row r="38" spans="22:36" x14ac:dyDescent="0.25">
      <c r="V38" s="5"/>
      <c r="W38" s="5"/>
      <c r="X38" s="5">
        <v>0</v>
      </c>
      <c r="Y38" s="5">
        <f>Dashboard_Steuerung!E7</f>
        <v>1.5800000000000002E-2</v>
      </c>
      <c r="Z38" s="5">
        <f>1-Y38</f>
        <v>0.98419999999999996</v>
      </c>
      <c r="AA38" s="5"/>
      <c r="AB38" s="5"/>
      <c r="AC38" s="5"/>
      <c r="AD38" s="5"/>
      <c r="AE38" s="5"/>
      <c r="AF38" s="5"/>
      <c r="AG38" s="5"/>
      <c r="AH38" s="5"/>
      <c r="AI38" s="5"/>
      <c r="AJ38" s="5"/>
    </row>
    <row r="39" spans="22:36" x14ac:dyDescent="0.25">
      <c r="V39" s="5"/>
      <c r="W39" s="5"/>
      <c r="X39" s="5">
        <v>584</v>
      </c>
      <c r="Y39" s="5">
        <f t="shared" ref="Y39:Y47" si="0">IFERROR(MIN(X39/W39,1),0)</f>
        <v>0</v>
      </c>
      <c r="Z39" s="5">
        <f t="shared" ref="Z39:Z47" si="1">1-Y39</f>
        <v>0</v>
      </c>
      <c r="AA39" s="5"/>
      <c r="AB39" s="5"/>
      <c r="AC39" s="5"/>
      <c r="AD39" s="5"/>
      <c r="AE39" s="5"/>
      <c r="AF39" s="5"/>
      <c r="AG39" s="5"/>
      <c r="AH39" s="5"/>
      <c r="AI39" s="5"/>
      <c r="AJ39" s="5"/>
    </row>
    <row r="40" spans="22:36" x14ac:dyDescent="0.25">
      <c r="V40" s="5"/>
      <c r="W40" s="5"/>
      <c r="X40" s="5">
        <v>81</v>
      </c>
      <c r="Y40" s="5">
        <f t="shared" si="0"/>
        <v>0</v>
      </c>
      <c r="Z40" s="5">
        <f t="shared" si="1"/>
        <v>0</v>
      </c>
      <c r="AA40" s="5"/>
      <c r="AB40" s="5"/>
      <c r="AC40" s="5"/>
      <c r="AD40" s="5"/>
      <c r="AE40" s="5"/>
      <c r="AF40" s="5"/>
      <c r="AG40" s="5"/>
      <c r="AH40" s="5"/>
      <c r="AI40" s="5"/>
      <c r="AJ40" s="5"/>
    </row>
    <row r="41" spans="22:36" x14ac:dyDescent="0.25">
      <c r="V41" s="5"/>
      <c r="W41" s="5"/>
      <c r="X41" s="5">
        <v>158</v>
      </c>
      <c r="Y41" s="5">
        <f t="shared" si="0"/>
        <v>0</v>
      </c>
      <c r="Z41" s="5">
        <f t="shared" si="1"/>
        <v>0</v>
      </c>
      <c r="AA41" s="5"/>
      <c r="AB41" s="5"/>
      <c r="AC41" s="5"/>
      <c r="AD41" s="5"/>
      <c r="AE41" s="5"/>
      <c r="AF41" s="5"/>
      <c r="AG41" s="5"/>
      <c r="AH41" s="5"/>
      <c r="AI41" s="5"/>
      <c r="AJ41" s="5"/>
    </row>
    <row r="42" spans="22:36" x14ac:dyDescent="0.25">
      <c r="V42" s="5"/>
      <c r="W42" s="5"/>
      <c r="X42" s="5">
        <v>6</v>
      </c>
      <c r="Y42" s="5">
        <f t="shared" si="0"/>
        <v>0</v>
      </c>
      <c r="Z42" s="5">
        <f t="shared" si="1"/>
        <v>0</v>
      </c>
      <c r="AA42" s="5"/>
      <c r="AB42" s="5"/>
      <c r="AC42" s="5"/>
      <c r="AD42" s="5"/>
      <c r="AE42" s="5"/>
      <c r="AF42" s="5"/>
      <c r="AG42" s="5"/>
      <c r="AH42" s="5"/>
      <c r="AI42" s="5"/>
      <c r="AJ42" s="5"/>
    </row>
    <row r="43" spans="22:36" x14ac:dyDescent="0.25">
      <c r="V43" s="5"/>
      <c r="W43" s="5"/>
      <c r="X43" s="5">
        <v>184</v>
      </c>
      <c r="Y43" s="5">
        <f t="shared" si="0"/>
        <v>0</v>
      </c>
      <c r="Z43" s="5">
        <f t="shared" si="1"/>
        <v>0</v>
      </c>
      <c r="AA43" s="5"/>
      <c r="AB43" s="5"/>
      <c r="AC43" s="5"/>
      <c r="AD43" s="5"/>
      <c r="AE43" s="5"/>
      <c r="AF43" s="5"/>
      <c r="AG43" s="5"/>
      <c r="AH43" s="5"/>
      <c r="AI43" s="5"/>
      <c r="AJ43" s="5"/>
    </row>
    <row r="44" spans="22:36" x14ac:dyDescent="0.25">
      <c r="V44" s="5"/>
      <c r="W44" s="5"/>
      <c r="X44" s="5">
        <v>10</v>
      </c>
      <c r="Y44" s="5">
        <f t="shared" si="0"/>
        <v>0</v>
      </c>
      <c r="Z44" s="5">
        <f t="shared" si="1"/>
        <v>0</v>
      </c>
      <c r="AA44" s="5"/>
      <c r="AB44" s="5"/>
      <c r="AC44" s="5"/>
      <c r="AD44" s="5"/>
      <c r="AE44" s="5"/>
      <c r="AF44" s="5"/>
      <c r="AG44" s="5"/>
      <c r="AH44" s="5"/>
      <c r="AI44" s="5"/>
      <c r="AJ44" s="5"/>
    </row>
    <row r="45" spans="22:36" x14ac:dyDescent="0.25">
      <c r="V45" s="5"/>
      <c r="W45" s="5"/>
      <c r="X45" s="5">
        <v>217</v>
      </c>
      <c r="Y45" s="5">
        <f t="shared" si="0"/>
        <v>0</v>
      </c>
      <c r="Z45" s="5">
        <f t="shared" si="1"/>
        <v>0</v>
      </c>
      <c r="AA45" s="5"/>
      <c r="AB45" s="5"/>
      <c r="AC45" s="5"/>
      <c r="AD45" s="5"/>
      <c r="AE45" s="5"/>
      <c r="AF45" s="5"/>
      <c r="AG45" s="5"/>
      <c r="AH45" s="5"/>
      <c r="AI45" s="5"/>
      <c r="AJ45" s="5"/>
    </row>
    <row r="46" spans="22:36" x14ac:dyDescent="0.25">
      <c r="V46" s="5"/>
      <c r="W46" s="5"/>
      <c r="X46" s="5">
        <v>261.5</v>
      </c>
      <c r="Y46" s="5">
        <f t="shared" si="0"/>
        <v>0</v>
      </c>
      <c r="Z46" s="5">
        <f t="shared" si="1"/>
        <v>0</v>
      </c>
      <c r="AA46" s="5"/>
      <c r="AB46" s="5"/>
      <c r="AC46" s="5"/>
      <c r="AD46" s="5"/>
      <c r="AE46" s="5"/>
      <c r="AF46" s="5"/>
      <c r="AG46" s="5"/>
      <c r="AH46" s="5"/>
    </row>
    <row r="47" spans="22:36" x14ac:dyDescent="0.25">
      <c r="V47" s="5"/>
      <c r="W47" s="5"/>
      <c r="X47" s="5">
        <v>22</v>
      </c>
      <c r="Y47" s="5">
        <f t="shared" si="0"/>
        <v>0</v>
      </c>
      <c r="Z47" s="5">
        <f t="shared" si="1"/>
        <v>0</v>
      </c>
      <c r="AA47" s="5"/>
      <c r="AB47" s="5"/>
      <c r="AC47" s="5"/>
      <c r="AD47" s="5"/>
      <c r="AE47" s="5"/>
      <c r="AF47" s="5"/>
      <c r="AG47" s="5"/>
      <c r="AH47" s="5"/>
    </row>
    <row r="48" spans="22:36" x14ac:dyDescent="0.25">
      <c r="V48" s="5"/>
      <c r="W48" s="5"/>
      <c r="X48" s="5">
        <v>26</v>
      </c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spans="22:34" x14ac:dyDescent="0.25">
      <c r="V49" s="5"/>
      <c r="W49" s="5"/>
      <c r="X49" s="5">
        <v>434.5</v>
      </c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spans="22:34" x14ac:dyDescent="0.25">
      <c r="V50" s="5"/>
      <c r="W50" s="5"/>
      <c r="X50" s="5">
        <v>0</v>
      </c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spans="22:34" x14ac:dyDescent="0.25"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spans="22:34" x14ac:dyDescent="0.25"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spans="22:34" x14ac:dyDescent="0.25"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spans="22:34" x14ac:dyDescent="0.25"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spans="22:34" x14ac:dyDescent="0.25"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spans="22:34" x14ac:dyDescent="0.25"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spans="22:34" x14ac:dyDescent="0.25"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spans="22:34" x14ac:dyDescent="0.25"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spans="22:34" x14ac:dyDescent="0.25"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spans="22:34" x14ac:dyDescent="0.25"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  <row r="61" spans="22:34" x14ac:dyDescent="0.25"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</row>
    <row r="62" spans="22:34" x14ac:dyDescent="0.25"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</row>
    <row r="63" spans="22:34" x14ac:dyDescent="0.25"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</row>
    <row r="64" spans="22:34" x14ac:dyDescent="0.25"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</row>
    <row r="65" spans="22:34" x14ac:dyDescent="0.25"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</row>
    <row r="66" spans="22:34" x14ac:dyDescent="0.25"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</row>
    <row r="67" spans="22:34" x14ac:dyDescent="0.25"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</row>
    <row r="68" spans="22:34" x14ac:dyDescent="0.25">
      <c r="V68" s="5"/>
      <c r="W68" s="5"/>
      <c r="X68" s="5"/>
    </row>
    <row r="69" spans="22:34" x14ac:dyDescent="0.25">
      <c r="V69" s="5"/>
      <c r="W69" s="5"/>
      <c r="X69" s="5"/>
    </row>
    <row r="70" spans="22:34" x14ac:dyDescent="0.25">
      <c r="V70" s="5"/>
      <c r="W70" s="5"/>
      <c r="X70" s="5"/>
    </row>
    <row r="71" spans="22:34" x14ac:dyDescent="0.25">
      <c r="V71" s="5"/>
      <c r="W71" s="5"/>
      <c r="X71" s="5"/>
    </row>
    <row r="72" spans="22:34" x14ac:dyDescent="0.25">
      <c r="V72" s="5"/>
      <c r="W72" s="5"/>
      <c r="X72" s="5"/>
    </row>
    <row r="73" spans="22:34" x14ac:dyDescent="0.25">
      <c r="V73" s="5"/>
      <c r="W73" s="5"/>
      <c r="X73" s="5"/>
    </row>
    <row r="74" spans="22:34" x14ac:dyDescent="0.25">
      <c r="V74" s="5"/>
      <c r="W74" s="5"/>
      <c r="X74" s="5"/>
    </row>
    <row r="75" spans="22:34" x14ac:dyDescent="0.25">
      <c r="V75" s="5"/>
      <c r="W75" s="5"/>
      <c r="X75" s="5"/>
    </row>
    <row r="76" spans="22:34" x14ac:dyDescent="0.25">
      <c r="V76" s="5"/>
      <c r="W76" s="5"/>
      <c r="X76" s="5"/>
    </row>
    <row r="99" spans="5:5" x14ac:dyDescent="0.25">
      <c r="E99" t="s">
        <v>7</v>
      </c>
    </row>
  </sheetData>
  <sheetProtection selectLockedCells="1" sort="0" autoFilter="0" pivotTables="0"/>
  <mergeCells count="2">
    <mergeCell ref="M2:M3"/>
    <mergeCell ref="N2:P3"/>
  </mergeCells>
  <conditionalFormatting sqref="A18:C18">
    <cfRule type="colorScale" priority="1">
      <colorScale>
        <cfvo type="num" val="0"/>
        <cfvo type="num" val="1"/>
        <color rgb="FFFF7128"/>
        <color rgb="FFFFEF9C"/>
      </colorScale>
    </cfRule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{D8BF2EF5-9AC0-4D5D-9D64-328F94F90729}</x14:id>
        </ext>
      </extLst>
    </cfRule>
  </conditionalFormatting>
  <dataValidations count="1">
    <dataValidation type="list" allowBlank="1" showInputMessage="1" showErrorMessage="1" sqref="A5" xr:uid="{7CC5CF5F-47F1-46BC-8AAD-85735BE0E0FF}">
      <formula1>"Alle,Aktiv,Inaktiv"</formula1>
    </dataValidation>
  </dataValidations>
  <pageMargins left="0.7" right="0.7" top="0.78740157499999996" bottom="0.78740157499999996" header="0.3" footer="0.3"/>
  <pageSetup paperSize="9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BF2EF5-9AC0-4D5D-9D64-328F94F907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A18:C18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51EFBD-820E-4A44-BFE0-D53C72FE3D0B}">
          <x14:formula1>
            <xm:f>_xlfn.ANCHORARRAY(Dashboard_Steuerung!A3)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DB2A-4E5E-430E-AAD0-739F9D079E5B}">
  <sheetPr codeName="Tabelle12"/>
  <dimension ref="A12"/>
  <sheetViews>
    <sheetView showGridLines="0" showRowColHeaders="0" tabSelected="1" topLeftCell="A5" zoomScale="26" zoomScaleNormal="32" workbookViewId="0">
      <selection activeCell="AD126" sqref="AD126"/>
    </sheetView>
  </sheetViews>
  <sheetFormatPr baseColWidth="10" defaultColWidth="11.42578125" defaultRowHeight="15" x14ac:dyDescent="0.25"/>
  <sheetData>
    <row r="12" s="19" customFormat="1" x14ac:dyDescent="0.25"/>
  </sheetData>
  <pageMargins left="0.7" right="0.7" top="0.78740157499999996" bottom="0.78740157499999996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7EA6-CC67-4F78-8427-98608518EE7E}">
  <sheetPr codeName="Tabelle3">
    <tabColor theme="3" tint="0.749992370372631"/>
  </sheetPr>
  <dimension ref="A1:J13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48.5703125" customWidth="1"/>
    <col min="2" max="2" width="28" customWidth="1"/>
    <col min="3" max="3" width="18.140625" customWidth="1"/>
    <col min="4" max="4" width="25.85546875" customWidth="1"/>
    <col min="5" max="5" width="18.42578125" customWidth="1"/>
    <col min="6" max="6" width="23.42578125" customWidth="1"/>
    <col min="7" max="7" width="23.85546875" customWidth="1"/>
    <col min="8" max="8" width="16.5703125" customWidth="1"/>
    <col min="10" max="10" width="16.42578125" customWidth="1"/>
  </cols>
  <sheetData>
    <row r="1" spans="1:10" x14ac:dyDescent="0.25">
      <c r="A1" t="s">
        <v>1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</row>
    <row r="2" spans="1:10" x14ac:dyDescent="0.25">
      <c r="A2" t="s">
        <v>17</v>
      </c>
      <c r="B2" s="1">
        <v>46387</v>
      </c>
      <c r="C2">
        <f>IFERROR(SUMIFS(Daten!$E:$E,Daten!$A:$A,$A2),0)</f>
        <v>0</v>
      </c>
      <c r="D2">
        <v>50000</v>
      </c>
      <c r="E2" s="1">
        <v>46076</v>
      </c>
      <c r="F2">
        <v>650</v>
      </c>
      <c r="G2">
        <f>IFERROR(SUMIFS(Daten!$C:$C,Daten!$A:$A,$A2),0)</f>
        <v>584</v>
      </c>
      <c r="H2">
        <f>Projekte[[#This Row],[Projektstunden (SOLL)]]-Projekte[[#This Row],[Projektstunden (IST)]]</f>
        <v>66</v>
      </c>
      <c r="I2" s="4" t="b">
        <v>1</v>
      </c>
      <c r="J2" s="2">
        <f>IFERROR($G2/$F2,0)</f>
        <v>0.89846153846153842</v>
      </c>
    </row>
    <row r="3" spans="1:10" x14ac:dyDescent="0.25">
      <c r="A3" t="s">
        <v>18</v>
      </c>
      <c r="B3" s="1">
        <v>46356</v>
      </c>
      <c r="C3">
        <f>IFERROR(SUMIFS(Daten!$E:$E,Daten!$A:$A,$A3),0)</f>
        <v>0</v>
      </c>
      <c r="D3">
        <v>100000</v>
      </c>
      <c r="E3" s="1">
        <v>46076</v>
      </c>
      <c r="F3">
        <v>20000</v>
      </c>
      <c r="G3">
        <f>IFERROR(SUMIFS(Daten!$C:$C,Daten!$A:$A,$A3),0)</f>
        <v>81</v>
      </c>
      <c r="H3">
        <f>Projekte[[#This Row],[Projektstunden (SOLL)]]-Projekte[[#This Row],[Projektstunden (IST)]]</f>
        <v>19919</v>
      </c>
      <c r="I3" s="4" t="b">
        <v>1</v>
      </c>
      <c r="J3" s="2">
        <f>IFERROR($G3/$F3,0)</f>
        <v>4.0499999999999998E-3</v>
      </c>
    </row>
    <row r="4" spans="1:10" x14ac:dyDescent="0.25">
      <c r="A4" t="s">
        <v>4</v>
      </c>
      <c r="B4" s="1">
        <v>46203</v>
      </c>
      <c r="C4">
        <f>IFERROR(SUMIFS(Daten!$E:$E,Daten!$A:$A,$A4),0)</f>
        <v>0</v>
      </c>
      <c r="D4">
        <v>250000</v>
      </c>
      <c r="E4" s="1">
        <v>46076</v>
      </c>
      <c r="F4">
        <v>10000</v>
      </c>
      <c r="G4">
        <f>IFERROR(SUMIFS(Daten!$C:$C,Daten!$A:$A,$A4),0)</f>
        <v>158</v>
      </c>
      <c r="H4">
        <f>Projekte[[#This Row],[Projektstunden (SOLL)]]-Projekte[[#This Row],[Projektstunden (IST)]]</f>
        <v>9842</v>
      </c>
      <c r="I4" s="4" t="b">
        <v>1</v>
      </c>
      <c r="J4" s="2">
        <f>IFERROR($G4/$F4,0)</f>
        <v>1.5800000000000002E-2</v>
      </c>
    </row>
    <row r="5" spans="1:10" x14ac:dyDescent="0.25">
      <c r="A5" t="s">
        <v>19</v>
      </c>
      <c r="B5" s="1">
        <v>46264</v>
      </c>
      <c r="C5">
        <f>IFERROR(SUMIFS(Daten!$E:$E,Daten!$A:$A,$A5),0)</f>
        <v>0</v>
      </c>
      <c r="D5">
        <v>150000</v>
      </c>
      <c r="E5" s="1">
        <v>46076</v>
      </c>
      <c r="F5">
        <v>15000</v>
      </c>
      <c r="G5">
        <f>IFERROR(SUMIFS(Daten!$C:$C,Daten!$A:$A,$A5),0)</f>
        <v>6</v>
      </c>
      <c r="H5">
        <f>Projekte[[#This Row],[Projektstunden (SOLL)]]-Projekte[[#This Row],[Projektstunden (IST)]]</f>
        <v>14994</v>
      </c>
      <c r="I5" s="4" t="b">
        <v>1</v>
      </c>
      <c r="J5" s="2">
        <f>IFERROR($G5/$F5,0)</f>
        <v>4.0000000000000002E-4</v>
      </c>
    </row>
    <row r="6" spans="1:10" x14ac:dyDescent="0.25">
      <c r="A6" t="s">
        <v>20</v>
      </c>
      <c r="B6" s="1">
        <v>46101</v>
      </c>
      <c r="C6">
        <f>IFERROR(SUMIFS(Daten!$E:$E,Daten!$A:$A,$A6),0)</f>
        <v>0</v>
      </c>
      <c r="D6">
        <v>30000</v>
      </c>
      <c r="E6" s="1">
        <v>46076</v>
      </c>
      <c r="F6">
        <v>616</v>
      </c>
      <c r="G6">
        <f>IFERROR(SUMIFS(Daten!$C:$C,Daten!$A:$A,$A6),0)</f>
        <v>184</v>
      </c>
      <c r="H6">
        <f>Projekte[[#This Row],[Projektstunden (SOLL)]]-Projekte[[#This Row],[Projektstunden (IST)]]</f>
        <v>432</v>
      </c>
      <c r="I6" s="4" t="b">
        <v>1</v>
      </c>
      <c r="J6" s="2">
        <f>IFERROR($G6/$F6,0)</f>
        <v>0.29870129870129869</v>
      </c>
    </row>
    <row r="7" spans="1:10" x14ac:dyDescent="0.25">
      <c r="A7" t="s">
        <v>21</v>
      </c>
      <c r="B7" s="1">
        <v>46387</v>
      </c>
      <c r="C7">
        <f>IFERROR(SUMIFS(Daten!$E:$E,Daten!$A:$A,$A7),0)</f>
        <v>0</v>
      </c>
      <c r="D7">
        <v>100000</v>
      </c>
      <c r="E7" s="1">
        <v>46076</v>
      </c>
      <c r="F7">
        <v>616</v>
      </c>
      <c r="G7">
        <f>IFERROR(SUMIFS(Daten!$C:$C,Daten!$A:$A,$A7),0)</f>
        <v>10</v>
      </c>
      <c r="H7">
        <f>Projekte[[#This Row],[Projektstunden (SOLL)]]-Projekte[[#This Row],[Projektstunden (IST)]]</f>
        <v>606</v>
      </c>
      <c r="I7" s="4" t="b">
        <v>1</v>
      </c>
      <c r="J7" s="2">
        <f>IFERROR($G7/$F7,0)</f>
        <v>1.6233766233766232E-2</v>
      </c>
    </row>
    <row r="8" spans="1:10" x14ac:dyDescent="0.25">
      <c r="A8" t="s">
        <v>22</v>
      </c>
      <c r="B8" s="1">
        <v>46387</v>
      </c>
      <c r="C8">
        <f>IFERROR(SUMIFS(Daten!$E:$E,Daten!$A:$A,$A8),0)</f>
        <v>0</v>
      </c>
      <c r="D8">
        <v>100000</v>
      </c>
      <c r="E8" s="1">
        <v>46076</v>
      </c>
      <c r="F8">
        <v>308</v>
      </c>
      <c r="G8">
        <f>IFERROR(SUMIFS(Daten!$C:$C,Daten!$A:$A,$A8),0)</f>
        <v>217</v>
      </c>
      <c r="H8">
        <f>Projekte[[#This Row],[Projektstunden (SOLL)]]-Projekte[[#This Row],[Projektstunden (IST)]]</f>
        <v>91</v>
      </c>
      <c r="I8" s="4" t="b">
        <v>1</v>
      </c>
      <c r="J8" s="2">
        <f>IFERROR($G8/$F8,0)</f>
        <v>0.70454545454545459</v>
      </c>
    </row>
    <row r="9" spans="1:10" x14ac:dyDescent="0.25">
      <c r="A9" t="s">
        <v>23</v>
      </c>
      <c r="B9" s="1">
        <v>46387</v>
      </c>
      <c r="C9">
        <f>IFERROR(SUMIFS(Daten!$E:$E,Daten!$A:$A,$A9),0)</f>
        <v>0</v>
      </c>
      <c r="D9">
        <v>0</v>
      </c>
      <c r="E9" s="1">
        <v>46083</v>
      </c>
      <c r="F9">
        <v>155</v>
      </c>
      <c r="G9">
        <f>IFERROR(SUMIFS(Daten!$C:$C,Daten!$A:$A,$A9),0)</f>
        <v>261.5</v>
      </c>
      <c r="H9">
        <f>Projekte[[#This Row],[Projektstunden (SOLL)]]-Projekte[[#This Row],[Projektstunden (IST)]]</f>
        <v>-106.5</v>
      </c>
      <c r="I9" s="4" t="b">
        <v>1</v>
      </c>
      <c r="J9" s="2">
        <f>IFERROR($G9/$F9,0)</f>
        <v>1.6870967741935483</v>
      </c>
    </row>
    <row r="10" spans="1:10" x14ac:dyDescent="0.25">
      <c r="A10" t="s">
        <v>24</v>
      </c>
      <c r="B10" s="1">
        <v>46143</v>
      </c>
      <c r="C10">
        <f>IFERROR(SUMIFS(Daten!$E:$E,Daten!$A:$A,$A10),0)</f>
        <v>0</v>
      </c>
      <c r="D10">
        <v>0</v>
      </c>
      <c r="E10" s="1">
        <v>46083</v>
      </c>
      <c r="F10">
        <v>40</v>
      </c>
      <c r="G10">
        <f>IFERROR(SUMIFS(Daten!$C:$C,Daten!$A:$A,$A10),0)</f>
        <v>22</v>
      </c>
      <c r="H10">
        <f>Projekte[[#This Row],[Projektstunden (SOLL)]]-Projekte[[#This Row],[Projektstunden (IST)]]</f>
        <v>18</v>
      </c>
      <c r="I10" s="4" t="b">
        <v>1</v>
      </c>
      <c r="J10" s="2">
        <f>IFERROR($G10/$F10,0)</f>
        <v>0.55000000000000004</v>
      </c>
    </row>
    <row r="11" spans="1:10" x14ac:dyDescent="0.25">
      <c r="A11" t="s">
        <v>25</v>
      </c>
      <c r="B11" s="1">
        <v>46387</v>
      </c>
      <c r="C11">
        <f>IFERROR(SUMIFS(Daten!$E:$E,Daten!$A:$A,$A11),0)</f>
        <v>0</v>
      </c>
      <c r="D11">
        <v>0</v>
      </c>
      <c r="E11" s="1">
        <v>46112</v>
      </c>
      <c r="F11">
        <v>200</v>
      </c>
      <c r="G11">
        <f>IFERROR(SUMIFS(Daten!$C:$C,Daten!$A:$A,$A11),0)</f>
        <v>26</v>
      </c>
      <c r="H11">
        <f>Projekte[[#This Row],[Projektstunden (SOLL)]]-Projekte[[#This Row],[Projektstunden (IST)]]</f>
        <v>174</v>
      </c>
      <c r="I11" s="4" t="b">
        <v>1</v>
      </c>
      <c r="J11" s="2">
        <f>IFERROR($G11/$F11,0)</f>
        <v>0.13</v>
      </c>
    </row>
    <row r="12" spans="1:10" x14ac:dyDescent="0.25">
      <c r="A12" t="s">
        <v>26</v>
      </c>
      <c r="B12" s="1">
        <v>46387</v>
      </c>
      <c r="C12">
        <f>IFERROR(SUMIFS(Daten!$E:$E,Daten!$A:$A,$A12),0)</f>
        <v>0</v>
      </c>
      <c r="D12">
        <v>100</v>
      </c>
      <c r="E12" s="1">
        <v>46168</v>
      </c>
      <c r="F12">
        <v>100</v>
      </c>
      <c r="G12">
        <f>IFERROR(SUMIFS(Daten!$C:$C,Daten!$A:$A,$A12),0)</f>
        <v>434.5</v>
      </c>
      <c r="H12">
        <f>Projekte[[#This Row],[Projektstunden (SOLL)]]-Projekte[[#This Row],[Projektstunden (IST)]]</f>
        <v>-334.5</v>
      </c>
      <c r="I12" s="4" t="b">
        <v>1</v>
      </c>
      <c r="J12" s="2">
        <f>IFERROR($G12/$F12,0)</f>
        <v>4.3449999999999998</v>
      </c>
    </row>
    <row r="13" spans="1:10" x14ac:dyDescent="0.25">
      <c r="A13" t="s">
        <v>27</v>
      </c>
      <c r="B13" s="1">
        <v>46387</v>
      </c>
      <c r="C13">
        <f>IFERROR(SUMIFS(Daten!$E:$E,Daten!$A:$A,$A13),0)</f>
        <v>0</v>
      </c>
      <c r="D13">
        <v>0</v>
      </c>
      <c r="E13" s="1">
        <v>46213</v>
      </c>
      <c r="F13">
        <v>1</v>
      </c>
      <c r="G13">
        <f>IFERROR(SUMIFS(Daten!$C:$C,Daten!$A:$A,$A13),0)</f>
        <v>0</v>
      </c>
      <c r="H13">
        <f>Projekte[[#This Row],[Projektstunden (SOLL)]]-Projekte[[#This Row],[Projektstunden (IST)]]</f>
        <v>1</v>
      </c>
      <c r="I13" s="4" t="b">
        <v>1</v>
      </c>
      <c r="J13" s="2">
        <f>IFERROR($G13/$F13,0)</f>
        <v>0</v>
      </c>
    </row>
  </sheetData>
  <sheetProtection selectLockedCells="1" sort="0" autoFilter="0" pivotTables="0"/>
  <conditionalFormatting sqref="J2:J500">
    <cfRule type="expression" dxfId="15" priority="1">
      <formula>$J2&gt;1</formula>
    </cfRule>
  </conditionalFormatting>
  <conditionalFormatting sqref="H2:H500">
    <cfRule type="expression" dxfId="15" priority="2">
      <formula>AND(ISNUMBER($H2),$H2&lt;0)</formula>
    </cfRule>
  </conditionalFormatting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0D278-9545-4AB5-B558-AE5F9BFBAE0F}">
  <sheetPr codeName="Tabelle18"/>
  <dimension ref="A1"/>
  <sheetViews>
    <sheetView workbookViewId="0"/>
  </sheetViews>
  <sheetFormatPr baseColWidth="10" defaultColWidth="11.42578125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0AF9-4869-4437-A621-DF881D743F2B}">
  <sheetPr codeName="Tabelle14"/>
  <dimension ref="A3:B4"/>
  <sheetViews>
    <sheetView workbookViewId="0">
      <selection activeCell="J11" sqref="J11"/>
    </sheetView>
  </sheetViews>
  <sheetFormatPr baseColWidth="10" defaultColWidth="11.42578125" defaultRowHeight="15" x14ac:dyDescent="0.25"/>
  <cols>
    <col min="1" max="1" width="22.7109375" bestFit="1" customWidth="1"/>
    <col min="2" max="2" width="31.140625" bestFit="1" customWidth="1"/>
    <col min="3" max="3" width="27.140625" bestFit="1" customWidth="1"/>
  </cols>
  <sheetData>
    <row r="3" spans="1:2" x14ac:dyDescent="0.25">
      <c r="A3" s="9" t="s">
        <v>28</v>
      </c>
      <c r="B3" t="s">
        <v>29</v>
      </c>
    </row>
    <row r="4" spans="1:2" x14ac:dyDescent="0.25">
      <c r="A4" s="25" t="s">
        <v>30</v>
      </c>
    </row>
  </sheetData>
  <pageMargins left="0.7" right="0.7" top="0.78740157499999996" bottom="0.78740157499999996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76403-BDF1-4D64-8D9A-04C72F8D7603}">
  <sheetPr codeName="Tabelle6">
    <tabColor theme="3"/>
  </sheetPr>
  <dimension ref="A1:H180"/>
  <sheetViews>
    <sheetView zoomScale="96" zoomScaleNormal="130" workbookViewId="0">
      <selection activeCell="A2" sqref="A2"/>
    </sheetView>
  </sheetViews>
  <sheetFormatPr baseColWidth="10" defaultColWidth="11.42578125" defaultRowHeight="15" x14ac:dyDescent="0.25"/>
  <cols>
    <col min="1" max="1" width="41.5703125" customWidth="1"/>
    <col min="2" max="2" width="24.140625" customWidth="1"/>
    <col min="3" max="3" width="22.7109375" customWidth="1"/>
    <col min="4" max="4" width="24" customWidth="1"/>
    <col min="5" max="5" width="26" customWidth="1"/>
    <col min="6" max="6" width="14.5703125" customWidth="1"/>
    <col min="7" max="7" width="21.85546875" customWidth="1"/>
    <col min="8" max="8" width="20" customWidth="1"/>
    <col min="9" max="9" width="35.28515625" customWidth="1"/>
    <col min="10" max="10" width="16.5703125" customWidth="1"/>
  </cols>
  <sheetData>
    <row r="1" spans="1:8" x14ac:dyDescent="0.25">
      <c r="A1" t="s">
        <v>1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</row>
    <row r="2" spans="1:8" x14ac:dyDescent="0.25">
      <c r="A2" t="s">
        <v>23</v>
      </c>
      <c r="B2" t="s">
        <v>36</v>
      </c>
      <c r="C2">
        <v>1.5</v>
      </c>
      <c r="D2" s="1">
        <v>46090</v>
      </c>
      <c r="E2">
        <v>0</v>
      </c>
      <c r="F2" s="1">
        <v>46090</v>
      </c>
      <c r="H2" s="2"/>
    </row>
    <row r="3" spans="1:8" x14ac:dyDescent="0.25">
      <c r="A3" t="s">
        <v>23</v>
      </c>
      <c r="B3" t="s">
        <v>36</v>
      </c>
      <c r="C3">
        <v>3.5</v>
      </c>
      <c r="D3" s="1">
        <v>46094</v>
      </c>
      <c r="E3">
        <v>0</v>
      </c>
      <c r="F3" s="1">
        <v>46099</v>
      </c>
      <c r="H3" s="2"/>
    </row>
    <row r="4" spans="1:8" x14ac:dyDescent="0.25">
      <c r="A4" t="s">
        <v>23</v>
      </c>
      <c r="B4" t="s">
        <v>36</v>
      </c>
      <c r="C4">
        <v>1</v>
      </c>
      <c r="D4" t="s">
        <v>37</v>
      </c>
      <c r="E4">
        <v>0</v>
      </c>
      <c r="F4" s="1">
        <v>46085</v>
      </c>
      <c r="H4" s="2"/>
    </row>
    <row r="5" spans="1:8" x14ac:dyDescent="0.25">
      <c r="A5" t="s">
        <v>23</v>
      </c>
      <c r="B5" t="s">
        <v>36</v>
      </c>
      <c r="C5">
        <v>6.5</v>
      </c>
      <c r="D5" t="s">
        <v>38</v>
      </c>
      <c r="E5">
        <v>0</v>
      </c>
      <c r="F5" s="1">
        <v>46085</v>
      </c>
      <c r="H5" s="2"/>
    </row>
    <row r="6" spans="1:8" x14ac:dyDescent="0.25">
      <c r="A6" t="s">
        <v>23</v>
      </c>
      <c r="B6" t="s">
        <v>36</v>
      </c>
      <c r="C6">
        <v>4.5</v>
      </c>
      <c r="D6" t="s">
        <v>39</v>
      </c>
      <c r="E6">
        <v>0</v>
      </c>
      <c r="F6" s="1">
        <v>46087</v>
      </c>
      <c r="H6" s="2"/>
    </row>
    <row r="7" spans="1:8" x14ac:dyDescent="0.25">
      <c r="A7" t="s">
        <v>23</v>
      </c>
      <c r="B7" t="s">
        <v>36</v>
      </c>
      <c r="C7">
        <v>5</v>
      </c>
      <c r="D7" t="s">
        <v>40</v>
      </c>
      <c r="E7">
        <v>0</v>
      </c>
      <c r="F7" s="1">
        <v>46091</v>
      </c>
      <c r="H7" s="2"/>
    </row>
    <row r="8" spans="1:8" x14ac:dyDescent="0.25">
      <c r="A8" t="s">
        <v>23</v>
      </c>
      <c r="B8" t="s">
        <v>36</v>
      </c>
      <c r="C8">
        <v>6.5</v>
      </c>
      <c r="D8" t="s">
        <v>41</v>
      </c>
      <c r="E8">
        <v>0</v>
      </c>
      <c r="F8" s="1">
        <v>46092</v>
      </c>
      <c r="H8" s="2"/>
    </row>
    <row r="9" spans="1:8" x14ac:dyDescent="0.25">
      <c r="A9" t="s">
        <v>23</v>
      </c>
      <c r="B9" t="s">
        <v>36</v>
      </c>
      <c r="C9">
        <v>4</v>
      </c>
      <c r="D9" t="s">
        <v>42</v>
      </c>
      <c r="E9">
        <v>0</v>
      </c>
      <c r="F9" s="1">
        <v>46094</v>
      </c>
      <c r="H9" s="2"/>
    </row>
    <row r="10" spans="1:8" x14ac:dyDescent="0.25">
      <c r="A10" t="s">
        <v>23</v>
      </c>
      <c r="B10" t="s">
        <v>36</v>
      </c>
      <c r="C10">
        <v>1</v>
      </c>
      <c r="D10" t="s">
        <v>43</v>
      </c>
      <c r="E10">
        <v>0</v>
      </c>
      <c r="F10" s="1">
        <v>46094</v>
      </c>
      <c r="H10" s="2"/>
    </row>
    <row r="11" spans="1:8" x14ac:dyDescent="0.25">
      <c r="A11" t="s">
        <v>23</v>
      </c>
      <c r="B11" t="s">
        <v>44</v>
      </c>
      <c r="C11">
        <v>2</v>
      </c>
      <c r="D11" t="s">
        <v>45</v>
      </c>
      <c r="E11">
        <v>0</v>
      </c>
      <c r="F11" s="1">
        <v>46094</v>
      </c>
      <c r="H11" s="2"/>
    </row>
    <row r="12" spans="1:8" x14ac:dyDescent="0.25">
      <c r="A12" t="s">
        <v>23</v>
      </c>
      <c r="B12" t="s">
        <v>36</v>
      </c>
      <c r="C12">
        <v>4.5</v>
      </c>
      <c r="D12" t="s">
        <v>45</v>
      </c>
      <c r="E12">
        <v>0</v>
      </c>
      <c r="F12" s="1">
        <v>46107</v>
      </c>
    </row>
    <row r="13" spans="1:8" x14ac:dyDescent="0.25">
      <c r="A13" t="s">
        <v>23</v>
      </c>
      <c r="B13" t="s">
        <v>36</v>
      </c>
      <c r="C13">
        <v>6.5</v>
      </c>
      <c r="D13" t="s">
        <v>46</v>
      </c>
      <c r="E13">
        <v>0</v>
      </c>
      <c r="F13" s="1">
        <v>46099</v>
      </c>
    </row>
    <row r="14" spans="1:8" x14ac:dyDescent="0.25">
      <c r="A14" t="s">
        <v>23</v>
      </c>
      <c r="B14" t="s">
        <v>36</v>
      </c>
      <c r="C14">
        <v>8.5</v>
      </c>
      <c r="D14" t="s">
        <v>47</v>
      </c>
      <c r="E14">
        <v>0</v>
      </c>
      <c r="F14" s="1">
        <v>46099</v>
      </c>
    </row>
    <row r="15" spans="1:8" x14ac:dyDescent="0.25">
      <c r="A15" t="s">
        <v>23</v>
      </c>
      <c r="B15" t="s">
        <v>36</v>
      </c>
      <c r="C15">
        <v>7</v>
      </c>
      <c r="D15" t="s">
        <v>48</v>
      </c>
      <c r="E15">
        <v>0</v>
      </c>
      <c r="F15" s="1">
        <v>46100</v>
      </c>
    </row>
    <row r="16" spans="1:8" x14ac:dyDescent="0.25">
      <c r="A16" t="s">
        <v>23</v>
      </c>
      <c r="B16" t="s">
        <v>36</v>
      </c>
      <c r="C16">
        <v>3.5</v>
      </c>
      <c r="D16" t="s">
        <v>49</v>
      </c>
      <c r="E16">
        <v>0</v>
      </c>
      <c r="F16" s="1">
        <v>46105</v>
      </c>
    </row>
    <row r="17" spans="1:6" x14ac:dyDescent="0.25">
      <c r="A17" t="s">
        <v>23</v>
      </c>
      <c r="B17" t="s">
        <v>36</v>
      </c>
      <c r="C17">
        <v>6.5</v>
      </c>
      <c r="D17" t="s">
        <v>50</v>
      </c>
      <c r="E17">
        <v>0</v>
      </c>
      <c r="F17" s="1">
        <v>46107</v>
      </c>
    </row>
    <row r="18" spans="1:6" x14ac:dyDescent="0.25">
      <c r="A18" t="s">
        <v>23</v>
      </c>
      <c r="B18" t="s">
        <v>36</v>
      </c>
      <c r="C18">
        <v>4</v>
      </c>
      <c r="D18" t="s">
        <v>51</v>
      </c>
      <c r="E18">
        <v>0</v>
      </c>
      <c r="F18" s="1">
        <v>46107</v>
      </c>
    </row>
    <row r="19" spans="1:6" x14ac:dyDescent="0.25">
      <c r="A19" t="s">
        <v>23</v>
      </c>
      <c r="B19" t="s">
        <v>36</v>
      </c>
      <c r="C19">
        <v>31.5</v>
      </c>
      <c r="D19" t="s">
        <v>52</v>
      </c>
      <c r="E19">
        <v>0</v>
      </c>
      <c r="F19" s="1">
        <v>46083</v>
      </c>
    </row>
    <row r="20" spans="1:6" x14ac:dyDescent="0.25">
      <c r="A20" t="s">
        <v>22</v>
      </c>
      <c r="B20" t="s">
        <v>44</v>
      </c>
      <c r="C20">
        <v>7</v>
      </c>
      <c r="D20" t="s">
        <v>53</v>
      </c>
      <c r="E20">
        <v>0</v>
      </c>
      <c r="F20" s="1">
        <v>46083</v>
      </c>
    </row>
    <row r="21" spans="1:6" x14ac:dyDescent="0.25">
      <c r="A21" t="s">
        <v>4</v>
      </c>
      <c r="B21" t="s">
        <v>0</v>
      </c>
      <c r="C21">
        <v>6</v>
      </c>
      <c r="D21" t="s">
        <v>54</v>
      </c>
      <c r="E21">
        <v>0</v>
      </c>
      <c r="F21" s="1">
        <v>46107</v>
      </c>
    </row>
    <row r="22" spans="1:6" x14ac:dyDescent="0.25">
      <c r="A22" t="s">
        <v>17</v>
      </c>
      <c r="B22" t="s">
        <v>0</v>
      </c>
      <c r="C22">
        <v>40</v>
      </c>
      <c r="D22" t="s">
        <v>55</v>
      </c>
      <c r="E22">
        <v>0</v>
      </c>
      <c r="F22" s="1">
        <v>46083</v>
      </c>
    </row>
    <row r="23" spans="1:6" x14ac:dyDescent="0.25">
      <c r="A23" t="s">
        <v>17</v>
      </c>
      <c r="B23" t="s">
        <v>0</v>
      </c>
      <c r="C23">
        <v>16</v>
      </c>
      <c r="D23" t="s">
        <v>56</v>
      </c>
      <c r="E23">
        <v>0</v>
      </c>
      <c r="F23" s="1">
        <v>46098</v>
      </c>
    </row>
    <row r="24" spans="1:6" x14ac:dyDescent="0.25">
      <c r="A24" t="s">
        <v>21</v>
      </c>
      <c r="B24" t="s">
        <v>36</v>
      </c>
      <c r="C24">
        <v>10</v>
      </c>
      <c r="D24" t="s">
        <v>57</v>
      </c>
      <c r="E24">
        <v>0</v>
      </c>
      <c r="F24" s="1">
        <v>46083</v>
      </c>
    </row>
    <row r="25" spans="1:6" x14ac:dyDescent="0.25">
      <c r="A25" t="s">
        <v>17</v>
      </c>
      <c r="B25" t="s">
        <v>0</v>
      </c>
      <c r="C25">
        <v>8</v>
      </c>
      <c r="D25" t="s">
        <v>58</v>
      </c>
      <c r="E25">
        <v>0</v>
      </c>
      <c r="F25" s="1">
        <v>46090</v>
      </c>
    </row>
    <row r="26" spans="1:6" x14ac:dyDescent="0.25">
      <c r="A26" t="s">
        <v>4</v>
      </c>
      <c r="B26" t="s">
        <v>0</v>
      </c>
      <c r="C26">
        <v>6</v>
      </c>
      <c r="D26" t="s">
        <v>59</v>
      </c>
      <c r="E26">
        <v>0</v>
      </c>
      <c r="F26" s="1">
        <v>46086</v>
      </c>
    </row>
    <row r="27" spans="1:6" x14ac:dyDescent="0.25">
      <c r="A27" t="s">
        <v>17</v>
      </c>
      <c r="B27" t="s">
        <v>0</v>
      </c>
      <c r="C27">
        <v>60</v>
      </c>
      <c r="D27" t="s">
        <v>60</v>
      </c>
      <c r="E27">
        <v>0</v>
      </c>
      <c r="F27" s="1">
        <v>46083</v>
      </c>
    </row>
    <row r="28" spans="1:6" x14ac:dyDescent="0.25">
      <c r="A28" t="s">
        <v>18</v>
      </c>
      <c r="B28" t="s">
        <v>0</v>
      </c>
      <c r="C28">
        <v>2</v>
      </c>
      <c r="D28" t="s">
        <v>61</v>
      </c>
      <c r="E28">
        <v>0</v>
      </c>
      <c r="F28" s="1">
        <v>46097</v>
      </c>
    </row>
    <row r="29" spans="1:6" x14ac:dyDescent="0.25">
      <c r="A29" t="s">
        <v>18</v>
      </c>
      <c r="B29" t="s">
        <v>0</v>
      </c>
      <c r="C29">
        <v>6</v>
      </c>
      <c r="D29" t="s">
        <v>62</v>
      </c>
      <c r="E29">
        <v>0</v>
      </c>
      <c r="F29" s="1">
        <v>46091</v>
      </c>
    </row>
    <row r="30" spans="1:6" x14ac:dyDescent="0.25">
      <c r="A30" t="s">
        <v>17</v>
      </c>
      <c r="B30" t="s">
        <v>0</v>
      </c>
      <c r="C30">
        <v>8</v>
      </c>
      <c r="D30" t="s">
        <v>63</v>
      </c>
      <c r="E30">
        <v>0</v>
      </c>
      <c r="F30" s="1">
        <v>46100</v>
      </c>
    </row>
    <row r="31" spans="1:6" x14ac:dyDescent="0.25">
      <c r="A31" t="s">
        <v>17</v>
      </c>
      <c r="B31" t="s">
        <v>0</v>
      </c>
      <c r="C31">
        <v>10</v>
      </c>
      <c r="D31" t="s">
        <v>64</v>
      </c>
      <c r="E31">
        <v>0</v>
      </c>
      <c r="F31" s="1">
        <v>46092</v>
      </c>
    </row>
    <row r="32" spans="1:6" x14ac:dyDescent="0.25">
      <c r="A32" t="s">
        <v>17</v>
      </c>
      <c r="B32" t="s">
        <v>0</v>
      </c>
      <c r="C32">
        <v>10</v>
      </c>
      <c r="D32" t="s">
        <v>65</v>
      </c>
      <c r="E32">
        <v>0</v>
      </c>
      <c r="F32" s="1">
        <v>46105</v>
      </c>
    </row>
    <row r="33" spans="1:6" x14ac:dyDescent="0.25">
      <c r="A33" t="s">
        <v>17</v>
      </c>
      <c r="B33" t="s">
        <v>0</v>
      </c>
      <c r="C33">
        <v>20</v>
      </c>
      <c r="D33" t="s">
        <v>66</v>
      </c>
      <c r="E33">
        <v>0</v>
      </c>
      <c r="F33" s="1">
        <v>46086</v>
      </c>
    </row>
    <row r="34" spans="1:6" x14ac:dyDescent="0.25">
      <c r="A34" t="s">
        <v>19</v>
      </c>
      <c r="B34" t="s">
        <v>0</v>
      </c>
      <c r="C34">
        <v>6</v>
      </c>
      <c r="D34" t="s">
        <v>67</v>
      </c>
      <c r="E34">
        <v>0</v>
      </c>
      <c r="F34" s="1">
        <v>46094</v>
      </c>
    </row>
    <row r="35" spans="1:6" x14ac:dyDescent="0.25">
      <c r="A35" t="s">
        <v>4</v>
      </c>
      <c r="B35" t="s">
        <v>0</v>
      </c>
      <c r="C35">
        <v>8</v>
      </c>
      <c r="D35" t="s">
        <v>68</v>
      </c>
      <c r="E35">
        <v>0</v>
      </c>
      <c r="F35" s="1">
        <v>46099</v>
      </c>
    </row>
    <row r="36" spans="1:6" x14ac:dyDescent="0.25">
      <c r="A36" t="s">
        <v>4</v>
      </c>
      <c r="B36" t="s">
        <v>0</v>
      </c>
      <c r="C36">
        <v>10</v>
      </c>
      <c r="D36" t="s">
        <v>69</v>
      </c>
      <c r="E36">
        <v>0</v>
      </c>
      <c r="F36" s="1">
        <v>46093</v>
      </c>
    </row>
    <row r="37" spans="1:6" x14ac:dyDescent="0.25">
      <c r="A37" t="s">
        <v>23</v>
      </c>
      <c r="B37" t="s">
        <v>36</v>
      </c>
      <c r="C37">
        <v>3.5</v>
      </c>
      <c r="D37" t="s">
        <v>70</v>
      </c>
      <c r="E37">
        <v>0</v>
      </c>
      <c r="F37" s="1">
        <v>46083</v>
      </c>
    </row>
    <row r="38" spans="1:6" x14ac:dyDescent="0.25">
      <c r="A38" t="s">
        <v>18</v>
      </c>
      <c r="B38" t="s">
        <v>0</v>
      </c>
      <c r="C38">
        <v>2</v>
      </c>
      <c r="D38" t="s">
        <v>71</v>
      </c>
      <c r="E38">
        <v>0</v>
      </c>
      <c r="F38" s="1">
        <v>46106</v>
      </c>
    </row>
    <row r="39" spans="1:6" x14ac:dyDescent="0.25">
      <c r="A39" t="s">
        <v>17</v>
      </c>
      <c r="B39" t="s">
        <v>0</v>
      </c>
      <c r="C39">
        <v>22</v>
      </c>
      <c r="D39" t="s">
        <v>72</v>
      </c>
      <c r="E39">
        <v>0</v>
      </c>
      <c r="F39" s="1">
        <v>46083</v>
      </c>
    </row>
    <row r="40" spans="1:6" x14ac:dyDescent="0.25">
      <c r="A40" t="s">
        <v>17</v>
      </c>
      <c r="B40" t="s">
        <v>0</v>
      </c>
      <c r="C40">
        <v>10</v>
      </c>
      <c r="D40" t="s">
        <v>73</v>
      </c>
      <c r="E40">
        <v>0</v>
      </c>
      <c r="F40" s="1">
        <v>46104</v>
      </c>
    </row>
    <row r="41" spans="1:6" x14ac:dyDescent="0.25">
      <c r="A41" t="s">
        <v>22</v>
      </c>
      <c r="B41" t="s">
        <v>44</v>
      </c>
      <c r="C41">
        <v>20</v>
      </c>
      <c r="D41" t="s">
        <v>74</v>
      </c>
      <c r="E41">
        <v>0</v>
      </c>
      <c r="F41" s="1">
        <v>46087</v>
      </c>
    </row>
    <row r="42" spans="1:6" x14ac:dyDescent="0.25">
      <c r="A42" t="s">
        <v>24</v>
      </c>
      <c r="B42" t="s">
        <v>44</v>
      </c>
      <c r="C42">
        <v>2</v>
      </c>
      <c r="E42">
        <v>0</v>
      </c>
      <c r="F42" s="1">
        <v>46083</v>
      </c>
    </row>
    <row r="43" spans="1:6" x14ac:dyDescent="0.25">
      <c r="A43" t="s">
        <v>22</v>
      </c>
      <c r="B43" t="s">
        <v>0</v>
      </c>
      <c r="C43">
        <v>4</v>
      </c>
      <c r="E43">
        <v>0</v>
      </c>
      <c r="F43" s="1">
        <v>46086</v>
      </c>
    </row>
    <row r="44" spans="1:6" x14ac:dyDescent="0.25">
      <c r="A44" t="s">
        <v>24</v>
      </c>
      <c r="B44" t="s">
        <v>44</v>
      </c>
      <c r="C44">
        <v>20</v>
      </c>
      <c r="E44">
        <v>0</v>
      </c>
      <c r="F44" s="1">
        <v>46087</v>
      </c>
    </row>
    <row r="45" spans="1:6" x14ac:dyDescent="0.25">
      <c r="A45" t="s">
        <v>22</v>
      </c>
      <c r="B45" t="s">
        <v>44</v>
      </c>
      <c r="C45">
        <v>35</v>
      </c>
      <c r="E45">
        <v>0</v>
      </c>
      <c r="F45" s="1">
        <v>46094</v>
      </c>
    </row>
    <row r="46" spans="1:6" x14ac:dyDescent="0.25">
      <c r="A46" t="s">
        <v>20</v>
      </c>
      <c r="B46" t="s">
        <v>44</v>
      </c>
      <c r="C46">
        <v>25</v>
      </c>
      <c r="E46">
        <v>0</v>
      </c>
      <c r="F46" s="1">
        <v>46101</v>
      </c>
    </row>
    <row r="47" spans="1:6" x14ac:dyDescent="0.25">
      <c r="A47" t="s">
        <v>22</v>
      </c>
      <c r="B47" t="s">
        <v>44</v>
      </c>
      <c r="C47">
        <v>25</v>
      </c>
      <c r="E47">
        <v>0</v>
      </c>
      <c r="F47" s="1">
        <v>46101</v>
      </c>
    </row>
    <row r="48" spans="1:6" x14ac:dyDescent="0.25">
      <c r="A48" t="s">
        <v>20</v>
      </c>
      <c r="B48" t="s">
        <v>44</v>
      </c>
      <c r="C48">
        <v>15</v>
      </c>
      <c r="E48">
        <v>0</v>
      </c>
      <c r="F48" s="1">
        <v>46112</v>
      </c>
    </row>
    <row r="49" spans="1:6" x14ac:dyDescent="0.25">
      <c r="A49" t="s">
        <v>25</v>
      </c>
      <c r="B49" t="s">
        <v>44</v>
      </c>
      <c r="C49">
        <v>8</v>
      </c>
      <c r="E49">
        <v>0</v>
      </c>
      <c r="F49" s="1">
        <v>46108</v>
      </c>
    </row>
    <row r="50" spans="1:6" x14ac:dyDescent="0.25">
      <c r="A50" t="s">
        <v>4</v>
      </c>
      <c r="B50" t="s">
        <v>44</v>
      </c>
      <c r="C50">
        <v>4</v>
      </c>
      <c r="E50">
        <v>0</v>
      </c>
      <c r="F50" s="1">
        <v>46108</v>
      </c>
    </row>
    <row r="51" spans="1:6" x14ac:dyDescent="0.25">
      <c r="A51" t="s">
        <v>22</v>
      </c>
      <c r="B51" t="s">
        <v>44</v>
      </c>
      <c r="C51">
        <v>13</v>
      </c>
      <c r="E51">
        <v>0</v>
      </c>
      <c r="F51" s="1">
        <v>46108</v>
      </c>
    </row>
    <row r="52" spans="1:6" x14ac:dyDescent="0.25">
      <c r="A52" t="s">
        <v>25</v>
      </c>
      <c r="B52" t="s">
        <v>44</v>
      </c>
      <c r="C52">
        <v>4</v>
      </c>
      <c r="E52">
        <v>0</v>
      </c>
      <c r="F52" s="1">
        <v>46114</v>
      </c>
    </row>
    <row r="53" spans="1:6" x14ac:dyDescent="0.25">
      <c r="A53" t="s">
        <v>23</v>
      </c>
      <c r="B53" t="s">
        <v>44</v>
      </c>
      <c r="C53">
        <v>4</v>
      </c>
      <c r="E53">
        <v>0</v>
      </c>
      <c r="F53" s="1">
        <v>46114</v>
      </c>
    </row>
    <row r="54" spans="1:6" x14ac:dyDescent="0.25">
      <c r="A54" t="s">
        <v>4</v>
      </c>
      <c r="B54" t="s">
        <v>44</v>
      </c>
      <c r="C54">
        <v>4</v>
      </c>
      <c r="E54">
        <v>0</v>
      </c>
      <c r="F54" s="1">
        <v>46114</v>
      </c>
    </row>
    <row r="55" spans="1:6" x14ac:dyDescent="0.25">
      <c r="A55" t="s">
        <v>20</v>
      </c>
      <c r="B55" t="s">
        <v>44</v>
      </c>
      <c r="C55">
        <v>6</v>
      </c>
      <c r="E55">
        <v>0</v>
      </c>
      <c r="F55" s="1">
        <v>46114</v>
      </c>
    </row>
    <row r="56" spans="1:6" x14ac:dyDescent="0.25">
      <c r="A56" t="s">
        <v>18</v>
      </c>
      <c r="B56" t="s">
        <v>44</v>
      </c>
      <c r="C56">
        <v>2</v>
      </c>
      <c r="E56">
        <v>0</v>
      </c>
      <c r="F56" s="1">
        <v>46114</v>
      </c>
    </row>
    <row r="57" spans="1:6" x14ac:dyDescent="0.25">
      <c r="A57" t="s">
        <v>22</v>
      </c>
      <c r="B57" t="s">
        <v>44</v>
      </c>
      <c r="C57">
        <v>4</v>
      </c>
      <c r="E57">
        <v>0</v>
      </c>
      <c r="F57" s="1">
        <v>46114</v>
      </c>
    </row>
    <row r="58" spans="1:6" x14ac:dyDescent="0.25">
      <c r="A58" t="s">
        <v>23</v>
      </c>
      <c r="B58" t="s">
        <v>36</v>
      </c>
      <c r="C58">
        <v>4</v>
      </c>
      <c r="D58" t="s">
        <v>75</v>
      </c>
      <c r="E58">
        <v>0</v>
      </c>
      <c r="F58" s="1">
        <v>46120</v>
      </c>
    </row>
    <row r="59" spans="1:6" x14ac:dyDescent="0.25">
      <c r="A59" t="s">
        <v>23</v>
      </c>
      <c r="B59" t="s">
        <v>36</v>
      </c>
      <c r="C59">
        <v>6</v>
      </c>
      <c r="D59" t="s">
        <v>76</v>
      </c>
      <c r="E59">
        <v>0</v>
      </c>
      <c r="F59" s="1">
        <v>46120</v>
      </c>
    </row>
    <row r="60" spans="1:6" x14ac:dyDescent="0.25">
      <c r="A60" t="s">
        <v>23</v>
      </c>
      <c r="B60" t="s">
        <v>36</v>
      </c>
      <c r="C60">
        <v>2.5</v>
      </c>
      <c r="D60" t="s">
        <v>77</v>
      </c>
      <c r="E60">
        <v>0</v>
      </c>
      <c r="F60" s="1">
        <v>46120</v>
      </c>
    </row>
    <row r="61" spans="1:6" x14ac:dyDescent="0.25">
      <c r="A61" t="s">
        <v>23</v>
      </c>
      <c r="B61" t="s">
        <v>36</v>
      </c>
      <c r="C61">
        <v>1</v>
      </c>
      <c r="D61" t="s">
        <v>78</v>
      </c>
      <c r="E61">
        <v>0</v>
      </c>
      <c r="F61" s="1">
        <v>46120</v>
      </c>
    </row>
    <row r="62" spans="1:6" x14ac:dyDescent="0.25">
      <c r="A62" t="s">
        <v>23</v>
      </c>
      <c r="B62" t="s">
        <v>36</v>
      </c>
      <c r="C62">
        <v>4.5</v>
      </c>
      <c r="D62" t="s">
        <v>79</v>
      </c>
      <c r="E62">
        <v>0</v>
      </c>
      <c r="F62" s="1">
        <v>46120</v>
      </c>
    </row>
    <row r="63" spans="1:6" x14ac:dyDescent="0.25">
      <c r="A63" t="s">
        <v>23</v>
      </c>
      <c r="B63" t="s">
        <v>36</v>
      </c>
      <c r="C63">
        <v>6</v>
      </c>
      <c r="D63" t="s">
        <v>80</v>
      </c>
      <c r="E63">
        <v>0</v>
      </c>
      <c r="F63" s="1">
        <v>46120</v>
      </c>
    </row>
    <row r="64" spans="1:6" x14ac:dyDescent="0.25">
      <c r="A64" t="s">
        <v>23</v>
      </c>
      <c r="B64" t="s">
        <v>36</v>
      </c>
      <c r="C64">
        <v>7</v>
      </c>
      <c r="D64" t="s">
        <v>81</v>
      </c>
      <c r="E64">
        <v>0</v>
      </c>
      <c r="F64" s="1">
        <v>46120</v>
      </c>
    </row>
    <row r="65" spans="1:6" x14ac:dyDescent="0.25">
      <c r="A65" t="s">
        <v>23</v>
      </c>
      <c r="B65" t="s">
        <v>36</v>
      </c>
      <c r="C65">
        <v>2.5</v>
      </c>
      <c r="D65" t="s">
        <v>82</v>
      </c>
      <c r="E65">
        <v>0</v>
      </c>
      <c r="F65" s="1">
        <v>46122</v>
      </c>
    </row>
    <row r="66" spans="1:6" x14ac:dyDescent="0.25">
      <c r="A66" t="s">
        <v>23</v>
      </c>
      <c r="B66" t="s">
        <v>36</v>
      </c>
      <c r="C66">
        <v>8</v>
      </c>
      <c r="D66" t="s">
        <v>83</v>
      </c>
      <c r="E66">
        <v>0</v>
      </c>
      <c r="F66" s="1">
        <v>46122</v>
      </c>
    </row>
    <row r="67" spans="1:6" x14ac:dyDescent="0.25">
      <c r="A67" t="s">
        <v>23</v>
      </c>
      <c r="B67" t="s">
        <v>36</v>
      </c>
      <c r="C67">
        <v>5</v>
      </c>
      <c r="D67" t="s">
        <v>84</v>
      </c>
      <c r="E67">
        <v>0</v>
      </c>
      <c r="F67" s="1">
        <v>46122</v>
      </c>
    </row>
    <row r="68" spans="1:6" x14ac:dyDescent="0.25">
      <c r="A68" t="s">
        <v>23</v>
      </c>
      <c r="B68" t="s">
        <v>36</v>
      </c>
      <c r="C68">
        <v>2.75</v>
      </c>
      <c r="D68" t="s">
        <v>85</v>
      </c>
      <c r="E68">
        <v>0</v>
      </c>
      <c r="F68" s="1">
        <v>46126</v>
      </c>
    </row>
    <row r="69" spans="1:6" x14ac:dyDescent="0.25">
      <c r="A69" t="s">
        <v>23</v>
      </c>
      <c r="B69" t="s">
        <v>36</v>
      </c>
      <c r="C69">
        <v>6.75</v>
      </c>
      <c r="D69" t="s">
        <v>86</v>
      </c>
      <c r="E69">
        <v>0</v>
      </c>
      <c r="F69" s="1">
        <v>46126</v>
      </c>
    </row>
    <row r="70" spans="1:6" x14ac:dyDescent="0.25">
      <c r="A70" t="s">
        <v>17</v>
      </c>
      <c r="B70" t="s">
        <v>0</v>
      </c>
      <c r="C70">
        <v>8</v>
      </c>
      <c r="D70" t="s">
        <v>87</v>
      </c>
      <c r="E70">
        <v>0</v>
      </c>
      <c r="F70" s="1">
        <v>46125</v>
      </c>
    </row>
    <row r="71" spans="1:6" x14ac:dyDescent="0.25">
      <c r="A71" t="s">
        <v>17</v>
      </c>
      <c r="B71" t="s">
        <v>0</v>
      </c>
      <c r="C71">
        <v>8</v>
      </c>
      <c r="D71" t="s">
        <v>88</v>
      </c>
      <c r="E71">
        <v>0</v>
      </c>
      <c r="F71" s="1">
        <v>46126</v>
      </c>
    </row>
    <row r="72" spans="1:6" x14ac:dyDescent="0.25">
      <c r="A72" t="s">
        <v>4</v>
      </c>
      <c r="B72" t="s">
        <v>0</v>
      </c>
      <c r="C72">
        <v>2</v>
      </c>
      <c r="D72" t="s">
        <v>89</v>
      </c>
      <c r="F72" s="1">
        <v>46127</v>
      </c>
    </row>
    <row r="73" spans="1:6" x14ac:dyDescent="0.25">
      <c r="A73" t="s">
        <v>4</v>
      </c>
      <c r="B73" t="s">
        <v>0</v>
      </c>
      <c r="C73">
        <v>7</v>
      </c>
      <c r="D73" t="s">
        <v>90</v>
      </c>
      <c r="E73">
        <v>0</v>
      </c>
      <c r="F73" s="1">
        <v>46127</v>
      </c>
    </row>
    <row r="74" spans="1:6" x14ac:dyDescent="0.25">
      <c r="A74" t="s">
        <v>22</v>
      </c>
      <c r="B74" t="s">
        <v>44</v>
      </c>
      <c r="C74">
        <v>8</v>
      </c>
      <c r="E74">
        <v>0</v>
      </c>
      <c r="F74" s="1">
        <v>46122</v>
      </c>
    </row>
    <row r="75" spans="1:6" x14ac:dyDescent="0.25">
      <c r="A75" t="s">
        <v>25</v>
      </c>
      <c r="B75" t="s">
        <v>44</v>
      </c>
      <c r="C75">
        <v>4</v>
      </c>
      <c r="E75">
        <v>0</v>
      </c>
      <c r="F75" s="1">
        <v>46122</v>
      </c>
    </row>
    <row r="76" spans="1:6" x14ac:dyDescent="0.25">
      <c r="A76" t="s">
        <v>4</v>
      </c>
      <c r="B76" t="s">
        <v>44</v>
      </c>
      <c r="C76">
        <v>8</v>
      </c>
      <c r="E76">
        <v>0</v>
      </c>
      <c r="F76" s="1">
        <v>46122</v>
      </c>
    </row>
    <row r="77" spans="1:6" x14ac:dyDescent="0.25">
      <c r="A77" t="s">
        <v>23</v>
      </c>
      <c r="B77" t="s">
        <v>44</v>
      </c>
      <c r="C77">
        <v>4</v>
      </c>
      <c r="E77">
        <v>0</v>
      </c>
      <c r="F77" s="1">
        <v>46122</v>
      </c>
    </row>
    <row r="78" spans="1:6" x14ac:dyDescent="0.25">
      <c r="A78" t="s">
        <v>20</v>
      </c>
      <c r="B78" t="s">
        <v>44</v>
      </c>
      <c r="C78">
        <v>6</v>
      </c>
      <c r="E78">
        <v>0</v>
      </c>
      <c r="F78" s="1">
        <v>46122</v>
      </c>
    </row>
    <row r="79" spans="1:6" x14ac:dyDescent="0.25">
      <c r="A79" t="s">
        <v>22</v>
      </c>
      <c r="B79" t="s">
        <v>44</v>
      </c>
      <c r="C79">
        <v>10</v>
      </c>
      <c r="E79">
        <v>0</v>
      </c>
      <c r="F79" s="1">
        <v>46122</v>
      </c>
    </row>
    <row r="80" spans="1:6" x14ac:dyDescent="0.25">
      <c r="A80" t="s">
        <v>17</v>
      </c>
      <c r="B80" t="s">
        <v>0</v>
      </c>
      <c r="C80">
        <v>15</v>
      </c>
      <c r="D80" t="s">
        <v>91</v>
      </c>
      <c r="E80">
        <v>0</v>
      </c>
      <c r="F80" s="1">
        <v>46132</v>
      </c>
    </row>
    <row r="81" spans="1:6" x14ac:dyDescent="0.25">
      <c r="A81" t="s">
        <v>4</v>
      </c>
      <c r="B81" t="s">
        <v>0</v>
      </c>
      <c r="C81">
        <v>14</v>
      </c>
      <c r="D81" t="s">
        <v>92</v>
      </c>
      <c r="E81">
        <v>0</v>
      </c>
      <c r="F81" s="1">
        <v>46133</v>
      </c>
    </row>
    <row r="82" spans="1:6" x14ac:dyDescent="0.25">
      <c r="A82" t="s">
        <v>23</v>
      </c>
      <c r="B82" t="s">
        <v>36</v>
      </c>
      <c r="C82">
        <v>6</v>
      </c>
      <c r="D82" t="s">
        <v>93</v>
      </c>
      <c r="E82">
        <v>0</v>
      </c>
      <c r="F82" s="1">
        <v>46153</v>
      </c>
    </row>
    <row r="83" spans="1:6" x14ac:dyDescent="0.25">
      <c r="A83" t="s">
        <v>23</v>
      </c>
      <c r="B83" t="s">
        <v>36</v>
      </c>
      <c r="C83">
        <v>4</v>
      </c>
      <c r="D83" s="1">
        <v>46129</v>
      </c>
      <c r="E83">
        <v>0</v>
      </c>
      <c r="F83" s="1">
        <v>46153</v>
      </c>
    </row>
    <row r="84" spans="1:6" x14ac:dyDescent="0.25">
      <c r="A84" t="s">
        <v>23</v>
      </c>
      <c r="B84" t="s">
        <v>36</v>
      </c>
      <c r="C84">
        <v>4.5</v>
      </c>
      <c r="D84" s="1" t="s">
        <v>94</v>
      </c>
      <c r="E84">
        <v>0</v>
      </c>
      <c r="F84" s="1">
        <v>46155</v>
      </c>
    </row>
    <row r="85" spans="1:6" x14ac:dyDescent="0.25">
      <c r="A85" t="s">
        <v>23</v>
      </c>
      <c r="B85" t="s">
        <v>36</v>
      </c>
      <c r="C85">
        <v>4</v>
      </c>
      <c r="D85" s="1" t="s">
        <v>95</v>
      </c>
      <c r="E85">
        <v>0</v>
      </c>
      <c r="F85" s="1">
        <v>46155</v>
      </c>
    </row>
    <row r="86" spans="1:6" x14ac:dyDescent="0.25">
      <c r="A86" t="s">
        <v>23</v>
      </c>
      <c r="B86" t="s">
        <v>36</v>
      </c>
      <c r="C86">
        <v>4.5</v>
      </c>
      <c r="D86" s="1" t="s">
        <v>96</v>
      </c>
      <c r="E86">
        <v>0</v>
      </c>
      <c r="F86" s="1">
        <v>46155</v>
      </c>
    </row>
    <row r="87" spans="1:6" x14ac:dyDescent="0.25">
      <c r="A87" t="s">
        <v>23</v>
      </c>
      <c r="B87" t="s">
        <v>36</v>
      </c>
      <c r="C87">
        <v>23.5</v>
      </c>
      <c r="D87" s="1" t="s">
        <v>97</v>
      </c>
      <c r="E87">
        <v>0</v>
      </c>
      <c r="F87" s="1">
        <v>46164</v>
      </c>
    </row>
    <row r="88" spans="1:6" x14ac:dyDescent="0.25">
      <c r="A88" t="s">
        <v>23</v>
      </c>
      <c r="B88" t="s">
        <v>44</v>
      </c>
      <c r="C88">
        <v>8</v>
      </c>
      <c r="D88" s="1"/>
      <c r="E88">
        <v>0</v>
      </c>
      <c r="F88" s="1">
        <v>46129</v>
      </c>
    </row>
    <row r="89" spans="1:6" x14ac:dyDescent="0.25">
      <c r="A89" t="s">
        <v>20</v>
      </c>
      <c r="B89" t="s">
        <v>44</v>
      </c>
      <c r="C89">
        <v>16</v>
      </c>
      <c r="D89" s="1"/>
      <c r="E89">
        <v>0</v>
      </c>
      <c r="F89" s="1">
        <v>46129</v>
      </c>
    </row>
    <row r="90" spans="1:6" x14ac:dyDescent="0.25">
      <c r="A90" t="s">
        <v>22</v>
      </c>
      <c r="B90" t="s">
        <v>44</v>
      </c>
      <c r="C90">
        <v>16</v>
      </c>
      <c r="D90" s="1"/>
      <c r="E90">
        <v>0</v>
      </c>
      <c r="F90" s="1">
        <v>46129</v>
      </c>
    </row>
    <row r="91" spans="1:6" x14ac:dyDescent="0.25">
      <c r="A91" t="s">
        <v>20</v>
      </c>
      <c r="B91" t="s">
        <v>44</v>
      </c>
      <c r="C91">
        <v>8</v>
      </c>
      <c r="D91" s="1"/>
      <c r="E91">
        <v>0</v>
      </c>
      <c r="F91" s="1">
        <v>46136</v>
      </c>
    </row>
    <row r="92" spans="1:6" x14ac:dyDescent="0.25">
      <c r="A92" t="s">
        <v>22</v>
      </c>
      <c r="B92" t="s">
        <v>44</v>
      </c>
      <c r="C92">
        <v>32</v>
      </c>
      <c r="D92" s="1"/>
      <c r="E92">
        <v>0</v>
      </c>
      <c r="F92" s="1">
        <v>46136</v>
      </c>
    </row>
    <row r="93" spans="1:6" x14ac:dyDescent="0.25">
      <c r="A93" t="s">
        <v>26</v>
      </c>
      <c r="B93" t="s">
        <v>44</v>
      </c>
      <c r="C93">
        <v>40</v>
      </c>
      <c r="D93" s="1"/>
      <c r="E93">
        <v>0</v>
      </c>
      <c r="F93" s="1">
        <v>46172</v>
      </c>
    </row>
    <row r="94" spans="1:6" x14ac:dyDescent="0.25">
      <c r="A94" t="s">
        <v>26</v>
      </c>
      <c r="B94" t="s">
        <v>44</v>
      </c>
      <c r="C94">
        <v>40</v>
      </c>
      <c r="D94" s="1"/>
      <c r="E94">
        <v>0</v>
      </c>
      <c r="F94" s="1">
        <v>46150</v>
      </c>
    </row>
    <row r="95" spans="1:6" x14ac:dyDescent="0.25">
      <c r="A95" t="s">
        <v>26</v>
      </c>
      <c r="B95" t="s">
        <v>44</v>
      </c>
      <c r="C95">
        <v>16</v>
      </c>
      <c r="D95" s="1"/>
      <c r="E95">
        <v>0</v>
      </c>
      <c r="F95" s="1">
        <v>46154</v>
      </c>
    </row>
    <row r="96" spans="1:6" x14ac:dyDescent="0.25">
      <c r="A96" t="s">
        <v>26</v>
      </c>
      <c r="B96" t="s">
        <v>44</v>
      </c>
      <c r="C96">
        <v>20</v>
      </c>
      <c r="D96" s="1"/>
      <c r="E96">
        <v>0</v>
      </c>
      <c r="F96" s="1">
        <v>46164</v>
      </c>
    </row>
    <row r="97" spans="1:6" x14ac:dyDescent="0.25">
      <c r="A97" t="s">
        <v>22</v>
      </c>
      <c r="B97" t="s">
        <v>44</v>
      </c>
      <c r="C97">
        <v>20</v>
      </c>
      <c r="D97" s="1"/>
      <c r="E97">
        <v>0</v>
      </c>
      <c r="F97" s="1">
        <v>46164</v>
      </c>
    </row>
    <row r="98" spans="1:6" x14ac:dyDescent="0.25">
      <c r="A98" t="s">
        <v>23</v>
      </c>
      <c r="B98" t="s">
        <v>36</v>
      </c>
      <c r="C98">
        <v>9.5</v>
      </c>
      <c r="D98" s="1" t="s">
        <v>98</v>
      </c>
      <c r="E98">
        <v>0</v>
      </c>
      <c r="F98" s="1">
        <v>46170</v>
      </c>
    </row>
    <row r="99" spans="1:6" x14ac:dyDescent="0.25">
      <c r="A99" t="s">
        <v>17</v>
      </c>
      <c r="B99" t="s">
        <v>0</v>
      </c>
      <c r="C99">
        <v>8</v>
      </c>
      <c r="D99" s="1" t="s">
        <v>88</v>
      </c>
      <c r="E99">
        <v>0</v>
      </c>
      <c r="F99" s="1">
        <v>46127</v>
      </c>
    </row>
    <row r="100" spans="1:6" x14ac:dyDescent="0.25">
      <c r="A100" t="s">
        <v>17</v>
      </c>
      <c r="B100" t="s">
        <v>0</v>
      </c>
      <c r="C100">
        <v>24</v>
      </c>
      <c r="D100" s="1" t="s">
        <v>99</v>
      </c>
      <c r="E100">
        <v>0</v>
      </c>
      <c r="F100" s="1">
        <v>46134</v>
      </c>
    </row>
    <row r="101" spans="1:6" x14ac:dyDescent="0.25">
      <c r="A101" t="s">
        <v>18</v>
      </c>
      <c r="B101" t="s">
        <v>0</v>
      </c>
      <c r="C101">
        <v>5</v>
      </c>
      <c r="D101" s="1" t="s">
        <v>100</v>
      </c>
      <c r="E101">
        <v>0</v>
      </c>
      <c r="F101" s="1">
        <v>46135</v>
      </c>
    </row>
    <row r="102" spans="1:6" x14ac:dyDescent="0.25">
      <c r="A102" t="s">
        <v>26</v>
      </c>
      <c r="B102" t="s">
        <v>0</v>
      </c>
      <c r="C102">
        <v>40</v>
      </c>
      <c r="D102" s="1" t="s">
        <v>101</v>
      </c>
      <c r="E102">
        <v>0</v>
      </c>
      <c r="F102" s="1">
        <v>46147</v>
      </c>
    </row>
    <row r="103" spans="1:6" x14ac:dyDescent="0.25">
      <c r="A103" t="s">
        <v>26</v>
      </c>
      <c r="B103" t="s">
        <v>0</v>
      </c>
      <c r="C103">
        <v>40</v>
      </c>
      <c r="D103" s="1" t="s">
        <v>102</v>
      </c>
      <c r="E103">
        <v>0</v>
      </c>
      <c r="F103" s="1">
        <v>46147</v>
      </c>
    </row>
    <row r="104" spans="1:6" x14ac:dyDescent="0.25">
      <c r="A104" t="s">
        <v>26</v>
      </c>
      <c r="B104" t="s">
        <v>0</v>
      </c>
      <c r="C104">
        <v>8</v>
      </c>
      <c r="D104" s="1" t="s">
        <v>103</v>
      </c>
      <c r="E104">
        <v>0</v>
      </c>
      <c r="F104" s="1">
        <v>46153</v>
      </c>
    </row>
    <row r="105" spans="1:6" x14ac:dyDescent="0.25">
      <c r="A105" t="s">
        <v>17</v>
      </c>
      <c r="B105" t="s">
        <v>0</v>
      </c>
      <c r="C105">
        <v>8</v>
      </c>
      <c r="D105" s="1" t="s">
        <v>104</v>
      </c>
      <c r="E105">
        <v>0</v>
      </c>
      <c r="F105" s="1">
        <v>46154</v>
      </c>
    </row>
    <row r="106" spans="1:6" x14ac:dyDescent="0.25">
      <c r="A106" t="s">
        <v>4</v>
      </c>
      <c r="B106" t="s">
        <v>0</v>
      </c>
      <c r="C106">
        <v>8</v>
      </c>
      <c r="D106" s="1" t="s">
        <v>105</v>
      </c>
      <c r="E106">
        <v>0</v>
      </c>
      <c r="F106" s="1">
        <v>46160</v>
      </c>
    </row>
    <row r="107" spans="1:6" x14ac:dyDescent="0.25">
      <c r="A107" t="s">
        <v>17</v>
      </c>
      <c r="B107" t="s">
        <v>0</v>
      </c>
      <c r="C107">
        <v>8</v>
      </c>
      <c r="D107" s="1" t="s">
        <v>106</v>
      </c>
      <c r="E107">
        <v>0</v>
      </c>
      <c r="F107" s="1">
        <v>46162</v>
      </c>
    </row>
    <row r="108" spans="1:6" x14ac:dyDescent="0.25">
      <c r="A108" t="s">
        <v>26</v>
      </c>
      <c r="B108" t="s">
        <v>0</v>
      </c>
      <c r="C108">
        <v>8</v>
      </c>
      <c r="D108" s="1" t="s">
        <v>107</v>
      </c>
      <c r="E108">
        <v>0</v>
      </c>
      <c r="F108" s="1">
        <v>46163</v>
      </c>
    </row>
    <row r="109" spans="1:6" x14ac:dyDescent="0.25">
      <c r="A109" t="s">
        <v>17</v>
      </c>
      <c r="B109" t="s">
        <v>0</v>
      </c>
      <c r="C109">
        <v>7</v>
      </c>
      <c r="D109" s="1" t="s">
        <v>108</v>
      </c>
      <c r="E109">
        <v>0</v>
      </c>
      <c r="F109" s="1">
        <v>46170</v>
      </c>
    </row>
    <row r="110" spans="1:6" x14ac:dyDescent="0.25">
      <c r="A110" t="s">
        <v>17</v>
      </c>
      <c r="B110" t="s">
        <v>0</v>
      </c>
      <c r="C110">
        <v>6</v>
      </c>
      <c r="D110" s="1" t="s">
        <v>109</v>
      </c>
      <c r="E110">
        <v>0</v>
      </c>
      <c r="F110" s="1">
        <v>46169</v>
      </c>
    </row>
    <row r="111" spans="1:6" x14ac:dyDescent="0.25">
      <c r="A111" t="s">
        <v>26</v>
      </c>
      <c r="B111" t="s">
        <v>0</v>
      </c>
      <c r="C111">
        <v>6</v>
      </c>
      <c r="D111" s="1" t="s">
        <v>110</v>
      </c>
      <c r="E111">
        <v>0</v>
      </c>
      <c r="F111" s="1">
        <v>46171</v>
      </c>
    </row>
    <row r="112" spans="1:6" x14ac:dyDescent="0.25">
      <c r="A112" t="s">
        <v>20</v>
      </c>
      <c r="B112" t="s">
        <v>44</v>
      </c>
      <c r="C112">
        <v>8</v>
      </c>
      <c r="D112" s="1"/>
      <c r="E112">
        <v>0</v>
      </c>
      <c r="F112" s="1">
        <v>46171</v>
      </c>
    </row>
    <row r="113" spans="1:6" x14ac:dyDescent="0.25">
      <c r="A113" t="s">
        <v>26</v>
      </c>
      <c r="B113" t="s">
        <v>44</v>
      </c>
      <c r="C113">
        <v>16</v>
      </c>
      <c r="D113" s="1"/>
      <c r="E113">
        <v>0</v>
      </c>
      <c r="F113" s="1">
        <v>46171</v>
      </c>
    </row>
    <row r="114" spans="1:6" x14ac:dyDescent="0.25">
      <c r="A114" t="s">
        <v>23</v>
      </c>
      <c r="B114" t="s">
        <v>44</v>
      </c>
      <c r="C114">
        <v>2</v>
      </c>
      <c r="D114" s="1"/>
      <c r="E114">
        <v>0</v>
      </c>
      <c r="F114" s="1">
        <v>46171</v>
      </c>
    </row>
    <row r="115" spans="1:6" x14ac:dyDescent="0.25">
      <c r="A115" t="s">
        <v>20</v>
      </c>
      <c r="B115" t="s">
        <v>44</v>
      </c>
      <c r="C115">
        <v>6</v>
      </c>
      <c r="D115" s="1"/>
      <c r="E115">
        <v>0</v>
      </c>
      <c r="F115" s="1">
        <v>46171</v>
      </c>
    </row>
    <row r="116" spans="1:6" x14ac:dyDescent="0.25">
      <c r="A116" t="s">
        <v>23</v>
      </c>
      <c r="B116" t="s">
        <v>44</v>
      </c>
      <c r="C116">
        <v>4</v>
      </c>
      <c r="D116" s="1"/>
      <c r="E116">
        <v>0</v>
      </c>
      <c r="F116" s="1">
        <v>46176</v>
      </c>
    </row>
    <row r="117" spans="1:6" x14ac:dyDescent="0.25">
      <c r="A117" t="s">
        <v>26</v>
      </c>
      <c r="B117" t="s">
        <v>44</v>
      </c>
      <c r="C117">
        <v>4</v>
      </c>
      <c r="D117" s="1"/>
      <c r="E117">
        <v>0</v>
      </c>
      <c r="F117" s="1">
        <v>46176</v>
      </c>
    </row>
    <row r="118" spans="1:6" x14ac:dyDescent="0.25">
      <c r="A118" t="s">
        <v>22</v>
      </c>
      <c r="B118" t="s">
        <v>44</v>
      </c>
      <c r="C118">
        <v>16</v>
      </c>
      <c r="D118" s="1"/>
      <c r="E118">
        <v>0</v>
      </c>
      <c r="F118" s="1">
        <v>46176</v>
      </c>
    </row>
    <row r="119" spans="1:6" x14ac:dyDescent="0.25">
      <c r="A119" t="s">
        <v>23</v>
      </c>
      <c r="B119" t="s">
        <v>36</v>
      </c>
      <c r="C119">
        <v>6</v>
      </c>
      <c r="D119" s="1" t="s">
        <v>111</v>
      </c>
      <c r="E119">
        <v>0</v>
      </c>
      <c r="F119" s="1">
        <v>46183</v>
      </c>
    </row>
    <row r="120" spans="1:6" x14ac:dyDescent="0.25">
      <c r="A120" t="s">
        <v>20</v>
      </c>
      <c r="B120" t="s">
        <v>36</v>
      </c>
      <c r="C120">
        <v>19</v>
      </c>
      <c r="D120" s="1" t="s">
        <v>111</v>
      </c>
      <c r="E120">
        <v>0</v>
      </c>
      <c r="F120" s="1">
        <v>46183</v>
      </c>
    </row>
    <row r="121" spans="1:6" x14ac:dyDescent="0.25">
      <c r="A121" t="s">
        <v>23</v>
      </c>
      <c r="B121" t="s">
        <v>36</v>
      </c>
      <c r="C121">
        <v>4</v>
      </c>
      <c r="D121" s="1" t="s">
        <v>112</v>
      </c>
      <c r="E121">
        <v>0</v>
      </c>
      <c r="F121" s="1">
        <v>46183</v>
      </c>
    </row>
    <row r="122" spans="1:6" x14ac:dyDescent="0.25">
      <c r="A122" t="s">
        <v>23</v>
      </c>
      <c r="B122" t="s">
        <v>36</v>
      </c>
      <c r="C122">
        <v>6.5</v>
      </c>
      <c r="D122" s="1" t="s">
        <v>113</v>
      </c>
      <c r="E122">
        <v>0</v>
      </c>
      <c r="F122" s="1">
        <v>46183</v>
      </c>
    </row>
    <row r="123" spans="1:6" x14ac:dyDescent="0.25">
      <c r="A123" t="s">
        <v>26</v>
      </c>
      <c r="B123" t="s">
        <v>36</v>
      </c>
      <c r="C123">
        <v>1</v>
      </c>
      <c r="D123" s="1" t="s">
        <v>114</v>
      </c>
      <c r="E123">
        <v>0</v>
      </c>
      <c r="F123" s="1">
        <v>46183</v>
      </c>
    </row>
    <row r="124" spans="1:6" x14ac:dyDescent="0.25">
      <c r="A124" t="s">
        <v>26</v>
      </c>
      <c r="B124" t="s">
        <v>36</v>
      </c>
      <c r="C124">
        <v>0.5</v>
      </c>
      <c r="D124" s="1" t="s">
        <v>112</v>
      </c>
      <c r="E124">
        <v>0</v>
      </c>
      <c r="F124" s="1">
        <v>46183</v>
      </c>
    </row>
    <row r="125" spans="1:6" x14ac:dyDescent="0.25">
      <c r="A125" t="s">
        <v>20</v>
      </c>
      <c r="B125" t="s">
        <v>36</v>
      </c>
      <c r="C125">
        <v>8</v>
      </c>
      <c r="D125" s="1" t="s">
        <v>113</v>
      </c>
      <c r="E125">
        <v>0</v>
      </c>
      <c r="F125" s="1">
        <v>46183</v>
      </c>
    </row>
    <row r="126" spans="1:6" x14ac:dyDescent="0.25">
      <c r="A126" t="s">
        <v>20</v>
      </c>
      <c r="B126" t="s">
        <v>36</v>
      </c>
      <c r="C126">
        <v>2</v>
      </c>
      <c r="D126" s="1" t="s">
        <v>115</v>
      </c>
      <c r="E126">
        <v>0</v>
      </c>
      <c r="F126" s="1">
        <v>46185</v>
      </c>
    </row>
    <row r="127" spans="1:6" x14ac:dyDescent="0.25">
      <c r="A127" t="s">
        <v>20</v>
      </c>
      <c r="B127" t="s">
        <v>36</v>
      </c>
      <c r="C127">
        <v>4</v>
      </c>
      <c r="D127" s="1" t="s">
        <v>116</v>
      </c>
      <c r="E127">
        <v>0</v>
      </c>
      <c r="F127" s="1">
        <v>46185</v>
      </c>
    </row>
    <row r="128" spans="1:6" x14ac:dyDescent="0.25">
      <c r="A128" t="s">
        <v>20</v>
      </c>
      <c r="B128" t="s">
        <v>36</v>
      </c>
      <c r="C128">
        <v>5.5</v>
      </c>
      <c r="D128" s="1" t="s">
        <v>117</v>
      </c>
      <c r="E128">
        <v>0</v>
      </c>
      <c r="F128" s="1">
        <v>46185</v>
      </c>
    </row>
    <row r="129" spans="1:6" x14ac:dyDescent="0.25">
      <c r="A129" t="s">
        <v>20</v>
      </c>
      <c r="B129" t="s">
        <v>36</v>
      </c>
      <c r="C129">
        <v>4</v>
      </c>
      <c r="D129" s="1" t="s">
        <v>118</v>
      </c>
      <c r="E129">
        <v>0</v>
      </c>
      <c r="F129" s="1">
        <v>46185</v>
      </c>
    </row>
    <row r="130" spans="1:6" x14ac:dyDescent="0.25">
      <c r="A130" t="s">
        <v>20</v>
      </c>
      <c r="B130" t="s">
        <v>36</v>
      </c>
      <c r="C130">
        <v>4</v>
      </c>
      <c r="D130" s="1" t="s">
        <v>119</v>
      </c>
      <c r="E130">
        <v>0</v>
      </c>
      <c r="F130" s="1">
        <v>46185</v>
      </c>
    </row>
    <row r="131" spans="1:6" x14ac:dyDescent="0.25">
      <c r="A131" t="s">
        <v>20</v>
      </c>
      <c r="B131" t="s">
        <v>36</v>
      </c>
      <c r="C131">
        <v>5</v>
      </c>
      <c r="D131" s="1" t="s">
        <v>120</v>
      </c>
      <c r="E131">
        <v>0</v>
      </c>
      <c r="F131" s="1">
        <v>46185</v>
      </c>
    </row>
    <row r="132" spans="1:6" x14ac:dyDescent="0.25">
      <c r="A132" t="s">
        <v>20</v>
      </c>
      <c r="B132" t="s">
        <v>36</v>
      </c>
      <c r="C132">
        <v>2</v>
      </c>
      <c r="D132" s="1" t="s">
        <v>121</v>
      </c>
      <c r="E132">
        <v>0</v>
      </c>
      <c r="F132" s="1">
        <v>46185</v>
      </c>
    </row>
    <row r="133" spans="1:6" x14ac:dyDescent="0.25">
      <c r="A133" t="s">
        <v>20</v>
      </c>
      <c r="B133" t="s">
        <v>36</v>
      </c>
      <c r="C133">
        <v>2.5</v>
      </c>
      <c r="D133" s="1" t="s">
        <v>122</v>
      </c>
      <c r="E133">
        <v>0</v>
      </c>
      <c r="F133" s="1">
        <v>46185</v>
      </c>
    </row>
    <row r="134" spans="1:6" x14ac:dyDescent="0.25">
      <c r="A134" t="s">
        <v>20</v>
      </c>
      <c r="B134" t="s">
        <v>36</v>
      </c>
      <c r="C134">
        <v>5.5</v>
      </c>
      <c r="D134" s="1" t="s">
        <v>97</v>
      </c>
      <c r="E134">
        <v>0</v>
      </c>
      <c r="F134" s="1">
        <v>46185</v>
      </c>
    </row>
    <row r="135" spans="1:6" x14ac:dyDescent="0.25">
      <c r="A135" t="s">
        <v>20</v>
      </c>
      <c r="B135" t="s">
        <v>36</v>
      </c>
      <c r="C135">
        <v>12</v>
      </c>
      <c r="D135" s="1" t="s">
        <v>123</v>
      </c>
      <c r="E135">
        <v>0</v>
      </c>
      <c r="F135" s="1">
        <v>46185</v>
      </c>
    </row>
    <row r="136" spans="1:6" x14ac:dyDescent="0.25">
      <c r="A136" t="s">
        <v>20</v>
      </c>
      <c r="B136" t="s">
        <v>36</v>
      </c>
      <c r="C136">
        <v>9</v>
      </c>
      <c r="D136" s="1" t="s">
        <v>124</v>
      </c>
      <c r="E136">
        <v>0</v>
      </c>
      <c r="F136" s="1">
        <v>46185</v>
      </c>
    </row>
    <row r="137" spans="1:6" x14ac:dyDescent="0.25">
      <c r="A137" t="s">
        <v>20</v>
      </c>
      <c r="B137" t="s">
        <v>36</v>
      </c>
      <c r="C137">
        <v>10</v>
      </c>
      <c r="D137" s="1" t="s">
        <v>125</v>
      </c>
      <c r="E137">
        <v>0</v>
      </c>
      <c r="F137" s="1">
        <v>46185</v>
      </c>
    </row>
    <row r="138" spans="1:6" x14ac:dyDescent="0.25">
      <c r="A138" t="s">
        <v>20</v>
      </c>
      <c r="B138" t="s">
        <v>36</v>
      </c>
      <c r="C138">
        <v>1.5</v>
      </c>
      <c r="D138" s="1" t="s">
        <v>126</v>
      </c>
      <c r="E138">
        <v>0</v>
      </c>
      <c r="F138" s="1">
        <v>46185</v>
      </c>
    </row>
    <row r="139" spans="1:6" x14ac:dyDescent="0.25">
      <c r="A139" t="s">
        <v>26</v>
      </c>
      <c r="B139" t="s">
        <v>44</v>
      </c>
      <c r="C139">
        <v>50</v>
      </c>
      <c r="D139" s="1"/>
      <c r="E139">
        <v>0</v>
      </c>
      <c r="F139" s="1">
        <v>46199</v>
      </c>
    </row>
    <row r="140" spans="1:6" x14ac:dyDescent="0.25">
      <c r="A140" t="s">
        <v>26</v>
      </c>
      <c r="B140" t="s">
        <v>44</v>
      </c>
      <c r="C140">
        <v>24</v>
      </c>
      <c r="D140" s="1"/>
      <c r="E140">
        <v>0</v>
      </c>
      <c r="F140" s="1">
        <v>46192</v>
      </c>
    </row>
    <row r="141" spans="1:6" x14ac:dyDescent="0.25">
      <c r="A141" t="s">
        <v>26</v>
      </c>
      <c r="B141" t="s">
        <v>44</v>
      </c>
      <c r="C141">
        <v>40</v>
      </c>
      <c r="D141" s="1"/>
      <c r="E141">
        <v>0</v>
      </c>
      <c r="F141" s="1">
        <v>46206</v>
      </c>
    </row>
    <row r="142" spans="1:6" x14ac:dyDescent="0.25">
      <c r="A142" t="s">
        <v>26</v>
      </c>
      <c r="B142" t="s">
        <v>44</v>
      </c>
      <c r="C142">
        <v>24</v>
      </c>
      <c r="D142" s="1"/>
      <c r="E142">
        <v>0</v>
      </c>
      <c r="F142" s="1">
        <v>46213</v>
      </c>
    </row>
    <row r="143" spans="1:6" x14ac:dyDescent="0.25">
      <c r="A143" t="s">
        <v>17</v>
      </c>
      <c r="B143" t="s">
        <v>44</v>
      </c>
      <c r="C143">
        <v>16</v>
      </c>
      <c r="D143" s="1"/>
      <c r="E143">
        <v>0</v>
      </c>
      <c r="F143" s="1">
        <v>46213</v>
      </c>
    </row>
    <row r="144" spans="1:6" x14ac:dyDescent="0.25">
      <c r="A144" t="s">
        <v>17</v>
      </c>
      <c r="B144" t="s">
        <v>0</v>
      </c>
      <c r="C144">
        <v>3</v>
      </c>
      <c r="D144" s="1"/>
      <c r="E144">
        <v>0</v>
      </c>
      <c r="F144" s="1">
        <v>46181</v>
      </c>
    </row>
    <row r="145" spans="1:6" x14ac:dyDescent="0.25">
      <c r="A145" t="s">
        <v>17</v>
      </c>
      <c r="B145" t="s">
        <v>0</v>
      </c>
      <c r="C145">
        <v>8</v>
      </c>
      <c r="D145" s="1" t="s">
        <v>127</v>
      </c>
      <c r="E145">
        <v>0</v>
      </c>
      <c r="F145" s="1">
        <v>46184</v>
      </c>
    </row>
    <row r="146" spans="1:6" x14ac:dyDescent="0.25">
      <c r="A146" t="s">
        <v>22</v>
      </c>
      <c r="B146" t="s">
        <v>0</v>
      </c>
      <c r="C146">
        <v>7</v>
      </c>
      <c r="D146" s="1" t="s">
        <v>128</v>
      </c>
      <c r="E146">
        <v>0</v>
      </c>
      <c r="F146" s="1">
        <v>46185</v>
      </c>
    </row>
    <row r="147" spans="1:6" x14ac:dyDescent="0.25">
      <c r="A147" t="s">
        <v>26</v>
      </c>
      <c r="B147" t="s">
        <v>0</v>
      </c>
      <c r="C147">
        <v>7</v>
      </c>
      <c r="D147" s="1" t="s">
        <v>129</v>
      </c>
      <c r="E147">
        <v>0</v>
      </c>
      <c r="F147" s="1">
        <v>46188</v>
      </c>
    </row>
    <row r="148" spans="1:6" x14ac:dyDescent="0.25">
      <c r="A148" t="s">
        <v>18</v>
      </c>
      <c r="B148" t="s">
        <v>0</v>
      </c>
      <c r="C148">
        <v>8</v>
      </c>
      <c r="D148" s="1" t="s">
        <v>130</v>
      </c>
      <c r="E148">
        <v>0</v>
      </c>
      <c r="F148" s="1">
        <v>46189</v>
      </c>
    </row>
    <row r="149" spans="1:6" x14ac:dyDescent="0.25">
      <c r="A149" t="s">
        <v>17</v>
      </c>
      <c r="B149" t="s">
        <v>0</v>
      </c>
      <c r="C149">
        <v>8</v>
      </c>
      <c r="D149" s="1" t="s">
        <v>88</v>
      </c>
      <c r="E149">
        <v>0</v>
      </c>
      <c r="F149" s="1">
        <v>46190</v>
      </c>
    </row>
    <row r="150" spans="1:6" x14ac:dyDescent="0.25">
      <c r="A150" t="s">
        <v>4</v>
      </c>
      <c r="B150" t="s">
        <v>0</v>
      </c>
      <c r="C150">
        <v>7</v>
      </c>
      <c r="D150" s="1" t="s">
        <v>131</v>
      </c>
      <c r="E150">
        <v>0</v>
      </c>
      <c r="F150" s="1">
        <v>46191</v>
      </c>
    </row>
    <row r="151" spans="1:6" x14ac:dyDescent="0.25">
      <c r="A151" t="s">
        <v>26</v>
      </c>
      <c r="B151" t="s">
        <v>0</v>
      </c>
      <c r="C151">
        <v>30</v>
      </c>
      <c r="D151" s="1" t="s">
        <v>132</v>
      </c>
      <c r="E151">
        <v>0</v>
      </c>
      <c r="F151" s="1">
        <v>46199</v>
      </c>
    </row>
    <row r="152" spans="1:6" x14ac:dyDescent="0.25">
      <c r="A152" t="s">
        <v>17</v>
      </c>
      <c r="B152" t="s">
        <v>0</v>
      </c>
      <c r="C152">
        <v>7</v>
      </c>
      <c r="D152" s="1" t="s">
        <v>133</v>
      </c>
      <c r="E152">
        <v>0</v>
      </c>
      <c r="F152" s="1">
        <v>46202</v>
      </c>
    </row>
    <row r="153" spans="1:6" x14ac:dyDescent="0.25">
      <c r="A153" t="s">
        <v>4</v>
      </c>
      <c r="B153" t="s">
        <v>0</v>
      </c>
      <c r="C153">
        <v>8</v>
      </c>
      <c r="D153" s="1" t="s">
        <v>134</v>
      </c>
      <c r="E153">
        <v>0</v>
      </c>
      <c r="F153" s="1">
        <v>46203</v>
      </c>
    </row>
    <row r="154" spans="1:6" x14ac:dyDescent="0.25">
      <c r="A154" t="s">
        <v>17</v>
      </c>
      <c r="B154" t="s">
        <v>0</v>
      </c>
      <c r="C154">
        <v>8</v>
      </c>
      <c r="D154" s="1" t="s">
        <v>135</v>
      </c>
      <c r="E154">
        <v>0</v>
      </c>
      <c r="F154" s="1">
        <v>46204</v>
      </c>
    </row>
    <row r="155" spans="1:6" x14ac:dyDescent="0.25">
      <c r="A155" t="s">
        <v>18</v>
      </c>
      <c r="B155" t="s">
        <v>0</v>
      </c>
      <c r="C155">
        <v>5</v>
      </c>
      <c r="D155" s="1" t="s">
        <v>136</v>
      </c>
      <c r="E155">
        <v>0</v>
      </c>
      <c r="F155" s="1">
        <v>46205</v>
      </c>
    </row>
    <row r="156" spans="1:6" x14ac:dyDescent="0.25">
      <c r="A156" t="s">
        <v>4</v>
      </c>
      <c r="B156" t="s">
        <v>0</v>
      </c>
      <c r="C156">
        <v>7</v>
      </c>
      <c r="D156" s="1" t="s">
        <v>137</v>
      </c>
      <c r="E156">
        <v>0</v>
      </c>
      <c r="F156" s="1">
        <v>46206</v>
      </c>
    </row>
    <row r="157" spans="1:6" x14ac:dyDescent="0.25">
      <c r="A157" t="s">
        <v>17</v>
      </c>
      <c r="B157" t="s">
        <v>0</v>
      </c>
      <c r="C157">
        <v>36</v>
      </c>
      <c r="D157" s="1" t="s">
        <v>138</v>
      </c>
      <c r="E157">
        <v>0</v>
      </c>
      <c r="F157" s="1">
        <v>46220</v>
      </c>
    </row>
    <row r="158" spans="1:6" x14ac:dyDescent="0.25">
      <c r="A158" t="s">
        <v>18</v>
      </c>
      <c r="B158" t="s">
        <v>0</v>
      </c>
      <c r="C158">
        <v>6</v>
      </c>
      <c r="D158" s="1" t="s">
        <v>139</v>
      </c>
      <c r="E158">
        <v>0</v>
      </c>
      <c r="F158" s="1">
        <v>46212</v>
      </c>
    </row>
    <row r="159" spans="1:6" x14ac:dyDescent="0.25">
      <c r="A159" t="s">
        <v>17</v>
      </c>
      <c r="B159" t="s">
        <v>0</v>
      </c>
      <c r="C159">
        <v>8</v>
      </c>
      <c r="D159" s="1" t="s">
        <v>140</v>
      </c>
      <c r="E159">
        <v>0</v>
      </c>
      <c r="F159" s="1">
        <v>46211</v>
      </c>
    </row>
    <row r="160" spans="1:6" x14ac:dyDescent="0.25">
      <c r="A160" t="s">
        <v>17</v>
      </c>
      <c r="B160" t="s">
        <v>0</v>
      </c>
      <c r="C160">
        <v>9</v>
      </c>
      <c r="D160" s="1" t="s">
        <v>141</v>
      </c>
      <c r="E160">
        <v>0</v>
      </c>
      <c r="F160" s="1">
        <v>46210</v>
      </c>
    </row>
    <row r="161" spans="1:6" x14ac:dyDescent="0.25">
      <c r="A161" t="s">
        <v>26</v>
      </c>
      <c r="B161" t="s">
        <v>0</v>
      </c>
      <c r="C161">
        <v>5</v>
      </c>
      <c r="D161" s="1" t="s">
        <v>142</v>
      </c>
      <c r="E161">
        <v>0</v>
      </c>
      <c r="F161" s="1">
        <v>46209</v>
      </c>
    </row>
    <row r="162" spans="1:6" x14ac:dyDescent="0.25">
      <c r="A162" t="s">
        <v>4</v>
      </c>
      <c r="B162" t="s">
        <v>0</v>
      </c>
      <c r="C162">
        <v>3</v>
      </c>
      <c r="D162" s="1" t="s">
        <v>143</v>
      </c>
      <c r="E162">
        <v>0</v>
      </c>
      <c r="F162" s="1">
        <v>46209</v>
      </c>
    </row>
    <row r="163" spans="1:6" x14ac:dyDescent="0.25">
      <c r="A163" t="s">
        <v>17</v>
      </c>
      <c r="B163" t="s">
        <v>44</v>
      </c>
      <c r="C163">
        <v>30</v>
      </c>
      <c r="D163" s="1"/>
      <c r="E163">
        <v>0</v>
      </c>
      <c r="F163" s="1">
        <v>46220</v>
      </c>
    </row>
    <row r="164" spans="1:6" x14ac:dyDescent="0.25">
      <c r="A164" t="s">
        <v>25</v>
      </c>
      <c r="B164" t="s">
        <v>44</v>
      </c>
      <c r="C164">
        <v>10</v>
      </c>
      <c r="D164" s="1"/>
      <c r="E164">
        <v>0</v>
      </c>
      <c r="F164" s="1">
        <v>46220</v>
      </c>
    </row>
    <row r="165" spans="1:6" x14ac:dyDescent="0.25">
      <c r="A165" t="s">
        <v>17</v>
      </c>
      <c r="B165" t="s">
        <v>44</v>
      </c>
      <c r="C165">
        <v>40</v>
      </c>
      <c r="D165" s="1"/>
      <c r="E165">
        <v>0</v>
      </c>
      <c r="F165" s="1">
        <v>46227</v>
      </c>
    </row>
    <row r="166" spans="1:6" x14ac:dyDescent="0.25">
      <c r="A166" t="s">
        <v>18</v>
      </c>
      <c r="B166" t="s">
        <v>0</v>
      </c>
      <c r="C166">
        <v>45</v>
      </c>
      <c r="D166" s="1" t="s">
        <v>144</v>
      </c>
      <c r="E166">
        <v>0</v>
      </c>
      <c r="F166" s="1">
        <v>46247</v>
      </c>
    </row>
    <row r="167" spans="1:6" x14ac:dyDescent="0.25">
      <c r="A167" t="s">
        <v>17</v>
      </c>
      <c r="B167" t="s">
        <v>0</v>
      </c>
      <c r="C167">
        <v>50</v>
      </c>
      <c r="D167" s="1" t="s">
        <v>145</v>
      </c>
      <c r="E167">
        <v>0</v>
      </c>
      <c r="F167" s="1">
        <v>46247</v>
      </c>
    </row>
    <row r="168" spans="1:6" x14ac:dyDescent="0.25">
      <c r="A168" t="s">
        <v>17</v>
      </c>
      <c r="B168" t="s">
        <v>0</v>
      </c>
      <c r="C168">
        <v>16</v>
      </c>
      <c r="D168" s="1" t="s">
        <v>146</v>
      </c>
      <c r="E168">
        <v>0</v>
      </c>
      <c r="F168" s="1">
        <v>46247</v>
      </c>
    </row>
    <row r="169" spans="1:6" x14ac:dyDescent="0.25">
      <c r="A169" t="s">
        <v>26</v>
      </c>
      <c r="B169" t="s">
        <v>0</v>
      </c>
      <c r="C169">
        <v>7</v>
      </c>
      <c r="D169" s="1" t="s">
        <v>147</v>
      </c>
      <c r="E169">
        <v>0</v>
      </c>
      <c r="F169" s="1">
        <v>46247</v>
      </c>
    </row>
    <row r="170" spans="1:6" x14ac:dyDescent="0.25">
      <c r="A170" t="s">
        <v>4</v>
      </c>
      <c r="B170" t="s">
        <v>0</v>
      </c>
      <c r="C170">
        <v>10</v>
      </c>
      <c r="D170" s="1" t="s">
        <v>148</v>
      </c>
      <c r="E170">
        <v>0</v>
      </c>
      <c r="F170" s="1">
        <v>46272</v>
      </c>
    </row>
    <row r="171" spans="1:6" x14ac:dyDescent="0.25">
      <c r="A171" t="s">
        <v>17</v>
      </c>
      <c r="B171" t="s">
        <v>0</v>
      </c>
      <c r="C171">
        <v>28</v>
      </c>
      <c r="D171" s="1" t="s">
        <v>149</v>
      </c>
      <c r="E171">
        <v>0</v>
      </c>
      <c r="F171" s="1">
        <v>46276</v>
      </c>
    </row>
    <row r="172" spans="1:6" x14ac:dyDescent="0.25">
      <c r="A172" t="s">
        <v>17</v>
      </c>
      <c r="B172" t="s">
        <v>0</v>
      </c>
      <c r="C172">
        <v>8</v>
      </c>
      <c r="D172" s="1" t="s">
        <v>150</v>
      </c>
      <c r="E172">
        <v>0</v>
      </c>
      <c r="F172" s="1">
        <v>46281</v>
      </c>
    </row>
    <row r="173" spans="1:6" x14ac:dyDescent="0.25">
      <c r="A173" t="s">
        <v>4</v>
      </c>
      <c r="B173" t="s">
        <v>0</v>
      </c>
      <c r="C173">
        <v>16</v>
      </c>
      <c r="D173" s="1" t="s">
        <v>151</v>
      </c>
      <c r="E173">
        <v>0</v>
      </c>
      <c r="F173" s="1">
        <v>46282</v>
      </c>
    </row>
    <row r="174" spans="1:6" x14ac:dyDescent="0.25">
      <c r="A174" t="s">
        <v>26</v>
      </c>
      <c r="B174" t="s">
        <v>0</v>
      </c>
      <c r="C174">
        <v>8</v>
      </c>
      <c r="D174" s="1" t="s">
        <v>152</v>
      </c>
      <c r="E174">
        <v>0</v>
      </c>
      <c r="F174" s="1">
        <v>46279</v>
      </c>
    </row>
    <row r="175" spans="1:6" x14ac:dyDescent="0.25">
      <c r="A175" t="s">
        <v>17</v>
      </c>
      <c r="B175" t="s">
        <v>0</v>
      </c>
      <c r="C175">
        <v>5</v>
      </c>
      <c r="D175" s="1" t="s">
        <v>153</v>
      </c>
      <c r="E175">
        <v>0</v>
      </c>
      <c r="F175" s="1">
        <v>46293</v>
      </c>
    </row>
    <row r="176" spans="1:6" x14ac:dyDescent="0.25">
      <c r="A176" t="s">
        <v>17</v>
      </c>
      <c r="B176" t="s">
        <v>0</v>
      </c>
      <c r="C176">
        <v>8</v>
      </c>
      <c r="D176" s="1" t="s">
        <v>154</v>
      </c>
      <c r="E176">
        <v>0</v>
      </c>
      <c r="F176" s="1">
        <v>46288</v>
      </c>
    </row>
    <row r="177" spans="1:6" x14ac:dyDescent="0.25">
      <c r="A177" t="s">
        <v>4</v>
      </c>
      <c r="B177" t="s">
        <v>0</v>
      </c>
      <c r="C177">
        <v>8</v>
      </c>
      <c r="D177" s="1" t="s">
        <v>155</v>
      </c>
      <c r="E177">
        <v>0</v>
      </c>
      <c r="F177" s="1">
        <v>46289</v>
      </c>
    </row>
    <row r="178" spans="1:6" x14ac:dyDescent="0.25">
      <c r="A178" t="s">
        <v>4</v>
      </c>
      <c r="B178" t="s">
        <v>0</v>
      </c>
      <c r="C178">
        <v>8</v>
      </c>
      <c r="D178" s="1" t="s">
        <v>156</v>
      </c>
      <c r="E178">
        <v>0</v>
      </c>
      <c r="F178" s="1">
        <v>46280</v>
      </c>
    </row>
    <row r="179" spans="1:6" x14ac:dyDescent="0.25">
      <c r="A179" t="s">
        <v>4</v>
      </c>
      <c r="B179" t="s">
        <v>0</v>
      </c>
      <c r="C179">
        <v>6</v>
      </c>
      <c r="D179" s="1" t="s">
        <v>157</v>
      </c>
      <c r="E179">
        <v>0</v>
      </c>
      <c r="F179" s="1">
        <v>46283</v>
      </c>
    </row>
    <row r="180" spans="1:6" x14ac:dyDescent="0.25">
      <c r="A180" t="s">
        <v>4</v>
      </c>
      <c r="B180" t="s">
        <v>0</v>
      </c>
      <c r="C180">
        <v>8</v>
      </c>
      <c r="D180" s="1" t="s">
        <v>158</v>
      </c>
      <c r="E180">
        <v>0</v>
      </c>
      <c r="F180" s="1">
        <v>46287</v>
      </c>
    </row>
  </sheetData>
  <sheetProtection selectLockedCells="1" sort="0" autoFilter="0" pivotTables="0"/>
  <dataValidations count="2">
    <dataValidation type="list" allowBlank="1" showInputMessage="1" showErrorMessage="1" sqref="B2:B180" xr:uid="{300515F1-FF19-4FAF-B863-3BB9323263A5}">
      <formula1>P_Auswahl</formula1>
    </dataValidation>
    <dataValidation type="list" allowBlank="1" showInputMessage="1" showErrorMessage="1" sqref="A2:A180" xr:uid="{8AE76B25-25DF-4048-B738-7749573A9F41}">
      <formula1>Projekt_Auswahl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0671-2DB5-462B-8550-58E2649D982D}">
  <sheetPr codeName="Tabelle2">
    <tabColor theme="3" tint="0.499984740745262"/>
  </sheetPr>
  <dimension ref="A1:M13"/>
  <sheetViews>
    <sheetView zoomScale="115" zoomScaleNormal="115" workbookViewId="0">
      <selection activeCell="H3" sqref="H3"/>
    </sheetView>
  </sheetViews>
  <sheetFormatPr baseColWidth="10" defaultColWidth="11.42578125" defaultRowHeight="15" x14ac:dyDescent="0.25"/>
  <cols>
    <col min="1" max="1" width="29.28515625" customWidth="1"/>
    <col min="2" max="2" width="11" customWidth="1"/>
    <col min="6" max="6" width="17.140625" customWidth="1"/>
    <col min="7" max="7" width="18.140625" customWidth="1"/>
    <col min="8" max="8" width="16.7109375" customWidth="1"/>
    <col min="9" max="9" width="14.85546875" customWidth="1"/>
    <col min="10" max="10" width="15.140625" customWidth="1"/>
    <col min="11" max="11" width="22.42578125" customWidth="1"/>
  </cols>
  <sheetData>
    <row r="1" spans="1:13" x14ac:dyDescent="0.25">
      <c r="A1" t="s">
        <v>159</v>
      </c>
      <c r="F1" t="s">
        <v>160</v>
      </c>
      <c r="G1" t="inlineStr">
        <is>
          <t xml:space="preserve">Stunden lfd. Jahr</t>
        </is>
      </c>
      <c r="H1" t="inlineStr">
        <is>
          <t xml:space="preserve">Auslastung (anteilig lfd. Jahr)</t>
        </is>
      </c>
      <c r="I1" t="inlineStr">
        <is>
          <t xml:space="preserve">Frei (Std. lfd. Jahr)</t>
        </is>
      </c>
      <c r="J1" t="s">
        <v>163</v>
      </c>
      <c r="K1" t="s">
        <v>164</v>
      </c>
      <c r="M1" t="inlineStr">
        <is>
          <t xml:space="preserve">Aktive Projekte (Auswahlliste)</t>
        </is>
      </c>
    </row>
    <row r="2" spans="1:13" x14ac:dyDescent="0.25">
      <c r="A2" t="s">
        <v>0</v>
      </c>
      <c r="F2" t="s">
        <v>0</v>
      </c>
      <c r="G2">
        <f>SUMIFS(Daten!C:C,Daten!B:B,F2,Daten!F:F,"&gt;="&amp;DATE(YEAR(TODAY()),1,1),Daten!F:F,"&lt;"&amp;DATE(YEAR(TODAY())+1,1,1))</f>
        <v>895</v>
      </c>
      <c r="H2" s="2">
        <f>IFERROR(G2/(K2*MIN(1,(TODAY()-DATE(YEAR(TODAY()),1,1)+1)/(DATE(YEAR(TODAY())+1,1,1)-DATE(YEAR(TODAY()),1,1)))),0)</f>
        <v>0.57741935483870965</v>
      </c>
      <c r="I2" s="3">
        <f>MAX(0,K2-G2)</f>
      </c>
      <c r="J2" t="str">
        <f>IF(H2&lt;=0.7,"Grün",IF(H2&lt;=0.9,"Gelb","Rot"))</f>
        <v>Grün</v>
      </c>
      <c r="K2">
        <v>1550</v>
      </c>
      <c r="M2" t="str" cm="1">
        <f t="array" ref="M2:M13">_xlfn._xlws.FILTER(Projekte[Projekt],(Projekte[Aktiv]=TRUE)*(Projekte[Projekt]&lt;&gt;""),"")</f>
        <v>Projekt Buchbusch</v>
      </c>
    </row>
    <row r="3" spans="1:13" x14ac:dyDescent="0.25">
      <c r="A3" t="s">
        <v>44</v>
      </c>
      <c r="F3" t="s">
        <v>44</v>
      </c>
      <c r="G3">
        <f>SUMIFS(Daten!C:C,Daten!B:B,F3,Daten!F:F,"&gt;="&amp;DATE(YEAR(TODAY()),1,1),Daten!F:F,"&lt;"&amp;DATE(YEAR(TODAY())+1,1,1))</f>
        <v>746</v>
      </c>
      <c r="H3" s="2">
        <f>IFERROR(G3/(K3*MIN(1,(TODAY()-DATE(YEAR(TODAY()),1,1)+1)/(DATE(YEAR(TODAY())+1,1,1)-DATE(YEAR(TODAY()),1,1)))),0)</f>
        <v>0.48129032258064514</v>
      </c>
      <c r="I3" s="3">
        <f>MAX(0,K3-G3)</f>
      </c>
      <c r="J3" t="str">
        <f>IF(H3&lt;=0.7,"Grün",IF(H3&lt;=0.9,"Gelb","Rot"))</f>
        <v>Grün</v>
      </c>
      <c r="K3">
        <v>1550</v>
      </c>
      <c r="M3" t="str">
        <v>Stabilisierung Instandhaltung WI-Mex</v>
      </c>
    </row>
    <row r="4" spans="1:13" x14ac:dyDescent="0.25">
      <c r="A4" t="s">
        <v>36</v>
      </c>
      <c r="F4" t="s">
        <v>36</v>
      </c>
      <c r="G4">
        <f>SUMIFS(Daten!C:C,Daten!B:B,F4,Daten!F:F,"&gt;="&amp;DATE(YEAR(TODAY()),1,1),Daten!F:F,"&lt;"&amp;DATE(YEAR(TODAY())+1,1,1))</f>
        <v>343</v>
      </c>
      <c r="H4" s="2">
        <f>IFERROR(G4/(K4*MIN(1,(TODAY()-DATE(YEAR(TODAY()),1,1)+1)/(DATE(YEAR(TODAY())+1,1,1)-DATE(YEAR(TODAY()),1,1)))),0)</f>
        <v>0.22129032258064515</v>
      </c>
      <c r="I4" s="3">
        <f>MAX(0,K4-G4)</f>
      </c>
      <c r="J4" t="str">
        <f>IF(H4&lt;=0.7,"Grün",IF(H4&lt;=0.9,"Gelb","Rot"))</f>
        <v>Grün</v>
      </c>
      <c r="K4">
        <v>1550</v>
      </c>
      <c r="M4" t="str">
        <v>Gruppenweite Instandhaltung</v>
      </c>
    </row>
    <row r="5" spans="1:13" x14ac:dyDescent="0.25">
      <c r="A5" t="s">
        <v>165</v>
      </c>
      <c r="F5" t="s">
        <v>165</v>
      </c>
      <c r="G5">
        <f>SUMIFS(Daten!C:C,Daten!B:B,F5,Daten!F:F,"&gt;="&amp;DATE(YEAR(TODAY()),1,1),Daten!F:F,"&lt;"&amp;DATE(YEAR(TODAY())+1,1,1))</f>
        <v>0</v>
      </c>
      <c r="H5" s="2">
        <f>IFERROR(G5/(K5*MIN(1,(TODAY()-DATE(YEAR(TODAY()),1,1)+1)/(DATE(YEAR(TODAY())+1,1,1)-DATE(YEAR(TODAY()),1,1)))),0)</f>
        <v>0</v>
      </c>
      <c r="I5" s="3">
        <f>MAX(0,K5-G5)</f>
      </c>
      <c r="J5" t="str">
        <f>IF(H5&lt;=0.7,"Grün",IF(H5&lt;=0.9,"Gelb","Rot"))</f>
        <v>Grün</v>
      </c>
      <c r="K5">
        <v>1550</v>
      </c>
      <c r="M5" t="str">
        <v>Predictive Maintenance allg.</v>
      </c>
    </row>
    <row r="6" spans="1:13" x14ac:dyDescent="0.25">
      <c r="A6" t="s">
        <v>166</v>
      </c>
      <c r="F6" t="s">
        <v>166</v>
      </c>
      <c r="G6">
        <f>SUMIFS(Daten!C:C,Daten!B:B,F6,Daten!F:F,"&gt;="&amp;DATE(YEAR(TODAY()),1,1),Daten!F:F,"&lt;"&amp;DATE(YEAR(TODAY())+1,1,1))</f>
        <v>0</v>
      </c>
      <c r="H6" s="2">
        <f>IFERROR(G6/(K6*MIN(1,(TODAY()-DATE(YEAR(TODAY()),1,1)+1)/(DATE(YEAR(TODAY())+1,1,1)-DATE(YEAR(TODAY()),1,1)))),0)</f>
        <v>0</v>
      </c>
      <c r="I6" s="3">
        <f>MAX(0,K6-G6)</f>
      </c>
      <c r="J6" t="str">
        <f>IF(H6&lt;=0.7,"Grün",IF(H6&lt;=0.9,"Gelb","Rot"))</f>
        <v>Grün</v>
      </c>
      <c r="K6">
        <v>1550</v>
      </c>
      <c r="M6" t="str">
        <v>Aufbau eines Globalen Produktionsnetzwerkes</v>
      </c>
    </row>
    <row r="7" spans="1:13" x14ac:dyDescent="0.25">
      <c r="A7" t="s">
        <v>167</v>
      </c>
      <c r="F7" t="s">
        <v>167</v>
      </c>
      <c r="G7">
        <f>SUMIFS(Daten!C:C,Daten!B:B,F7,Daten!F:F,"&gt;="&amp;DATE(YEAR(TODAY()),1,1),Daten!F:F,"&lt;"&amp;DATE(YEAR(TODAY())+1,1,1))</f>
        <v>0</v>
      </c>
      <c r="H7" s="2">
        <f>IFERROR(G7/(K7*MIN(1,(TODAY()-DATE(YEAR(TODAY()),1,1)+1)/(DATE(YEAR(TODAY())+1,1,1)-DATE(YEAR(TODAY()),1,1)))),0)</f>
        <v>0</v>
      </c>
      <c r="I7" s="3">
        <f>MAX(0,K7-G7)</f>
      </c>
      <c r="J7" t="str">
        <f>IF(H7&lt;=0.7,"Grün",IF(H7&lt;=0.9,"Gelb","Rot"))</f>
        <v>Grün</v>
      </c>
      <c r="K7">
        <v>1550</v>
      </c>
      <c r="M7" t="str">
        <v>Projekt Vertrieb mb - Lean Admin</v>
      </c>
    </row>
    <row r="8" spans="13:13" x14ac:dyDescent="0.25">
      <c r="M8" t="str">
        <v>Diverse Themen / Unterstützungen</v>
      </c>
    </row>
    <row r="9" spans="13:13" x14ac:dyDescent="0.25">
      <c r="M9" t="str">
        <v>Verlustauswertung</v>
      </c>
    </row>
    <row r="10" spans="13:13" x14ac:dyDescent="0.25">
      <c r="M10" t="str">
        <v>SAP S4</v>
      </c>
    </row>
    <row r="11" spans="13:13" x14ac:dyDescent="0.25">
      <c r="M11" t="str">
        <v>Führung</v>
      </c>
    </row>
    <row r="12" spans="13:13" x14ac:dyDescent="0.25">
      <c r="M12" t="str">
        <v>BCM</v>
      </c>
    </row>
    <row r="13" spans="13:13" x14ac:dyDescent="0.25">
      <c r="M13" t="str">
        <v>Buchbusch</v>
      </c>
    </row>
  </sheetData>
  <conditionalFormatting sqref="H2:H7">
    <cfRule type="expression" dxfId="9" priority="1">
      <formula>$H2&gt;0.9</formula>
    </cfRule>
    <cfRule type="expression" dxfId="8" priority="2">
      <formula>AND($H2&gt;=0.7,$H2&lt;=0.9)</formula>
    </cfRule>
    <cfRule type="expression" dxfId="7" priority="5">
      <formula>H2&lt;0.7</formula>
    </cfRule>
  </conditionalFormatting>
  <dataValidations count="1">
    <dataValidation type="list" allowBlank="1" showInputMessage="1" showErrorMessage="1" sqref="F2:F7" xr:uid="{647B16B0-6B36-444D-ADBD-E716C1A63256}">
      <formula1>P_Auswahl</formula1>
    </dataValidation>
  </dataValidations>
  <pageMargins left="0.7" right="0.7" top="0.78740157499999996" bottom="0.78740157499999996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11D8-371D-46BB-91DA-4C7003FECF43}">
  <sheetPr codeName="Tabelle13"/>
  <dimension ref="A1:H12"/>
  <sheetViews>
    <sheetView workbookViewId="0">
      <selection activeCell="A6" sqref="A6"/>
    </sheetView>
  </sheetViews>
  <sheetFormatPr baseColWidth="10" defaultColWidth="11.42578125" defaultRowHeight="15" x14ac:dyDescent="0.25"/>
  <cols>
    <col min="1" max="1" width="46.28515625" bestFit="1" customWidth="1"/>
    <col min="2" max="2" width="31.140625" bestFit="1" customWidth="1"/>
    <col min="4" max="4" width="46.28515625" bestFit="1" customWidth="1"/>
    <col min="5" max="5" width="31.140625" bestFit="1" customWidth="1"/>
    <col min="7" max="7" width="38.140625" bestFit="1" customWidth="1"/>
    <col min="8" max="8" width="31.140625" bestFit="1" customWidth="1"/>
  </cols>
  <sheetData>
    <row r="1" spans="1:8" x14ac:dyDescent="0.25">
      <c r="A1" s="9" t="s">
        <v>28</v>
      </c>
      <c r="B1" t="s">
        <v>29</v>
      </c>
      <c r="D1" s="9" t="s">
        <v>28</v>
      </c>
      <c r="E1" t="s">
        <v>29</v>
      </c>
      <c r="G1" s="9" t="s">
        <v>28</v>
      </c>
      <c r="H1" t="s">
        <v>29</v>
      </c>
    </row>
    <row r="2" spans="1:8" x14ac:dyDescent="0.25">
      <c r="A2" s="25" t="s">
        <v>44</v>
      </c>
      <c r="B2">
        <v>746</v>
      </c>
      <c r="D2" s="25" t="s">
        <v>36</v>
      </c>
      <c r="E2">
        <v>343</v>
      </c>
      <c r="G2" s="25" t="s">
        <v>0</v>
      </c>
      <c r="H2">
        <v>895</v>
      </c>
    </row>
    <row r="3" spans="1:8" x14ac:dyDescent="0.25">
      <c r="A3" s="26" t="s">
        <v>20</v>
      </c>
      <c r="B3">
        <v>90</v>
      </c>
      <c r="D3" s="26" t="s">
        <v>20</v>
      </c>
      <c r="E3">
        <v>94</v>
      </c>
      <c r="G3" s="26" t="s">
        <v>22</v>
      </c>
      <c r="H3">
        <v>11</v>
      </c>
    </row>
    <row r="4" spans="1:8" x14ac:dyDescent="0.25">
      <c r="A4" s="26" t="s">
        <v>22</v>
      </c>
      <c r="B4">
        <v>206</v>
      </c>
      <c r="D4" s="26" t="s">
        <v>21</v>
      </c>
      <c r="E4">
        <v>10</v>
      </c>
      <c r="G4" s="26" t="s">
        <v>18</v>
      </c>
      <c r="H4">
        <v>79</v>
      </c>
    </row>
    <row r="5" spans="1:8" x14ac:dyDescent="0.25">
      <c r="A5" s="26" t="s">
        <v>18</v>
      </c>
      <c r="B5">
        <v>2</v>
      </c>
      <c r="D5" s="26" t="s">
        <v>23</v>
      </c>
      <c r="E5">
        <v>237.5</v>
      </c>
      <c r="G5" s="26" t="s">
        <v>17</v>
      </c>
      <c r="H5">
        <v>498</v>
      </c>
    </row>
    <row r="6" spans="1:8" x14ac:dyDescent="0.25">
      <c r="A6" s="26" t="s">
        <v>17</v>
      </c>
      <c r="B6">
        <v>86</v>
      </c>
      <c r="D6" s="26" t="s">
        <v>26</v>
      </c>
      <c r="E6">
        <v>1.5</v>
      </c>
      <c r="G6" s="26" t="s">
        <v>4</v>
      </c>
      <c r="H6">
        <v>142</v>
      </c>
    </row>
    <row r="7" spans="1:8" x14ac:dyDescent="0.25">
      <c r="A7" s="26" t="s">
        <v>23</v>
      </c>
      <c r="B7">
        <v>24</v>
      </c>
      <c r="D7" s="25" t="s">
        <v>30</v>
      </c>
      <c r="E7">
        <v>343</v>
      </c>
      <c r="G7" s="26" t="s">
        <v>19</v>
      </c>
      <c r="H7">
        <v>6</v>
      </c>
    </row>
    <row r="8" spans="1:8" x14ac:dyDescent="0.25">
      <c r="A8" s="26" t="s">
        <v>24</v>
      </c>
      <c r="B8">
        <v>22</v>
      </c>
      <c r="G8" s="26" t="s">
        <v>26</v>
      </c>
      <c r="H8">
        <v>159</v>
      </c>
    </row>
    <row r="9" spans="1:8" x14ac:dyDescent="0.25">
      <c r="A9" s="26" t="s">
        <v>4</v>
      </c>
      <c r="B9">
        <v>16</v>
      </c>
      <c r="G9" s="25" t="s">
        <v>30</v>
      </c>
      <c r="H9">
        <v>895</v>
      </c>
    </row>
    <row r="10" spans="1:8" x14ac:dyDescent="0.25">
      <c r="A10" s="26" t="s">
        <v>25</v>
      </c>
      <c r="B10">
        <v>26</v>
      </c>
    </row>
    <row r="11" spans="1:8" x14ac:dyDescent="0.25">
      <c r="A11" s="26" t="s">
        <v>26</v>
      </c>
      <c r="B11">
        <v>274</v>
      </c>
    </row>
    <row r="12" spans="1:8" x14ac:dyDescent="0.25">
      <c r="A12" s="25" t="s">
        <v>30</v>
      </c>
      <c r="B12">
        <v>746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6A4E-388C-4979-8249-46305E769F75}">
  <sheetPr codeName="Tabelle7">
    <tabColor theme="9" tint="-0.499984740745262"/>
  </sheetPr>
  <dimension ref="A1:H5"/>
  <sheetViews>
    <sheetView workbookViewId="0">
      <selection activeCell="K31" sqref="K31"/>
    </sheetView>
  </sheetViews>
  <sheetFormatPr baseColWidth="10" defaultColWidth="11.42578125" defaultRowHeight="15" x14ac:dyDescent="0.25"/>
  <cols>
    <col min="1" max="1" width="19.7109375" customWidth="1"/>
    <col min="2" max="2" width="19.42578125" customWidth="1"/>
    <col min="4" max="4" width="18.140625" customWidth="1"/>
    <col min="5" max="5" width="19.140625" customWidth="1"/>
    <col min="7" max="7" width="17.5703125" customWidth="1"/>
  </cols>
  <sheetData>
    <row r="1" spans="1:8" x14ac:dyDescent="0.25">
      <c r="A1" t="s">
        <v>168</v>
      </c>
      <c r="B1" t="s">
        <v>169</v>
      </c>
      <c r="D1" t="s">
        <v>170</v>
      </c>
      <c r="E1" t="s">
        <v>169</v>
      </c>
      <c r="G1" t="s">
        <v>171</v>
      </c>
      <c r="H1" t="s">
        <v>172</v>
      </c>
    </row>
    <row r="2" spans="1:8" x14ac:dyDescent="0.25">
      <c r="A2" t="s">
        <v>173</v>
      </c>
      <c r="B2">
        <v>30</v>
      </c>
      <c r="D2" t="s">
        <v>170</v>
      </c>
      <c r="E2">
        <f ca="1">Dashboard_Steuerung!E10*100</f>
        <v>100</v>
      </c>
      <c r="G2">
        <f>Dashboard_Steuerung!E4</f>
        <v>0</v>
      </c>
      <c r="H2">
        <f>1-Dashboard_Steuerung!E4</f>
        <v>1</v>
      </c>
    </row>
    <row r="3" spans="1:8" x14ac:dyDescent="0.25">
      <c r="A3" t="s">
        <v>174</v>
      </c>
      <c r="B3">
        <v>40</v>
      </c>
      <c r="D3" t="s">
        <v>172</v>
      </c>
      <c r="E3">
        <v>1.5</v>
      </c>
    </row>
    <row r="4" spans="1:8" x14ac:dyDescent="0.25">
      <c r="A4" t="s">
        <v>175</v>
      </c>
      <c r="B4">
        <v>30</v>
      </c>
      <c r="D4" t="s">
        <v>176</v>
      </c>
      <c r="E4">
        <f ca="1">100-E2-E3</f>
        <v>-1.5</v>
      </c>
    </row>
    <row r="5" spans="1:8" x14ac:dyDescent="0.25">
      <c r="A5" t="s">
        <v>176</v>
      </c>
      <c r="B5">
        <v>100</v>
      </c>
      <c r="D5" t="s">
        <v>177</v>
      </c>
      <c r="E5">
        <v>100</v>
      </c>
    </row>
  </sheetData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BA53E-8381-4AA4-9D29-8CFDC756738F}">
  <sheetPr codeName="Tabelle11">
    <tabColor theme="9" tint="-0.499984740745262"/>
  </sheetPr>
  <dimension ref="A1:O14"/>
  <sheetViews>
    <sheetView workbookViewId="0">
      <selection activeCell="M25" sqref="M25"/>
    </sheetView>
  </sheetViews>
  <sheetFormatPr baseColWidth="10" defaultColWidth="11.42578125" defaultRowHeight="15" x14ac:dyDescent="0.25"/>
  <cols>
    <col min="1" max="1" width="33.28515625" customWidth="1"/>
    <col min="2" max="2" width="48.140625" customWidth="1"/>
    <col min="4" max="4" width="20" customWidth="1"/>
    <col min="5" max="5" width="14.85546875" customWidth="1"/>
    <col min="8" max="8" width="49.7109375" customWidth="1"/>
    <col min="13" max="13" width="47.5703125" bestFit="1" customWidth="1"/>
    <col min="14" max="14" width="9.5703125" bestFit="1" customWidth="1"/>
    <col min="15" max="15" width="31.140625" bestFit="1" customWidth="1"/>
  </cols>
  <sheetData>
    <row r="1" spans="1:15" x14ac:dyDescent="0.25">
      <c r="A1" t="s">
        <v>178</v>
      </c>
      <c r="B1" t="str">
        <f>Dashboard!A5</f>
        <v>Alle</v>
      </c>
      <c r="D1" t="s">
        <v>179</v>
      </c>
      <c r="E1" t="s">
        <v>169</v>
      </c>
      <c r="H1" t="s">
        <v>1</v>
      </c>
      <c r="I1" t="s">
        <v>5</v>
      </c>
      <c r="O1" s="8"/>
    </row>
    <row r="2" spans="1:15" x14ac:dyDescent="0.25">
      <c r="A2" t="s">
        <v>180</v>
      </c>
      <c r="B2" t="str">
        <f>Dashboard!B5</f>
        <v>Gruppenweite Instandhaltung</v>
      </c>
      <c r="D2" t="s">
        <v>181</v>
      </c>
      <c r="E2" s="7">
        <f>_xlfn.XLOOKUP($B$2,Projekte!A:A,Projekte!D:D)</f>
        <v>250000</v>
      </c>
      <c r="H2" t="str" cm="1">
        <f t="array" ref="H2:H12">_xlfn._xlws.FILTER(Projekte!A2:A85,
IF($B$1="Alle",
(Projekte!A2:A85&lt;&gt;"")*(Projekte!J2:J85&gt;0),
IF($B$1="Aktiv",
(Projekte!I2:I85=TRUE)*(Projekte!J2:J85&gt;0),
(Projekte!I2:I85=FALSE)*(Projekte!J2:J85&gt;0)
)))</f>
        <v>Projekt Buchbusch</v>
      </c>
      <c r="I2" cm="1">
        <f t="array" ref="I2:I12">_xlfn.XLOOKUP(_xlfn.ANCHORARRAY(H2),Projekte!A2:A85,Projekte!J2:J85)</f>
        <v>0.89846153846153842</v>
      </c>
    </row>
    <row r="3" spans="1:15" x14ac:dyDescent="0.25">
      <c r="A3" t="str" cm="1">
        <f t="array" ref="A3:A14">IFERROR(_xlfn._xlws.FILTER(Projekte!A2:A87,IF($B$1="Alle",Projekte!A2:A87&lt;&gt;"",IF($B$1="Aktiv",Projekte!I2:I87=TRUE,Projekte!I2:I87=FALSE))),"(keine Treffer)")</f>
        <v>Projekt Buchbusch</v>
      </c>
      <c r="D3" t="s">
        <v>182</v>
      </c>
      <c r="E3" s="7">
        <f>_xlfn.XLOOKUP($B$2,Projekte!A:A,Projekte!C:C)</f>
        <v>0</v>
      </c>
      <c r="H3" t="str">
        <v>Stabilisierung Instandhaltung WI-Mex</v>
      </c>
      <c r="I3">
        <v>4.0499999999999998E-3</v>
      </c>
      <c r="M3" s="9" t="s">
        <v>1</v>
      </c>
      <c r="N3" s="9" t="s">
        <v>31</v>
      </c>
      <c r="O3" t="s">
        <v>29</v>
      </c>
    </row>
    <row r="4" spans="1:15" x14ac:dyDescent="0.25">
      <c r="A4" t="str">
        <v>Stabilisierung Instandhaltung WI-Mex</v>
      </c>
      <c r="D4" t="s">
        <v>183</v>
      </c>
      <c r="E4">
        <f>IFERROR(E3/E2,0)</f>
        <v>0</v>
      </c>
      <c r="H4" t="str">
        <v>Gruppenweite Instandhaltung</v>
      </c>
      <c r="I4">
        <v>1.5800000000000002E-2</v>
      </c>
      <c r="M4" t="s">
        <v>18</v>
      </c>
      <c r="N4" t="s">
        <v>0</v>
      </c>
      <c r="O4">
        <v>79</v>
      </c>
    </row>
    <row r="5" spans="1:15" x14ac:dyDescent="0.25">
      <c r="A5" t="str">
        <v>Gruppenweite Instandhaltung</v>
      </c>
      <c r="D5" t="s">
        <v>184</v>
      </c>
      <c r="E5">
        <f>_xlfn.XLOOKUP($B$2,Projekte!A:A,Projekte!F:F)</f>
        <v>10000</v>
      </c>
      <c r="H5" t="str">
        <v>Predictive Maintenance allg.</v>
      </c>
      <c r="I5">
        <v>4.0000000000000002E-4</v>
      </c>
      <c r="N5" t="s">
        <v>44</v>
      </c>
      <c r="O5">
        <v>2</v>
      </c>
    </row>
    <row r="6" spans="1:15" x14ac:dyDescent="0.25">
      <c r="A6" t="str">
        <v>Predictive Maintenance allg.</v>
      </c>
      <c r="D6" t="s">
        <v>185</v>
      </c>
      <c r="E6">
        <f>_xlfn.XLOOKUP($B$2,Projekte!A:A,Projekte!G:G)</f>
        <v>158</v>
      </c>
      <c r="H6" t="str">
        <v>Aufbau eines Globalen Produktionsnetzwerkes</v>
      </c>
      <c r="I6">
        <v>0.29870129870129869</v>
      </c>
      <c r="M6" t="s">
        <v>20</v>
      </c>
      <c r="N6" t="s">
        <v>44</v>
      </c>
      <c r="O6">
        <v>90</v>
      </c>
    </row>
    <row r="7" spans="1:15" x14ac:dyDescent="0.25">
      <c r="A7" t="str">
        <v>Aufbau eines Globalen Produktionsnetzwerkes</v>
      </c>
      <c r="D7" t="s">
        <v>16</v>
      </c>
      <c r="E7">
        <f>IFERROR(E6/E5,0)</f>
        <v>1.5800000000000002E-2</v>
      </c>
      <c r="H7" t="str">
        <v>Projekt Vertrieb mb - Lean Admin</v>
      </c>
      <c r="I7">
        <v>1.6233766233766232E-2</v>
      </c>
      <c r="N7" t="s">
        <v>36</v>
      </c>
      <c r="O7">
        <v>94</v>
      </c>
    </row>
    <row r="8" spans="1:15" x14ac:dyDescent="0.25">
      <c r="A8" t="str">
        <v>Projekt Vertrieb mb - Lean Admin</v>
      </c>
      <c r="E8" s="1"/>
      <c r="H8" t="str">
        <v>Diverse Themen / Unterstützungen</v>
      </c>
      <c r="I8">
        <v>0.70454545454545459</v>
      </c>
      <c r="M8" t="s">
        <v>21</v>
      </c>
      <c r="N8" t="s">
        <v>36</v>
      </c>
      <c r="O8">
        <v>10</v>
      </c>
    </row>
    <row r="9" spans="1:15" x14ac:dyDescent="0.25">
      <c r="A9" t="str">
        <v>Diverse Themen / Unterstützungen</v>
      </c>
      <c r="D9" t="s">
        <v>186</v>
      </c>
      <c r="E9" s="1">
        <f>_xlfn.XLOOKUP($B$2,Projekte!A:A,Projekte!B:B)</f>
        <v>46203</v>
      </c>
      <c r="H9" t="str">
        <v>Verlustauswertung</v>
      </c>
      <c r="I9">
        <v>1.6870967741935483</v>
      </c>
      <c r="M9" t="s">
        <v>22</v>
      </c>
      <c r="N9" t="s">
        <v>0</v>
      </c>
      <c r="O9">
        <v>11</v>
      </c>
    </row>
    <row r="10" spans="1:15" x14ac:dyDescent="0.25">
      <c r="A10" t="str">
        <v>Verlustauswertung</v>
      </c>
      <c r="D10" t="s">
        <v>187</v>
      </c>
      <c r="E10">
        <f ca="1">IFERROR(MIN(1,MAX(0,(TODAY()-_xlfn.XLOOKUP($B$2,Projekte!A:A,Projekte!E:E))/(E9-_xlfn.XLOOKUP($B$2,Projekte!A:A,Projekte!E:E)))),0)</f>
        <v>1</v>
      </c>
      <c r="H10" t="str">
        <v>SAP S4</v>
      </c>
      <c r="I10">
        <v>0.55000000000000004</v>
      </c>
      <c r="N10" t="s">
        <v>44</v>
      </c>
      <c r="O10">
        <v>206</v>
      </c>
    </row>
    <row r="11" spans="1:15" x14ac:dyDescent="0.25">
      <c r="A11" t="str">
        <v>SAP S4</v>
      </c>
      <c r="H11" t="str">
        <v>Führung</v>
      </c>
      <c r="I11">
        <v>0.13</v>
      </c>
      <c r="M11" t="s">
        <v>17</v>
      </c>
      <c r="N11" t="s">
        <v>0</v>
      </c>
      <c r="O11">
        <v>498</v>
      </c>
    </row>
    <row r="12" spans="1:15" x14ac:dyDescent="0.25">
      <c r="A12" t="str">
        <v>Führung</v>
      </c>
      <c r="H12" t="str">
        <v>BCM</v>
      </c>
      <c r="I12">
        <v>4.3449999999999998</v>
      </c>
      <c r="N12" t="s">
        <v>44</v>
      </c>
      <c r="O12">
        <v>86</v>
      </c>
    </row>
    <row r="13" spans="1:15" x14ac:dyDescent="0.25">
      <c r="A13" t="str">
        <v>BCM</v>
      </c>
    </row>
    <row r="14" spans="1:15" x14ac:dyDescent="0.25">
      <c r="A14" t="str">
        <v>Buchbusch</v>
      </c>
    </row>
  </sheetData>
  <dataValidations count="1">
    <dataValidation type="list" allowBlank="1" showInputMessage="1" showErrorMessage="1" sqref="B1" xr:uid="{0B590136-F385-4DC0-A324-38EA0750F935}">
      <formula1>"Alle,Aktiv,Inaktiv"</formula1>
    </dataValidation>
  </dataValidation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38A1-03FF-4E5E-AB10-2E260E1CFA85}">
  <sheetPr codeName="Tabelle10">
    <tabColor theme="9" tint="0.59999389629810485"/>
  </sheetPr>
  <dimension ref="A1:B7"/>
  <sheetViews>
    <sheetView showGridLines="0" showRowColHeaders="0" workbookViewId="0">
      <selection activeCell="B2" sqref="B2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customHeight="1" x14ac:dyDescent="0.25">
      <c r="A1" s="30" t="s">
        <v>188</v>
      </c>
      <c r="B1" s="30"/>
    </row>
    <row r="2" spans="1:2" ht="42" customHeight="1" x14ac:dyDescent="0.25">
      <c r="A2" s="10" t="s">
        <v>189</v>
      </c>
      <c r="B2" s="11"/>
    </row>
    <row r="3" spans="1:2" ht="42" customHeight="1" x14ac:dyDescent="0.25">
      <c r="A3" s="10" t="inlineStr">
        <is>
          <t xml:space="preserve">Projektstart</t>
        </is>
      </c>
      <c r="B3" s="12">
        <f>TODAY()</f>
      </c>
    </row>
    <row r="4" spans="1:2" ht="42" customHeight="1" x14ac:dyDescent="0.25">
      <c r="A4" s="10" t="s">
        <v>186</v>
      </c>
      <c r="B4" s="12"/>
    </row>
    <row r="5" spans="1:2" ht="42" customHeight="1" x14ac:dyDescent="0.25">
      <c r="A5" s="10" t="s">
        <v>181</v>
      </c>
      <c r="B5" s="11"/>
    </row>
    <row r="6" spans="1:2" ht="42" customHeight="1" x14ac:dyDescent="0.25">
      <c r="A6" s="10" t="s">
        <v>190</v>
      </c>
      <c r="B6" s="11"/>
    </row>
    <row r="7" spans="1:2" ht="12" customHeight="1" x14ac:dyDescent="0.25"/>
  </sheetData>
  <sheetProtection sheet="1" selectLockedCells="1" sort="0" autoFilter="0" pivotTables="0"/>
  <mergeCells count="1">
    <mergeCell ref="A1:B1"/>
  </mergeCells>
  <dataValidations count="3">
    <dataValidation type="date" operator="between" allowBlank="1" showInputMessage="1" showErrorMessage="1" errorTitle="Datum" error="Bitte ein gültiges Datum eingeben." promptTitle="Datum" prompt="Datum im Format TT.MM.JJJJ" sqref="B3:B4">
      <formula1>36526</formula1>
      <formula2>73051</formula2>
    </dataValidation>
    <dataValidation type="decimal" operator="greaterThanOrEqual" allowBlank="1" showInputMessage="1" showErrorMessage="1" errorTitle="Budget" error="Bitte eine Zahl ≥ 0 eingeben." promptTitle="Budget SOLL" prompt="Geplantes Budget in € (0 wenn keins)." sqref="B5">
      <formula1>0</formula1>
    </dataValidation>
    <dataValidation type="decimal" operator="greaterThan" allowBlank="1" showInputMessage="1" showErrorMessage="1" errorTitle="Stunden" error="Bitte eine Zahl &gt; 0 eingeben." promptTitle="Projektstunden SOLL" prompt="Geplante Stunden für das Projekt." sqref="B6">
      <formula1>0</formula1>
    </dataValidation>
  </dataValidations>
  <pageMargins left="0.7" right="0.7" top="0.78740157499999996" bottom="0.78740157499999996" header="0.3" footer="0.3"/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7D61-78E1-4633-B9D1-20303D4DF6AF}">
  <sheetPr codeName="Tabelle5">
    <tabColor theme="4" tint="0.39997558519241921"/>
  </sheetPr>
  <dimension ref="A1:B21"/>
  <sheetViews>
    <sheetView showGridLines="0" showRowColHeaders="0" workbookViewId="0">
      <selection activeCell="B4" sqref="B4"/>
    </sheetView>
  </sheetViews>
  <sheetFormatPr baseColWidth="10" defaultColWidth="11.42578125" defaultRowHeight="15" x14ac:dyDescent="0.25"/>
  <cols>
    <col min="1" max="1" width="26.7109375" customWidth="1"/>
    <col min="2" max="2" width="52.7109375" customWidth="1"/>
  </cols>
  <sheetData>
    <row r="1" spans="1:2" ht="42" hidden="1" customHeight="1" x14ac:dyDescent="0.25"/>
    <row r="2" spans="1:2" ht="42" customHeight="1" x14ac:dyDescent="0.25">
      <c r="A2" s="30" t="inlineStr">
        <is>
          <t xml:space="preserve">Zeiterfassung</t>
        </is>
      </c>
      <c r="B2" s="30"/>
    </row>
    <row r="3" spans="1:2" ht="32" customHeight="1" x14ac:dyDescent="0.25">
      <c r="A3" s="32" t="inlineStr">
        <is>
          <t xml:space="preserve">Felder ausfüllen und auf „Speichern“ klicken. Person und Datum bleiben für weitere Einträge stehen.</t>
        </is>
      </c>
      <c r="B3" s="32"/>
    </row>
    <row r="4" spans="1:2" ht="42" customHeight="1" x14ac:dyDescent="0.25">
      <c r="A4" s="10" t="inlineStr">
        <is>
          <t xml:space="preserve">Person *</t>
        </is>
      </c>
      <c r="B4" s="11"/>
    </row>
    <row r="5" spans="1:2" ht="42" customHeight="1" x14ac:dyDescent="0.25">
      <c r="A5" s="10" t="inlineStr">
        <is>
          <t xml:space="preserve">Datum *</t>
        </is>
      </c>
      <c r="B5" s="12">
        <f>TODAY()</f>
      </c>
    </row>
    <row r="6" spans="1:2" ht="42" customHeight="1" x14ac:dyDescent="0.25">
      <c r="A6" s="10" t="inlineStr">
        <is>
          <t xml:space="preserve">Projekt *</t>
        </is>
      </c>
      <c r="B6" s="11"/>
    </row>
    <row r="7" spans="1:2" ht="42" customHeight="1" x14ac:dyDescent="0.25">
      <c r="A7" s="10" t="inlineStr">
        <is>
          <t xml:space="preserve">Stunden *</t>
        </is>
      </c>
      <c r="B7" s="11"/>
    </row>
    <row r="8" spans="1:2" ht="42" customHeight="1" x14ac:dyDescent="0.25">
      <c r="A8" s="10" t="inlineStr">
        <is>
          <t xml:space="preserve">Kosten (bezahlt)</t>
        </is>
      </c>
      <c r="B8" s="11"/>
    </row>
    <row r="9" spans="1:2" ht="45" customHeight="1" x14ac:dyDescent="0.25">
      <c r="A9" s="10" t="inlineStr">
        <is>
          <t xml:space="preserve">Notiz</t>
        </is>
      </c>
      <c r="B9" s="13"/>
    </row>
    <row r="10" spans="1:2" ht="12" customHeight="1" x14ac:dyDescent="0.25"/>
    <row r="16" spans="1:2" ht="30" customHeight="1" x14ac:dyDescent="0.25">
      <c r="A16" s="10" t="inlineStr">
        <is>
          <t xml:space="preserve">Letzte Einträge dieser Person</t>
        </is>
      </c>
      <c r="B16" s="10"/>
    </row>
    <row r="17" spans="1:2" ht="22" customHeight="1" x14ac:dyDescent="0.25">
      <c r="A17" s="33" t="str" cm="1">
        <f t="array" ref="A17">_xlfn.LET(_xlpm.f,_xlfn._xlws.FILTER(Auswertung,Auswertung[Person]=inpPerson,""),IF(OR(inpPerson="",COLUMNS(_xlpm.f)=1),"",_xlfn.LET(_xlpm.s,_xlfn._xlws.SORT(_xlpm.f,6,-1),_xlpm.n,_xlfn.SEQUENCE(MIN(5,ROWS(_xlpm.s))),CHOOSE({1,2},INDEX(_xlpm.s,_xlpm.n,6),INDEX(_xlpm.s,_xlpm.n,1)&amp;"  ·  "&amp;INDEX(_xlpm.s,_xlpm.n,3)&amp;" h"))))</f>
        <v/>
      </c>
      <c r="B17" s="34"/>
    </row>
    <row r="18" spans="1:2" ht="22" customHeight="1" x14ac:dyDescent="0.25">
      <c r="A18" s="33"/>
      <c r="B18" s="34"/>
    </row>
    <row r="19" spans="1:2" ht="22" customHeight="1" x14ac:dyDescent="0.25">
      <c r="A19" s="33"/>
      <c r="B19" s="34"/>
    </row>
    <row r="20" spans="1:2" ht="22" customHeight="1" x14ac:dyDescent="0.25">
      <c r="A20" s="33"/>
      <c r="B20" s="34"/>
    </row>
    <row r="21" spans="1:2" ht="22" customHeight="1" x14ac:dyDescent="0.25">
      <c r="A21" s="33"/>
      <c r="B21" s="34"/>
    </row>
  </sheetData>
  <sheetProtection selectLockedCells="1" sort="0" autoFilter="0" pivotTables="0"/>
  <mergeCells count="3">
    <mergeCell ref="A2:B2"/>
    <mergeCell ref="A3:B3"/>
    <mergeCell ref="A16:B16"/>
  </mergeCells>
  <dataValidations count="5">
    <dataValidation type="list" allowBlank="1" showInputMessage="1" showErrorMessage="1" errorTitle="Person" error="Bitte eine Person aus der Liste wählen." promptTitle="Person" prompt="Wer hat gearbeitet?" sqref="B4">
      <formula1>P_Auswahl</formula1>
    </dataValidation>
    <dataValidation type="date" operator="between" allowBlank="1" showInputMessage="1" showErrorMessage="1" errorTitle="Datum" error="Bitte ein gültiges Datum eingeben (TT.MM.JJJJ)." promptTitle="Datum" prompt="Vorbelegt mit heute – bei Bedarf ändern (TT.MM.JJJJ)." sqref="B5">
      <formula1>36526</formula1>
      <formula2>73051</formula2>
    </dataValidation>
    <dataValidation type="list" allowBlank="1" showInputMessage="1" showErrorMessage="1" errorTitle="Projekt" error="Bitte ein Projekt aus der Liste wählen." promptTitle="Projekt" prompt="Nur aktive Projekte werden angezeigt." sqref="B6">
      <formula1>Projekt_Aktiv</formula1>
    </dataValidation>
    <dataValidation type="decimal" operator="between" allowBlank="1" showInputMessage="1" showErrorMessage="1" errorTitle="Stunden" error="Bitte eine Zahl zwischen 0,25 und 24 eingeben." promptTitle="Stunden" prompt="Gearbeitete Stunden, z. B. 6,5" sqref="B7">
      <formula1>0.25</formula1>
      <formula2>24</formula2>
    </dataValidation>
    <dataValidation type="decimal" operator="greaterThanOrEqual" allowBlank="1" showInputMessage="1" showErrorMessage="1" errorTitle="Kosten" error="Bitte eine Zahl ≥ 0 eingeben oder leer lassen." promptTitle="Kosten" prompt="Optional: bezahlte Kosten in €." sqref="B8">
      <formula1>0</formula1>
    </dataValidation>
  </dataValidations>
  <pageMargins left="0.7" right="0.7" top="0.78740157499999996" bottom="0.78740157499999996" header="0.3" footer="0.3"/>
  <drawing r:id="rId1"/>
  <picture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05973f6-de2d-4561-98ed-fd90ee43253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FD990A9F270B24B81EA54808C126AF5" ma:contentTypeVersion="13" ma:contentTypeDescription="Ein neues Dokument erstellen." ma:contentTypeScope="" ma:versionID="cd25faa4bd411b91dd72bd9b0d96956a">
  <xsd:schema xmlns:xsd="http://www.w3.org/2001/XMLSchema" xmlns:xs="http://www.w3.org/2001/XMLSchema" xmlns:p="http://schemas.microsoft.com/office/2006/metadata/properties" xmlns:ns2="205973f6-de2d-4561-98ed-fd90ee432532" targetNamespace="http://schemas.microsoft.com/office/2006/metadata/properties" ma:root="true" ma:fieldsID="f950b6c201750e27e68b238e3bfe284e" ns2:_="">
    <xsd:import namespace="205973f6-de2d-4561-98ed-fd90ee4325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973f6-de2d-4561-98ed-fd90ee432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ildmarkierungen" ma:readOnly="false" ma:fieldId="{5cf76f15-5ced-4ddc-b409-7134ff3c332f}" ma:taxonomyMulti="true" ma:sspId="be7bd950-6f6e-44fd-b00f-7549aab1e9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FAC6ED-CE9E-4454-A9EB-F89D66AC3A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1546ABD-FAC1-4008-85F8-4A5C4270957D}">
  <ds:schemaRefs>
    <ds:schemaRef ds:uri="http://schemas.microsoft.com/office/2006/metadata/properties"/>
    <ds:schemaRef ds:uri="http://schemas.microsoft.com/office/infopath/2007/PartnerControls"/>
    <ds:schemaRef ds:uri="205973f6-de2d-4561-98ed-fd90ee432532"/>
  </ds:schemaRefs>
</ds:datastoreItem>
</file>

<file path=customXml/itemProps3.xml><?xml version="1.0" encoding="utf-8"?>
<ds:datastoreItem xmlns:ds="http://schemas.openxmlformats.org/officeDocument/2006/customXml" ds:itemID="{F238AF73-13DA-4A2D-B3FC-BEEE2A60D9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5973f6-de2d-4561-98ed-fd90ee4325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Dashboard</vt:lpstr>
      <vt:lpstr>Dashboard_zwei</vt:lpstr>
      <vt:lpstr>Projekte</vt:lpstr>
      <vt:lpstr>Tabelle1</vt:lpstr>
      <vt:lpstr>Tabelle2</vt:lpstr>
      <vt:lpstr>Daten</vt:lpstr>
      <vt:lpstr>Personen</vt:lpstr>
      <vt:lpstr>Auswertung_Pivo</vt:lpstr>
      <vt:lpstr>Auswertung ProjektDiag</vt:lpstr>
      <vt:lpstr>Dashboard_Steuerung</vt:lpstr>
      <vt:lpstr>Projekt_erstellen</vt:lpstr>
      <vt:lpstr>Zeiterfassung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Mrugalla</dc:creator>
  <cp:keywords/>
  <dc:description/>
  <cp:lastModifiedBy>Mrugalla, Bernhard</cp:lastModifiedBy>
  <cp:revision/>
  <dcterms:created xsi:type="dcterms:W3CDTF">2026-02-17T16:36:27Z</dcterms:created>
  <dcterms:modified xsi:type="dcterms:W3CDTF">2026-10-17T20:52:01Z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0x0101007FD990A9F270B24B81EA54808C126AF5</vt:lpwstr>
  </property>
  <property fmtid="{D5CDD505-2E9C-101B-9397-08002B2CF9AE}" pid="3" name="MediaServiceImageTags">
    <vt:lpwstr/>
  </property>
</Properties>
</file>