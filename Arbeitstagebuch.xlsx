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ingabe" sheetId="2" state="visible" r:id="rId2"/>
    <sheet name="Projekte" sheetId="3" state="visible" r:id="rId3"/>
    <sheet name="Anleitung" sheetId="4" state="visible" r:id="rId4"/>
  </sheets>
  <definedNames>
    <definedName name="ListeProjekte">Projekte!$A$5:$A$34</definedName>
    <definedName name="ListeKategorie">Projekte!$F$5:$F$19</definedName>
    <definedName name="ListeStatus">Projekte!$H$5:$H$19</definedName>
    <definedName name="ListePrio">Projekte!$J$5:$J$19</definedName>
    <definedName name="_xlnm._FilterDatabase" localSheetId="1" hidden="1">'Eingabe'!$A$4:$N$2004</definedName>
    <definedName name="_xlnm.Print_Titles" localSheetId="1">'Eingabe'!$4:$4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DD.MM.YYYY"/>
    <numFmt numFmtId="165" formatCode="hh:mm"/>
    <numFmt numFmtId="166" formatCode="MMM YYYY"/>
    <numFmt numFmtId="167" formatCode="0.0&quot; h&quot;"/>
    <numFmt numFmtId="168" formatCode="0.0;-0.0;&quot;–&quot;"/>
    <numFmt numFmtId="169" formatCode="0.0"/>
    <numFmt numFmtId="170" formatCode="DD.MM."/>
  </numFmts>
  <fonts count="16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A5F"/>
      <sz val="18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808080"/>
      <sz val="9"/>
    </font>
    <font>
      <name val="Arial"/>
      <color rgb="00808080"/>
      <sz val="9"/>
    </font>
    <font>
      <name val="Arial"/>
      <b val="1"/>
      <color rgb="00595959"/>
      <sz val="9"/>
    </font>
    <font>
      <name val="Arial"/>
      <b val="1"/>
      <color rgb="001F3A5F"/>
      <sz val="20"/>
    </font>
    <font>
      <name val="Arial"/>
      <b val="1"/>
      <color rgb="001F3A5F"/>
      <sz val="13"/>
    </font>
    <font>
      <name val="Arial"/>
      <b val="1"/>
      <color rgb="00C00000"/>
      <sz val="10"/>
    </font>
    <font>
      <name val="Arial"/>
      <b val="1"/>
      <color rgb="001F3A5F"/>
      <sz val="12"/>
    </font>
    <font>
      <name val="Arial"/>
      <i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>
        <color rgb="001F3A5F"/>
      </top>
    </border>
    <border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7" fillId="3" borderId="1" applyAlignment="1" pivotButton="0" quotePrefix="0" xfId="0">
      <alignment horizontal="center"/>
    </xf>
    <xf numFmtId="0" fontId="8" fillId="0" borderId="0" pivotButton="0" quotePrefix="0" xfId="0"/>
    <xf numFmtId="0" fontId="7" fillId="3" borderId="1" applyAlignment="1" pivotButton="0" quotePrefix="0" xfId="0">
      <alignment horizontal="center"/>
    </xf>
    <xf numFmtId="0" fontId="9" fillId="0" borderId="0" pivotButton="0" quotePrefix="0" xfId="0"/>
    <xf numFmtId="164" fontId="9" fillId="0" borderId="0" pivotButton="0" quotePrefix="0" xfId="0"/>
    <xf numFmtId="0" fontId="1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167" fontId="11" fillId="5" borderId="0" applyAlignment="1" pivotButton="0" quotePrefix="0" xfId="0">
      <alignment horizontal="center" vertical="center"/>
    </xf>
    <xf numFmtId="9" fontId="11" fillId="5" borderId="0" applyAlignment="1" pivotButton="0" quotePrefix="0" xfId="0">
      <alignment horizontal="center" vertical="center"/>
    </xf>
    <xf numFmtId="1" fontId="11" fillId="5" borderId="0" applyAlignment="1" pivotButton="0" quotePrefix="0" xfId="0">
      <alignment horizontal="center" vertical="center"/>
    </xf>
    <xf numFmtId="0" fontId="1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168" fontId="4" fillId="0" borderId="0" pivotButton="0" quotePrefix="0" xfId="0"/>
    <xf numFmtId="9" fontId="4" fillId="0" borderId="0" pivotButton="0" quotePrefix="0" xfId="0"/>
    <xf numFmtId="164" fontId="4" fillId="0" borderId="0" pivotButton="0" quotePrefix="0" xfId="0"/>
    <xf numFmtId="1" fontId="4" fillId="0" borderId="0" pivotButton="0" quotePrefix="0" xfId="0"/>
    <xf numFmtId="169" fontId="4" fillId="0" borderId="0" pivotButton="0" quotePrefix="0" xfId="0"/>
    <xf numFmtId="0" fontId="6" fillId="0" borderId="2" pivotButton="0" quotePrefix="0" xfId="0"/>
    <xf numFmtId="169" fontId="6" fillId="0" borderId="2" pivotButton="0" quotePrefix="0" xfId="0"/>
    <xf numFmtId="169" fontId="8" fillId="0" borderId="0" pivotButton="0" quotePrefix="0" xfId="0"/>
    <xf numFmtId="0" fontId="13" fillId="0" borderId="0" pivotButton="0" quotePrefix="0" xfId="0"/>
    <xf numFmtId="0" fontId="4" fillId="0" borderId="0" applyAlignment="1" pivotButton="0" quotePrefix="0" xfId="0">
      <alignment horizontal="center"/>
    </xf>
    <xf numFmtId="170" fontId="4" fillId="0" borderId="3" pivotButton="0" quotePrefix="0" xfId="0"/>
    <xf numFmtId="0" fontId="4" fillId="0" borderId="3" pivotButton="0" quotePrefix="0" xfId="0"/>
    <xf numFmtId="169" fontId="4" fillId="0" borderId="3" pivotButton="0" quotePrefix="0" xfId="0"/>
    <xf numFmtId="0" fontId="1" fillId="0" borderId="0" pivotButton="0" quotePrefix="0" xfId="0"/>
    <xf numFmtId="0" fontId="2" fillId="0" borderId="0" pivotButton="0" quotePrefix="0" xfId="0"/>
    <xf numFmtId="164" fontId="4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/>
    </xf>
    <xf numFmtId="2" fontId="4" fillId="3" borderId="1" pivotButton="0" quotePrefix="0" xfId="0"/>
    <xf numFmtId="165" fontId="4" fillId="3" borderId="1" pivotButton="0" quotePrefix="0" xfId="0"/>
    <xf numFmtId="2" fontId="4" fillId="4" borderId="1" pivotButton="0" quotePrefix="0" xfId="0"/>
    <xf numFmtId="0" fontId="4" fillId="4" borderId="1" pivotButton="0" quotePrefix="0" xfId="0"/>
    <xf numFmtId="166" fontId="4" fillId="4" borderId="1" pivotButton="0" quotePrefix="0" xfId="0"/>
    <xf numFmtId="1" fontId="4" fillId="3" borderId="1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</cellXfs>
  <cellStyles count="1">
    <cellStyle name="Normal" xfId="0" builtinId="0" hidden="0"/>
  </cellStyles>
  <dxfs count="9">
    <dxf>
      <font>
        <b val="1"/>
        <color rgb="00008000"/>
        <sz val="20"/>
      </font>
    </dxf>
    <dxf>
      <font>
        <b val="1"/>
        <color rgb="00C00000"/>
      </font>
    </dxf>
    <dxf>
      <font>
        <b val="1"/>
        <color rgb="00C65911"/>
      </font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5700"/>
      </font>
      <fill>
        <patternFill patternType="solid">
          <fgColor rgb="00FFEB9C"/>
        </patternFill>
      </fill>
    </dxf>
    <dxf>
      <font>
        <color rgb="00A6A6A6"/>
      </font>
    </dxf>
    <dxf>
      <border>
        <bottom style="thin">
          <color rgb="00BFBFBF"/>
        </bottom>
      </border>
    </dxf>
    <dxf>
      <font>
        <b val="1"/>
      </font>
      <fill>
        <patternFill patternType="solid">
          <fgColor rgb="00C6EFCE"/>
        </patternFill>
      </fill>
    </dxf>
    <dxf>
      <font>
        <color rgb="00008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Stunden – letzte 14 Tage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'Dashboard'!K57</f>
            </strRef>
          </tx>
          <spPr>
            <a:ln>
              <a:prstDash val="solid"/>
            </a:ln>
          </spPr>
          <cat>
            <numRef>
              <f>'Dashboard'!$I$58:$I$71</f>
            </numRef>
          </cat>
          <val>
            <numRef>
              <f>'Dashboard'!$K$58:$K$71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numFmt formatCode="DD.MM.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Std.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Stunden je Projekt (Gesamt)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'Dashboard'!E15</f>
            </strRef>
          </tx>
          <spPr>
            <a:ln>
              <a:prstDash val="solid"/>
            </a:ln>
          </spPr>
          <cat>
            <numRef>
              <f>'Dashboard'!$B$16:$B$25</f>
            </numRef>
          </cat>
          <val>
            <numRef>
              <f>'Dashboard'!$E$16:$E$25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Vorlage</author>
  </authors>
  <commentList>
    <comment ref="E4" authorId="0" shapeId="0">
      <text>
        <t>Dauer in Stunden, z. B. 1,5 = 1 Std. 30 Min.
Leer lassen, wenn Start und Ende eingetragen werden.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67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72</row>
      <rowOff>0</rowOff>
    </from>
    <ext cx="57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B1:L7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" customWidth="1" min="8" max="8"/>
    <col width="22" customWidth="1" min="9" max="9"/>
    <col width="12" customWidth="1" min="10" max="10"/>
    <col width="12" customWidth="1" min="11" max="11"/>
    <col width="12" customWidth="1" min="12" max="12"/>
  </cols>
  <sheetData>
    <row r="1">
      <c r="B1" s="1" t="inlineStr">
        <is>
          <t>Dashboard – Zeitplanung</t>
        </is>
      </c>
    </row>
    <row r="3">
      <c r="B3" s="2" t="inlineStr">
        <is>
          <t>Stichtag</t>
        </is>
      </c>
      <c r="C3" s="3">
        <f>TODAY()</f>
        <v/>
      </c>
      <c r="D3" s="4" t="inlineStr">
        <is>
          <t>← heute (überschreibbar, z. B. für Rückblick)</t>
        </is>
      </c>
    </row>
    <row r="4">
      <c r="B4" s="2" t="inlineStr">
        <is>
          <t>Wochenziel (Std.)</t>
        </is>
      </c>
      <c r="C4" s="5" t="n">
        <v>40</v>
      </c>
      <c r="D4" s="4" t="inlineStr">
        <is>
          <t>← Ihre Annahme, anpassen</t>
        </is>
      </c>
    </row>
    <row r="5">
      <c r="B5" s="2" t="inlineStr">
        <is>
          <t>Arbeitstage / Woche</t>
        </is>
      </c>
      <c r="C5" s="5" t="n">
        <v>5</v>
      </c>
      <c r="E5" s="6" t="inlineStr">
        <is>
          <t>Wochenbeginn:</t>
        </is>
      </c>
      <c r="F5" s="7">
        <f>C3-WEEKDAY(C3,2)+1</f>
        <v/>
      </c>
      <c r="G5" s="6">
        <f>"KW "&amp;_xlfn.ISOWEEKNUM(C3)</f>
        <v/>
      </c>
    </row>
    <row r="7">
      <c r="B7" s="8" t="inlineStr">
        <is>
          <t>Heute</t>
        </is>
      </c>
      <c r="C7" s="9" t="n"/>
      <c r="D7" s="8" t="inlineStr">
        <is>
          <t>Diese Woche</t>
        </is>
      </c>
      <c r="E7" s="9" t="n"/>
      <c r="F7" s="8" t="inlineStr">
        <is>
          <t>Wochenziel erreicht</t>
        </is>
      </c>
      <c r="G7" s="9" t="n"/>
    </row>
    <row r="8" ht="32" customHeight="1">
      <c r="B8" s="10">
        <f>SUMIFS(Eingabe!$K$5:$K$2004,Eingabe!$A$5:$A$2004,$C$3)</f>
        <v/>
      </c>
      <c r="C8" s="9" t="n"/>
      <c r="D8" s="10">
        <f>SUMIFS(Eingabe!$K$5:$K$2004,Eingabe!$A$5:$A$2004,"&gt;="&amp;$F$5,Eingabe!$A$5:$A$2004,"&lt;="&amp;$F$5+6)</f>
        <v/>
      </c>
      <c r="E8" s="9" t="n"/>
      <c r="F8" s="11">
        <f>IF($C$4=0,0,D8/$C$4)</f>
        <v/>
      </c>
      <c r="G8" s="9" t="n"/>
    </row>
    <row r="10">
      <c r="B10" s="8" t="inlineStr">
        <is>
          <t>Dieser Monat</t>
        </is>
      </c>
      <c r="C10" s="9" t="n"/>
      <c r="D10" s="8" t="inlineStr">
        <is>
          <t>Ø pro Arbeitstag (Woche)</t>
        </is>
      </c>
      <c r="E10" s="9" t="n"/>
      <c r="F10" s="8" t="inlineStr">
        <is>
          <t>Offene Aufgaben</t>
        </is>
      </c>
      <c r="G10" s="9" t="n"/>
    </row>
    <row r="11" ht="32" customHeight="1">
      <c r="B11" s="10">
        <f>SUMIFS(Eingabe!$K$5:$K$2004,Eingabe!$A$5:$A$2004,"&gt;="&amp;DATE(YEAR($C$3),MONTH($C$3),1),Eingabe!$A$5:$A$2004,"&lt;="&amp;EOMONTH($C$3,0))</f>
        <v/>
      </c>
      <c r="C11" s="9" t="n"/>
      <c r="D11" s="10">
        <f>IFERROR(D8/SUMPRODUCT(--(COUNTIFS(Eingabe!$A$5:$A$2004,$F$5+ROW($1:$7)-1,Eingabe!$K$5:$K$2004,"&gt;0")&gt;0)),0)</f>
        <v/>
      </c>
      <c r="E11" s="9" t="n"/>
      <c r="F11" s="12">
        <f>COUNTIFS(Eingabe!$H$5:$H$2004,"Offen")+COUNTIFS(Eingabe!$H$5:$H$2004,"In Arbeit")+COUNTIFS(Eingabe!$H$5:$H$2004,"Wartet")</f>
        <v/>
      </c>
      <c r="G11" s="9" t="n"/>
    </row>
    <row r="14">
      <c r="B14" s="13" t="inlineStr">
        <is>
          <t>Projekte</t>
        </is>
      </c>
      <c r="I14" s="13" t="inlineStr">
        <is>
          <t>Deadlines</t>
        </is>
      </c>
    </row>
    <row r="15">
      <c r="B15" s="14" t="inlineStr">
        <is>
          <t>Projekt</t>
        </is>
      </c>
      <c r="C15" s="14" t="inlineStr">
        <is>
          <t>Woche (h)</t>
        </is>
      </c>
      <c r="D15" s="14" t="inlineStr">
        <is>
          <t>Monat (h)</t>
        </is>
      </c>
      <c r="E15" s="14" t="inlineStr">
        <is>
          <t>Gesamt (h)</t>
        </is>
      </c>
      <c r="F15" s="14" t="inlineStr">
        <is>
          <t>Budget (h)</t>
        </is>
      </c>
      <c r="G15" s="14" t="inlineStr">
        <is>
          <t>Verbraucht</t>
        </is>
      </c>
      <c r="I15" s="14" t="inlineStr">
        <is>
          <t>Projekt</t>
        </is>
      </c>
      <c r="J15" s="14" t="inlineStr">
        <is>
          <t>Deadline</t>
        </is>
      </c>
      <c r="K15" s="14" t="inlineStr">
        <is>
          <t>Tage noch</t>
        </is>
      </c>
      <c r="L15" s="14" t="inlineStr">
        <is>
          <t>Rest (h)</t>
        </is>
      </c>
    </row>
    <row r="16">
      <c r="B16" s="15">
        <f>IF(Projekte!$A$5="","",Projekte!$A$5)</f>
        <v/>
      </c>
      <c r="C16" s="16">
        <f>IF($B16="","",SUMIFS(Eingabe!$K$5:$K$2004,Eingabe!$B$5:$B$2004,$B16,Eingabe!$A$5:$A$2004,"&gt;="&amp;$F$5,Eingabe!$A$5:$A$2004,"&lt;="&amp;$F$5+6))</f>
        <v/>
      </c>
      <c r="D16" s="16">
        <f>IF($B16="","",SUMIFS(Eingabe!$K$5:$K$2004,Eingabe!$B$5:$B$2004,$B16,Eingabe!$A$5:$A$2004,"&gt;="&amp;DATE(YEAR($C$3),MONTH($C$3),1),Eingabe!$A$5:$A$2004,"&lt;="&amp;EOMONTH($C$3,0)))</f>
        <v/>
      </c>
      <c r="E16" s="16">
        <f>IF($B16="","",SUMIFS(Eingabe!$K$5:$K$2004,Eingabe!$B$5:$B$2004,$B16))</f>
        <v/>
      </c>
      <c r="F16" s="16">
        <f>IF(OR($B16="",Projekte!$B$5=""),"",Projekte!$B$5)</f>
        <v/>
      </c>
      <c r="G16" s="17">
        <f>IF(OR($B16="",F16=""),"",E16/F16)</f>
        <v/>
      </c>
      <c r="I16" s="15">
        <f>IF(Projekte!$C$5="","",Projekte!$A$5)</f>
        <v/>
      </c>
      <c r="J16" s="18">
        <f>IF(I16="","",Projekte!$C$5)</f>
        <v/>
      </c>
      <c r="K16" s="19">
        <f>IF(I16="","",J16-$C$3)</f>
        <v/>
      </c>
      <c r="L16" s="20">
        <f>IF(OR(I16="",Projekte!$B$5=""),"",Projekte!$B$5-SUMIFS(Eingabe!$K$5:$K$2004,Eingabe!$B$5:$B$2004,Projekte!$A$5))</f>
        <v/>
      </c>
    </row>
    <row r="17">
      <c r="B17" s="15">
        <f>IF(Projekte!$A$6="","",Projekte!$A$6)</f>
        <v/>
      </c>
      <c r="C17" s="16">
        <f>IF($B17="","",SUMIFS(Eingabe!$K$5:$K$2004,Eingabe!$B$5:$B$2004,$B17,Eingabe!$A$5:$A$2004,"&gt;="&amp;$F$5,Eingabe!$A$5:$A$2004,"&lt;="&amp;$F$5+6))</f>
        <v/>
      </c>
      <c r="D17" s="16">
        <f>IF($B17="","",SUMIFS(Eingabe!$K$5:$K$2004,Eingabe!$B$5:$B$2004,$B17,Eingabe!$A$5:$A$2004,"&gt;="&amp;DATE(YEAR($C$3),MONTH($C$3),1),Eingabe!$A$5:$A$2004,"&lt;="&amp;EOMONTH($C$3,0)))</f>
        <v/>
      </c>
      <c r="E17" s="16">
        <f>IF($B17="","",SUMIFS(Eingabe!$K$5:$K$2004,Eingabe!$B$5:$B$2004,$B17))</f>
        <v/>
      </c>
      <c r="F17" s="16">
        <f>IF(OR($B17="",Projekte!$B$6=""),"",Projekte!$B$6)</f>
        <v/>
      </c>
      <c r="G17" s="17">
        <f>IF(OR($B17="",F17=""),"",E17/F17)</f>
        <v/>
      </c>
      <c r="I17" s="15">
        <f>IF(Projekte!$C$6="","",Projekte!$A$6)</f>
        <v/>
      </c>
      <c r="J17" s="18">
        <f>IF(I17="","",Projekte!$C$6)</f>
        <v/>
      </c>
      <c r="K17" s="19">
        <f>IF(I17="","",J17-$C$3)</f>
        <v/>
      </c>
      <c r="L17" s="20">
        <f>IF(OR(I17="",Projekte!$B$6=""),"",Projekte!$B$6-SUMIFS(Eingabe!$K$5:$K$2004,Eingabe!$B$5:$B$2004,Projekte!$A$6))</f>
        <v/>
      </c>
    </row>
    <row r="18">
      <c r="B18" s="15">
        <f>IF(Projekte!$A$7="","",Projekte!$A$7)</f>
        <v/>
      </c>
      <c r="C18" s="16">
        <f>IF($B18="","",SUMIFS(Eingabe!$K$5:$K$2004,Eingabe!$B$5:$B$2004,$B18,Eingabe!$A$5:$A$2004,"&gt;="&amp;$F$5,Eingabe!$A$5:$A$2004,"&lt;="&amp;$F$5+6))</f>
        <v/>
      </c>
      <c r="D18" s="16">
        <f>IF($B18="","",SUMIFS(Eingabe!$K$5:$K$2004,Eingabe!$B$5:$B$2004,$B18,Eingabe!$A$5:$A$2004,"&gt;="&amp;DATE(YEAR($C$3),MONTH($C$3),1),Eingabe!$A$5:$A$2004,"&lt;="&amp;EOMONTH($C$3,0)))</f>
        <v/>
      </c>
      <c r="E18" s="16">
        <f>IF($B18="","",SUMIFS(Eingabe!$K$5:$K$2004,Eingabe!$B$5:$B$2004,$B18))</f>
        <v/>
      </c>
      <c r="F18" s="16">
        <f>IF(OR($B18="",Projekte!$B$7=""),"",Projekte!$B$7)</f>
        <v/>
      </c>
      <c r="G18" s="17">
        <f>IF(OR($B18="",F18=""),"",E18/F18)</f>
        <v/>
      </c>
      <c r="I18" s="15">
        <f>IF(Projekte!$C$7="","",Projekte!$A$7)</f>
        <v/>
      </c>
      <c r="J18" s="18">
        <f>IF(I18="","",Projekte!$C$7)</f>
        <v/>
      </c>
      <c r="K18" s="19">
        <f>IF(I18="","",J18-$C$3)</f>
        <v/>
      </c>
      <c r="L18" s="20">
        <f>IF(OR(I18="",Projekte!$B$7=""),"",Projekte!$B$7-SUMIFS(Eingabe!$K$5:$K$2004,Eingabe!$B$5:$B$2004,Projekte!$A$7))</f>
        <v/>
      </c>
    </row>
    <row r="19">
      <c r="B19" s="15">
        <f>IF(Projekte!$A$8="","",Projekte!$A$8)</f>
        <v/>
      </c>
      <c r="C19" s="16">
        <f>IF($B19="","",SUMIFS(Eingabe!$K$5:$K$2004,Eingabe!$B$5:$B$2004,$B19,Eingabe!$A$5:$A$2004,"&gt;="&amp;$F$5,Eingabe!$A$5:$A$2004,"&lt;="&amp;$F$5+6))</f>
        <v/>
      </c>
      <c r="D19" s="16">
        <f>IF($B19="","",SUMIFS(Eingabe!$K$5:$K$2004,Eingabe!$B$5:$B$2004,$B19,Eingabe!$A$5:$A$2004,"&gt;="&amp;DATE(YEAR($C$3),MONTH($C$3),1),Eingabe!$A$5:$A$2004,"&lt;="&amp;EOMONTH($C$3,0)))</f>
        <v/>
      </c>
      <c r="E19" s="16">
        <f>IF($B19="","",SUMIFS(Eingabe!$K$5:$K$2004,Eingabe!$B$5:$B$2004,$B19))</f>
        <v/>
      </c>
      <c r="F19" s="16">
        <f>IF(OR($B19="",Projekte!$B$8=""),"",Projekte!$B$8)</f>
        <v/>
      </c>
      <c r="G19" s="17">
        <f>IF(OR($B19="",F19=""),"",E19/F19)</f>
        <v/>
      </c>
      <c r="I19" s="15">
        <f>IF(Projekte!$C$8="","",Projekte!$A$8)</f>
        <v/>
      </c>
      <c r="J19" s="18">
        <f>IF(I19="","",Projekte!$C$8)</f>
        <v/>
      </c>
      <c r="K19" s="19">
        <f>IF(I19="","",J19-$C$3)</f>
        <v/>
      </c>
      <c r="L19" s="20">
        <f>IF(OR(I19="",Projekte!$B$8=""),"",Projekte!$B$8-SUMIFS(Eingabe!$K$5:$K$2004,Eingabe!$B$5:$B$2004,Projekte!$A$8))</f>
        <v/>
      </c>
    </row>
    <row r="20">
      <c r="B20" s="15">
        <f>IF(Projekte!$A$9="","",Projekte!$A$9)</f>
        <v/>
      </c>
      <c r="C20" s="16">
        <f>IF($B20="","",SUMIFS(Eingabe!$K$5:$K$2004,Eingabe!$B$5:$B$2004,$B20,Eingabe!$A$5:$A$2004,"&gt;="&amp;$F$5,Eingabe!$A$5:$A$2004,"&lt;="&amp;$F$5+6))</f>
        <v/>
      </c>
      <c r="D20" s="16">
        <f>IF($B20="","",SUMIFS(Eingabe!$K$5:$K$2004,Eingabe!$B$5:$B$2004,$B20,Eingabe!$A$5:$A$2004,"&gt;="&amp;DATE(YEAR($C$3),MONTH($C$3),1),Eingabe!$A$5:$A$2004,"&lt;="&amp;EOMONTH($C$3,0)))</f>
        <v/>
      </c>
      <c r="E20" s="16">
        <f>IF($B20="","",SUMIFS(Eingabe!$K$5:$K$2004,Eingabe!$B$5:$B$2004,$B20))</f>
        <v/>
      </c>
      <c r="F20" s="16">
        <f>IF(OR($B20="",Projekte!$B$9=""),"",Projekte!$B$9)</f>
        <v/>
      </c>
      <c r="G20" s="17">
        <f>IF(OR($B20="",F20=""),"",E20/F20)</f>
        <v/>
      </c>
      <c r="I20" s="15">
        <f>IF(Projekte!$C$9="","",Projekte!$A$9)</f>
        <v/>
      </c>
      <c r="J20" s="18">
        <f>IF(I20="","",Projekte!$C$9)</f>
        <v/>
      </c>
      <c r="K20" s="19">
        <f>IF(I20="","",J20-$C$3)</f>
        <v/>
      </c>
      <c r="L20" s="20">
        <f>IF(OR(I20="",Projekte!$B$9=""),"",Projekte!$B$9-SUMIFS(Eingabe!$K$5:$K$2004,Eingabe!$B$5:$B$2004,Projekte!$A$9))</f>
        <v/>
      </c>
    </row>
    <row r="21">
      <c r="B21" s="15">
        <f>IF(Projekte!$A$10="","",Projekte!$A$10)</f>
        <v/>
      </c>
      <c r="C21" s="16">
        <f>IF($B21="","",SUMIFS(Eingabe!$K$5:$K$2004,Eingabe!$B$5:$B$2004,$B21,Eingabe!$A$5:$A$2004,"&gt;="&amp;$F$5,Eingabe!$A$5:$A$2004,"&lt;="&amp;$F$5+6))</f>
        <v/>
      </c>
      <c r="D21" s="16">
        <f>IF($B21="","",SUMIFS(Eingabe!$K$5:$K$2004,Eingabe!$B$5:$B$2004,$B21,Eingabe!$A$5:$A$2004,"&gt;="&amp;DATE(YEAR($C$3),MONTH($C$3),1),Eingabe!$A$5:$A$2004,"&lt;="&amp;EOMONTH($C$3,0)))</f>
        <v/>
      </c>
      <c r="E21" s="16">
        <f>IF($B21="","",SUMIFS(Eingabe!$K$5:$K$2004,Eingabe!$B$5:$B$2004,$B21))</f>
        <v/>
      </c>
      <c r="F21" s="16">
        <f>IF(OR($B21="",Projekte!$B$10=""),"",Projekte!$B$10)</f>
        <v/>
      </c>
      <c r="G21" s="17">
        <f>IF(OR($B21="",F21=""),"",E21/F21)</f>
        <v/>
      </c>
      <c r="I21" s="15">
        <f>IF(Projekte!$C$10="","",Projekte!$A$10)</f>
        <v/>
      </c>
      <c r="J21" s="18">
        <f>IF(I21="","",Projekte!$C$10)</f>
        <v/>
      </c>
      <c r="K21" s="19">
        <f>IF(I21="","",J21-$C$3)</f>
        <v/>
      </c>
      <c r="L21" s="20">
        <f>IF(OR(I21="",Projekte!$B$10=""),"",Projekte!$B$10-SUMIFS(Eingabe!$K$5:$K$2004,Eingabe!$B$5:$B$2004,Projekte!$A$10))</f>
        <v/>
      </c>
    </row>
    <row r="22">
      <c r="B22" s="15">
        <f>IF(Projekte!$A$11="","",Projekte!$A$11)</f>
        <v/>
      </c>
      <c r="C22" s="16">
        <f>IF($B22="","",SUMIFS(Eingabe!$K$5:$K$2004,Eingabe!$B$5:$B$2004,$B22,Eingabe!$A$5:$A$2004,"&gt;="&amp;$F$5,Eingabe!$A$5:$A$2004,"&lt;="&amp;$F$5+6))</f>
        <v/>
      </c>
      <c r="D22" s="16">
        <f>IF($B22="","",SUMIFS(Eingabe!$K$5:$K$2004,Eingabe!$B$5:$B$2004,$B22,Eingabe!$A$5:$A$2004,"&gt;="&amp;DATE(YEAR($C$3),MONTH($C$3),1),Eingabe!$A$5:$A$2004,"&lt;="&amp;EOMONTH($C$3,0)))</f>
        <v/>
      </c>
      <c r="E22" s="16">
        <f>IF($B22="","",SUMIFS(Eingabe!$K$5:$K$2004,Eingabe!$B$5:$B$2004,$B22))</f>
        <v/>
      </c>
      <c r="F22" s="16">
        <f>IF(OR($B22="",Projekte!$B$11=""),"",Projekte!$B$11)</f>
        <v/>
      </c>
      <c r="G22" s="17">
        <f>IF(OR($B22="",F22=""),"",E22/F22)</f>
        <v/>
      </c>
      <c r="I22" s="15">
        <f>IF(Projekte!$C$11="","",Projekte!$A$11)</f>
        <v/>
      </c>
      <c r="J22" s="18">
        <f>IF(I22="","",Projekte!$C$11)</f>
        <v/>
      </c>
      <c r="K22" s="19">
        <f>IF(I22="","",J22-$C$3)</f>
        <v/>
      </c>
      <c r="L22" s="20">
        <f>IF(OR(I22="",Projekte!$B$11=""),"",Projekte!$B$11-SUMIFS(Eingabe!$K$5:$K$2004,Eingabe!$B$5:$B$2004,Projekte!$A$11))</f>
        <v/>
      </c>
    </row>
    <row r="23">
      <c r="B23" s="15">
        <f>IF(Projekte!$A$12="","",Projekte!$A$12)</f>
        <v/>
      </c>
      <c r="C23" s="16">
        <f>IF($B23="","",SUMIFS(Eingabe!$K$5:$K$2004,Eingabe!$B$5:$B$2004,$B23,Eingabe!$A$5:$A$2004,"&gt;="&amp;$F$5,Eingabe!$A$5:$A$2004,"&lt;="&amp;$F$5+6))</f>
        <v/>
      </c>
      <c r="D23" s="16">
        <f>IF($B23="","",SUMIFS(Eingabe!$K$5:$K$2004,Eingabe!$B$5:$B$2004,$B23,Eingabe!$A$5:$A$2004,"&gt;="&amp;DATE(YEAR($C$3),MONTH($C$3),1),Eingabe!$A$5:$A$2004,"&lt;="&amp;EOMONTH($C$3,0)))</f>
        <v/>
      </c>
      <c r="E23" s="16">
        <f>IF($B23="","",SUMIFS(Eingabe!$K$5:$K$2004,Eingabe!$B$5:$B$2004,$B23))</f>
        <v/>
      </c>
      <c r="F23" s="16">
        <f>IF(OR($B23="",Projekte!$B$12=""),"",Projekte!$B$12)</f>
        <v/>
      </c>
      <c r="G23" s="17">
        <f>IF(OR($B23="",F23=""),"",E23/F23)</f>
        <v/>
      </c>
      <c r="I23" s="15">
        <f>IF(Projekte!$C$12="","",Projekte!$A$12)</f>
        <v/>
      </c>
      <c r="J23" s="18">
        <f>IF(I23="","",Projekte!$C$12)</f>
        <v/>
      </c>
      <c r="K23" s="19">
        <f>IF(I23="","",J23-$C$3)</f>
        <v/>
      </c>
      <c r="L23" s="20">
        <f>IF(OR(I23="",Projekte!$B$12=""),"",Projekte!$B$12-SUMIFS(Eingabe!$K$5:$K$2004,Eingabe!$B$5:$B$2004,Projekte!$A$12))</f>
        <v/>
      </c>
    </row>
    <row r="24">
      <c r="B24" s="15">
        <f>IF(Projekte!$A$13="","",Projekte!$A$13)</f>
        <v/>
      </c>
      <c r="C24" s="16">
        <f>IF($B24="","",SUMIFS(Eingabe!$K$5:$K$2004,Eingabe!$B$5:$B$2004,$B24,Eingabe!$A$5:$A$2004,"&gt;="&amp;$F$5,Eingabe!$A$5:$A$2004,"&lt;="&amp;$F$5+6))</f>
        <v/>
      </c>
      <c r="D24" s="16">
        <f>IF($B24="","",SUMIFS(Eingabe!$K$5:$K$2004,Eingabe!$B$5:$B$2004,$B24,Eingabe!$A$5:$A$2004,"&gt;="&amp;DATE(YEAR($C$3),MONTH($C$3),1),Eingabe!$A$5:$A$2004,"&lt;="&amp;EOMONTH($C$3,0)))</f>
        <v/>
      </c>
      <c r="E24" s="16">
        <f>IF($B24="","",SUMIFS(Eingabe!$K$5:$K$2004,Eingabe!$B$5:$B$2004,$B24))</f>
        <v/>
      </c>
      <c r="F24" s="16">
        <f>IF(OR($B24="",Projekte!$B$13=""),"",Projekte!$B$13)</f>
        <v/>
      </c>
      <c r="G24" s="17">
        <f>IF(OR($B24="",F24=""),"",E24/F24)</f>
        <v/>
      </c>
      <c r="I24" s="15">
        <f>IF(Projekte!$C$13="","",Projekte!$A$13)</f>
        <v/>
      </c>
      <c r="J24" s="18">
        <f>IF(I24="","",Projekte!$C$13)</f>
        <v/>
      </c>
      <c r="K24" s="19">
        <f>IF(I24="","",J24-$C$3)</f>
        <v/>
      </c>
      <c r="L24" s="20">
        <f>IF(OR(I24="",Projekte!$B$13=""),"",Projekte!$B$13-SUMIFS(Eingabe!$K$5:$K$2004,Eingabe!$B$5:$B$2004,Projekte!$A$13))</f>
        <v/>
      </c>
    </row>
    <row r="25">
      <c r="B25" s="15">
        <f>IF(Projekte!$A$14="","",Projekte!$A$14)</f>
        <v/>
      </c>
      <c r="C25" s="16">
        <f>IF($B25="","",SUMIFS(Eingabe!$K$5:$K$2004,Eingabe!$B$5:$B$2004,$B25,Eingabe!$A$5:$A$2004,"&gt;="&amp;$F$5,Eingabe!$A$5:$A$2004,"&lt;="&amp;$F$5+6))</f>
        <v/>
      </c>
      <c r="D25" s="16">
        <f>IF($B25="","",SUMIFS(Eingabe!$K$5:$K$2004,Eingabe!$B$5:$B$2004,$B25,Eingabe!$A$5:$A$2004,"&gt;="&amp;DATE(YEAR($C$3),MONTH($C$3),1),Eingabe!$A$5:$A$2004,"&lt;="&amp;EOMONTH($C$3,0)))</f>
        <v/>
      </c>
      <c r="E25" s="16">
        <f>IF($B25="","",SUMIFS(Eingabe!$K$5:$K$2004,Eingabe!$B$5:$B$2004,$B25))</f>
        <v/>
      </c>
      <c r="F25" s="16">
        <f>IF(OR($B25="",Projekte!$B$14=""),"",Projekte!$B$14)</f>
        <v/>
      </c>
      <c r="G25" s="17">
        <f>IF(OR($B25="",F25=""),"",E25/F25)</f>
        <v/>
      </c>
      <c r="I25" s="15">
        <f>IF(Projekte!$C$14="","",Projekte!$A$14)</f>
        <v/>
      </c>
      <c r="J25" s="18">
        <f>IF(I25="","",Projekte!$C$14)</f>
        <v/>
      </c>
      <c r="K25" s="19">
        <f>IF(I25="","",J25-$C$3)</f>
        <v/>
      </c>
      <c r="L25" s="20">
        <f>IF(OR(I25="",Projekte!$B$14=""),"",Projekte!$B$14-SUMIFS(Eingabe!$K$5:$K$2004,Eingabe!$B$5:$B$2004,Projekte!$A$14))</f>
        <v/>
      </c>
    </row>
    <row r="26">
      <c r="B26" s="15">
        <f>IF(Projekte!$A$15="","",Projekte!$A$15)</f>
        <v/>
      </c>
      <c r="C26" s="16">
        <f>IF($B26="","",SUMIFS(Eingabe!$K$5:$K$2004,Eingabe!$B$5:$B$2004,$B26,Eingabe!$A$5:$A$2004,"&gt;="&amp;$F$5,Eingabe!$A$5:$A$2004,"&lt;="&amp;$F$5+6))</f>
        <v/>
      </c>
      <c r="D26" s="16">
        <f>IF($B26="","",SUMIFS(Eingabe!$K$5:$K$2004,Eingabe!$B$5:$B$2004,$B26,Eingabe!$A$5:$A$2004,"&gt;="&amp;DATE(YEAR($C$3),MONTH($C$3),1),Eingabe!$A$5:$A$2004,"&lt;="&amp;EOMONTH($C$3,0)))</f>
        <v/>
      </c>
      <c r="E26" s="16">
        <f>IF($B26="","",SUMIFS(Eingabe!$K$5:$K$2004,Eingabe!$B$5:$B$2004,$B26))</f>
        <v/>
      </c>
      <c r="F26" s="16">
        <f>IF(OR($B26="",Projekte!$B$15=""),"",Projekte!$B$15)</f>
        <v/>
      </c>
      <c r="G26" s="17">
        <f>IF(OR($B26="",F26=""),"",E26/F26)</f>
        <v/>
      </c>
      <c r="I26" s="15">
        <f>IF(Projekte!$C$15="","",Projekte!$A$15)</f>
        <v/>
      </c>
      <c r="J26" s="18">
        <f>IF(I26="","",Projekte!$C$15)</f>
        <v/>
      </c>
      <c r="K26" s="19">
        <f>IF(I26="","",J26-$C$3)</f>
        <v/>
      </c>
      <c r="L26" s="20">
        <f>IF(OR(I26="",Projekte!$B$15=""),"",Projekte!$B$15-SUMIFS(Eingabe!$K$5:$K$2004,Eingabe!$B$5:$B$2004,Projekte!$A$15))</f>
        <v/>
      </c>
    </row>
    <row r="27">
      <c r="B27" s="15">
        <f>IF(Projekte!$A$16="","",Projekte!$A$16)</f>
        <v/>
      </c>
      <c r="C27" s="16">
        <f>IF($B27="","",SUMIFS(Eingabe!$K$5:$K$2004,Eingabe!$B$5:$B$2004,$B27,Eingabe!$A$5:$A$2004,"&gt;="&amp;$F$5,Eingabe!$A$5:$A$2004,"&lt;="&amp;$F$5+6))</f>
        <v/>
      </c>
      <c r="D27" s="16">
        <f>IF($B27="","",SUMIFS(Eingabe!$K$5:$K$2004,Eingabe!$B$5:$B$2004,$B27,Eingabe!$A$5:$A$2004,"&gt;="&amp;DATE(YEAR($C$3),MONTH($C$3),1),Eingabe!$A$5:$A$2004,"&lt;="&amp;EOMONTH($C$3,0)))</f>
        <v/>
      </c>
      <c r="E27" s="16">
        <f>IF($B27="","",SUMIFS(Eingabe!$K$5:$K$2004,Eingabe!$B$5:$B$2004,$B27))</f>
        <v/>
      </c>
      <c r="F27" s="16">
        <f>IF(OR($B27="",Projekte!$B$16=""),"",Projekte!$B$16)</f>
        <v/>
      </c>
      <c r="G27" s="17">
        <f>IF(OR($B27="",F27=""),"",E27/F27)</f>
        <v/>
      </c>
      <c r="I27" s="15">
        <f>IF(Projekte!$C$16="","",Projekte!$A$16)</f>
        <v/>
      </c>
      <c r="J27" s="18">
        <f>IF(I27="","",Projekte!$C$16)</f>
        <v/>
      </c>
      <c r="K27" s="19">
        <f>IF(I27="","",J27-$C$3)</f>
        <v/>
      </c>
      <c r="L27" s="20">
        <f>IF(OR(I27="",Projekte!$B$16=""),"",Projekte!$B$16-SUMIFS(Eingabe!$K$5:$K$2004,Eingabe!$B$5:$B$2004,Projekte!$A$16))</f>
        <v/>
      </c>
    </row>
    <row r="28">
      <c r="B28" s="15">
        <f>IF(Projekte!$A$17="","",Projekte!$A$17)</f>
        <v/>
      </c>
      <c r="C28" s="16">
        <f>IF($B28="","",SUMIFS(Eingabe!$K$5:$K$2004,Eingabe!$B$5:$B$2004,$B28,Eingabe!$A$5:$A$2004,"&gt;="&amp;$F$5,Eingabe!$A$5:$A$2004,"&lt;="&amp;$F$5+6))</f>
        <v/>
      </c>
      <c r="D28" s="16">
        <f>IF($B28="","",SUMIFS(Eingabe!$K$5:$K$2004,Eingabe!$B$5:$B$2004,$B28,Eingabe!$A$5:$A$2004,"&gt;="&amp;DATE(YEAR($C$3),MONTH($C$3),1),Eingabe!$A$5:$A$2004,"&lt;="&amp;EOMONTH($C$3,0)))</f>
        <v/>
      </c>
      <c r="E28" s="16">
        <f>IF($B28="","",SUMIFS(Eingabe!$K$5:$K$2004,Eingabe!$B$5:$B$2004,$B28))</f>
        <v/>
      </c>
      <c r="F28" s="16">
        <f>IF(OR($B28="",Projekte!$B$17=""),"",Projekte!$B$17)</f>
        <v/>
      </c>
      <c r="G28" s="17">
        <f>IF(OR($B28="",F28=""),"",E28/F28)</f>
        <v/>
      </c>
      <c r="I28" s="15">
        <f>IF(Projekte!$C$17="","",Projekte!$A$17)</f>
        <v/>
      </c>
      <c r="J28" s="18">
        <f>IF(I28="","",Projekte!$C$17)</f>
        <v/>
      </c>
      <c r="K28" s="19">
        <f>IF(I28="","",J28-$C$3)</f>
        <v/>
      </c>
      <c r="L28" s="20">
        <f>IF(OR(I28="",Projekte!$B$17=""),"",Projekte!$B$17-SUMIFS(Eingabe!$K$5:$K$2004,Eingabe!$B$5:$B$2004,Projekte!$A$17))</f>
        <v/>
      </c>
    </row>
    <row r="29">
      <c r="B29" s="15">
        <f>IF(Projekte!$A$18="","",Projekte!$A$18)</f>
        <v/>
      </c>
      <c r="C29" s="16">
        <f>IF($B29="","",SUMIFS(Eingabe!$K$5:$K$2004,Eingabe!$B$5:$B$2004,$B29,Eingabe!$A$5:$A$2004,"&gt;="&amp;$F$5,Eingabe!$A$5:$A$2004,"&lt;="&amp;$F$5+6))</f>
        <v/>
      </c>
      <c r="D29" s="16">
        <f>IF($B29="","",SUMIFS(Eingabe!$K$5:$K$2004,Eingabe!$B$5:$B$2004,$B29,Eingabe!$A$5:$A$2004,"&gt;="&amp;DATE(YEAR($C$3),MONTH($C$3),1),Eingabe!$A$5:$A$2004,"&lt;="&amp;EOMONTH($C$3,0)))</f>
        <v/>
      </c>
      <c r="E29" s="16">
        <f>IF($B29="","",SUMIFS(Eingabe!$K$5:$K$2004,Eingabe!$B$5:$B$2004,$B29))</f>
        <v/>
      </c>
      <c r="F29" s="16">
        <f>IF(OR($B29="",Projekte!$B$18=""),"",Projekte!$B$18)</f>
        <v/>
      </c>
      <c r="G29" s="17">
        <f>IF(OR($B29="",F29=""),"",E29/F29)</f>
        <v/>
      </c>
      <c r="I29" s="15">
        <f>IF(Projekte!$C$18="","",Projekte!$A$18)</f>
        <v/>
      </c>
      <c r="J29" s="18">
        <f>IF(I29="","",Projekte!$C$18)</f>
        <v/>
      </c>
      <c r="K29" s="19">
        <f>IF(I29="","",J29-$C$3)</f>
        <v/>
      </c>
      <c r="L29" s="20">
        <f>IF(OR(I29="",Projekte!$B$18=""),"",Projekte!$B$18-SUMIFS(Eingabe!$K$5:$K$2004,Eingabe!$B$5:$B$2004,Projekte!$A$18))</f>
        <v/>
      </c>
    </row>
    <row r="30">
      <c r="B30" s="15">
        <f>IF(Projekte!$A$19="","",Projekte!$A$19)</f>
        <v/>
      </c>
      <c r="C30" s="16">
        <f>IF($B30="","",SUMIFS(Eingabe!$K$5:$K$2004,Eingabe!$B$5:$B$2004,$B30,Eingabe!$A$5:$A$2004,"&gt;="&amp;$F$5,Eingabe!$A$5:$A$2004,"&lt;="&amp;$F$5+6))</f>
        <v/>
      </c>
      <c r="D30" s="16">
        <f>IF($B30="","",SUMIFS(Eingabe!$K$5:$K$2004,Eingabe!$B$5:$B$2004,$B30,Eingabe!$A$5:$A$2004,"&gt;="&amp;DATE(YEAR($C$3),MONTH($C$3),1),Eingabe!$A$5:$A$2004,"&lt;="&amp;EOMONTH($C$3,0)))</f>
        <v/>
      </c>
      <c r="E30" s="16">
        <f>IF($B30="","",SUMIFS(Eingabe!$K$5:$K$2004,Eingabe!$B$5:$B$2004,$B30))</f>
        <v/>
      </c>
      <c r="F30" s="16">
        <f>IF(OR($B30="",Projekte!$B$19=""),"",Projekte!$B$19)</f>
        <v/>
      </c>
      <c r="G30" s="17">
        <f>IF(OR($B30="",F30=""),"",E30/F30)</f>
        <v/>
      </c>
      <c r="I30" s="15">
        <f>IF(Projekte!$C$19="","",Projekte!$A$19)</f>
        <v/>
      </c>
      <c r="J30" s="18">
        <f>IF(I30="","",Projekte!$C$19)</f>
        <v/>
      </c>
      <c r="K30" s="19">
        <f>IF(I30="","",J30-$C$3)</f>
        <v/>
      </c>
      <c r="L30" s="20">
        <f>IF(OR(I30="",Projekte!$B$19=""),"",Projekte!$B$19-SUMIFS(Eingabe!$K$5:$K$2004,Eingabe!$B$5:$B$2004,Projekte!$A$19))</f>
        <v/>
      </c>
    </row>
    <row r="31" hidden="1" outlineLevel="1">
      <c r="B31" s="15">
        <f>IF(Projekte!$A$20="","",Projekte!$A$20)</f>
        <v/>
      </c>
      <c r="C31" s="16">
        <f>IF($B31="","",SUMIFS(Eingabe!$K$5:$K$2004,Eingabe!$B$5:$B$2004,$B31,Eingabe!$A$5:$A$2004,"&gt;="&amp;$F$5,Eingabe!$A$5:$A$2004,"&lt;="&amp;$F$5+6))</f>
        <v/>
      </c>
      <c r="D31" s="16">
        <f>IF($B31="","",SUMIFS(Eingabe!$K$5:$K$2004,Eingabe!$B$5:$B$2004,$B31,Eingabe!$A$5:$A$2004,"&gt;="&amp;DATE(YEAR($C$3),MONTH($C$3),1),Eingabe!$A$5:$A$2004,"&lt;="&amp;EOMONTH($C$3,0)))</f>
        <v/>
      </c>
      <c r="E31" s="16">
        <f>IF($B31="","",SUMIFS(Eingabe!$K$5:$K$2004,Eingabe!$B$5:$B$2004,$B31))</f>
        <v/>
      </c>
      <c r="F31" s="16">
        <f>IF(OR($B31="",Projekte!$B$20=""),"",Projekte!$B$20)</f>
        <v/>
      </c>
      <c r="G31" s="17">
        <f>IF(OR($B31="",F31=""),"",E31/F31)</f>
        <v/>
      </c>
      <c r="I31" s="15">
        <f>IF(Projekte!$C$20="","",Projekte!$A$20)</f>
        <v/>
      </c>
      <c r="J31" s="18">
        <f>IF(I31="","",Projekte!$C$20)</f>
        <v/>
      </c>
      <c r="K31" s="19">
        <f>IF(I31="","",J31-$C$3)</f>
        <v/>
      </c>
      <c r="L31" s="20">
        <f>IF(OR(I31="",Projekte!$B$20=""),"",Projekte!$B$20-SUMIFS(Eingabe!$K$5:$K$2004,Eingabe!$B$5:$B$2004,Projekte!$A$20))</f>
        <v/>
      </c>
    </row>
    <row r="32" hidden="1" outlineLevel="1">
      <c r="B32" s="15">
        <f>IF(Projekte!$A$21="","",Projekte!$A$21)</f>
        <v/>
      </c>
      <c r="C32" s="16">
        <f>IF($B32="","",SUMIFS(Eingabe!$K$5:$K$2004,Eingabe!$B$5:$B$2004,$B32,Eingabe!$A$5:$A$2004,"&gt;="&amp;$F$5,Eingabe!$A$5:$A$2004,"&lt;="&amp;$F$5+6))</f>
        <v/>
      </c>
      <c r="D32" s="16">
        <f>IF($B32="","",SUMIFS(Eingabe!$K$5:$K$2004,Eingabe!$B$5:$B$2004,$B32,Eingabe!$A$5:$A$2004,"&gt;="&amp;DATE(YEAR($C$3),MONTH($C$3),1),Eingabe!$A$5:$A$2004,"&lt;="&amp;EOMONTH($C$3,0)))</f>
        <v/>
      </c>
      <c r="E32" s="16">
        <f>IF($B32="","",SUMIFS(Eingabe!$K$5:$K$2004,Eingabe!$B$5:$B$2004,$B32))</f>
        <v/>
      </c>
      <c r="F32" s="16">
        <f>IF(OR($B32="",Projekte!$B$21=""),"",Projekte!$B$21)</f>
        <v/>
      </c>
      <c r="G32" s="17">
        <f>IF(OR($B32="",F32=""),"",E32/F32)</f>
        <v/>
      </c>
      <c r="I32" s="15">
        <f>IF(Projekte!$C$21="","",Projekte!$A$21)</f>
        <v/>
      </c>
      <c r="J32" s="18">
        <f>IF(I32="","",Projekte!$C$21)</f>
        <v/>
      </c>
      <c r="K32" s="19">
        <f>IF(I32="","",J32-$C$3)</f>
        <v/>
      </c>
      <c r="L32" s="20">
        <f>IF(OR(I32="",Projekte!$B$21=""),"",Projekte!$B$21-SUMIFS(Eingabe!$K$5:$K$2004,Eingabe!$B$5:$B$2004,Projekte!$A$21))</f>
        <v/>
      </c>
    </row>
    <row r="33" hidden="1" outlineLevel="1">
      <c r="B33" s="15">
        <f>IF(Projekte!$A$22="","",Projekte!$A$22)</f>
        <v/>
      </c>
      <c r="C33" s="16">
        <f>IF($B33="","",SUMIFS(Eingabe!$K$5:$K$2004,Eingabe!$B$5:$B$2004,$B33,Eingabe!$A$5:$A$2004,"&gt;="&amp;$F$5,Eingabe!$A$5:$A$2004,"&lt;="&amp;$F$5+6))</f>
        <v/>
      </c>
      <c r="D33" s="16">
        <f>IF($B33="","",SUMIFS(Eingabe!$K$5:$K$2004,Eingabe!$B$5:$B$2004,$B33,Eingabe!$A$5:$A$2004,"&gt;="&amp;DATE(YEAR($C$3),MONTH($C$3),1),Eingabe!$A$5:$A$2004,"&lt;="&amp;EOMONTH($C$3,0)))</f>
        <v/>
      </c>
      <c r="E33" s="16">
        <f>IF($B33="","",SUMIFS(Eingabe!$K$5:$K$2004,Eingabe!$B$5:$B$2004,$B33))</f>
        <v/>
      </c>
      <c r="F33" s="16">
        <f>IF(OR($B33="",Projekte!$B$22=""),"",Projekte!$B$22)</f>
        <v/>
      </c>
      <c r="G33" s="17">
        <f>IF(OR($B33="",F33=""),"",E33/F33)</f>
        <v/>
      </c>
      <c r="I33" s="15">
        <f>IF(Projekte!$C$22="","",Projekte!$A$22)</f>
        <v/>
      </c>
      <c r="J33" s="18">
        <f>IF(I33="","",Projekte!$C$22)</f>
        <v/>
      </c>
      <c r="K33" s="19">
        <f>IF(I33="","",J33-$C$3)</f>
        <v/>
      </c>
      <c r="L33" s="20">
        <f>IF(OR(I33="",Projekte!$B$22=""),"",Projekte!$B$22-SUMIFS(Eingabe!$K$5:$K$2004,Eingabe!$B$5:$B$2004,Projekte!$A$22))</f>
        <v/>
      </c>
    </row>
    <row r="34" hidden="1" outlineLevel="1">
      <c r="B34" s="15">
        <f>IF(Projekte!$A$23="","",Projekte!$A$23)</f>
        <v/>
      </c>
      <c r="C34" s="16">
        <f>IF($B34="","",SUMIFS(Eingabe!$K$5:$K$2004,Eingabe!$B$5:$B$2004,$B34,Eingabe!$A$5:$A$2004,"&gt;="&amp;$F$5,Eingabe!$A$5:$A$2004,"&lt;="&amp;$F$5+6))</f>
        <v/>
      </c>
      <c r="D34" s="16">
        <f>IF($B34="","",SUMIFS(Eingabe!$K$5:$K$2004,Eingabe!$B$5:$B$2004,$B34,Eingabe!$A$5:$A$2004,"&gt;="&amp;DATE(YEAR($C$3),MONTH($C$3),1),Eingabe!$A$5:$A$2004,"&lt;="&amp;EOMONTH($C$3,0)))</f>
        <v/>
      </c>
      <c r="E34" s="16">
        <f>IF($B34="","",SUMIFS(Eingabe!$K$5:$K$2004,Eingabe!$B$5:$B$2004,$B34))</f>
        <v/>
      </c>
      <c r="F34" s="16">
        <f>IF(OR($B34="",Projekte!$B$23=""),"",Projekte!$B$23)</f>
        <v/>
      </c>
      <c r="G34" s="17">
        <f>IF(OR($B34="",F34=""),"",E34/F34)</f>
        <v/>
      </c>
      <c r="I34" s="15">
        <f>IF(Projekte!$C$23="","",Projekte!$A$23)</f>
        <v/>
      </c>
      <c r="J34" s="18">
        <f>IF(I34="","",Projekte!$C$23)</f>
        <v/>
      </c>
      <c r="K34" s="19">
        <f>IF(I34="","",J34-$C$3)</f>
        <v/>
      </c>
      <c r="L34" s="20">
        <f>IF(OR(I34="",Projekte!$B$23=""),"",Projekte!$B$23-SUMIFS(Eingabe!$K$5:$K$2004,Eingabe!$B$5:$B$2004,Projekte!$A$23))</f>
        <v/>
      </c>
    </row>
    <row r="35" hidden="1" outlineLevel="1">
      <c r="B35" s="15">
        <f>IF(Projekte!$A$24="","",Projekte!$A$24)</f>
        <v/>
      </c>
      <c r="C35" s="16">
        <f>IF($B35="","",SUMIFS(Eingabe!$K$5:$K$2004,Eingabe!$B$5:$B$2004,$B35,Eingabe!$A$5:$A$2004,"&gt;="&amp;$F$5,Eingabe!$A$5:$A$2004,"&lt;="&amp;$F$5+6))</f>
        <v/>
      </c>
      <c r="D35" s="16">
        <f>IF($B35="","",SUMIFS(Eingabe!$K$5:$K$2004,Eingabe!$B$5:$B$2004,$B35,Eingabe!$A$5:$A$2004,"&gt;="&amp;DATE(YEAR($C$3),MONTH($C$3),1),Eingabe!$A$5:$A$2004,"&lt;="&amp;EOMONTH($C$3,0)))</f>
        <v/>
      </c>
      <c r="E35" s="16">
        <f>IF($B35="","",SUMIFS(Eingabe!$K$5:$K$2004,Eingabe!$B$5:$B$2004,$B35))</f>
        <v/>
      </c>
      <c r="F35" s="16">
        <f>IF(OR($B35="",Projekte!$B$24=""),"",Projekte!$B$24)</f>
        <v/>
      </c>
      <c r="G35" s="17">
        <f>IF(OR($B35="",F35=""),"",E35/F35)</f>
        <v/>
      </c>
      <c r="I35" s="15">
        <f>IF(Projekte!$C$24="","",Projekte!$A$24)</f>
        <v/>
      </c>
      <c r="J35" s="18">
        <f>IF(I35="","",Projekte!$C$24)</f>
        <v/>
      </c>
      <c r="K35" s="19">
        <f>IF(I35="","",J35-$C$3)</f>
        <v/>
      </c>
      <c r="L35" s="20">
        <f>IF(OR(I35="",Projekte!$B$24=""),"",Projekte!$B$24-SUMIFS(Eingabe!$K$5:$K$2004,Eingabe!$B$5:$B$2004,Projekte!$A$24))</f>
        <v/>
      </c>
    </row>
    <row r="36" hidden="1" outlineLevel="1">
      <c r="B36" s="15">
        <f>IF(Projekte!$A$25="","",Projekte!$A$25)</f>
        <v/>
      </c>
      <c r="C36" s="16">
        <f>IF($B36="","",SUMIFS(Eingabe!$K$5:$K$2004,Eingabe!$B$5:$B$2004,$B36,Eingabe!$A$5:$A$2004,"&gt;="&amp;$F$5,Eingabe!$A$5:$A$2004,"&lt;="&amp;$F$5+6))</f>
        <v/>
      </c>
      <c r="D36" s="16">
        <f>IF($B36="","",SUMIFS(Eingabe!$K$5:$K$2004,Eingabe!$B$5:$B$2004,$B36,Eingabe!$A$5:$A$2004,"&gt;="&amp;DATE(YEAR($C$3),MONTH($C$3),1),Eingabe!$A$5:$A$2004,"&lt;="&amp;EOMONTH($C$3,0)))</f>
        <v/>
      </c>
      <c r="E36" s="16">
        <f>IF($B36="","",SUMIFS(Eingabe!$K$5:$K$2004,Eingabe!$B$5:$B$2004,$B36))</f>
        <v/>
      </c>
      <c r="F36" s="16">
        <f>IF(OR($B36="",Projekte!$B$25=""),"",Projekte!$B$25)</f>
        <v/>
      </c>
      <c r="G36" s="17">
        <f>IF(OR($B36="",F36=""),"",E36/F36)</f>
        <v/>
      </c>
      <c r="I36" s="15">
        <f>IF(Projekte!$C$25="","",Projekte!$A$25)</f>
        <v/>
      </c>
      <c r="J36" s="18">
        <f>IF(I36="","",Projekte!$C$25)</f>
        <v/>
      </c>
      <c r="K36" s="19">
        <f>IF(I36="","",J36-$C$3)</f>
        <v/>
      </c>
      <c r="L36" s="20">
        <f>IF(OR(I36="",Projekte!$B$25=""),"",Projekte!$B$25-SUMIFS(Eingabe!$K$5:$K$2004,Eingabe!$B$5:$B$2004,Projekte!$A$25))</f>
        <v/>
      </c>
    </row>
    <row r="37" hidden="1" outlineLevel="1">
      <c r="B37" s="15">
        <f>IF(Projekte!$A$26="","",Projekte!$A$26)</f>
        <v/>
      </c>
      <c r="C37" s="16">
        <f>IF($B37="","",SUMIFS(Eingabe!$K$5:$K$2004,Eingabe!$B$5:$B$2004,$B37,Eingabe!$A$5:$A$2004,"&gt;="&amp;$F$5,Eingabe!$A$5:$A$2004,"&lt;="&amp;$F$5+6))</f>
        <v/>
      </c>
      <c r="D37" s="16">
        <f>IF($B37="","",SUMIFS(Eingabe!$K$5:$K$2004,Eingabe!$B$5:$B$2004,$B37,Eingabe!$A$5:$A$2004,"&gt;="&amp;DATE(YEAR($C$3),MONTH($C$3),1),Eingabe!$A$5:$A$2004,"&lt;="&amp;EOMONTH($C$3,0)))</f>
        <v/>
      </c>
      <c r="E37" s="16">
        <f>IF($B37="","",SUMIFS(Eingabe!$K$5:$K$2004,Eingabe!$B$5:$B$2004,$B37))</f>
        <v/>
      </c>
      <c r="F37" s="16">
        <f>IF(OR($B37="",Projekte!$B$26=""),"",Projekte!$B$26)</f>
        <v/>
      </c>
      <c r="G37" s="17">
        <f>IF(OR($B37="",F37=""),"",E37/F37)</f>
        <v/>
      </c>
      <c r="I37" s="15">
        <f>IF(Projekte!$C$26="","",Projekte!$A$26)</f>
        <v/>
      </c>
      <c r="J37" s="18">
        <f>IF(I37="","",Projekte!$C$26)</f>
        <v/>
      </c>
      <c r="K37" s="19">
        <f>IF(I37="","",J37-$C$3)</f>
        <v/>
      </c>
      <c r="L37" s="20">
        <f>IF(OR(I37="",Projekte!$B$26=""),"",Projekte!$B$26-SUMIFS(Eingabe!$K$5:$K$2004,Eingabe!$B$5:$B$2004,Projekte!$A$26))</f>
        <v/>
      </c>
    </row>
    <row r="38" hidden="1" outlineLevel="1">
      <c r="B38" s="15">
        <f>IF(Projekte!$A$27="","",Projekte!$A$27)</f>
        <v/>
      </c>
      <c r="C38" s="16">
        <f>IF($B38="","",SUMIFS(Eingabe!$K$5:$K$2004,Eingabe!$B$5:$B$2004,$B38,Eingabe!$A$5:$A$2004,"&gt;="&amp;$F$5,Eingabe!$A$5:$A$2004,"&lt;="&amp;$F$5+6))</f>
        <v/>
      </c>
      <c r="D38" s="16">
        <f>IF($B38="","",SUMIFS(Eingabe!$K$5:$K$2004,Eingabe!$B$5:$B$2004,$B38,Eingabe!$A$5:$A$2004,"&gt;="&amp;DATE(YEAR($C$3),MONTH($C$3),1),Eingabe!$A$5:$A$2004,"&lt;="&amp;EOMONTH($C$3,0)))</f>
        <v/>
      </c>
      <c r="E38" s="16">
        <f>IF($B38="","",SUMIFS(Eingabe!$K$5:$K$2004,Eingabe!$B$5:$B$2004,$B38))</f>
        <v/>
      </c>
      <c r="F38" s="16">
        <f>IF(OR($B38="",Projekte!$B$27=""),"",Projekte!$B$27)</f>
        <v/>
      </c>
      <c r="G38" s="17">
        <f>IF(OR($B38="",F38=""),"",E38/F38)</f>
        <v/>
      </c>
      <c r="I38" s="15">
        <f>IF(Projekte!$C$27="","",Projekte!$A$27)</f>
        <v/>
      </c>
      <c r="J38" s="18">
        <f>IF(I38="","",Projekte!$C$27)</f>
        <v/>
      </c>
      <c r="K38" s="19">
        <f>IF(I38="","",J38-$C$3)</f>
        <v/>
      </c>
      <c r="L38" s="20">
        <f>IF(OR(I38="",Projekte!$B$27=""),"",Projekte!$B$27-SUMIFS(Eingabe!$K$5:$K$2004,Eingabe!$B$5:$B$2004,Projekte!$A$27))</f>
        <v/>
      </c>
    </row>
    <row r="39" hidden="1" outlineLevel="1">
      <c r="B39" s="15">
        <f>IF(Projekte!$A$28="","",Projekte!$A$28)</f>
        <v/>
      </c>
      <c r="C39" s="16">
        <f>IF($B39="","",SUMIFS(Eingabe!$K$5:$K$2004,Eingabe!$B$5:$B$2004,$B39,Eingabe!$A$5:$A$2004,"&gt;="&amp;$F$5,Eingabe!$A$5:$A$2004,"&lt;="&amp;$F$5+6))</f>
        <v/>
      </c>
      <c r="D39" s="16">
        <f>IF($B39="","",SUMIFS(Eingabe!$K$5:$K$2004,Eingabe!$B$5:$B$2004,$B39,Eingabe!$A$5:$A$2004,"&gt;="&amp;DATE(YEAR($C$3),MONTH($C$3),1),Eingabe!$A$5:$A$2004,"&lt;="&amp;EOMONTH($C$3,0)))</f>
        <v/>
      </c>
      <c r="E39" s="16">
        <f>IF($B39="","",SUMIFS(Eingabe!$K$5:$K$2004,Eingabe!$B$5:$B$2004,$B39))</f>
        <v/>
      </c>
      <c r="F39" s="16">
        <f>IF(OR($B39="",Projekte!$B$28=""),"",Projekte!$B$28)</f>
        <v/>
      </c>
      <c r="G39" s="17">
        <f>IF(OR($B39="",F39=""),"",E39/F39)</f>
        <v/>
      </c>
      <c r="I39" s="15">
        <f>IF(Projekte!$C$28="","",Projekte!$A$28)</f>
        <v/>
      </c>
      <c r="J39" s="18">
        <f>IF(I39="","",Projekte!$C$28)</f>
        <v/>
      </c>
      <c r="K39" s="19">
        <f>IF(I39="","",J39-$C$3)</f>
        <v/>
      </c>
      <c r="L39" s="20">
        <f>IF(OR(I39="",Projekte!$B$28=""),"",Projekte!$B$28-SUMIFS(Eingabe!$K$5:$K$2004,Eingabe!$B$5:$B$2004,Projekte!$A$28))</f>
        <v/>
      </c>
    </row>
    <row r="40" hidden="1" outlineLevel="1">
      <c r="B40" s="15">
        <f>IF(Projekte!$A$29="","",Projekte!$A$29)</f>
        <v/>
      </c>
      <c r="C40" s="16">
        <f>IF($B40="","",SUMIFS(Eingabe!$K$5:$K$2004,Eingabe!$B$5:$B$2004,$B40,Eingabe!$A$5:$A$2004,"&gt;="&amp;$F$5,Eingabe!$A$5:$A$2004,"&lt;="&amp;$F$5+6))</f>
        <v/>
      </c>
      <c r="D40" s="16">
        <f>IF($B40="","",SUMIFS(Eingabe!$K$5:$K$2004,Eingabe!$B$5:$B$2004,$B40,Eingabe!$A$5:$A$2004,"&gt;="&amp;DATE(YEAR($C$3),MONTH($C$3),1),Eingabe!$A$5:$A$2004,"&lt;="&amp;EOMONTH($C$3,0)))</f>
        <v/>
      </c>
      <c r="E40" s="16">
        <f>IF($B40="","",SUMIFS(Eingabe!$K$5:$K$2004,Eingabe!$B$5:$B$2004,$B40))</f>
        <v/>
      </c>
      <c r="F40" s="16">
        <f>IF(OR($B40="",Projekte!$B$29=""),"",Projekte!$B$29)</f>
        <v/>
      </c>
      <c r="G40" s="17">
        <f>IF(OR($B40="",F40=""),"",E40/F40)</f>
        <v/>
      </c>
      <c r="I40" s="15">
        <f>IF(Projekte!$C$29="","",Projekte!$A$29)</f>
        <v/>
      </c>
      <c r="J40" s="18">
        <f>IF(I40="","",Projekte!$C$29)</f>
        <v/>
      </c>
      <c r="K40" s="19">
        <f>IF(I40="","",J40-$C$3)</f>
        <v/>
      </c>
      <c r="L40" s="20">
        <f>IF(OR(I40="",Projekte!$B$29=""),"",Projekte!$B$29-SUMIFS(Eingabe!$K$5:$K$2004,Eingabe!$B$5:$B$2004,Projekte!$A$29))</f>
        <v/>
      </c>
    </row>
    <row r="41" hidden="1" outlineLevel="1">
      <c r="B41" s="15">
        <f>IF(Projekte!$A$30="","",Projekte!$A$30)</f>
        <v/>
      </c>
      <c r="C41" s="16">
        <f>IF($B41="","",SUMIFS(Eingabe!$K$5:$K$2004,Eingabe!$B$5:$B$2004,$B41,Eingabe!$A$5:$A$2004,"&gt;="&amp;$F$5,Eingabe!$A$5:$A$2004,"&lt;="&amp;$F$5+6))</f>
        <v/>
      </c>
      <c r="D41" s="16">
        <f>IF($B41="","",SUMIFS(Eingabe!$K$5:$K$2004,Eingabe!$B$5:$B$2004,$B41,Eingabe!$A$5:$A$2004,"&gt;="&amp;DATE(YEAR($C$3),MONTH($C$3),1),Eingabe!$A$5:$A$2004,"&lt;="&amp;EOMONTH($C$3,0)))</f>
        <v/>
      </c>
      <c r="E41" s="16">
        <f>IF($B41="","",SUMIFS(Eingabe!$K$5:$K$2004,Eingabe!$B$5:$B$2004,$B41))</f>
        <v/>
      </c>
      <c r="F41" s="16">
        <f>IF(OR($B41="",Projekte!$B$30=""),"",Projekte!$B$30)</f>
        <v/>
      </c>
      <c r="G41" s="17">
        <f>IF(OR($B41="",F41=""),"",E41/F41)</f>
        <v/>
      </c>
      <c r="I41" s="15">
        <f>IF(Projekte!$C$30="","",Projekte!$A$30)</f>
        <v/>
      </c>
      <c r="J41" s="18">
        <f>IF(I41="","",Projekte!$C$30)</f>
        <v/>
      </c>
      <c r="K41" s="19">
        <f>IF(I41="","",J41-$C$3)</f>
        <v/>
      </c>
      <c r="L41" s="20">
        <f>IF(OR(I41="",Projekte!$B$30=""),"",Projekte!$B$30-SUMIFS(Eingabe!$K$5:$K$2004,Eingabe!$B$5:$B$2004,Projekte!$A$30))</f>
        <v/>
      </c>
    </row>
    <row r="42" hidden="1" outlineLevel="1">
      <c r="B42" s="15">
        <f>IF(Projekte!$A$31="","",Projekte!$A$31)</f>
        <v/>
      </c>
      <c r="C42" s="16">
        <f>IF($B42="","",SUMIFS(Eingabe!$K$5:$K$2004,Eingabe!$B$5:$B$2004,$B42,Eingabe!$A$5:$A$2004,"&gt;="&amp;$F$5,Eingabe!$A$5:$A$2004,"&lt;="&amp;$F$5+6))</f>
        <v/>
      </c>
      <c r="D42" s="16">
        <f>IF($B42="","",SUMIFS(Eingabe!$K$5:$K$2004,Eingabe!$B$5:$B$2004,$B42,Eingabe!$A$5:$A$2004,"&gt;="&amp;DATE(YEAR($C$3),MONTH($C$3),1),Eingabe!$A$5:$A$2004,"&lt;="&amp;EOMONTH($C$3,0)))</f>
        <v/>
      </c>
      <c r="E42" s="16">
        <f>IF($B42="","",SUMIFS(Eingabe!$K$5:$K$2004,Eingabe!$B$5:$B$2004,$B42))</f>
        <v/>
      </c>
      <c r="F42" s="16">
        <f>IF(OR($B42="",Projekte!$B$31=""),"",Projekte!$B$31)</f>
        <v/>
      </c>
      <c r="G42" s="17">
        <f>IF(OR($B42="",F42=""),"",E42/F42)</f>
        <v/>
      </c>
      <c r="I42" s="15">
        <f>IF(Projekte!$C$31="","",Projekte!$A$31)</f>
        <v/>
      </c>
      <c r="J42" s="18">
        <f>IF(I42="","",Projekte!$C$31)</f>
        <v/>
      </c>
      <c r="K42" s="19">
        <f>IF(I42="","",J42-$C$3)</f>
        <v/>
      </c>
      <c r="L42" s="20">
        <f>IF(OR(I42="",Projekte!$B$31=""),"",Projekte!$B$31-SUMIFS(Eingabe!$K$5:$K$2004,Eingabe!$B$5:$B$2004,Projekte!$A$31))</f>
        <v/>
      </c>
    </row>
    <row r="43" hidden="1" outlineLevel="1">
      <c r="B43" s="15">
        <f>IF(Projekte!$A$32="","",Projekte!$A$32)</f>
        <v/>
      </c>
      <c r="C43" s="16">
        <f>IF($B43="","",SUMIFS(Eingabe!$K$5:$K$2004,Eingabe!$B$5:$B$2004,$B43,Eingabe!$A$5:$A$2004,"&gt;="&amp;$F$5,Eingabe!$A$5:$A$2004,"&lt;="&amp;$F$5+6))</f>
        <v/>
      </c>
      <c r="D43" s="16">
        <f>IF($B43="","",SUMIFS(Eingabe!$K$5:$K$2004,Eingabe!$B$5:$B$2004,$B43,Eingabe!$A$5:$A$2004,"&gt;="&amp;DATE(YEAR($C$3),MONTH($C$3),1),Eingabe!$A$5:$A$2004,"&lt;="&amp;EOMONTH($C$3,0)))</f>
        <v/>
      </c>
      <c r="E43" s="16">
        <f>IF($B43="","",SUMIFS(Eingabe!$K$5:$K$2004,Eingabe!$B$5:$B$2004,$B43))</f>
        <v/>
      </c>
      <c r="F43" s="16">
        <f>IF(OR($B43="",Projekte!$B$32=""),"",Projekte!$B$32)</f>
        <v/>
      </c>
      <c r="G43" s="17">
        <f>IF(OR($B43="",F43=""),"",E43/F43)</f>
        <v/>
      </c>
      <c r="I43" s="15">
        <f>IF(Projekte!$C$32="","",Projekte!$A$32)</f>
        <v/>
      </c>
      <c r="J43" s="18">
        <f>IF(I43="","",Projekte!$C$32)</f>
        <v/>
      </c>
      <c r="K43" s="19">
        <f>IF(I43="","",J43-$C$3)</f>
        <v/>
      </c>
      <c r="L43" s="20">
        <f>IF(OR(I43="",Projekte!$B$32=""),"",Projekte!$B$32-SUMIFS(Eingabe!$K$5:$K$2004,Eingabe!$B$5:$B$2004,Projekte!$A$32))</f>
        <v/>
      </c>
    </row>
    <row r="44" hidden="1" outlineLevel="1">
      <c r="B44" s="15">
        <f>IF(Projekte!$A$33="","",Projekte!$A$33)</f>
        <v/>
      </c>
      <c r="C44" s="16">
        <f>IF($B44="","",SUMIFS(Eingabe!$K$5:$K$2004,Eingabe!$B$5:$B$2004,$B44,Eingabe!$A$5:$A$2004,"&gt;="&amp;$F$5,Eingabe!$A$5:$A$2004,"&lt;="&amp;$F$5+6))</f>
        <v/>
      </c>
      <c r="D44" s="16">
        <f>IF($B44="","",SUMIFS(Eingabe!$K$5:$K$2004,Eingabe!$B$5:$B$2004,$B44,Eingabe!$A$5:$A$2004,"&gt;="&amp;DATE(YEAR($C$3),MONTH($C$3),1),Eingabe!$A$5:$A$2004,"&lt;="&amp;EOMONTH($C$3,0)))</f>
        <v/>
      </c>
      <c r="E44" s="16">
        <f>IF($B44="","",SUMIFS(Eingabe!$K$5:$K$2004,Eingabe!$B$5:$B$2004,$B44))</f>
        <v/>
      </c>
      <c r="F44" s="16">
        <f>IF(OR($B44="",Projekte!$B$33=""),"",Projekte!$B$33)</f>
        <v/>
      </c>
      <c r="G44" s="17">
        <f>IF(OR($B44="",F44=""),"",E44/F44)</f>
        <v/>
      </c>
      <c r="I44" s="15">
        <f>IF(Projekte!$C$33="","",Projekte!$A$33)</f>
        <v/>
      </c>
      <c r="J44" s="18">
        <f>IF(I44="","",Projekte!$C$33)</f>
        <v/>
      </c>
      <c r="K44" s="19">
        <f>IF(I44="","",J44-$C$3)</f>
        <v/>
      </c>
      <c r="L44" s="20">
        <f>IF(OR(I44="",Projekte!$B$33=""),"",Projekte!$B$33-SUMIFS(Eingabe!$K$5:$K$2004,Eingabe!$B$5:$B$2004,Projekte!$A$33))</f>
        <v/>
      </c>
    </row>
    <row r="45" hidden="1" outlineLevel="1">
      <c r="B45" s="15">
        <f>IF(Projekte!$A$34="","",Projekte!$A$34)</f>
        <v/>
      </c>
      <c r="C45" s="16">
        <f>IF($B45="","",SUMIFS(Eingabe!$K$5:$K$2004,Eingabe!$B$5:$B$2004,$B45,Eingabe!$A$5:$A$2004,"&gt;="&amp;$F$5,Eingabe!$A$5:$A$2004,"&lt;="&amp;$F$5+6))</f>
        <v/>
      </c>
      <c r="D45" s="16">
        <f>IF($B45="","",SUMIFS(Eingabe!$K$5:$K$2004,Eingabe!$B$5:$B$2004,$B45,Eingabe!$A$5:$A$2004,"&gt;="&amp;DATE(YEAR($C$3),MONTH($C$3),1),Eingabe!$A$5:$A$2004,"&lt;="&amp;EOMONTH($C$3,0)))</f>
        <v/>
      </c>
      <c r="E45" s="16">
        <f>IF($B45="","",SUMIFS(Eingabe!$K$5:$K$2004,Eingabe!$B$5:$B$2004,$B45))</f>
        <v/>
      </c>
      <c r="F45" s="16">
        <f>IF(OR($B45="",Projekte!$B$34=""),"",Projekte!$B$34)</f>
        <v/>
      </c>
      <c r="G45" s="17">
        <f>IF(OR($B45="",F45=""),"",E45/F45)</f>
        <v/>
      </c>
      <c r="I45" s="15">
        <f>IF(Projekte!$C$34="","",Projekte!$A$34)</f>
        <v/>
      </c>
      <c r="J45" s="18">
        <f>IF(I45="","",Projekte!$C$34)</f>
        <v/>
      </c>
      <c r="K45" s="19">
        <f>IF(I45="","",J45-$C$3)</f>
        <v/>
      </c>
      <c r="L45" s="20">
        <f>IF(OR(I45="",Projekte!$B$34=""),"",Projekte!$B$34-SUMIFS(Eingabe!$K$5:$K$2004,Eingabe!$B$5:$B$2004,Projekte!$A$34))</f>
        <v/>
      </c>
    </row>
    <row r="46">
      <c r="B46" s="21" t="inlineStr">
        <is>
          <t>Summe</t>
        </is>
      </c>
      <c r="C46" s="22">
        <f>SUM(C16:C45)</f>
        <v/>
      </c>
      <c r="D46" s="22">
        <f>SUM(D16:D45)</f>
        <v/>
      </c>
      <c r="E46" s="22">
        <f>SUM(E16:E45)</f>
        <v/>
      </c>
    </row>
    <row r="47">
      <c r="B47" s="4" t="inlineStr">
        <is>
          <t>Ohne Projekt (h)</t>
        </is>
      </c>
      <c r="E47" s="23">
        <f>SUM(Eingabe!$K$5:$K$2004)-E46</f>
        <v/>
      </c>
    </row>
    <row r="48">
      <c r="I48" s="13" t="inlineStr">
        <is>
          <t>Offene Aufgaben nach Priorität</t>
        </is>
      </c>
    </row>
    <row r="49">
      <c r="I49" s="14" t="inlineStr">
        <is>
          <t>Priorität</t>
        </is>
      </c>
      <c r="J49" s="14" t="inlineStr">
        <is>
          <t>Anzahl</t>
        </is>
      </c>
    </row>
    <row r="50">
      <c r="B50" s="13" t="inlineStr">
        <is>
          <t>Wofür geht meine Zeit drauf? (dieser Monat)</t>
        </is>
      </c>
      <c r="I50" s="24" t="inlineStr">
        <is>
          <t>Hoch</t>
        </is>
      </c>
      <c r="J50" s="25">
        <f>COUNTIFS(Eingabe!$I$5:$I$2004,I50,Eingabe!$H$5:$H$2004,"&lt;&gt;Erledigt",Eingabe!$A$5:$A$2004,"&lt;&gt;")</f>
        <v/>
      </c>
    </row>
    <row r="51">
      <c r="B51" s="14" t="inlineStr">
        <is>
          <t>Kategorie</t>
        </is>
      </c>
      <c r="C51" s="14" t="inlineStr">
        <is>
          <t>Stunden</t>
        </is>
      </c>
      <c r="D51" s="14" t="inlineStr">
        <is>
          <t>Anteil</t>
        </is>
      </c>
      <c r="I51" s="15" t="inlineStr">
        <is>
          <t>Mittel</t>
        </is>
      </c>
      <c r="J51" s="25">
        <f>COUNTIFS(Eingabe!$I$5:$I$2004,I51,Eingabe!$H$5:$H$2004,"&lt;&gt;Erledigt",Eingabe!$A$5:$A$2004,"&lt;&gt;")</f>
        <v/>
      </c>
    </row>
    <row r="52">
      <c r="B52" s="15">
        <f>IF(Projekte!$F$5="","",Projekte!$F$5)</f>
        <v/>
      </c>
      <c r="C52" s="16">
        <f>IF(B52="","",SUMIFS(Eingabe!$K$5:$K$2004,Eingabe!$C$5:$C$2004,B52,Eingabe!$A$5:$A$2004,"&gt;="&amp;DATE(YEAR($C$3),MONTH($C$3),1),Eingabe!$A$5:$A$2004,"&lt;="&amp;EOMONTH($C$3,0)))</f>
        <v/>
      </c>
      <c r="D52" s="17">
        <f>IF(OR(B52="",B11=0),"",C52/B11)</f>
        <v/>
      </c>
      <c r="I52" s="15" t="inlineStr">
        <is>
          <t>Niedrig</t>
        </is>
      </c>
      <c r="J52" s="25">
        <f>COUNTIFS(Eingabe!$I$5:$I$2004,I52,Eingabe!$H$5:$H$2004,"&lt;&gt;Erledigt",Eingabe!$A$5:$A$2004,"&lt;&gt;")</f>
        <v/>
      </c>
    </row>
    <row r="53">
      <c r="B53" s="15">
        <f>IF(Projekte!$F$6="","",Projekte!$F$6)</f>
        <v/>
      </c>
      <c r="C53" s="16">
        <f>IF(B53="","",SUMIFS(Eingabe!$K$5:$K$2004,Eingabe!$C$5:$C$2004,B53,Eingabe!$A$5:$A$2004,"&gt;="&amp;DATE(YEAR($C$3),MONTH($C$3),1),Eingabe!$A$5:$A$2004,"&lt;="&amp;EOMONTH($C$3,0)))</f>
        <v/>
      </c>
      <c r="D53" s="17">
        <f>IF(OR(B53="",B11=0),"",C53/B11)</f>
        <v/>
      </c>
    </row>
    <row r="54">
      <c r="B54" s="15">
        <f>IF(Projekte!$F$7="","",Projekte!$F$7)</f>
        <v/>
      </c>
      <c r="C54" s="16">
        <f>IF(B54="","",SUMIFS(Eingabe!$K$5:$K$2004,Eingabe!$C$5:$C$2004,B54,Eingabe!$A$5:$A$2004,"&gt;="&amp;DATE(YEAR($C$3),MONTH($C$3),1),Eingabe!$A$5:$A$2004,"&lt;="&amp;EOMONTH($C$3,0)))</f>
        <v/>
      </c>
      <c r="D54" s="17">
        <f>IF(OR(B54="",B11=0),"",C54/B11)</f>
        <v/>
      </c>
    </row>
    <row r="55">
      <c r="B55" s="15">
        <f>IF(Projekte!$F$8="","",Projekte!$F$8)</f>
        <v/>
      </c>
      <c r="C55" s="16">
        <f>IF(B55="","",SUMIFS(Eingabe!$K$5:$K$2004,Eingabe!$C$5:$C$2004,B55,Eingabe!$A$5:$A$2004,"&gt;="&amp;DATE(YEAR($C$3),MONTH($C$3),1),Eingabe!$A$5:$A$2004,"&lt;="&amp;EOMONTH($C$3,0)))</f>
        <v/>
      </c>
      <c r="D55" s="17">
        <f>IF(OR(B55="",B11=0),"",C55/B11)</f>
        <v/>
      </c>
    </row>
    <row r="56">
      <c r="B56" s="15">
        <f>IF(Projekte!$F$9="","",Projekte!$F$9)</f>
        <v/>
      </c>
      <c r="C56" s="16">
        <f>IF(B56="","",SUMIFS(Eingabe!$K$5:$K$2004,Eingabe!$C$5:$C$2004,B56,Eingabe!$A$5:$A$2004,"&gt;="&amp;DATE(YEAR($C$3),MONTH($C$3),1),Eingabe!$A$5:$A$2004,"&lt;="&amp;EOMONTH($C$3,0)))</f>
        <v/>
      </c>
      <c r="D56" s="17">
        <f>IF(OR(B56="",B11=0),"",C56/B11)</f>
        <v/>
      </c>
      <c r="I56" s="13" t="inlineStr">
        <is>
          <t>Letzte 14 Tage</t>
        </is>
      </c>
    </row>
    <row r="57">
      <c r="B57" s="15">
        <f>IF(Projekte!$F$10="","",Projekte!$F$10)</f>
        <v/>
      </c>
      <c r="C57" s="16">
        <f>IF(B57="","",SUMIFS(Eingabe!$K$5:$K$2004,Eingabe!$C$5:$C$2004,B57,Eingabe!$A$5:$A$2004,"&gt;="&amp;DATE(YEAR($C$3),MONTH($C$3),1),Eingabe!$A$5:$A$2004,"&lt;="&amp;EOMONTH($C$3,0)))</f>
        <v/>
      </c>
      <c r="D57" s="17">
        <f>IF(OR(B57="",B11=0),"",C57/B11)</f>
        <v/>
      </c>
      <c r="I57" s="14" t="inlineStr">
        <is>
          <t>Datum</t>
        </is>
      </c>
      <c r="J57" s="14" t="inlineStr">
        <is>
          <t>Tag</t>
        </is>
      </c>
      <c r="K57" s="14" t="inlineStr">
        <is>
          <t>Stunden</t>
        </is>
      </c>
    </row>
    <row r="58">
      <c r="B58" s="15">
        <f>IF(Projekte!$F$11="","",Projekte!$F$11)</f>
        <v/>
      </c>
      <c r="C58" s="16">
        <f>IF(B58="","",SUMIFS(Eingabe!$K$5:$K$2004,Eingabe!$C$5:$C$2004,B58,Eingabe!$A$5:$A$2004,"&gt;="&amp;DATE(YEAR($C$3),MONTH($C$3),1),Eingabe!$A$5:$A$2004,"&lt;="&amp;EOMONTH($C$3,0)))</f>
        <v/>
      </c>
      <c r="D58" s="17">
        <f>IF(OR(B58="",B11=0),"",C58/B11)</f>
        <v/>
      </c>
      <c r="I58" s="26">
        <f>$C$3-13</f>
        <v/>
      </c>
      <c r="J58" s="27">
        <f>CHOOSE(WEEKDAY(I58,2),"Mo","Di","Mi","Do","Fr","Sa","So")</f>
        <v/>
      </c>
      <c r="K58" s="28">
        <f>SUMIFS(Eingabe!$K$5:$K$2004,Eingabe!$A$5:$A$2004,I58)</f>
        <v/>
      </c>
    </row>
    <row r="59">
      <c r="B59" s="15">
        <f>IF(Projekte!$F$12="","",Projekte!$F$12)</f>
        <v/>
      </c>
      <c r="C59" s="16">
        <f>IF(B59="","",SUMIFS(Eingabe!$K$5:$K$2004,Eingabe!$C$5:$C$2004,B59,Eingabe!$A$5:$A$2004,"&gt;="&amp;DATE(YEAR($C$3),MONTH($C$3),1),Eingabe!$A$5:$A$2004,"&lt;="&amp;EOMONTH($C$3,0)))</f>
        <v/>
      </c>
      <c r="D59" s="17">
        <f>IF(OR(B59="",B11=0),"",C59/B11)</f>
        <v/>
      </c>
      <c r="I59" s="26">
        <f>$C$3-12</f>
        <v/>
      </c>
      <c r="J59" s="27">
        <f>CHOOSE(WEEKDAY(I59,2),"Mo","Di","Mi","Do","Fr","Sa","So")</f>
        <v/>
      </c>
      <c r="K59" s="28">
        <f>SUMIFS(Eingabe!$K$5:$K$2004,Eingabe!$A$5:$A$2004,I59)</f>
        <v/>
      </c>
    </row>
    <row r="60">
      <c r="B60" s="15">
        <f>IF(Projekte!$F$13="","",Projekte!$F$13)</f>
        <v/>
      </c>
      <c r="C60" s="16">
        <f>IF(B60="","",SUMIFS(Eingabe!$K$5:$K$2004,Eingabe!$C$5:$C$2004,B60,Eingabe!$A$5:$A$2004,"&gt;="&amp;DATE(YEAR($C$3),MONTH($C$3),1),Eingabe!$A$5:$A$2004,"&lt;="&amp;EOMONTH($C$3,0)))</f>
        <v/>
      </c>
      <c r="D60" s="17">
        <f>IF(OR(B60="",B11=0),"",C60/B11)</f>
        <v/>
      </c>
      <c r="I60" s="26">
        <f>$C$3-11</f>
        <v/>
      </c>
      <c r="J60" s="27">
        <f>CHOOSE(WEEKDAY(I60,2),"Mo","Di","Mi","Do","Fr","Sa","So")</f>
        <v/>
      </c>
      <c r="K60" s="28">
        <f>SUMIFS(Eingabe!$K$5:$K$2004,Eingabe!$A$5:$A$2004,I60)</f>
        <v/>
      </c>
    </row>
    <row r="61">
      <c r="B61" s="15">
        <f>IF(Projekte!$F$14="","",Projekte!$F$14)</f>
        <v/>
      </c>
      <c r="C61" s="16">
        <f>IF(B61="","",SUMIFS(Eingabe!$K$5:$K$2004,Eingabe!$C$5:$C$2004,B61,Eingabe!$A$5:$A$2004,"&gt;="&amp;DATE(YEAR($C$3),MONTH($C$3),1),Eingabe!$A$5:$A$2004,"&lt;="&amp;EOMONTH($C$3,0)))</f>
        <v/>
      </c>
      <c r="D61" s="17">
        <f>IF(OR(B61="",B11=0),"",C61/B11)</f>
        <v/>
      </c>
      <c r="I61" s="26">
        <f>$C$3-10</f>
        <v/>
      </c>
      <c r="J61" s="27">
        <f>CHOOSE(WEEKDAY(I61,2),"Mo","Di","Mi","Do","Fr","Sa","So")</f>
        <v/>
      </c>
      <c r="K61" s="28">
        <f>SUMIFS(Eingabe!$K$5:$K$2004,Eingabe!$A$5:$A$2004,I61)</f>
        <v/>
      </c>
    </row>
    <row r="62">
      <c r="B62" s="15">
        <f>IF(Projekte!$F$15="","",Projekte!$F$15)</f>
        <v/>
      </c>
      <c r="C62" s="16">
        <f>IF(B62="","",SUMIFS(Eingabe!$K$5:$K$2004,Eingabe!$C$5:$C$2004,B62,Eingabe!$A$5:$A$2004,"&gt;="&amp;DATE(YEAR($C$3),MONTH($C$3),1),Eingabe!$A$5:$A$2004,"&lt;="&amp;EOMONTH($C$3,0)))</f>
        <v/>
      </c>
      <c r="D62" s="17">
        <f>IF(OR(B62="",B11=0),"",C62/B11)</f>
        <v/>
      </c>
      <c r="I62" s="26">
        <f>$C$3-9</f>
        <v/>
      </c>
      <c r="J62" s="27">
        <f>CHOOSE(WEEKDAY(I62,2),"Mo","Di","Mi","Do","Fr","Sa","So")</f>
        <v/>
      </c>
      <c r="K62" s="28">
        <f>SUMIFS(Eingabe!$K$5:$K$2004,Eingabe!$A$5:$A$2004,I62)</f>
        <v/>
      </c>
    </row>
    <row r="63">
      <c r="B63" s="15">
        <f>IF(Projekte!$F$16="","",Projekte!$F$16)</f>
        <v/>
      </c>
      <c r="C63" s="16">
        <f>IF(B63="","",SUMIFS(Eingabe!$K$5:$K$2004,Eingabe!$C$5:$C$2004,B63,Eingabe!$A$5:$A$2004,"&gt;="&amp;DATE(YEAR($C$3),MONTH($C$3),1),Eingabe!$A$5:$A$2004,"&lt;="&amp;EOMONTH($C$3,0)))</f>
        <v/>
      </c>
      <c r="D63" s="17">
        <f>IF(OR(B63="",B11=0),"",C63/B11)</f>
        <v/>
      </c>
      <c r="I63" s="26">
        <f>$C$3-8</f>
        <v/>
      </c>
      <c r="J63" s="27">
        <f>CHOOSE(WEEKDAY(I63,2),"Mo","Di","Mi","Do","Fr","Sa","So")</f>
        <v/>
      </c>
      <c r="K63" s="28">
        <f>SUMIFS(Eingabe!$K$5:$K$2004,Eingabe!$A$5:$A$2004,I63)</f>
        <v/>
      </c>
    </row>
    <row r="64">
      <c r="B64" s="15">
        <f>IF(Projekte!$F$17="","",Projekte!$F$17)</f>
        <v/>
      </c>
      <c r="C64" s="16">
        <f>IF(B64="","",SUMIFS(Eingabe!$K$5:$K$2004,Eingabe!$C$5:$C$2004,B64,Eingabe!$A$5:$A$2004,"&gt;="&amp;DATE(YEAR($C$3),MONTH($C$3),1),Eingabe!$A$5:$A$2004,"&lt;="&amp;EOMONTH($C$3,0)))</f>
        <v/>
      </c>
      <c r="D64" s="17">
        <f>IF(OR(B64="",B11=0),"",C64/B11)</f>
        <v/>
      </c>
      <c r="I64" s="26">
        <f>$C$3-7</f>
        <v/>
      </c>
      <c r="J64" s="27">
        <f>CHOOSE(WEEKDAY(I64,2),"Mo","Di","Mi","Do","Fr","Sa","So")</f>
        <v/>
      </c>
      <c r="K64" s="28">
        <f>SUMIFS(Eingabe!$K$5:$K$2004,Eingabe!$A$5:$A$2004,I64)</f>
        <v/>
      </c>
    </row>
    <row r="65">
      <c r="B65" s="15">
        <f>IF(Projekte!$F$18="","",Projekte!$F$18)</f>
        <v/>
      </c>
      <c r="C65" s="16">
        <f>IF(B65="","",SUMIFS(Eingabe!$K$5:$K$2004,Eingabe!$C$5:$C$2004,B65,Eingabe!$A$5:$A$2004,"&gt;="&amp;DATE(YEAR($C$3),MONTH($C$3),1),Eingabe!$A$5:$A$2004,"&lt;="&amp;EOMONTH($C$3,0)))</f>
        <v/>
      </c>
      <c r="D65" s="17">
        <f>IF(OR(B65="",B11=0),"",C65/B11)</f>
        <v/>
      </c>
      <c r="I65" s="26">
        <f>$C$3-6</f>
        <v/>
      </c>
      <c r="J65" s="27">
        <f>CHOOSE(WEEKDAY(I65,2),"Mo","Di","Mi","Do","Fr","Sa","So")</f>
        <v/>
      </c>
      <c r="K65" s="28">
        <f>SUMIFS(Eingabe!$K$5:$K$2004,Eingabe!$A$5:$A$2004,I65)</f>
        <v/>
      </c>
    </row>
    <row r="66">
      <c r="B66" s="15">
        <f>IF(Projekte!$F$19="","",Projekte!$F$19)</f>
        <v/>
      </c>
      <c r="C66" s="16">
        <f>IF(B66="","",SUMIFS(Eingabe!$K$5:$K$2004,Eingabe!$C$5:$C$2004,B66,Eingabe!$A$5:$A$2004,"&gt;="&amp;DATE(YEAR($C$3),MONTH($C$3),1),Eingabe!$A$5:$A$2004,"&lt;="&amp;EOMONTH($C$3,0)))</f>
        <v/>
      </c>
      <c r="D66" s="17">
        <f>IF(OR(B66="",B11=0),"",C66/B11)</f>
        <v/>
      </c>
      <c r="I66" s="26">
        <f>$C$3-5</f>
        <v/>
      </c>
      <c r="J66" s="27">
        <f>CHOOSE(WEEKDAY(I66,2),"Mo","Di","Mi","Do","Fr","Sa","So")</f>
        <v/>
      </c>
      <c r="K66" s="28">
        <f>SUMIFS(Eingabe!$K$5:$K$2004,Eingabe!$A$5:$A$2004,I66)</f>
        <v/>
      </c>
    </row>
    <row r="67">
      <c r="I67" s="26">
        <f>$C$3-4</f>
        <v/>
      </c>
      <c r="J67" s="27">
        <f>CHOOSE(WEEKDAY(I67,2),"Mo","Di","Mi","Do","Fr","Sa","So")</f>
        <v/>
      </c>
      <c r="K67" s="28">
        <f>SUMIFS(Eingabe!$K$5:$K$2004,Eingabe!$A$5:$A$2004,I67)</f>
        <v/>
      </c>
    </row>
    <row r="68">
      <c r="I68" s="26">
        <f>$C$3-3</f>
        <v/>
      </c>
      <c r="J68" s="27">
        <f>CHOOSE(WEEKDAY(I68,2),"Mo","Di","Mi","Do","Fr","Sa","So")</f>
        <v/>
      </c>
      <c r="K68" s="28">
        <f>SUMIFS(Eingabe!$K$5:$K$2004,Eingabe!$A$5:$A$2004,I68)</f>
        <v/>
      </c>
    </row>
    <row r="69">
      <c r="I69" s="26">
        <f>$C$3-2</f>
        <v/>
      </c>
      <c r="J69" s="27">
        <f>CHOOSE(WEEKDAY(I69,2),"Mo","Di","Mi","Do","Fr","Sa","So")</f>
        <v/>
      </c>
      <c r="K69" s="28">
        <f>SUMIFS(Eingabe!$K$5:$K$2004,Eingabe!$A$5:$A$2004,I69)</f>
        <v/>
      </c>
    </row>
    <row r="70">
      <c r="I70" s="26">
        <f>$C$3-1</f>
        <v/>
      </c>
      <c r="J70" s="27">
        <f>CHOOSE(WEEKDAY(I70,2),"Mo","Di","Mi","Do","Fr","Sa","So")</f>
        <v/>
      </c>
      <c r="K70" s="28">
        <f>SUMIFS(Eingabe!$K$5:$K$2004,Eingabe!$A$5:$A$2004,I70)</f>
        <v/>
      </c>
    </row>
    <row r="71">
      <c r="I71" s="26">
        <f>$C$3-0</f>
        <v/>
      </c>
      <c r="J71" s="27">
        <f>CHOOSE(WEEKDAY(I71,2),"Mo","Di","Mi","Do","Fr","Sa","So")</f>
        <v/>
      </c>
      <c r="K71" s="28">
        <f>SUMIFS(Eingabe!$K$5:$K$2004,Eingabe!$A$5:$A$2004,I71)</f>
        <v/>
      </c>
    </row>
  </sheetData>
  <mergeCells count="12">
    <mergeCell ref="D8:E8"/>
    <mergeCell ref="F11:G11"/>
    <mergeCell ref="D7:E7"/>
    <mergeCell ref="B7:C7"/>
    <mergeCell ref="B11:C11"/>
    <mergeCell ref="D10:E10"/>
    <mergeCell ref="F10:G10"/>
    <mergeCell ref="D11:E11"/>
    <mergeCell ref="B10:C10"/>
    <mergeCell ref="B8:C8"/>
    <mergeCell ref="F7:G7"/>
    <mergeCell ref="F8:G8"/>
  </mergeCells>
  <conditionalFormatting sqref="F8">
    <cfRule type="cellIs" priority="1" operator="greaterThanOrEqual" dxfId="0">
      <formula>1</formula>
    </cfRule>
  </conditionalFormatting>
  <conditionalFormatting sqref="G16:G45">
    <cfRule type="dataBar" priority="2">
      <dataBar>
        <cfvo type="num" val="0"/>
        <cfvo type="num" val="1"/>
        <color rgb="005B9BD5"/>
      </dataBar>
    </cfRule>
    <cfRule type="expression" priority="3" dxfId="1">
      <formula>AND(ISNUMBER(G16),G16&gt;1)</formula>
    </cfRule>
    <cfRule type="expression" priority="4" dxfId="2">
      <formula>AND(ISNUMBER(G16),G16&gt;=0.8,G16&lt;=1)</formula>
    </cfRule>
  </conditionalFormatting>
  <conditionalFormatting sqref="K16:K45">
    <cfRule type="expression" priority="5" dxfId="3">
      <formula>AND(ISNUMBER(K16),K16&lt;0)</formula>
    </cfRule>
    <cfRule type="expression" priority="6" dxfId="4">
      <formula>AND(ISNUMBER(K16),K16&gt;=0,K16&lt;=14)</formula>
    </cfRule>
  </conditionalFormatting>
  <conditionalFormatting sqref="L16:L45">
    <cfRule type="expression" priority="7" dxfId="1">
      <formula>AND(ISNUMBER(L16),L16&lt;0)</formula>
    </cfRule>
  </conditionalFormatting>
  <conditionalFormatting sqref="D52:D66">
    <cfRule type="dataBar" priority="8">
      <dataBar>
        <cfvo type="num" val="0"/>
        <cfvo type="num" val="1"/>
        <color rgb="0070AD47"/>
      </dataBar>
    </cfRule>
  </conditionalFormatting>
  <conditionalFormatting sqref="I58:K71">
    <cfRule type="expression" priority="9" dxfId="5">
      <formula>WEEKDAY($I58,2)&gt;5</formula>
    </cfRule>
  </conditionalFormatting>
  <conditionalFormatting sqref="B16:G45">
    <cfRule type="expression" priority="10" dxfId="6">
      <formula>$B16&lt;&gt;""</formula>
    </cfRule>
  </conditionalFormatting>
  <conditionalFormatting sqref="I16:L45">
    <cfRule type="expression" priority="11" dxfId="6">
      <formula>$I16&lt;&gt;""</formula>
    </cfRule>
  </conditionalFormatting>
  <conditionalFormatting sqref="B52:D66">
    <cfRule type="expression" priority="12" dxfId="6">
      <formula>$B52&lt;&gt;""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N2004"/>
  <sheetViews>
    <sheetView zoomScale="11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0" customWidth="1" min="4" max="4"/>
    <col width="9" customWidth="1" min="5" max="5"/>
    <col width="8" customWidth="1" min="6" max="6"/>
    <col width="8" customWidth="1" min="7" max="7"/>
    <col width="11" customWidth="1" min="8" max="8"/>
    <col width="10" customWidth="1" min="9" max="9"/>
    <col width="28" customWidth="1" min="10" max="10"/>
    <col width="9" customWidth="1" min="11" max="11"/>
    <col width="11" customWidth="1" min="12" max="12"/>
    <col width="6" customWidth="1" min="13" max="13"/>
    <col width="9" customWidth="1" min="14" max="14"/>
  </cols>
  <sheetData>
    <row r="1">
      <c r="A1" s="29" t="inlineStr">
        <is>
          <t>Arbeitstagebuch – tägliche Erfassung</t>
        </is>
      </c>
    </row>
    <row r="2">
      <c r="A2" s="30" t="inlineStr">
        <is>
          <t>Gelbe Spalten ausfüllen, graue rechnen automatisch.  Datum: Strg + .   |   Uhrzeit: Strg + Umschalt + .   |   Entweder 'Dauer' eintragen ODER Start + Ende.   Beispielzeilen einfach löschen.</t>
        </is>
      </c>
    </row>
    <row r="4" ht="30" customHeight="1">
      <c r="A4" s="14" t="inlineStr">
        <is>
          <t>Datum</t>
        </is>
      </c>
      <c r="B4" s="14" t="inlineStr">
        <is>
          <t>Projekt</t>
        </is>
      </c>
      <c r="C4" s="14" t="inlineStr">
        <is>
          <t>Kategorie</t>
        </is>
      </c>
      <c r="D4" s="14" t="inlineStr">
        <is>
          <t>Aufgabe / Tätigkeit</t>
        </is>
      </c>
      <c r="E4" s="14" t="inlineStr">
        <is>
          <t>Dauer
(Std.)</t>
        </is>
      </c>
      <c r="F4" s="14" t="inlineStr">
        <is>
          <t>Start</t>
        </is>
      </c>
      <c r="G4" s="14" t="inlineStr">
        <is>
          <t>Ende</t>
        </is>
      </c>
      <c r="H4" s="14" t="inlineStr">
        <is>
          <t>Status</t>
        </is>
      </c>
      <c r="I4" s="14" t="inlineStr">
        <is>
          <t>Priorität</t>
        </is>
      </c>
      <c r="J4" s="14" t="inlineStr">
        <is>
          <t>Notiz</t>
        </is>
      </c>
      <c r="K4" s="14" t="inlineStr">
        <is>
          <t>Stunden</t>
        </is>
      </c>
      <c r="L4" s="14" t="inlineStr">
        <is>
          <t>Wochentag</t>
        </is>
      </c>
      <c r="M4" s="14" t="inlineStr">
        <is>
          <t>KW</t>
        </is>
      </c>
      <c r="N4" s="14" t="inlineStr">
        <is>
          <t>Monat</t>
        </is>
      </c>
    </row>
    <row r="5">
      <c r="A5" s="31" t="n">
        <v>46293</v>
      </c>
      <c r="B5" s="32" t="inlineStr">
        <is>
          <t>Projekt Alpha</t>
        </is>
      </c>
      <c r="C5" s="32" t="inlineStr">
        <is>
          <t>Planung</t>
        </is>
      </c>
      <c r="D5" s="33" t="inlineStr">
        <is>
          <t>Projektplan Q4 erstellen</t>
        </is>
      </c>
      <c r="E5" s="34" t="n">
        <v>2</v>
      </c>
      <c r="F5" s="35" t="n"/>
      <c r="G5" s="35" t="n"/>
      <c r="H5" s="32" t="inlineStr">
        <is>
          <t>Erledigt</t>
        </is>
      </c>
      <c r="I5" s="32" t="inlineStr">
        <is>
          <t>Hoch</t>
        </is>
      </c>
      <c r="J5" s="32" t="n"/>
      <c r="K5" s="36">
        <f>IF(E5&lt;&gt;"",E5,IF(AND(F5&lt;&gt;"",G5&lt;&gt;""),MOD(G5-F5,1)*24,""))</f>
        <v/>
      </c>
      <c r="L5" s="37">
        <f>IF(A5="","",CHOOSE(WEEKDAY(A5,2),"Montag","Dienstag","Mittwoch","Donnerstag","Freitag","Samstag","Sonntag"))</f>
        <v/>
      </c>
      <c r="M5" s="37">
        <f>IF(A5="","",_xlfn.ISOWEEKNUM(A5))</f>
        <v/>
      </c>
      <c r="N5" s="38">
        <f>IF(A5="","",DATE(YEAR(A5),MONTH(A5),1))</f>
        <v/>
      </c>
    </row>
    <row r="6">
      <c r="A6" s="31" t="n">
        <v>46293</v>
      </c>
      <c r="B6" s="32" t="inlineStr">
        <is>
          <t>Verwaltung</t>
        </is>
      </c>
      <c r="C6" s="32" t="inlineStr">
        <is>
          <t>E-Mail / Orga</t>
        </is>
      </c>
      <c r="D6" s="33" t="inlineStr">
        <is>
          <t>Posteingang abarbeiten</t>
        </is>
      </c>
      <c r="E6" s="34" t="n">
        <v>1</v>
      </c>
      <c r="F6" s="35" t="n"/>
      <c r="G6" s="35" t="n"/>
      <c r="H6" s="32" t="inlineStr">
        <is>
          <t>Erledigt</t>
        </is>
      </c>
      <c r="I6" s="32" t="inlineStr">
        <is>
          <t>Niedrig</t>
        </is>
      </c>
      <c r="J6" s="32" t="n"/>
      <c r="K6" s="36">
        <f>IF(E6&lt;&gt;"",E6,IF(AND(F6&lt;&gt;"",G6&lt;&gt;""),MOD(G6-F6,1)*24,""))</f>
        <v/>
      </c>
      <c r="L6" s="37">
        <f>IF(A6="","",CHOOSE(WEEKDAY(A6,2),"Montag","Dienstag","Mittwoch","Donnerstag","Freitag","Samstag","Sonntag"))</f>
        <v/>
      </c>
      <c r="M6" s="37">
        <f>IF(A6="","",_xlfn.ISOWEEKNUM(A6))</f>
        <v/>
      </c>
      <c r="N6" s="38">
        <f>IF(A6="","",DATE(YEAR(A6),MONTH(A6),1))</f>
        <v/>
      </c>
    </row>
    <row r="7">
      <c r="A7" s="31" t="n">
        <v>46294</v>
      </c>
      <c r="B7" s="32" t="inlineStr">
        <is>
          <t>Kunde Müller</t>
        </is>
      </c>
      <c r="C7" s="32" t="inlineStr">
        <is>
          <t>Besprechung</t>
        </is>
      </c>
      <c r="D7" s="33" t="inlineStr">
        <is>
          <t>Abstimmung Angebot</t>
        </is>
      </c>
      <c r="E7" s="34" t="n"/>
      <c r="F7" s="35" t="n">
        <v>0.375</v>
      </c>
      <c r="G7" s="35" t="n">
        <v>0.4375</v>
      </c>
      <c r="H7" s="32" t="inlineStr">
        <is>
          <t>Erledigt</t>
        </is>
      </c>
      <c r="I7" s="32" t="inlineStr">
        <is>
          <t>Mittel</t>
        </is>
      </c>
      <c r="J7" s="32" t="inlineStr">
        <is>
          <t>Rückruf Fr.</t>
        </is>
      </c>
      <c r="K7" s="36">
        <f>IF(E7&lt;&gt;"",E7,IF(AND(F7&lt;&gt;"",G7&lt;&gt;""),MOD(G7-F7,1)*24,""))</f>
        <v/>
      </c>
      <c r="L7" s="37">
        <f>IF(A7="","",CHOOSE(WEEKDAY(A7,2),"Montag","Dienstag","Mittwoch","Donnerstag","Freitag","Samstag","Sonntag"))</f>
        <v/>
      </c>
      <c r="M7" s="37">
        <f>IF(A7="","",_xlfn.ISOWEEKNUM(A7))</f>
        <v/>
      </c>
      <c r="N7" s="38">
        <f>IF(A7="","",DATE(YEAR(A7),MONTH(A7),1))</f>
        <v/>
      </c>
    </row>
    <row r="8">
      <c r="A8" s="31" t="n">
        <v>46295</v>
      </c>
      <c r="B8" s="32" t="inlineStr">
        <is>
          <t>Projekt Alpha</t>
        </is>
      </c>
      <c r="C8" s="32" t="inlineStr">
        <is>
          <t>Umsetzung</t>
        </is>
      </c>
      <c r="D8" s="33" t="inlineStr">
        <is>
          <t>Konzept Teil 1</t>
        </is>
      </c>
      <c r="E8" s="34" t="n">
        <v>4.5</v>
      </c>
      <c r="F8" s="35" t="n"/>
      <c r="G8" s="35" t="n"/>
      <c r="H8" s="32" t="inlineStr">
        <is>
          <t>Erledigt</t>
        </is>
      </c>
      <c r="I8" s="32" t="inlineStr">
        <is>
          <t>Hoch</t>
        </is>
      </c>
      <c r="J8" s="32" t="n"/>
      <c r="K8" s="36">
        <f>IF(E8&lt;&gt;"",E8,IF(AND(F8&lt;&gt;"",G8&lt;&gt;""),MOD(G8-F8,1)*24,""))</f>
        <v/>
      </c>
      <c r="L8" s="37">
        <f>IF(A8="","",CHOOSE(WEEKDAY(A8,2),"Montag","Dienstag","Mittwoch","Donnerstag","Freitag","Samstag","Sonntag"))</f>
        <v/>
      </c>
      <c r="M8" s="37">
        <f>IF(A8="","",_xlfn.ISOWEEKNUM(A8))</f>
        <v/>
      </c>
      <c r="N8" s="38">
        <f>IF(A8="","",DATE(YEAR(A8),MONTH(A8),1))</f>
        <v/>
      </c>
    </row>
    <row r="9">
      <c r="A9" s="31" t="n">
        <v>46296</v>
      </c>
      <c r="B9" s="32" t="inlineStr">
        <is>
          <t>Kunde Müller</t>
        </is>
      </c>
      <c r="C9" s="32" t="inlineStr">
        <is>
          <t>Umsetzung</t>
        </is>
      </c>
      <c r="D9" s="33" t="inlineStr">
        <is>
          <t>Angebot ausarbeiten</t>
        </is>
      </c>
      <c r="E9" s="34" t="n">
        <v>3</v>
      </c>
      <c r="F9" s="35" t="n"/>
      <c r="G9" s="35" t="n"/>
      <c r="H9" s="32" t="inlineStr">
        <is>
          <t>In Arbeit</t>
        </is>
      </c>
      <c r="I9" s="32" t="inlineStr">
        <is>
          <t>Hoch</t>
        </is>
      </c>
      <c r="J9" s="32" t="n"/>
      <c r="K9" s="36">
        <f>IF(E9&lt;&gt;"",E9,IF(AND(F9&lt;&gt;"",G9&lt;&gt;""),MOD(G9-F9,1)*24,""))</f>
        <v/>
      </c>
      <c r="L9" s="37">
        <f>IF(A9="","",CHOOSE(WEEKDAY(A9,2),"Montag","Dienstag","Mittwoch","Donnerstag","Freitag","Samstag","Sonntag"))</f>
        <v/>
      </c>
      <c r="M9" s="37">
        <f>IF(A9="","",_xlfn.ISOWEEKNUM(A9))</f>
        <v/>
      </c>
      <c r="N9" s="38">
        <f>IF(A9="","",DATE(YEAR(A9),MONTH(A9),1))</f>
        <v/>
      </c>
    </row>
    <row r="10">
      <c r="A10" s="31" t="n">
        <v>46297</v>
      </c>
      <c r="B10" s="32" t="inlineStr">
        <is>
          <t>Weiterbildung</t>
        </is>
      </c>
      <c r="C10" s="32" t="inlineStr">
        <is>
          <t>Lernen</t>
        </is>
      </c>
      <c r="D10" s="33" t="inlineStr">
        <is>
          <t>Excel-Kurs Modul 2</t>
        </is>
      </c>
      <c r="E10" s="34" t="n">
        <v>1.5</v>
      </c>
      <c r="F10" s="35" t="n"/>
      <c r="G10" s="35" t="n"/>
      <c r="H10" s="32" t="inlineStr">
        <is>
          <t>Erledigt</t>
        </is>
      </c>
      <c r="I10" s="32" t="inlineStr">
        <is>
          <t>Niedrig</t>
        </is>
      </c>
      <c r="J10" s="32" t="n"/>
      <c r="K10" s="36">
        <f>IF(E10&lt;&gt;"",E10,IF(AND(F10&lt;&gt;"",G10&lt;&gt;""),MOD(G10-F10,1)*24,""))</f>
        <v/>
      </c>
      <c r="L10" s="37">
        <f>IF(A10="","",CHOOSE(WEEKDAY(A10,2),"Montag","Dienstag","Mittwoch","Donnerstag","Freitag","Samstag","Sonntag"))</f>
        <v/>
      </c>
      <c r="M10" s="37">
        <f>IF(A10="","",_xlfn.ISOWEEKNUM(A10))</f>
        <v/>
      </c>
      <c r="N10" s="38">
        <f>IF(A10="","",DATE(YEAR(A10),MONTH(A10),1))</f>
        <v/>
      </c>
    </row>
    <row r="11">
      <c r="A11" s="31" t="n">
        <v>46300</v>
      </c>
      <c r="B11" s="32" t="inlineStr">
        <is>
          <t>Projekt Alpha</t>
        </is>
      </c>
      <c r="C11" s="32" t="inlineStr">
        <is>
          <t>Umsetzung</t>
        </is>
      </c>
      <c r="D11" s="33" t="inlineStr">
        <is>
          <t>Konzept Teil 2</t>
        </is>
      </c>
      <c r="E11" s="34" t="n"/>
      <c r="F11" s="35" t="n">
        <v>0.3333333333333333</v>
      </c>
      <c r="G11" s="35" t="n">
        <v>0.46875</v>
      </c>
      <c r="H11" s="32" t="inlineStr">
        <is>
          <t>In Arbeit</t>
        </is>
      </c>
      <c r="I11" s="32" t="inlineStr">
        <is>
          <t>Hoch</t>
        </is>
      </c>
      <c r="J11" s="32" t="n"/>
      <c r="K11" s="36">
        <f>IF(E11&lt;&gt;"",E11,IF(AND(F11&lt;&gt;"",G11&lt;&gt;""),MOD(G11-F11,1)*24,""))</f>
        <v/>
      </c>
      <c r="L11" s="37">
        <f>IF(A11="","",CHOOSE(WEEKDAY(A11,2),"Montag","Dienstag","Mittwoch","Donnerstag","Freitag","Samstag","Sonntag"))</f>
        <v/>
      </c>
      <c r="M11" s="37">
        <f>IF(A11="","",_xlfn.ISOWEEKNUM(A11))</f>
        <v/>
      </c>
      <c r="N11" s="38">
        <f>IF(A11="","",DATE(YEAR(A11),MONTH(A11),1))</f>
        <v/>
      </c>
    </row>
    <row r="12">
      <c r="A12" s="31" t="n">
        <v>46300</v>
      </c>
      <c r="B12" s="32" t="inlineStr">
        <is>
          <t>Verwaltung</t>
        </is>
      </c>
      <c r="C12" s="32" t="inlineStr">
        <is>
          <t>E-Mail / Orga</t>
        </is>
      </c>
      <c r="D12" s="33" t="inlineStr">
        <is>
          <t>Wochenplanung</t>
        </is>
      </c>
      <c r="E12" s="34" t="n">
        <v>0.5</v>
      </c>
      <c r="F12" s="35" t="n"/>
      <c r="G12" s="35" t="n"/>
      <c r="H12" s="32" t="inlineStr">
        <is>
          <t>Offen</t>
        </is>
      </c>
      <c r="I12" s="32" t="inlineStr">
        <is>
          <t>Mittel</t>
        </is>
      </c>
      <c r="J12" s="32" t="inlineStr">
        <is>
          <t>Beispielzeile – löschen</t>
        </is>
      </c>
      <c r="K12" s="36">
        <f>IF(E12&lt;&gt;"",E12,IF(AND(F12&lt;&gt;"",G12&lt;&gt;""),MOD(G12-F12,1)*24,""))</f>
        <v/>
      </c>
      <c r="L12" s="37">
        <f>IF(A12="","",CHOOSE(WEEKDAY(A12,2),"Montag","Dienstag","Mittwoch","Donnerstag","Freitag","Samstag","Sonntag"))</f>
        <v/>
      </c>
      <c r="M12" s="37">
        <f>IF(A12="","",_xlfn.ISOWEEKNUM(A12))</f>
        <v/>
      </c>
      <c r="N12" s="38">
        <f>IF(A12="","",DATE(YEAR(A12),MONTH(A12),1))</f>
        <v/>
      </c>
    </row>
    <row r="13">
      <c r="A13" s="31" t="n"/>
      <c r="B13" s="32" t="n"/>
      <c r="C13" s="32" t="n"/>
      <c r="D13" s="33" t="n"/>
      <c r="E13" s="34" t="n"/>
      <c r="F13" s="35" t="n"/>
      <c r="G13" s="35" t="n"/>
      <c r="H13" s="32" t="n"/>
      <c r="I13" s="32" t="n"/>
      <c r="J13" s="32" t="n"/>
      <c r="K13" s="36">
        <f>IF(E13&lt;&gt;"",E13,IF(AND(F13&lt;&gt;"",G13&lt;&gt;""),MOD(G13-F13,1)*24,""))</f>
        <v/>
      </c>
      <c r="L13" s="37">
        <f>IF(A13="","",CHOOSE(WEEKDAY(A13,2),"Montag","Dienstag","Mittwoch","Donnerstag","Freitag","Samstag","Sonntag"))</f>
        <v/>
      </c>
      <c r="M13" s="37">
        <f>IF(A13="","",_xlfn.ISOWEEKNUM(A13))</f>
        <v/>
      </c>
      <c r="N13" s="38">
        <f>IF(A13="","",DATE(YEAR(A13),MONTH(A13),1))</f>
        <v/>
      </c>
    </row>
    <row r="14">
      <c r="A14" s="31" t="n"/>
      <c r="B14" s="32" t="n"/>
      <c r="C14" s="32" t="n"/>
      <c r="D14" s="33" t="n"/>
      <c r="E14" s="34" t="n"/>
      <c r="F14" s="35" t="n"/>
      <c r="G14" s="35" t="n"/>
      <c r="H14" s="32" t="n"/>
      <c r="I14" s="32" t="n"/>
      <c r="J14" s="32" t="n"/>
      <c r="K14" s="36">
        <f>IF(E14&lt;&gt;"",E14,IF(AND(F14&lt;&gt;"",G14&lt;&gt;""),MOD(G14-F14,1)*24,""))</f>
        <v/>
      </c>
      <c r="L14" s="37">
        <f>IF(A14="","",CHOOSE(WEEKDAY(A14,2),"Montag","Dienstag","Mittwoch","Donnerstag","Freitag","Samstag","Sonntag"))</f>
        <v/>
      </c>
      <c r="M14" s="37">
        <f>IF(A14="","",_xlfn.ISOWEEKNUM(A14))</f>
        <v/>
      </c>
      <c r="N14" s="38">
        <f>IF(A14="","",DATE(YEAR(A14),MONTH(A14),1))</f>
        <v/>
      </c>
    </row>
    <row r="15">
      <c r="A15" s="31" t="n"/>
      <c r="B15" s="32" t="n"/>
      <c r="C15" s="32" t="n"/>
      <c r="D15" s="33" t="n"/>
      <c r="E15" s="34" t="n"/>
      <c r="F15" s="35" t="n"/>
      <c r="G15" s="35" t="n"/>
      <c r="H15" s="32" t="n"/>
      <c r="I15" s="32" t="n"/>
      <c r="J15" s="32" t="n"/>
      <c r="K15" s="36">
        <f>IF(E15&lt;&gt;"",E15,IF(AND(F15&lt;&gt;"",G15&lt;&gt;""),MOD(G15-F15,1)*24,""))</f>
        <v/>
      </c>
      <c r="L15" s="37">
        <f>IF(A15="","",CHOOSE(WEEKDAY(A15,2),"Montag","Dienstag","Mittwoch","Donnerstag","Freitag","Samstag","Sonntag"))</f>
        <v/>
      </c>
      <c r="M15" s="37">
        <f>IF(A15="","",_xlfn.ISOWEEKNUM(A15))</f>
        <v/>
      </c>
      <c r="N15" s="38">
        <f>IF(A15="","",DATE(YEAR(A15),MONTH(A15),1))</f>
        <v/>
      </c>
    </row>
    <row r="16">
      <c r="A16" s="31" t="n"/>
      <c r="B16" s="32" t="n"/>
      <c r="C16" s="32" t="n"/>
      <c r="D16" s="33" t="n"/>
      <c r="E16" s="34" t="n"/>
      <c r="F16" s="35" t="n"/>
      <c r="G16" s="35" t="n"/>
      <c r="H16" s="32" t="n"/>
      <c r="I16" s="32" t="n"/>
      <c r="J16" s="32" t="n"/>
      <c r="K16" s="36">
        <f>IF(E16&lt;&gt;"",E16,IF(AND(F16&lt;&gt;"",G16&lt;&gt;""),MOD(G16-F16,1)*24,""))</f>
        <v/>
      </c>
      <c r="L16" s="37">
        <f>IF(A16="","",CHOOSE(WEEKDAY(A16,2),"Montag","Dienstag","Mittwoch","Donnerstag","Freitag","Samstag","Sonntag"))</f>
        <v/>
      </c>
      <c r="M16" s="37">
        <f>IF(A16="","",_xlfn.ISOWEEKNUM(A16))</f>
        <v/>
      </c>
      <c r="N16" s="38">
        <f>IF(A16="","",DATE(YEAR(A16),MONTH(A16),1))</f>
        <v/>
      </c>
    </row>
    <row r="17">
      <c r="A17" s="31" t="n"/>
      <c r="B17" s="32" t="n"/>
      <c r="C17" s="32" t="n"/>
      <c r="D17" s="33" t="n"/>
      <c r="E17" s="34" t="n"/>
      <c r="F17" s="35" t="n"/>
      <c r="G17" s="35" t="n"/>
      <c r="H17" s="32" t="n"/>
      <c r="I17" s="32" t="n"/>
      <c r="J17" s="32" t="n"/>
      <c r="K17" s="36">
        <f>IF(E17&lt;&gt;"",E17,IF(AND(F17&lt;&gt;"",G17&lt;&gt;""),MOD(G17-F17,1)*24,""))</f>
        <v/>
      </c>
      <c r="L17" s="37">
        <f>IF(A17="","",CHOOSE(WEEKDAY(A17,2),"Montag","Dienstag","Mittwoch","Donnerstag","Freitag","Samstag","Sonntag"))</f>
        <v/>
      </c>
      <c r="M17" s="37">
        <f>IF(A17="","",_xlfn.ISOWEEKNUM(A17))</f>
        <v/>
      </c>
      <c r="N17" s="38">
        <f>IF(A17="","",DATE(YEAR(A17),MONTH(A17),1))</f>
        <v/>
      </c>
    </row>
    <row r="18">
      <c r="A18" s="31" t="n"/>
      <c r="B18" s="32" t="n"/>
      <c r="C18" s="32" t="n"/>
      <c r="D18" s="33" t="n"/>
      <c r="E18" s="34" t="n"/>
      <c r="F18" s="35" t="n"/>
      <c r="G18" s="35" t="n"/>
      <c r="H18" s="32" t="n"/>
      <c r="I18" s="32" t="n"/>
      <c r="J18" s="32" t="n"/>
      <c r="K18" s="36">
        <f>IF(E18&lt;&gt;"",E18,IF(AND(F18&lt;&gt;"",G18&lt;&gt;""),MOD(G18-F18,1)*24,""))</f>
        <v/>
      </c>
      <c r="L18" s="37">
        <f>IF(A18="","",CHOOSE(WEEKDAY(A18,2),"Montag","Dienstag","Mittwoch","Donnerstag","Freitag","Samstag","Sonntag"))</f>
        <v/>
      </c>
      <c r="M18" s="37">
        <f>IF(A18="","",_xlfn.ISOWEEKNUM(A18))</f>
        <v/>
      </c>
      <c r="N18" s="38">
        <f>IF(A18="","",DATE(YEAR(A18),MONTH(A18),1))</f>
        <v/>
      </c>
    </row>
    <row r="19">
      <c r="A19" s="31" t="n"/>
      <c r="B19" s="32" t="n"/>
      <c r="C19" s="32" t="n"/>
      <c r="D19" s="33" t="n"/>
      <c r="E19" s="34" t="n"/>
      <c r="F19" s="35" t="n"/>
      <c r="G19" s="35" t="n"/>
      <c r="H19" s="32" t="n"/>
      <c r="I19" s="32" t="n"/>
      <c r="J19" s="32" t="n"/>
      <c r="K19" s="36">
        <f>IF(E19&lt;&gt;"",E19,IF(AND(F19&lt;&gt;"",G19&lt;&gt;""),MOD(G19-F19,1)*24,""))</f>
        <v/>
      </c>
      <c r="L19" s="37">
        <f>IF(A19="","",CHOOSE(WEEKDAY(A19,2),"Montag","Dienstag","Mittwoch","Donnerstag","Freitag","Samstag","Sonntag"))</f>
        <v/>
      </c>
      <c r="M19" s="37">
        <f>IF(A19="","",_xlfn.ISOWEEKNUM(A19))</f>
        <v/>
      </c>
      <c r="N19" s="38">
        <f>IF(A19="","",DATE(YEAR(A19),MONTH(A19),1))</f>
        <v/>
      </c>
    </row>
    <row r="20">
      <c r="A20" s="31" t="n"/>
      <c r="B20" s="32" t="n"/>
      <c r="C20" s="32" t="n"/>
      <c r="D20" s="33" t="n"/>
      <c r="E20" s="34" t="n"/>
      <c r="F20" s="35" t="n"/>
      <c r="G20" s="35" t="n"/>
      <c r="H20" s="32" t="n"/>
      <c r="I20" s="32" t="n"/>
      <c r="J20" s="32" t="n"/>
      <c r="K20" s="36">
        <f>IF(E20&lt;&gt;"",E20,IF(AND(F20&lt;&gt;"",G20&lt;&gt;""),MOD(G20-F20,1)*24,""))</f>
        <v/>
      </c>
      <c r="L20" s="37">
        <f>IF(A20="","",CHOOSE(WEEKDAY(A20,2),"Montag","Dienstag","Mittwoch","Donnerstag","Freitag","Samstag","Sonntag"))</f>
        <v/>
      </c>
      <c r="M20" s="37">
        <f>IF(A20="","",_xlfn.ISOWEEKNUM(A20))</f>
        <v/>
      </c>
      <c r="N20" s="38">
        <f>IF(A20="","",DATE(YEAR(A20),MONTH(A20),1))</f>
        <v/>
      </c>
    </row>
    <row r="21">
      <c r="A21" s="31" t="n"/>
      <c r="B21" s="32" t="n"/>
      <c r="C21" s="32" t="n"/>
      <c r="D21" s="33" t="n"/>
      <c r="E21" s="34" t="n"/>
      <c r="F21" s="35" t="n"/>
      <c r="G21" s="35" t="n"/>
      <c r="H21" s="32" t="n"/>
      <c r="I21" s="32" t="n"/>
      <c r="J21" s="32" t="n"/>
      <c r="K21" s="36">
        <f>IF(E21&lt;&gt;"",E21,IF(AND(F21&lt;&gt;"",G21&lt;&gt;""),MOD(G21-F21,1)*24,""))</f>
        <v/>
      </c>
      <c r="L21" s="37">
        <f>IF(A21="","",CHOOSE(WEEKDAY(A21,2),"Montag","Dienstag","Mittwoch","Donnerstag","Freitag","Samstag","Sonntag"))</f>
        <v/>
      </c>
      <c r="M21" s="37">
        <f>IF(A21="","",_xlfn.ISOWEEKNUM(A21))</f>
        <v/>
      </c>
      <c r="N21" s="38">
        <f>IF(A21="","",DATE(YEAR(A21),MONTH(A21),1))</f>
        <v/>
      </c>
    </row>
    <row r="22">
      <c r="A22" s="31" t="n"/>
      <c r="B22" s="32" t="n"/>
      <c r="C22" s="32" t="n"/>
      <c r="D22" s="33" t="n"/>
      <c r="E22" s="34" t="n"/>
      <c r="F22" s="35" t="n"/>
      <c r="G22" s="35" t="n"/>
      <c r="H22" s="32" t="n"/>
      <c r="I22" s="32" t="n"/>
      <c r="J22" s="32" t="n"/>
      <c r="K22" s="36">
        <f>IF(E22&lt;&gt;"",E22,IF(AND(F22&lt;&gt;"",G22&lt;&gt;""),MOD(G22-F22,1)*24,""))</f>
        <v/>
      </c>
      <c r="L22" s="37">
        <f>IF(A22="","",CHOOSE(WEEKDAY(A22,2),"Montag","Dienstag","Mittwoch","Donnerstag","Freitag","Samstag","Sonntag"))</f>
        <v/>
      </c>
      <c r="M22" s="37">
        <f>IF(A22="","",_xlfn.ISOWEEKNUM(A22))</f>
        <v/>
      </c>
      <c r="N22" s="38">
        <f>IF(A22="","",DATE(YEAR(A22),MONTH(A22),1))</f>
        <v/>
      </c>
    </row>
    <row r="23">
      <c r="A23" s="31" t="n"/>
      <c r="B23" s="32" t="n"/>
      <c r="C23" s="32" t="n"/>
      <c r="D23" s="33" t="n"/>
      <c r="E23" s="34" t="n"/>
      <c r="F23" s="35" t="n"/>
      <c r="G23" s="35" t="n"/>
      <c r="H23" s="32" t="n"/>
      <c r="I23" s="32" t="n"/>
      <c r="J23" s="32" t="n"/>
      <c r="K23" s="36">
        <f>IF(E23&lt;&gt;"",E23,IF(AND(F23&lt;&gt;"",G23&lt;&gt;""),MOD(G23-F23,1)*24,""))</f>
        <v/>
      </c>
      <c r="L23" s="37">
        <f>IF(A23="","",CHOOSE(WEEKDAY(A23,2),"Montag","Dienstag","Mittwoch","Donnerstag","Freitag","Samstag","Sonntag"))</f>
        <v/>
      </c>
      <c r="M23" s="37">
        <f>IF(A23="","",_xlfn.ISOWEEKNUM(A23))</f>
        <v/>
      </c>
      <c r="N23" s="38">
        <f>IF(A23="","",DATE(YEAR(A23),MONTH(A23),1))</f>
        <v/>
      </c>
    </row>
    <row r="24">
      <c r="A24" s="31" t="n"/>
      <c r="B24" s="32" t="n"/>
      <c r="C24" s="32" t="n"/>
      <c r="D24" s="33" t="n"/>
      <c r="E24" s="34" t="n"/>
      <c r="F24" s="35" t="n"/>
      <c r="G24" s="35" t="n"/>
      <c r="H24" s="32" t="n"/>
      <c r="I24" s="32" t="n"/>
      <c r="J24" s="32" t="n"/>
      <c r="K24" s="36">
        <f>IF(E24&lt;&gt;"",E24,IF(AND(F24&lt;&gt;"",G24&lt;&gt;""),MOD(G24-F24,1)*24,""))</f>
        <v/>
      </c>
      <c r="L24" s="37">
        <f>IF(A24="","",CHOOSE(WEEKDAY(A24,2),"Montag","Dienstag","Mittwoch","Donnerstag","Freitag","Samstag","Sonntag"))</f>
        <v/>
      </c>
      <c r="M24" s="37">
        <f>IF(A24="","",_xlfn.ISOWEEKNUM(A24))</f>
        <v/>
      </c>
      <c r="N24" s="38">
        <f>IF(A24="","",DATE(YEAR(A24),MONTH(A24),1))</f>
        <v/>
      </c>
    </row>
    <row r="25">
      <c r="A25" s="31" t="n"/>
      <c r="B25" s="32" t="n"/>
      <c r="C25" s="32" t="n"/>
      <c r="D25" s="33" t="n"/>
      <c r="E25" s="34" t="n"/>
      <c r="F25" s="35" t="n"/>
      <c r="G25" s="35" t="n"/>
      <c r="H25" s="32" t="n"/>
      <c r="I25" s="32" t="n"/>
      <c r="J25" s="32" t="n"/>
      <c r="K25" s="36">
        <f>IF(E25&lt;&gt;"",E25,IF(AND(F25&lt;&gt;"",G25&lt;&gt;""),MOD(G25-F25,1)*24,""))</f>
        <v/>
      </c>
      <c r="L25" s="37">
        <f>IF(A25="","",CHOOSE(WEEKDAY(A25,2),"Montag","Dienstag","Mittwoch","Donnerstag","Freitag","Samstag","Sonntag"))</f>
        <v/>
      </c>
      <c r="M25" s="37">
        <f>IF(A25="","",_xlfn.ISOWEEKNUM(A25))</f>
        <v/>
      </c>
      <c r="N25" s="38">
        <f>IF(A25="","",DATE(YEAR(A25),MONTH(A25),1))</f>
        <v/>
      </c>
    </row>
    <row r="26">
      <c r="A26" s="31" t="n"/>
      <c r="B26" s="32" t="n"/>
      <c r="C26" s="32" t="n"/>
      <c r="D26" s="33" t="n"/>
      <c r="E26" s="34" t="n"/>
      <c r="F26" s="35" t="n"/>
      <c r="G26" s="35" t="n"/>
      <c r="H26" s="32" t="n"/>
      <c r="I26" s="32" t="n"/>
      <c r="J26" s="32" t="n"/>
      <c r="K26" s="36">
        <f>IF(E26&lt;&gt;"",E26,IF(AND(F26&lt;&gt;"",G26&lt;&gt;""),MOD(G26-F26,1)*24,""))</f>
        <v/>
      </c>
      <c r="L26" s="37">
        <f>IF(A26="","",CHOOSE(WEEKDAY(A26,2),"Montag","Dienstag","Mittwoch","Donnerstag","Freitag","Samstag","Sonntag"))</f>
        <v/>
      </c>
      <c r="M26" s="37">
        <f>IF(A26="","",_xlfn.ISOWEEKNUM(A26))</f>
        <v/>
      </c>
      <c r="N26" s="38">
        <f>IF(A26="","",DATE(YEAR(A26),MONTH(A26),1))</f>
        <v/>
      </c>
    </row>
    <row r="27">
      <c r="A27" s="31" t="n"/>
      <c r="B27" s="32" t="n"/>
      <c r="C27" s="32" t="n"/>
      <c r="D27" s="33" t="n"/>
      <c r="E27" s="34" t="n"/>
      <c r="F27" s="35" t="n"/>
      <c r="G27" s="35" t="n"/>
      <c r="H27" s="32" t="n"/>
      <c r="I27" s="32" t="n"/>
      <c r="J27" s="32" t="n"/>
      <c r="K27" s="36">
        <f>IF(E27&lt;&gt;"",E27,IF(AND(F27&lt;&gt;"",G27&lt;&gt;""),MOD(G27-F27,1)*24,""))</f>
        <v/>
      </c>
      <c r="L27" s="37">
        <f>IF(A27="","",CHOOSE(WEEKDAY(A27,2),"Montag","Dienstag","Mittwoch","Donnerstag","Freitag","Samstag","Sonntag"))</f>
        <v/>
      </c>
      <c r="M27" s="37">
        <f>IF(A27="","",_xlfn.ISOWEEKNUM(A27))</f>
        <v/>
      </c>
      <c r="N27" s="38">
        <f>IF(A27="","",DATE(YEAR(A27),MONTH(A27),1))</f>
        <v/>
      </c>
    </row>
    <row r="28">
      <c r="A28" s="31" t="n"/>
      <c r="B28" s="32" t="n"/>
      <c r="C28" s="32" t="n"/>
      <c r="D28" s="33" t="n"/>
      <c r="E28" s="34" t="n"/>
      <c r="F28" s="35" t="n"/>
      <c r="G28" s="35" t="n"/>
      <c r="H28" s="32" t="n"/>
      <c r="I28" s="32" t="n"/>
      <c r="J28" s="32" t="n"/>
      <c r="K28" s="36">
        <f>IF(E28&lt;&gt;"",E28,IF(AND(F28&lt;&gt;"",G28&lt;&gt;""),MOD(G28-F28,1)*24,""))</f>
        <v/>
      </c>
      <c r="L28" s="37">
        <f>IF(A28="","",CHOOSE(WEEKDAY(A28,2),"Montag","Dienstag","Mittwoch","Donnerstag","Freitag","Samstag","Sonntag"))</f>
        <v/>
      </c>
      <c r="M28" s="37">
        <f>IF(A28="","",_xlfn.ISOWEEKNUM(A28))</f>
        <v/>
      </c>
      <c r="N28" s="38">
        <f>IF(A28="","",DATE(YEAR(A28),MONTH(A28),1))</f>
        <v/>
      </c>
    </row>
    <row r="29">
      <c r="A29" s="31" t="n"/>
      <c r="B29" s="32" t="n"/>
      <c r="C29" s="32" t="n"/>
      <c r="D29" s="33" t="n"/>
      <c r="E29" s="34" t="n"/>
      <c r="F29" s="35" t="n"/>
      <c r="G29" s="35" t="n"/>
      <c r="H29" s="32" t="n"/>
      <c r="I29" s="32" t="n"/>
      <c r="J29" s="32" t="n"/>
      <c r="K29" s="36">
        <f>IF(E29&lt;&gt;"",E29,IF(AND(F29&lt;&gt;"",G29&lt;&gt;""),MOD(G29-F29,1)*24,""))</f>
        <v/>
      </c>
      <c r="L29" s="37">
        <f>IF(A29="","",CHOOSE(WEEKDAY(A29,2),"Montag","Dienstag","Mittwoch","Donnerstag","Freitag","Samstag","Sonntag"))</f>
        <v/>
      </c>
      <c r="M29" s="37">
        <f>IF(A29="","",_xlfn.ISOWEEKNUM(A29))</f>
        <v/>
      </c>
      <c r="N29" s="38">
        <f>IF(A29="","",DATE(YEAR(A29),MONTH(A29),1))</f>
        <v/>
      </c>
    </row>
    <row r="30">
      <c r="A30" s="31" t="n"/>
      <c r="B30" s="32" t="n"/>
      <c r="C30" s="32" t="n"/>
      <c r="D30" s="33" t="n"/>
      <c r="E30" s="34" t="n"/>
      <c r="F30" s="35" t="n"/>
      <c r="G30" s="35" t="n"/>
      <c r="H30" s="32" t="n"/>
      <c r="I30" s="32" t="n"/>
      <c r="J30" s="32" t="n"/>
      <c r="K30" s="36">
        <f>IF(E30&lt;&gt;"",E30,IF(AND(F30&lt;&gt;"",G30&lt;&gt;""),MOD(G30-F30,1)*24,""))</f>
        <v/>
      </c>
      <c r="L30" s="37">
        <f>IF(A30="","",CHOOSE(WEEKDAY(A30,2),"Montag","Dienstag","Mittwoch","Donnerstag","Freitag","Samstag","Sonntag"))</f>
        <v/>
      </c>
      <c r="M30" s="37">
        <f>IF(A30="","",_xlfn.ISOWEEKNUM(A30))</f>
        <v/>
      </c>
      <c r="N30" s="38">
        <f>IF(A30="","",DATE(YEAR(A30),MONTH(A30),1))</f>
        <v/>
      </c>
    </row>
    <row r="31">
      <c r="A31" s="31" t="n"/>
      <c r="B31" s="32" t="n"/>
      <c r="C31" s="32" t="n"/>
      <c r="D31" s="33" t="n"/>
      <c r="E31" s="34" t="n"/>
      <c r="F31" s="35" t="n"/>
      <c r="G31" s="35" t="n"/>
      <c r="H31" s="32" t="n"/>
      <c r="I31" s="32" t="n"/>
      <c r="J31" s="32" t="n"/>
      <c r="K31" s="36">
        <f>IF(E31&lt;&gt;"",E31,IF(AND(F31&lt;&gt;"",G31&lt;&gt;""),MOD(G31-F31,1)*24,""))</f>
        <v/>
      </c>
      <c r="L31" s="37">
        <f>IF(A31="","",CHOOSE(WEEKDAY(A31,2),"Montag","Dienstag","Mittwoch","Donnerstag","Freitag","Samstag","Sonntag"))</f>
        <v/>
      </c>
      <c r="M31" s="37">
        <f>IF(A31="","",_xlfn.ISOWEEKNUM(A31))</f>
        <v/>
      </c>
      <c r="N31" s="38">
        <f>IF(A31="","",DATE(YEAR(A31),MONTH(A31),1))</f>
        <v/>
      </c>
    </row>
    <row r="32">
      <c r="A32" s="31" t="n"/>
      <c r="B32" s="32" t="n"/>
      <c r="C32" s="32" t="n"/>
      <c r="D32" s="33" t="n"/>
      <c r="E32" s="34" t="n"/>
      <c r="F32" s="35" t="n"/>
      <c r="G32" s="35" t="n"/>
      <c r="H32" s="32" t="n"/>
      <c r="I32" s="32" t="n"/>
      <c r="J32" s="32" t="n"/>
      <c r="K32" s="36">
        <f>IF(E32&lt;&gt;"",E32,IF(AND(F32&lt;&gt;"",G32&lt;&gt;""),MOD(G32-F32,1)*24,""))</f>
        <v/>
      </c>
      <c r="L32" s="37">
        <f>IF(A32="","",CHOOSE(WEEKDAY(A32,2),"Montag","Dienstag","Mittwoch","Donnerstag","Freitag","Samstag","Sonntag"))</f>
        <v/>
      </c>
      <c r="M32" s="37">
        <f>IF(A32="","",_xlfn.ISOWEEKNUM(A32))</f>
        <v/>
      </c>
      <c r="N32" s="38">
        <f>IF(A32="","",DATE(YEAR(A32),MONTH(A32),1))</f>
        <v/>
      </c>
    </row>
    <row r="33">
      <c r="A33" s="31" t="n"/>
      <c r="B33" s="32" t="n"/>
      <c r="C33" s="32" t="n"/>
      <c r="D33" s="33" t="n"/>
      <c r="E33" s="34" t="n"/>
      <c r="F33" s="35" t="n"/>
      <c r="G33" s="35" t="n"/>
      <c r="H33" s="32" t="n"/>
      <c r="I33" s="32" t="n"/>
      <c r="J33" s="32" t="n"/>
      <c r="K33" s="36">
        <f>IF(E33&lt;&gt;"",E33,IF(AND(F33&lt;&gt;"",G33&lt;&gt;""),MOD(G33-F33,1)*24,""))</f>
        <v/>
      </c>
      <c r="L33" s="37">
        <f>IF(A33="","",CHOOSE(WEEKDAY(A33,2),"Montag","Dienstag","Mittwoch","Donnerstag","Freitag","Samstag","Sonntag"))</f>
        <v/>
      </c>
      <c r="M33" s="37">
        <f>IF(A33="","",_xlfn.ISOWEEKNUM(A33))</f>
        <v/>
      </c>
      <c r="N33" s="38">
        <f>IF(A33="","",DATE(YEAR(A33),MONTH(A33),1))</f>
        <v/>
      </c>
    </row>
    <row r="34">
      <c r="A34" s="31" t="n"/>
      <c r="B34" s="32" t="n"/>
      <c r="C34" s="32" t="n"/>
      <c r="D34" s="33" t="n"/>
      <c r="E34" s="34" t="n"/>
      <c r="F34" s="35" t="n"/>
      <c r="G34" s="35" t="n"/>
      <c r="H34" s="32" t="n"/>
      <c r="I34" s="32" t="n"/>
      <c r="J34" s="32" t="n"/>
      <c r="K34" s="36">
        <f>IF(E34&lt;&gt;"",E34,IF(AND(F34&lt;&gt;"",G34&lt;&gt;""),MOD(G34-F34,1)*24,""))</f>
        <v/>
      </c>
      <c r="L34" s="37">
        <f>IF(A34="","",CHOOSE(WEEKDAY(A34,2),"Montag","Dienstag","Mittwoch","Donnerstag","Freitag","Samstag","Sonntag"))</f>
        <v/>
      </c>
      <c r="M34" s="37">
        <f>IF(A34="","",_xlfn.ISOWEEKNUM(A34))</f>
        <v/>
      </c>
      <c r="N34" s="38">
        <f>IF(A34="","",DATE(YEAR(A34),MONTH(A34),1))</f>
        <v/>
      </c>
    </row>
    <row r="35">
      <c r="A35" s="31" t="n"/>
      <c r="B35" s="32" t="n"/>
      <c r="C35" s="32" t="n"/>
      <c r="D35" s="33" t="n"/>
      <c r="E35" s="34" t="n"/>
      <c r="F35" s="35" t="n"/>
      <c r="G35" s="35" t="n"/>
      <c r="H35" s="32" t="n"/>
      <c r="I35" s="32" t="n"/>
      <c r="J35" s="32" t="n"/>
      <c r="K35" s="36">
        <f>IF(E35&lt;&gt;"",E35,IF(AND(F35&lt;&gt;"",G35&lt;&gt;""),MOD(G35-F35,1)*24,""))</f>
        <v/>
      </c>
      <c r="L35" s="37">
        <f>IF(A35="","",CHOOSE(WEEKDAY(A35,2),"Montag","Dienstag","Mittwoch","Donnerstag","Freitag","Samstag","Sonntag"))</f>
        <v/>
      </c>
      <c r="M35" s="37">
        <f>IF(A35="","",_xlfn.ISOWEEKNUM(A35))</f>
        <v/>
      </c>
      <c r="N35" s="38">
        <f>IF(A35="","",DATE(YEAR(A35),MONTH(A35),1))</f>
        <v/>
      </c>
    </row>
    <row r="36">
      <c r="A36" s="31" t="n"/>
      <c r="B36" s="32" t="n"/>
      <c r="C36" s="32" t="n"/>
      <c r="D36" s="33" t="n"/>
      <c r="E36" s="34" t="n"/>
      <c r="F36" s="35" t="n"/>
      <c r="G36" s="35" t="n"/>
      <c r="H36" s="32" t="n"/>
      <c r="I36" s="32" t="n"/>
      <c r="J36" s="32" t="n"/>
      <c r="K36" s="36">
        <f>IF(E36&lt;&gt;"",E36,IF(AND(F36&lt;&gt;"",G36&lt;&gt;""),MOD(G36-F36,1)*24,""))</f>
        <v/>
      </c>
      <c r="L36" s="37">
        <f>IF(A36="","",CHOOSE(WEEKDAY(A36,2),"Montag","Dienstag","Mittwoch","Donnerstag","Freitag","Samstag","Sonntag"))</f>
        <v/>
      </c>
      <c r="M36" s="37">
        <f>IF(A36="","",_xlfn.ISOWEEKNUM(A36))</f>
        <v/>
      </c>
      <c r="N36" s="38">
        <f>IF(A36="","",DATE(YEAR(A36),MONTH(A36),1))</f>
        <v/>
      </c>
    </row>
    <row r="37">
      <c r="A37" s="31" t="n"/>
      <c r="B37" s="32" t="n"/>
      <c r="C37" s="32" t="n"/>
      <c r="D37" s="33" t="n"/>
      <c r="E37" s="34" t="n"/>
      <c r="F37" s="35" t="n"/>
      <c r="G37" s="35" t="n"/>
      <c r="H37" s="32" t="n"/>
      <c r="I37" s="32" t="n"/>
      <c r="J37" s="32" t="n"/>
      <c r="K37" s="36">
        <f>IF(E37&lt;&gt;"",E37,IF(AND(F37&lt;&gt;"",G37&lt;&gt;""),MOD(G37-F37,1)*24,""))</f>
        <v/>
      </c>
      <c r="L37" s="37">
        <f>IF(A37="","",CHOOSE(WEEKDAY(A37,2),"Montag","Dienstag","Mittwoch","Donnerstag","Freitag","Samstag","Sonntag"))</f>
        <v/>
      </c>
      <c r="M37" s="37">
        <f>IF(A37="","",_xlfn.ISOWEEKNUM(A37))</f>
        <v/>
      </c>
      <c r="N37" s="38">
        <f>IF(A37="","",DATE(YEAR(A37),MONTH(A37),1))</f>
        <v/>
      </c>
    </row>
    <row r="38">
      <c r="A38" s="31" t="n"/>
      <c r="B38" s="32" t="n"/>
      <c r="C38" s="32" t="n"/>
      <c r="D38" s="33" t="n"/>
      <c r="E38" s="34" t="n"/>
      <c r="F38" s="35" t="n"/>
      <c r="G38" s="35" t="n"/>
      <c r="H38" s="32" t="n"/>
      <c r="I38" s="32" t="n"/>
      <c r="J38" s="32" t="n"/>
      <c r="K38" s="36">
        <f>IF(E38&lt;&gt;"",E38,IF(AND(F38&lt;&gt;"",G38&lt;&gt;""),MOD(G38-F38,1)*24,""))</f>
        <v/>
      </c>
      <c r="L38" s="37">
        <f>IF(A38="","",CHOOSE(WEEKDAY(A38,2),"Montag","Dienstag","Mittwoch","Donnerstag","Freitag","Samstag","Sonntag"))</f>
        <v/>
      </c>
      <c r="M38" s="37">
        <f>IF(A38="","",_xlfn.ISOWEEKNUM(A38))</f>
        <v/>
      </c>
      <c r="N38" s="38">
        <f>IF(A38="","",DATE(YEAR(A38),MONTH(A38),1))</f>
        <v/>
      </c>
    </row>
    <row r="39">
      <c r="A39" s="31" t="n"/>
      <c r="B39" s="32" t="n"/>
      <c r="C39" s="32" t="n"/>
      <c r="D39" s="33" t="n"/>
      <c r="E39" s="34" t="n"/>
      <c r="F39" s="35" t="n"/>
      <c r="G39" s="35" t="n"/>
      <c r="H39" s="32" t="n"/>
      <c r="I39" s="32" t="n"/>
      <c r="J39" s="32" t="n"/>
      <c r="K39" s="36">
        <f>IF(E39&lt;&gt;"",E39,IF(AND(F39&lt;&gt;"",G39&lt;&gt;""),MOD(G39-F39,1)*24,""))</f>
        <v/>
      </c>
      <c r="L39" s="37">
        <f>IF(A39="","",CHOOSE(WEEKDAY(A39,2),"Montag","Dienstag","Mittwoch","Donnerstag","Freitag","Samstag","Sonntag"))</f>
        <v/>
      </c>
      <c r="M39" s="37">
        <f>IF(A39="","",_xlfn.ISOWEEKNUM(A39))</f>
        <v/>
      </c>
      <c r="N39" s="38">
        <f>IF(A39="","",DATE(YEAR(A39),MONTH(A39),1))</f>
        <v/>
      </c>
    </row>
    <row r="40">
      <c r="A40" s="31" t="n"/>
      <c r="B40" s="32" t="n"/>
      <c r="C40" s="32" t="n"/>
      <c r="D40" s="33" t="n"/>
      <c r="E40" s="34" t="n"/>
      <c r="F40" s="35" t="n"/>
      <c r="G40" s="35" t="n"/>
      <c r="H40" s="32" t="n"/>
      <c r="I40" s="32" t="n"/>
      <c r="J40" s="32" t="n"/>
      <c r="K40" s="36">
        <f>IF(E40&lt;&gt;"",E40,IF(AND(F40&lt;&gt;"",G40&lt;&gt;""),MOD(G40-F40,1)*24,""))</f>
        <v/>
      </c>
      <c r="L40" s="37">
        <f>IF(A40="","",CHOOSE(WEEKDAY(A40,2),"Montag","Dienstag","Mittwoch","Donnerstag","Freitag","Samstag","Sonntag"))</f>
        <v/>
      </c>
      <c r="M40" s="37">
        <f>IF(A40="","",_xlfn.ISOWEEKNUM(A40))</f>
        <v/>
      </c>
      <c r="N40" s="38">
        <f>IF(A40="","",DATE(YEAR(A40),MONTH(A40),1))</f>
        <v/>
      </c>
    </row>
    <row r="41">
      <c r="A41" s="31" t="n"/>
      <c r="B41" s="32" t="n"/>
      <c r="C41" s="32" t="n"/>
      <c r="D41" s="33" t="n"/>
      <c r="E41" s="34" t="n"/>
      <c r="F41" s="35" t="n"/>
      <c r="G41" s="35" t="n"/>
      <c r="H41" s="32" t="n"/>
      <c r="I41" s="32" t="n"/>
      <c r="J41" s="32" t="n"/>
      <c r="K41" s="36">
        <f>IF(E41&lt;&gt;"",E41,IF(AND(F41&lt;&gt;"",G41&lt;&gt;""),MOD(G41-F41,1)*24,""))</f>
        <v/>
      </c>
      <c r="L41" s="37">
        <f>IF(A41="","",CHOOSE(WEEKDAY(A41,2),"Montag","Dienstag","Mittwoch","Donnerstag","Freitag","Samstag","Sonntag"))</f>
        <v/>
      </c>
      <c r="M41" s="37">
        <f>IF(A41="","",_xlfn.ISOWEEKNUM(A41))</f>
        <v/>
      </c>
      <c r="N41" s="38">
        <f>IF(A41="","",DATE(YEAR(A41),MONTH(A41),1))</f>
        <v/>
      </c>
    </row>
    <row r="42">
      <c r="A42" s="31" t="n"/>
      <c r="B42" s="32" t="n"/>
      <c r="C42" s="32" t="n"/>
      <c r="D42" s="33" t="n"/>
      <c r="E42" s="34" t="n"/>
      <c r="F42" s="35" t="n"/>
      <c r="G42" s="35" t="n"/>
      <c r="H42" s="32" t="n"/>
      <c r="I42" s="32" t="n"/>
      <c r="J42" s="32" t="n"/>
      <c r="K42" s="36">
        <f>IF(E42&lt;&gt;"",E42,IF(AND(F42&lt;&gt;"",G42&lt;&gt;""),MOD(G42-F42,1)*24,""))</f>
        <v/>
      </c>
      <c r="L42" s="37">
        <f>IF(A42="","",CHOOSE(WEEKDAY(A42,2),"Montag","Dienstag","Mittwoch","Donnerstag","Freitag","Samstag","Sonntag"))</f>
        <v/>
      </c>
      <c r="M42" s="37">
        <f>IF(A42="","",_xlfn.ISOWEEKNUM(A42))</f>
        <v/>
      </c>
      <c r="N42" s="38">
        <f>IF(A42="","",DATE(YEAR(A42),MONTH(A42),1))</f>
        <v/>
      </c>
    </row>
    <row r="43">
      <c r="A43" s="31" t="n"/>
      <c r="B43" s="32" t="n"/>
      <c r="C43" s="32" t="n"/>
      <c r="D43" s="33" t="n"/>
      <c r="E43" s="34" t="n"/>
      <c r="F43" s="35" t="n"/>
      <c r="G43" s="35" t="n"/>
      <c r="H43" s="32" t="n"/>
      <c r="I43" s="32" t="n"/>
      <c r="J43" s="32" t="n"/>
      <c r="K43" s="36">
        <f>IF(E43&lt;&gt;"",E43,IF(AND(F43&lt;&gt;"",G43&lt;&gt;""),MOD(G43-F43,1)*24,""))</f>
        <v/>
      </c>
      <c r="L43" s="37">
        <f>IF(A43="","",CHOOSE(WEEKDAY(A43,2),"Montag","Dienstag","Mittwoch","Donnerstag","Freitag","Samstag","Sonntag"))</f>
        <v/>
      </c>
      <c r="M43" s="37">
        <f>IF(A43="","",_xlfn.ISOWEEKNUM(A43))</f>
        <v/>
      </c>
      <c r="N43" s="38">
        <f>IF(A43="","",DATE(YEAR(A43),MONTH(A43),1))</f>
        <v/>
      </c>
    </row>
    <row r="44">
      <c r="A44" s="31" t="n"/>
      <c r="B44" s="32" t="n"/>
      <c r="C44" s="32" t="n"/>
      <c r="D44" s="33" t="n"/>
      <c r="E44" s="34" t="n"/>
      <c r="F44" s="35" t="n"/>
      <c r="G44" s="35" t="n"/>
      <c r="H44" s="32" t="n"/>
      <c r="I44" s="32" t="n"/>
      <c r="J44" s="32" t="n"/>
      <c r="K44" s="36">
        <f>IF(E44&lt;&gt;"",E44,IF(AND(F44&lt;&gt;"",G44&lt;&gt;""),MOD(G44-F44,1)*24,""))</f>
        <v/>
      </c>
      <c r="L44" s="37">
        <f>IF(A44="","",CHOOSE(WEEKDAY(A44,2),"Montag","Dienstag","Mittwoch","Donnerstag","Freitag","Samstag","Sonntag"))</f>
        <v/>
      </c>
      <c r="M44" s="37">
        <f>IF(A44="","",_xlfn.ISOWEEKNUM(A44))</f>
        <v/>
      </c>
      <c r="N44" s="38">
        <f>IF(A44="","",DATE(YEAR(A44),MONTH(A44),1))</f>
        <v/>
      </c>
    </row>
    <row r="45">
      <c r="A45" s="31" t="n"/>
      <c r="B45" s="32" t="n"/>
      <c r="C45" s="32" t="n"/>
      <c r="D45" s="33" t="n"/>
      <c r="E45" s="34" t="n"/>
      <c r="F45" s="35" t="n"/>
      <c r="G45" s="35" t="n"/>
      <c r="H45" s="32" t="n"/>
      <c r="I45" s="32" t="n"/>
      <c r="J45" s="32" t="n"/>
      <c r="K45" s="36">
        <f>IF(E45&lt;&gt;"",E45,IF(AND(F45&lt;&gt;"",G45&lt;&gt;""),MOD(G45-F45,1)*24,""))</f>
        <v/>
      </c>
      <c r="L45" s="37">
        <f>IF(A45="","",CHOOSE(WEEKDAY(A45,2),"Montag","Dienstag","Mittwoch","Donnerstag","Freitag","Samstag","Sonntag"))</f>
        <v/>
      </c>
      <c r="M45" s="37">
        <f>IF(A45="","",_xlfn.ISOWEEKNUM(A45))</f>
        <v/>
      </c>
      <c r="N45" s="38">
        <f>IF(A45="","",DATE(YEAR(A45),MONTH(A45),1))</f>
        <v/>
      </c>
    </row>
    <row r="46">
      <c r="A46" s="31" t="n"/>
      <c r="B46" s="32" t="n"/>
      <c r="C46" s="32" t="n"/>
      <c r="D46" s="33" t="n"/>
      <c r="E46" s="34" t="n"/>
      <c r="F46" s="35" t="n"/>
      <c r="G46" s="35" t="n"/>
      <c r="H46" s="32" t="n"/>
      <c r="I46" s="32" t="n"/>
      <c r="J46" s="32" t="n"/>
      <c r="K46" s="36">
        <f>IF(E46&lt;&gt;"",E46,IF(AND(F46&lt;&gt;"",G46&lt;&gt;""),MOD(G46-F46,1)*24,""))</f>
        <v/>
      </c>
      <c r="L46" s="37">
        <f>IF(A46="","",CHOOSE(WEEKDAY(A46,2),"Montag","Dienstag","Mittwoch","Donnerstag","Freitag","Samstag","Sonntag"))</f>
        <v/>
      </c>
      <c r="M46" s="37">
        <f>IF(A46="","",_xlfn.ISOWEEKNUM(A46))</f>
        <v/>
      </c>
      <c r="N46" s="38">
        <f>IF(A46="","",DATE(YEAR(A46),MONTH(A46),1))</f>
        <v/>
      </c>
    </row>
    <row r="47">
      <c r="A47" s="31" t="n"/>
      <c r="B47" s="32" t="n"/>
      <c r="C47" s="32" t="n"/>
      <c r="D47" s="33" t="n"/>
      <c r="E47" s="34" t="n"/>
      <c r="F47" s="35" t="n"/>
      <c r="G47" s="35" t="n"/>
      <c r="H47" s="32" t="n"/>
      <c r="I47" s="32" t="n"/>
      <c r="J47" s="32" t="n"/>
      <c r="K47" s="36">
        <f>IF(E47&lt;&gt;"",E47,IF(AND(F47&lt;&gt;"",G47&lt;&gt;""),MOD(G47-F47,1)*24,""))</f>
        <v/>
      </c>
      <c r="L47" s="37">
        <f>IF(A47="","",CHOOSE(WEEKDAY(A47,2),"Montag","Dienstag","Mittwoch","Donnerstag","Freitag","Samstag","Sonntag"))</f>
        <v/>
      </c>
      <c r="M47" s="37">
        <f>IF(A47="","",_xlfn.ISOWEEKNUM(A47))</f>
        <v/>
      </c>
      <c r="N47" s="38">
        <f>IF(A47="","",DATE(YEAR(A47),MONTH(A47),1))</f>
        <v/>
      </c>
    </row>
    <row r="48">
      <c r="A48" s="31" t="n"/>
      <c r="B48" s="32" t="n"/>
      <c r="C48" s="32" t="n"/>
      <c r="D48" s="33" t="n"/>
      <c r="E48" s="34" t="n"/>
      <c r="F48" s="35" t="n"/>
      <c r="G48" s="35" t="n"/>
      <c r="H48" s="32" t="n"/>
      <c r="I48" s="32" t="n"/>
      <c r="J48" s="32" t="n"/>
      <c r="K48" s="36">
        <f>IF(E48&lt;&gt;"",E48,IF(AND(F48&lt;&gt;"",G48&lt;&gt;""),MOD(G48-F48,1)*24,""))</f>
        <v/>
      </c>
      <c r="L48" s="37">
        <f>IF(A48="","",CHOOSE(WEEKDAY(A48,2),"Montag","Dienstag","Mittwoch","Donnerstag","Freitag","Samstag","Sonntag"))</f>
        <v/>
      </c>
      <c r="M48" s="37">
        <f>IF(A48="","",_xlfn.ISOWEEKNUM(A48))</f>
        <v/>
      </c>
      <c r="N48" s="38">
        <f>IF(A48="","",DATE(YEAR(A48),MONTH(A48),1))</f>
        <v/>
      </c>
    </row>
    <row r="49">
      <c r="A49" s="31" t="n"/>
      <c r="B49" s="32" t="n"/>
      <c r="C49" s="32" t="n"/>
      <c r="D49" s="33" t="n"/>
      <c r="E49" s="34" t="n"/>
      <c r="F49" s="35" t="n"/>
      <c r="G49" s="35" t="n"/>
      <c r="H49" s="32" t="n"/>
      <c r="I49" s="32" t="n"/>
      <c r="J49" s="32" t="n"/>
      <c r="K49" s="36">
        <f>IF(E49&lt;&gt;"",E49,IF(AND(F49&lt;&gt;"",G49&lt;&gt;""),MOD(G49-F49,1)*24,""))</f>
        <v/>
      </c>
      <c r="L49" s="37">
        <f>IF(A49="","",CHOOSE(WEEKDAY(A49,2),"Montag","Dienstag","Mittwoch","Donnerstag","Freitag","Samstag","Sonntag"))</f>
        <v/>
      </c>
      <c r="M49" s="37">
        <f>IF(A49="","",_xlfn.ISOWEEKNUM(A49))</f>
        <v/>
      </c>
      <c r="N49" s="38">
        <f>IF(A49="","",DATE(YEAR(A49),MONTH(A49),1))</f>
        <v/>
      </c>
    </row>
    <row r="50">
      <c r="A50" s="31" t="n"/>
      <c r="B50" s="32" t="n"/>
      <c r="C50" s="32" t="n"/>
      <c r="D50" s="33" t="n"/>
      <c r="E50" s="34" t="n"/>
      <c r="F50" s="35" t="n"/>
      <c r="G50" s="35" t="n"/>
      <c r="H50" s="32" t="n"/>
      <c r="I50" s="32" t="n"/>
      <c r="J50" s="32" t="n"/>
      <c r="K50" s="36">
        <f>IF(E50&lt;&gt;"",E50,IF(AND(F50&lt;&gt;"",G50&lt;&gt;""),MOD(G50-F50,1)*24,""))</f>
        <v/>
      </c>
      <c r="L50" s="37">
        <f>IF(A50="","",CHOOSE(WEEKDAY(A50,2),"Montag","Dienstag","Mittwoch","Donnerstag","Freitag","Samstag","Sonntag"))</f>
        <v/>
      </c>
      <c r="M50" s="37">
        <f>IF(A50="","",_xlfn.ISOWEEKNUM(A50))</f>
        <v/>
      </c>
      <c r="N50" s="38">
        <f>IF(A50="","",DATE(YEAR(A50),MONTH(A50),1))</f>
        <v/>
      </c>
    </row>
    <row r="51">
      <c r="A51" s="31" t="n"/>
      <c r="B51" s="32" t="n"/>
      <c r="C51" s="32" t="n"/>
      <c r="D51" s="33" t="n"/>
      <c r="E51" s="34" t="n"/>
      <c r="F51" s="35" t="n"/>
      <c r="G51" s="35" t="n"/>
      <c r="H51" s="32" t="n"/>
      <c r="I51" s="32" t="n"/>
      <c r="J51" s="32" t="n"/>
      <c r="K51" s="36">
        <f>IF(E51&lt;&gt;"",E51,IF(AND(F51&lt;&gt;"",G51&lt;&gt;""),MOD(G51-F51,1)*24,""))</f>
        <v/>
      </c>
      <c r="L51" s="37">
        <f>IF(A51="","",CHOOSE(WEEKDAY(A51,2),"Montag","Dienstag","Mittwoch","Donnerstag","Freitag","Samstag","Sonntag"))</f>
        <v/>
      </c>
      <c r="M51" s="37">
        <f>IF(A51="","",_xlfn.ISOWEEKNUM(A51))</f>
        <v/>
      </c>
      <c r="N51" s="38">
        <f>IF(A51="","",DATE(YEAR(A51),MONTH(A51),1))</f>
        <v/>
      </c>
    </row>
    <row r="52">
      <c r="A52" s="31" t="n"/>
      <c r="B52" s="32" t="n"/>
      <c r="C52" s="32" t="n"/>
      <c r="D52" s="33" t="n"/>
      <c r="E52" s="34" t="n"/>
      <c r="F52" s="35" t="n"/>
      <c r="G52" s="35" t="n"/>
      <c r="H52" s="32" t="n"/>
      <c r="I52" s="32" t="n"/>
      <c r="J52" s="32" t="n"/>
      <c r="K52" s="36">
        <f>IF(E52&lt;&gt;"",E52,IF(AND(F52&lt;&gt;"",G52&lt;&gt;""),MOD(G52-F52,1)*24,""))</f>
        <v/>
      </c>
      <c r="L52" s="37">
        <f>IF(A52="","",CHOOSE(WEEKDAY(A52,2),"Montag","Dienstag","Mittwoch","Donnerstag","Freitag","Samstag","Sonntag"))</f>
        <v/>
      </c>
      <c r="M52" s="37">
        <f>IF(A52="","",_xlfn.ISOWEEKNUM(A52))</f>
        <v/>
      </c>
      <c r="N52" s="38">
        <f>IF(A52="","",DATE(YEAR(A52),MONTH(A52),1))</f>
        <v/>
      </c>
    </row>
    <row r="53">
      <c r="A53" s="31" t="n"/>
      <c r="B53" s="32" t="n"/>
      <c r="C53" s="32" t="n"/>
      <c r="D53" s="33" t="n"/>
      <c r="E53" s="34" t="n"/>
      <c r="F53" s="35" t="n"/>
      <c r="G53" s="35" t="n"/>
      <c r="H53" s="32" t="n"/>
      <c r="I53" s="32" t="n"/>
      <c r="J53" s="32" t="n"/>
      <c r="K53" s="36">
        <f>IF(E53&lt;&gt;"",E53,IF(AND(F53&lt;&gt;"",G53&lt;&gt;""),MOD(G53-F53,1)*24,""))</f>
        <v/>
      </c>
      <c r="L53" s="37">
        <f>IF(A53="","",CHOOSE(WEEKDAY(A53,2),"Montag","Dienstag","Mittwoch","Donnerstag","Freitag","Samstag","Sonntag"))</f>
        <v/>
      </c>
      <c r="M53" s="37">
        <f>IF(A53="","",_xlfn.ISOWEEKNUM(A53))</f>
        <v/>
      </c>
      <c r="N53" s="38">
        <f>IF(A53="","",DATE(YEAR(A53),MONTH(A53),1))</f>
        <v/>
      </c>
    </row>
    <row r="54">
      <c r="A54" s="31" t="n"/>
      <c r="B54" s="32" t="n"/>
      <c r="C54" s="32" t="n"/>
      <c r="D54" s="33" t="n"/>
      <c r="E54" s="34" t="n"/>
      <c r="F54" s="35" t="n"/>
      <c r="G54" s="35" t="n"/>
      <c r="H54" s="32" t="n"/>
      <c r="I54" s="32" t="n"/>
      <c r="J54" s="32" t="n"/>
      <c r="K54" s="36">
        <f>IF(E54&lt;&gt;"",E54,IF(AND(F54&lt;&gt;"",G54&lt;&gt;""),MOD(G54-F54,1)*24,""))</f>
        <v/>
      </c>
      <c r="L54" s="37">
        <f>IF(A54="","",CHOOSE(WEEKDAY(A54,2),"Montag","Dienstag","Mittwoch","Donnerstag","Freitag","Samstag","Sonntag"))</f>
        <v/>
      </c>
      <c r="M54" s="37">
        <f>IF(A54="","",_xlfn.ISOWEEKNUM(A54))</f>
        <v/>
      </c>
      <c r="N54" s="38">
        <f>IF(A54="","",DATE(YEAR(A54),MONTH(A54),1))</f>
        <v/>
      </c>
    </row>
    <row r="55">
      <c r="A55" s="31" t="n"/>
      <c r="B55" s="32" t="n"/>
      <c r="C55" s="32" t="n"/>
      <c r="D55" s="33" t="n"/>
      <c r="E55" s="34" t="n"/>
      <c r="F55" s="35" t="n"/>
      <c r="G55" s="35" t="n"/>
      <c r="H55" s="32" t="n"/>
      <c r="I55" s="32" t="n"/>
      <c r="J55" s="32" t="n"/>
      <c r="K55" s="36">
        <f>IF(E55&lt;&gt;"",E55,IF(AND(F55&lt;&gt;"",G55&lt;&gt;""),MOD(G55-F55,1)*24,""))</f>
        <v/>
      </c>
      <c r="L55" s="37">
        <f>IF(A55="","",CHOOSE(WEEKDAY(A55,2),"Montag","Dienstag","Mittwoch","Donnerstag","Freitag","Samstag","Sonntag"))</f>
        <v/>
      </c>
      <c r="M55" s="37">
        <f>IF(A55="","",_xlfn.ISOWEEKNUM(A55))</f>
        <v/>
      </c>
      <c r="N55" s="38">
        <f>IF(A55="","",DATE(YEAR(A55),MONTH(A55),1))</f>
        <v/>
      </c>
    </row>
    <row r="56">
      <c r="A56" s="31" t="n"/>
      <c r="B56" s="32" t="n"/>
      <c r="C56" s="32" t="n"/>
      <c r="D56" s="33" t="n"/>
      <c r="E56" s="34" t="n"/>
      <c r="F56" s="35" t="n"/>
      <c r="G56" s="35" t="n"/>
      <c r="H56" s="32" t="n"/>
      <c r="I56" s="32" t="n"/>
      <c r="J56" s="32" t="n"/>
      <c r="K56" s="36">
        <f>IF(E56&lt;&gt;"",E56,IF(AND(F56&lt;&gt;"",G56&lt;&gt;""),MOD(G56-F56,1)*24,""))</f>
        <v/>
      </c>
      <c r="L56" s="37">
        <f>IF(A56="","",CHOOSE(WEEKDAY(A56,2),"Montag","Dienstag","Mittwoch","Donnerstag","Freitag","Samstag","Sonntag"))</f>
        <v/>
      </c>
      <c r="M56" s="37">
        <f>IF(A56="","",_xlfn.ISOWEEKNUM(A56))</f>
        <v/>
      </c>
      <c r="N56" s="38">
        <f>IF(A56="","",DATE(YEAR(A56),MONTH(A56),1))</f>
        <v/>
      </c>
    </row>
    <row r="57">
      <c r="A57" s="31" t="n"/>
      <c r="B57" s="32" t="n"/>
      <c r="C57" s="32" t="n"/>
      <c r="D57" s="33" t="n"/>
      <c r="E57" s="34" t="n"/>
      <c r="F57" s="35" t="n"/>
      <c r="G57" s="35" t="n"/>
      <c r="H57" s="32" t="n"/>
      <c r="I57" s="32" t="n"/>
      <c r="J57" s="32" t="n"/>
      <c r="K57" s="36">
        <f>IF(E57&lt;&gt;"",E57,IF(AND(F57&lt;&gt;"",G57&lt;&gt;""),MOD(G57-F57,1)*24,""))</f>
        <v/>
      </c>
      <c r="L57" s="37">
        <f>IF(A57="","",CHOOSE(WEEKDAY(A57,2),"Montag","Dienstag","Mittwoch","Donnerstag","Freitag","Samstag","Sonntag"))</f>
        <v/>
      </c>
      <c r="M57" s="37">
        <f>IF(A57="","",_xlfn.ISOWEEKNUM(A57))</f>
        <v/>
      </c>
      <c r="N57" s="38">
        <f>IF(A57="","",DATE(YEAR(A57),MONTH(A57),1))</f>
        <v/>
      </c>
    </row>
    <row r="58">
      <c r="A58" s="31" t="n"/>
      <c r="B58" s="32" t="n"/>
      <c r="C58" s="32" t="n"/>
      <c r="D58" s="33" t="n"/>
      <c r="E58" s="34" t="n"/>
      <c r="F58" s="35" t="n"/>
      <c r="G58" s="35" t="n"/>
      <c r="H58" s="32" t="n"/>
      <c r="I58" s="32" t="n"/>
      <c r="J58" s="32" t="n"/>
      <c r="K58" s="36">
        <f>IF(E58&lt;&gt;"",E58,IF(AND(F58&lt;&gt;"",G58&lt;&gt;""),MOD(G58-F58,1)*24,""))</f>
        <v/>
      </c>
      <c r="L58" s="37">
        <f>IF(A58="","",CHOOSE(WEEKDAY(A58,2),"Montag","Dienstag","Mittwoch","Donnerstag","Freitag","Samstag","Sonntag"))</f>
        <v/>
      </c>
      <c r="M58" s="37">
        <f>IF(A58="","",_xlfn.ISOWEEKNUM(A58))</f>
        <v/>
      </c>
      <c r="N58" s="38">
        <f>IF(A58="","",DATE(YEAR(A58),MONTH(A58),1))</f>
        <v/>
      </c>
    </row>
    <row r="59">
      <c r="A59" s="31" t="n"/>
      <c r="B59" s="32" t="n"/>
      <c r="C59" s="32" t="n"/>
      <c r="D59" s="33" t="n"/>
      <c r="E59" s="34" t="n"/>
      <c r="F59" s="35" t="n"/>
      <c r="G59" s="35" t="n"/>
      <c r="H59" s="32" t="n"/>
      <c r="I59" s="32" t="n"/>
      <c r="J59" s="32" t="n"/>
      <c r="K59" s="36">
        <f>IF(E59&lt;&gt;"",E59,IF(AND(F59&lt;&gt;"",G59&lt;&gt;""),MOD(G59-F59,1)*24,""))</f>
        <v/>
      </c>
      <c r="L59" s="37">
        <f>IF(A59="","",CHOOSE(WEEKDAY(A59,2),"Montag","Dienstag","Mittwoch","Donnerstag","Freitag","Samstag","Sonntag"))</f>
        <v/>
      </c>
      <c r="M59" s="37">
        <f>IF(A59="","",_xlfn.ISOWEEKNUM(A59))</f>
        <v/>
      </c>
      <c r="N59" s="38">
        <f>IF(A59="","",DATE(YEAR(A59),MONTH(A59),1))</f>
        <v/>
      </c>
    </row>
    <row r="60">
      <c r="A60" s="31" t="n"/>
      <c r="B60" s="32" t="n"/>
      <c r="C60" s="32" t="n"/>
      <c r="D60" s="33" t="n"/>
      <c r="E60" s="34" t="n"/>
      <c r="F60" s="35" t="n"/>
      <c r="G60" s="35" t="n"/>
      <c r="H60" s="32" t="n"/>
      <c r="I60" s="32" t="n"/>
      <c r="J60" s="32" t="n"/>
      <c r="K60" s="36">
        <f>IF(E60&lt;&gt;"",E60,IF(AND(F60&lt;&gt;"",G60&lt;&gt;""),MOD(G60-F60,1)*24,""))</f>
        <v/>
      </c>
      <c r="L60" s="37">
        <f>IF(A60="","",CHOOSE(WEEKDAY(A60,2),"Montag","Dienstag","Mittwoch","Donnerstag","Freitag","Samstag","Sonntag"))</f>
        <v/>
      </c>
      <c r="M60" s="37">
        <f>IF(A60="","",_xlfn.ISOWEEKNUM(A60))</f>
        <v/>
      </c>
      <c r="N60" s="38">
        <f>IF(A60="","",DATE(YEAR(A60),MONTH(A60),1))</f>
        <v/>
      </c>
    </row>
    <row r="61">
      <c r="A61" s="31" t="n"/>
      <c r="B61" s="32" t="n"/>
      <c r="C61" s="32" t="n"/>
      <c r="D61" s="33" t="n"/>
      <c r="E61" s="34" t="n"/>
      <c r="F61" s="35" t="n"/>
      <c r="G61" s="35" t="n"/>
      <c r="H61" s="32" t="n"/>
      <c r="I61" s="32" t="n"/>
      <c r="J61" s="32" t="n"/>
      <c r="K61" s="36">
        <f>IF(E61&lt;&gt;"",E61,IF(AND(F61&lt;&gt;"",G61&lt;&gt;""),MOD(G61-F61,1)*24,""))</f>
        <v/>
      </c>
      <c r="L61" s="37">
        <f>IF(A61="","",CHOOSE(WEEKDAY(A61,2),"Montag","Dienstag","Mittwoch","Donnerstag","Freitag","Samstag","Sonntag"))</f>
        <v/>
      </c>
      <c r="M61" s="37">
        <f>IF(A61="","",_xlfn.ISOWEEKNUM(A61))</f>
        <v/>
      </c>
      <c r="N61" s="38">
        <f>IF(A61="","",DATE(YEAR(A61),MONTH(A61),1))</f>
        <v/>
      </c>
    </row>
    <row r="62">
      <c r="A62" s="31" t="n"/>
      <c r="B62" s="32" t="n"/>
      <c r="C62" s="32" t="n"/>
      <c r="D62" s="33" t="n"/>
      <c r="E62" s="34" t="n"/>
      <c r="F62" s="35" t="n"/>
      <c r="G62" s="35" t="n"/>
      <c r="H62" s="32" t="n"/>
      <c r="I62" s="32" t="n"/>
      <c r="J62" s="32" t="n"/>
      <c r="K62" s="36">
        <f>IF(E62&lt;&gt;"",E62,IF(AND(F62&lt;&gt;"",G62&lt;&gt;""),MOD(G62-F62,1)*24,""))</f>
        <v/>
      </c>
      <c r="L62" s="37">
        <f>IF(A62="","",CHOOSE(WEEKDAY(A62,2),"Montag","Dienstag","Mittwoch","Donnerstag","Freitag","Samstag","Sonntag"))</f>
        <v/>
      </c>
      <c r="M62" s="37">
        <f>IF(A62="","",_xlfn.ISOWEEKNUM(A62))</f>
        <v/>
      </c>
      <c r="N62" s="38">
        <f>IF(A62="","",DATE(YEAR(A62),MONTH(A62),1))</f>
        <v/>
      </c>
    </row>
    <row r="63">
      <c r="A63" s="31" t="n"/>
      <c r="B63" s="32" t="n"/>
      <c r="C63" s="32" t="n"/>
      <c r="D63" s="33" t="n"/>
      <c r="E63" s="34" t="n"/>
      <c r="F63" s="35" t="n"/>
      <c r="G63" s="35" t="n"/>
      <c r="H63" s="32" t="n"/>
      <c r="I63" s="32" t="n"/>
      <c r="J63" s="32" t="n"/>
      <c r="K63" s="36">
        <f>IF(E63&lt;&gt;"",E63,IF(AND(F63&lt;&gt;"",G63&lt;&gt;""),MOD(G63-F63,1)*24,""))</f>
        <v/>
      </c>
      <c r="L63" s="37">
        <f>IF(A63="","",CHOOSE(WEEKDAY(A63,2),"Montag","Dienstag","Mittwoch","Donnerstag","Freitag","Samstag","Sonntag"))</f>
        <v/>
      </c>
      <c r="M63" s="37">
        <f>IF(A63="","",_xlfn.ISOWEEKNUM(A63))</f>
        <v/>
      </c>
      <c r="N63" s="38">
        <f>IF(A63="","",DATE(YEAR(A63),MONTH(A63),1))</f>
        <v/>
      </c>
    </row>
    <row r="64">
      <c r="A64" s="31" t="n"/>
      <c r="B64" s="32" t="n"/>
      <c r="C64" s="32" t="n"/>
      <c r="D64" s="33" t="n"/>
      <c r="E64" s="34" t="n"/>
      <c r="F64" s="35" t="n"/>
      <c r="G64" s="35" t="n"/>
      <c r="H64" s="32" t="n"/>
      <c r="I64" s="32" t="n"/>
      <c r="J64" s="32" t="n"/>
      <c r="K64" s="36">
        <f>IF(E64&lt;&gt;"",E64,IF(AND(F64&lt;&gt;"",G64&lt;&gt;""),MOD(G64-F64,1)*24,""))</f>
        <v/>
      </c>
      <c r="L64" s="37">
        <f>IF(A64="","",CHOOSE(WEEKDAY(A64,2),"Montag","Dienstag","Mittwoch","Donnerstag","Freitag","Samstag","Sonntag"))</f>
        <v/>
      </c>
      <c r="M64" s="37">
        <f>IF(A64="","",_xlfn.ISOWEEKNUM(A64))</f>
        <v/>
      </c>
      <c r="N64" s="38">
        <f>IF(A64="","",DATE(YEAR(A64),MONTH(A64),1))</f>
        <v/>
      </c>
    </row>
    <row r="65">
      <c r="A65" s="31" t="n"/>
      <c r="B65" s="32" t="n"/>
      <c r="C65" s="32" t="n"/>
      <c r="D65" s="33" t="n"/>
      <c r="E65" s="34" t="n"/>
      <c r="F65" s="35" t="n"/>
      <c r="G65" s="35" t="n"/>
      <c r="H65" s="32" t="n"/>
      <c r="I65" s="32" t="n"/>
      <c r="J65" s="32" t="n"/>
      <c r="K65" s="36">
        <f>IF(E65&lt;&gt;"",E65,IF(AND(F65&lt;&gt;"",G65&lt;&gt;""),MOD(G65-F65,1)*24,""))</f>
        <v/>
      </c>
      <c r="L65" s="37">
        <f>IF(A65="","",CHOOSE(WEEKDAY(A65,2),"Montag","Dienstag","Mittwoch","Donnerstag","Freitag","Samstag","Sonntag"))</f>
        <v/>
      </c>
      <c r="M65" s="37">
        <f>IF(A65="","",_xlfn.ISOWEEKNUM(A65))</f>
        <v/>
      </c>
      <c r="N65" s="38">
        <f>IF(A65="","",DATE(YEAR(A65),MONTH(A65),1))</f>
        <v/>
      </c>
    </row>
    <row r="66">
      <c r="A66" s="31" t="n"/>
      <c r="B66" s="32" t="n"/>
      <c r="C66" s="32" t="n"/>
      <c r="D66" s="33" t="n"/>
      <c r="E66" s="34" t="n"/>
      <c r="F66" s="35" t="n"/>
      <c r="G66" s="35" t="n"/>
      <c r="H66" s="32" t="n"/>
      <c r="I66" s="32" t="n"/>
      <c r="J66" s="32" t="n"/>
      <c r="K66" s="36">
        <f>IF(E66&lt;&gt;"",E66,IF(AND(F66&lt;&gt;"",G66&lt;&gt;""),MOD(G66-F66,1)*24,""))</f>
        <v/>
      </c>
      <c r="L66" s="37">
        <f>IF(A66="","",CHOOSE(WEEKDAY(A66,2),"Montag","Dienstag","Mittwoch","Donnerstag","Freitag","Samstag","Sonntag"))</f>
        <v/>
      </c>
      <c r="M66" s="37">
        <f>IF(A66="","",_xlfn.ISOWEEKNUM(A66))</f>
        <v/>
      </c>
      <c r="N66" s="38">
        <f>IF(A66="","",DATE(YEAR(A66),MONTH(A66),1))</f>
        <v/>
      </c>
    </row>
    <row r="67">
      <c r="A67" s="31" t="n"/>
      <c r="B67" s="32" t="n"/>
      <c r="C67" s="32" t="n"/>
      <c r="D67" s="33" t="n"/>
      <c r="E67" s="34" t="n"/>
      <c r="F67" s="35" t="n"/>
      <c r="G67" s="35" t="n"/>
      <c r="H67" s="32" t="n"/>
      <c r="I67" s="32" t="n"/>
      <c r="J67" s="32" t="n"/>
      <c r="K67" s="36">
        <f>IF(E67&lt;&gt;"",E67,IF(AND(F67&lt;&gt;"",G67&lt;&gt;""),MOD(G67-F67,1)*24,""))</f>
        <v/>
      </c>
      <c r="L67" s="37">
        <f>IF(A67="","",CHOOSE(WEEKDAY(A67,2),"Montag","Dienstag","Mittwoch","Donnerstag","Freitag","Samstag","Sonntag"))</f>
        <v/>
      </c>
      <c r="M67" s="37">
        <f>IF(A67="","",_xlfn.ISOWEEKNUM(A67))</f>
        <v/>
      </c>
      <c r="N67" s="38">
        <f>IF(A67="","",DATE(YEAR(A67),MONTH(A67),1))</f>
        <v/>
      </c>
    </row>
    <row r="68">
      <c r="A68" s="31" t="n"/>
      <c r="B68" s="32" t="n"/>
      <c r="C68" s="32" t="n"/>
      <c r="D68" s="33" t="n"/>
      <c r="E68" s="34" t="n"/>
      <c r="F68" s="35" t="n"/>
      <c r="G68" s="35" t="n"/>
      <c r="H68" s="32" t="n"/>
      <c r="I68" s="32" t="n"/>
      <c r="J68" s="32" t="n"/>
      <c r="K68" s="36">
        <f>IF(E68&lt;&gt;"",E68,IF(AND(F68&lt;&gt;"",G68&lt;&gt;""),MOD(G68-F68,1)*24,""))</f>
        <v/>
      </c>
      <c r="L68" s="37">
        <f>IF(A68="","",CHOOSE(WEEKDAY(A68,2),"Montag","Dienstag","Mittwoch","Donnerstag","Freitag","Samstag","Sonntag"))</f>
        <v/>
      </c>
      <c r="M68" s="37">
        <f>IF(A68="","",_xlfn.ISOWEEKNUM(A68))</f>
        <v/>
      </c>
      <c r="N68" s="38">
        <f>IF(A68="","",DATE(YEAR(A68),MONTH(A68),1))</f>
        <v/>
      </c>
    </row>
    <row r="69">
      <c r="A69" s="31" t="n"/>
      <c r="B69" s="32" t="n"/>
      <c r="C69" s="32" t="n"/>
      <c r="D69" s="33" t="n"/>
      <c r="E69" s="34" t="n"/>
      <c r="F69" s="35" t="n"/>
      <c r="G69" s="35" t="n"/>
      <c r="H69" s="32" t="n"/>
      <c r="I69" s="32" t="n"/>
      <c r="J69" s="32" t="n"/>
      <c r="K69" s="36">
        <f>IF(E69&lt;&gt;"",E69,IF(AND(F69&lt;&gt;"",G69&lt;&gt;""),MOD(G69-F69,1)*24,""))</f>
        <v/>
      </c>
      <c r="L69" s="37">
        <f>IF(A69="","",CHOOSE(WEEKDAY(A69,2),"Montag","Dienstag","Mittwoch","Donnerstag","Freitag","Samstag","Sonntag"))</f>
        <v/>
      </c>
      <c r="M69" s="37">
        <f>IF(A69="","",_xlfn.ISOWEEKNUM(A69))</f>
        <v/>
      </c>
      <c r="N69" s="38">
        <f>IF(A69="","",DATE(YEAR(A69),MONTH(A69),1))</f>
        <v/>
      </c>
    </row>
    <row r="70">
      <c r="A70" s="31" t="n"/>
      <c r="B70" s="32" t="n"/>
      <c r="C70" s="32" t="n"/>
      <c r="D70" s="33" t="n"/>
      <c r="E70" s="34" t="n"/>
      <c r="F70" s="35" t="n"/>
      <c r="G70" s="35" t="n"/>
      <c r="H70" s="32" t="n"/>
      <c r="I70" s="32" t="n"/>
      <c r="J70" s="32" t="n"/>
      <c r="K70" s="36">
        <f>IF(E70&lt;&gt;"",E70,IF(AND(F70&lt;&gt;"",G70&lt;&gt;""),MOD(G70-F70,1)*24,""))</f>
        <v/>
      </c>
      <c r="L70" s="37">
        <f>IF(A70="","",CHOOSE(WEEKDAY(A70,2),"Montag","Dienstag","Mittwoch","Donnerstag","Freitag","Samstag","Sonntag"))</f>
        <v/>
      </c>
      <c r="M70" s="37">
        <f>IF(A70="","",_xlfn.ISOWEEKNUM(A70))</f>
        <v/>
      </c>
      <c r="N70" s="38">
        <f>IF(A70="","",DATE(YEAR(A70),MONTH(A70),1))</f>
        <v/>
      </c>
    </row>
    <row r="71">
      <c r="A71" s="31" t="n"/>
      <c r="B71" s="32" t="n"/>
      <c r="C71" s="32" t="n"/>
      <c r="D71" s="33" t="n"/>
      <c r="E71" s="34" t="n"/>
      <c r="F71" s="35" t="n"/>
      <c r="G71" s="35" t="n"/>
      <c r="H71" s="32" t="n"/>
      <c r="I71" s="32" t="n"/>
      <c r="J71" s="32" t="n"/>
      <c r="K71" s="36">
        <f>IF(E71&lt;&gt;"",E71,IF(AND(F71&lt;&gt;"",G71&lt;&gt;""),MOD(G71-F71,1)*24,""))</f>
        <v/>
      </c>
      <c r="L71" s="37">
        <f>IF(A71="","",CHOOSE(WEEKDAY(A71,2),"Montag","Dienstag","Mittwoch","Donnerstag","Freitag","Samstag","Sonntag"))</f>
        <v/>
      </c>
      <c r="M71" s="37">
        <f>IF(A71="","",_xlfn.ISOWEEKNUM(A71))</f>
        <v/>
      </c>
      <c r="N71" s="38">
        <f>IF(A71="","",DATE(YEAR(A71),MONTH(A71),1))</f>
        <v/>
      </c>
    </row>
    <row r="72">
      <c r="A72" s="31" t="n"/>
      <c r="B72" s="32" t="n"/>
      <c r="C72" s="32" t="n"/>
      <c r="D72" s="33" t="n"/>
      <c r="E72" s="34" t="n"/>
      <c r="F72" s="35" t="n"/>
      <c r="G72" s="35" t="n"/>
      <c r="H72" s="32" t="n"/>
      <c r="I72" s="32" t="n"/>
      <c r="J72" s="32" t="n"/>
      <c r="K72" s="36">
        <f>IF(E72&lt;&gt;"",E72,IF(AND(F72&lt;&gt;"",G72&lt;&gt;""),MOD(G72-F72,1)*24,""))</f>
        <v/>
      </c>
      <c r="L72" s="37">
        <f>IF(A72="","",CHOOSE(WEEKDAY(A72,2),"Montag","Dienstag","Mittwoch","Donnerstag","Freitag","Samstag","Sonntag"))</f>
        <v/>
      </c>
      <c r="M72" s="37">
        <f>IF(A72="","",_xlfn.ISOWEEKNUM(A72))</f>
        <v/>
      </c>
      <c r="N72" s="38">
        <f>IF(A72="","",DATE(YEAR(A72),MONTH(A72),1))</f>
        <v/>
      </c>
    </row>
    <row r="73">
      <c r="A73" s="31" t="n"/>
      <c r="B73" s="32" t="n"/>
      <c r="C73" s="32" t="n"/>
      <c r="D73" s="33" t="n"/>
      <c r="E73" s="34" t="n"/>
      <c r="F73" s="35" t="n"/>
      <c r="G73" s="35" t="n"/>
      <c r="H73" s="32" t="n"/>
      <c r="I73" s="32" t="n"/>
      <c r="J73" s="32" t="n"/>
      <c r="K73" s="36">
        <f>IF(E73&lt;&gt;"",E73,IF(AND(F73&lt;&gt;"",G73&lt;&gt;""),MOD(G73-F73,1)*24,""))</f>
        <v/>
      </c>
      <c r="L73" s="37">
        <f>IF(A73="","",CHOOSE(WEEKDAY(A73,2),"Montag","Dienstag","Mittwoch","Donnerstag","Freitag","Samstag","Sonntag"))</f>
        <v/>
      </c>
      <c r="M73" s="37">
        <f>IF(A73="","",_xlfn.ISOWEEKNUM(A73))</f>
        <v/>
      </c>
      <c r="N73" s="38">
        <f>IF(A73="","",DATE(YEAR(A73),MONTH(A73),1))</f>
        <v/>
      </c>
    </row>
    <row r="74">
      <c r="A74" s="31" t="n"/>
      <c r="B74" s="32" t="n"/>
      <c r="C74" s="32" t="n"/>
      <c r="D74" s="33" t="n"/>
      <c r="E74" s="34" t="n"/>
      <c r="F74" s="35" t="n"/>
      <c r="G74" s="35" t="n"/>
      <c r="H74" s="32" t="n"/>
      <c r="I74" s="32" t="n"/>
      <c r="J74" s="32" t="n"/>
      <c r="K74" s="36">
        <f>IF(E74&lt;&gt;"",E74,IF(AND(F74&lt;&gt;"",G74&lt;&gt;""),MOD(G74-F74,1)*24,""))</f>
        <v/>
      </c>
      <c r="L74" s="37">
        <f>IF(A74="","",CHOOSE(WEEKDAY(A74,2),"Montag","Dienstag","Mittwoch","Donnerstag","Freitag","Samstag","Sonntag"))</f>
        <v/>
      </c>
      <c r="M74" s="37">
        <f>IF(A74="","",_xlfn.ISOWEEKNUM(A74))</f>
        <v/>
      </c>
      <c r="N74" s="38">
        <f>IF(A74="","",DATE(YEAR(A74),MONTH(A74),1))</f>
        <v/>
      </c>
    </row>
    <row r="75">
      <c r="A75" s="31" t="n"/>
      <c r="B75" s="32" t="n"/>
      <c r="C75" s="32" t="n"/>
      <c r="D75" s="33" t="n"/>
      <c r="E75" s="34" t="n"/>
      <c r="F75" s="35" t="n"/>
      <c r="G75" s="35" t="n"/>
      <c r="H75" s="32" t="n"/>
      <c r="I75" s="32" t="n"/>
      <c r="J75" s="32" t="n"/>
      <c r="K75" s="36">
        <f>IF(E75&lt;&gt;"",E75,IF(AND(F75&lt;&gt;"",G75&lt;&gt;""),MOD(G75-F75,1)*24,""))</f>
        <v/>
      </c>
      <c r="L75" s="37">
        <f>IF(A75="","",CHOOSE(WEEKDAY(A75,2),"Montag","Dienstag","Mittwoch","Donnerstag","Freitag","Samstag","Sonntag"))</f>
        <v/>
      </c>
      <c r="M75" s="37">
        <f>IF(A75="","",_xlfn.ISOWEEKNUM(A75))</f>
        <v/>
      </c>
      <c r="N75" s="38">
        <f>IF(A75="","",DATE(YEAR(A75),MONTH(A75),1))</f>
        <v/>
      </c>
    </row>
    <row r="76">
      <c r="A76" s="31" t="n"/>
      <c r="B76" s="32" t="n"/>
      <c r="C76" s="32" t="n"/>
      <c r="D76" s="33" t="n"/>
      <c r="E76" s="34" t="n"/>
      <c r="F76" s="35" t="n"/>
      <c r="G76" s="35" t="n"/>
      <c r="H76" s="32" t="n"/>
      <c r="I76" s="32" t="n"/>
      <c r="J76" s="32" t="n"/>
      <c r="K76" s="36">
        <f>IF(E76&lt;&gt;"",E76,IF(AND(F76&lt;&gt;"",G76&lt;&gt;""),MOD(G76-F76,1)*24,""))</f>
        <v/>
      </c>
      <c r="L76" s="37">
        <f>IF(A76="","",CHOOSE(WEEKDAY(A76,2),"Montag","Dienstag","Mittwoch","Donnerstag","Freitag","Samstag","Sonntag"))</f>
        <v/>
      </c>
      <c r="M76" s="37">
        <f>IF(A76="","",_xlfn.ISOWEEKNUM(A76))</f>
        <v/>
      </c>
      <c r="N76" s="38">
        <f>IF(A76="","",DATE(YEAR(A76),MONTH(A76),1))</f>
        <v/>
      </c>
    </row>
    <row r="77">
      <c r="A77" s="31" t="n"/>
      <c r="B77" s="32" t="n"/>
      <c r="C77" s="32" t="n"/>
      <c r="D77" s="33" t="n"/>
      <c r="E77" s="34" t="n"/>
      <c r="F77" s="35" t="n"/>
      <c r="G77" s="35" t="n"/>
      <c r="H77" s="32" t="n"/>
      <c r="I77" s="32" t="n"/>
      <c r="J77" s="32" t="n"/>
      <c r="K77" s="36">
        <f>IF(E77&lt;&gt;"",E77,IF(AND(F77&lt;&gt;"",G77&lt;&gt;""),MOD(G77-F77,1)*24,""))</f>
        <v/>
      </c>
      <c r="L77" s="37">
        <f>IF(A77="","",CHOOSE(WEEKDAY(A77,2),"Montag","Dienstag","Mittwoch","Donnerstag","Freitag","Samstag","Sonntag"))</f>
        <v/>
      </c>
      <c r="M77" s="37">
        <f>IF(A77="","",_xlfn.ISOWEEKNUM(A77))</f>
        <v/>
      </c>
      <c r="N77" s="38">
        <f>IF(A77="","",DATE(YEAR(A77),MONTH(A77),1))</f>
        <v/>
      </c>
    </row>
    <row r="78">
      <c r="A78" s="31" t="n"/>
      <c r="B78" s="32" t="n"/>
      <c r="C78" s="32" t="n"/>
      <c r="D78" s="33" t="n"/>
      <c r="E78" s="34" t="n"/>
      <c r="F78" s="35" t="n"/>
      <c r="G78" s="35" t="n"/>
      <c r="H78" s="32" t="n"/>
      <c r="I78" s="32" t="n"/>
      <c r="J78" s="32" t="n"/>
      <c r="K78" s="36">
        <f>IF(E78&lt;&gt;"",E78,IF(AND(F78&lt;&gt;"",G78&lt;&gt;""),MOD(G78-F78,1)*24,""))</f>
        <v/>
      </c>
      <c r="L78" s="37">
        <f>IF(A78="","",CHOOSE(WEEKDAY(A78,2),"Montag","Dienstag","Mittwoch","Donnerstag","Freitag","Samstag","Sonntag"))</f>
        <v/>
      </c>
      <c r="M78" s="37">
        <f>IF(A78="","",_xlfn.ISOWEEKNUM(A78))</f>
        <v/>
      </c>
      <c r="N78" s="38">
        <f>IF(A78="","",DATE(YEAR(A78),MONTH(A78),1))</f>
        <v/>
      </c>
    </row>
    <row r="79">
      <c r="A79" s="31" t="n"/>
      <c r="B79" s="32" t="n"/>
      <c r="C79" s="32" t="n"/>
      <c r="D79" s="33" t="n"/>
      <c r="E79" s="34" t="n"/>
      <c r="F79" s="35" t="n"/>
      <c r="G79" s="35" t="n"/>
      <c r="H79" s="32" t="n"/>
      <c r="I79" s="32" t="n"/>
      <c r="J79" s="32" t="n"/>
      <c r="K79" s="36">
        <f>IF(E79&lt;&gt;"",E79,IF(AND(F79&lt;&gt;"",G79&lt;&gt;""),MOD(G79-F79,1)*24,""))</f>
        <v/>
      </c>
      <c r="L79" s="37">
        <f>IF(A79="","",CHOOSE(WEEKDAY(A79,2),"Montag","Dienstag","Mittwoch","Donnerstag","Freitag","Samstag","Sonntag"))</f>
        <v/>
      </c>
      <c r="M79" s="37">
        <f>IF(A79="","",_xlfn.ISOWEEKNUM(A79))</f>
        <v/>
      </c>
      <c r="N79" s="38">
        <f>IF(A79="","",DATE(YEAR(A79),MONTH(A79),1))</f>
        <v/>
      </c>
    </row>
    <row r="80">
      <c r="A80" s="31" t="n"/>
      <c r="B80" s="32" t="n"/>
      <c r="C80" s="32" t="n"/>
      <c r="D80" s="33" t="n"/>
      <c r="E80" s="34" t="n"/>
      <c r="F80" s="35" t="n"/>
      <c r="G80" s="35" t="n"/>
      <c r="H80" s="32" t="n"/>
      <c r="I80" s="32" t="n"/>
      <c r="J80" s="32" t="n"/>
      <c r="K80" s="36">
        <f>IF(E80&lt;&gt;"",E80,IF(AND(F80&lt;&gt;"",G80&lt;&gt;""),MOD(G80-F80,1)*24,""))</f>
        <v/>
      </c>
      <c r="L80" s="37">
        <f>IF(A80="","",CHOOSE(WEEKDAY(A80,2),"Montag","Dienstag","Mittwoch","Donnerstag","Freitag","Samstag","Sonntag"))</f>
        <v/>
      </c>
      <c r="M80" s="37">
        <f>IF(A80="","",_xlfn.ISOWEEKNUM(A80))</f>
        <v/>
      </c>
      <c r="N80" s="38">
        <f>IF(A80="","",DATE(YEAR(A80),MONTH(A80),1))</f>
        <v/>
      </c>
    </row>
    <row r="81">
      <c r="A81" s="31" t="n"/>
      <c r="B81" s="32" t="n"/>
      <c r="C81" s="32" t="n"/>
      <c r="D81" s="33" t="n"/>
      <c r="E81" s="34" t="n"/>
      <c r="F81" s="35" t="n"/>
      <c r="G81" s="35" t="n"/>
      <c r="H81" s="32" t="n"/>
      <c r="I81" s="32" t="n"/>
      <c r="J81" s="32" t="n"/>
      <c r="K81" s="36">
        <f>IF(E81&lt;&gt;"",E81,IF(AND(F81&lt;&gt;"",G81&lt;&gt;""),MOD(G81-F81,1)*24,""))</f>
        <v/>
      </c>
      <c r="L81" s="37">
        <f>IF(A81="","",CHOOSE(WEEKDAY(A81,2),"Montag","Dienstag","Mittwoch","Donnerstag","Freitag","Samstag","Sonntag"))</f>
        <v/>
      </c>
      <c r="M81" s="37">
        <f>IF(A81="","",_xlfn.ISOWEEKNUM(A81))</f>
        <v/>
      </c>
      <c r="N81" s="38">
        <f>IF(A81="","",DATE(YEAR(A81),MONTH(A81),1))</f>
        <v/>
      </c>
    </row>
    <row r="82">
      <c r="A82" s="31" t="n"/>
      <c r="B82" s="32" t="n"/>
      <c r="C82" s="32" t="n"/>
      <c r="D82" s="33" t="n"/>
      <c r="E82" s="34" t="n"/>
      <c r="F82" s="35" t="n"/>
      <c r="G82" s="35" t="n"/>
      <c r="H82" s="32" t="n"/>
      <c r="I82" s="32" t="n"/>
      <c r="J82" s="32" t="n"/>
      <c r="K82" s="36">
        <f>IF(E82&lt;&gt;"",E82,IF(AND(F82&lt;&gt;"",G82&lt;&gt;""),MOD(G82-F82,1)*24,""))</f>
        <v/>
      </c>
      <c r="L82" s="37">
        <f>IF(A82="","",CHOOSE(WEEKDAY(A82,2),"Montag","Dienstag","Mittwoch","Donnerstag","Freitag","Samstag","Sonntag"))</f>
        <v/>
      </c>
      <c r="M82" s="37">
        <f>IF(A82="","",_xlfn.ISOWEEKNUM(A82))</f>
        <v/>
      </c>
      <c r="N82" s="38">
        <f>IF(A82="","",DATE(YEAR(A82),MONTH(A82),1))</f>
        <v/>
      </c>
    </row>
    <row r="83">
      <c r="A83" s="31" t="n"/>
      <c r="B83" s="32" t="n"/>
      <c r="C83" s="32" t="n"/>
      <c r="D83" s="33" t="n"/>
      <c r="E83" s="34" t="n"/>
      <c r="F83" s="35" t="n"/>
      <c r="G83" s="35" t="n"/>
      <c r="H83" s="32" t="n"/>
      <c r="I83" s="32" t="n"/>
      <c r="J83" s="32" t="n"/>
      <c r="K83" s="36">
        <f>IF(E83&lt;&gt;"",E83,IF(AND(F83&lt;&gt;"",G83&lt;&gt;""),MOD(G83-F83,1)*24,""))</f>
        <v/>
      </c>
      <c r="L83" s="37">
        <f>IF(A83="","",CHOOSE(WEEKDAY(A83,2),"Montag","Dienstag","Mittwoch","Donnerstag","Freitag","Samstag","Sonntag"))</f>
        <v/>
      </c>
      <c r="M83" s="37">
        <f>IF(A83="","",_xlfn.ISOWEEKNUM(A83))</f>
        <v/>
      </c>
      <c r="N83" s="38">
        <f>IF(A83="","",DATE(YEAR(A83),MONTH(A83),1))</f>
        <v/>
      </c>
    </row>
    <row r="84">
      <c r="A84" s="31" t="n"/>
      <c r="B84" s="32" t="n"/>
      <c r="C84" s="32" t="n"/>
      <c r="D84" s="33" t="n"/>
      <c r="E84" s="34" t="n"/>
      <c r="F84" s="35" t="n"/>
      <c r="G84" s="35" t="n"/>
      <c r="H84" s="32" t="n"/>
      <c r="I84" s="32" t="n"/>
      <c r="J84" s="32" t="n"/>
      <c r="K84" s="36">
        <f>IF(E84&lt;&gt;"",E84,IF(AND(F84&lt;&gt;"",G84&lt;&gt;""),MOD(G84-F84,1)*24,""))</f>
        <v/>
      </c>
      <c r="L84" s="37">
        <f>IF(A84="","",CHOOSE(WEEKDAY(A84,2),"Montag","Dienstag","Mittwoch","Donnerstag","Freitag","Samstag","Sonntag"))</f>
        <v/>
      </c>
      <c r="M84" s="37">
        <f>IF(A84="","",_xlfn.ISOWEEKNUM(A84))</f>
        <v/>
      </c>
      <c r="N84" s="38">
        <f>IF(A84="","",DATE(YEAR(A84),MONTH(A84),1))</f>
        <v/>
      </c>
    </row>
    <row r="85">
      <c r="A85" s="31" t="n"/>
      <c r="B85" s="32" t="n"/>
      <c r="C85" s="32" t="n"/>
      <c r="D85" s="33" t="n"/>
      <c r="E85" s="34" t="n"/>
      <c r="F85" s="35" t="n"/>
      <c r="G85" s="35" t="n"/>
      <c r="H85" s="32" t="n"/>
      <c r="I85" s="32" t="n"/>
      <c r="J85" s="32" t="n"/>
      <c r="K85" s="36">
        <f>IF(E85&lt;&gt;"",E85,IF(AND(F85&lt;&gt;"",G85&lt;&gt;""),MOD(G85-F85,1)*24,""))</f>
        <v/>
      </c>
      <c r="L85" s="37">
        <f>IF(A85="","",CHOOSE(WEEKDAY(A85,2),"Montag","Dienstag","Mittwoch","Donnerstag","Freitag","Samstag","Sonntag"))</f>
        <v/>
      </c>
      <c r="M85" s="37">
        <f>IF(A85="","",_xlfn.ISOWEEKNUM(A85))</f>
        <v/>
      </c>
      <c r="N85" s="38">
        <f>IF(A85="","",DATE(YEAR(A85),MONTH(A85),1))</f>
        <v/>
      </c>
    </row>
    <row r="86">
      <c r="A86" s="31" t="n"/>
      <c r="B86" s="32" t="n"/>
      <c r="C86" s="32" t="n"/>
      <c r="D86" s="33" t="n"/>
      <c r="E86" s="34" t="n"/>
      <c r="F86" s="35" t="n"/>
      <c r="G86" s="35" t="n"/>
      <c r="H86" s="32" t="n"/>
      <c r="I86" s="32" t="n"/>
      <c r="J86" s="32" t="n"/>
      <c r="K86" s="36">
        <f>IF(E86&lt;&gt;"",E86,IF(AND(F86&lt;&gt;"",G86&lt;&gt;""),MOD(G86-F86,1)*24,""))</f>
        <v/>
      </c>
      <c r="L86" s="37">
        <f>IF(A86="","",CHOOSE(WEEKDAY(A86,2),"Montag","Dienstag","Mittwoch","Donnerstag","Freitag","Samstag","Sonntag"))</f>
        <v/>
      </c>
      <c r="M86" s="37">
        <f>IF(A86="","",_xlfn.ISOWEEKNUM(A86))</f>
        <v/>
      </c>
      <c r="N86" s="38">
        <f>IF(A86="","",DATE(YEAR(A86),MONTH(A86),1))</f>
        <v/>
      </c>
    </row>
    <row r="87">
      <c r="A87" s="31" t="n"/>
      <c r="B87" s="32" t="n"/>
      <c r="C87" s="32" t="n"/>
      <c r="D87" s="33" t="n"/>
      <c r="E87" s="34" t="n"/>
      <c r="F87" s="35" t="n"/>
      <c r="G87" s="35" t="n"/>
      <c r="H87" s="32" t="n"/>
      <c r="I87" s="32" t="n"/>
      <c r="J87" s="32" t="n"/>
      <c r="K87" s="36">
        <f>IF(E87&lt;&gt;"",E87,IF(AND(F87&lt;&gt;"",G87&lt;&gt;""),MOD(G87-F87,1)*24,""))</f>
        <v/>
      </c>
      <c r="L87" s="37">
        <f>IF(A87="","",CHOOSE(WEEKDAY(A87,2),"Montag","Dienstag","Mittwoch","Donnerstag","Freitag","Samstag","Sonntag"))</f>
        <v/>
      </c>
      <c r="M87" s="37">
        <f>IF(A87="","",_xlfn.ISOWEEKNUM(A87))</f>
        <v/>
      </c>
      <c r="N87" s="38">
        <f>IF(A87="","",DATE(YEAR(A87),MONTH(A87),1))</f>
        <v/>
      </c>
    </row>
    <row r="88">
      <c r="A88" s="31" t="n"/>
      <c r="B88" s="32" t="n"/>
      <c r="C88" s="32" t="n"/>
      <c r="D88" s="33" t="n"/>
      <c r="E88" s="34" t="n"/>
      <c r="F88" s="35" t="n"/>
      <c r="G88" s="35" t="n"/>
      <c r="H88" s="32" t="n"/>
      <c r="I88" s="32" t="n"/>
      <c r="J88" s="32" t="n"/>
      <c r="K88" s="36">
        <f>IF(E88&lt;&gt;"",E88,IF(AND(F88&lt;&gt;"",G88&lt;&gt;""),MOD(G88-F88,1)*24,""))</f>
        <v/>
      </c>
      <c r="L88" s="37">
        <f>IF(A88="","",CHOOSE(WEEKDAY(A88,2),"Montag","Dienstag","Mittwoch","Donnerstag","Freitag","Samstag","Sonntag"))</f>
        <v/>
      </c>
      <c r="M88" s="37">
        <f>IF(A88="","",_xlfn.ISOWEEKNUM(A88))</f>
        <v/>
      </c>
      <c r="N88" s="38">
        <f>IF(A88="","",DATE(YEAR(A88),MONTH(A88),1))</f>
        <v/>
      </c>
    </row>
    <row r="89">
      <c r="A89" s="31" t="n"/>
      <c r="B89" s="32" t="n"/>
      <c r="C89" s="32" t="n"/>
      <c r="D89" s="33" t="n"/>
      <c r="E89" s="34" t="n"/>
      <c r="F89" s="35" t="n"/>
      <c r="G89" s="35" t="n"/>
      <c r="H89" s="32" t="n"/>
      <c r="I89" s="32" t="n"/>
      <c r="J89" s="32" t="n"/>
      <c r="K89" s="36">
        <f>IF(E89&lt;&gt;"",E89,IF(AND(F89&lt;&gt;"",G89&lt;&gt;""),MOD(G89-F89,1)*24,""))</f>
        <v/>
      </c>
      <c r="L89" s="37">
        <f>IF(A89="","",CHOOSE(WEEKDAY(A89,2),"Montag","Dienstag","Mittwoch","Donnerstag","Freitag","Samstag","Sonntag"))</f>
        <v/>
      </c>
      <c r="M89" s="37">
        <f>IF(A89="","",_xlfn.ISOWEEKNUM(A89))</f>
        <v/>
      </c>
      <c r="N89" s="38">
        <f>IF(A89="","",DATE(YEAR(A89),MONTH(A89),1))</f>
        <v/>
      </c>
    </row>
    <row r="90">
      <c r="A90" s="31" t="n"/>
      <c r="B90" s="32" t="n"/>
      <c r="C90" s="32" t="n"/>
      <c r="D90" s="33" t="n"/>
      <c r="E90" s="34" t="n"/>
      <c r="F90" s="35" t="n"/>
      <c r="G90" s="35" t="n"/>
      <c r="H90" s="32" t="n"/>
      <c r="I90" s="32" t="n"/>
      <c r="J90" s="32" t="n"/>
      <c r="K90" s="36">
        <f>IF(E90&lt;&gt;"",E90,IF(AND(F90&lt;&gt;"",G90&lt;&gt;""),MOD(G90-F90,1)*24,""))</f>
        <v/>
      </c>
      <c r="L90" s="37">
        <f>IF(A90="","",CHOOSE(WEEKDAY(A90,2),"Montag","Dienstag","Mittwoch","Donnerstag","Freitag","Samstag","Sonntag"))</f>
        <v/>
      </c>
      <c r="M90" s="37">
        <f>IF(A90="","",_xlfn.ISOWEEKNUM(A90))</f>
        <v/>
      </c>
      <c r="N90" s="38">
        <f>IF(A90="","",DATE(YEAR(A90),MONTH(A90),1))</f>
        <v/>
      </c>
    </row>
    <row r="91">
      <c r="A91" s="31" t="n"/>
      <c r="B91" s="32" t="n"/>
      <c r="C91" s="32" t="n"/>
      <c r="D91" s="33" t="n"/>
      <c r="E91" s="34" t="n"/>
      <c r="F91" s="35" t="n"/>
      <c r="G91" s="35" t="n"/>
      <c r="H91" s="32" t="n"/>
      <c r="I91" s="32" t="n"/>
      <c r="J91" s="32" t="n"/>
      <c r="K91" s="36">
        <f>IF(E91&lt;&gt;"",E91,IF(AND(F91&lt;&gt;"",G91&lt;&gt;""),MOD(G91-F91,1)*24,""))</f>
        <v/>
      </c>
      <c r="L91" s="37">
        <f>IF(A91="","",CHOOSE(WEEKDAY(A91,2),"Montag","Dienstag","Mittwoch","Donnerstag","Freitag","Samstag","Sonntag"))</f>
        <v/>
      </c>
      <c r="M91" s="37">
        <f>IF(A91="","",_xlfn.ISOWEEKNUM(A91))</f>
        <v/>
      </c>
      <c r="N91" s="38">
        <f>IF(A91="","",DATE(YEAR(A91),MONTH(A91),1))</f>
        <v/>
      </c>
    </row>
    <row r="92">
      <c r="A92" s="31" t="n"/>
      <c r="B92" s="32" t="n"/>
      <c r="C92" s="32" t="n"/>
      <c r="D92" s="33" t="n"/>
      <c r="E92" s="34" t="n"/>
      <c r="F92" s="35" t="n"/>
      <c r="G92" s="35" t="n"/>
      <c r="H92" s="32" t="n"/>
      <c r="I92" s="32" t="n"/>
      <c r="J92" s="32" t="n"/>
      <c r="K92" s="36">
        <f>IF(E92&lt;&gt;"",E92,IF(AND(F92&lt;&gt;"",G92&lt;&gt;""),MOD(G92-F92,1)*24,""))</f>
        <v/>
      </c>
      <c r="L92" s="37">
        <f>IF(A92="","",CHOOSE(WEEKDAY(A92,2),"Montag","Dienstag","Mittwoch","Donnerstag","Freitag","Samstag","Sonntag"))</f>
        <v/>
      </c>
      <c r="M92" s="37">
        <f>IF(A92="","",_xlfn.ISOWEEKNUM(A92))</f>
        <v/>
      </c>
      <c r="N92" s="38">
        <f>IF(A92="","",DATE(YEAR(A92),MONTH(A92),1))</f>
        <v/>
      </c>
    </row>
    <row r="93">
      <c r="A93" s="31" t="n"/>
      <c r="B93" s="32" t="n"/>
      <c r="C93" s="32" t="n"/>
      <c r="D93" s="33" t="n"/>
      <c r="E93" s="34" t="n"/>
      <c r="F93" s="35" t="n"/>
      <c r="G93" s="35" t="n"/>
      <c r="H93" s="32" t="n"/>
      <c r="I93" s="32" t="n"/>
      <c r="J93" s="32" t="n"/>
      <c r="K93" s="36">
        <f>IF(E93&lt;&gt;"",E93,IF(AND(F93&lt;&gt;"",G93&lt;&gt;""),MOD(G93-F93,1)*24,""))</f>
        <v/>
      </c>
      <c r="L93" s="37">
        <f>IF(A93="","",CHOOSE(WEEKDAY(A93,2),"Montag","Dienstag","Mittwoch","Donnerstag","Freitag","Samstag","Sonntag"))</f>
        <v/>
      </c>
      <c r="M93" s="37">
        <f>IF(A93="","",_xlfn.ISOWEEKNUM(A93))</f>
        <v/>
      </c>
      <c r="N93" s="38">
        <f>IF(A93="","",DATE(YEAR(A93),MONTH(A93),1))</f>
        <v/>
      </c>
    </row>
    <row r="94">
      <c r="A94" s="31" t="n"/>
      <c r="B94" s="32" t="n"/>
      <c r="C94" s="32" t="n"/>
      <c r="D94" s="33" t="n"/>
      <c r="E94" s="34" t="n"/>
      <c r="F94" s="35" t="n"/>
      <c r="G94" s="35" t="n"/>
      <c r="H94" s="32" t="n"/>
      <c r="I94" s="32" t="n"/>
      <c r="J94" s="32" t="n"/>
      <c r="K94" s="36">
        <f>IF(E94&lt;&gt;"",E94,IF(AND(F94&lt;&gt;"",G94&lt;&gt;""),MOD(G94-F94,1)*24,""))</f>
        <v/>
      </c>
      <c r="L94" s="37">
        <f>IF(A94="","",CHOOSE(WEEKDAY(A94,2),"Montag","Dienstag","Mittwoch","Donnerstag","Freitag","Samstag","Sonntag"))</f>
        <v/>
      </c>
      <c r="M94" s="37">
        <f>IF(A94="","",_xlfn.ISOWEEKNUM(A94))</f>
        <v/>
      </c>
      <c r="N94" s="38">
        <f>IF(A94="","",DATE(YEAR(A94),MONTH(A94),1))</f>
        <v/>
      </c>
    </row>
    <row r="95">
      <c r="A95" s="31" t="n"/>
      <c r="B95" s="32" t="n"/>
      <c r="C95" s="32" t="n"/>
      <c r="D95" s="33" t="n"/>
      <c r="E95" s="34" t="n"/>
      <c r="F95" s="35" t="n"/>
      <c r="G95" s="35" t="n"/>
      <c r="H95" s="32" t="n"/>
      <c r="I95" s="32" t="n"/>
      <c r="J95" s="32" t="n"/>
      <c r="K95" s="36">
        <f>IF(E95&lt;&gt;"",E95,IF(AND(F95&lt;&gt;"",G95&lt;&gt;""),MOD(G95-F95,1)*24,""))</f>
        <v/>
      </c>
      <c r="L95" s="37">
        <f>IF(A95="","",CHOOSE(WEEKDAY(A95,2),"Montag","Dienstag","Mittwoch","Donnerstag","Freitag","Samstag","Sonntag"))</f>
        <v/>
      </c>
      <c r="M95" s="37">
        <f>IF(A95="","",_xlfn.ISOWEEKNUM(A95))</f>
        <v/>
      </c>
      <c r="N95" s="38">
        <f>IF(A95="","",DATE(YEAR(A95),MONTH(A95),1))</f>
        <v/>
      </c>
    </row>
    <row r="96">
      <c r="A96" s="31" t="n"/>
      <c r="B96" s="32" t="n"/>
      <c r="C96" s="32" t="n"/>
      <c r="D96" s="33" t="n"/>
      <c r="E96" s="34" t="n"/>
      <c r="F96" s="35" t="n"/>
      <c r="G96" s="35" t="n"/>
      <c r="H96" s="32" t="n"/>
      <c r="I96" s="32" t="n"/>
      <c r="J96" s="32" t="n"/>
      <c r="K96" s="36">
        <f>IF(E96&lt;&gt;"",E96,IF(AND(F96&lt;&gt;"",G96&lt;&gt;""),MOD(G96-F96,1)*24,""))</f>
        <v/>
      </c>
      <c r="L96" s="37">
        <f>IF(A96="","",CHOOSE(WEEKDAY(A96,2),"Montag","Dienstag","Mittwoch","Donnerstag","Freitag","Samstag","Sonntag"))</f>
        <v/>
      </c>
      <c r="M96" s="37">
        <f>IF(A96="","",_xlfn.ISOWEEKNUM(A96))</f>
        <v/>
      </c>
      <c r="N96" s="38">
        <f>IF(A96="","",DATE(YEAR(A96),MONTH(A96),1))</f>
        <v/>
      </c>
    </row>
    <row r="97">
      <c r="A97" s="31" t="n"/>
      <c r="B97" s="32" t="n"/>
      <c r="C97" s="32" t="n"/>
      <c r="D97" s="33" t="n"/>
      <c r="E97" s="34" t="n"/>
      <c r="F97" s="35" t="n"/>
      <c r="G97" s="35" t="n"/>
      <c r="H97" s="32" t="n"/>
      <c r="I97" s="32" t="n"/>
      <c r="J97" s="32" t="n"/>
      <c r="K97" s="36">
        <f>IF(E97&lt;&gt;"",E97,IF(AND(F97&lt;&gt;"",G97&lt;&gt;""),MOD(G97-F97,1)*24,""))</f>
        <v/>
      </c>
      <c r="L97" s="37">
        <f>IF(A97="","",CHOOSE(WEEKDAY(A97,2),"Montag","Dienstag","Mittwoch","Donnerstag","Freitag","Samstag","Sonntag"))</f>
        <v/>
      </c>
      <c r="M97" s="37">
        <f>IF(A97="","",_xlfn.ISOWEEKNUM(A97))</f>
        <v/>
      </c>
      <c r="N97" s="38">
        <f>IF(A97="","",DATE(YEAR(A97),MONTH(A97),1))</f>
        <v/>
      </c>
    </row>
    <row r="98">
      <c r="A98" s="31" t="n"/>
      <c r="B98" s="32" t="n"/>
      <c r="C98" s="32" t="n"/>
      <c r="D98" s="33" t="n"/>
      <c r="E98" s="34" t="n"/>
      <c r="F98" s="35" t="n"/>
      <c r="G98" s="35" t="n"/>
      <c r="H98" s="32" t="n"/>
      <c r="I98" s="32" t="n"/>
      <c r="J98" s="32" t="n"/>
      <c r="K98" s="36">
        <f>IF(E98&lt;&gt;"",E98,IF(AND(F98&lt;&gt;"",G98&lt;&gt;""),MOD(G98-F98,1)*24,""))</f>
        <v/>
      </c>
      <c r="L98" s="37">
        <f>IF(A98="","",CHOOSE(WEEKDAY(A98,2),"Montag","Dienstag","Mittwoch","Donnerstag","Freitag","Samstag","Sonntag"))</f>
        <v/>
      </c>
      <c r="M98" s="37">
        <f>IF(A98="","",_xlfn.ISOWEEKNUM(A98))</f>
        <v/>
      </c>
      <c r="N98" s="38">
        <f>IF(A98="","",DATE(YEAR(A98),MONTH(A98),1))</f>
        <v/>
      </c>
    </row>
    <row r="99">
      <c r="A99" s="31" t="n"/>
      <c r="B99" s="32" t="n"/>
      <c r="C99" s="32" t="n"/>
      <c r="D99" s="33" t="n"/>
      <c r="E99" s="34" t="n"/>
      <c r="F99" s="35" t="n"/>
      <c r="G99" s="35" t="n"/>
      <c r="H99" s="32" t="n"/>
      <c r="I99" s="32" t="n"/>
      <c r="J99" s="32" t="n"/>
      <c r="K99" s="36">
        <f>IF(E99&lt;&gt;"",E99,IF(AND(F99&lt;&gt;"",G99&lt;&gt;""),MOD(G99-F99,1)*24,""))</f>
        <v/>
      </c>
      <c r="L99" s="37">
        <f>IF(A99="","",CHOOSE(WEEKDAY(A99,2),"Montag","Dienstag","Mittwoch","Donnerstag","Freitag","Samstag","Sonntag"))</f>
        <v/>
      </c>
      <c r="M99" s="37">
        <f>IF(A99="","",_xlfn.ISOWEEKNUM(A99))</f>
        <v/>
      </c>
      <c r="N99" s="38">
        <f>IF(A99="","",DATE(YEAR(A99),MONTH(A99),1))</f>
        <v/>
      </c>
    </row>
    <row r="100">
      <c r="A100" s="31" t="n"/>
      <c r="B100" s="32" t="n"/>
      <c r="C100" s="32" t="n"/>
      <c r="D100" s="33" t="n"/>
      <c r="E100" s="34" t="n"/>
      <c r="F100" s="35" t="n"/>
      <c r="G100" s="35" t="n"/>
      <c r="H100" s="32" t="n"/>
      <c r="I100" s="32" t="n"/>
      <c r="J100" s="32" t="n"/>
      <c r="K100" s="36">
        <f>IF(E100&lt;&gt;"",E100,IF(AND(F100&lt;&gt;"",G100&lt;&gt;""),MOD(G100-F100,1)*24,""))</f>
        <v/>
      </c>
      <c r="L100" s="37">
        <f>IF(A100="","",CHOOSE(WEEKDAY(A100,2),"Montag","Dienstag","Mittwoch","Donnerstag","Freitag","Samstag","Sonntag"))</f>
        <v/>
      </c>
      <c r="M100" s="37">
        <f>IF(A100="","",_xlfn.ISOWEEKNUM(A100))</f>
        <v/>
      </c>
      <c r="N100" s="38">
        <f>IF(A100="","",DATE(YEAR(A100),MONTH(A100),1))</f>
        <v/>
      </c>
    </row>
    <row r="101">
      <c r="A101" s="31" t="n"/>
      <c r="B101" s="32" t="n"/>
      <c r="C101" s="32" t="n"/>
      <c r="D101" s="33" t="n"/>
      <c r="E101" s="34" t="n"/>
      <c r="F101" s="35" t="n"/>
      <c r="G101" s="35" t="n"/>
      <c r="H101" s="32" t="n"/>
      <c r="I101" s="32" t="n"/>
      <c r="J101" s="32" t="n"/>
      <c r="K101" s="36">
        <f>IF(E101&lt;&gt;"",E101,IF(AND(F101&lt;&gt;"",G101&lt;&gt;""),MOD(G101-F101,1)*24,""))</f>
        <v/>
      </c>
      <c r="L101" s="37">
        <f>IF(A101="","",CHOOSE(WEEKDAY(A101,2),"Montag","Dienstag","Mittwoch","Donnerstag","Freitag","Samstag","Sonntag"))</f>
        <v/>
      </c>
      <c r="M101" s="37">
        <f>IF(A101="","",_xlfn.ISOWEEKNUM(A101))</f>
        <v/>
      </c>
      <c r="N101" s="38">
        <f>IF(A101="","",DATE(YEAR(A101),MONTH(A101),1))</f>
        <v/>
      </c>
    </row>
    <row r="102">
      <c r="A102" s="31" t="n"/>
      <c r="B102" s="32" t="n"/>
      <c r="C102" s="32" t="n"/>
      <c r="D102" s="33" t="n"/>
      <c r="E102" s="34" t="n"/>
      <c r="F102" s="35" t="n"/>
      <c r="G102" s="35" t="n"/>
      <c r="H102" s="32" t="n"/>
      <c r="I102" s="32" t="n"/>
      <c r="J102" s="32" t="n"/>
      <c r="K102" s="36">
        <f>IF(E102&lt;&gt;"",E102,IF(AND(F102&lt;&gt;"",G102&lt;&gt;""),MOD(G102-F102,1)*24,""))</f>
        <v/>
      </c>
      <c r="L102" s="37">
        <f>IF(A102="","",CHOOSE(WEEKDAY(A102,2),"Montag","Dienstag","Mittwoch","Donnerstag","Freitag","Samstag","Sonntag"))</f>
        <v/>
      </c>
      <c r="M102" s="37">
        <f>IF(A102="","",_xlfn.ISOWEEKNUM(A102))</f>
        <v/>
      </c>
      <c r="N102" s="38">
        <f>IF(A102="","",DATE(YEAR(A102),MONTH(A102),1))</f>
        <v/>
      </c>
    </row>
    <row r="103">
      <c r="A103" s="31" t="n"/>
      <c r="B103" s="32" t="n"/>
      <c r="C103" s="32" t="n"/>
      <c r="D103" s="33" t="n"/>
      <c r="E103" s="34" t="n"/>
      <c r="F103" s="35" t="n"/>
      <c r="G103" s="35" t="n"/>
      <c r="H103" s="32" t="n"/>
      <c r="I103" s="32" t="n"/>
      <c r="J103" s="32" t="n"/>
      <c r="K103" s="36">
        <f>IF(E103&lt;&gt;"",E103,IF(AND(F103&lt;&gt;"",G103&lt;&gt;""),MOD(G103-F103,1)*24,""))</f>
        <v/>
      </c>
      <c r="L103" s="37">
        <f>IF(A103="","",CHOOSE(WEEKDAY(A103,2),"Montag","Dienstag","Mittwoch","Donnerstag","Freitag","Samstag","Sonntag"))</f>
        <v/>
      </c>
      <c r="M103" s="37">
        <f>IF(A103="","",_xlfn.ISOWEEKNUM(A103))</f>
        <v/>
      </c>
      <c r="N103" s="38">
        <f>IF(A103="","",DATE(YEAR(A103),MONTH(A103),1))</f>
        <v/>
      </c>
    </row>
    <row r="104">
      <c r="A104" s="31" t="n"/>
      <c r="B104" s="32" t="n"/>
      <c r="C104" s="32" t="n"/>
      <c r="D104" s="33" t="n"/>
      <c r="E104" s="34" t="n"/>
      <c r="F104" s="35" t="n"/>
      <c r="G104" s="35" t="n"/>
      <c r="H104" s="32" t="n"/>
      <c r="I104" s="32" t="n"/>
      <c r="J104" s="32" t="n"/>
      <c r="K104" s="36">
        <f>IF(E104&lt;&gt;"",E104,IF(AND(F104&lt;&gt;"",G104&lt;&gt;""),MOD(G104-F104,1)*24,""))</f>
        <v/>
      </c>
      <c r="L104" s="37">
        <f>IF(A104="","",CHOOSE(WEEKDAY(A104,2),"Montag","Dienstag","Mittwoch","Donnerstag","Freitag","Samstag","Sonntag"))</f>
        <v/>
      </c>
      <c r="M104" s="37">
        <f>IF(A104="","",_xlfn.ISOWEEKNUM(A104))</f>
        <v/>
      </c>
      <c r="N104" s="38">
        <f>IF(A104="","",DATE(YEAR(A104),MONTH(A104),1))</f>
        <v/>
      </c>
    </row>
    <row r="105">
      <c r="A105" s="31" t="n"/>
      <c r="B105" s="32" t="n"/>
      <c r="C105" s="32" t="n"/>
      <c r="D105" s="33" t="n"/>
      <c r="E105" s="34" t="n"/>
      <c r="F105" s="35" t="n"/>
      <c r="G105" s="35" t="n"/>
      <c r="H105" s="32" t="n"/>
      <c r="I105" s="32" t="n"/>
      <c r="J105" s="32" t="n"/>
      <c r="K105" s="36">
        <f>IF(E105&lt;&gt;"",E105,IF(AND(F105&lt;&gt;"",G105&lt;&gt;""),MOD(G105-F105,1)*24,""))</f>
        <v/>
      </c>
      <c r="L105" s="37">
        <f>IF(A105="","",CHOOSE(WEEKDAY(A105,2),"Montag","Dienstag","Mittwoch","Donnerstag","Freitag","Samstag","Sonntag"))</f>
        <v/>
      </c>
      <c r="M105" s="37">
        <f>IF(A105="","",_xlfn.ISOWEEKNUM(A105))</f>
        <v/>
      </c>
      <c r="N105" s="38">
        <f>IF(A105="","",DATE(YEAR(A105),MONTH(A105),1))</f>
        <v/>
      </c>
    </row>
    <row r="106">
      <c r="A106" s="31" t="n"/>
      <c r="B106" s="32" t="n"/>
      <c r="C106" s="32" t="n"/>
      <c r="D106" s="33" t="n"/>
      <c r="E106" s="34" t="n"/>
      <c r="F106" s="35" t="n"/>
      <c r="G106" s="35" t="n"/>
      <c r="H106" s="32" t="n"/>
      <c r="I106" s="32" t="n"/>
      <c r="J106" s="32" t="n"/>
      <c r="K106" s="36">
        <f>IF(E106&lt;&gt;"",E106,IF(AND(F106&lt;&gt;"",G106&lt;&gt;""),MOD(G106-F106,1)*24,""))</f>
        <v/>
      </c>
      <c r="L106" s="37">
        <f>IF(A106="","",CHOOSE(WEEKDAY(A106,2),"Montag","Dienstag","Mittwoch","Donnerstag","Freitag","Samstag","Sonntag"))</f>
        <v/>
      </c>
      <c r="M106" s="37">
        <f>IF(A106="","",_xlfn.ISOWEEKNUM(A106))</f>
        <v/>
      </c>
      <c r="N106" s="38">
        <f>IF(A106="","",DATE(YEAR(A106),MONTH(A106),1))</f>
        <v/>
      </c>
    </row>
    <row r="107">
      <c r="A107" s="31" t="n"/>
      <c r="B107" s="32" t="n"/>
      <c r="C107" s="32" t="n"/>
      <c r="D107" s="33" t="n"/>
      <c r="E107" s="34" t="n"/>
      <c r="F107" s="35" t="n"/>
      <c r="G107" s="35" t="n"/>
      <c r="H107" s="32" t="n"/>
      <c r="I107" s="32" t="n"/>
      <c r="J107" s="32" t="n"/>
      <c r="K107" s="36">
        <f>IF(E107&lt;&gt;"",E107,IF(AND(F107&lt;&gt;"",G107&lt;&gt;""),MOD(G107-F107,1)*24,""))</f>
        <v/>
      </c>
      <c r="L107" s="37">
        <f>IF(A107="","",CHOOSE(WEEKDAY(A107,2),"Montag","Dienstag","Mittwoch","Donnerstag","Freitag","Samstag","Sonntag"))</f>
        <v/>
      </c>
      <c r="M107" s="37">
        <f>IF(A107="","",_xlfn.ISOWEEKNUM(A107))</f>
        <v/>
      </c>
      <c r="N107" s="38">
        <f>IF(A107="","",DATE(YEAR(A107),MONTH(A107),1))</f>
        <v/>
      </c>
    </row>
    <row r="108">
      <c r="A108" s="31" t="n"/>
      <c r="B108" s="32" t="n"/>
      <c r="C108" s="32" t="n"/>
      <c r="D108" s="33" t="n"/>
      <c r="E108" s="34" t="n"/>
      <c r="F108" s="35" t="n"/>
      <c r="G108" s="35" t="n"/>
      <c r="H108" s="32" t="n"/>
      <c r="I108" s="32" t="n"/>
      <c r="J108" s="32" t="n"/>
      <c r="K108" s="36">
        <f>IF(E108&lt;&gt;"",E108,IF(AND(F108&lt;&gt;"",G108&lt;&gt;""),MOD(G108-F108,1)*24,""))</f>
        <v/>
      </c>
      <c r="L108" s="37">
        <f>IF(A108="","",CHOOSE(WEEKDAY(A108,2),"Montag","Dienstag","Mittwoch","Donnerstag","Freitag","Samstag","Sonntag"))</f>
        <v/>
      </c>
      <c r="M108" s="37">
        <f>IF(A108="","",_xlfn.ISOWEEKNUM(A108))</f>
        <v/>
      </c>
      <c r="N108" s="38">
        <f>IF(A108="","",DATE(YEAR(A108),MONTH(A108),1))</f>
        <v/>
      </c>
    </row>
    <row r="109">
      <c r="A109" s="31" t="n"/>
      <c r="B109" s="32" t="n"/>
      <c r="C109" s="32" t="n"/>
      <c r="D109" s="33" t="n"/>
      <c r="E109" s="34" t="n"/>
      <c r="F109" s="35" t="n"/>
      <c r="G109" s="35" t="n"/>
      <c r="H109" s="32" t="n"/>
      <c r="I109" s="32" t="n"/>
      <c r="J109" s="32" t="n"/>
      <c r="K109" s="36">
        <f>IF(E109&lt;&gt;"",E109,IF(AND(F109&lt;&gt;"",G109&lt;&gt;""),MOD(G109-F109,1)*24,""))</f>
        <v/>
      </c>
      <c r="L109" s="37">
        <f>IF(A109="","",CHOOSE(WEEKDAY(A109,2),"Montag","Dienstag","Mittwoch","Donnerstag","Freitag","Samstag","Sonntag"))</f>
        <v/>
      </c>
      <c r="M109" s="37">
        <f>IF(A109="","",_xlfn.ISOWEEKNUM(A109))</f>
        <v/>
      </c>
      <c r="N109" s="38">
        <f>IF(A109="","",DATE(YEAR(A109),MONTH(A109),1))</f>
        <v/>
      </c>
    </row>
    <row r="110">
      <c r="A110" s="31" t="n"/>
      <c r="B110" s="32" t="n"/>
      <c r="C110" s="32" t="n"/>
      <c r="D110" s="33" t="n"/>
      <c r="E110" s="34" t="n"/>
      <c r="F110" s="35" t="n"/>
      <c r="G110" s="35" t="n"/>
      <c r="H110" s="32" t="n"/>
      <c r="I110" s="32" t="n"/>
      <c r="J110" s="32" t="n"/>
      <c r="K110" s="36">
        <f>IF(E110&lt;&gt;"",E110,IF(AND(F110&lt;&gt;"",G110&lt;&gt;""),MOD(G110-F110,1)*24,""))</f>
        <v/>
      </c>
      <c r="L110" s="37">
        <f>IF(A110="","",CHOOSE(WEEKDAY(A110,2),"Montag","Dienstag","Mittwoch","Donnerstag","Freitag","Samstag","Sonntag"))</f>
        <v/>
      </c>
      <c r="M110" s="37">
        <f>IF(A110="","",_xlfn.ISOWEEKNUM(A110))</f>
        <v/>
      </c>
      <c r="N110" s="38">
        <f>IF(A110="","",DATE(YEAR(A110),MONTH(A110),1))</f>
        <v/>
      </c>
    </row>
    <row r="111">
      <c r="A111" s="31" t="n"/>
      <c r="B111" s="32" t="n"/>
      <c r="C111" s="32" t="n"/>
      <c r="D111" s="33" t="n"/>
      <c r="E111" s="34" t="n"/>
      <c r="F111" s="35" t="n"/>
      <c r="G111" s="35" t="n"/>
      <c r="H111" s="32" t="n"/>
      <c r="I111" s="32" t="n"/>
      <c r="J111" s="32" t="n"/>
      <c r="K111" s="36">
        <f>IF(E111&lt;&gt;"",E111,IF(AND(F111&lt;&gt;"",G111&lt;&gt;""),MOD(G111-F111,1)*24,""))</f>
        <v/>
      </c>
      <c r="L111" s="37">
        <f>IF(A111="","",CHOOSE(WEEKDAY(A111,2),"Montag","Dienstag","Mittwoch","Donnerstag","Freitag","Samstag","Sonntag"))</f>
        <v/>
      </c>
      <c r="M111" s="37">
        <f>IF(A111="","",_xlfn.ISOWEEKNUM(A111))</f>
        <v/>
      </c>
      <c r="N111" s="38">
        <f>IF(A111="","",DATE(YEAR(A111),MONTH(A111),1))</f>
        <v/>
      </c>
    </row>
    <row r="112">
      <c r="A112" s="31" t="n"/>
      <c r="B112" s="32" t="n"/>
      <c r="C112" s="32" t="n"/>
      <c r="D112" s="33" t="n"/>
      <c r="E112" s="34" t="n"/>
      <c r="F112" s="35" t="n"/>
      <c r="G112" s="35" t="n"/>
      <c r="H112" s="32" t="n"/>
      <c r="I112" s="32" t="n"/>
      <c r="J112" s="32" t="n"/>
      <c r="K112" s="36">
        <f>IF(E112&lt;&gt;"",E112,IF(AND(F112&lt;&gt;"",G112&lt;&gt;""),MOD(G112-F112,1)*24,""))</f>
        <v/>
      </c>
      <c r="L112" s="37">
        <f>IF(A112="","",CHOOSE(WEEKDAY(A112,2),"Montag","Dienstag","Mittwoch","Donnerstag","Freitag","Samstag","Sonntag"))</f>
        <v/>
      </c>
      <c r="M112" s="37">
        <f>IF(A112="","",_xlfn.ISOWEEKNUM(A112))</f>
        <v/>
      </c>
      <c r="N112" s="38">
        <f>IF(A112="","",DATE(YEAR(A112),MONTH(A112),1))</f>
        <v/>
      </c>
    </row>
    <row r="113">
      <c r="A113" s="31" t="n"/>
      <c r="B113" s="32" t="n"/>
      <c r="C113" s="32" t="n"/>
      <c r="D113" s="33" t="n"/>
      <c r="E113" s="34" t="n"/>
      <c r="F113" s="35" t="n"/>
      <c r="G113" s="35" t="n"/>
      <c r="H113" s="32" t="n"/>
      <c r="I113" s="32" t="n"/>
      <c r="J113" s="32" t="n"/>
      <c r="K113" s="36">
        <f>IF(E113&lt;&gt;"",E113,IF(AND(F113&lt;&gt;"",G113&lt;&gt;""),MOD(G113-F113,1)*24,""))</f>
        <v/>
      </c>
      <c r="L113" s="37">
        <f>IF(A113="","",CHOOSE(WEEKDAY(A113,2),"Montag","Dienstag","Mittwoch","Donnerstag","Freitag","Samstag","Sonntag"))</f>
        <v/>
      </c>
      <c r="M113" s="37">
        <f>IF(A113="","",_xlfn.ISOWEEKNUM(A113))</f>
        <v/>
      </c>
      <c r="N113" s="38">
        <f>IF(A113="","",DATE(YEAR(A113),MONTH(A113),1))</f>
        <v/>
      </c>
    </row>
    <row r="114">
      <c r="A114" s="31" t="n"/>
      <c r="B114" s="32" t="n"/>
      <c r="C114" s="32" t="n"/>
      <c r="D114" s="33" t="n"/>
      <c r="E114" s="34" t="n"/>
      <c r="F114" s="35" t="n"/>
      <c r="G114" s="35" t="n"/>
      <c r="H114" s="32" t="n"/>
      <c r="I114" s="32" t="n"/>
      <c r="J114" s="32" t="n"/>
      <c r="K114" s="36">
        <f>IF(E114&lt;&gt;"",E114,IF(AND(F114&lt;&gt;"",G114&lt;&gt;""),MOD(G114-F114,1)*24,""))</f>
        <v/>
      </c>
      <c r="L114" s="37">
        <f>IF(A114="","",CHOOSE(WEEKDAY(A114,2),"Montag","Dienstag","Mittwoch","Donnerstag","Freitag","Samstag","Sonntag"))</f>
        <v/>
      </c>
      <c r="M114" s="37">
        <f>IF(A114="","",_xlfn.ISOWEEKNUM(A114))</f>
        <v/>
      </c>
      <c r="N114" s="38">
        <f>IF(A114="","",DATE(YEAR(A114),MONTH(A114),1))</f>
        <v/>
      </c>
    </row>
    <row r="115">
      <c r="A115" s="31" t="n"/>
      <c r="B115" s="32" t="n"/>
      <c r="C115" s="32" t="n"/>
      <c r="D115" s="33" t="n"/>
      <c r="E115" s="34" t="n"/>
      <c r="F115" s="35" t="n"/>
      <c r="G115" s="35" t="n"/>
      <c r="H115" s="32" t="n"/>
      <c r="I115" s="32" t="n"/>
      <c r="J115" s="32" t="n"/>
      <c r="K115" s="36">
        <f>IF(E115&lt;&gt;"",E115,IF(AND(F115&lt;&gt;"",G115&lt;&gt;""),MOD(G115-F115,1)*24,""))</f>
        <v/>
      </c>
      <c r="L115" s="37">
        <f>IF(A115="","",CHOOSE(WEEKDAY(A115,2),"Montag","Dienstag","Mittwoch","Donnerstag","Freitag","Samstag","Sonntag"))</f>
        <v/>
      </c>
      <c r="M115" s="37">
        <f>IF(A115="","",_xlfn.ISOWEEKNUM(A115))</f>
        <v/>
      </c>
      <c r="N115" s="38">
        <f>IF(A115="","",DATE(YEAR(A115),MONTH(A115),1))</f>
        <v/>
      </c>
    </row>
    <row r="116">
      <c r="A116" s="31" t="n"/>
      <c r="B116" s="32" t="n"/>
      <c r="C116" s="32" t="n"/>
      <c r="D116" s="33" t="n"/>
      <c r="E116" s="34" t="n"/>
      <c r="F116" s="35" t="n"/>
      <c r="G116" s="35" t="n"/>
      <c r="H116" s="32" t="n"/>
      <c r="I116" s="32" t="n"/>
      <c r="J116" s="32" t="n"/>
      <c r="K116" s="36">
        <f>IF(E116&lt;&gt;"",E116,IF(AND(F116&lt;&gt;"",G116&lt;&gt;""),MOD(G116-F116,1)*24,""))</f>
        <v/>
      </c>
      <c r="L116" s="37">
        <f>IF(A116="","",CHOOSE(WEEKDAY(A116,2),"Montag","Dienstag","Mittwoch","Donnerstag","Freitag","Samstag","Sonntag"))</f>
        <v/>
      </c>
      <c r="M116" s="37">
        <f>IF(A116="","",_xlfn.ISOWEEKNUM(A116))</f>
        <v/>
      </c>
      <c r="N116" s="38">
        <f>IF(A116="","",DATE(YEAR(A116),MONTH(A116),1))</f>
        <v/>
      </c>
    </row>
    <row r="117">
      <c r="A117" s="31" t="n"/>
      <c r="B117" s="32" t="n"/>
      <c r="C117" s="32" t="n"/>
      <c r="D117" s="33" t="n"/>
      <c r="E117" s="34" t="n"/>
      <c r="F117" s="35" t="n"/>
      <c r="G117" s="35" t="n"/>
      <c r="H117" s="32" t="n"/>
      <c r="I117" s="32" t="n"/>
      <c r="J117" s="32" t="n"/>
      <c r="K117" s="36">
        <f>IF(E117&lt;&gt;"",E117,IF(AND(F117&lt;&gt;"",G117&lt;&gt;""),MOD(G117-F117,1)*24,""))</f>
        <v/>
      </c>
      <c r="L117" s="37">
        <f>IF(A117="","",CHOOSE(WEEKDAY(A117,2),"Montag","Dienstag","Mittwoch","Donnerstag","Freitag","Samstag","Sonntag"))</f>
        <v/>
      </c>
      <c r="M117" s="37">
        <f>IF(A117="","",_xlfn.ISOWEEKNUM(A117))</f>
        <v/>
      </c>
      <c r="N117" s="38">
        <f>IF(A117="","",DATE(YEAR(A117),MONTH(A117),1))</f>
        <v/>
      </c>
    </row>
    <row r="118">
      <c r="A118" s="31" t="n"/>
      <c r="B118" s="32" t="n"/>
      <c r="C118" s="32" t="n"/>
      <c r="D118" s="33" t="n"/>
      <c r="E118" s="34" t="n"/>
      <c r="F118" s="35" t="n"/>
      <c r="G118" s="35" t="n"/>
      <c r="H118" s="32" t="n"/>
      <c r="I118" s="32" t="n"/>
      <c r="J118" s="32" t="n"/>
      <c r="K118" s="36">
        <f>IF(E118&lt;&gt;"",E118,IF(AND(F118&lt;&gt;"",G118&lt;&gt;""),MOD(G118-F118,1)*24,""))</f>
        <v/>
      </c>
      <c r="L118" s="37">
        <f>IF(A118="","",CHOOSE(WEEKDAY(A118,2),"Montag","Dienstag","Mittwoch","Donnerstag","Freitag","Samstag","Sonntag"))</f>
        <v/>
      </c>
      <c r="M118" s="37">
        <f>IF(A118="","",_xlfn.ISOWEEKNUM(A118))</f>
        <v/>
      </c>
      <c r="N118" s="38">
        <f>IF(A118="","",DATE(YEAR(A118),MONTH(A118),1))</f>
        <v/>
      </c>
    </row>
    <row r="119">
      <c r="A119" s="31" t="n"/>
      <c r="B119" s="32" t="n"/>
      <c r="C119" s="32" t="n"/>
      <c r="D119" s="33" t="n"/>
      <c r="E119" s="34" t="n"/>
      <c r="F119" s="35" t="n"/>
      <c r="G119" s="35" t="n"/>
      <c r="H119" s="32" t="n"/>
      <c r="I119" s="32" t="n"/>
      <c r="J119" s="32" t="n"/>
      <c r="K119" s="36">
        <f>IF(E119&lt;&gt;"",E119,IF(AND(F119&lt;&gt;"",G119&lt;&gt;""),MOD(G119-F119,1)*24,""))</f>
        <v/>
      </c>
      <c r="L119" s="37">
        <f>IF(A119="","",CHOOSE(WEEKDAY(A119,2),"Montag","Dienstag","Mittwoch","Donnerstag","Freitag","Samstag","Sonntag"))</f>
        <v/>
      </c>
      <c r="M119" s="37">
        <f>IF(A119="","",_xlfn.ISOWEEKNUM(A119))</f>
        <v/>
      </c>
      <c r="N119" s="38">
        <f>IF(A119="","",DATE(YEAR(A119),MONTH(A119),1))</f>
        <v/>
      </c>
    </row>
    <row r="120">
      <c r="A120" s="31" t="n"/>
      <c r="B120" s="32" t="n"/>
      <c r="C120" s="32" t="n"/>
      <c r="D120" s="33" t="n"/>
      <c r="E120" s="34" t="n"/>
      <c r="F120" s="35" t="n"/>
      <c r="G120" s="35" t="n"/>
      <c r="H120" s="32" t="n"/>
      <c r="I120" s="32" t="n"/>
      <c r="J120" s="32" t="n"/>
      <c r="K120" s="36">
        <f>IF(E120&lt;&gt;"",E120,IF(AND(F120&lt;&gt;"",G120&lt;&gt;""),MOD(G120-F120,1)*24,""))</f>
        <v/>
      </c>
      <c r="L120" s="37">
        <f>IF(A120="","",CHOOSE(WEEKDAY(A120,2),"Montag","Dienstag","Mittwoch","Donnerstag","Freitag","Samstag","Sonntag"))</f>
        <v/>
      </c>
      <c r="M120" s="37">
        <f>IF(A120="","",_xlfn.ISOWEEKNUM(A120))</f>
        <v/>
      </c>
      <c r="N120" s="38">
        <f>IF(A120="","",DATE(YEAR(A120),MONTH(A120),1))</f>
        <v/>
      </c>
    </row>
    <row r="121">
      <c r="A121" s="31" t="n"/>
      <c r="B121" s="32" t="n"/>
      <c r="C121" s="32" t="n"/>
      <c r="D121" s="33" t="n"/>
      <c r="E121" s="34" t="n"/>
      <c r="F121" s="35" t="n"/>
      <c r="G121" s="35" t="n"/>
      <c r="H121" s="32" t="n"/>
      <c r="I121" s="32" t="n"/>
      <c r="J121" s="32" t="n"/>
      <c r="K121" s="36">
        <f>IF(E121&lt;&gt;"",E121,IF(AND(F121&lt;&gt;"",G121&lt;&gt;""),MOD(G121-F121,1)*24,""))</f>
        <v/>
      </c>
      <c r="L121" s="37">
        <f>IF(A121="","",CHOOSE(WEEKDAY(A121,2),"Montag","Dienstag","Mittwoch","Donnerstag","Freitag","Samstag","Sonntag"))</f>
        <v/>
      </c>
      <c r="M121" s="37">
        <f>IF(A121="","",_xlfn.ISOWEEKNUM(A121))</f>
        <v/>
      </c>
      <c r="N121" s="38">
        <f>IF(A121="","",DATE(YEAR(A121),MONTH(A121),1))</f>
        <v/>
      </c>
    </row>
    <row r="122">
      <c r="A122" s="31" t="n"/>
      <c r="B122" s="32" t="n"/>
      <c r="C122" s="32" t="n"/>
      <c r="D122" s="33" t="n"/>
      <c r="E122" s="34" t="n"/>
      <c r="F122" s="35" t="n"/>
      <c r="G122" s="35" t="n"/>
      <c r="H122" s="32" t="n"/>
      <c r="I122" s="32" t="n"/>
      <c r="J122" s="32" t="n"/>
      <c r="K122" s="36">
        <f>IF(E122&lt;&gt;"",E122,IF(AND(F122&lt;&gt;"",G122&lt;&gt;""),MOD(G122-F122,1)*24,""))</f>
        <v/>
      </c>
      <c r="L122" s="37">
        <f>IF(A122="","",CHOOSE(WEEKDAY(A122,2),"Montag","Dienstag","Mittwoch","Donnerstag","Freitag","Samstag","Sonntag"))</f>
        <v/>
      </c>
      <c r="M122" s="37">
        <f>IF(A122="","",_xlfn.ISOWEEKNUM(A122))</f>
        <v/>
      </c>
      <c r="N122" s="38">
        <f>IF(A122="","",DATE(YEAR(A122),MONTH(A122),1))</f>
        <v/>
      </c>
    </row>
    <row r="123">
      <c r="A123" s="31" t="n"/>
      <c r="B123" s="32" t="n"/>
      <c r="C123" s="32" t="n"/>
      <c r="D123" s="33" t="n"/>
      <c r="E123" s="34" t="n"/>
      <c r="F123" s="35" t="n"/>
      <c r="G123" s="35" t="n"/>
      <c r="H123" s="32" t="n"/>
      <c r="I123" s="32" t="n"/>
      <c r="J123" s="32" t="n"/>
      <c r="K123" s="36">
        <f>IF(E123&lt;&gt;"",E123,IF(AND(F123&lt;&gt;"",G123&lt;&gt;""),MOD(G123-F123,1)*24,""))</f>
        <v/>
      </c>
      <c r="L123" s="37">
        <f>IF(A123="","",CHOOSE(WEEKDAY(A123,2),"Montag","Dienstag","Mittwoch","Donnerstag","Freitag","Samstag","Sonntag"))</f>
        <v/>
      </c>
      <c r="M123" s="37">
        <f>IF(A123="","",_xlfn.ISOWEEKNUM(A123))</f>
        <v/>
      </c>
      <c r="N123" s="38">
        <f>IF(A123="","",DATE(YEAR(A123),MONTH(A123),1))</f>
        <v/>
      </c>
    </row>
    <row r="124">
      <c r="A124" s="31" t="n"/>
      <c r="B124" s="32" t="n"/>
      <c r="C124" s="32" t="n"/>
      <c r="D124" s="33" t="n"/>
      <c r="E124" s="34" t="n"/>
      <c r="F124" s="35" t="n"/>
      <c r="G124" s="35" t="n"/>
      <c r="H124" s="32" t="n"/>
      <c r="I124" s="32" t="n"/>
      <c r="J124" s="32" t="n"/>
      <c r="K124" s="36">
        <f>IF(E124&lt;&gt;"",E124,IF(AND(F124&lt;&gt;"",G124&lt;&gt;""),MOD(G124-F124,1)*24,""))</f>
        <v/>
      </c>
      <c r="L124" s="37">
        <f>IF(A124="","",CHOOSE(WEEKDAY(A124,2),"Montag","Dienstag","Mittwoch","Donnerstag","Freitag","Samstag","Sonntag"))</f>
        <v/>
      </c>
      <c r="M124" s="37">
        <f>IF(A124="","",_xlfn.ISOWEEKNUM(A124))</f>
        <v/>
      </c>
      <c r="N124" s="38">
        <f>IF(A124="","",DATE(YEAR(A124),MONTH(A124),1))</f>
        <v/>
      </c>
    </row>
    <row r="125">
      <c r="A125" s="31" t="n"/>
      <c r="B125" s="32" t="n"/>
      <c r="C125" s="32" t="n"/>
      <c r="D125" s="33" t="n"/>
      <c r="E125" s="34" t="n"/>
      <c r="F125" s="35" t="n"/>
      <c r="G125" s="35" t="n"/>
      <c r="H125" s="32" t="n"/>
      <c r="I125" s="32" t="n"/>
      <c r="J125" s="32" t="n"/>
      <c r="K125" s="36">
        <f>IF(E125&lt;&gt;"",E125,IF(AND(F125&lt;&gt;"",G125&lt;&gt;""),MOD(G125-F125,1)*24,""))</f>
        <v/>
      </c>
      <c r="L125" s="37">
        <f>IF(A125="","",CHOOSE(WEEKDAY(A125,2),"Montag","Dienstag","Mittwoch","Donnerstag","Freitag","Samstag","Sonntag"))</f>
        <v/>
      </c>
      <c r="M125" s="37">
        <f>IF(A125="","",_xlfn.ISOWEEKNUM(A125))</f>
        <v/>
      </c>
      <c r="N125" s="38">
        <f>IF(A125="","",DATE(YEAR(A125),MONTH(A125),1))</f>
        <v/>
      </c>
    </row>
    <row r="126">
      <c r="A126" s="31" t="n"/>
      <c r="B126" s="32" t="n"/>
      <c r="C126" s="32" t="n"/>
      <c r="D126" s="33" t="n"/>
      <c r="E126" s="34" t="n"/>
      <c r="F126" s="35" t="n"/>
      <c r="G126" s="35" t="n"/>
      <c r="H126" s="32" t="n"/>
      <c r="I126" s="32" t="n"/>
      <c r="J126" s="32" t="n"/>
      <c r="K126" s="36">
        <f>IF(E126&lt;&gt;"",E126,IF(AND(F126&lt;&gt;"",G126&lt;&gt;""),MOD(G126-F126,1)*24,""))</f>
        <v/>
      </c>
      <c r="L126" s="37">
        <f>IF(A126="","",CHOOSE(WEEKDAY(A126,2),"Montag","Dienstag","Mittwoch","Donnerstag","Freitag","Samstag","Sonntag"))</f>
        <v/>
      </c>
      <c r="M126" s="37">
        <f>IF(A126="","",_xlfn.ISOWEEKNUM(A126))</f>
        <v/>
      </c>
      <c r="N126" s="38">
        <f>IF(A126="","",DATE(YEAR(A126),MONTH(A126),1))</f>
        <v/>
      </c>
    </row>
    <row r="127">
      <c r="A127" s="31" t="n"/>
      <c r="B127" s="32" t="n"/>
      <c r="C127" s="32" t="n"/>
      <c r="D127" s="33" t="n"/>
      <c r="E127" s="34" t="n"/>
      <c r="F127" s="35" t="n"/>
      <c r="G127" s="35" t="n"/>
      <c r="H127" s="32" t="n"/>
      <c r="I127" s="32" t="n"/>
      <c r="J127" s="32" t="n"/>
      <c r="K127" s="36">
        <f>IF(E127&lt;&gt;"",E127,IF(AND(F127&lt;&gt;"",G127&lt;&gt;""),MOD(G127-F127,1)*24,""))</f>
        <v/>
      </c>
      <c r="L127" s="37">
        <f>IF(A127="","",CHOOSE(WEEKDAY(A127,2),"Montag","Dienstag","Mittwoch","Donnerstag","Freitag","Samstag","Sonntag"))</f>
        <v/>
      </c>
      <c r="M127" s="37">
        <f>IF(A127="","",_xlfn.ISOWEEKNUM(A127))</f>
        <v/>
      </c>
      <c r="N127" s="38">
        <f>IF(A127="","",DATE(YEAR(A127),MONTH(A127),1))</f>
        <v/>
      </c>
    </row>
    <row r="128">
      <c r="A128" s="31" t="n"/>
      <c r="B128" s="32" t="n"/>
      <c r="C128" s="32" t="n"/>
      <c r="D128" s="33" t="n"/>
      <c r="E128" s="34" t="n"/>
      <c r="F128" s="35" t="n"/>
      <c r="G128" s="35" t="n"/>
      <c r="H128" s="32" t="n"/>
      <c r="I128" s="32" t="n"/>
      <c r="J128" s="32" t="n"/>
      <c r="K128" s="36">
        <f>IF(E128&lt;&gt;"",E128,IF(AND(F128&lt;&gt;"",G128&lt;&gt;""),MOD(G128-F128,1)*24,""))</f>
        <v/>
      </c>
      <c r="L128" s="37">
        <f>IF(A128="","",CHOOSE(WEEKDAY(A128,2),"Montag","Dienstag","Mittwoch","Donnerstag","Freitag","Samstag","Sonntag"))</f>
        <v/>
      </c>
      <c r="M128" s="37">
        <f>IF(A128="","",_xlfn.ISOWEEKNUM(A128))</f>
        <v/>
      </c>
      <c r="N128" s="38">
        <f>IF(A128="","",DATE(YEAR(A128),MONTH(A128),1))</f>
        <v/>
      </c>
    </row>
    <row r="129">
      <c r="A129" s="31" t="n"/>
      <c r="B129" s="32" t="n"/>
      <c r="C129" s="32" t="n"/>
      <c r="D129" s="33" t="n"/>
      <c r="E129" s="34" t="n"/>
      <c r="F129" s="35" t="n"/>
      <c r="G129" s="35" t="n"/>
      <c r="H129" s="32" t="n"/>
      <c r="I129" s="32" t="n"/>
      <c r="J129" s="32" t="n"/>
      <c r="K129" s="36">
        <f>IF(E129&lt;&gt;"",E129,IF(AND(F129&lt;&gt;"",G129&lt;&gt;""),MOD(G129-F129,1)*24,""))</f>
        <v/>
      </c>
      <c r="L129" s="37">
        <f>IF(A129="","",CHOOSE(WEEKDAY(A129,2),"Montag","Dienstag","Mittwoch","Donnerstag","Freitag","Samstag","Sonntag"))</f>
        <v/>
      </c>
      <c r="M129" s="37">
        <f>IF(A129="","",_xlfn.ISOWEEKNUM(A129))</f>
        <v/>
      </c>
      <c r="N129" s="38">
        <f>IF(A129="","",DATE(YEAR(A129),MONTH(A129),1))</f>
        <v/>
      </c>
    </row>
    <row r="130">
      <c r="A130" s="31" t="n"/>
      <c r="B130" s="32" t="n"/>
      <c r="C130" s="32" t="n"/>
      <c r="D130" s="33" t="n"/>
      <c r="E130" s="34" t="n"/>
      <c r="F130" s="35" t="n"/>
      <c r="G130" s="35" t="n"/>
      <c r="H130" s="32" t="n"/>
      <c r="I130" s="32" t="n"/>
      <c r="J130" s="32" t="n"/>
      <c r="K130" s="36">
        <f>IF(E130&lt;&gt;"",E130,IF(AND(F130&lt;&gt;"",G130&lt;&gt;""),MOD(G130-F130,1)*24,""))</f>
        <v/>
      </c>
      <c r="L130" s="37">
        <f>IF(A130="","",CHOOSE(WEEKDAY(A130,2),"Montag","Dienstag","Mittwoch","Donnerstag","Freitag","Samstag","Sonntag"))</f>
        <v/>
      </c>
      <c r="M130" s="37">
        <f>IF(A130="","",_xlfn.ISOWEEKNUM(A130))</f>
        <v/>
      </c>
      <c r="N130" s="38">
        <f>IF(A130="","",DATE(YEAR(A130),MONTH(A130),1))</f>
        <v/>
      </c>
    </row>
    <row r="131">
      <c r="A131" s="31" t="n"/>
      <c r="B131" s="32" t="n"/>
      <c r="C131" s="32" t="n"/>
      <c r="D131" s="33" t="n"/>
      <c r="E131" s="34" t="n"/>
      <c r="F131" s="35" t="n"/>
      <c r="G131" s="35" t="n"/>
      <c r="H131" s="32" t="n"/>
      <c r="I131" s="32" t="n"/>
      <c r="J131" s="32" t="n"/>
      <c r="K131" s="36">
        <f>IF(E131&lt;&gt;"",E131,IF(AND(F131&lt;&gt;"",G131&lt;&gt;""),MOD(G131-F131,1)*24,""))</f>
        <v/>
      </c>
      <c r="L131" s="37">
        <f>IF(A131="","",CHOOSE(WEEKDAY(A131,2),"Montag","Dienstag","Mittwoch","Donnerstag","Freitag","Samstag","Sonntag"))</f>
        <v/>
      </c>
      <c r="M131" s="37">
        <f>IF(A131="","",_xlfn.ISOWEEKNUM(A131))</f>
        <v/>
      </c>
      <c r="N131" s="38">
        <f>IF(A131="","",DATE(YEAR(A131),MONTH(A131),1))</f>
        <v/>
      </c>
    </row>
    <row r="132">
      <c r="A132" s="31" t="n"/>
      <c r="B132" s="32" t="n"/>
      <c r="C132" s="32" t="n"/>
      <c r="D132" s="33" t="n"/>
      <c r="E132" s="34" t="n"/>
      <c r="F132" s="35" t="n"/>
      <c r="G132" s="35" t="n"/>
      <c r="H132" s="32" t="n"/>
      <c r="I132" s="32" t="n"/>
      <c r="J132" s="32" t="n"/>
      <c r="K132" s="36">
        <f>IF(E132&lt;&gt;"",E132,IF(AND(F132&lt;&gt;"",G132&lt;&gt;""),MOD(G132-F132,1)*24,""))</f>
        <v/>
      </c>
      <c r="L132" s="37">
        <f>IF(A132="","",CHOOSE(WEEKDAY(A132,2),"Montag","Dienstag","Mittwoch","Donnerstag","Freitag","Samstag","Sonntag"))</f>
        <v/>
      </c>
      <c r="M132" s="37">
        <f>IF(A132="","",_xlfn.ISOWEEKNUM(A132))</f>
        <v/>
      </c>
      <c r="N132" s="38">
        <f>IF(A132="","",DATE(YEAR(A132),MONTH(A132),1))</f>
        <v/>
      </c>
    </row>
    <row r="133">
      <c r="A133" s="31" t="n"/>
      <c r="B133" s="32" t="n"/>
      <c r="C133" s="32" t="n"/>
      <c r="D133" s="33" t="n"/>
      <c r="E133" s="34" t="n"/>
      <c r="F133" s="35" t="n"/>
      <c r="G133" s="35" t="n"/>
      <c r="H133" s="32" t="n"/>
      <c r="I133" s="32" t="n"/>
      <c r="J133" s="32" t="n"/>
      <c r="K133" s="36">
        <f>IF(E133&lt;&gt;"",E133,IF(AND(F133&lt;&gt;"",G133&lt;&gt;""),MOD(G133-F133,1)*24,""))</f>
        <v/>
      </c>
      <c r="L133" s="37">
        <f>IF(A133="","",CHOOSE(WEEKDAY(A133,2),"Montag","Dienstag","Mittwoch","Donnerstag","Freitag","Samstag","Sonntag"))</f>
        <v/>
      </c>
      <c r="M133" s="37">
        <f>IF(A133="","",_xlfn.ISOWEEKNUM(A133))</f>
        <v/>
      </c>
      <c r="N133" s="38">
        <f>IF(A133="","",DATE(YEAR(A133),MONTH(A133),1))</f>
        <v/>
      </c>
    </row>
    <row r="134">
      <c r="A134" s="31" t="n"/>
      <c r="B134" s="32" t="n"/>
      <c r="C134" s="32" t="n"/>
      <c r="D134" s="33" t="n"/>
      <c r="E134" s="34" t="n"/>
      <c r="F134" s="35" t="n"/>
      <c r="G134" s="35" t="n"/>
      <c r="H134" s="32" t="n"/>
      <c r="I134" s="32" t="n"/>
      <c r="J134" s="32" t="n"/>
      <c r="K134" s="36">
        <f>IF(E134&lt;&gt;"",E134,IF(AND(F134&lt;&gt;"",G134&lt;&gt;""),MOD(G134-F134,1)*24,""))</f>
        <v/>
      </c>
      <c r="L134" s="37">
        <f>IF(A134="","",CHOOSE(WEEKDAY(A134,2),"Montag","Dienstag","Mittwoch","Donnerstag","Freitag","Samstag","Sonntag"))</f>
        <v/>
      </c>
      <c r="M134" s="37">
        <f>IF(A134="","",_xlfn.ISOWEEKNUM(A134))</f>
        <v/>
      </c>
      <c r="N134" s="38">
        <f>IF(A134="","",DATE(YEAR(A134),MONTH(A134),1))</f>
        <v/>
      </c>
    </row>
    <row r="135">
      <c r="A135" s="31" t="n"/>
      <c r="B135" s="32" t="n"/>
      <c r="C135" s="32" t="n"/>
      <c r="D135" s="33" t="n"/>
      <c r="E135" s="34" t="n"/>
      <c r="F135" s="35" t="n"/>
      <c r="G135" s="35" t="n"/>
      <c r="H135" s="32" t="n"/>
      <c r="I135" s="32" t="n"/>
      <c r="J135" s="32" t="n"/>
      <c r="K135" s="36">
        <f>IF(E135&lt;&gt;"",E135,IF(AND(F135&lt;&gt;"",G135&lt;&gt;""),MOD(G135-F135,1)*24,""))</f>
        <v/>
      </c>
      <c r="L135" s="37">
        <f>IF(A135="","",CHOOSE(WEEKDAY(A135,2),"Montag","Dienstag","Mittwoch","Donnerstag","Freitag","Samstag","Sonntag"))</f>
        <v/>
      </c>
      <c r="M135" s="37">
        <f>IF(A135="","",_xlfn.ISOWEEKNUM(A135))</f>
        <v/>
      </c>
      <c r="N135" s="38">
        <f>IF(A135="","",DATE(YEAR(A135),MONTH(A135),1))</f>
        <v/>
      </c>
    </row>
    <row r="136">
      <c r="A136" s="31" t="n"/>
      <c r="B136" s="32" t="n"/>
      <c r="C136" s="32" t="n"/>
      <c r="D136" s="33" t="n"/>
      <c r="E136" s="34" t="n"/>
      <c r="F136" s="35" t="n"/>
      <c r="G136" s="35" t="n"/>
      <c r="H136" s="32" t="n"/>
      <c r="I136" s="32" t="n"/>
      <c r="J136" s="32" t="n"/>
      <c r="K136" s="36">
        <f>IF(E136&lt;&gt;"",E136,IF(AND(F136&lt;&gt;"",G136&lt;&gt;""),MOD(G136-F136,1)*24,""))</f>
        <v/>
      </c>
      <c r="L136" s="37">
        <f>IF(A136="","",CHOOSE(WEEKDAY(A136,2),"Montag","Dienstag","Mittwoch","Donnerstag","Freitag","Samstag","Sonntag"))</f>
        <v/>
      </c>
      <c r="M136" s="37">
        <f>IF(A136="","",_xlfn.ISOWEEKNUM(A136))</f>
        <v/>
      </c>
      <c r="N136" s="38">
        <f>IF(A136="","",DATE(YEAR(A136),MONTH(A136),1))</f>
        <v/>
      </c>
    </row>
    <row r="137">
      <c r="A137" s="31" t="n"/>
      <c r="B137" s="32" t="n"/>
      <c r="C137" s="32" t="n"/>
      <c r="D137" s="33" t="n"/>
      <c r="E137" s="34" t="n"/>
      <c r="F137" s="35" t="n"/>
      <c r="G137" s="35" t="n"/>
      <c r="H137" s="32" t="n"/>
      <c r="I137" s="32" t="n"/>
      <c r="J137" s="32" t="n"/>
      <c r="K137" s="36">
        <f>IF(E137&lt;&gt;"",E137,IF(AND(F137&lt;&gt;"",G137&lt;&gt;""),MOD(G137-F137,1)*24,""))</f>
        <v/>
      </c>
      <c r="L137" s="37">
        <f>IF(A137="","",CHOOSE(WEEKDAY(A137,2),"Montag","Dienstag","Mittwoch","Donnerstag","Freitag","Samstag","Sonntag"))</f>
        <v/>
      </c>
      <c r="M137" s="37">
        <f>IF(A137="","",_xlfn.ISOWEEKNUM(A137))</f>
        <v/>
      </c>
      <c r="N137" s="38">
        <f>IF(A137="","",DATE(YEAR(A137),MONTH(A137),1))</f>
        <v/>
      </c>
    </row>
    <row r="138">
      <c r="A138" s="31" t="n"/>
      <c r="B138" s="32" t="n"/>
      <c r="C138" s="32" t="n"/>
      <c r="D138" s="33" t="n"/>
      <c r="E138" s="34" t="n"/>
      <c r="F138" s="35" t="n"/>
      <c r="G138" s="35" t="n"/>
      <c r="H138" s="32" t="n"/>
      <c r="I138" s="32" t="n"/>
      <c r="J138" s="32" t="n"/>
      <c r="K138" s="36">
        <f>IF(E138&lt;&gt;"",E138,IF(AND(F138&lt;&gt;"",G138&lt;&gt;""),MOD(G138-F138,1)*24,""))</f>
        <v/>
      </c>
      <c r="L138" s="37">
        <f>IF(A138="","",CHOOSE(WEEKDAY(A138,2),"Montag","Dienstag","Mittwoch","Donnerstag","Freitag","Samstag","Sonntag"))</f>
        <v/>
      </c>
      <c r="M138" s="37">
        <f>IF(A138="","",_xlfn.ISOWEEKNUM(A138))</f>
        <v/>
      </c>
      <c r="N138" s="38">
        <f>IF(A138="","",DATE(YEAR(A138),MONTH(A138),1))</f>
        <v/>
      </c>
    </row>
    <row r="139">
      <c r="A139" s="31" t="n"/>
      <c r="B139" s="32" t="n"/>
      <c r="C139" s="32" t="n"/>
      <c r="D139" s="33" t="n"/>
      <c r="E139" s="34" t="n"/>
      <c r="F139" s="35" t="n"/>
      <c r="G139" s="35" t="n"/>
      <c r="H139" s="32" t="n"/>
      <c r="I139" s="32" t="n"/>
      <c r="J139" s="32" t="n"/>
      <c r="K139" s="36">
        <f>IF(E139&lt;&gt;"",E139,IF(AND(F139&lt;&gt;"",G139&lt;&gt;""),MOD(G139-F139,1)*24,""))</f>
        <v/>
      </c>
      <c r="L139" s="37">
        <f>IF(A139="","",CHOOSE(WEEKDAY(A139,2),"Montag","Dienstag","Mittwoch","Donnerstag","Freitag","Samstag","Sonntag"))</f>
        <v/>
      </c>
      <c r="M139" s="37">
        <f>IF(A139="","",_xlfn.ISOWEEKNUM(A139))</f>
        <v/>
      </c>
      <c r="N139" s="38">
        <f>IF(A139="","",DATE(YEAR(A139),MONTH(A139),1))</f>
        <v/>
      </c>
    </row>
    <row r="140">
      <c r="A140" s="31" t="n"/>
      <c r="B140" s="32" t="n"/>
      <c r="C140" s="32" t="n"/>
      <c r="D140" s="33" t="n"/>
      <c r="E140" s="34" t="n"/>
      <c r="F140" s="35" t="n"/>
      <c r="G140" s="35" t="n"/>
      <c r="H140" s="32" t="n"/>
      <c r="I140" s="32" t="n"/>
      <c r="J140" s="32" t="n"/>
      <c r="K140" s="36">
        <f>IF(E140&lt;&gt;"",E140,IF(AND(F140&lt;&gt;"",G140&lt;&gt;""),MOD(G140-F140,1)*24,""))</f>
        <v/>
      </c>
      <c r="L140" s="37">
        <f>IF(A140="","",CHOOSE(WEEKDAY(A140,2),"Montag","Dienstag","Mittwoch","Donnerstag","Freitag","Samstag","Sonntag"))</f>
        <v/>
      </c>
      <c r="M140" s="37">
        <f>IF(A140="","",_xlfn.ISOWEEKNUM(A140))</f>
        <v/>
      </c>
      <c r="N140" s="38">
        <f>IF(A140="","",DATE(YEAR(A140),MONTH(A140),1))</f>
        <v/>
      </c>
    </row>
    <row r="141">
      <c r="A141" s="31" t="n"/>
      <c r="B141" s="32" t="n"/>
      <c r="C141" s="32" t="n"/>
      <c r="D141" s="33" t="n"/>
      <c r="E141" s="34" t="n"/>
      <c r="F141" s="35" t="n"/>
      <c r="G141" s="35" t="n"/>
      <c r="H141" s="32" t="n"/>
      <c r="I141" s="32" t="n"/>
      <c r="J141" s="32" t="n"/>
      <c r="K141" s="36">
        <f>IF(E141&lt;&gt;"",E141,IF(AND(F141&lt;&gt;"",G141&lt;&gt;""),MOD(G141-F141,1)*24,""))</f>
        <v/>
      </c>
      <c r="L141" s="37">
        <f>IF(A141="","",CHOOSE(WEEKDAY(A141,2),"Montag","Dienstag","Mittwoch","Donnerstag","Freitag","Samstag","Sonntag"))</f>
        <v/>
      </c>
      <c r="M141" s="37">
        <f>IF(A141="","",_xlfn.ISOWEEKNUM(A141))</f>
        <v/>
      </c>
      <c r="N141" s="38">
        <f>IF(A141="","",DATE(YEAR(A141),MONTH(A141),1))</f>
        <v/>
      </c>
    </row>
    <row r="142">
      <c r="A142" s="31" t="n"/>
      <c r="B142" s="32" t="n"/>
      <c r="C142" s="32" t="n"/>
      <c r="D142" s="33" t="n"/>
      <c r="E142" s="34" t="n"/>
      <c r="F142" s="35" t="n"/>
      <c r="G142" s="35" t="n"/>
      <c r="H142" s="32" t="n"/>
      <c r="I142" s="32" t="n"/>
      <c r="J142" s="32" t="n"/>
      <c r="K142" s="36">
        <f>IF(E142&lt;&gt;"",E142,IF(AND(F142&lt;&gt;"",G142&lt;&gt;""),MOD(G142-F142,1)*24,""))</f>
        <v/>
      </c>
      <c r="L142" s="37">
        <f>IF(A142="","",CHOOSE(WEEKDAY(A142,2),"Montag","Dienstag","Mittwoch","Donnerstag","Freitag","Samstag","Sonntag"))</f>
        <v/>
      </c>
      <c r="M142" s="37">
        <f>IF(A142="","",_xlfn.ISOWEEKNUM(A142))</f>
        <v/>
      </c>
      <c r="N142" s="38">
        <f>IF(A142="","",DATE(YEAR(A142),MONTH(A142),1))</f>
        <v/>
      </c>
    </row>
    <row r="143">
      <c r="A143" s="31" t="n"/>
      <c r="B143" s="32" t="n"/>
      <c r="C143" s="32" t="n"/>
      <c r="D143" s="33" t="n"/>
      <c r="E143" s="34" t="n"/>
      <c r="F143" s="35" t="n"/>
      <c r="G143" s="35" t="n"/>
      <c r="H143" s="32" t="n"/>
      <c r="I143" s="32" t="n"/>
      <c r="J143" s="32" t="n"/>
      <c r="K143" s="36">
        <f>IF(E143&lt;&gt;"",E143,IF(AND(F143&lt;&gt;"",G143&lt;&gt;""),MOD(G143-F143,1)*24,""))</f>
        <v/>
      </c>
      <c r="L143" s="37">
        <f>IF(A143="","",CHOOSE(WEEKDAY(A143,2),"Montag","Dienstag","Mittwoch","Donnerstag","Freitag","Samstag","Sonntag"))</f>
        <v/>
      </c>
      <c r="M143" s="37">
        <f>IF(A143="","",_xlfn.ISOWEEKNUM(A143))</f>
        <v/>
      </c>
      <c r="N143" s="38">
        <f>IF(A143="","",DATE(YEAR(A143),MONTH(A143),1))</f>
        <v/>
      </c>
    </row>
    <row r="144">
      <c r="A144" s="31" t="n"/>
      <c r="B144" s="32" t="n"/>
      <c r="C144" s="32" t="n"/>
      <c r="D144" s="33" t="n"/>
      <c r="E144" s="34" t="n"/>
      <c r="F144" s="35" t="n"/>
      <c r="G144" s="35" t="n"/>
      <c r="H144" s="32" t="n"/>
      <c r="I144" s="32" t="n"/>
      <c r="J144" s="32" t="n"/>
      <c r="K144" s="36">
        <f>IF(E144&lt;&gt;"",E144,IF(AND(F144&lt;&gt;"",G144&lt;&gt;""),MOD(G144-F144,1)*24,""))</f>
        <v/>
      </c>
      <c r="L144" s="37">
        <f>IF(A144="","",CHOOSE(WEEKDAY(A144,2),"Montag","Dienstag","Mittwoch","Donnerstag","Freitag","Samstag","Sonntag"))</f>
        <v/>
      </c>
      <c r="M144" s="37">
        <f>IF(A144="","",_xlfn.ISOWEEKNUM(A144))</f>
        <v/>
      </c>
      <c r="N144" s="38">
        <f>IF(A144="","",DATE(YEAR(A144),MONTH(A144),1))</f>
        <v/>
      </c>
    </row>
    <row r="145">
      <c r="A145" s="31" t="n"/>
      <c r="B145" s="32" t="n"/>
      <c r="C145" s="32" t="n"/>
      <c r="D145" s="33" t="n"/>
      <c r="E145" s="34" t="n"/>
      <c r="F145" s="35" t="n"/>
      <c r="G145" s="35" t="n"/>
      <c r="H145" s="32" t="n"/>
      <c r="I145" s="32" t="n"/>
      <c r="J145" s="32" t="n"/>
      <c r="K145" s="36">
        <f>IF(E145&lt;&gt;"",E145,IF(AND(F145&lt;&gt;"",G145&lt;&gt;""),MOD(G145-F145,1)*24,""))</f>
        <v/>
      </c>
      <c r="L145" s="37">
        <f>IF(A145="","",CHOOSE(WEEKDAY(A145,2),"Montag","Dienstag","Mittwoch","Donnerstag","Freitag","Samstag","Sonntag"))</f>
        <v/>
      </c>
      <c r="M145" s="37">
        <f>IF(A145="","",_xlfn.ISOWEEKNUM(A145))</f>
        <v/>
      </c>
      <c r="N145" s="38">
        <f>IF(A145="","",DATE(YEAR(A145),MONTH(A145),1))</f>
        <v/>
      </c>
    </row>
    <row r="146">
      <c r="A146" s="31" t="n"/>
      <c r="B146" s="32" t="n"/>
      <c r="C146" s="32" t="n"/>
      <c r="D146" s="33" t="n"/>
      <c r="E146" s="34" t="n"/>
      <c r="F146" s="35" t="n"/>
      <c r="G146" s="35" t="n"/>
      <c r="H146" s="32" t="n"/>
      <c r="I146" s="32" t="n"/>
      <c r="J146" s="32" t="n"/>
      <c r="K146" s="36">
        <f>IF(E146&lt;&gt;"",E146,IF(AND(F146&lt;&gt;"",G146&lt;&gt;""),MOD(G146-F146,1)*24,""))</f>
        <v/>
      </c>
      <c r="L146" s="37">
        <f>IF(A146="","",CHOOSE(WEEKDAY(A146,2),"Montag","Dienstag","Mittwoch","Donnerstag","Freitag","Samstag","Sonntag"))</f>
        <v/>
      </c>
      <c r="M146" s="37">
        <f>IF(A146="","",_xlfn.ISOWEEKNUM(A146))</f>
        <v/>
      </c>
      <c r="N146" s="38">
        <f>IF(A146="","",DATE(YEAR(A146),MONTH(A146),1))</f>
        <v/>
      </c>
    </row>
    <row r="147">
      <c r="A147" s="31" t="n"/>
      <c r="B147" s="32" t="n"/>
      <c r="C147" s="32" t="n"/>
      <c r="D147" s="33" t="n"/>
      <c r="E147" s="34" t="n"/>
      <c r="F147" s="35" t="n"/>
      <c r="G147" s="35" t="n"/>
      <c r="H147" s="32" t="n"/>
      <c r="I147" s="32" t="n"/>
      <c r="J147" s="32" t="n"/>
      <c r="K147" s="36">
        <f>IF(E147&lt;&gt;"",E147,IF(AND(F147&lt;&gt;"",G147&lt;&gt;""),MOD(G147-F147,1)*24,""))</f>
        <v/>
      </c>
      <c r="L147" s="37">
        <f>IF(A147="","",CHOOSE(WEEKDAY(A147,2),"Montag","Dienstag","Mittwoch","Donnerstag","Freitag","Samstag","Sonntag"))</f>
        <v/>
      </c>
      <c r="M147" s="37">
        <f>IF(A147="","",_xlfn.ISOWEEKNUM(A147))</f>
        <v/>
      </c>
      <c r="N147" s="38">
        <f>IF(A147="","",DATE(YEAR(A147),MONTH(A147),1))</f>
        <v/>
      </c>
    </row>
    <row r="148">
      <c r="A148" s="31" t="n"/>
      <c r="B148" s="32" t="n"/>
      <c r="C148" s="32" t="n"/>
      <c r="D148" s="33" t="n"/>
      <c r="E148" s="34" t="n"/>
      <c r="F148" s="35" t="n"/>
      <c r="G148" s="35" t="n"/>
      <c r="H148" s="32" t="n"/>
      <c r="I148" s="32" t="n"/>
      <c r="J148" s="32" t="n"/>
      <c r="K148" s="36">
        <f>IF(E148&lt;&gt;"",E148,IF(AND(F148&lt;&gt;"",G148&lt;&gt;""),MOD(G148-F148,1)*24,""))</f>
        <v/>
      </c>
      <c r="L148" s="37">
        <f>IF(A148="","",CHOOSE(WEEKDAY(A148,2),"Montag","Dienstag","Mittwoch","Donnerstag","Freitag","Samstag","Sonntag"))</f>
        <v/>
      </c>
      <c r="M148" s="37">
        <f>IF(A148="","",_xlfn.ISOWEEKNUM(A148))</f>
        <v/>
      </c>
      <c r="N148" s="38">
        <f>IF(A148="","",DATE(YEAR(A148),MONTH(A148),1))</f>
        <v/>
      </c>
    </row>
    <row r="149">
      <c r="A149" s="31" t="n"/>
      <c r="B149" s="32" t="n"/>
      <c r="C149" s="32" t="n"/>
      <c r="D149" s="33" t="n"/>
      <c r="E149" s="34" t="n"/>
      <c r="F149" s="35" t="n"/>
      <c r="G149" s="35" t="n"/>
      <c r="H149" s="32" t="n"/>
      <c r="I149" s="32" t="n"/>
      <c r="J149" s="32" t="n"/>
      <c r="K149" s="36">
        <f>IF(E149&lt;&gt;"",E149,IF(AND(F149&lt;&gt;"",G149&lt;&gt;""),MOD(G149-F149,1)*24,""))</f>
        <v/>
      </c>
      <c r="L149" s="37">
        <f>IF(A149="","",CHOOSE(WEEKDAY(A149,2),"Montag","Dienstag","Mittwoch","Donnerstag","Freitag","Samstag","Sonntag"))</f>
        <v/>
      </c>
      <c r="M149" s="37">
        <f>IF(A149="","",_xlfn.ISOWEEKNUM(A149))</f>
        <v/>
      </c>
      <c r="N149" s="38">
        <f>IF(A149="","",DATE(YEAR(A149),MONTH(A149),1))</f>
        <v/>
      </c>
    </row>
    <row r="150">
      <c r="A150" s="31" t="n"/>
      <c r="B150" s="32" t="n"/>
      <c r="C150" s="32" t="n"/>
      <c r="D150" s="33" t="n"/>
      <c r="E150" s="34" t="n"/>
      <c r="F150" s="35" t="n"/>
      <c r="G150" s="35" t="n"/>
      <c r="H150" s="32" t="n"/>
      <c r="I150" s="32" t="n"/>
      <c r="J150" s="32" t="n"/>
      <c r="K150" s="36">
        <f>IF(E150&lt;&gt;"",E150,IF(AND(F150&lt;&gt;"",G150&lt;&gt;""),MOD(G150-F150,1)*24,""))</f>
        <v/>
      </c>
      <c r="L150" s="37">
        <f>IF(A150="","",CHOOSE(WEEKDAY(A150,2),"Montag","Dienstag","Mittwoch","Donnerstag","Freitag","Samstag","Sonntag"))</f>
        <v/>
      </c>
      <c r="M150" s="37">
        <f>IF(A150="","",_xlfn.ISOWEEKNUM(A150))</f>
        <v/>
      </c>
      <c r="N150" s="38">
        <f>IF(A150="","",DATE(YEAR(A150),MONTH(A150),1))</f>
        <v/>
      </c>
    </row>
    <row r="151">
      <c r="A151" s="31" t="n"/>
      <c r="B151" s="32" t="n"/>
      <c r="C151" s="32" t="n"/>
      <c r="D151" s="33" t="n"/>
      <c r="E151" s="34" t="n"/>
      <c r="F151" s="35" t="n"/>
      <c r="G151" s="35" t="n"/>
      <c r="H151" s="32" t="n"/>
      <c r="I151" s="32" t="n"/>
      <c r="J151" s="32" t="n"/>
      <c r="K151" s="36">
        <f>IF(E151&lt;&gt;"",E151,IF(AND(F151&lt;&gt;"",G151&lt;&gt;""),MOD(G151-F151,1)*24,""))</f>
        <v/>
      </c>
      <c r="L151" s="37">
        <f>IF(A151="","",CHOOSE(WEEKDAY(A151,2),"Montag","Dienstag","Mittwoch","Donnerstag","Freitag","Samstag","Sonntag"))</f>
        <v/>
      </c>
      <c r="M151" s="37">
        <f>IF(A151="","",_xlfn.ISOWEEKNUM(A151))</f>
        <v/>
      </c>
      <c r="N151" s="38">
        <f>IF(A151="","",DATE(YEAR(A151),MONTH(A151),1))</f>
        <v/>
      </c>
    </row>
    <row r="152">
      <c r="A152" s="31" t="n"/>
      <c r="B152" s="32" t="n"/>
      <c r="C152" s="32" t="n"/>
      <c r="D152" s="33" t="n"/>
      <c r="E152" s="34" t="n"/>
      <c r="F152" s="35" t="n"/>
      <c r="G152" s="35" t="n"/>
      <c r="H152" s="32" t="n"/>
      <c r="I152" s="32" t="n"/>
      <c r="J152" s="32" t="n"/>
      <c r="K152" s="36">
        <f>IF(E152&lt;&gt;"",E152,IF(AND(F152&lt;&gt;"",G152&lt;&gt;""),MOD(G152-F152,1)*24,""))</f>
        <v/>
      </c>
      <c r="L152" s="37">
        <f>IF(A152="","",CHOOSE(WEEKDAY(A152,2),"Montag","Dienstag","Mittwoch","Donnerstag","Freitag","Samstag","Sonntag"))</f>
        <v/>
      </c>
      <c r="M152" s="37">
        <f>IF(A152="","",_xlfn.ISOWEEKNUM(A152))</f>
        <v/>
      </c>
      <c r="N152" s="38">
        <f>IF(A152="","",DATE(YEAR(A152),MONTH(A152),1))</f>
        <v/>
      </c>
    </row>
    <row r="153">
      <c r="A153" s="31" t="n"/>
      <c r="B153" s="32" t="n"/>
      <c r="C153" s="32" t="n"/>
      <c r="D153" s="33" t="n"/>
      <c r="E153" s="34" t="n"/>
      <c r="F153" s="35" t="n"/>
      <c r="G153" s="35" t="n"/>
      <c r="H153" s="32" t="n"/>
      <c r="I153" s="32" t="n"/>
      <c r="J153" s="32" t="n"/>
      <c r="K153" s="36">
        <f>IF(E153&lt;&gt;"",E153,IF(AND(F153&lt;&gt;"",G153&lt;&gt;""),MOD(G153-F153,1)*24,""))</f>
        <v/>
      </c>
      <c r="L153" s="37">
        <f>IF(A153="","",CHOOSE(WEEKDAY(A153,2),"Montag","Dienstag","Mittwoch","Donnerstag","Freitag","Samstag","Sonntag"))</f>
        <v/>
      </c>
      <c r="M153" s="37">
        <f>IF(A153="","",_xlfn.ISOWEEKNUM(A153))</f>
        <v/>
      </c>
      <c r="N153" s="38">
        <f>IF(A153="","",DATE(YEAR(A153),MONTH(A153),1))</f>
        <v/>
      </c>
    </row>
    <row r="154">
      <c r="A154" s="31" t="n"/>
      <c r="B154" s="32" t="n"/>
      <c r="C154" s="32" t="n"/>
      <c r="D154" s="33" t="n"/>
      <c r="E154" s="34" t="n"/>
      <c r="F154" s="35" t="n"/>
      <c r="G154" s="35" t="n"/>
      <c r="H154" s="32" t="n"/>
      <c r="I154" s="32" t="n"/>
      <c r="J154" s="32" t="n"/>
      <c r="K154" s="36">
        <f>IF(E154&lt;&gt;"",E154,IF(AND(F154&lt;&gt;"",G154&lt;&gt;""),MOD(G154-F154,1)*24,""))</f>
        <v/>
      </c>
      <c r="L154" s="37">
        <f>IF(A154="","",CHOOSE(WEEKDAY(A154,2),"Montag","Dienstag","Mittwoch","Donnerstag","Freitag","Samstag","Sonntag"))</f>
        <v/>
      </c>
      <c r="M154" s="37">
        <f>IF(A154="","",_xlfn.ISOWEEKNUM(A154))</f>
        <v/>
      </c>
      <c r="N154" s="38">
        <f>IF(A154="","",DATE(YEAR(A154),MONTH(A154),1))</f>
        <v/>
      </c>
    </row>
    <row r="155">
      <c r="A155" s="31" t="n"/>
      <c r="B155" s="32" t="n"/>
      <c r="C155" s="32" t="n"/>
      <c r="D155" s="33" t="n"/>
      <c r="E155" s="34" t="n"/>
      <c r="F155" s="35" t="n"/>
      <c r="G155" s="35" t="n"/>
      <c r="H155" s="32" t="n"/>
      <c r="I155" s="32" t="n"/>
      <c r="J155" s="32" t="n"/>
      <c r="K155" s="36">
        <f>IF(E155&lt;&gt;"",E155,IF(AND(F155&lt;&gt;"",G155&lt;&gt;""),MOD(G155-F155,1)*24,""))</f>
        <v/>
      </c>
      <c r="L155" s="37">
        <f>IF(A155="","",CHOOSE(WEEKDAY(A155,2),"Montag","Dienstag","Mittwoch","Donnerstag","Freitag","Samstag","Sonntag"))</f>
        <v/>
      </c>
      <c r="M155" s="37">
        <f>IF(A155="","",_xlfn.ISOWEEKNUM(A155))</f>
        <v/>
      </c>
      <c r="N155" s="38">
        <f>IF(A155="","",DATE(YEAR(A155),MONTH(A155),1))</f>
        <v/>
      </c>
    </row>
    <row r="156">
      <c r="A156" s="31" t="n"/>
      <c r="B156" s="32" t="n"/>
      <c r="C156" s="32" t="n"/>
      <c r="D156" s="33" t="n"/>
      <c r="E156" s="34" t="n"/>
      <c r="F156" s="35" t="n"/>
      <c r="G156" s="35" t="n"/>
      <c r="H156" s="32" t="n"/>
      <c r="I156" s="32" t="n"/>
      <c r="J156" s="32" t="n"/>
      <c r="K156" s="36">
        <f>IF(E156&lt;&gt;"",E156,IF(AND(F156&lt;&gt;"",G156&lt;&gt;""),MOD(G156-F156,1)*24,""))</f>
        <v/>
      </c>
      <c r="L156" s="37">
        <f>IF(A156="","",CHOOSE(WEEKDAY(A156,2),"Montag","Dienstag","Mittwoch","Donnerstag","Freitag","Samstag","Sonntag"))</f>
        <v/>
      </c>
      <c r="M156" s="37">
        <f>IF(A156="","",_xlfn.ISOWEEKNUM(A156))</f>
        <v/>
      </c>
      <c r="N156" s="38">
        <f>IF(A156="","",DATE(YEAR(A156),MONTH(A156),1))</f>
        <v/>
      </c>
    </row>
    <row r="157">
      <c r="A157" s="31" t="n"/>
      <c r="B157" s="32" t="n"/>
      <c r="C157" s="32" t="n"/>
      <c r="D157" s="33" t="n"/>
      <c r="E157" s="34" t="n"/>
      <c r="F157" s="35" t="n"/>
      <c r="G157" s="35" t="n"/>
      <c r="H157" s="32" t="n"/>
      <c r="I157" s="32" t="n"/>
      <c r="J157" s="32" t="n"/>
      <c r="K157" s="36">
        <f>IF(E157&lt;&gt;"",E157,IF(AND(F157&lt;&gt;"",G157&lt;&gt;""),MOD(G157-F157,1)*24,""))</f>
        <v/>
      </c>
      <c r="L157" s="37">
        <f>IF(A157="","",CHOOSE(WEEKDAY(A157,2),"Montag","Dienstag","Mittwoch","Donnerstag","Freitag","Samstag","Sonntag"))</f>
        <v/>
      </c>
      <c r="M157" s="37">
        <f>IF(A157="","",_xlfn.ISOWEEKNUM(A157))</f>
        <v/>
      </c>
      <c r="N157" s="38">
        <f>IF(A157="","",DATE(YEAR(A157),MONTH(A157),1))</f>
        <v/>
      </c>
    </row>
    <row r="158">
      <c r="A158" s="31" t="n"/>
      <c r="B158" s="32" t="n"/>
      <c r="C158" s="32" t="n"/>
      <c r="D158" s="33" t="n"/>
      <c r="E158" s="34" t="n"/>
      <c r="F158" s="35" t="n"/>
      <c r="G158" s="35" t="n"/>
      <c r="H158" s="32" t="n"/>
      <c r="I158" s="32" t="n"/>
      <c r="J158" s="32" t="n"/>
      <c r="K158" s="36">
        <f>IF(E158&lt;&gt;"",E158,IF(AND(F158&lt;&gt;"",G158&lt;&gt;""),MOD(G158-F158,1)*24,""))</f>
        <v/>
      </c>
      <c r="L158" s="37">
        <f>IF(A158="","",CHOOSE(WEEKDAY(A158,2),"Montag","Dienstag","Mittwoch","Donnerstag","Freitag","Samstag","Sonntag"))</f>
        <v/>
      </c>
      <c r="M158" s="37">
        <f>IF(A158="","",_xlfn.ISOWEEKNUM(A158))</f>
        <v/>
      </c>
      <c r="N158" s="38">
        <f>IF(A158="","",DATE(YEAR(A158),MONTH(A158),1))</f>
        <v/>
      </c>
    </row>
    <row r="159">
      <c r="A159" s="31" t="n"/>
      <c r="B159" s="32" t="n"/>
      <c r="C159" s="32" t="n"/>
      <c r="D159" s="33" t="n"/>
      <c r="E159" s="34" t="n"/>
      <c r="F159" s="35" t="n"/>
      <c r="G159" s="35" t="n"/>
      <c r="H159" s="32" t="n"/>
      <c r="I159" s="32" t="n"/>
      <c r="J159" s="32" t="n"/>
      <c r="K159" s="36">
        <f>IF(E159&lt;&gt;"",E159,IF(AND(F159&lt;&gt;"",G159&lt;&gt;""),MOD(G159-F159,1)*24,""))</f>
        <v/>
      </c>
      <c r="L159" s="37">
        <f>IF(A159="","",CHOOSE(WEEKDAY(A159,2),"Montag","Dienstag","Mittwoch","Donnerstag","Freitag","Samstag","Sonntag"))</f>
        <v/>
      </c>
      <c r="M159" s="37">
        <f>IF(A159="","",_xlfn.ISOWEEKNUM(A159))</f>
        <v/>
      </c>
      <c r="N159" s="38">
        <f>IF(A159="","",DATE(YEAR(A159),MONTH(A159),1))</f>
        <v/>
      </c>
    </row>
    <row r="160">
      <c r="A160" s="31" t="n"/>
      <c r="B160" s="32" t="n"/>
      <c r="C160" s="32" t="n"/>
      <c r="D160" s="33" t="n"/>
      <c r="E160" s="34" t="n"/>
      <c r="F160" s="35" t="n"/>
      <c r="G160" s="35" t="n"/>
      <c r="H160" s="32" t="n"/>
      <c r="I160" s="32" t="n"/>
      <c r="J160" s="32" t="n"/>
      <c r="K160" s="36">
        <f>IF(E160&lt;&gt;"",E160,IF(AND(F160&lt;&gt;"",G160&lt;&gt;""),MOD(G160-F160,1)*24,""))</f>
        <v/>
      </c>
      <c r="L160" s="37">
        <f>IF(A160="","",CHOOSE(WEEKDAY(A160,2),"Montag","Dienstag","Mittwoch","Donnerstag","Freitag","Samstag","Sonntag"))</f>
        <v/>
      </c>
      <c r="M160" s="37">
        <f>IF(A160="","",_xlfn.ISOWEEKNUM(A160))</f>
        <v/>
      </c>
      <c r="N160" s="38">
        <f>IF(A160="","",DATE(YEAR(A160),MONTH(A160),1))</f>
        <v/>
      </c>
    </row>
    <row r="161">
      <c r="A161" s="31" t="n"/>
      <c r="B161" s="32" t="n"/>
      <c r="C161" s="32" t="n"/>
      <c r="D161" s="33" t="n"/>
      <c r="E161" s="34" t="n"/>
      <c r="F161" s="35" t="n"/>
      <c r="G161" s="35" t="n"/>
      <c r="H161" s="32" t="n"/>
      <c r="I161" s="32" t="n"/>
      <c r="J161" s="32" t="n"/>
      <c r="K161" s="36">
        <f>IF(E161&lt;&gt;"",E161,IF(AND(F161&lt;&gt;"",G161&lt;&gt;""),MOD(G161-F161,1)*24,""))</f>
        <v/>
      </c>
      <c r="L161" s="37">
        <f>IF(A161="","",CHOOSE(WEEKDAY(A161,2),"Montag","Dienstag","Mittwoch","Donnerstag","Freitag","Samstag","Sonntag"))</f>
        <v/>
      </c>
      <c r="M161" s="37">
        <f>IF(A161="","",_xlfn.ISOWEEKNUM(A161))</f>
        <v/>
      </c>
      <c r="N161" s="38">
        <f>IF(A161="","",DATE(YEAR(A161),MONTH(A161),1))</f>
        <v/>
      </c>
    </row>
    <row r="162">
      <c r="A162" s="31" t="n"/>
      <c r="B162" s="32" t="n"/>
      <c r="C162" s="32" t="n"/>
      <c r="D162" s="33" t="n"/>
      <c r="E162" s="34" t="n"/>
      <c r="F162" s="35" t="n"/>
      <c r="G162" s="35" t="n"/>
      <c r="H162" s="32" t="n"/>
      <c r="I162" s="32" t="n"/>
      <c r="J162" s="32" t="n"/>
      <c r="K162" s="36">
        <f>IF(E162&lt;&gt;"",E162,IF(AND(F162&lt;&gt;"",G162&lt;&gt;""),MOD(G162-F162,1)*24,""))</f>
        <v/>
      </c>
      <c r="L162" s="37">
        <f>IF(A162="","",CHOOSE(WEEKDAY(A162,2),"Montag","Dienstag","Mittwoch","Donnerstag","Freitag","Samstag","Sonntag"))</f>
        <v/>
      </c>
      <c r="M162" s="37">
        <f>IF(A162="","",_xlfn.ISOWEEKNUM(A162))</f>
        <v/>
      </c>
      <c r="N162" s="38">
        <f>IF(A162="","",DATE(YEAR(A162),MONTH(A162),1))</f>
        <v/>
      </c>
    </row>
    <row r="163">
      <c r="A163" s="31" t="n"/>
      <c r="B163" s="32" t="n"/>
      <c r="C163" s="32" t="n"/>
      <c r="D163" s="33" t="n"/>
      <c r="E163" s="34" t="n"/>
      <c r="F163" s="35" t="n"/>
      <c r="G163" s="35" t="n"/>
      <c r="H163" s="32" t="n"/>
      <c r="I163" s="32" t="n"/>
      <c r="J163" s="32" t="n"/>
      <c r="K163" s="36">
        <f>IF(E163&lt;&gt;"",E163,IF(AND(F163&lt;&gt;"",G163&lt;&gt;""),MOD(G163-F163,1)*24,""))</f>
        <v/>
      </c>
      <c r="L163" s="37">
        <f>IF(A163="","",CHOOSE(WEEKDAY(A163,2),"Montag","Dienstag","Mittwoch","Donnerstag","Freitag","Samstag","Sonntag"))</f>
        <v/>
      </c>
      <c r="M163" s="37">
        <f>IF(A163="","",_xlfn.ISOWEEKNUM(A163))</f>
        <v/>
      </c>
      <c r="N163" s="38">
        <f>IF(A163="","",DATE(YEAR(A163),MONTH(A163),1))</f>
        <v/>
      </c>
    </row>
    <row r="164">
      <c r="A164" s="31" t="n"/>
      <c r="B164" s="32" t="n"/>
      <c r="C164" s="32" t="n"/>
      <c r="D164" s="33" t="n"/>
      <c r="E164" s="34" t="n"/>
      <c r="F164" s="35" t="n"/>
      <c r="G164" s="35" t="n"/>
      <c r="H164" s="32" t="n"/>
      <c r="I164" s="32" t="n"/>
      <c r="J164" s="32" t="n"/>
      <c r="K164" s="36">
        <f>IF(E164&lt;&gt;"",E164,IF(AND(F164&lt;&gt;"",G164&lt;&gt;""),MOD(G164-F164,1)*24,""))</f>
        <v/>
      </c>
      <c r="L164" s="37">
        <f>IF(A164="","",CHOOSE(WEEKDAY(A164,2),"Montag","Dienstag","Mittwoch","Donnerstag","Freitag","Samstag","Sonntag"))</f>
        <v/>
      </c>
      <c r="M164" s="37">
        <f>IF(A164="","",_xlfn.ISOWEEKNUM(A164))</f>
        <v/>
      </c>
      <c r="N164" s="38">
        <f>IF(A164="","",DATE(YEAR(A164),MONTH(A164),1))</f>
        <v/>
      </c>
    </row>
    <row r="165">
      <c r="A165" s="31" t="n"/>
      <c r="B165" s="32" t="n"/>
      <c r="C165" s="32" t="n"/>
      <c r="D165" s="33" t="n"/>
      <c r="E165" s="34" t="n"/>
      <c r="F165" s="35" t="n"/>
      <c r="G165" s="35" t="n"/>
      <c r="H165" s="32" t="n"/>
      <c r="I165" s="32" t="n"/>
      <c r="J165" s="32" t="n"/>
      <c r="K165" s="36">
        <f>IF(E165&lt;&gt;"",E165,IF(AND(F165&lt;&gt;"",G165&lt;&gt;""),MOD(G165-F165,1)*24,""))</f>
        <v/>
      </c>
      <c r="L165" s="37">
        <f>IF(A165="","",CHOOSE(WEEKDAY(A165,2),"Montag","Dienstag","Mittwoch","Donnerstag","Freitag","Samstag","Sonntag"))</f>
        <v/>
      </c>
      <c r="M165" s="37">
        <f>IF(A165="","",_xlfn.ISOWEEKNUM(A165))</f>
        <v/>
      </c>
      <c r="N165" s="38">
        <f>IF(A165="","",DATE(YEAR(A165),MONTH(A165),1))</f>
        <v/>
      </c>
    </row>
    <row r="166">
      <c r="A166" s="31" t="n"/>
      <c r="B166" s="32" t="n"/>
      <c r="C166" s="32" t="n"/>
      <c r="D166" s="33" t="n"/>
      <c r="E166" s="34" t="n"/>
      <c r="F166" s="35" t="n"/>
      <c r="G166" s="35" t="n"/>
      <c r="H166" s="32" t="n"/>
      <c r="I166" s="32" t="n"/>
      <c r="J166" s="32" t="n"/>
      <c r="K166" s="36">
        <f>IF(E166&lt;&gt;"",E166,IF(AND(F166&lt;&gt;"",G166&lt;&gt;""),MOD(G166-F166,1)*24,""))</f>
        <v/>
      </c>
      <c r="L166" s="37">
        <f>IF(A166="","",CHOOSE(WEEKDAY(A166,2),"Montag","Dienstag","Mittwoch","Donnerstag","Freitag","Samstag","Sonntag"))</f>
        <v/>
      </c>
      <c r="M166" s="37">
        <f>IF(A166="","",_xlfn.ISOWEEKNUM(A166))</f>
        <v/>
      </c>
      <c r="N166" s="38">
        <f>IF(A166="","",DATE(YEAR(A166),MONTH(A166),1))</f>
        <v/>
      </c>
    </row>
    <row r="167">
      <c r="A167" s="31" t="n"/>
      <c r="B167" s="32" t="n"/>
      <c r="C167" s="32" t="n"/>
      <c r="D167" s="33" t="n"/>
      <c r="E167" s="34" t="n"/>
      <c r="F167" s="35" t="n"/>
      <c r="G167" s="35" t="n"/>
      <c r="H167" s="32" t="n"/>
      <c r="I167" s="32" t="n"/>
      <c r="J167" s="32" t="n"/>
      <c r="K167" s="36">
        <f>IF(E167&lt;&gt;"",E167,IF(AND(F167&lt;&gt;"",G167&lt;&gt;""),MOD(G167-F167,1)*24,""))</f>
        <v/>
      </c>
      <c r="L167" s="37">
        <f>IF(A167="","",CHOOSE(WEEKDAY(A167,2),"Montag","Dienstag","Mittwoch","Donnerstag","Freitag","Samstag","Sonntag"))</f>
        <v/>
      </c>
      <c r="M167" s="37">
        <f>IF(A167="","",_xlfn.ISOWEEKNUM(A167))</f>
        <v/>
      </c>
      <c r="N167" s="38">
        <f>IF(A167="","",DATE(YEAR(A167),MONTH(A167),1))</f>
        <v/>
      </c>
    </row>
    <row r="168">
      <c r="A168" s="31" t="n"/>
      <c r="B168" s="32" t="n"/>
      <c r="C168" s="32" t="n"/>
      <c r="D168" s="33" t="n"/>
      <c r="E168" s="34" t="n"/>
      <c r="F168" s="35" t="n"/>
      <c r="G168" s="35" t="n"/>
      <c r="H168" s="32" t="n"/>
      <c r="I168" s="32" t="n"/>
      <c r="J168" s="32" t="n"/>
      <c r="K168" s="36">
        <f>IF(E168&lt;&gt;"",E168,IF(AND(F168&lt;&gt;"",G168&lt;&gt;""),MOD(G168-F168,1)*24,""))</f>
        <v/>
      </c>
      <c r="L168" s="37">
        <f>IF(A168="","",CHOOSE(WEEKDAY(A168,2),"Montag","Dienstag","Mittwoch","Donnerstag","Freitag","Samstag","Sonntag"))</f>
        <v/>
      </c>
      <c r="M168" s="37">
        <f>IF(A168="","",_xlfn.ISOWEEKNUM(A168))</f>
        <v/>
      </c>
      <c r="N168" s="38">
        <f>IF(A168="","",DATE(YEAR(A168),MONTH(A168),1))</f>
        <v/>
      </c>
    </row>
    <row r="169">
      <c r="A169" s="31" t="n"/>
      <c r="B169" s="32" t="n"/>
      <c r="C169" s="32" t="n"/>
      <c r="D169" s="33" t="n"/>
      <c r="E169" s="34" t="n"/>
      <c r="F169" s="35" t="n"/>
      <c r="G169" s="35" t="n"/>
      <c r="H169" s="32" t="n"/>
      <c r="I169" s="32" t="n"/>
      <c r="J169" s="32" t="n"/>
      <c r="K169" s="36">
        <f>IF(E169&lt;&gt;"",E169,IF(AND(F169&lt;&gt;"",G169&lt;&gt;""),MOD(G169-F169,1)*24,""))</f>
        <v/>
      </c>
      <c r="L169" s="37">
        <f>IF(A169="","",CHOOSE(WEEKDAY(A169,2),"Montag","Dienstag","Mittwoch","Donnerstag","Freitag","Samstag","Sonntag"))</f>
        <v/>
      </c>
      <c r="M169" s="37">
        <f>IF(A169="","",_xlfn.ISOWEEKNUM(A169))</f>
        <v/>
      </c>
      <c r="N169" s="38">
        <f>IF(A169="","",DATE(YEAR(A169),MONTH(A169),1))</f>
        <v/>
      </c>
    </row>
    <row r="170">
      <c r="A170" s="31" t="n"/>
      <c r="B170" s="32" t="n"/>
      <c r="C170" s="32" t="n"/>
      <c r="D170" s="33" t="n"/>
      <c r="E170" s="34" t="n"/>
      <c r="F170" s="35" t="n"/>
      <c r="G170" s="35" t="n"/>
      <c r="H170" s="32" t="n"/>
      <c r="I170" s="32" t="n"/>
      <c r="J170" s="32" t="n"/>
      <c r="K170" s="36">
        <f>IF(E170&lt;&gt;"",E170,IF(AND(F170&lt;&gt;"",G170&lt;&gt;""),MOD(G170-F170,1)*24,""))</f>
        <v/>
      </c>
      <c r="L170" s="37">
        <f>IF(A170="","",CHOOSE(WEEKDAY(A170,2),"Montag","Dienstag","Mittwoch","Donnerstag","Freitag","Samstag","Sonntag"))</f>
        <v/>
      </c>
      <c r="M170" s="37">
        <f>IF(A170="","",_xlfn.ISOWEEKNUM(A170))</f>
        <v/>
      </c>
      <c r="N170" s="38">
        <f>IF(A170="","",DATE(YEAR(A170),MONTH(A170),1))</f>
        <v/>
      </c>
    </row>
    <row r="171">
      <c r="A171" s="31" t="n"/>
      <c r="B171" s="32" t="n"/>
      <c r="C171" s="32" t="n"/>
      <c r="D171" s="33" t="n"/>
      <c r="E171" s="34" t="n"/>
      <c r="F171" s="35" t="n"/>
      <c r="G171" s="35" t="n"/>
      <c r="H171" s="32" t="n"/>
      <c r="I171" s="32" t="n"/>
      <c r="J171" s="32" t="n"/>
      <c r="K171" s="36">
        <f>IF(E171&lt;&gt;"",E171,IF(AND(F171&lt;&gt;"",G171&lt;&gt;""),MOD(G171-F171,1)*24,""))</f>
        <v/>
      </c>
      <c r="L171" s="37">
        <f>IF(A171="","",CHOOSE(WEEKDAY(A171,2),"Montag","Dienstag","Mittwoch","Donnerstag","Freitag","Samstag","Sonntag"))</f>
        <v/>
      </c>
      <c r="M171" s="37">
        <f>IF(A171="","",_xlfn.ISOWEEKNUM(A171))</f>
        <v/>
      </c>
      <c r="N171" s="38">
        <f>IF(A171="","",DATE(YEAR(A171),MONTH(A171),1))</f>
        <v/>
      </c>
    </row>
    <row r="172">
      <c r="A172" s="31" t="n"/>
      <c r="B172" s="32" t="n"/>
      <c r="C172" s="32" t="n"/>
      <c r="D172" s="33" t="n"/>
      <c r="E172" s="34" t="n"/>
      <c r="F172" s="35" t="n"/>
      <c r="G172" s="35" t="n"/>
      <c r="H172" s="32" t="n"/>
      <c r="I172" s="32" t="n"/>
      <c r="J172" s="32" t="n"/>
      <c r="K172" s="36">
        <f>IF(E172&lt;&gt;"",E172,IF(AND(F172&lt;&gt;"",G172&lt;&gt;""),MOD(G172-F172,1)*24,""))</f>
        <v/>
      </c>
      <c r="L172" s="37">
        <f>IF(A172="","",CHOOSE(WEEKDAY(A172,2),"Montag","Dienstag","Mittwoch","Donnerstag","Freitag","Samstag","Sonntag"))</f>
        <v/>
      </c>
      <c r="M172" s="37">
        <f>IF(A172="","",_xlfn.ISOWEEKNUM(A172))</f>
        <v/>
      </c>
      <c r="N172" s="38">
        <f>IF(A172="","",DATE(YEAR(A172),MONTH(A172),1))</f>
        <v/>
      </c>
    </row>
    <row r="173">
      <c r="A173" s="31" t="n"/>
      <c r="B173" s="32" t="n"/>
      <c r="C173" s="32" t="n"/>
      <c r="D173" s="33" t="n"/>
      <c r="E173" s="34" t="n"/>
      <c r="F173" s="35" t="n"/>
      <c r="G173" s="35" t="n"/>
      <c r="H173" s="32" t="n"/>
      <c r="I173" s="32" t="n"/>
      <c r="J173" s="32" t="n"/>
      <c r="K173" s="36">
        <f>IF(E173&lt;&gt;"",E173,IF(AND(F173&lt;&gt;"",G173&lt;&gt;""),MOD(G173-F173,1)*24,""))</f>
        <v/>
      </c>
      <c r="L173" s="37">
        <f>IF(A173="","",CHOOSE(WEEKDAY(A173,2),"Montag","Dienstag","Mittwoch","Donnerstag","Freitag","Samstag","Sonntag"))</f>
        <v/>
      </c>
      <c r="M173" s="37">
        <f>IF(A173="","",_xlfn.ISOWEEKNUM(A173))</f>
        <v/>
      </c>
      <c r="N173" s="38">
        <f>IF(A173="","",DATE(YEAR(A173),MONTH(A173),1))</f>
        <v/>
      </c>
    </row>
    <row r="174">
      <c r="A174" s="31" t="n"/>
      <c r="B174" s="32" t="n"/>
      <c r="C174" s="32" t="n"/>
      <c r="D174" s="33" t="n"/>
      <c r="E174" s="34" t="n"/>
      <c r="F174" s="35" t="n"/>
      <c r="G174" s="35" t="n"/>
      <c r="H174" s="32" t="n"/>
      <c r="I174" s="32" t="n"/>
      <c r="J174" s="32" t="n"/>
      <c r="K174" s="36">
        <f>IF(E174&lt;&gt;"",E174,IF(AND(F174&lt;&gt;"",G174&lt;&gt;""),MOD(G174-F174,1)*24,""))</f>
        <v/>
      </c>
      <c r="L174" s="37">
        <f>IF(A174="","",CHOOSE(WEEKDAY(A174,2),"Montag","Dienstag","Mittwoch","Donnerstag","Freitag","Samstag","Sonntag"))</f>
        <v/>
      </c>
      <c r="M174" s="37">
        <f>IF(A174="","",_xlfn.ISOWEEKNUM(A174))</f>
        <v/>
      </c>
      <c r="N174" s="38">
        <f>IF(A174="","",DATE(YEAR(A174),MONTH(A174),1))</f>
        <v/>
      </c>
    </row>
    <row r="175">
      <c r="A175" s="31" t="n"/>
      <c r="B175" s="32" t="n"/>
      <c r="C175" s="32" t="n"/>
      <c r="D175" s="33" t="n"/>
      <c r="E175" s="34" t="n"/>
      <c r="F175" s="35" t="n"/>
      <c r="G175" s="35" t="n"/>
      <c r="H175" s="32" t="n"/>
      <c r="I175" s="32" t="n"/>
      <c r="J175" s="32" t="n"/>
      <c r="K175" s="36">
        <f>IF(E175&lt;&gt;"",E175,IF(AND(F175&lt;&gt;"",G175&lt;&gt;""),MOD(G175-F175,1)*24,""))</f>
        <v/>
      </c>
      <c r="L175" s="37">
        <f>IF(A175="","",CHOOSE(WEEKDAY(A175,2),"Montag","Dienstag","Mittwoch","Donnerstag","Freitag","Samstag","Sonntag"))</f>
        <v/>
      </c>
      <c r="M175" s="37">
        <f>IF(A175="","",_xlfn.ISOWEEKNUM(A175))</f>
        <v/>
      </c>
      <c r="N175" s="38">
        <f>IF(A175="","",DATE(YEAR(A175),MONTH(A175),1))</f>
        <v/>
      </c>
    </row>
    <row r="176">
      <c r="A176" s="31" t="n"/>
      <c r="B176" s="32" t="n"/>
      <c r="C176" s="32" t="n"/>
      <c r="D176" s="33" t="n"/>
      <c r="E176" s="34" t="n"/>
      <c r="F176" s="35" t="n"/>
      <c r="G176" s="35" t="n"/>
      <c r="H176" s="32" t="n"/>
      <c r="I176" s="32" t="n"/>
      <c r="J176" s="32" t="n"/>
      <c r="K176" s="36">
        <f>IF(E176&lt;&gt;"",E176,IF(AND(F176&lt;&gt;"",G176&lt;&gt;""),MOD(G176-F176,1)*24,""))</f>
        <v/>
      </c>
      <c r="L176" s="37">
        <f>IF(A176="","",CHOOSE(WEEKDAY(A176,2),"Montag","Dienstag","Mittwoch","Donnerstag","Freitag","Samstag","Sonntag"))</f>
        <v/>
      </c>
      <c r="M176" s="37">
        <f>IF(A176="","",_xlfn.ISOWEEKNUM(A176))</f>
        <v/>
      </c>
      <c r="N176" s="38">
        <f>IF(A176="","",DATE(YEAR(A176),MONTH(A176),1))</f>
        <v/>
      </c>
    </row>
    <row r="177">
      <c r="A177" s="31" t="n"/>
      <c r="B177" s="32" t="n"/>
      <c r="C177" s="32" t="n"/>
      <c r="D177" s="33" t="n"/>
      <c r="E177" s="34" t="n"/>
      <c r="F177" s="35" t="n"/>
      <c r="G177" s="35" t="n"/>
      <c r="H177" s="32" t="n"/>
      <c r="I177" s="32" t="n"/>
      <c r="J177" s="32" t="n"/>
      <c r="K177" s="36">
        <f>IF(E177&lt;&gt;"",E177,IF(AND(F177&lt;&gt;"",G177&lt;&gt;""),MOD(G177-F177,1)*24,""))</f>
        <v/>
      </c>
      <c r="L177" s="37">
        <f>IF(A177="","",CHOOSE(WEEKDAY(A177,2),"Montag","Dienstag","Mittwoch","Donnerstag","Freitag","Samstag","Sonntag"))</f>
        <v/>
      </c>
      <c r="M177" s="37">
        <f>IF(A177="","",_xlfn.ISOWEEKNUM(A177))</f>
        <v/>
      </c>
      <c r="N177" s="38">
        <f>IF(A177="","",DATE(YEAR(A177),MONTH(A177),1))</f>
        <v/>
      </c>
    </row>
    <row r="178">
      <c r="A178" s="31" t="n"/>
      <c r="B178" s="32" t="n"/>
      <c r="C178" s="32" t="n"/>
      <c r="D178" s="33" t="n"/>
      <c r="E178" s="34" t="n"/>
      <c r="F178" s="35" t="n"/>
      <c r="G178" s="35" t="n"/>
      <c r="H178" s="32" t="n"/>
      <c r="I178" s="32" t="n"/>
      <c r="J178" s="32" t="n"/>
      <c r="K178" s="36">
        <f>IF(E178&lt;&gt;"",E178,IF(AND(F178&lt;&gt;"",G178&lt;&gt;""),MOD(G178-F178,1)*24,""))</f>
        <v/>
      </c>
      <c r="L178" s="37">
        <f>IF(A178="","",CHOOSE(WEEKDAY(A178,2),"Montag","Dienstag","Mittwoch","Donnerstag","Freitag","Samstag","Sonntag"))</f>
        <v/>
      </c>
      <c r="M178" s="37">
        <f>IF(A178="","",_xlfn.ISOWEEKNUM(A178))</f>
        <v/>
      </c>
      <c r="N178" s="38">
        <f>IF(A178="","",DATE(YEAR(A178),MONTH(A178),1))</f>
        <v/>
      </c>
    </row>
    <row r="179">
      <c r="A179" s="31" t="n"/>
      <c r="B179" s="32" t="n"/>
      <c r="C179" s="32" t="n"/>
      <c r="D179" s="33" t="n"/>
      <c r="E179" s="34" t="n"/>
      <c r="F179" s="35" t="n"/>
      <c r="G179" s="35" t="n"/>
      <c r="H179" s="32" t="n"/>
      <c r="I179" s="32" t="n"/>
      <c r="J179" s="32" t="n"/>
      <c r="K179" s="36">
        <f>IF(E179&lt;&gt;"",E179,IF(AND(F179&lt;&gt;"",G179&lt;&gt;""),MOD(G179-F179,1)*24,""))</f>
        <v/>
      </c>
      <c r="L179" s="37">
        <f>IF(A179="","",CHOOSE(WEEKDAY(A179,2),"Montag","Dienstag","Mittwoch","Donnerstag","Freitag","Samstag","Sonntag"))</f>
        <v/>
      </c>
      <c r="M179" s="37">
        <f>IF(A179="","",_xlfn.ISOWEEKNUM(A179))</f>
        <v/>
      </c>
      <c r="N179" s="38">
        <f>IF(A179="","",DATE(YEAR(A179),MONTH(A179),1))</f>
        <v/>
      </c>
    </row>
    <row r="180">
      <c r="A180" s="31" t="n"/>
      <c r="B180" s="32" t="n"/>
      <c r="C180" s="32" t="n"/>
      <c r="D180" s="33" t="n"/>
      <c r="E180" s="34" t="n"/>
      <c r="F180" s="35" t="n"/>
      <c r="G180" s="35" t="n"/>
      <c r="H180" s="32" t="n"/>
      <c r="I180" s="32" t="n"/>
      <c r="J180" s="32" t="n"/>
      <c r="K180" s="36">
        <f>IF(E180&lt;&gt;"",E180,IF(AND(F180&lt;&gt;"",G180&lt;&gt;""),MOD(G180-F180,1)*24,""))</f>
        <v/>
      </c>
      <c r="L180" s="37">
        <f>IF(A180="","",CHOOSE(WEEKDAY(A180,2),"Montag","Dienstag","Mittwoch","Donnerstag","Freitag","Samstag","Sonntag"))</f>
        <v/>
      </c>
      <c r="M180" s="37">
        <f>IF(A180="","",_xlfn.ISOWEEKNUM(A180))</f>
        <v/>
      </c>
      <c r="N180" s="38">
        <f>IF(A180="","",DATE(YEAR(A180),MONTH(A180),1))</f>
        <v/>
      </c>
    </row>
    <row r="181">
      <c r="A181" s="31" t="n"/>
      <c r="B181" s="32" t="n"/>
      <c r="C181" s="32" t="n"/>
      <c r="D181" s="33" t="n"/>
      <c r="E181" s="34" t="n"/>
      <c r="F181" s="35" t="n"/>
      <c r="G181" s="35" t="n"/>
      <c r="H181" s="32" t="n"/>
      <c r="I181" s="32" t="n"/>
      <c r="J181" s="32" t="n"/>
      <c r="K181" s="36">
        <f>IF(E181&lt;&gt;"",E181,IF(AND(F181&lt;&gt;"",G181&lt;&gt;""),MOD(G181-F181,1)*24,""))</f>
        <v/>
      </c>
      <c r="L181" s="37">
        <f>IF(A181="","",CHOOSE(WEEKDAY(A181,2),"Montag","Dienstag","Mittwoch","Donnerstag","Freitag","Samstag","Sonntag"))</f>
        <v/>
      </c>
      <c r="M181" s="37">
        <f>IF(A181="","",_xlfn.ISOWEEKNUM(A181))</f>
        <v/>
      </c>
      <c r="N181" s="38">
        <f>IF(A181="","",DATE(YEAR(A181),MONTH(A181),1))</f>
        <v/>
      </c>
    </row>
    <row r="182">
      <c r="A182" s="31" t="n"/>
      <c r="B182" s="32" t="n"/>
      <c r="C182" s="32" t="n"/>
      <c r="D182" s="33" t="n"/>
      <c r="E182" s="34" t="n"/>
      <c r="F182" s="35" t="n"/>
      <c r="G182" s="35" t="n"/>
      <c r="H182" s="32" t="n"/>
      <c r="I182" s="32" t="n"/>
      <c r="J182" s="32" t="n"/>
      <c r="K182" s="36">
        <f>IF(E182&lt;&gt;"",E182,IF(AND(F182&lt;&gt;"",G182&lt;&gt;""),MOD(G182-F182,1)*24,""))</f>
        <v/>
      </c>
      <c r="L182" s="37">
        <f>IF(A182="","",CHOOSE(WEEKDAY(A182,2),"Montag","Dienstag","Mittwoch","Donnerstag","Freitag","Samstag","Sonntag"))</f>
        <v/>
      </c>
      <c r="M182" s="37">
        <f>IF(A182="","",_xlfn.ISOWEEKNUM(A182))</f>
        <v/>
      </c>
      <c r="N182" s="38">
        <f>IF(A182="","",DATE(YEAR(A182),MONTH(A182),1))</f>
        <v/>
      </c>
    </row>
    <row r="183">
      <c r="A183" s="31" t="n"/>
      <c r="B183" s="32" t="n"/>
      <c r="C183" s="32" t="n"/>
      <c r="D183" s="33" t="n"/>
      <c r="E183" s="34" t="n"/>
      <c r="F183" s="35" t="n"/>
      <c r="G183" s="35" t="n"/>
      <c r="H183" s="32" t="n"/>
      <c r="I183" s="32" t="n"/>
      <c r="J183" s="32" t="n"/>
      <c r="K183" s="36">
        <f>IF(E183&lt;&gt;"",E183,IF(AND(F183&lt;&gt;"",G183&lt;&gt;""),MOD(G183-F183,1)*24,""))</f>
        <v/>
      </c>
      <c r="L183" s="37">
        <f>IF(A183="","",CHOOSE(WEEKDAY(A183,2),"Montag","Dienstag","Mittwoch","Donnerstag","Freitag","Samstag","Sonntag"))</f>
        <v/>
      </c>
      <c r="M183" s="37">
        <f>IF(A183="","",_xlfn.ISOWEEKNUM(A183))</f>
        <v/>
      </c>
      <c r="N183" s="38">
        <f>IF(A183="","",DATE(YEAR(A183),MONTH(A183),1))</f>
        <v/>
      </c>
    </row>
    <row r="184">
      <c r="A184" s="31" t="n"/>
      <c r="B184" s="32" t="n"/>
      <c r="C184" s="32" t="n"/>
      <c r="D184" s="33" t="n"/>
      <c r="E184" s="34" t="n"/>
      <c r="F184" s="35" t="n"/>
      <c r="G184" s="35" t="n"/>
      <c r="H184" s="32" t="n"/>
      <c r="I184" s="32" t="n"/>
      <c r="J184" s="32" t="n"/>
      <c r="K184" s="36">
        <f>IF(E184&lt;&gt;"",E184,IF(AND(F184&lt;&gt;"",G184&lt;&gt;""),MOD(G184-F184,1)*24,""))</f>
        <v/>
      </c>
      <c r="L184" s="37">
        <f>IF(A184="","",CHOOSE(WEEKDAY(A184,2),"Montag","Dienstag","Mittwoch","Donnerstag","Freitag","Samstag","Sonntag"))</f>
        <v/>
      </c>
      <c r="M184" s="37">
        <f>IF(A184="","",_xlfn.ISOWEEKNUM(A184))</f>
        <v/>
      </c>
      <c r="N184" s="38">
        <f>IF(A184="","",DATE(YEAR(A184),MONTH(A184),1))</f>
        <v/>
      </c>
    </row>
    <row r="185">
      <c r="A185" s="31" t="n"/>
      <c r="B185" s="32" t="n"/>
      <c r="C185" s="32" t="n"/>
      <c r="D185" s="33" t="n"/>
      <c r="E185" s="34" t="n"/>
      <c r="F185" s="35" t="n"/>
      <c r="G185" s="35" t="n"/>
      <c r="H185" s="32" t="n"/>
      <c r="I185" s="32" t="n"/>
      <c r="J185" s="32" t="n"/>
      <c r="K185" s="36">
        <f>IF(E185&lt;&gt;"",E185,IF(AND(F185&lt;&gt;"",G185&lt;&gt;""),MOD(G185-F185,1)*24,""))</f>
        <v/>
      </c>
      <c r="L185" s="37">
        <f>IF(A185="","",CHOOSE(WEEKDAY(A185,2),"Montag","Dienstag","Mittwoch","Donnerstag","Freitag","Samstag","Sonntag"))</f>
        <v/>
      </c>
      <c r="M185" s="37">
        <f>IF(A185="","",_xlfn.ISOWEEKNUM(A185))</f>
        <v/>
      </c>
      <c r="N185" s="38">
        <f>IF(A185="","",DATE(YEAR(A185),MONTH(A185),1))</f>
        <v/>
      </c>
    </row>
    <row r="186">
      <c r="A186" s="31" t="n"/>
      <c r="B186" s="32" t="n"/>
      <c r="C186" s="32" t="n"/>
      <c r="D186" s="33" t="n"/>
      <c r="E186" s="34" t="n"/>
      <c r="F186" s="35" t="n"/>
      <c r="G186" s="35" t="n"/>
      <c r="H186" s="32" t="n"/>
      <c r="I186" s="32" t="n"/>
      <c r="J186" s="32" t="n"/>
      <c r="K186" s="36">
        <f>IF(E186&lt;&gt;"",E186,IF(AND(F186&lt;&gt;"",G186&lt;&gt;""),MOD(G186-F186,1)*24,""))</f>
        <v/>
      </c>
      <c r="L186" s="37">
        <f>IF(A186="","",CHOOSE(WEEKDAY(A186,2),"Montag","Dienstag","Mittwoch","Donnerstag","Freitag","Samstag","Sonntag"))</f>
        <v/>
      </c>
      <c r="M186" s="37">
        <f>IF(A186="","",_xlfn.ISOWEEKNUM(A186))</f>
        <v/>
      </c>
      <c r="N186" s="38">
        <f>IF(A186="","",DATE(YEAR(A186),MONTH(A186),1))</f>
        <v/>
      </c>
    </row>
    <row r="187">
      <c r="A187" s="31" t="n"/>
      <c r="B187" s="32" t="n"/>
      <c r="C187" s="32" t="n"/>
      <c r="D187" s="33" t="n"/>
      <c r="E187" s="34" t="n"/>
      <c r="F187" s="35" t="n"/>
      <c r="G187" s="35" t="n"/>
      <c r="H187" s="32" t="n"/>
      <c r="I187" s="32" t="n"/>
      <c r="J187" s="32" t="n"/>
      <c r="K187" s="36">
        <f>IF(E187&lt;&gt;"",E187,IF(AND(F187&lt;&gt;"",G187&lt;&gt;""),MOD(G187-F187,1)*24,""))</f>
        <v/>
      </c>
      <c r="L187" s="37">
        <f>IF(A187="","",CHOOSE(WEEKDAY(A187,2),"Montag","Dienstag","Mittwoch","Donnerstag","Freitag","Samstag","Sonntag"))</f>
        <v/>
      </c>
      <c r="M187" s="37">
        <f>IF(A187="","",_xlfn.ISOWEEKNUM(A187))</f>
        <v/>
      </c>
      <c r="N187" s="38">
        <f>IF(A187="","",DATE(YEAR(A187),MONTH(A187),1))</f>
        <v/>
      </c>
    </row>
    <row r="188">
      <c r="A188" s="31" t="n"/>
      <c r="B188" s="32" t="n"/>
      <c r="C188" s="32" t="n"/>
      <c r="D188" s="33" t="n"/>
      <c r="E188" s="34" t="n"/>
      <c r="F188" s="35" t="n"/>
      <c r="G188" s="35" t="n"/>
      <c r="H188" s="32" t="n"/>
      <c r="I188" s="32" t="n"/>
      <c r="J188" s="32" t="n"/>
      <c r="K188" s="36">
        <f>IF(E188&lt;&gt;"",E188,IF(AND(F188&lt;&gt;"",G188&lt;&gt;""),MOD(G188-F188,1)*24,""))</f>
        <v/>
      </c>
      <c r="L188" s="37">
        <f>IF(A188="","",CHOOSE(WEEKDAY(A188,2),"Montag","Dienstag","Mittwoch","Donnerstag","Freitag","Samstag","Sonntag"))</f>
        <v/>
      </c>
      <c r="M188" s="37">
        <f>IF(A188="","",_xlfn.ISOWEEKNUM(A188))</f>
        <v/>
      </c>
      <c r="N188" s="38">
        <f>IF(A188="","",DATE(YEAR(A188),MONTH(A188),1))</f>
        <v/>
      </c>
    </row>
    <row r="189">
      <c r="A189" s="31" t="n"/>
      <c r="B189" s="32" t="n"/>
      <c r="C189" s="32" t="n"/>
      <c r="D189" s="33" t="n"/>
      <c r="E189" s="34" t="n"/>
      <c r="F189" s="35" t="n"/>
      <c r="G189" s="35" t="n"/>
      <c r="H189" s="32" t="n"/>
      <c r="I189" s="32" t="n"/>
      <c r="J189" s="32" t="n"/>
      <c r="K189" s="36">
        <f>IF(E189&lt;&gt;"",E189,IF(AND(F189&lt;&gt;"",G189&lt;&gt;""),MOD(G189-F189,1)*24,""))</f>
        <v/>
      </c>
      <c r="L189" s="37">
        <f>IF(A189="","",CHOOSE(WEEKDAY(A189,2),"Montag","Dienstag","Mittwoch","Donnerstag","Freitag","Samstag","Sonntag"))</f>
        <v/>
      </c>
      <c r="M189" s="37">
        <f>IF(A189="","",_xlfn.ISOWEEKNUM(A189))</f>
        <v/>
      </c>
      <c r="N189" s="38">
        <f>IF(A189="","",DATE(YEAR(A189),MONTH(A189),1))</f>
        <v/>
      </c>
    </row>
    <row r="190">
      <c r="A190" s="31" t="n"/>
      <c r="B190" s="32" t="n"/>
      <c r="C190" s="32" t="n"/>
      <c r="D190" s="33" t="n"/>
      <c r="E190" s="34" t="n"/>
      <c r="F190" s="35" t="n"/>
      <c r="G190" s="35" t="n"/>
      <c r="H190" s="32" t="n"/>
      <c r="I190" s="32" t="n"/>
      <c r="J190" s="32" t="n"/>
      <c r="K190" s="36">
        <f>IF(E190&lt;&gt;"",E190,IF(AND(F190&lt;&gt;"",G190&lt;&gt;""),MOD(G190-F190,1)*24,""))</f>
        <v/>
      </c>
      <c r="L190" s="37">
        <f>IF(A190="","",CHOOSE(WEEKDAY(A190,2),"Montag","Dienstag","Mittwoch","Donnerstag","Freitag","Samstag","Sonntag"))</f>
        <v/>
      </c>
      <c r="M190" s="37">
        <f>IF(A190="","",_xlfn.ISOWEEKNUM(A190))</f>
        <v/>
      </c>
      <c r="N190" s="38">
        <f>IF(A190="","",DATE(YEAR(A190),MONTH(A190),1))</f>
        <v/>
      </c>
    </row>
    <row r="191">
      <c r="A191" s="31" t="n"/>
      <c r="B191" s="32" t="n"/>
      <c r="C191" s="32" t="n"/>
      <c r="D191" s="33" t="n"/>
      <c r="E191" s="34" t="n"/>
      <c r="F191" s="35" t="n"/>
      <c r="G191" s="35" t="n"/>
      <c r="H191" s="32" t="n"/>
      <c r="I191" s="32" t="n"/>
      <c r="J191" s="32" t="n"/>
      <c r="K191" s="36">
        <f>IF(E191&lt;&gt;"",E191,IF(AND(F191&lt;&gt;"",G191&lt;&gt;""),MOD(G191-F191,1)*24,""))</f>
        <v/>
      </c>
      <c r="L191" s="37">
        <f>IF(A191="","",CHOOSE(WEEKDAY(A191,2),"Montag","Dienstag","Mittwoch","Donnerstag","Freitag","Samstag","Sonntag"))</f>
        <v/>
      </c>
      <c r="M191" s="37">
        <f>IF(A191="","",_xlfn.ISOWEEKNUM(A191))</f>
        <v/>
      </c>
      <c r="N191" s="38">
        <f>IF(A191="","",DATE(YEAR(A191),MONTH(A191),1))</f>
        <v/>
      </c>
    </row>
    <row r="192">
      <c r="A192" s="31" t="n"/>
      <c r="B192" s="32" t="n"/>
      <c r="C192" s="32" t="n"/>
      <c r="D192" s="33" t="n"/>
      <c r="E192" s="34" t="n"/>
      <c r="F192" s="35" t="n"/>
      <c r="G192" s="35" t="n"/>
      <c r="H192" s="32" t="n"/>
      <c r="I192" s="32" t="n"/>
      <c r="J192" s="32" t="n"/>
      <c r="K192" s="36">
        <f>IF(E192&lt;&gt;"",E192,IF(AND(F192&lt;&gt;"",G192&lt;&gt;""),MOD(G192-F192,1)*24,""))</f>
        <v/>
      </c>
      <c r="L192" s="37">
        <f>IF(A192="","",CHOOSE(WEEKDAY(A192,2),"Montag","Dienstag","Mittwoch","Donnerstag","Freitag","Samstag","Sonntag"))</f>
        <v/>
      </c>
      <c r="M192" s="37">
        <f>IF(A192="","",_xlfn.ISOWEEKNUM(A192))</f>
        <v/>
      </c>
      <c r="N192" s="38">
        <f>IF(A192="","",DATE(YEAR(A192),MONTH(A192),1))</f>
        <v/>
      </c>
    </row>
    <row r="193">
      <c r="A193" s="31" t="n"/>
      <c r="B193" s="32" t="n"/>
      <c r="C193" s="32" t="n"/>
      <c r="D193" s="33" t="n"/>
      <c r="E193" s="34" t="n"/>
      <c r="F193" s="35" t="n"/>
      <c r="G193" s="35" t="n"/>
      <c r="H193" s="32" t="n"/>
      <c r="I193" s="32" t="n"/>
      <c r="J193" s="32" t="n"/>
      <c r="K193" s="36">
        <f>IF(E193&lt;&gt;"",E193,IF(AND(F193&lt;&gt;"",G193&lt;&gt;""),MOD(G193-F193,1)*24,""))</f>
        <v/>
      </c>
      <c r="L193" s="37">
        <f>IF(A193="","",CHOOSE(WEEKDAY(A193,2),"Montag","Dienstag","Mittwoch","Donnerstag","Freitag","Samstag","Sonntag"))</f>
        <v/>
      </c>
      <c r="M193" s="37">
        <f>IF(A193="","",_xlfn.ISOWEEKNUM(A193))</f>
        <v/>
      </c>
      <c r="N193" s="38">
        <f>IF(A193="","",DATE(YEAR(A193),MONTH(A193),1))</f>
        <v/>
      </c>
    </row>
    <row r="194">
      <c r="A194" s="31" t="n"/>
      <c r="B194" s="32" t="n"/>
      <c r="C194" s="32" t="n"/>
      <c r="D194" s="33" t="n"/>
      <c r="E194" s="34" t="n"/>
      <c r="F194" s="35" t="n"/>
      <c r="G194" s="35" t="n"/>
      <c r="H194" s="32" t="n"/>
      <c r="I194" s="32" t="n"/>
      <c r="J194" s="32" t="n"/>
      <c r="K194" s="36">
        <f>IF(E194&lt;&gt;"",E194,IF(AND(F194&lt;&gt;"",G194&lt;&gt;""),MOD(G194-F194,1)*24,""))</f>
        <v/>
      </c>
      <c r="L194" s="37">
        <f>IF(A194="","",CHOOSE(WEEKDAY(A194,2),"Montag","Dienstag","Mittwoch","Donnerstag","Freitag","Samstag","Sonntag"))</f>
        <v/>
      </c>
      <c r="M194" s="37">
        <f>IF(A194="","",_xlfn.ISOWEEKNUM(A194))</f>
        <v/>
      </c>
      <c r="N194" s="38">
        <f>IF(A194="","",DATE(YEAR(A194),MONTH(A194),1))</f>
        <v/>
      </c>
    </row>
    <row r="195">
      <c r="A195" s="31" t="n"/>
      <c r="B195" s="32" t="n"/>
      <c r="C195" s="32" t="n"/>
      <c r="D195" s="33" t="n"/>
      <c r="E195" s="34" t="n"/>
      <c r="F195" s="35" t="n"/>
      <c r="G195" s="35" t="n"/>
      <c r="H195" s="32" t="n"/>
      <c r="I195" s="32" t="n"/>
      <c r="J195" s="32" t="n"/>
      <c r="K195" s="36">
        <f>IF(E195&lt;&gt;"",E195,IF(AND(F195&lt;&gt;"",G195&lt;&gt;""),MOD(G195-F195,1)*24,""))</f>
        <v/>
      </c>
      <c r="L195" s="37">
        <f>IF(A195="","",CHOOSE(WEEKDAY(A195,2),"Montag","Dienstag","Mittwoch","Donnerstag","Freitag","Samstag","Sonntag"))</f>
        <v/>
      </c>
      <c r="M195" s="37">
        <f>IF(A195="","",_xlfn.ISOWEEKNUM(A195))</f>
        <v/>
      </c>
      <c r="N195" s="38">
        <f>IF(A195="","",DATE(YEAR(A195),MONTH(A195),1))</f>
        <v/>
      </c>
    </row>
    <row r="196">
      <c r="A196" s="31" t="n"/>
      <c r="B196" s="32" t="n"/>
      <c r="C196" s="32" t="n"/>
      <c r="D196" s="33" t="n"/>
      <c r="E196" s="34" t="n"/>
      <c r="F196" s="35" t="n"/>
      <c r="G196" s="35" t="n"/>
      <c r="H196" s="32" t="n"/>
      <c r="I196" s="32" t="n"/>
      <c r="J196" s="32" t="n"/>
      <c r="K196" s="36">
        <f>IF(E196&lt;&gt;"",E196,IF(AND(F196&lt;&gt;"",G196&lt;&gt;""),MOD(G196-F196,1)*24,""))</f>
        <v/>
      </c>
      <c r="L196" s="37">
        <f>IF(A196="","",CHOOSE(WEEKDAY(A196,2),"Montag","Dienstag","Mittwoch","Donnerstag","Freitag","Samstag","Sonntag"))</f>
        <v/>
      </c>
      <c r="M196" s="37">
        <f>IF(A196="","",_xlfn.ISOWEEKNUM(A196))</f>
        <v/>
      </c>
      <c r="N196" s="38">
        <f>IF(A196="","",DATE(YEAR(A196),MONTH(A196),1))</f>
        <v/>
      </c>
    </row>
    <row r="197">
      <c r="A197" s="31" t="n"/>
      <c r="B197" s="32" t="n"/>
      <c r="C197" s="32" t="n"/>
      <c r="D197" s="33" t="n"/>
      <c r="E197" s="34" t="n"/>
      <c r="F197" s="35" t="n"/>
      <c r="G197" s="35" t="n"/>
      <c r="H197" s="32" t="n"/>
      <c r="I197" s="32" t="n"/>
      <c r="J197" s="32" t="n"/>
      <c r="K197" s="36">
        <f>IF(E197&lt;&gt;"",E197,IF(AND(F197&lt;&gt;"",G197&lt;&gt;""),MOD(G197-F197,1)*24,""))</f>
        <v/>
      </c>
      <c r="L197" s="37">
        <f>IF(A197="","",CHOOSE(WEEKDAY(A197,2),"Montag","Dienstag","Mittwoch","Donnerstag","Freitag","Samstag","Sonntag"))</f>
        <v/>
      </c>
      <c r="M197" s="37">
        <f>IF(A197="","",_xlfn.ISOWEEKNUM(A197))</f>
        <v/>
      </c>
      <c r="N197" s="38">
        <f>IF(A197="","",DATE(YEAR(A197),MONTH(A197),1))</f>
        <v/>
      </c>
    </row>
    <row r="198">
      <c r="A198" s="31" t="n"/>
      <c r="B198" s="32" t="n"/>
      <c r="C198" s="32" t="n"/>
      <c r="D198" s="33" t="n"/>
      <c r="E198" s="34" t="n"/>
      <c r="F198" s="35" t="n"/>
      <c r="G198" s="35" t="n"/>
      <c r="H198" s="32" t="n"/>
      <c r="I198" s="32" t="n"/>
      <c r="J198" s="32" t="n"/>
      <c r="K198" s="36">
        <f>IF(E198&lt;&gt;"",E198,IF(AND(F198&lt;&gt;"",G198&lt;&gt;""),MOD(G198-F198,1)*24,""))</f>
        <v/>
      </c>
      <c r="L198" s="37">
        <f>IF(A198="","",CHOOSE(WEEKDAY(A198,2),"Montag","Dienstag","Mittwoch","Donnerstag","Freitag","Samstag","Sonntag"))</f>
        <v/>
      </c>
      <c r="M198" s="37">
        <f>IF(A198="","",_xlfn.ISOWEEKNUM(A198))</f>
        <v/>
      </c>
      <c r="N198" s="38">
        <f>IF(A198="","",DATE(YEAR(A198),MONTH(A198),1))</f>
        <v/>
      </c>
    </row>
    <row r="199">
      <c r="A199" s="31" t="n"/>
      <c r="B199" s="32" t="n"/>
      <c r="C199" s="32" t="n"/>
      <c r="D199" s="33" t="n"/>
      <c r="E199" s="34" t="n"/>
      <c r="F199" s="35" t="n"/>
      <c r="G199" s="35" t="n"/>
      <c r="H199" s="32" t="n"/>
      <c r="I199" s="32" t="n"/>
      <c r="J199" s="32" t="n"/>
      <c r="K199" s="36">
        <f>IF(E199&lt;&gt;"",E199,IF(AND(F199&lt;&gt;"",G199&lt;&gt;""),MOD(G199-F199,1)*24,""))</f>
        <v/>
      </c>
      <c r="L199" s="37">
        <f>IF(A199="","",CHOOSE(WEEKDAY(A199,2),"Montag","Dienstag","Mittwoch","Donnerstag","Freitag","Samstag","Sonntag"))</f>
        <v/>
      </c>
      <c r="M199" s="37">
        <f>IF(A199="","",_xlfn.ISOWEEKNUM(A199))</f>
        <v/>
      </c>
      <c r="N199" s="38">
        <f>IF(A199="","",DATE(YEAR(A199),MONTH(A199),1))</f>
        <v/>
      </c>
    </row>
    <row r="200">
      <c r="A200" s="31" t="n"/>
      <c r="B200" s="32" t="n"/>
      <c r="C200" s="32" t="n"/>
      <c r="D200" s="33" t="n"/>
      <c r="E200" s="34" t="n"/>
      <c r="F200" s="35" t="n"/>
      <c r="G200" s="35" t="n"/>
      <c r="H200" s="32" t="n"/>
      <c r="I200" s="32" t="n"/>
      <c r="J200" s="32" t="n"/>
      <c r="K200" s="36">
        <f>IF(E200&lt;&gt;"",E200,IF(AND(F200&lt;&gt;"",G200&lt;&gt;""),MOD(G200-F200,1)*24,""))</f>
        <v/>
      </c>
      <c r="L200" s="37">
        <f>IF(A200="","",CHOOSE(WEEKDAY(A200,2),"Montag","Dienstag","Mittwoch","Donnerstag","Freitag","Samstag","Sonntag"))</f>
        <v/>
      </c>
      <c r="M200" s="37">
        <f>IF(A200="","",_xlfn.ISOWEEKNUM(A200))</f>
        <v/>
      </c>
      <c r="N200" s="38">
        <f>IF(A200="","",DATE(YEAR(A200),MONTH(A200),1))</f>
        <v/>
      </c>
    </row>
    <row r="201">
      <c r="A201" s="31" t="n"/>
      <c r="B201" s="32" t="n"/>
      <c r="C201" s="32" t="n"/>
      <c r="D201" s="33" t="n"/>
      <c r="E201" s="34" t="n"/>
      <c r="F201" s="35" t="n"/>
      <c r="G201" s="35" t="n"/>
      <c r="H201" s="32" t="n"/>
      <c r="I201" s="32" t="n"/>
      <c r="J201" s="32" t="n"/>
      <c r="K201" s="36">
        <f>IF(E201&lt;&gt;"",E201,IF(AND(F201&lt;&gt;"",G201&lt;&gt;""),MOD(G201-F201,1)*24,""))</f>
        <v/>
      </c>
      <c r="L201" s="37">
        <f>IF(A201="","",CHOOSE(WEEKDAY(A201,2),"Montag","Dienstag","Mittwoch","Donnerstag","Freitag","Samstag","Sonntag"))</f>
        <v/>
      </c>
      <c r="M201" s="37">
        <f>IF(A201="","",_xlfn.ISOWEEKNUM(A201))</f>
        <v/>
      </c>
      <c r="N201" s="38">
        <f>IF(A201="","",DATE(YEAR(A201),MONTH(A201),1))</f>
        <v/>
      </c>
    </row>
    <row r="202">
      <c r="A202" s="31" t="n"/>
      <c r="B202" s="32" t="n"/>
      <c r="C202" s="32" t="n"/>
      <c r="D202" s="33" t="n"/>
      <c r="E202" s="34" t="n"/>
      <c r="F202" s="35" t="n"/>
      <c r="G202" s="35" t="n"/>
      <c r="H202" s="32" t="n"/>
      <c r="I202" s="32" t="n"/>
      <c r="J202" s="32" t="n"/>
      <c r="K202" s="36">
        <f>IF(E202&lt;&gt;"",E202,IF(AND(F202&lt;&gt;"",G202&lt;&gt;""),MOD(G202-F202,1)*24,""))</f>
        <v/>
      </c>
      <c r="L202" s="37">
        <f>IF(A202="","",CHOOSE(WEEKDAY(A202,2),"Montag","Dienstag","Mittwoch","Donnerstag","Freitag","Samstag","Sonntag"))</f>
        <v/>
      </c>
      <c r="M202" s="37">
        <f>IF(A202="","",_xlfn.ISOWEEKNUM(A202))</f>
        <v/>
      </c>
      <c r="N202" s="38">
        <f>IF(A202="","",DATE(YEAR(A202),MONTH(A202),1))</f>
        <v/>
      </c>
    </row>
    <row r="203">
      <c r="A203" s="31" t="n"/>
      <c r="B203" s="32" t="n"/>
      <c r="C203" s="32" t="n"/>
      <c r="D203" s="33" t="n"/>
      <c r="E203" s="34" t="n"/>
      <c r="F203" s="35" t="n"/>
      <c r="G203" s="35" t="n"/>
      <c r="H203" s="32" t="n"/>
      <c r="I203" s="32" t="n"/>
      <c r="J203" s="32" t="n"/>
      <c r="K203" s="36">
        <f>IF(E203&lt;&gt;"",E203,IF(AND(F203&lt;&gt;"",G203&lt;&gt;""),MOD(G203-F203,1)*24,""))</f>
        <v/>
      </c>
      <c r="L203" s="37">
        <f>IF(A203="","",CHOOSE(WEEKDAY(A203,2),"Montag","Dienstag","Mittwoch","Donnerstag","Freitag","Samstag","Sonntag"))</f>
        <v/>
      </c>
      <c r="M203" s="37">
        <f>IF(A203="","",_xlfn.ISOWEEKNUM(A203))</f>
        <v/>
      </c>
      <c r="N203" s="38">
        <f>IF(A203="","",DATE(YEAR(A203),MONTH(A203),1))</f>
        <v/>
      </c>
    </row>
    <row r="204">
      <c r="A204" s="31" t="n"/>
      <c r="B204" s="32" t="n"/>
      <c r="C204" s="32" t="n"/>
      <c r="D204" s="33" t="n"/>
      <c r="E204" s="34" t="n"/>
      <c r="F204" s="35" t="n"/>
      <c r="G204" s="35" t="n"/>
      <c r="H204" s="32" t="n"/>
      <c r="I204" s="32" t="n"/>
      <c r="J204" s="32" t="n"/>
      <c r="K204" s="36">
        <f>IF(E204&lt;&gt;"",E204,IF(AND(F204&lt;&gt;"",G204&lt;&gt;""),MOD(G204-F204,1)*24,""))</f>
        <v/>
      </c>
      <c r="L204" s="37">
        <f>IF(A204="","",CHOOSE(WEEKDAY(A204,2),"Montag","Dienstag","Mittwoch","Donnerstag","Freitag","Samstag","Sonntag"))</f>
        <v/>
      </c>
      <c r="M204" s="37">
        <f>IF(A204="","",_xlfn.ISOWEEKNUM(A204))</f>
        <v/>
      </c>
      <c r="N204" s="38">
        <f>IF(A204="","",DATE(YEAR(A204),MONTH(A204),1))</f>
        <v/>
      </c>
    </row>
    <row r="205">
      <c r="A205" s="31" t="n"/>
      <c r="B205" s="32" t="n"/>
      <c r="C205" s="32" t="n"/>
      <c r="D205" s="33" t="n"/>
      <c r="E205" s="34" t="n"/>
      <c r="F205" s="35" t="n"/>
      <c r="G205" s="35" t="n"/>
      <c r="H205" s="32" t="n"/>
      <c r="I205" s="32" t="n"/>
      <c r="J205" s="32" t="n"/>
      <c r="K205" s="36">
        <f>IF(E205&lt;&gt;"",E205,IF(AND(F205&lt;&gt;"",G205&lt;&gt;""),MOD(G205-F205,1)*24,""))</f>
        <v/>
      </c>
      <c r="L205" s="37">
        <f>IF(A205="","",CHOOSE(WEEKDAY(A205,2),"Montag","Dienstag","Mittwoch","Donnerstag","Freitag","Samstag","Sonntag"))</f>
        <v/>
      </c>
      <c r="M205" s="37">
        <f>IF(A205="","",_xlfn.ISOWEEKNUM(A205))</f>
        <v/>
      </c>
      <c r="N205" s="38">
        <f>IF(A205="","",DATE(YEAR(A205),MONTH(A205),1))</f>
        <v/>
      </c>
    </row>
    <row r="206">
      <c r="A206" s="31" t="n"/>
      <c r="B206" s="32" t="n"/>
      <c r="C206" s="32" t="n"/>
      <c r="D206" s="33" t="n"/>
      <c r="E206" s="34" t="n"/>
      <c r="F206" s="35" t="n"/>
      <c r="G206" s="35" t="n"/>
      <c r="H206" s="32" t="n"/>
      <c r="I206" s="32" t="n"/>
      <c r="J206" s="32" t="n"/>
      <c r="K206" s="36">
        <f>IF(E206&lt;&gt;"",E206,IF(AND(F206&lt;&gt;"",G206&lt;&gt;""),MOD(G206-F206,1)*24,""))</f>
        <v/>
      </c>
      <c r="L206" s="37">
        <f>IF(A206="","",CHOOSE(WEEKDAY(A206,2),"Montag","Dienstag","Mittwoch","Donnerstag","Freitag","Samstag","Sonntag"))</f>
        <v/>
      </c>
      <c r="M206" s="37">
        <f>IF(A206="","",_xlfn.ISOWEEKNUM(A206))</f>
        <v/>
      </c>
      <c r="N206" s="38">
        <f>IF(A206="","",DATE(YEAR(A206),MONTH(A206),1))</f>
        <v/>
      </c>
    </row>
    <row r="207">
      <c r="A207" s="31" t="n"/>
      <c r="B207" s="32" t="n"/>
      <c r="C207" s="32" t="n"/>
      <c r="D207" s="33" t="n"/>
      <c r="E207" s="34" t="n"/>
      <c r="F207" s="35" t="n"/>
      <c r="G207" s="35" t="n"/>
      <c r="H207" s="32" t="n"/>
      <c r="I207" s="32" t="n"/>
      <c r="J207" s="32" t="n"/>
      <c r="K207" s="36">
        <f>IF(E207&lt;&gt;"",E207,IF(AND(F207&lt;&gt;"",G207&lt;&gt;""),MOD(G207-F207,1)*24,""))</f>
        <v/>
      </c>
      <c r="L207" s="37">
        <f>IF(A207="","",CHOOSE(WEEKDAY(A207,2),"Montag","Dienstag","Mittwoch","Donnerstag","Freitag","Samstag","Sonntag"))</f>
        <v/>
      </c>
      <c r="M207" s="37">
        <f>IF(A207="","",_xlfn.ISOWEEKNUM(A207))</f>
        <v/>
      </c>
      <c r="N207" s="38">
        <f>IF(A207="","",DATE(YEAR(A207),MONTH(A207),1))</f>
        <v/>
      </c>
    </row>
    <row r="208">
      <c r="A208" s="31" t="n"/>
      <c r="B208" s="32" t="n"/>
      <c r="C208" s="32" t="n"/>
      <c r="D208" s="33" t="n"/>
      <c r="E208" s="34" t="n"/>
      <c r="F208" s="35" t="n"/>
      <c r="G208" s="35" t="n"/>
      <c r="H208" s="32" t="n"/>
      <c r="I208" s="32" t="n"/>
      <c r="J208" s="32" t="n"/>
      <c r="K208" s="36">
        <f>IF(E208&lt;&gt;"",E208,IF(AND(F208&lt;&gt;"",G208&lt;&gt;""),MOD(G208-F208,1)*24,""))</f>
        <v/>
      </c>
      <c r="L208" s="37">
        <f>IF(A208="","",CHOOSE(WEEKDAY(A208,2),"Montag","Dienstag","Mittwoch","Donnerstag","Freitag","Samstag","Sonntag"))</f>
        <v/>
      </c>
      <c r="M208" s="37">
        <f>IF(A208="","",_xlfn.ISOWEEKNUM(A208))</f>
        <v/>
      </c>
      <c r="N208" s="38">
        <f>IF(A208="","",DATE(YEAR(A208),MONTH(A208),1))</f>
        <v/>
      </c>
    </row>
    <row r="209">
      <c r="A209" s="31" t="n"/>
      <c r="B209" s="32" t="n"/>
      <c r="C209" s="32" t="n"/>
      <c r="D209" s="33" t="n"/>
      <c r="E209" s="34" t="n"/>
      <c r="F209" s="35" t="n"/>
      <c r="G209" s="35" t="n"/>
      <c r="H209" s="32" t="n"/>
      <c r="I209" s="32" t="n"/>
      <c r="J209" s="32" t="n"/>
      <c r="K209" s="36">
        <f>IF(E209&lt;&gt;"",E209,IF(AND(F209&lt;&gt;"",G209&lt;&gt;""),MOD(G209-F209,1)*24,""))</f>
        <v/>
      </c>
      <c r="L209" s="37">
        <f>IF(A209="","",CHOOSE(WEEKDAY(A209,2),"Montag","Dienstag","Mittwoch","Donnerstag","Freitag","Samstag","Sonntag"))</f>
        <v/>
      </c>
      <c r="M209" s="37">
        <f>IF(A209="","",_xlfn.ISOWEEKNUM(A209))</f>
        <v/>
      </c>
      <c r="N209" s="38">
        <f>IF(A209="","",DATE(YEAR(A209),MONTH(A209),1))</f>
        <v/>
      </c>
    </row>
    <row r="210">
      <c r="A210" s="31" t="n"/>
      <c r="B210" s="32" t="n"/>
      <c r="C210" s="32" t="n"/>
      <c r="D210" s="33" t="n"/>
      <c r="E210" s="34" t="n"/>
      <c r="F210" s="35" t="n"/>
      <c r="G210" s="35" t="n"/>
      <c r="H210" s="32" t="n"/>
      <c r="I210" s="32" t="n"/>
      <c r="J210" s="32" t="n"/>
      <c r="K210" s="36">
        <f>IF(E210&lt;&gt;"",E210,IF(AND(F210&lt;&gt;"",G210&lt;&gt;""),MOD(G210-F210,1)*24,""))</f>
        <v/>
      </c>
      <c r="L210" s="37">
        <f>IF(A210="","",CHOOSE(WEEKDAY(A210,2),"Montag","Dienstag","Mittwoch","Donnerstag","Freitag","Samstag","Sonntag"))</f>
        <v/>
      </c>
      <c r="M210" s="37">
        <f>IF(A210="","",_xlfn.ISOWEEKNUM(A210))</f>
        <v/>
      </c>
      <c r="N210" s="38">
        <f>IF(A210="","",DATE(YEAR(A210),MONTH(A210),1))</f>
        <v/>
      </c>
    </row>
    <row r="211">
      <c r="A211" s="31" t="n"/>
      <c r="B211" s="32" t="n"/>
      <c r="C211" s="32" t="n"/>
      <c r="D211" s="33" t="n"/>
      <c r="E211" s="34" t="n"/>
      <c r="F211" s="35" t="n"/>
      <c r="G211" s="35" t="n"/>
      <c r="H211" s="32" t="n"/>
      <c r="I211" s="32" t="n"/>
      <c r="J211" s="32" t="n"/>
      <c r="K211" s="36">
        <f>IF(E211&lt;&gt;"",E211,IF(AND(F211&lt;&gt;"",G211&lt;&gt;""),MOD(G211-F211,1)*24,""))</f>
        <v/>
      </c>
      <c r="L211" s="37">
        <f>IF(A211="","",CHOOSE(WEEKDAY(A211,2),"Montag","Dienstag","Mittwoch","Donnerstag","Freitag","Samstag","Sonntag"))</f>
        <v/>
      </c>
      <c r="M211" s="37">
        <f>IF(A211="","",_xlfn.ISOWEEKNUM(A211))</f>
        <v/>
      </c>
      <c r="N211" s="38">
        <f>IF(A211="","",DATE(YEAR(A211),MONTH(A211),1))</f>
        <v/>
      </c>
    </row>
    <row r="212">
      <c r="A212" s="31" t="n"/>
      <c r="B212" s="32" t="n"/>
      <c r="C212" s="32" t="n"/>
      <c r="D212" s="33" t="n"/>
      <c r="E212" s="34" t="n"/>
      <c r="F212" s="35" t="n"/>
      <c r="G212" s="35" t="n"/>
      <c r="H212" s="32" t="n"/>
      <c r="I212" s="32" t="n"/>
      <c r="J212" s="32" t="n"/>
      <c r="K212" s="36">
        <f>IF(E212&lt;&gt;"",E212,IF(AND(F212&lt;&gt;"",G212&lt;&gt;""),MOD(G212-F212,1)*24,""))</f>
        <v/>
      </c>
      <c r="L212" s="37">
        <f>IF(A212="","",CHOOSE(WEEKDAY(A212,2),"Montag","Dienstag","Mittwoch","Donnerstag","Freitag","Samstag","Sonntag"))</f>
        <v/>
      </c>
      <c r="M212" s="37">
        <f>IF(A212="","",_xlfn.ISOWEEKNUM(A212))</f>
        <v/>
      </c>
      <c r="N212" s="38">
        <f>IF(A212="","",DATE(YEAR(A212),MONTH(A212),1))</f>
        <v/>
      </c>
    </row>
    <row r="213">
      <c r="A213" s="31" t="n"/>
      <c r="B213" s="32" t="n"/>
      <c r="C213" s="32" t="n"/>
      <c r="D213" s="33" t="n"/>
      <c r="E213" s="34" t="n"/>
      <c r="F213" s="35" t="n"/>
      <c r="G213" s="35" t="n"/>
      <c r="H213" s="32" t="n"/>
      <c r="I213" s="32" t="n"/>
      <c r="J213" s="32" t="n"/>
      <c r="K213" s="36">
        <f>IF(E213&lt;&gt;"",E213,IF(AND(F213&lt;&gt;"",G213&lt;&gt;""),MOD(G213-F213,1)*24,""))</f>
        <v/>
      </c>
      <c r="L213" s="37">
        <f>IF(A213="","",CHOOSE(WEEKDAY(A213,2),"Montag","Dienstag","Mittwoch","Donnerstag","Freitag","Samstag","Sonntag"))</f>
        <v/>
      </c>
      <c r="M213" s="37">
        <f>IF(A213="","",_xlfn.ISOWEEKNUM(A213))</f>
        <v/>
      </c>
      <c r="N213" s="38">
        <f>IF(A213="","",DATE(YEAR(A213),MONTH(A213),1))</f>
        <v/>
      </c>
    </row>
    <row r="214">
      <c r="A214" s="31" t="n"/>
      <c r="B214" s="32" t="n"/>
      <c r="C214" s="32" t="n"/>
      <c r="D214" s="33" t="n"/>
      <c r="E214" s="34" t="n"/>
      <c r="F214" s="35" t="n"/>
      <c r="G214" s="35" t="n"/>
      <c r="H214" s="32" t="n"/>
      <c r="I214" s="32" t="n"/>
      <c r="J214" s="32" t="n"/>
      <c r="K214" s="36">
        <f>IF(E214&lt;&gt;"",E214,IF(AND(F214&lt;&gt;"",G214&lt;&gt;""),MOD(G214-F214,1)*24,""))</f>
        <v/>
      </c>
      <c r="L214" s="37">
        <f>IF(A214="","",CHOOSE(WEEKDAY(A214,2),"Montag","Dienstag","Mittwoch","Donnerstag","Freitag","Samstag","Sonntag"))</f>
        <v/>
      </c>
      <c r="M214" s="37">
        <f>IF(A214="","",_xlfn.ISOWEEKNUM(A214))</f>
        <v/>
      </c>
      <c r="N214" s="38">
        <f>IF(A214="","",DATE(YEAR(A214),MONTH(A214),1))</f>
        <v/>
      </c>
    </row>
    <row r="215">
      <c r="A215" s="31" t="n"/>
      <c r="B215" s="32" t="n"/>
      <c r="C215" s="32" t="n"/>
      <c r="D215" s="33" t="n"/>
      <c r="E215" s="34" t="n"/>
      <c r="F215" s="35" t="n"/>
      <c r="G215" s="35" t="n"/>
      <c r="H215" s="32" t="n"/>
      <c r="I215" s="32" t="n"/>
      <c r="J215" s="32" t="n"/>
      <c r="K215" s="36">
        <f>IF(E215&lt;&gt;"",E215,IF(AND(F215&lt;&gt;"",G215&lt;&gt;""),MOD(G215-F215,1)*24,""))</f>
        <v/>
      </c>
      <c r="L215" s="37">
        <f>IF(A215="","",CHOOSE(WEEKDAY(A215,2),"Montag","Dienstag","Mittwoch","Donnerstag","Freitag","Samstag","Sonntag"))</f>
        <v/>
      </c>
      <c r="M215" s="37">
        <f>IF(A215="","",_xlfn.ISOWEEKNUM(A215))</f>
        <v/>
      </c>
      <c r="N215" s="38">
        <f>IF(A215="","",DATE(YEAR(A215),MONTH(A215),1))</f>
        <v/>
      </c>
    </row>
    <row r="216">
      <c r="A216" s="31" t="n"/>
      <c r="B216" s="32" t="n"/>
      <c r="C216" s="32" t="n"/>
      <c r="D216" s="33" t="n"/>
      <c r="E216" s="34" t="n"/>
      <c r="F216" s="35" t="n"/>
      <c r="G216" s="35" t="n"/>
      <c r="H216" s="32" t="n"/>
      <c r="I216" s="32" t="n"/>
      <c r="J216" s="32" t="n"/>
      <c r="K216" s="36">
        <f>IF(E216&lt;&gt;"",E216,IF(AND(F216&lt;&gt;"",G216&lt;&gt;""),MOD(G216-F216,1)*24,""))</f>
        <v/>
      </c>
      <c r="L216" s="37">
        <f>IF(A216="","",CHOOSE(WEEKDAY(A216,2),"Montag","Dienstag","Mittwoch","Donnerstag","Freitag","Samstag","Sonntag"))</f>
        <v/>
      </c>
      <c r="M216" s="37">
        <f>IF(A216="","",_xlfn.ISOWEEKNUM(A216))</f>
        <v/>
      </c>
      <c r="N216" s="38">
        <f>IF(A216="","",DATE(YEAR(A216),MONTH(A216),1))</f>
        <v/>
      </c>
    </row>
    <row r="217">
      <c r="A217" s="31" t="n"/>
      <c r="B217" s="32" t="n"/>
      <c r="C217" s="32" t="n"/>
      <c r="D217" s="33" t="n"/>
      <c r="E217" s="34" t="n"/>
      <c r="F217" s="35" t="n"/>
      <c r="G217" s="35" t="n"/>
      <c r="H217" s="32" t="n"/>
      <c r="I217" s="32" t="n"/>
      <c r="J217" s="32" t="n"/>
      <c r="K217" s="36">
        <f>IF(E217&lt;&gt;"",E217,IF(AND(F217&lt;&gt;"",G217&lt;&gt;""),MOD(G217-F217,1)*24,""))</f>
        <v/>
      </c>
      <c r="L217" s="37">
        <f>IF(A217="","",CHOOSE(WEEKDAY(A217,2),"Montag","Dienstag","Mittwoch","Donnerstag","Freitag","Samstag","Sonntag"))</f>
        <v/>
      </c>
      <c r="M217" s="37">
        <f>IF(A217="","",_xlfn.ISOWEEKNUM(A217))</f>
        <v/>
      </c>
      <c r="N217" s="38">
        <f>IF(A217="","",DATE(YEAR(A217),MONTH(A217),1))</f>
        <v/>
      </c>
    </row>
    <row r="218">
      <c r="A218" s="31" t="n"/>
      <c r="B218" s="32" t="n"/>
      <c r="C218" s="32" t="n"/>
      <c r="D218" s="33" t="n"/>
      <c r="E218" s="34" t="n"/>
      <c r="F218" s="35" t="n"/>
      <c r="G218" s="35" t="n"/>
      <c r="H218" s="32" t="n"/>
      <c r="I218" s="32" t="n"/>
      <c r="J218" s="32" t="n"/>
      <c r="K218" s="36">
        <f>IF(E218&lt;&gt;"",E218,IF(AND(F218&lt;&gt;"",G218&lt;&gt;""),MOD(G218-F218,1)*24,""))</f>
        <v/>
      </c>
      <c r="L218" s="37">
        <f>IF(A218="","",CHOOSE(WEEKDAY(A218,2),"Montag","Dienstag","Mittwoch","Donnerstag","Freitag","Samstag","Sonntag"))</f>
        <v/>
      </c>
      <c r="M218" s="37">
        <f>IF(A218="","",_xlfn.ISOWEEKNUM(A218))</f>
        <v/>
      </c>
      <c r="N218" s="38">
        <f>IF(A218="","",DATE(YEAR(A218),MONTH(A218),1))</f>
        <v/>
      </c>
    </row>
    <row r="219">
      <c r="A219" s="31" t="n"/>
      <c r="B219" s="32" t="n"/>
      <c r="C219" s="32" t="n"/>
      <c r="D219" s="33" t="n"/>
      <c r="E219" s="34" t="n"/>
      <c r="F219" s="35" t="n"/>
      <c r="G219" s="35" t="n"/>
      <c r="H219" s="32" t="n"/>
      <c r="I219" s="32" t="n"/>
      <c r="J219" s="32" t="n"/>
      <c r="K219" s="36">
        <f>IF(E219&lt;&gt;"",E219,IF(AND(F219&lt;&gt;"",G219&lt;&gt;""),MOD(G219-F219,1)*24,""))</f>
        <v/>
      </c>
      <c r="L219" s="37">
        <f>IF(A219="","",CHOOSE(WEEKDAY(A219,2),"Montag","Dienstag","Mittwoch","Donnerstag","Freitag","Samstag","Sonntag"))</f>
        <v/>
      </c>
      <c r="M219" s="37">
        <f>IF(A219="","",_xlfn.ISOWEEKNUM(A219))</f>
        <v/>
      </c>
      <c r="N219" s="38">
        <f>IF(A219="","",DATE(YEAR(A219),MONTH(A219),1))</f>
        <v/>
      </c>
    </row>
    <row r="220">
      <c r="A220" s="31" t="n"/>
      <c r="B220" s="32" t="n"/>
      <c r="C220" s="32" t="n"/>
      <c r="D220" s="33" t="n"/>
      <c r="E220" s="34" t="n"/>
      <c r="F220" s="35" t="n"/>
      <c r="G220" s="35" t="n"/>
      <c r="H220" s="32" t="n"/>
      <c r="I220" s="32" t="n"/>
      <c r="J220" s="32" t="n"/>
      <c r="K220" s="36">
        <f>IF(E220&lt;&gt;"",E220,IF(AND(F220&lt;&gt;"",G220&lt;&gt;""),MOD(G220-F220,1)*24,""))</f>
        <v/>
      </c>
      <c r="L220" s="37">
        <f>IF(A220="","",CHOOSE(WEEKDAY(A220,2),"Montag","Dienstag","Mittwoch","Donnerstag","Freitag","Samstag","Sonntag"))</f>
        <v/>
      </c>
      <c r="M220" s="37">
        <f>IF(A220="","",_xlfn.ISOWEEKNUM(A220))</f>
        <v/>
      </c>
      <c r="N220" s="38">
        <f>IF(A220="","",DATE(YEAR(A220),MONTH(A220),1))</f>
        <v/>
      </c>
    </row>
    <row r="221">
      <c r="A221" s="31" t="n"/>
      <c r="B221" s="32" t="n"/>
      <c r="C221" s="32" t="n"/>
      <c r="D221" s="33" t="n"/>
      <c r="E221" s="34" t="n"/>
      <c r="F221" s="35" t="n"/>
      <c r="G221" s="35" t="n"/>
      <c r="H221" s="32" t="n"/>
      <c r="I221" s="32" t="n"/>
      <c r="J221" s="32" t="n"/>
      <c r="K221" s="36">
        <f>IF(E221&lt;&gt;"",E221,IF(AND(F221&lt;&gt;"",G221&lt;&gt;""),MOD(G221-F221,1)*24,""))</f>
        <v/>
      </c>
      <c r="L221" s="37">
        <f>IF(A221="","",CHOOSE(WEEKDAY(A221,2),"Montag","Dienstag","Mittwoch","Donnerstag","Freitag","Samstag","Sonntag"))</f>
        <v/>
      </c>
      <c r="M221" s="37">
        <f>IF(A221="","",_xlfn.ISOWEEKNUM(A221))</f>
        <v/>
      </c>
      <c r="N221" s="38">
        <f>IF(A221="","",DATE(YEAR(A221),MONTH(A221),1))</f>
        <v/>
      </c>
    </row>
    <row r="222">
      <c r="A222" s="31" t="n"/>
      <c r="B222" s="32" t="n"/>
      <c r="C222" s="32" t="n"/>
      <c r="D222" s="33" t="n"/>
      <c r="E222" s="34" t="n"/>
      <c r="F222" s="35" t="n"/>
      <c r="G222" s="35" t="n"/>
      <c r="H222" s="32" t="n"/>
      <c r="I222" s="32" t="n"/>
      <c r="J222" s="32" t="n"/>
      <c r="K222" s="36">
        <f>IF(E222&lt;&gt;"",E222,IF(AND(F222&lt;&gt;"",G222&lt;&gt;""),MOD(G222-F222,1)*24,""))</f>
        <v/>
      </c>
      <c r="L222" s="37">
        <f>IF(A222="","",CHOOSE(WEEKDAY(A222,2),"Montag","Dienstag","Mittwoch","Donnerstag","Freitag","Samstag","Sonntag"))</f>
        <v/>
      </c>
      <c r="M222" s="37">
        <f>IF(A222="","",_xlfn.ISOWEEKNUM(A222))</f>
        <v/>
      </c>
      <c r="N222" s="38">
        <f>IF(A222="","",DATE(YEAR(A222),MONTH(A222),1))</f>
        <v/>
      </c>
    </row>
    <row r="223">
      <c r="A223" s="31" t="n"/>
      <c r="B223" s="32" t="n"/>
      <c r="C223" s="32" t="n"/>
      <c r="D223" s="33" t="n"/>
      <c r="E223" s="34" t="n"/>
      <c r="F223" s="35" t="n"/>
      <c r="G223" s="35" t="n"/>
      <c r="H223" s="32" t="n"/>
      <c r="I223" s="32" t="n"/>
      <c r="J223" s="32" t="n"/>
      <c r="K223" s="36">
        <f>IF(E223&lt;&gt;"",E223,IF(AND(F223&lt;&gt;"",G223&lt;&gt;""),MOD(G223-F223,1)*24,""))</f>
        <v/>
      </c>
      <c r="L223" s="37">
        <f>IF(A223="","",CHOOSE(WEEKDAY(A223,2),"Montag","Dienstag","Mittwoch","Donnerstag","Freitag","Samstag","Sonntag"))</f>
        <v/>
      </c>
      <c r="M223" s="37">
        <f>IF(A223="","",_xlfn.ISOWEEKNUM(A223))</f>
        <v/>
      </c>
      <c r="N223" s="38">
        <f>IF(A223="","",DATE(YEAR(A223),MONTH(A223),1))</f>
        <v/>
      </c>
    </row>
    <row r="224">
      <c r="A224" s="31" t="n"/>
      <c r="B224" s="32" t="n"/>
      <c r="C224" s="32" t="n"/>
      <c r="D224" s="33" t="n"/>
      <c r="E224" s="34" t="n"/>
      <c r="F224" s="35" t="n"/>
      <c r="G224" s="35" t="n"/>
      <c r="H224" s="32" t="n"/>
      <c r="I224" s="32" t="n"/>
      <c r="J224" s="32" t="n"/>
      <c r="K224" s="36">
        <f>IF(E224&lt;&gt;"",E224,IF(AND(F224&lt;&gt;"",G224&lt;&gt;""),MOD(G224-F224,1)*24,""))</f>
        <v/>
      </c>
      <c r="L224" s="37">
        <f>IF(A224="","",CHOOSE(WEEKDAY(A224,2),"Montag","Dienstag","Mittwoch","Donnerstag","Freitag","Samstag","Sonntag"))</f>
        <v/>
      </c>
      <c r="M224" s="37">
        <f>IF(A224="","",_xlfn.ISOWEEKNUM(A224))</f>
        <v/>
      </c>
      <c r="N224" s="38">
        <f>IF(A224="","",DATE(YEAR(A224),MONTH(A224),1))</f>
        <v/>
      </c>
    </row>
    <row r="225">
      <c r="A225" s="31" t="n"/>
      <c r="B225" s="32" t="n"/>
      <c r="C225" s="32" t="n"/>
      <c r="D225" s="33" t="n"/>
      <c r="E225" s="34" t="n"/>
      <c r="F225" s="35" t="n"/>
      <c r="G225" s="35" t="n"/>
      <c r="H225" s="32" t="n"/>
      <c r="I225" s="32" t="n"/>
      <c r="J225" s="32" t="n"/>
      <c r="K225" s="36">
        <f>IF(E225&lt;&gt;"",E225,IF(AND(F225&lt;&gt;"",G225&lt;&gt;""),MOD(G225-F225,1)*24,""))</f>
        <v/>
      </c>
      <c r="L225" s="37">
        <f>IF(A225="","",CHOOSE(WEEKDAY(A225,2),"Montag","Dienstag","Mittwoch","Donnerstag","Freitag","Samstag","Sonntag"))</f>
        <v/>
      </c>
      <c r="M225" s="37">
        <f>IF(A225="","",_xlfn.ISOWEEKNUM(A225))</f>
        <v/>
      </c>
      <c r="N225" s="38">
        <f>IF(A225="","",DATE(YEAR(A225),MONTH(A225),1))</f>
        <v/>
      </c>
    </row>
    <row r="226">
      <c r="A226" s="31" t="n"/>
      <c r="B226" s="32" t="n"/>
      <c r="C226" s="32" t="n"/>
      <c r="D226" s="33" t="n"/>
      <c r="E226" s="34" t="n"/>
      <c r="F226" s="35" t="n"/>
      <c r="G226" s="35" t="n"/>
      <c r="H226" s="32" t="n"/>
      <c r="I226" s="32" t="n"/>
      <c r="J226" s="32" t="n"/>
      <c r="K226" s="36">
        <f>IF(E226&lt;&gt;"",E226,IF(AND(F226&lt;&gt;"",G226&lt;&gt;""),MOD(G226-F226,1)*24,""))</f>
        <v/>
      </c>
      <c r="L226" s="37">
        <f>IF(A226="","",CHOOSE(WEEKDAY(A226,2),"Montag","Dienstag","Mittwoch","Donnerstag","Freitag","Samstag","Sonntag"))</f>
        <v/>
      </c>
      <c r="M226" s="37">
        <f>IF(A226="","",_xlfn.ISOWEEKNUM(A226))</f>
        <v/>
      </c>
      <c r="N226" s="38">
        <f>IF(A226="","",DATE(YEAR(A226),MONTH(A226),1))</f>
        <v/>
      </c>
    </row>
    <row r="227">
      <c r="A227" s="31" t="n"/>
      <c r="B227" s="32" t="n"/>
      <c r="C227" s="32" t="n"/>
      <c r="D227" s="33" t="n"/>
      <c r="E227" s="34" t="n"/>
      <c r="F227" s="35" t="n"/>
      <c r="G227" s="35" t="n"/>
      <c r="H227" s="32" t="n"/>
      <c r="I227" s="32" t="n"/>
      <c r="J227" s="32" t="n"/>
      <c r="K227" s="36">
        <f>IF(E227&lt;&gt;"",E227,IF(AND(F227&lt;&gt;"",G227&lt;&gt;""),MOD(G227-F227,1)*24,""))</f>
        <v/>
      </c>
      <c r="L227" s="37">
        <f>IF(A227="","",CHOOSE(WEEKDAY(A227,2),"Montag","Dienstag","Mittwoch","Donnerstag","Freitag","Samstag","Sonntag"))</f>
        <v/>
      </c>
      <c r="M227" s="37">
        <f>IF(A227="","",_xlfn.ISOWEEKNUM(A227))</f>
        <v/>
      </c>
      <c r="N227" s="38">
        <f>IF(A227="","",DATE(YEAR(A227),MONTH(A227),1))</f>
        <v/>
      </c>
    </row>
    <row r="228">
      <c r="A228" s="31" t="n"/>
      <c r="B228" s="32" t="n"/>
      <c r="C228" s="32" t="n"/>
      <c r="D228" s="33" t="n"/>
      <c r="E228" s="34" t="n"/>
      <c r="F228" s="35" t="n"/>
      <c r="G228" s="35" t="n"/>
      <c r="H228" s="32" t="n"/>
      <c r="I228" s="32" t="n"/>
      <c r="J228" s="32" t="n"/>
      <c r="K228" s="36">
        <f>IF(E228&lt;&gt;"",E228,IF(AND(F228&lt;&gt;"",G228&lt;&gt;""),MOD(G228-F228,1)*24,""))</f>
        <v/>
      </c>
      <c r="L228" s="37">
        <f>IF(A228="","",CHOOSE(WEEKDAY(A228,2),"Montag","Dienstag","Mittwoch","Donnerstag","Freitag","Samstag","Sonntag"))</f>
        <v/>
      </c>
      <c r="M228" s="37">
        <f>IF(A228="","",_xlfn.ISOWEEKNUM(A228))</f>
        <v/>
      </c>
      <c r="N228" s="38">
        <f>IF(A228="","",DATE(YEAR(A228),MONTH(A228),1))</f>
        <v/>
      </c>
    </row>
    <row r="229">
      <c r="A229" s="31" t="n"/>
      <c r="B229" s="32" t="n"/>
      <c r="C229" s="32" t="n"/>
      <c r="D229" s="33" t="n"/>
      <c r="E229" s="34" t="n"/>
      <c r="F229" s="35" t="n"/>
      <c r="G229" s="35" t="n"/>
      <c r="H229" s="32" t="n"/>
      <c r="I229" s="32" t="n"/>
      <c r="J229" s="32" t="n"/>
      <c r="K229" s="36">
        <f>IF(E229&lt;&gt;"",E229,IF(AND(F229&lt;&gt;"",G229&lt;&gt;""),MOD(G229-F229,1)*24,""))</f>
        <v/>
      </c>
      <c r="L229" s="37">
        <f>IF(A229="","",CHOOSE(WEEKDAY(A229,2),"Montag","Dienstag","Mittwoch","Donnerstag","Freitag","Samstag","Sonntag"))</f>
        <v/>
      </c>
      <c r="M229" s="37">
        <f>IF(A229="","",_xlfn.ISOWEEKNUM(A229))</f>
        <v/>
      </c>
      <c r="N229" s="38">
        <f>IF(A229="","",DATE(YEAR(A229),MONTH(A229),1))</f>
        <v/>
      </c>
    </row>
    <row r="230">
      <c r="A230" s="31" t="n"/>
      <c r="B230" s="32" t="n"/>
      <c r="C230" s="32" t="n"/>
      <c r="D230" s="33" t="n"/>
      <c r="E230" s="34" t="n"/>
      <c r="F230" s="35" t="n"/>
      <c r="G230" s="35" t="n"/>
      <c r="H230" s="32" t="n"/>
      <c r="I230" s="32" t="n"/>
      <c r="J230" s="32" t="n"/>
      <c r="K230" s="36">
        <f>IF(E230&lt;&gt;"",E230,IF(AND(F230&lt;&gt;"",G230&lt;&gt;""),MOD(G230-F230,1)*24,""))</f>
        <v/>
      </c>
      <c r="L230" s="37">
        <f>IF(A230="","",CHOOSE(WEEKDAY(A230,2),"Montag","Dienstag","Mittwoch","Donnerstag","Freitag","Samstag","Sonntag"))</f>
        <v/>
      </c>
      <c r="M230" s="37">
        <f>IF(A230="","",_xlfn.ISOWEEKNUM(A230))</f>
        <v/>
      </c>
      <c r="N230" s="38">
        <f>IF(A230="","",DATE(YEAR(A230),MONTH(A230),1))</f>
        <v/>
      </c>
    </row>
    <row r="231">
      <c r="A231" s="31" t="n"/>
      <c r="B231" s="32" t="n"/>
      <c r="C231" s="32" t="n"/>
      <c r="D231" s="33" t="n"/>
      <c r="E231" s="34" t="n"/>
      <c r="F231" s="35" t="n"/>
      <c r="G231" s="35" t="n"/>
      <c r="H231" s="32" t="n"/>
      <c r="I231" s="32" t="n"/>
      <c r="J231" s="32" t="n"/>
      <c r="K231" s="36">
        <f>IF(E231&lt;&gt;"",E231,IF(AND(F231&lt;&gt;"",G231&lt;&gt;""),MOD(G231-F231,1)*24,""))</f>
        <v/>
      </c>
      <c r="L231" s="37">
        <f>IF(A231="","",CHOOSE(WEEKDAY(A231,2),"Montag","Dienstag","Mittwoch","Donnerstag","Freitag","Samstag","Sonntag"))</f>
        <v/>
      </c>
      <c r="M231" s="37">
        <f>IF(A231="","",_xlfn.ISOWEEKNUM(A231))</f>
        <v/>
      </c>
      <c r="N231" s="38">
        <f>IF(A231="","",DATE(YEAR(A231),MONTH(A231),1))</f>
        <v/>
      </c>
    </row>
    <row r="232">
      <c r="A232" s="31" t="n"/>
      <c r="B232" s="32" t="n"/>
      <c r="C232" s="32" t="n"/>
      <c r="D232" s="33" t="n"/>
      <c r="E232" s="34" t="n"/>
      <c r="F232" s="35" t="n"/>
      <c r="G232" s="35" t="n"/>
      <c r="H232" s="32" t="n"/>
      <c r="I232" s="32" t="n"/>
      <c r="J232" s="32" t="n"/>
      <c r="K232" s="36">
        <f>IF(E232&lt;&gt;"",E232,IF(AND(F232&lt;&gt;"",G232&lt;&gt;""),MOD(G232-F232,1)*24,""))</f>
        <v/>
      </c>
      <c r="L232" s="37">
        <f>IF(A232="","",CHOOSE(WEEKDAY(A232,2),"Montag","Dienstag","Mittwoch","Donnerstag","Freitag","Samstag","Sonntag"))</f>
        <v/>
      </c>
      <c r="M232" s="37">
        <f>IF(A232="","",_xlfn.ISOWEEKNUM(A232))</f>
        <v/>
      </c>
      <c r="N232" s="38">
        <f>IF(A232="","",DATE(YEAR(A232),MONTH(A232),1))</f>
        <v/>
      </c>
    </row>
    <row r="233">
      <c r="A233" s="31" t="n"/>
      <c r="B233" s="32" t="n"/>
      <c r="C233" s="32" t="n"/>
      <c r="D233" s="33" t="n"/>
      <c r="E233" s="34" t="n"/>
      <c r="F233" s="35" t="n"/>
      <c r="G233" s="35" t="n"/>
      <c r="H233" s="32" t="n"/>
      <c r="I233" s="32" t="n"/>
      <c r="J233" s="32" t="n"/>
      <c r="K233" s="36">
        <f>IF(E233&lt;&gt;"",E233,IF(AND(F233&lt;&gt;"",G233&lt;&gt;""),MOD(G233-F233,1)*24,""))</f>
        <v/>
      </c>
      <c r="L233" s="37">
        <f>IF(A233="","",CHOOSE(WEEKDAY(A233,2),"Montag","Dienstag","Mittwoch","Donnerstag","Freitag","Samstag","Sonntag"))</f>
        <v/>
      </c>
      <c r="M233" s="37">
        <f>IF(A233="","",_xlfn.ISOWEEKNUM(A233))</f>
        <v/>
      </c>
      <c r="N233" s="38">
        <f>IF(A233="","",DATE(YEAR(A233),MONTH(A233),1))</f>
        <v/>
      </c>
    </row>
    <row r="234">
      <c r="A234" s="31" t="n"/>
      <c r="B234" s="32" t="n"/>
      <c r="C234" s="32" t="n"/>
      <c r="D234" s="33" t="n"/>
      <c r="E234" s="34" t="n"/>
      <c r="F234" s="35" t="n"/>
      <c r="G234" s="35" t="n"/>
      <c r="H234" s="32" t="n"/>
      <c r="I234" s="32" t="n"/>
      <c r="J234" s="32" t="n"/>
      <c r="K234" s="36">
        <f>IF(E234&lt;&gt;"",E234,IF(AND(F234&lt;&gt;"",G234&lt;&gt;""),MOD(G234-F234,1)*24,""))</f>
        <v/>
      </c>
      <c r="L234" s="37">
        <f>IF(A234="","",CHOOSE(WEEKDAY(A234,2),"Montag","Dienstag","Mittwoch","Donnerstag","Freitag","Samstag","Sonntag"))</f>
        <v/>
      </c>
      <c r="M234" s="37">
        <f>IF(A234="","",_xlfn.ISOWEEKNUM(A234))</f>
        <v/>
      </c>
      <c r="N234" s="38">
        <f>IF(A234="","",DATE(YEAR(A234),MONTH(A234),1))</f>
        <v/>
      </c>
    </row>
    <row r="235">
      <c r="A235" s="31" t="n"/>
      <c r="B235" s="32" t="n"/>
      <c r="C235" s="32" t="n"/>
      <c r="D235" s="33" t="n"/>
      <c r="E235" s="34" t="n"/>
      <c r="F235" s="35" t="n"/>
      <c r="G235" s="35" t="n"/>
      <c r="H235" s="32" t="n"/>
      <c r="I235" s="32" t="n"/>
      <c r="J235" s="32" t="n"/>
      <c r="K235" s="36">
        <f>IF(E235&lt;&gt;"",E235,IF(AND(F235&lt;&gt;"",G235&lt;&gt;""),MOD(G235-F235,1)*24,""))</f>
        <v/>
      </c>
      <c r="L235" s="37">
        <f>IF(A235="","",CHOOSE(WEEKDAY(A235,2),"Montag","Dienstag","Mittwoch","Donnerstag","Freitag","Samstag","Sonntag"))</f>
        <v/>
      </c>
      <c r="M235" s="37">
        <f>IF(A235="","",_xlfn.ISOWEEKNUM(A235))</f>
        <v/>
      </c>
      <c r="N235" s="38">
        <f>IF(A235="","",DATE(YEAR(A235),MONTH(A235),1))</f>
        <v/>
      </c>
    </row>
    <row r="236">
      <c r="A236" s="31" t="n"/>
      <c r="B236" s="32" t="n"/>
      <c r="C236" s="32" t="n"/>
      <c r="D236" s="33" t="n"/>
      <c r="E236" s="34" t="n"/>
      <c r="F236" s="35" t="n"/>
      <c r="G236" s="35" t="n"/>
      <c r="H236" s="32" t="n"/>
      <c r="I236" s="32" t="n"/>
      <c r="J236" s="32" t="n"/>
      <c r="K236" s="36">
        <f>IF(E236&lt;&gt;"",E236,IF(AND(F236&lt;&gt;"",G236&lt;&gt;""),MOD(G236-F236,1)*24,""))</f>
        <v/>
      </c>
      <c r="L236" s="37">
        <f>IF(A236="","",CHOOSE(WEEKDAY(A236,2),"Montag","Dienstag","Mittwoch","Donnerstag","Freitag","Samstag","Sonntag"))</f>
        <v/>
      </c>
      <c r="M236" s="37">
        <f>IF(A236="","",_xlfn.ISOWEEKNUM(A236))</f>
        <v/>
      </c>
      <c r="N236" s="38">
        <f>IF(A236="","",DATE(YEAR(A236),MONTH(A236),1))</f>
        <v/>
      </c>
    </row>
    <row r="237">
      <c r="A237" s="31" t="n"/>
      <c r="B237" s="32" t="n"/>
      <c r="C237" s="32" t="n"/>
      <c r="D237" s="33" t="n"/>
      <c r="E237" s="34" t="n"/>
      <c r="F237" s="35" t="n"/>
      <c r="G237" s="35" t="n"/>
      <c r="H237" s="32" t="n"/>
      <c r="I237" s="32" t="n"/>
      <c r="J237" s="32" t="n"/>
      <c r="K237" s="36">
        <f>IF(E237&lt;&gt;"",E237,IF(AND(F237&lt;&gt;"",G237&lt;&gt;""),MOD(G237-F237,1)*24,""))</f>
        <v/>
      </c>
      <c r="L237" s="37">
        <f>IF(A237="","",CHOOSE(WEEKDAY(A237,2),"Montag","Dienstag","Mittwoch","Donnerstag","Freitag","Samstag","Sonntag"))</f>
        <v/>
      </c>
      <c r="M237" s="37">
        <f>IF(A237="","",_xlfn.ISOWEEKNUM(A237))</f>
        <v/>
      </c>
      <c r="N237" s="38">
        <f>IF(A237="","",DATE(YEAR(A237),MONTH(A237),1))</f>
        <v/>
      </c>
    </row>
    <row r="238">
      <c r="A238" s="31" t="n"/>
      <c r="B238" s="32" t="n"/>
      <c r="C238" s="32" t="n"/>
      <c r="D238" s="33" t="n"/>
      <c r="E238" s="34" t="n"/>
      <c r="F238" s="35" t="n"/>
      <c r="G238" s="35" t="n"/>
      <c r="H238" s="32" t="n"/>
      <c r="I238" s="32" t="n"/>
      <c r="J238" s="32" t="n"/>
      <c r="K238" s="36">
        <f>IF(E238&lt;&gt;"",E238,IF(AND(F238&lt;&gt;"",G238&lt;&gt;""),MOD(G238-F238,1)*24,""))</f>
        <v/>
      </c>
      <c r="L238" s="37">
        <f>IF(A238="","",CHOOSE(WEEKDAY(A238,2),"Montag","Dienstag","Mittwoch","Donnerstag","Freitag","Samstag","Sonntag"))</f>
        <v/>
      </c>
      <c r="M238" s="37">
        <f>IF(A238="","",_xlfn.ISOWEEKNUM(A238))</f>
        <v/>
      </c>
      <c r="N238" s="38">
        <f>IF(A238="","",DATE(YEAR(A238),MONTH(A238),1))</f>
        <v/>
      </c>
    </row>
    <row r="239">
      <c r="A239" s="31" t="n"/>
      <c r="B239" s="32" t="n"/>
      <c r="C239" s="32" t="n"/>
      <c r="D239" s="33" t="n"/>
      <c r="E239" s="34" t="n"/>
      <c r="F239" s="35" t="n"/>
      <c r="G239" s="35" t="n"/>
      <c r="H239" s="32" t="n"/>
      <c r="I239" s="32" t="n"/>
      <c r="J239" s="32" t="n"/>
      <c r="K239" s="36">
        <f>IF(E239&lt;&gt;"",E239,IF(AND(F239&lt;&gt;"",G239&lt;&gt;""),MOD(G239-F239,1)*24,""))</f>
        <v/>
      </c>
      <c r="L239" s="37">
        <f>IF(A239="","",CHOOSE(WEEKDAY(A239,2),"Montag","Dienstag","Mittwoch","Donnerstag","Freitag","Samstag","Sonntag"))</f>
        <v/>
      </c>
      <c r="M239" s="37">
        <f>IF(A239="","",_xlfn.ISOWEEKNUM(A239))</f>
        <v/>
      </c>
      <c r="N239" s="38">
        <f>IF(A239="","",DATE(YEAR(A239),MONTH(A239),1))</f>
        <v/>
      </c>
    </row>
    <row r="240">
      <c r="A240" s="31" t="n"/>
      <c r="B240" s="32" t="n"/>
      <c r="C240" s="32" t="n"/>
      <c r="D240" s="33" t="n"/>
      <c r="E240" s="34" t="n"/>
      <c r="F240" s="35" t="n"/>
      <c r="G240" s="35" t="n"/>
      <c r="H240" s="32" t="n"/>
      <c r="I240" s="32" t="n"/>
      <c r="J240" s="32" t="n"/>
      <c r="K240" s="36">
        <f>IF(E240&lt;&gt;"",E240,IF(AND(F240&lt;&gt;"",G240&lt;&gt;""),MOD(G240-F240,1)*24,""))</f>
        <v/>
      </c>
      <c r="L240" s="37">
        <f>IF(A240="","",CHOOSE(WEEKDAY(A240,2),"Montag","Dienstag","Mittwoch","Donnerstag","Freitag","Samstag","Sonntag"))</f>
        <v/>
      </c>
      <c r="M240" s="37">
        <f>IF(A240="","",_xlfn.ISOWEEKNUM(A240))</f>
        <v/>
      </c>
      <c r="N240" s="38">
        <f>IF(A240="","",DATE(YEAR(A240),MONTH(A240),1))</f>
        <v/>
      </c>
    </row>
    <row r="241">
      <c r="A241" s="31" t="n"/>
      <c r="B241" s="32" t="n"/>
      <c r="C241" s="32" t="n"/>
      <c r="D241" s="33" t="n"/>
      <c r="E241" s="34" t="n"/>
      <c r="F241" s="35" t="n"/>
      <c r="G241" s="35" t="n"/>
      <c r="H241" s="32" t="n"/>
      <c r="I241" s="32" t="n"/>
      <c r="J241" s="32" t="n"/>
      <c r="K241" s="36">
        <f>IF(E241&lt;&gt;"",E241,IF(AND(F241&lt;&gt;"",G241&lt;&gt;""),MOD(G241-F241,1)*24,""))</f>
        <v/>
      </c>
      <c r="L241" s="37">
        <f>IF(A241="","",CHOOSE(WEEKDAY(A241,2),"Montag","Dienstag","Mittwoch","Donnerstag","Freitag","Samstag","Sonntag"))</f>
        <v/>
      </c>
      <c r="M241" s="37">
        <f>IF(A241="","",_xlfn.ISOWEEKNUM(A241))</f>
        <v/>
      </c>
      <c r="N241" s="38">
        <f>IF(A241="","",DATE(YEAR(A241),MONTH(A241),1))</f>
        <v/>
      </c>
    </row>
    <row r="242">
      <c r="A242" s="31" t="n"/>
      <c r="B242" s="32" t="n"/>
      <c r="C242" s="32" t="n"/>
      <c r="D242" s="33" t="n"/>
      <c r="E242" s="34" t="n"/>
      <c r="F242" s="35" t="n"/>
      <c r="G242" s="35" t="n"/>
      <c r="H242" s="32" t="n"/>
      <c r="I242" s="32" t="n"/>
      <c r="J242" s="32" t="n"/>
      <c r="K242" s="36">
        <f>IF(E242&lt;&gt;"",E242,IF(AND(F242&lt;&gt;"",G242&lt;&gt;""),MOD(G242-F242,1)*24,""))</f>
        <v/>
      </c>
      <c r="L242" s="37">
        <f>IF(A242="","",CHOOSE(WEEKDAY(A242,2),"Montag","Dienstag","Mittwoch","Donnerstag","Freitag","Samstag","Sonntag"))</f>
        <v/>
      </c>
      <c r="M242" s="37">
        <f>IF(A242="","",_xlfn.ISOWEEKNUM(A242))</f>
        <v/>
      </c>
      <c r="N242" s="38">
        <f>IF(A242="","",DATE(YEAR(A242),MONTH(A242),1))</f>
        <v/>
      </c>
    </row>
    <row r="243">
      <c r="A243" s="31" t="n"/>
      <c r="B243" s="32" t="n"/>
      <c r="C243" s="32" t="n"/>
      <c r="D243" s="33" t="n"/>
      <c r="E243" s="34" t="n"/>
      <c r="F243" s="35" t="n"/>
      <c r="G243" s="35" t="n"/>
      <c r="H243" s="32" t="n"/>
      <c r="I243" s="32" t="n"/>
      <c r="J243" s="32" t="n"/>
      <c r="K243" s="36">
        <f>IF(E243&lt;&gt;"",E243,IF(AND(F243&lt;&gt;"",G243&lt;&gt;""),MOD(G243-F243,1)*24,""))</f>
        <v/>
      </c>
      <c r="L243" s="37">
        <f>IF(A243="","",CHOOSE(WEEKDAY(A243,2),"Montag","Dienstag","Mittwoch","Donnerstag","Freitag","Samstag","Sonntag"))</f>
        <v/>
      </c>
      <c r="M243" s="37">
        <f>IF(A243="","",_xlfn.ISOWEEKNUM(A243))</f>
        <v/>
      </c>
      <c r="N243" s="38">
        <f>IF(A243="","",DATE(YEAR(A243),MONTH(A243),1))</f>
        <v/>
      </c>
    </row>
    <row r="244">
      <c r="A244" s="31" t="n"/>
      <c r="B244" s="32" t="n"/>
      <c r="C244" s="32" t="n"/>
      <c r="D244" s="33" t="n"/>
      <c r="E244" s="34" t="n"/>
      <c r="F244" s="35" t="n"/>
      <c r="G244" s="35" t="n"/>
      <c r="H244" s="32" t="n"/>
      <c r="I244" s="32" t="n"/>
      <c r="J244" s="32" t="n"/>
      <c r="K244" s="36">
        <f>IF(E244&lt;&gt;"",E244,IF(AND(F244&lt;&gt;"",G244&lt;&gt;""),MOD(G244-F244,1)*24,""))</f>
        <v/>
      </c>
      <c r="L244" s="37">
        <f>IF(A244="","",CHOOSE(WEEKDAY(A244,2),"Montag","Dienstag","Mittwoch","Donnerstag","Freitag","Samstag","Sonntag"))</f>
        <v/>
      </c>
      <c r="M244" s="37">
        <f>IF(A244="","",_xlfn.ISOWEEKNUM(A244))</f>
        <v/>
      </c>
      <c r="N244" s="38">
        <f>IF(A244="","",DATE(YEAR(A244),MONTH(A244),1))</f>
        <v/>
      </c>
    </row>
    <row r="245">
      <c r="A245" s="31" t="n"/>
      <c r="B245" s="32" t="n"/>
      <c r="C245" s="32" t="n"/>
      <c r="D245" s="33" t="n"/>
      <c r="E245" s="34" t="n"/>
      <c r="F245" s="35" t="n"/>
      <c r="G245" s="35" t="n"/>
      <c r="H245" s="32" t="n"/>
      <c r="I245" s="32" t="n"/>
      <c r="J245" s="32" t="n"/>
      <c r="K245" s="36">
        <f>IF(E245&lt;&gt;"",E245,IF(AND(F245&lt;&gt;"",G245&lt;&gt;""),MOD(G245-F245,1)*24,""))</f>
        <v/>
      </c>
      <c r="L245" s="37">
        <f>IF(A245="","",CHOOSE(WEEKDAY(A245,2),"Montag","Dienstag","Mittwoch","Donnerstag","Freitag","Samstag","Sonntag"))</f>
        <v/>
      </c>
      <c r="M245" s="37">
        <f>IF(A245="","",_xlfn.ISOWEEKNUM(A245))</f>
        <v/>
      </c>
      <c r="N245" s="38">
        <f>IF(A245="","",DATE(YEAR(A245),MONTH(A245),1))</f>
        <v/>
      </c>
    </row>
    <row r="246">
      <c r="A246" s="31" t="n"/>
      <c r="B246" s="32" t="n"/>
      <c r="C246" s="32" t="n"/>
      <c r="D246" s="33" t="n"/>
      <c r="E246" s="34" t="n"/>
      <c r="F246" s="35" t="n"/>
      <c r="G246" s="35" t="n"/>
      <c r="H246" s="32" t="n"/>
      <c r="I246" s="32" t="n"/>
      <c r="J246" s="32" t="n"/>
      <c r="K246" s="36">
        <f>IF(E246&lt;&gt;"",E246,IF(AND(F246&lt;&gt;"",G246&lt;&gt;""),MOD(G246-F246,1)*24,""))</f>
        <v/>
      </c>
      <c r="L246" s="37">
        <f>IF(A246="","",CHOOSE(WEEKDAY(A246,2),"Montag","Dienstag","Mittwoch","Donnerstag","Freitag","Samstag","Sonntag"))</f>
        <v/>
      </c>
      <c r="M246" s="37">
        <f>IF(A246="","",_xlfn.ISOWEEKNUM(A246))</f>
        <v/>
      </c>
      <c r="N246" s="38">
        <f>IF(A246="","",DATE(YEAR(A246),MONTH(A246),1))</f>
        <v/>
      </c>
    </row>
    <row r="247">
      <c r="A247" s="31" t="n"/>
      <c r="B247" s="32" t="n"/>
      <c r="C247" s="32" t="n"/>
      <c r="D247" s="33" t="n"/>
      <c r="E247" s="34" t="n"/>
      <c r="F247" s="35" t="n"/>
      <c r="G247" s="35" t="n"/>
      <c r="H247" s="32" t="n"/>
      <c r="I247" s="32" t="n"/>
      <c r="J247" s="32" t="n"/>
      <c r="K247" s="36">
        <f>IF(E247&lt;&gt;"",E247,IF(AND(F247&lt;&gt;"",G247&lt;&gt;""),MOD(G247-F247,1)*24,""))</f>
        <v/>
      </c>
      <c r="L247" s="37">
        <f>IF(A247="","",CHOOSE(WEEKDAY(A247,2),"Montag","Dienstag","Mittwoch","Donnerstag","Freitag","Samstag","Sonntag"))</f>
        <v/>
      </c>
      <c r="M247" s="37">
        <f>IF(A247="","",_xlfn.ISOWEEKNUM(A247))</f>
        <v/>
      </c>
      <c r="N247" s="38">
        <f>IF(A247="","",DATE(YEAR(A247),MONTH(A247),1))</f>
        <v/>
      </c>
    </row>
    <row r="248">
      <c r="A248" s="31" t="n"/>
      <c r="B248" s="32" t="n"/>
      <c r="C248" s="32" t="n"/>
      <c r="D248" s="33" t="n"/>
      <c r="E248" s="34" t="n"/>
      <c r="F248" s="35" t="n"/>
      <c r="G248" s="35" t="n"/>
      <c r="H248" s="32" t="n"/>
      <c r="I248" s="32" t="n"/>
      <c r="J248" s="32" t="n"/>
      <c r="K248" s="36">
        <f>IF(E248&lt;&gt;"",E248,IF(AND(F248&lt;&gt;"",G248&lt;&gt;""),MOD(G248-F248,1)*24,""))</f>
        <v/>
      </c>
      <c r="L248" s="37">
        <f>IF(A248="","",CHOOSE(WEEKDAY(A248,2),"Montag","Dienstag","Mittwoch","Donnerstag","Freitag","Samstag","Sonntag"))</f>
        <v/>
      </c>
      <c r="M248" s="37">
        <f>IF(A248="","",_xlfn.ISOWEEKNUM(A248))</f>
        <v/>
      </c>
      <c r="N248" s="38">
        <f>IF(A248="","",DATE(YEAR(A248),MONTH(A248),1))</f>
        <v/>
      </c>
    </row>
    <row r="249">
      <c r="A249" s="31" t="n"/>
      <c r="B249" s="32" t="n"/>
      <c r="C249" s="32" t="n"/>
      <c r="D249" s="33" t="n"/>
      <c r="E249" s="34" t="n"/>
      <c r="F249" s="35" t="n"/>
      <c r="G249" s="35" t="n"/>
      <c r="H249" s="32" t="n"/>
      <c r="I249" s="32" t="n"/>
      <c r="J249" s="32" t="n"/>
      <c r="K249" s="36">
        <f>IF(E249&lt;&gt;"",E249,IF(AND(F249&lt;&gt;"",G249&lt;&gt;""),MOD(G249-F249,1)*24,""))</f>
        <v/>
      </c>
      <c r="L249" s="37">
        <f>IF(A249="","",CHOOSE(WEEKDAY(A249,2),"Montag","Dienstag","Mittwoch","Donnerstag","Freitag","Samstag","Sonntag"))</f>
        <v/>
      </c>
      <c r="M249" s="37">
        <f>IF(A249="","",_xlfn.ISOWEEKNUM(A249))</f>
        <v/>
      </c>
      <c r="N249" s="38">
        <f>IF(A249="","",DATE(YEAR(A249),MONTH(A249),1))</f>
        <v/>
      </c>
    </row>
    <row r="250">
      <c r="A250" s="31" t="n"/>
      <c r="B250" s="32" t="n"/>
      <c r="C250" s="32" t="n"/>
      <c r="D250" s="33" t="n"/>
      <c r="E250" s="34" t="n"/>
      <c r="F250" s="35" t="n"/>
      <c r="G250" s="35" t="n"/>
      <c r="H250" s="32" t="n"/>
      <c r="I250" s="32" t="n"/>
      <c r="J250" s="32" t="n"/>
      <c r="K250" s="36">
        <f>IF(E250&lt;&gt;"",E250,IF(AND(F250&lt;&gt;"",G250&lt;&gt;""),MOD(G250-F250,1)*24,""))</f>
        <v/>
      </c>
      <c r="L250" s="37">
        <f>IF(A250="","",CHOOSE(WEEKDAY(A250,2),"Montag","Dienstag","Mittwoch","Donnerstag","Freitag","Samstag","Sonntag"))</f>
        <v/>
      </c>
      <c r="M250" s="37">
        <f>IF(A250="","",_xlfn.ISOWEEKNUM(A250))</f>
        <v/>
      </c>
      <c r="N250" s="38">
        <f>IF(A250="","",DATE(YEAR(A250),MONTH(A250),1))</f>
        <v/>
      </c>
    </row>
    <row r="251">
      <c r="A251" s="31" t="n"/>
      <c r="B251" s="32" t="n"/>
      <c r="C251" s="32" t="n"/>
      <c r="D251" s="33" t="n"/>
      <c r="E251" s="34" t="n"/>
      <c r="F251" s="35" t="n"/>
      <c r="G251" s="35" t="n"/>
      <c r="H251" s="32" t="n"/>
      <c r="I251" s="32" t="n"/>
      <c r="J251" s="32" t="n"/>
      <c r="K251" s="36">
        <f>IF(E251&lt;&gt;"",E251,IF(AND(F251&lt;&gt;"",G251&lt;&gt;""),MOD(G251-F251,1)*24,""))</f>
        <v/>
      </c>
      <c r="L251" s="37">
        <f>IF(A251="","",CHOOSE(WEEKDAY(A251,2),"Montag","Dienstag","Mittwoch","Donnerstag","Freitag","Samstag","Sonntag"))</f>
        <v/>
      </c>
      <c r="M251" s="37">
        <f>IF(A251="","",_xlfn.ISOWEEKNUM(A251))</f>
        <v/>
      </c>
      <c r="N251" s="38">
        <f>IF(A251="","",DATE(YEAR(A251),MONTH(A251),1))</f>
        <v/>
      </c>
    </row>
    <row r="252">
      <c r="A252" s="31" t="n"/>
      <c r="B252" s="32" t="n"/>
      <c r="C252" s="32" t="n"/>
      <c r="D252" s="33" t="n"/>
      <c r="E252" s="34" t="n"/>
      <c r="F252" s="35" t="n"/>
      <c r="G252" s="35" t="n"/>
      <c r="H252" s="32" t="n"/>
      <c r="I252" s="32" t="n"/>
      <c r="J252" s="32" t="n"/>
      <c r="K252" s="36">
        <f>IF(E252&lt;&gt;"",E252,IF(AND(F252&lt;&gt;"",G252&lt;&gt;""),MOD(G252-F252,1)*24,""))</f>
        <v/>
      </c>
      <c r="L252" s="37">
        <f>IF(A252="","",CHOOSE(WEEKDAY(A252,2),"Montag","Dienstag","Mittwoch","Donnerstag","Freitag","Samstag","Sonntag"))</f>
        <v/>
      </c>
      <c r="M252" s="37">
        <f>IF(A252="","",_xlfn.ISOWEEKNUM(A252))</f>
        <v/>
      </c>
      <c r="N252" s="38">
        <f>IF(A252="","",DATE(YEAR(A252),MONTH(A252),1))</f>
        <v/>
      </c>
    </row>
    <row r="253">
      <c r="A253" s="31" t="n"/>
      <c r="B253" s="32" t="n"/>
      <c r="C253" s="32" t="n"/>
      <c r="D253" s="33" t="n"/>
      <c r="E253" s="34" t="n"/>
      <c r="F253" s="35" t="n"/>
      <c r="G253" s="35" t="n"/>
      <c r="H253" s="32" t="n"/>
      <c r="I253" s="32" t="n"/>
      <c r="J253" s="32" t="n"/>
      <c r="K253" s="36">
        <f>IF(E253&lt;&gt;"",E253,IF(AND(F253&lt;&gt;"",G253&lt;&gt;""),MOD(G253-F253,1)*24,""))</f>
        <v/>
      </c>
      <c r="L253" s="37">
        <f>IF(A253="","",CHOOSE(WEEKDAY(A253,2),"Montag","Dienstag","Mittwoch","Donnerstag","Freitag","Samstag","Sonntag"))</f>
        <v/>
      </c>
      <c r="M253" s="37">
        <f>IF(A253="","",_xlfn.ISOWEEKNUM(A253))</f>
        <v/>
      </c>
      <c r="N253" s="38">
        <f>IF(A253="","",DATE(YEAR(A253),MONTH(A253),1))</f>
        <v/>
      </c>
    </row>
    <row r="254">
      <c r="A254" s="31" t="n"/>
      <c r="B254" s="32" t="n"/>
      <c r="C254" s="32" t="n"/>
      <c r="D254" s="33" t="n"/>
      <c r="E254" s="34" t="n"/>
      <c r="F254" s="35" t="n"/>
      <c r="G254" s="35" t="n"/>
      <c r="H254" s="32" t="n"/>
      <c r="I254" s="32" t="n"/>
      <c r="J254" s="32" t="n"/>
      <c r="K254" s="36">
        <f>IF(E254&lt;&gt;"",E254,IF(AND(F254&lt;&gt;"",G254&lt;&gt;""),MOD(G254-F254,1)*24,""))</f>
        <v/>
      </c>
      <c r="L254" s="37">
        <f>IF(A254="","",CHOOSE(WEEKDAY(A254,2),"Montag","Dienstag","Mittwoch","Donnerstag","Freitag","Samstag","Sonntag"))</f>
        <v/>
      </c>
      <c r="M254" s="37">
        <f>IF(A254="","",_xlfn.ISOWEEKNUM(A254))</f>
        <v/>
      </c>
      <c r="N254" s="38">
        <f>IF(A254="","",DATE(YEAR(A254),MONTH(A254),1))</f>
        <v/>
      </c>
    </row>
    <row r="255">
      <c r="A255" s="31" t="n"/>
      <c r="B255" s="32" t="n"/>
      <c r="C255" s="32" t="n"/>
      <c r="D255" s="33" t="n"/>
      <c r="E255" s="34" t="n"/>
      <c r="F255" s="35" t="n"/>
      <c r="G255" s="35" t="n"/>
      <c r="H255" s="32" t="n"/>
      <c r="I255" s="32" t="n"/>
      <c r="J255" s="32" t="n"/>
      <c r="K255" s="36">
        <f>IF(E255&lt;&gt;"",E255,IF(AND(F255&lt;&gt;"",G255&lt;&gt;""),MOD(G255-F255,1)*24,""))</f>
        <v/>
      </c>
      <c r="L255" s="37">
        <f>IF(A255="","",CHOOSE(WEEKDAY(A255,2),"Montag","Dienstag","Mittwoch","Donnerstag","Freitag","Samstag","Sonntag"))</f>
        <v/>
      </c>
      <c r="M255" s="37">
        <f>IF(A255="","",_xlfn.ISOWEEKNUM(A255))</f>
        <v/>
      </c>
      <c r="N255" s="38">
        <f>IF(A255="","",DATE(YEAR(A255),MONTH(A255),1))</f>
        <v/>
      </c>
    </row>
    <row r="256">
      <c r="A256" s="31" t="n"/>
      <c r="B256" s="32" t="n"/>
      <c r="C256" s="32" t="n"/>
      <c r="D256" s="33" t="n"/>
      <c r="E256" s="34" t="n"/>
      <c r="F256" s="35" t="n"/>
      <c r="G256" s="35" t="n"/>
      <c r="H256" s="32" t="n"/>
      <c r="I256" s="32" t="n"/>
      <c r="J256" s="32" t="n"/>
      <c r="K256" s="36">
        <f>IF(E256&lt;&gt;"",E256,IF(AND(F256&lt;&gt;"",G256&lt;&gt;""),MOD(G256-F256,1)*24,""))</f>
        <v/>
      </c>
      <c r="L256" s="37">
        <f>IF(A256="","",CHOOSE(WEEKDAY(A256,2),"Montag","Dienstag","Mittwoch","Donnerstag","Freitag","Samstag","Sonntag"))</f>
        <v/>
      </c>
      <c r="M256" s="37">
        <f>IF(A256="","",_xlfn.ISOWEEKNUM(A256))</f>
        <v/>
      </c>
      <c r="N256" s="38">
        <f>IF(A256="","",DATE(YEAR(A256),MONTH(A256),1))</f>
        <v/>
      </c>
    </row>
    <row r="257">
      <c r="A257" s="31" t="n"/>
      <c r="B257" s="32" t="n"/>
      <c r="C257" s="32" t="n"/>
      <c r="D257" s="33" t="n"/>
      <c r="E257" s="34" t="n"/>
      <c r="F257" s="35" t="n"/>
      <c r="G257" s="35" t="n"/>
      <c r="H257" s="32" t="n"/>
      <c r="I257" s="32" t="n"/>
      <c r="J257" s="32" t="n"/>
      <c r="K257" s="36">
        <f>IF(E257&lt;&gt;"",E257,IF(AND(F257&lt;&gt;"",G257&lt;&gt;""),MOD(G257-F257,1)*24,""))</f>
        <v/>
      </c>
      <c r="L257" s="37">
        <f>IF(A257="","",CHOOSE(WEEKDAY(A257,2),"Montag","Dienstag","Mittwoch","Donnerstag","Freitag","Samstag","Sonntag"))</f>
        <v/>
      </c>
      <c r="M257" s="37">
        <f>IF(A257="","",_xlfn.ISOWEEKNUM(A257))</f>
        <v/>
      </c>
      <c r="N257" s="38">
        <f>IF(A257="","",DATE(YEAR(A257),MONTH(A257),1))</f>
        <v/>
      </c>
    </row>
    <row r="258">
      <c r="A258" s="31" t="n"/>
      <c r="B258" s="32" t="n"/>
      <c r="C258" s="32" t="n"/>
      <c r="D258" s="33" t="n"/>
      <c r="E258" s="34" t="n"/>
      <c r="F258" s="35" t="n"/>
      <c r="G258" s="35" t="n"/>
      <c r="H258" s="32" t="n"/>
      <c r="I258" s="32" t="n"/>
      <c r="J258" s="32" t="n"/>
      <c r="K258" s="36">
        <f>IF(E258&lt;&gt;"",E258,IF(AND(F258&lt;&gt;"",G258&lt;&gt;""),MOD(G258-F258,1)*24,""))</f>
        <v/>
      </c>
      <c r="L258" s="37">
        <f>IF(A258="","",CHOOSE(WEEKDAY(A258,2),"Montag","Dienstag","Mittwoch","Donnerstag","Freitag","Samstag","Sonntag"))</f>
        <v/>
      </c>
      <c r="M258" s="37">
        <f>IF(A258="","",_xlfn.ISOWEEKNUM(A258))</f>
        <v/>
      </c>
      <c r="N258" s="38">
        <f>IF(A258="","",DATE(YEAR(A258),MONTH(A258),1))</f>
        <v/>
      </c>
    </row>
    <row r="259">
      <c r="A259" s="31" t="n"/>
      <c r="B259" s="32" t="n"/>
      <c r="C259" s="32" t="n"/>
      <c r="D259" s="33" t="n"/>
      <c r="E259" s="34" t="n"/>
      <c r="F259" s="35" t="n"/>
      <c r="G259" s="35" t="n"/>
      <c r="H259" s="32" t="n"/>
      <c r="I259" s="32" t="n"/>
      <c r="J259" s="32" t="n"/>
      <c r="K259" s="36">
        <f>IF(E259&lt;&gt;"",E259,IF(AND(F259&lt;&gt;"",G259&lt;&gt;""),MOD(G259-F259,1)*24,""))</f>
        <v/>
      </c>
      <c r="L259" s="37">
        <f>IF(A259="","",CHOOSE(WEEKDAY(A259,2),"Montag","Dienstag","Mittwoch","Donnerstag","Freitag","Samstag","Sonntag"))</f>
        <v/>
      </c>
      <c r="M259" s="37">
        <f>IF(A259="","",_xlfn.ISOWEEKNUM(A259))</f>
        <v/>
      </c>
      <c r="N259" s="38">
        <f>IF(A259="","",DATE(YEAR(A259),MONTH(A259),1))</f>
        <v/>
      </c>
    </row>
    <row r="260">
      <c r="A260" s="31" t="n"/>
      <c r="B260" s="32" t="n"/>
      <c r="C260" s="32" t="n"/>
      <c r="D260" s="33" t="n"/>
      <c r="E260" s="34" t="n"/>
      <c r="F260" s="35" t="n"/>
      <c r="G260" s="35" t="n"/>
      <c r="H260" s="32" t="n"/>
      <c r="I260" s="32" t="n"/>
      <c r="J260" s="32" t="n"/>
      <c r="K260" s="36">
        <f>IF(E260&lt;&gt;"",E260,IF(AND(F260&lt;&gt;"",G260&lt;&gt;""),MOD(G260-F260,1)*24,""))</f>
        <v/>
      </c>
      <c r="L260" s="37">
        <f>IF(A260="","",CHOOSE(WEEKDAY(A260,2),"Montag","Dienstag","Mittwoch","Donnerstag","Freitag","Samstag","Sonntag"))</f>
        <v/>
      </c>
      <c r="M260" s="37">
        <f>IF(A260="","",_xlfn.ISOWEEKNUM(A260))</f>
        <v/>
      </c>
      <c r="N260" s="38">
        <f>IF(A260="","",DATE(YEAR(A260),MONTH(A260),1))</f>
        <v/>
      </c>
    </row>
    <row r="261">
      <c r="A261" s="31" t="n"/>
      <c r="B261" s="32" t="n"/>
      <c r="C261" s="32" t="n"/>
      <c r="D261" s="33" t="n"/>
      <c r="E261" s="34" t="n"/>
      <c r="F261" s="35" t="n"/>
      <c r="G261" s="35" t="n"/>
      <c r="H261" s="32" t="n"/>
      <c r="I261" s="32" t="n"/>
      <c r="J261" s="32" t="n"/>
      <c r="K261" s="36">
        <f>IF(E261&lt;&gt;"",E261,IF(AND(F261&lt;&gt;"",G261&lt;&gt;""),MOD(G261-F261,1)*24,""))</f>
        <v/>
      </c>
      <c r="L261" s="37">
        <f>IF(A261="","",CHOOSE(WEEKDAY(A261,2),"Montag","Dienstag","Mittwoch","Donnerstag","Freitag","Samstag","Sonntag"))</f>
        <v/>
      </c>
      <c r="M261" s="37">
        <f>IF(A261="","",_xlfn.ISOWEEKNUM(A261))</f>
        <v/>
      </c>
      <c r="N261" s="38">
        <f>IF(A261="","",DATE(YEAR(A261),MONTH(A261),1))</f>
        <v/>
      </c>
    </row>
    <row r="262">
      <c r="A262" s="31" t="n"/>
      <c r="B262" s="32" t="n"/>
      <c r="C262" s="32" t="n"/>
      <c r="D262" s="33" t="n"/>
      <c r="E262" s="34" t="n"/>
      <c r="F262" s="35" t="n"/>
      <c r="G262" s="35" t="n"/>
      <c r="H262" s="32" t="n"/>
      <c r="I262" s="32" t="n"/>
      <c r="J262" s="32" t="n"/>
      <c r="K262" s="36">
        <f>IF(E262&lt;&gt;"",E262,IF(AND(F262&lt;&gt;"",G262&lt;&gt;""),MOD(G262-F262,1)*24,""))</f>
        <v/>
      </c>
      <c r="L262" s="37">
        <f>IF(A262="","",CHOOSE(WEEKDAY(A262,2),"Montag","Dienstag","Mittwoch","Donnerstag","Freitag","Samstag","Sonntag"))</f>
        <v/>
      </c>
      <c r="M262" s="37">
        <f>IF(A262="","",_xlfn.ISOWEEKNUM(A262))</f>
        <v/>
      </c>
      <c r="N262" s="38">
        <f>IF(A262="","",DATE(YEAR(A262),MONTH(A262),1))</f>
        <v/>
      </c>
    </row>
    <row r="263">
      <c r="A263" s="31" t="n"/>
      <c r="B263" s="32" t="n"/>
      <c r="C263" s="32" t="n"/>
      <c r="D263" s="33" t="n"/>
      <c r="E263" s="34" t="n"/>
      <c r="F263" s="35" t="n"/>
      <c r="G263" s="35" t="n"/>
      <c r="H263" s="32" t="n"/>
      <c r="I263" s="32" t="n"/>
      <c r="J263" s="32" t="n"/>
      <c r="K263" s="36">
        <f>IF(E263&lt;&gt;"",E263,IF(AND(F263&lt;&gt;"",G263&lt;&gt;""),MOD(G263-F263,1)*24,""))</f>
        <v/>
      </c>
      <c r="L263" s="37">
        <f>IF(A263="","",CHOOSE(WEEKDAY(A263,2),"Montag","Dienstag","Mittwoch","Donnerstag","Freitag","Samstag","Sonntag"))</f>
        <v/>
      </c>
      <c r="M263" s="37">
        <f>IF(A263="","",_xlfn.ISOWEEKNUM(A263))</f>
        <v/>
      </c>
      <c r="N263" s="38">
        <f>IF(A263="","",DATE(YEAR(A263),MONTH(A263),1))</f>
        <v/>
      </c>
    </row>
    <row r="264">
      <c r="A264" s="31" t="n"/>
      <c r="B264" s="32" t="n"/>
      <c r="C264" s="32" t="n"/>
      <c r="D264" s="33" t="n"/>
      <c r="E264" s="34" t="n"/>
      <c r="F264" s="35" t="n"/>
      <c r="G264" s="35" t="n"/>
      <c r="H264" s="32" t="n"/>
      <c r="I264" s="32" t="n"/>
      <c r="J264" s="32" t="n"/>
      <c r="K264" s="36">
        <f>IF(E264&lt;&gt;"",E264,IF(AND(F264&lt;&gt;"",G264&lt;&gt;""),MOD(G264-F264,1)*24,""))</f>
        <v/>
      </c>
      <c r="L264" s="37">
        <f>IF(A264="","",CHOOSE(WEEKDAY(A264,2),"Montag","Dienstag","Mittwoch","Donnerstag","Freitag","Samstag","Sonntag"))</f>
        <v/>
      </c>
      <c r="M264" s="37">
        <f>IF(A264="","",_xlfn.ISOWEEKNUM(A264))</f>
        <v/>
      </c>
      <c r="N264" s="38">
        <f>IF(A264="","",DATE(YEAR(A264),MONTH(A264),1))</f>
        <v/>
      </c>
    </row>
    <row r="265">
      <c r="A265" s="31" t="n"/>
      <c r="B265" s="32" t="n"/>
      <c r="C265" s="32" t="n"/>
      <c r="D265" s="33" t="n"/>
      <c r="E265" s="34" t="n"/>
      <c r="F265" s="35" t="n"/>
      <c r="G265" s="35" t="n"/>
      <c r="H265" s="32" t="n"/>
      <c r="I265" s="32" t="n"/>
      <c r="J265" s="32" t="n"/>
      <c r="K265" s="36">
        <f>IF(E265&lt;&gt;"",E265,IF(AND(F265&lt;&gt;"",G265&lt;&gt;""),MOD(G265-F265,1)*24,""))</f>
        <v/>
      </c>
      <c r="L265" s="37">
        <f>IF(A265="","",CHOOSE(WEEKDAY(A265,2),"Montag","Dienstag","Mittwoch","Donnerstag","Freitag","Samstag","Sonntag"))</f>
        <v/>
      </c>
      <c r="M265" s="37">
        <f>IF(A265="","",_xlfn.ISOWEEKNUM(A265))</f>
        <v/>
      </c>
      <c r="N265" s="38">
        <f>IF(A265="","",DATE(YEAR(A265),MONTH(A265),1))</f>
        <v/>
      </c>
    </row>
    <row r="266">
      <c r="A266" s="31" t="n"/>
      <c r="B266" s="32" t="n"/>
      <c r="C266" s="32" t="n"/>
      <c r="D266" s="33" t="n"/>
      <c r="E266" s="34" t="n"/>
      <c r="F266" s="35" t="n"/>
      <c r="G266" s="35" t="n"/>
      <c r="H266" s="32" t="n"/>
      <c r="I266" s="32" t="n"/>
      <c r="J266" s="32" t="n"/>
      <c r="K266" s="36">
        <f>IF(E266&lt;&gt;"",E266,IF(AND(F266&lt;&gt;"",G266&lt;&gt;""),MOD(G266-F266,1)*24,""))</f>
        <v/>
      </c>
      <c r="L266" s="37">
        <f>IF(A266="","",CHOOSE(WEEKDAY(A266,2),"Montag","Dienstag","Mittwoch","Donnerstag","Freitag","Samstag","Sonntag"))</f>
        <v/>
      </c>
      <c r="M266" s="37">
        <f>IF(A266="","",_xlfn.ISOWEEKNUM(A266))</f>
        <v/>
      </c>
      <c r="N266" s="38">
        <f>IF(A266="","",DATE(YEAR(A266),MONTH(A266),1))</f>
        <v/>
      </c>
    </row>
    <row r="267">
      <c r="A267" s="31" t="n"/>
      <c r="B267" s="32" t="n"/>
      <c r="C267" s="32" t="n"/>
      <c r="D267" s="33" t="n"/>
      <c r="E267" s="34" t="n"/>
      <c r="F267" s="35" t="n"/>
      <c r="G267" s="35" t="n"/>
      <c r="H267" s="32" t="n"/>
      <c r="I267" s="32" t="n"/>
      <c r="J267" s="32" t="n"/>
      <c r="K267" s="36">
        <f>IF(E267&lt;&gt;"",E267,IF(AND(F267&lt;&gt;"",G267&lt;&gt;""),MOD(G267-F267,1)*24,""))</f>
        <v/>
      </c>
      <c r="L267" s="37">
        <f>IF(A267="","",CHOOSE(WEEKDAY(A267,2),"Montag","Dienstag","Mittwoch","Donnerstag","Freitag","Samstag","Sonntag"))</f>
        <v/>
      </c>
      <c r="M267" s="37">
        <f>IF(A267="","",_xlfn.ISOWEEKNUM(A267))</f>
        <v/>
      </c>
      <c r="N267" s="38">
        <f>IF(A267="","",DATE(YEAR(A267),MONTH(A267),1))</f>
        <v/>
      </c>
    </row>
    <row r="268">
      <c r="A268" s="31" t="n"/>
      <c r="B268" s="32" t="n"/>
      <c r="C268" s="32" t="n"/>
      <c r="D268" s="33" t="n"/>
      <c r="E268" s="34" t="n"/>
      <c r="F268" s="35" t="n"/>
      <c r="G268" s="35" t="n"/>
      <c r="H268" s="32" t="n"/>
      <c r="I268" s="32" t="n"/>
      <c r="J268" s="32" t="n"/>
      <c r="K268" s="36">
        <f>IF(E268&lt;&gt;"",E268,IF(AND(F268&lt;&gt;"",G268&lt;&gt;""),MOD(G268-F268,1)*24,""))</f>
        <v/>
      </c>
      <c r="L268" s="37">
        <f>IF(A268="","",CHOOSE(WEEKDAY(A268,2),"Montag","Dienstag","Mittwoch","Donnerstag","Freitag","Samstag","Sonntag"))</f>
        <v/>
      </c>
      <c r="M268" s="37">
        <f>IF(A268="","",_xlfn.ISOWEEKNUM(A268))</f>
        <v/>
      </c>
      <c r="N268" s="38">
        <f>IF(A268="","",DATE(YEAR(A268),MONTH(A268),1))</f>
        <v/>
      </c>
    </row>
    <row r="269">
      <c r="A269" s="31" t="n"/>
      <c r="B269" s="32" t="n"/>
      <c r="C269" s="32" t="n"/>
      <c r="D269" s="33" t="n"/>
      <c r="E269" s="34" t="n"/>
      <c r="F269" s="35" t="n"/>
      <c r="G269" s="35" t="n"/>
      <c r="H269" s="32" t="n"/>
      <c r="I269" s="32" t="n"/>
      <c r="J269" s="32" t="n"/>
      <c r="K269" s="36">
        <f>IF(E269&lt;&gt;"",E269,IF(AND(F269&lt;&gt;"",G269&lt;&gt;""),MOD(G269-F269,1)*24,""))</f>
        <v/>
      </c>
      <c r="L269" s="37">
        <f>IF(A269="","",CHOOSE(WEEKDAY(A269,2),"Montag","Dienstag","Mittwoch","Donnerstag","Freitag","Samstag","Sonntag"))</f>
        <v/>
      </c>
      <c r="M269" s="37">
        <f>IF(A269="","",_xlfn.ISOWEEKNUM(A269))</f>
        <v/>
      </c>
      <c r="N269" s="38">
        <f>IF(A269="","",DATE(YEAR(A269),MONTH(A269),1))</f>
        <v/>
      </c>
    </row>
    <row r="270">
      <c r="A270" s="31" t="n"/>
      <c r="B270" s="32" t="n"/>
      <c r="C270" s="32" t="n"/>
      <c r="D270" s="33" t="n"/>
      <c r="E270" s="34" t="n"/>
      <c r="F270" s="35" t="n"/>
      <c r="G270" s="35" t="n"/>
      <c r="H270" s="32" t="n"/>
      <c r="I270" s="32" t="n"/>
      <c r="J270" s="32" t="n"/>
      <c r="K270" s="36">
        <f>IF(E270&lt;&gt;"",E270,IF(AND(F270&lt;&gt;"",G270&lt;&gt;""),MOD(G270-F270,1)*24,""))</f>
        <v/>
      </c>
      <c r="L270" s="37">
        <f>IF(A270="","",CHOOSE(WEEKDAY(A270,2),"Montag","Dienstag","Mittwoch","Donnerstag","Freitag","Samstag","Sonntag"))</f>
        <v/>
      </c>
      <c r="M270" s="37">
        <f>IF(A270="","",_xlfn.ISOWEEKNUM(A270))</f>
        <v/>
      </c>
      <c r="N270" s="38">
        <f>IF(A270="","",DATE(YEAR(A270),MONTH(A270),1))</f>
        <v/>
      </c>
    </row>
    <row r="271">
      <c r="A271" s="31" t="n"/>
      <c r="B271" s="32" t="n"/>
      <c r="C271" s="32" t="n"/>
      <c r="D271" s="33" t="n"/>
      <c r="E271" s="34" t="n"/>
      <c r="F271" s="35" t="n"/>
      <c r="G271" s="35" t="n"/>
      <c r="H271" s="32" t="n"/>
      <c r="I271" s="32" t="n"/>
      <c r="J271" s="32" t="n"/>
      <c r="K271" s="36">
        <f>IF(E271&lt;&gt;"",E271,IF(AND(F271&lt;&gt;"",G271&lt;&gt;""),MOD(G271-F271,1)*24,""))</f>
        <v/>
      </c>
      <c r="L271" s="37">
        <f>IF(A271="","",CHOOSE(WEEKDAY(A271,2),"Montag","Dienstag","Mittwoch","Donnerstag","Freitag","Samstag","Sonntag"))</f>
        <v/>
      </c>
      <c r="M271" s="37">
        <f>IF(A271="","",_xlfn.ISOWEEKNUM(A271))</f>
        <v/>
      </c>
      <c r="N271" s="38">
        <f>IF(A271="","",DATE(YEAR(A271),MONTH(A271),1))</f>
        <v/>
      </c>
    </row>
    <row r="272">
      <c r="A272" s="31" t="n"/>
      <c r="B272" s="32" t="n"/>
      <c r="C272" s="32" t="n"/>
      <c r="D272" s="33" t="n"/>
      <c r="E272" s="34" t="n"/>
      <c r="F272" s="35" t="n"/>
      <c r="G272" s="35" t="n"/>
      <c r="H272" s="32" t="n"/>
      <c r="I272" s="32" t="n"/>
      <c r="J272" s="32" t="n"/>
      <c r="K272" s="36">
        <f>IF(E272&lt;&gt;"",E272,IF(AND(F272&lt;&gt;"",G272&lt;&gt;""),MOD(G272-F272,1)*24,""))</f>
        <v/>
      </c>
      <c r="L272" s="37">
        <f>IF(A272="","",CHOOSE(WEEKDAY(A272,2),"Montag","Dienstag","Mittwoch","Donnerstag","Freitag","Samstag","Sonntag"))</f>
        <v/>
      </c>
      <c r="M272" s="37">
        <f>IF(A272="","",_xlfn.ISOWEEKNUM(A272))</f>
        <v/>
      </c>
      <c r="N272" s="38">
        <f>IF(A272="","",DATE(YEAR(A272),MONTH(A272),1))</f>
        <v/>
      </c>
    </row>
    <row r="273">
      <c r="A273" s="31" t="n"/>
      <c r="B273" s="32" t="n"/>
      <c r="C273" s="32" t="n"/>
      <c r="D273" s="33" t="n"/>
      <c r="E273" s="34" t="n"/>
      <c r="F273" s="35" t="n"/>
      <c r="G273" s="35" t="n"/>
      <c r="H273" s="32" t="n"/>
      <c r="I273" s="32" t="n"/>
      <c r="J273" s="32" t="n"/>
      <c r="K273" s="36">
        <f>IF(E273&lt;&gt;"",E273,IF(AND(F273&lt;&gt;"",G273&lt;&gt;""),MOD(G273-F273,1)*24,""))</f>
        <v/>
      </c>
      <c r="L273" s="37">
        <f>IF(A273="","",CHOOSE(WEEKDAY(A273,2),"Montag","Dienstag","Mittwoch","Donnerstag","Freitag","Samstag","Sonntag"))</f>
        <v/>
      </c>
      <c r="M273" s="37">
        <f>IF(A273="","",_xlfn.ISOWEEKNUM(A273))</f>
        <v/>
      </c>
      <c r="N273" s="38">
        <f>IF(A273="","",DATE(YEAR(A273),MONTH(A273),1))</f>
        <v/>
      </c>
    </row>
    <row r="274">
      <c r="A274" s="31" t="n"/>
      <c r="B274" s="32" t="n"/>
      <c r="C274" s="32" t="n"/>
      <c r="D274" s="33" t="n"/>
      <c r="E274" s="34" t="n"/>
      <c r="F274" s="35" t="n"/>
      <c r="G274" s="35" t="n"/>
      <c r="H274" s="32" t="n"/>
      <c r="I274" s="32" t="n"/>
      <c r="J274" s="32" t="n"/>
      <c r="K274" s="36">
        <f>IF(E274&lt;&gt;"",E274,IF(AND(F274&lt;&gt;"",G274&lt;&gt;""),MOD(G274-F274,1)*24,""))</f>
        <v/>
      </c>
      <c r="L274" s="37">
        <f>IF(A274="","",CHOOSE(WEEKDAY(A274,2),"Montag","Dienstag","Mittwoch","Donnerstag","Freitag","Samstag","Sonntag"))</f>
        <v/>
      </c>
      <c r="M274" s="37">
        <f>IF(A274="","",_xlfn.ISOWEEKNUM(A274))</f>
        <v/>
      </c>
      <c r="N274" s="38">
        <f>IF(A274="","",DATE(YEAR(A274),MONTH(A274),1))</f>
        <v/>
      </c>
    </row>
    <row r="275">
      <c r="A275" s="31" t="n"/>
      <c r="B275" s="32" t="n"/>
      <c r="C275" s="32" t="n"/>
      <c r="D275" s="33" t="n"/>
      <c r="E275" s="34" t="n"/>
      <c r="F275" s="35" t="n"/>
      <c r="G275" s="35" t="n"/>
      <c r="H275" s="32" t="n"/>
      <c r="I275" s="32" t="n"/>
      <c r="J275" s="32" t="n"/>
      <c r="K275" s="36">
        <f>IF(E275&lt;&gt;"",E275,IF(AND(F275&lt;&gt;"",G275&lt;&gt;""),MOD(G275-F275,1)*24,""))</f>
        <v/>
      </c>
      <c r="L275" s="37">
        <f>IF(A275="","",CHOOSE(WEEKDAY(A275,2),"Montag","Dienstag","Mittwoch","Donnerstag","Freitag","Samstag","Sonntag"))</f>
        <v/>
      </c>
      <c r="M275" s="37">
        <f>IF(A275="","",_xlfn.ISOWEEKNUM(A275))</f>
        <v/>
      </c>
      <c r="N275" s="38">
        <f>IF(A275="","",DATE(YEAR(A275),MONTH(A275),1))</f>
        <v/>
      </c>
    </row>
    <row r="276">
      <c r="A276" s="31" t="n"/>
      <c r="B276" s="32" t="n"/>
      <c r="C276" s="32" t="n"/>
      <c r="D276" s="33" t="n"/>
      <c r="E276" s="34" t="n"/>
      <c r="F276" s="35" t="n"/>
      <c r="G276" s="35" t="n"/>
      <c r="H276" s="32" t="n"/>
      <c r="I276" s="32" t="n"/>
      <c r="J276" s="32" t="n"/>
      <c r="K276" s="36">
        <f>IF(E276&lt;&gt;"",E276,IF(AND(F276&lt;&gt;"",G276&lt;&gt;""),MOD(G276-F276,1)*24,""))</f>
        <v/>
      </c>
      <c r="L276" s="37">
        <f>IF(A276="","",CHOOSE(WEEKDAY(A276,2),"Montag","Dienstag","Mittwoch","Donnerstag","Freitag","Samstag","Sonntag"))</f>
        <v/>
      </c>
      <c r="M276" s="37">
        <f>IF(A276="","",_xlfn.ISOWEEKNUM(A276))</f>
        <v/>
      </c>
      <c r="N276" s="38">
        <f>IF(A276="","",DATE(YEAR(A276),MONTH(A276),1))</f>
        <v/>
      </c>
    </row>
    <row r="277">
      <c r="A277" s="31" t="n"/>
      <c r="B277" s="32" t="n"/>
      <c r="C277" s="32" t="n"/>
      <c r="D277" s="33" t="n"/>
      <c r="E277" s="34" t="n"/>
      <c r="F277" s="35" t="n"/>
      <c r="G277" s="35" t="n"/>
      <c r="H277" s="32" t="n"/>
      <c r="I277" s="32" t="n"/>
      <c r="J277" s="32" t="n"/>
      <c r="K277" s="36">
        <f>IF(E277&lt;&gt;"",E277,IF(AND(F277&lt;&gt;"",G277&lt;&gt;""),MOD(G277-F277,1)*24,""))</f>
        <v/>
      </c>
      <c r="L277" s="37">
        <f>IF(A277="","",CHOOSE(WEEKDAY(A277,2),"Montag","Dienstag","Mittwoch","Donnerstag","Freitag","Samstag","Sonntag"))</f>
        <v/>
      </c>
      <c r="M277" s="37">
        <f>IF(A277="","",_xlfn.ISOWEEKNUM(A277))</f>
        <v/>
      </c>
      <c r="N277" s="38">
        <f>IF(A277="","",DATE(YEAR(A277),MONTH(A277),1))</f>
        <v/>
      </c>
    </row>
    <row r="278">
      <c r="A278" s="31" t="n"/>
      <c r="B278" s="32" t="n"/>
      <c r="C278" s="32" t="n"/>
      <c r="D278" s="33" t="n"/>
      <c r="E278" s="34" t="n"/>
      <c r="F278" s="35" t="n"/>
      <c r="G278" s="35" t="n"/>
      <c r="H278" s="32" t="n"/>
      <c r="I278" s="32" t="n"/>
      <c r="J278" s="32" t="n"/>
      <c r="K278" s="36">
        <f>IF(E278&lt;&gt;"",E278,IF(AND(F278&lt;&gt;"",G278&lt;&gt;""),MOD(G278-F278,1)*24,""))</f>
        <v/>
      </c>
      <c r="L278" s="37">
        <f>IF(A278="","",CHOOSE(WEEKDAY(A278,2),"Montag","Dienstag","Mittwoch","Donnerstag","Freitag","Samstag","Sonntag"))</f>
        <v/>
      </c>
      <c r="M278" s="37">
        <f>IF(A278="","",_xlfn.ISOWEEKNUM(A278))</f>
        <v/>
      </c>
      <c r="N278" s="38">
        <f>IF(A278="","",DATE(YEAR(A278),MONTH(A278),1))</f>
        <v/>
      </c>
    </row>
    <row r="279">
      <c r="A279" s="31" t="n"/>
      <c r="B279" s="32" t="n"/>
      <c r="C279" s="32" t="n"/>
      <c r="D279" s="33" t="n"/>
      <c r="E279" s="34" t="n"/>
      <c r="F279" s="35" t="n"/>
      <c r="G279" s="35" t="n"/>
      <c r="H279" s="32" t="n"/>
      <c r="I279" s="32" t="n"/>
      <c r="J279" s="32" t="n"/>
      <c r="K279" s="36">
        <f>IF(E279&lt;&gt;"",E279,IF(AND(F279&lt;&gt;"",G279&lt;&gt;""),MOD(G279-F279,1)*24,""))</f>
        <v/>
      </c>
      <c r="L279" s="37">
        <f>IF(A279="","",CHOOSE(WEEKDAY(A279,2),"Montag","Dienstag","Mittwoch","Donnerstag","Freitag","Samstag","Sonntag"))</f>
        <v/>
      </c>
      <c r="M279" s="37">
        <f>IF(A279="","",_xlfn.ISOWEEKNUM(A279))</f>
        <v/>
      </c>
      <c r="N279" s="38">
        <f>IF(A279="","",DATE(YEAR(A279),MONTH(A279),1))</f>
        <v/>
      </c>
    </row>
    <row r="280">
      <c r="A280" s="31" t="n"/>
      <c r="B280" s="32" t="n"/>
      <c r="C280" s="32" t="n"/>
      <c r="D280" s="33" t="n"/>
      <c r="E280" s="34" t="n"/>
      <c r="F280" s="35" t="n"/>
      <c r="G280" s="35" t="n"/>
      <c r="H280" s="32" t="n"/>
      <c r="I280" s="32" t="n"/>
      <c r="J280" s="32" t="n"/>
      <c r="K280" s="36">
        <f>IF(E280&lt;&gt;"",E280,IF(AND(F280&lt;&gt;"",G280&lt;&gt;""),MOD(G280-F280,1)*24,""))</f>
        <v/>
      </c>
      <c r="L280" s="37">
        <f>IF(A280="","",CHOOSE(WEEKDAY(A280,2),"Montag","Dienstag","Mittwoch","Donnerstag","Freitag","Samstag","Sonntag"))</f>
        <v/>
      </c>
      <c r="M280" s="37">
        <f>IF(A280="","",_xlfn.ISOWEEKNUM(A280))</f>
        <v/>
      </c>
      <c r="N280" s="38">
        <f>IF(A280="","",DATE(YEAR(A280),MONTH(A280),1))</f>
        <v/>
      </c>
    </row>
    <row r="281">
      <c r="A281" s="31" t="n"/>
      <c r="B281" s="32" t="n"/>
      <c r="C281" s="32" t="n"/>
      <c r="D281" s="33" t="n"/>
      <c r="E281" s="34" t="n"/>
      <c r="F281" s="35" t="n"/>
      <c r="G281" s="35" t="n"/>
      <c r="H281" s="32" t="n"/>
      <c r="I281" s="32" t="n"/>
      <c r="J281" s="32" t="n"/>
      <c r="K281" s="36">
        <f>IF(E281&lt;&gt;"",E281,IF(AND(F281&lt;&gt;"",G281&lt;&gt;""),MOD(G281-F281,1)*24,""))</f>
        <v/>
      </c>
      <c r="L281" s="37">
        <f>IF(A281="","",CHOOSE(WEEKDAY(A281,2),"Montag","Dienstag","Mittwoch","Donnerstag","Freitag","Samstag","Sonntag"))</f>
        <v/>
      </c>
      <c r="M281" s="37">
        <f>IF(A281="","",_xlfn.ISOWEEKNUM(A281))</f>
        <v/>
      </c>
      <c r="N281" s="38">
        <f>IF(A281="","",DATE(YEAR(A281),MONTH(A281),1))</f>
        <v/>
      </c>
    </row>
    <row r="282">
      <c r="A282" s="31" t="n"/>
      <c r="B282" s="32" t="n"/>
      <c r="C282" s="32" t="n"/>
      <c r="D282" s="33" t="n"/>
      <c r="E282" s="34" t="n"/>
      <c r="F282" s="35" t="n"/>
      <c r="G282" s="35" t="n"/>
      <c r="H282" s="32" t="n"/>
      <c r="I282" s="32" t="n"/>
      <c r="J282" s="32" t="n"/>
      <c r="K282" s="36">
        <f>IF(E282&lt;&gt;"",E282,IF(AND(F282&lt;&gt;"",G282&lt;&gt;""),MOD(G282-F282,1)*24,""))</f>
        <v/>
      </c>
      <c r="L282" s="37">
        <f>IF(A282="","",CHOOSE(WEEKDAY(A282,2),"Montag","Dienstag","Mittwoch","Donnerstag","Freitag","Samstag","Sonntag"))</f>
        <v/>
      </c>
      <c r="M282" s="37">
        <f>IF(A282="","",_xlfn.ISOWEEKNUM(A282))</f>
        <v/>
      </c>
      <c r="N282" s="38">
        <f>IF(A282="","",DATE(YEAR(A282),MONTH(A282),1))</f>
        <v/>
      </c>
    </row>
    <row r="283">
      <c r="A283" s="31" t="n"/>
      <c r="B283" s="32" t="n"/>
      <c r="C283" s="32" t="n"/>
      <c r="D283" s="33" t="n"/>
      <c r="E283" s="34" t="n"/>
      <c r="F283" s="35" t="n"/>
      <c r="G283" s="35" t="n"/>
      <c r="H283" s="32" t="n"/>
      <c r="I283" s="32" t="n"/>
      <c r="J283" s="32" t="n"/>
      <c r="K283" s="36">
        <f>IF(E283&lt;&gt;"",E283,IF(AND(F283&lt;&gt;"",G283&lt;&gt;""),MOD(G283-F283,1)*24,""))</f>
        <v/>
      </c>
      <c r="L283" s="37">
        <f>IF(A283="","",CHOOSE(WEEKDAY(A283,2),"Montag","Dienstag","Mittwoch","Donnerstag","Freitag","Samstag","Sonntag"))</f>
        <v/>
      </c>
      <c r="M283" s="37">
        <f>IF(A283="","",_xlfn.ISOWEEKNUM(A283))</f>
        <v/>
      </c>
      <c r="N283" s="38">
        <f>IF(A283="","",DATE(YEAR(A283),MONTH(A283),1))</f>
        <v/>
      </c>
    </row>
    <row r="284">
      <c r="A284" s="31" t="n"/>
      <c r="B284" s="32" t="n"/>
      <c r="C284" s="32" t="n"/>
      <c r="D284" s="33" t="n"/>
      <c r="E284" s="34" t="n"/>
      <c r="F284" s="35" t="n"/>
      <c r="G284" s="35" t="n"/>
      <c r="H284" s="32" t="n"/>
      <c r="I284" s="32" t="n"/>
      <c r="J284" s="32" t="n"/>
      <c r="K284" s="36">
        <f>IF(E284&lt;&gt;"",E284,IF(AND(F284&lt;&gt;"",G284&lt;&gt;""),MOD(G284-F284,1)*24,""))</f>
        <v/>
      </c>
      <c r="L284" s="37">
        <f>IF(A284="","",CHOOSE(WEEKDAY(A284,2),"Montag","Dienstag","Mittwoch","Donnerstag","Freitag","Samstag","Sonntag"))</f>
        <v/>
      </c>
      <c r="M284" s="37">
        <f>IF(A284="","",_xlfn.ISOWEEKNUM(A284))</f>
        <v/>
      </c>
      <c r="N284" s="38">
        <f>IF(A284="","",DATE(YEAR(A284),MONTH(A284),1))</f>
        <v/>
      </c>
    </row>
    <row r="285">
      <c r="A285" s="31" t="n"/>
      <c r="B285" s="32" t="n"/>
      <c r="C285" s="32" t="n"/>
      <c r="D285" s="33" t="n"/>
      <c r="E285" s="34" t="n"/>
      <c r="F285" s="35" t="n"/>
      <c r="G285" s="35" t="n"/>
      <c r="H285" s="32" t="n"/>
      <c r="I285" s="32" t="n"/>
      <c r="J285" s="32" t="n"/>
      <c r="K285" s="36">
        <f>IF(E285&lt;&gt;"",E285,IF(AND(F285&lt;&gt;"",G285&lt;&gt;""),MOD(G285-F285,1)*24,""))</f>
        <v/>
      </c>
      <c r="L285" s="37">
        <f>IF(A285="","",CHOOSE(WEEKDAY(A285,2),"Montag","Dienstag","Mittwoch","Donnerstag","Freitag","Samstag","Sonntag"))</f>
        <v/>
      </c>
      <c r="M285" s="37">
        <f>IF(A285="","",_xlfn.ISOWEEKNUM(A285))</f>
        <v/>
      </c>
      <c r="N285" s="38">
        <f>IF(A285="","",DATE(YEAR(A285),MONTH(A285),1))</f>
        <v/>
      </c>
    </row>
    <row r="286">
      <c r="A286" s="31" t="n"/>
      <c r="B286" s="32" t="n"/>
      <c r="C286" s="32" t="n"/>
      <c r="D286" s="33" t="n"/>
      <c r="E286" s="34" t="n"/>
      <c r="F286" s="35" t="n"/>
      <c r="G286" s="35" t="n"/>
      <c r="H286" s="32" t="n"/>
      <c r="I286" s="32" t="n"/>
      <c r="J286" s="32" t="n"/>
      <c r="K286" s="36">
        <f>IF(E286&lt;&gt;"",E286,IF(AND(F286&lt;&gt;"",G286&lt;&gt;""),MOD(G286-F286,1)*24,""))</f>
        <v/>
      </c>
      <c r="L286" s="37">
        <f>IF(A286="","",CHOOSE(WEEKDAY(A286,2),"Montag","Dienstag","Mittwoch","Donnerstag","Freitag","Samstag","Sonntag"))</f>
        <v/>
      </c>
      <c r="M286" s="37">
        <f>IF(A286="","",_xlfn.ISOWEEKNUM(A286))</f>
        <v/>
      </c>
      <c r="N286" s="38">
        <f>IF(A286="","",DATE(YEAR(A286),MONTH(A286),1))</f>
        <v/>
      </c>
    </row>
    <row r="287">
      <c r="A287" s="31" t="n"/>
      <c r="B287" s="32" t="n"/>
      <c r="C287" s="32" t="n"/>
      <c r="D287" s="33" t="n"/>
      <c r="E287" s="34" t="n"/>
      <c r="F287" s="35" t="n"/>
      <c r="G287" s="35" t="n"/>
      <c r="H287" s="32" t="n"/>
      <c r="I287" s="32" t="n"/>
      <c r="J287" s="32" t="n"/>
      <c r="K287" s="36">
        <f>IF(E287&lt;&gt;"",E287,IF(AND(F287&lt;&gt;"",G287&lt;&gt;""),MOD(G287-F287,1)*24,""))</f>
        <v/>
      </c>
      <c r="L287" s="37">
        <f>IF(A287="","",CHOOSE(WEEKDAY(A287,2),"Montag","Dienstag","Mittwoch","Donnerstag","Freitag","Samstag","Sonntag"))</f>
        <v/>
      </c>
      <c r="M287" s="37">
        <f>IF(A287="","",_xlfn.ISOWEEKNUM(A287))</f>
        <v/>
      </c>
      <c r="N287" s="38">
        <f>IF(A287="","",DATE(YEAR(A287),MONTH(A287),1))</f>
        <v/>
      </c>
    </row>
    <row r="288">
      <c r="A288" s="31" t="n"/>
      <c r="B288" s="32" t="n"/>
      <c r="C288" s="32" t="n"/>
      <c r="D288" s="33" t="n"/>
      <c r="E288" s="34" t="n"/>
      <c r="F288" s="35" t="n"/>
      <c r="G288" s="35" t="n"/>
      <c r="H288" s="32" t="n"/>
      <c r="I288" s="32" t="n"/>
      <c r="J288" s="32" t="n"/>
      <c r="K288" s="36">
        <f>IF(E288&lt;&gt;"",E288,IF(AND(F288&lt;&gt;"",G288&lt;&gt;""),MOD(G288-F288,1)*24,""))</f>
        <v/>
      </c>
      <c r="L288" s="37">
        <f>IF(A288="","",CHOOSE(WEEKDAY(A288,2),"Montag","Dienstag","Mittwoch","Donnerstag","Freitag","Samstag","Sonntag"))</f>
        <v/>
      </c>
      <c r="M288" s="37">
        <f>IF(A288="","",_xlfn.ISOWEEKNUM(A288))</f>
        <v/>
      </c>
      <c r="N288" s="38">
        <f>IF(A288="","",DATE(YEAR(A288),MONTH(A288),1))</f>
        <v/>
      </c>
    </row>
    <row r="289">
      <c r="A289" s="31" t="n"/>
      <c r="B289" s="32" t="n"/>
      <c r="C289" s="32" t="n"/>
      <c r="D289" s="33" t="n"/>
      <c r="E289" s="34" t="n"/>
      <c r="F289" s="35" t="n"/>
      <c r="G289" s="35" t="n"/>
      <c r="H289" s="32" t="n"/>
      <c r="I289" s="32" t="n"/>
      <c r="J289" s="32" t="n"/>
      <c r="K289" s="36">
        <f>IF(E289&lt;&gt;"",E289,IF(AND(F289&lt;&gt;"",G289&lt;&gt;""),MOD(G289-F289,1)*24,""))</f>
        <v/>
      </c>
      <c r="L289" s="37">
        <f>IF(A289="","",CHOOSE(WEEKDAY(A289,2),"Montag","Dienstag","Mittwoch","Donnerstag","Freitag","Samstag","Sonntag"))</f>
        <v/>
      </c>
      <c r="M289" s="37">
        <f>IF(A289="","",_xlfn.ISOWEEKNUM(A289))</f>
        <v/>
      </c>
      <c r="N289" s="38">
        <f>IF(A289="","",DATE(YEAR(A289),MONTH(A289),1))</f>
        <v/>
      </c>
    </row>
    <row r="290">
      <c r="A290" s="31" t="n"/>
      <c r="B290" s="32" t="n"/>
      <c r="C290" s="32" t="n"/>
      <c r="D290" s="33" t="n"/>
      <c r="E290" s="34" t="n"/>
      <c r="F290" s="35" t="n"/>
      <c r="G290" s="35" t="n"/>
      <c r="H290" s="32" t="n"/>
      <c r="I290" s="32" t="n"/>
      <c r="J290" s="32" t="n"/>
      <c r="K290" s="36">
        <f>IF(E290&lt;&gt;"",E290,IF(AND(F290&lt;&gt;"",G290&lt;&gt;""),MOD(G290-F290,1)*24,""))</f>
        <v/>
      </c>
      <c r="L290" s="37">
        <f>IF(A290="","",CHOOSE(WEEKDAY(A290,2),"Montag","Dienstag","Mittwoch","Donnerstag","Freitag","Samstag","Sonntag"))</f>
        <v/>
      </c>
      <c r="M290" s="37">
        <f>IF(A290="","",_xlfn.ISOWEEKNUM(A290))</f>
        <v/>
      </c>
      <c r="N290" s="38">
        <f>IF(A290="","",DATE(YEAR(A290),MONTH(A290),1))</f>
        <v/>
      </c>
    </row>
    <row r="291">
      <c r="A291" s="31" t="n"/>
      <c r="B291" s="32" t="n"/>
      <c r="C291" s="32" t="n"/>
      <c r="D291" s="33" t="n"/>
      <c r="E291" s="34" t="n"/>
      <c r="F291" s="35" t="n"/>
      <c r="G291" s="35" t="n"/>
      <c r="H291" s="32" t="n"/>
      <c r="I291" s="32" t="n"/>
      <c r="J291" s="32" t="n"/>
      <c r="K291" s="36">
        <f>IF(E291&lt;&gt;"",E291,IF(AND(F291&lt;&gt;"",G291&lt;&gt;""),MOD(G291-F291,1)*24,""))</f>
        <v/>
      </c>
      <c r="L291" s="37">
        <f>IF(A291="","",CHOOSE(WEEKDAY(A291,2),"Montag","Dienstag","Mittwoch","Donnerstag","Freitag","Samstag","Sonntag"))</f>
        <v/>
      </c>
      <c r="M291" s="37">
        <f>IF(A291="","",_xlfn.ISOWEEKNUM(A291))</f>
        <v/>
      </c>
      <c r="N291" s="38">
        <f>IF(A291="","",DATE(YEAR(A291),MONTH(A291),1))</f>
        <v/>
      </c>
    </row>
    <row r="292">
      <c r="A292" s="31" t="n"/>
      <c r="B292" s="32" t="n"/>
      <c r="C292" s="32" t="n"/>
      <c r="D292" s="33" t="n"/>
      <c r="E292" s="34" t="n"/>
      <c r="F292" s="35" t="n"/>
      <c r="G292" s="35" t="n"/>
      <c r="H292" s="32" t="n"/>
      <c r="I292" s="32" t="n"/>
      <c r="J292" s="32" t="n"/>
      <c r="K292" s="36">
        <f>IF(E292&lt;&gt;"",E292,IF(AND(F292&lt;&gt;"",G292&lt;&gt;""),MOD(G292-F292,1)*24,""))</f>
        <v/>
      </c>
      <c r="L292" s="37">
        <f>IF(A292="","",CHOOSE(WEEKDAY(A292,2),"Montag","Dienstag","Mittwoch","Donnerstag","Freitag","Samstag","Sonntag"))</f>
        <v/>
      </c>
      <c r="M292" s="37">
        <f>IF(A292="","",_xlfn.ISOWEEKNUM(A292))</f>
        <v/>
      </c>
      <c r="N292" s="38">
        <f>IF(A292="","",DATE(YEAR(A292),MONTH(A292),1))</f>
        <v/>
      </c>
    </row>
    <row r="293">
      <c r="A293" s="31" t="n"/>
      <c r="B293" s="32" t="n"/>
      <c r="C293" s="32" t="n"/>
      <c r="D293" s="33" t="n"/>
      <c r="E293" s="34" t="n"/>
      <c r="F293" s="35" t="n"/>
      <c r="G293" s="35" t="n"/>
      <c r="H293" s="32" t="n"/>
      <c r="I293" s="32" t="n"/>
      <c r="J293" s="32" t="n"/>
      <c r="K293" s="36">
        <f>IF(E293&lt;&gt;"",E293,IF(AND(F293&lt;&gt;"",G293&lt;&gt;""),MOD(G293-F293,1)*24,""))</f>
        <v/>
      </c>
      <c r="L293" s="37">
        <f>IF(A293="","",CHOOSE(WEEKDAY(A293,2),"Montag","Dienstag","Mittwoch","Donnerstag","Freitag","Samstag","Sonntag"))</f>
        <v/>
      </c>
      <c r="M293" s="37">
        <f>IF(A293="","",_xlfn.ISOWEEKNUM(A293))</f>
        <v/>
      </c>
      <c r="N293" s="38">
        <f>IF(A293="","",DATE(YEAR(A293),MONTH(A293),1))</f>
        <v/>
      </c>
    </row>
    <row r="294">
      <c r="A294" s="31" t="n"/>
      <c r="B294" s="32" t="n"/>
      <c r="C294" s="32" t="n"/>
      <c r="D294" s="33" t="n"/>
      <c r="E294" s="34" t="n"/>
      <c r="F294" s="35" t="n"/>
      <c r="G294" s="35" t="n"/>
      <c r="H294" s="32" t="n"/>
      <c r="I294" s="32" t="n"/>
      <c r="J294" s="32" t="n"/>
      <c r="K294" s="36">
        <f>IF(E294&lt;&gt;"",E294,IF(AND(F294&lt;&gt;"",G294&lt;&gt;""),MOD(G294-F294,1)*24,""))</f>
        <v/>
      </c>
      <c r="L294" s="37">
        <f>IF(A294="","",CHOOSE(WEEKDAY(A294,2),"Montag","Dienstag","Mittwoch","Donnerstag","Freitag","Samstag","Sonntag"))</f>
        <v/>
      </c>
      <c r="M294" s="37">
        <f>IF(A294="","",_xlfn.ISOWEEKNUM(A294))</f>
        <v/>
      </c>
      <c r="N294" s="38">
        <f>IF(A294="","",DATE(YEAR(A294),MONTH(A294),1))</f>
        <v/>
      </c>
    </row>
    <row r="295">
      <c r="A295" s="31" t="n"/>
      <c r="B295" s="32" t="n"/>
      <c r="C295" s="32" t="n"/>
      <c r="D295" s="33" t="n"/>
      <c r="E295" s="34" t="n"/>
      <c r="F295" s="35" t="n"/>
      <c r="G295" s="35" t="n"/>
      <c r="H295" s="32" t="n"/>
      <c r="I295" s="32" t="n"/>
      <c r="J295" s="32" t="n"/>
      <c r="K295" s="36">
        <f>IF(E295&lt;&gt;"",E295,IF(AND(F295&lt;&gt;"",G295&lt;&gt;""),MOD(G295-F295,1)*24,""))</f>
        <v/>
      </c>
      <c r="L295" s="37">
        <f>IF(A295="","",CHOOSE(WEEKDAY(A295,2),"Montag","Dienstag","Mittwoch","Donnerstag","Freitag","Samstag","Sonntag"))</f>
        <v/>
      </c>
      <c r="M295" s="37">
        <f>IF(A295="","",_xlfn.ISOWEEKNUM(A295))</f>
        <v/>
      </c>
      <c r="N295" s="38">
        <f>IF(A295="","",DATE(YEAR(A295),MONTH(A295),1))</f>
        <v/>
      </c>
    </row>
    <row r="296">
      <c r="A296" s="31" t="n"/>
      <c r="B296" s="32" t="n"/>
      <c r="C296" s="32" t="n"/>
      <c r="D296" s="33" t="n"/>
      <c r="E296" s="34" t="n"/>
      <c r="F296" s="35" t="n"/>
      <c r="G296" s="35" t="n"/>
      <c r="H296" s="32" t="n"/>
      <c r="I296" s="32" t="n"/>
      <c r="J296" s="32" t="n"/>
      <c r="K296" s="36">
        <f>IF(E296&lt;&gt;"",E296,IF(AND(F296&lt;&gt;"",G296&lt;&gt;""),MOD(G296-F296,1)*24,""))</f>
        <v/>
      </c>
      <c r="L296" s="37">
        <f>IF(A296="","",CHOOSE(WEEKDAY(A296,2),"Montag","Dienstag","Mittwoch","Donnerstag","Freitag","Samstag","Sonntag"))</f>
        <v/>
      </c>
      <c r="M296" s="37">
        <f>IF(A296="","",_xlfn.ISOWEEKNUM(A296))</f>
        <v/>
      </c>
      <c r="N296" s="38">
        <f>IF(A296="","",DATE(YEAR(A296),MONTH(A296),1))</f>
        <v/>
      </c>
    </row>
    <row r="297">
      <c r="A297" s="31" t="n"/>
      <c r="B297" s="32" t="n"/>
      <c r="C297" s="32" t="n"/>
      <c r="D297" s="33" t="n"/>
      <c r="E297" s="34" t="n"/>
      <c r="F297" s="35" t="n"/>
      <c r="G297" s="35" t="n"/>
      <c r="H297" s="32" t="n"/>
      <c r="I297" s="32" t="n"/>
      <c r="J297" s="32" t="n"/>
      <c r="K297" s="36">
        <f>IF(E297&lt;&gt;"",E297,IF(AND(F297&lt;&gt;"",G297&lt;&gt;""),MOD(G297-F297,1)*24,""))</f>
        <v/>
      </c>
      <c r="L297" s="37">
        <f>IF(A297="","",CHOOSE(WEEKDAY(A297,2),"Montag","Dienstag","Mittwoch","Donnerstag","Freitag","Samstag","Sonntag"))</f>
        <v/>
      </c>
      <c r="M297" s="37">
        <f>IF(A297="","",_xlfn.ISOWEEKNUM(A297))</f>
        <v/>
      </c>
      <c r="N297" s="38">
        <f>IF(A297="","",DATE(YEAR(A297),MONTH(A297),1))</f>
        <v/>
      </c>
    </row>
    <row r="298">
      <c r="A298" s="31" t="n"/>
      <c r="B298" s="32" t="n"/>
      <c r="C298" s="32" t="n"/>
      <c r="D298" s="33" t="n"/>
      <c r="E298" s="34" t="n"/>
      <c r="F298" s="35" t="n"/>
      <c r="G298" s="35" t="n"/>
      <c r="H298" s="32" t="n"/>
      <c r="I298" s="32" t="n"/>
      <c r="J298" s="32" t="n"/>
      <c r="K298" s="36">
        <f>IF(E298&lt;&gt;"",E298,IF(AND(F298&lt;&gt;"",G298&lt;&gt;""),MOD(G298-F298,1)*24,""))</f>
        <v/>
      </c>
      <c r="L298" s="37">
        <f>IF(A298="","",CHOOSE(WEEKDAY(A298,2),"Montag","Dienstag","Mittwoch","Donnerstag","Freitag","Samstag","Sonntag"))</f>
        <v/>
      </c>
      <c r="M298" s="37">
        <f>IF(A298="","",_xlfn.ISOWEEKNUM(A298))</f>
        <v/>
      </c>
      <c r="N298" s="38">
        <f>IF(A298="","",DATE(YEAR(A298),MONTH(A298),1))</f>
        <v/>
      </c>
    </row>
    <row r="299">
      <c r="A299" s="31" t="n"/>
      <c r="B299" s="32" t="n"/>
      <c r="C299" s="32" t="n"/>
      <c r="D299" s="33" t="n"/>
      <c r="E299" s="34" t="n"/>
      <c r="F299" s="35" t="n"/>
      <c r="G299" s="35" t="n"/>
      <c r="H299" s="32" t="n"/>
      <c r="I299" s="32" t="n"/>
      <c r="J299" s="32" t="n"/>
      <c r="K299" s="36">
        <f>IF(E299&lt;&gt;"",E299,IF(AND(F299&lt;&gt;"",G299&lt;&gt;""),MOD(G299-F299,1)*24,""))</f>
        <v/>
      </c>
      <c r="L299" s="37">
        <f>IF(A299="","",CHOOSE(WEEKDAY(A299,2),"Montag","Dienstag","Mittwoch","Donnerstag","Freitag","Samstag","Sonntag"))</f>
        <v/>
      </c>
      <c r="M299" s="37">
        <f>IF(A299="","",_xlfn.ISOWEEKNUM(A299))</f>
        <v/>
      </c>
      <c r="N299" s="38">
        <f>IF(A299="","",DATE(YEAR(A299),MONTH(A299),1))</f>
        <v/>
      </c>
    </row>
    <row r="300">
      <c r="A300" s="31" t="n"/>
      <c r="B300" s="32" t="n"/>
      <c r="C300" s="32" t="n"/>
      <c r="D300" s="33" t="n"/>
      <c r="E300" s="34" t="n"/>
      <c r="F300" s="35" t="n"/>
      <c r="G300" s="35" t="n"/>
      <c r="H300" s="32" t="n"/>
      <c r="I300" s="32" t="n"/>
      <c r="J300" s="32" t="n"/>
      <c r="K300" s="36">
        <f>IF(E300&lt;&gt;"",E300,IF(AND(F300&lt;&gt;"",G300&lt;&gt;""),MOD(G300-F300,1)*24,""))</f>
        <v/>
      </c>
      <c r="L300" s="37">
        <f>IF(A300="","",CHOOSE(WEEKDAY(A300,2),"Montag","Dienstag","Mittwoch","Donnerstag","Freitag","Samstag","Sonntag"))</f>
        <v/>
      </c>
      <c r="M300" s="37">
        <f>IF(A300="","",_xlfn.ISOWEEKNUM(A300))</f>
        <v/>
      </c>
      <c r="N300" s="38">
        <f>IF(A300="","",DATE(YEAR(A300),MONTH(A300),1))</f>
        <v/>
      </c>
    </row>
    <row r="301">
      <c r="A301" s="31" t="n"/>
      <c r="B301" s="32" t="n"/>
      <c r="C301" s="32" t="n"/>
      <c r="D301" s="33" t="n"/>
      <c r="E301" s="34" t="n"/>
      <c r="F301" s="35" t="n"/>
      <c r="G301" s="35" t="n"/>
      <c r="H301" s="32" t="n"/>
      <c r="I301" s="32" t="n"/>
      <c r="J301" s="32" t="n"/>
      <c r="K301" s="36">
        <f>IF(E301&lt;&gt;"",E301,IF(AND(F301&lt;&gt;"",G301&lt;&gt;""),MOD(G301-F301,1)*24,""))</f>
        <v/>
      </c>
      <c r="L301" s="37">
        <f>IF(A301="","",CHOOSE(WEEKDAY(A301,2),"Montag","Dienstag","Mittwoch","Donnerstag","Freitag","Samstag","Sonntag"))</f>
        <v/>
      </c>
      <c r="M301" s="37">
        <f>IF(A301="","",_xlfn.ISOWEEKNUM(A301))</f>
        <v/>
      </c>
      <c r="N301" s="38">
        <f>IF(A301="","",DATE(YEAR(A301),MONTH(A301),1))</f>
        <v/>
      </c>
    </row>
    <row r="302">
      <c r="A302" s="31" t="n"/>
      <c r="B302" s="32" t="n"/>
      <c r="C302" s="32" t="n"/>
      <c r="D302" s="33" t="n"/>
      <c r="E302" s="34" t="n"/>
      <c r="F302" s="35" t="n"/>
      <c r="G302" s="35" t="n"/>
      <c r="H302" s="32" t="n"/>
      <c r="I302" s="32" t="n"/>
      <c r="J302" s="32" t="n"/>
      <c r="K302" s="36">
        <f>IF(E302&lt;&gt;"",E302,IF(AND(F302&lt;&gt;"",G302&lt;&gt;""),MOD(G302-F302,1)*24,""))</f>
        <v/>
      </c>
      <c r="L302" s="37">
        <f>IF(A302="","",CHOOSE(WEEKDAY(A302,2),"Montag","Dienstag","Mittwoch","Donnerstag","Freitag","Samstag","Sonntag"))</f>
        <v/>
      </c>
      <c r="M302" s="37">
        <f>IF(A302="","",_xlfn.ISOWEEKNUM(A302))</f>
        <v/>
      </c>
      <c r="N302" s="38">
        <f>IF(A302="","",DATE(YEAR(A302),MONTH(A302),1))</f>
        <v/>
      </c>
    </row>
    <row r="303">
      <c r="A303" s="31" t="n"/>
      <c r="B303" s="32" t="n"/>
      <c r="C303" s="32" t="n"/>
      <c r="D303" s="33" t="n"/>
      <c r="E303" s="34" t="n"/>
      <c r="F303" s="35" t="n"/>
      <c r="G303" s="35" t="n"/>
      <c r="H303" s="32" t="n"/>
      <c r="I303" s="32" t="n"/>
      <c r="J303" s="32" t="n"/>
      <c r="K303" s="36">
        <f>IF(E303&lt;&gt;"",E303,IF(AND(F303&lt;&gt;"",G303&lt;&gt;""),MOD(G303-F303,1)*24,""))</f>
        <v/>
      </c>
      <c r="L303" s="37">
        <f>IF(A303="","",CHOOSE(WEEKDAY(A303,2),"Montag","Dienstag","Mittwoch","Donnerstag","Freitag","Samstag","Sonntag"))</f>
        <v/>
      </c>
      <c r="M303" s="37">
        <f>IF(A303="","",_xlfn.ISOWEEKNUM(A303))</f>
        <v/>
      </c>
      <c r="N303" s="38">
        <f>IF(A303="","",DATE(YEAR(A303),MONTH(A303),1))</f>
        <v/>
      </c>
    </row>
    <row r="304">
      <c r="A304" s="31" t="n"/>
      <c r="B304" s="32" t="n"/>
      <c r="C304" s="32" t="n"/>
      <c r="D304" s="33" t="n"/>
      <c r="E304" s="34" t="n"/>
      <c r="F304" s="35" t="n"/>
      <c r="G304" s="35" t="n"/>
      <c r="H304" s="32" t="n"/>
      <c r="I304" s="32" t="n"/>
      <c r="J304" s="32" t="n"/>
      <c r="K304" s="36">
        <f>IF(E304&lt;&gt;"",E304,IF(AND(F304&lt;&gt;"",G304&lt;&gt;""),MOD(G304-F304,1)*24,""))</f>
        <v/>
      </c>
      <c r="L304" s="37">
        <f>IF(A304="","",CHOOSE(WEEKDAY(A304,2),"Montag","Dienstag","Mittwoch","Donnerstag","Freitag","Samstag","Sonntag"))</f>
        <v/>
      </c>
      <c r="M304" s="37">
        <f>IF(A304="","",_xlfn.ISOWEEKNUM(A304))</f>
        <v/>
      </c>
      <c r="N304" s="38">
        <f>IF(A304="","",DATE(YEAR(A304),MONTH(A304),1))</f>
        <v/>
      </c>
    </row>
    <row r="305">
      <c r="A305" s="31" t="n"/>
      <c r="B305" s="32" t="n"/>
      <c r="C305" s="32" t="n"/>
      <c r="D305" s="33" t="n"/>
      <c r="E305" s="34" t="n"/>
      <c r="F305" s="35" t="n"/>
      <c r="G305" s="35" t="n"/>
      <c r="H305" s="32" t="n"/>
      <c r="I305" s="32" t="n"/>
      <c r="J305" s="32" t="n"/>
      <c r="K305" s="36">
        <f>IF(E305&lt;&gt;"",E305,IF(AND(F305&lt;&gt;"",G305&lt;&gt;""),MOD(G305-F305,1)*24,""))</f>
        <v/>
      </c>
      <c r="L305" s="37">
        <f>IF(A305="","",CHOOSE(WEEKDAY(A305,2),"Montag","Dienstag","Mittwoch","Donnerstag","Freitag","Samstag","Sonntag"))</f>
        <v/>
      </c>
      <c r="M305" s="37">
        <f>IF(A305="","",_xlfn.ISOWEEKNUM(A305))</f>
        <v/>
      </c>
      <c r="N305" s="38">
        <f>IF(A305="","",DATE(YEAR(A305),MONTH(A305),1))</f>
        <v/>
      </c>
    </row>
    <row r="306">
      <c r="A306" s="31" t="n"/>
      <c r="B306" s="32" t="n"/>
      <c r="C306" s="32" t="n"/>
      <c r="D306" s="33" t="n"/>
      <c r="E306" s="34" t="n"/>
      <c r="F306" s="35" t="n"/>
      <c r="G306" s="35" t="n"/>
      <c r="H306" s="32" t="n"/>
      <c r="I306" s="32" t="n"/>
      <c r="J306" s="32" t="n"/>
      <c r="K306" s="36">
        <f>IF(E306&lt;&gt;"",E306,IF(AND(F306&lt;&gt;"",G306&lt;&gt;""),MOD(G306-F306,1)*24,""))</f>
        <v/>
      </c>
      <c r="L306" s="37">
        <f>IF(A306="","",CHOOSE(WEEKDAY(A306,2),"Montag","Dienstag","Mittwoch","Donnerstag","Freitag","Samstag","Sonntag"))</f>
        <v/>
      </c>
      <c r="M306" s="37">
        <f>IF(A306="","",_xlfn.ISOWEEKNUM(A306))</f>
        <v/>
      </c>
      <c r="N306" s="38">
        <f>IF(A306="","",DATE(YEAR(A306),MONTH(A306),1))</f>
        <v/>
      </c>
    </row>
    <row r="307">
      <c r="A307" s="31" t="n"/>
      <c r="B307" s="32" t="n"/>
      <c r="C307" s="32" t="n"/>
      <c r="D307" s="33" t="n"/>
      <c r="E307" s="34" t="n"/>
      <c r="F307" s="35" t="n"/>
      <c r="G307" s="35" t="n"/>
      <c r="H307" s="32" t="n"/>
      <c r="I307" s="32" t="n"/>
      <c r="J307" s="32" t="n"/>
      <c r="K307" s="36">
        <f>IF(E307&lt;&gt;"",E307,IF(AND(F307&lt;&gt;"",G307&lt;&gt;""),MOD(G307-F307,1)*24,""))</f>
        <v/>
      </c>
      <c r="L307" s="37">
        <f>IF(A307="","",CHOOSE(WEEKDAY(A307,2),"Montag","Dienstag","Mittwoch","Donnerstag","Freitag","Samstag","Sonntag"))</f>
        <v/>
      </c>
      <c r="M307" s="37">
        <f>IF(A307="","",_xlfn.ISOWEEKNUM(A307))</f>
        <v/>
      </c>
      <c r="N307" s="38">
        <f>IF(A307="","",DATE(YEAR(A307),MONTH(A307),1))</f>
        <v/>
      </c>
    </row>
    <row r="308">
      <c r="A308" s="31" t="n"/>
      <c r="B308" s="32" t="n"/>
      <c r="C308" s="32" t="n"/>
      <c r="D308" s="33" t="n"/>
      <c r="E308" s="34" t="n"/>
      <c r="F308" s="35" t="n"/>
      <c r="G308" s="35" t="n"/>
      <c r="H308" s="32" t="n"/>
      <c r="I308" s="32" t="n"/>
      <c r="J308" s="32" t="n"/>
      <c r="K308" s="36">
        <f>IF(E308&lt;&gt;"",E308,IF(AND(F308&lt;&gt;"",G308&lt;&gt;""),MOD(G308-F308,1)*24,""))</f>
        <v/>
      </c>
      <c r="L308" s="37">
        <f>IF(A308="","",CHOOSE(WEEKDAY(A308,2),"Montag","Dienstag","Mittwoch","Donnerstag","Freitag","Samstag","Sonntag"))</f>
        <v/>
      </c>
      <c r="M308" s="37">
        <f>IF(A308="","",_xlfn.ISOWEEKNUM(A308))</f>
        <v/>
      </c>
      <c r="N308" s="38">
        <f>IF(A308="","",DATE(YEAR(A308),MONTH(A308),1))</f>
        <v/>
      </c>
    </row>
    <row r="309">
      <c r="A309" s="31" t="n"/>
      <c r="B309" s="32" t="n"/>
      <c r="C309" s="32" t="n"/>
      <c r="D309" s="33" t="n"/>
      <c r="E309" s="34" t="n"/>
      <c r="F309" s="35" t="n"/>
      <c r="G309" s="35" t="n"/>
      <c r="H309" s="32" t="n"/>
      <c r="I309" s="32" t="n"/>
      <c r="J309" s="32" t="n"/>
      <c r="K309" s="36">
        <f>IF(E309&lt;&gt;"",E309,IF(AND(F309&lt;&gt;"",G309&lt;&gt;""),MOD(G309-F309,1)*24,""))</f>
        <v/>
      </c>
      <c r="L309" s="37">
        <f>IF(A309="","",CHOOSE(WEEKDAY(A309,2),"Montag","Dienstag","Mittwoch","Donnerstag","Freitag","Samstag","Sonntag"))</f>
        <v/>
      </c>
      <c r="M309" s="37">
        <f>IF(A309="","",_xlfn.ISOWEEKNUM(A309))</f>
        <v/>
      </c>
      <c r="N309" s="38">
        <f>IF(A309="","",DATE(YEAR(A309),MONTH(A309),1))</f>
        <v/>
      </c>
    </row>
    <row r="310">
      <c r="A310" s="31" t="n"/>
      <c r="B310" s="32" t="n"/>
      <c r="C310" s="32" t="n"/>
      <c r="D310" s="33" t="n"/>
      <c r="E310" s="34" t="n"/>
      <c r="F310" s="35" t="n"/>
      <c r="G310" s="35" t="n"/>
      <c r="H310" s="32" t="n"/>
      <c r="I310" s="32" t="n"/>
      <c r="J310" s="32" t="n"/>
      <c r="K310" s="36">
        <f>IF(E310&lt;&gt;"",E310,IF(AND(F310&lt;&gt;"",G310&lt;&gt;""),MOD(G310-F310,1)*24,""))</f>
        <v/>
      </c>
      <c r="L310" s="37">
        <f>IF(A310="","",CHOOSE(WEEKDAY(A310,2),"Montag","Dienstag","Mittwoch","Donnerstag","Freitag","Samstag","Sonntag"))</f>
        <v/>
      </c>
      <c r="M310" s="37">
        <f>IF(A310="","",_xlfn.ISOWEEKNUM(A310))</f>
        <v/>
      </c>
      <c r="N310" s="38">
        <f>IF(A310="","",DATE(YEAR(A310),MONTH(A310),1))</f>
        <v/>
      </c>
    </row>
    <row r="311">
      <c r="A311" s="31" t="n"/>
      <c r="B311" s="32" t="n"/>
      <c r="C311" s="32" t="n"/>
      <c r="D311" s="33" t="n"/>
      <c r="E311" s="34" t="n"/>
      <c r="F311" s="35" t="n"/>
      <c r="G311" s="35" t="n"/>
      <c r="H311" s="32" t="n"/>
      <c r="I311" s="32" t="n"/>
      <c r="J311" s="32" t="n"/>
      <c r="K311" s="36">
        <f>IF(E311&lt;&gt;"",E311,IF(AND(F311&lt;&gt;"",G311&lt;&gt;""),MOD(G311-F311,1)*24,""))</f>
        <v/>
      </c>
      <c r="L311" s="37">
        <f>IF(A311="","",CHOOSE(WEEKDAY(A311,2),"Montag","Dienstag","Mittwoch","Donnerstag","Freitag","Samstag","Sonntag"))</f>
        <v/>
      </c>
      <c r="M311" s="37">
        <f>IF(A311="","",_xlfn.ISOWEEKNUM(A311))</f>
        <v/>
      </c>
      <c r="N311" s="38">
        <f>IF(A311="","",DATE(YEAR(A311),MONTH(A311),1))</f>
        <v/>
      </c>
    </row>
    <row r="312">
      <c r="A312" s="31" t="n"/>
      <c r="B312" s="32" t="n"/>
      <c r="C312" s="32" t="n"/>
      <c r="D312" s="33" t="n"/>
      <c r="E312" s="34" t="n"/>
      <c r="F312" s="35" t="n"/>
      <c r="G312" s="35" t="n"/>
      <c r="H312" s="32" t="n"/>
      <c r="I312" s="32" t="n"/>
      <c r="J312" s="32" t="n"/>
      <c r="K312" s="36">
        <f>IF(E312&lt;&gt;"",E312,IF(AND(F312&lt;&gt;"",G312&lt;&gt;""),MOD(G312-F312,1)*24,""))</f>
        <v/>
      </c>
      <c r="L312" s="37">
        <f>IF(A312="","",CHOOSE(WEEKDAY(A312,2),"Montag","Dienstag","Mittwoch","Donnerstag","Freitag","Samstag","Sonntag"))</f>
        <v/>
      </c>
      <c r="M312" s="37">
        <f>IF(A312="","",_xlfn.ISOWEEKNUM(A312))</f>
        <v/>
      </c>
      <c r="N312" s="38">
        <f>IF(A312="","",DATE(YEAR(A312),MONTH(A312),1))</f>
        <v/>
      </c>
    </row>
    <row r="313">
      <c r="A313" s="31" t="n"/>
      <c r="B313" s="32" t="n"/>
      <c r="C313" s="32" t="n"/>
      <c r="D313" s="33" t="n"/>
      <c r="E313" s="34" t="n"/>
      <c r="F313" s="35" t="n"/>
      <c r="G313" s="35" t="n"/>
      <c r="H313" s="32" t="n"/>
      <c r="I313" s="32" t="n"/>
      <c r="J313" s="32" t="n"/>
      <c r="K313" s="36">
        <f>IF(E313&lt;&gt;"",E313,IF(AND(F313&lt;&gt;"",G313&lt;&gt;""),MOD(G313-F313,1)*24,""))</f>
        <v/>
      </c>
      <c r="L313" s="37">
        <f>IF(A313="","",CHOOSE(WEEKDAY(A313,2),"Montag","Dienstag","Mittwoch","Donnerstag","Freitag","Samstag","Sonntag"))</f>
        <v/>
      </c>
      <c r="M313" s="37">
        <f>IF(A313="","",_xlfn.ISOWEEKNUM(A313))</f>
        <v/>
      </c>
      <c r="N313" s="38">
        <f>IF(A313="","",DATE(YEAR(A313),MONTH(A313),1))</f>
        <v/>
      </c>
    </row>
    <row r="314">
      <c r="A314" s="31" t="n"/>
      <c r="B314" s="32" t="n"/>
      <c r="C314" s="32" t="n"/>
      <c r="D314" s="33" t="n"/>
      <c r="E314" s="34" t="n"/>
      <c r="F314" s="35" t="n"/>
      <c r="G314" s="35" t="n"/>
      <c r="H314" s="32" t="n"/>
      <c r="I314" s="32" t="n"/>
      <c r="J314" s="32" t="n"/>
      <c r="K314" s="36">
        <f>IF(E314&lt;&gt;"",E314,IF(AND(F314&lt;&gt;"",G314&lt;&gt;""),MOD(G314-F314,1)*24,""))</f>
        <v/>
      </c>
      <c r="L314" s="37">
        <f>IF(A314="","",CHOOSE(WEEKDAY(A314,2),"Montag","Dienstag","Mittwoch","Donnerstag","Freitag","Samstag","Sonntag"))</f>
        <v/>
      </c>
      <c r="M314" s="37">
        <f>IF(A314="","",_xlfn.ISOWEEKNUM(A314))</f>
        <v/>
      </c>
      <c r="N314" s="38">
        <f>IF(A314="","",DATE(YEAR(A314),MONTH(A314),1))</f>
        <v/>
      </c>
    </row>
    <row r="315">
      <c r="A315" s="31" t="n"/>
      <c r="B315" s="32" t="n"/>
      <c r="C315" s="32" t="n"/>
      <c r="D315" s="33" t="n"/>
      <c r="E315" s="34" t="n"/>
      <c r="F315" s="35" t="n"/>
      <c r="G315" s="35" t="n"/>
      <c r="H315" s="32" t="n"/>
      <c r="I315" s="32" t="n"/>
      <c r="J315" s="32" t="n"/>
      <c r="K315" s="36">
        <f>IF(E315&lt;&gt;"",E315,IF(AND(F315&lt;&gt;"",G315&lt;&gt;""),MOD(G315-F315,1)*24,""))</f>
        <v/>
      </c>
      <c r="L315" s="37">
        <f>IF(A315="","",CHOOSE(WEEKDAY(A315,2),"Montag","Dienstag","Mittwoch","Donnerstag","Freitag","Samstag","Sonntag"))</f>
        <v/>
      </c>
      <c r="M315" s="37">
        <f>IF(A315="","",_xlfn.ISOWEEKNUM(A315))</f>
        <v/>
      </c>
      <c r="N315" s="38">
        <f>IF(A315="","",DATE(YEAR(A315),MONTH(A315),1))</f>
        <v/>
      </c>
    </row>
    <row r="316">
      <c r="A316" s="31" t="n"/>
      <c r="B316" s="32" t="n"/>
      <c r="C316" s="32" t="n"/>
      <c r="D316" s="33" t="n"/>
      <c r="E316" s="34" t="n"/>
      <c r="F316" s="35" t="n"/>
      <c r="G316" s="35" t="n"/>
      <c r="H316" s="32" t="n"/>
      <c r="I316" s="32" t="n"/>
      <c r="J316" s="32" t="n"/>
      <c r="K316" s="36">
        <f>IF(E316&lt;&gt;"",E316,IF(AND(F316&lt;&gt;"",G316&lt;&gt;""),MOD(G316-F316,1)*24,""))</f>
        <v/>
      </c>
      <c r="L316" s="37">
        <f>IF(A316="","",CHOOSE(WEEKDAY(A316,2),"Montag","Dienstag","Mittwoch","Donnerstag","Freitag","Samstag","Sonntag"))</f>
        <v/>
      </c>
      <c r="M316" s="37">
        <f>IF(A316="","",_xlfn.ISOWEEKNUM(A316))</f>
        <v/>
      </c>
      <c r="N316" s="38">
        <f>IF(A316="","",DATE(YEAR(A316),MONTH(A316),1))</f>
        <v/>
      </c>
    </row>
    <row r="317">
      <c r="A317" s="31" t="n"/>
      <c r="B317" s="32" t="n"/>
      <c r="C317" s="32" t="n"/>
      <c r="D317" s="33" t="n"/>
      <c r="E317" s="34" t="n"/>
      <c r="F317" s="35" t="n"/>
      <c r="G317" s="35" t="n"/>
      <c r="H317" s="32" t="n"/>
      <c r="I317" s="32" t="n"/>
      <c r="J317" s="32" t="n"/>
      <c r="K317" s="36">
        <f>IF(E317&lt;&gt;"",E317,IF(AND(F317&lt;&gt;"",G317&lt;&gt;""),MOD(G317-F317,1)*24,""))</f>
        <v/>
      </c>
      <c r="L317" s="37">
        <f>IF(A317="","",CHOOSE(WEEKDAY(A317,2),"Montag","Dienstag","Mittwoch","Donnerstag","Freitag","Samstag","Sonntag"))</f>
        <v/>
      </c>
      <c r="M317" s="37">
        <f>IF(A317="","",_xlfn.ISOWEEKNUM(A317))</f>
        <v/>
      </c>
      <c r="N317" s="38">
        <f>IF(A317="","",DATE(YEAR(A317),MONTH(A317),1))</f>
        <v/>
      </c>
    </row>
    <row r="318">
      <c r="A318" s="31" t="n"/>
      <c r="B318" s="32" t="n"/>
      <c r="C318" s="32" t="n"/>
      <c r="D318" s="33" t="n"/>
      <c r="E318" s="34" t="n"/>
      <c r="F318" s="35" t="n"/>
      <c r="G318" s="35" t="n"/>
      <c r="H318" s="32" t="n"/>
      <c r="I318" s="32" t="n"/>
      <c r="J318" s="32" t="n"/>
      <c r="K318" s="36">
        <f>IF(E318&lt;&gt;"",E318,IF(AND(F318&lt;&gt;"",G318&lt;&gt;""),MOD(G318-F318,1)*24,""))</f>
        <v/>
      </c>
      <c r="L318" s="37">
        <f>IF(A318="","",CHOOSE(WEEKDAY(A318,2),"Montag","Dienstag","Mittwoch","Donnerstag","Freitag","Samstag","Sonntag"))</f>
        <v/>
      </c>
      <c r="M318" s="37">
        <f>IF(A318="","",_xlfn.ISOWEEKNUM(A318))</f>
        <v/>
      </c>
      <c r="N318" s="38">
        <f>IF(A318="","",DATE(YEAR(A318),MONTH(A318),1))</f>
        <v/>
      </c>
    </row>
    <row r="319">
      <c r="A319" s="31" t="n"/>
      <c r="B319" s="32" t="n"/>
      <c r="C319" s="32" t="n"/>
      <c r="D319" s="33" t="n"/>
      <c r="E319" s="34" t="n"/>
      <c r="F319" s="35" t="n"/>
      <c r="G319" s="35" t="n"/>
      <c r="H319" s="32" t="n"/>
      <c r="I319" s="32" t="n"/>
      <c r="J319" s="32" t="n"/>
      <c r="K319" s="36">
        <f>IF(E319&lt;&gt;"",E319,IF(AND(F319&lt;&gt;"",G319&lt;&gt;""),MOD(G319-F319,1)*24,""))</f>
        <v/>
      </c>
      <c r="L319" s="37">
        <f>IF(A319="","",CHOOSE(WEEKDAY(A319,2),"Montag","Dienstag","Mittwoch","Donnerstag","Freitag","Samstag","Sonntag"))</f>
        <v/>
      </c>
      <c r="M319" s="37">
        <f>IF(A319="","",_xlfn.ISOWEEKNUM(A319))</f>
        <v/>
      </c>
      <c r="N319" s="38">
        <f>IF(A319="","",DATE(YEAR(A319),MONTH(A319),1))</f>
        <v/>
      </c>
    </row>
    <row r="320">
      <c r="A320" s="31" t="n"/>
      <c r="B320" s="32" t="n"/>
      <c r="C320" s="32" t="n"/>
      <c r="D320" s="33" t="n"/>
      <c r="E320" s="34" t="n"/>
      <c r="F320" s="35" t="n"/>
      <c r="G320" s="35" t="n"/>
      <c r="H320" s="32" t="n"/>
      <c r="I320" s="32" t="n"/>
      <c r="J320" s="32" t="n"/>
      <c r="K320" s="36">
        <f>IF(E320&lt;&gt;"",E320,IF(AND(F320&lt;&gt;"",G320&lt;&gt;""),MOD(G320-F320,1)*24,""))</f>
        <v/>
      </c>
      <c r="L320" s="37">
        <f>IF(A320="","",CHOOSE(WEEKDAY(A320,2),"Montag","Dienstag","Mittwoch","Donnerstag","Freitag","Samstag","Sonntag"))</f>
        <v/>
      </c>
      <c r="M320" s="37">
        <f>IF(A320="","",_xlfn.ISOWEEKNUM(A320))</f>
        <v/>
      </c>
      <c r="N320" s="38">
        <f>IF(A320="","",DATE(YEAR(A320),MONTH(A320),1))</f>
        <v/>
      </c>
    </row>
    <row r="321">
      <c r="A321" s="31" t="n"/>
      <c r="B321" s="32" t="n"/>
      <c r="C321" s="32" t="n"/>
      <c r="D321" s="33" t="n"/>
      <c r="E321" s="34" t="n"/>
      <c r="F321" s="35" t="n"/>
      <c r="G321" s="35" t="n"/>
      <c r="H321" s="32" t="n"/>
      <c r="I321" s="32" t="n"/>
      <c r="J321" s="32" t="n"/>
      <c r="K321" s="36">
        <f>IF(E321&lt;&gt;"",E321,IF(AND(F321&lt;&gt;"",G321&lt;&gt;""),MOD(G321-F321,1)*24,""))</f>
        <v/>
      </c>
      <c r="L321" s="37">
        <f>IF(A321="","",CHOOSE(WEEKDAY(A321,2),"Montag","Dienstag","Mittwoch","Donnerstag","Freitag","Samstag","Sonntag"))</f>
        <v/>
      </c>
      <c r="M321" s="37">
        <f>IF(A321="","",_xlfn.ISOWEEKNUM(A321))</f>
        <v/>
      </c>
      <c r="N321" s="38">
        <f>IF(A321="","",DATE(YEAR(A321),MONTH(A321),1))</f>
        <v/>
      </c>
    </row>
    <row r="322">
      <c r="A322" s="31" t="n"/>
      <c r="B322" s="32" t="n"/>
      <c r="C322" s="32" t="n"/>
      <c r="D322" s="33" t="n"/>
      <c r="E322" s="34" t="n"/>
      <c r="F322" s="35" t="n"/>
      <c r="G322" s="35" t="n"/>
      <c r="H322" s="32" t="n"/>
      <c r="I322" s="32" t="n"/>
      <c r="J322" s="32" t="n"/>
      <c r="K322" s="36">
        <f>IF(E322&lt;&gt;"",E322,IF(AND(F322&lt;&gt;"",G322&lt;&gt;""),MOD(G322-F322,1)*24,""))</f>
        <v/>
      </c>
      <c r="L322" s="37">
        <f>IF(A322="","",CHOOSE(WEEKDAY(A322,2),"Montag","Dienstag","Mittwoch","Donnerstag","Freitag","Samstag","Sonntag"))</f>
        <v/>
      </c>
      <c r="M322" s="37">
        <f>IF(A322="","",_xlfn.ISOWEEKNUM(A322))</f>
        <v/>
      </c>
      <c r="N322" s="38">
        <f>IF(A322="","",DATE(YEAR(A322),MONTH(A322),1))</f>
        <v/>
      </c>
    </row>
    <row r="323">
      <c r="A323" s="31" t="n"/>
      <c r="B323" s="32" t="n"/>
      <c r="C323" s="32" t="n"/>
      <c r="D323" s="33" t="n"/>
      <c r="E323" s="34" t="n"/>
      <c r="F323" s="35" t="n"/>
      <c r="G323" s="35" t="n"/>
      <c r="H323" s="32" t="n"/>
      <c r="I323" s="32" t="n"/>
      <c r="J323" s="32" t="n"/>
      <c r="K323" s="36">
        <f>IF(E323&lt;&gt;"",E323,IF(AND(F323&lt;&gt;"",G323&lt;&gt;""),MOD(G323-F323,1)*24,""))</f>
        <v/>
      </c>
      <c r="L323" s="37">
        <f>IF(A323="","",CHOOSE(WEEKDAY(A323,2),"Montag","Dienstag","Mittwoch","Donnerstag","Freitag","Samstag","Sonntag"))</f>
        <v/>
      </c>
      <c r="M323" s="37">
        <f>IF(A323="","",_xlfn.ISOWEEKNUM(A323))</f>
        <v/>
      </c>
      <c r="N323" s="38">
        <f>IF(A323="","",DATE(YEAR(A323),MONTH(A323),1))</f>
        <v/>
      </c>
    </row>
    <row r="324">
      <c r="A324" s="31" t="n"/>
      <c r="B324" s="32" t="n"/>
      <c r="C324" s="32" t="n"/>
      <c r="D324" s="33" t="n"/>
      <c r="E324" s="34" t="n"/>
      <c r="F324" s="35" t="n"/>
      <c r="G324" s="35" t="n"/>
      <c r="H324" s="32" t="n"/>
      <c r="I324" s="32" t="n"/>
      <c r="J324" s="32" t="n"/>
      <c r="K324" s="36">
        <f>IF(E324&lt;&gt;"",E324,IF(AND(F324&lt;&gt;"",G324&lt;&gt;""),MOD(G324-F324,1)*24,""))</f>
        <v/>
      </c>
      <c r="L324" s="37">
        <f>IF(A324="","",CHOOSE(WEEKDAY(A324,2),"Montag","Dienstag","Mittwoch","Donnerstag","Freitag","Samstag","Sonntag"))</f>
        <v/>
      </c>
      <c r="M324" s="37">
        <f>IF(A324="","",_xlfn.ISOWEEKNUM(A324))</f>
        <v/>
      </c>
      <c r="N324" s="38">
        <f>IF(A324="","",DATE(YEAR(A324),MONTH(A324),1))</f>
        <v/>
      </c>
    </row>
    <row r="325">
      <c r="A325" s="31" t="n"/>
      <c r="B325" s="32" t="n"/>
      <c r="C325" s="32" t="n"/>
      <c r="D325" s="33" t="n"/>
      <c r="E325" s="34" t="n"/>
      <c r="F325" s="35" t="n"/>
      <c r="G325" s="35" t="n"/>
      <c r="H325" s="32" t="n"/>
      <c r="I325" s="32" t="n"/>
      <c r="J325" s="32" t="n"/>
      <c r="K325" s="36">
        <f>IF(E325&lt;&gt;"",E325,IF(AND(F325&lt;&gt;"",G325&lt;&gt;""),MOD(G325-F325,1)*24,""))</f>
        <v/>
      </c>
      <c r="L325" s="37">
        <f>IF(A325="","",CHOOSE(WEEKDAY(A325,2),"Montag","Dienstag","Mittwoch","Donnerstag","Freitag","Samstag","Sonntag"))</f>
        <v/>
      </c>
      <c r="M325" s="37">
        <f>IF(A325="","",_xlfn.ISOWEEKNUM(A325))</f>
        <v/>
      </c>
      <c r="N325" s="38">
        <f>IF(A325="","",DATE(YEAR(A325),MONTH(A325),1))</f>
        <v/>
      </c>
    </row>
    <row r="326">
      <c r="A326" s="31" t="n"/>
      <c r="B326" s="32" t="n"/>
      <c r="C326" s="32" t="n"/>
      <c r="D326" s="33" t="n"/>
      <c r="E326" s="34" t="n"/>
      <c r="F326" s="35" t="n"/>
      <c r="G326" s="35" t="n"/>
      <c r="H326" s="32" t="n"/>
      <c r="I326" s="32" t="n"/>
      <c r="J326" s="32" t="n"/>
      <c r="K326" s="36">
        <f>IF(E326&lt;&gt;"",E326,IF(AND(F326&lt;&gt;"",G326&lt;&gt;""),MOD(G326-F326,1)*24,""))</f>
        <v/>
      </c>
      <c r="L326" s="37">
        <f>IF(A326="","",CHOOSE(WEEKDAY(A326,2),"Montag","Dienstag","Mittwoch","Donnerstag","Freitag","Samstag","Sonntag"))</f>
        <v/>
      </c>
      <c r="M326" s="37">
        <f>IF(A326="","",_xlfn.ISOWEEKNUM(A326))</f>
        <v/>
      </c>
      <c r="N326" s="38">
        <f>IF(A326="","",DATE(YEAR(A326),MONTH(A326),1))</f>
        <v/>
      </c>
    </row>
    <row r="327">
      <c r="A327" s="31" t="n"/>
      <c r="B327" s="32" t="n"/>
      <c r="C327" s="32" t="n"/>
      <c r="D327" s="33" t="n"/>
      <c r="E327" s="34" t="n"/>
      <c r="F327" s="35" t="n"/>
      <c r="G327" s="35" t="n"/>
      <c r="H327" s="32" t="n"/>
      <c r="I327" s="32" t="n"/>
      <c r="J327" s="32" t="n"/>
      <c r="K327" s="36">
        <f>IF(E327&lt;&gt;"",E327,IF(AND(F327&lt;&gt;"",G327&lt;&gt;""),MOD(G327-F327,1)*24,""))</f>
        <v/>
      </c>
      <c r="L327" s="37">
        <f>IF(A327="","",CHOOSE(WEEKDAY(A327,2),"Montag","Dienstag","Mittwoch","Donnerstag","Freitag","Samstag","Sonntag"))</f>
        <v/>
      </c>
      <c r="M327" s="37">
        <f>IF(A327="","",_xlfn.ISOWEEKNUM(A327))</f>
        <v/>
      </c>
      <c r="N327" s="38">
        <f>IF(A327="","",DATE(YEAR(A327),MONTH(A327),1))</f>
        <v/>
      </c>
    </row>
    <row r="328">
      <c r="A328" s="31" t="n"/>
      <c r="B328" s="32" t="n"/>
      <c r="C328" s="32" t="n"/>
      <c r="D328" s="33" t="n"/>
      <c r="E328" s="34" t="n"/>
      <c r="F328" s="35" t="n"/>
      <c r="G328" s="35" t="n"/>
      <c r="H328" s="32" t="n"/>
      <c r="I328" s="32" t="n"/>
      <c r="J328" s="32" t="n"/>
      <c r="K328" s="36">
        <f>IF(E328&lt;&gt;"",E328,IF(AND(F328&lt;&gt;"",G328&lt;&gt;""),MOD(G328-F328,1)*24,""))</f>
        <v/>
      </c>
      <c r="L328" s="37">
        <f>IF(A328="","",CHOOSE(WEEKDAY(A328,2),"Montag","Dienstag","Mittwoch","Donnerstag","Freitag","Samstag","Sonntag"))</f>
        <v/>
      </c>
      <c r="M328" s="37">
        <f>IF(A328="","",_xlfn.ISOWEEKNUM(A328))</f>
        <v/>
      </c>
      <c r="N328" s="38">
        <f>IF(A328="","",DATE(YEAR(A328),MONTH(A328),1))</f>
        <v/>
      </c>
    </row>
    <row r="329">
      <c r="A329" s="31" t="n"/>
      <c r="B329" s="32" t="n"/>
      <c r="C329" s="32" t="n"/>
      <c r="D329" s="33" t="n"/>
      <c r="E329" s="34" t="n"/>
      <c r="F329" s="35" t="n"/>
      <c r="G329" s="35" t="n"/>
      <c r="H329" s="32" t="n"/>
      <c r="I329" s="32" t="n"/>
      <c r="J329" s="32" t="n"/>
      <c r="K329" s="36">
        <f>IF(E329&lt;&gt;"",E329,IF(AND(F329&lt;&gt;"",G329&lt;&gt;""),MOD(G329-F329,1)*24,""))</f>
        <v/>
      </c>
      <c r="L329" s="37">
        <f>IF(A329="","",CHOOSE(WEEKDAY(A329,2),"Montag","Dienstag","Mittwoch","Donnerstag","Freitag","Samstag","Sonntag"))</f>
        <v/>
      </c>
      <c r="M329" s="37">
        <f>IF(A329="","",_xlfn.ISOWEEKNUM(A329))</f>
        <v/>
      </c>
      <c r="N329" s="38">
        <f>IF(A329="","",DATE(YEAR(A329),MONTH(A329),1))</f>
        <v/>
      </c>
    </row>
    <row r="330">
      <c r="A330" s="31" t="n"/>
      <c r="B330" s="32" t="n"/>
      <c r="C330" s="32" t="n"/>
      <c r="D330" s="33" t="n"/>
      <c r="E330" s="34" t="n"/>
      <c r="F330" s="35" t="n"/>
      <c r="G330" s="35" t="n"/>
      <c r="H330" s="32" t="n"/>
      <c r="I330" s="32" t="n"/>
      <c r="J330" s="32" t="n"/>
      <c r="K330" s="36">
        <f>IF(E330&lt;&gt;"",E330,IF(AND(F330&lt;&gt;"",G330&lt;&gt;""),MOD(G330-F330,1)*24,""))</f>
        <v/>
      </c>
      <c r="L330" s="37">
        <f>IF(A330="","",CHOOSE(WEEKDAY(A330,2),"Montag","Dienstag","Mittwoch","Donnerstag","Freitag","Samstag","Sonntag"))</f>
        <v/>
      </c>
      <c r="M330" s="37">
        <f>IF(A330="","",_xlfn.ISOWEEKNUM(A330))</f>
        <v/>
      </c>
      <c r="N330" s="38">
        <f>IF(A330="","",DATE(YEAR(A330),MONTH(A330),1))</f>
        <v/>
      </c>
    </row>
    <row r="331">
      <c r="A331" s="31" t="n"/>
      <c r="B331" s="32" t="n"/>
      <c r="C331" s="32" t="n"/>
      <c r="D331" s="33" t="n"/>
      <c r="E331" s="34" t="n"/>
      <c r="F331" s="35" t="n"/>
      <c r="G331" s="35" t="n"/>
      <c r="H331" s="32" t="n"/>
      <c r="I331" s="32" t="n"/>
      <c r="J331" s="32" t="n"/>
      <c r="K331" s="36">
        <f>IF(E331&lt;&gt;"",E331,IF(AND(F331&lt;&gt;"",G331&lt;&gt;""),MOD(G331-F331,1)*24,""))</f>
        <v/>
      </c>
      <c r="L331" s="37">
        <f>IF(A331="","",CHOOSE(WEEKDAY(A331,2),"Montag","Dienstag","Mittwoch","Donnerstag","Freitag","Samstag","Sonntag"))</f>
        <v/>
      </c>
      <c r="M331" s="37">
        <f>IF(A331="","",_xlfn.ISOWEEKNUM(A331))</f>
        <v/>
      </c>
      <c r="N331" s="38">
        <f>IF(A331="","",DATE(YEAR(A331),MONTH(A331),1))</f>
        <v/>
      </c>
    </row>
    <row r="332">
      <c r="A332" s="31" t="n"/>
      <c r="B332" s="32" t="n"/>
      <c r="C332" s="32" t="n"/>
      <c r="D332" s="33" t="n"/>
      <c r="E332" s="34" t="n"/>
      <c r="F332" s="35" t="n"/>
      <c r="G332" s="35" t="n"/>
      <c r="H332" s="32" t="n"/>
      <c r="I332" s="32" t="n"/>
      <c r="J332" s="32" t="n"/>
      <c r="K332" s="36">
        <f>IF(E332&lt;&gt;"",E332,IF(AND(F332&lt;&gt;"",G332&lt;&gt;""),MOD(G332-F332,1)*24,""))</f>
        <v/>
      </c>
      <c r="L332" s="37">
        <f>IF(A332="","",CHOOSE(WEEKDAY(A332,2),"Montag","Dienstag","Mittwoch","Donnerstag","Freitag","Samstag","Sonntag"))</f>
        <v/>
      </c>
      <c r="M332" s="37">
        <f>IF(A332="","",_xlfn.ISOWEEKNUM(A332))</f>
        <v/>
      </c>
      <c r="N332" s="38">
        <f>IF(A332="","",DATE(YEAR(A332),MONTH(A332),1))</f>
        <v/>
      </c>
    </row>
    <row r="333">
      <c r="A333" s="31" t="n"/>
      <c r="B333" s="32" t="n"/>
      <c r="C333" s="32" t="n"/>
      <c r="D333" s="33" t="n"/>
      <c r="E333" s="34" t="n"/>
      <c r="F333" s="35" t="n"/>
      <c r="G333" s="35" t="n"/>
      <c r="H333" s="32" t="n"/>
      <c r="I333" s="32" t="n"/>
      <c r="J333" s="32" t="n"/>
      <c r="K333" s="36">
        <f>IF(E333&lt;&gt;"",E333,IF(AND(F333&lt;&gt;"",G333&lt;&gt;""),MOD(G333-F333,1)*24,""))</f>
        <v/>
      </c>
      <c r="L333" s="37">
        <f>IF(A333="","",CHOOSE(WEEKDAY(A333,2),"Montag","Dienstag","Mittwoch","Donnerstag","Freitag","Samstag","Sonntag"))</f>
        <v/>
      </c>
      <c r="M333" s="37">
        <f>IF(A333="","",_xlfn.ISOWEEKNUM(A333))</f>
        <v/>
      </c>
      <c r="N333" s="38">
        <f>IF(A333="","",DATE(YEAR(A333),MONTH(A333),1))</f>
        <v/>
      </c>
    </row>
    <row r="334">
      <c r="A334" s="31" t="n"/>
      <c r="B334" s="32" t="n"/>
      <c r="C334" s="32" t="n"/>
      <c r="D334" s="33" t="n"/>
      <c r="E334" s="34" t="n"/>
      <c r="F334" s="35" t="n"/>
      <c r="G334" s="35" t="n"/>
      <c r="H334" s="32" t="n"/>
      <c r="I334" s="32" t="n"/>
      <c r="J334" s="32" t="n"/>
      <c r="K334" s="36">
        <f>IF(E334&lt;&gt;"",E334,IF(AND(F334&lt;&gt;"",G334&lt;&gt;""),MOD(G334-F334,1)*24,""))</f>
        <v/>
      </c>
      <c r="L334" s="37">
        <f>IF(A334="","",CHOOSE(WEEKDAY(A334,2),"Montag","Dienstag","Mittwoch","Donnerstag","Freitag","Samstag","Sonntag"))</f>
        <v/>
      </c>
      <c r="M334" s="37">
        <f>IF(A334="","",_xlfn.ISOWEEKNUM(A334))</f>
        <v/>
      </c>
      <c r="N334" s="38">
        <f>IF(A334="","",DATE(YEAR(A334),MONTH(A334),1))</f>
        <v/>
      </c>
    </row>
    <row r="335">
      <c r="A335" s="31" t="n"/>
      <c r="B335" s="32" t="n"/>
      <c r="C335" s="32" t="n"/>
      <c r="D335" s="33" t="n"/>
      <c r="E335" s="34" t="n"/>
      <c r="F335" s="35" t="n"/>
      <c r="G335" s="35" t="n"/>
      <c r="H335" s="32" t="n"/>
      <c r="I335" s="32" t="n"/>
      <c r="J335" s="32" t="n"/>
      <c r="K335" s="36">
        <f>IF(E335&lt;&gt;"",E335,IF(AND(F335&lt;&gt;"",G335&lt;&gt;""),MOD(G335-F335,1)*24,""))</f>
        <v/>
      </c>
      <c r="L335" s="37">
        <f>IF(A335="","",CHOOSE(WEEKDAY(A335,2),"Montag","Dienstag","Mittwoch","Donnerstag","Freitag","Samstag","Sonntag"))</f>
        <v/>
      </c>
      <c r="M335" s="37">
        <f>IF(A335="","",_xlfn.ISOWEEKNUM(A335))</f>
        <v/>
      </c>
      <c r="N335" s="38">
        <f>IF(A335="","",DATE(YEAR(A335),MONTH(A335),1))</f>
        <v/>
      </c>
    </row>
    <row r="336">
      <c r="A336" s="31" t="n"/>
      <c r="B336" s="32" t="n"/>
      <c r="C336" s="32" t="n"/>
      <c r="D336" s="33" t="n"/>
      <c r="E336" s="34" t="n"/>
      <c r="F336" s="35" t="n"/>
      <c r="G336" s="35" t="n"/>
      <c r="H336" s="32" t="n"/>
      <c r="I336" s="32" t="n"/>
      <c r="J336" s="32" t="n"/>
      <c r="K336" s="36">
        <f>IF(E336&lt;&gt;"",E336,IF(AND(F336&lt;&gt;"",G336&lt;&gt;""),MOD(G336-F336,1)*24,""))</f>
        <v/>
      </c>
      <c r="L336" s="37">
        <f>IF(A336="","",CHOOSE(WEEKDAY(A336,2),"Montag","Dienstag","Mittwoch","Donnerstag","Freitag","Samstag","Sonntag"))</f>
        <v/>
      </c>
      <c r="M336" s="37">
        <f>IF(A336="","",_xlfn.ISOWEEKNUM(A336))</f>
        <v/>
      </c>
      <c r="N336" s="38">
        <f>IF(A336="","",DATE(YEAR(A336),MONTH(A336),1))</f>
        <v/>
      </c>
    </row>
    <row r="337">
      <c r="A337" s="31" t="n"/>
      <c r="B337" s="32" t="n"/>
      <c r="C337" s="32" t="n"/>
      <c r="D337" s="33" t="n"/>
      <c r="E337" s="34" t="n"/>
      <c r="F337" s="35" t="n"/>
      <c r="G337" s="35" t="n"/>
      <c r="H337" s="32" t="n"/>
      <c r="I337" s="32" t="n"/>
      <c r="J337" s="32" t="n"/>
      <c r="K337" s="36">
        <f>IF(E337&lt;&gt;"",E337,IF(AND(F337&lt;&gt;"",G337&lt;&gt;""),MOD(G337-F337,1)*24,""))</f>
        <v/>
      </c>
      <c r="L337" s="37">
        <f>IF(A337="","",CHOOSE(WEEKDAY(A337,2),"Montag","Dienstag","Mittwoch","Donnerstag","Freitag","Samstag","Sonntag"))</f>
        <v/>
      </c>
      <c r="M337" s="37">
        <f>IF(A337="","",_xlfn.ISOWEEKNUM(A337))</f>
        <v/>
      </c>
      <c r="N337" s="38">
        <f>IF(A337="","",DATE(YEAR(A337),MONTH(A337),1))</f>
        <v/>
      </c>
    </row>
    <row r="338">
      <c r="A338" s="31" t="n"/>
      <c r="B338" s="32" t="n"/>
      <c r="C338" s="32" t="n"/>
      <c r="D338" s="33" t="n"/>
      <c r="E338" s="34" t="n"/>
      <c r="F338" s="35" t="n"/>
      <c r="G338" s="35" t="n"/>
      <c r="H338" s="32" t="n"/>
      <c r="I338" s="32" t="n"/>
      <c r="J338" s="32" t="n"/>
      <c r="K338" s="36">
        <f>IF(E338&lt;&gt;"",E338,IF(AND(F338&lt;&gt;"",G338&lt;&gt;""),MOD(G338-F338,1)*24,""))</f>
        <v/>
      </c>
      <c r="L338" s="37">
        <f>IF(A338="","",CHOOSE(WEEKDAY(A338,2),"Montag","Dienstag","Mittwoch","Donnerstag","Freitag","Samstag","Sonntag"))</f>
        <v/>
      </c>
      <c r="M338" s="37">
        <f>IF(A338="","",_xlfn.ISOWEEKNUM(A338))</f>
        <v/>
      </c>
      <c r="N338" s="38">
        <f>IF(A338="","",DATE(YEAR(A338),MONTH(A338),1))</f>
        <v/>
      </c>
    </row>
    <row r="339">
      <c r="A339" s="31" t="n"/>
      <c r="B339" s="32" t="n"/>
      <c r="C339" s="32" t="n"/>
      <c r="D339" s="33" t="n"/>
      <c r="E339" s="34" t="n"/>
      <c r="F339" s="35" t="n"/>
      <c r="G339" s="35" t="n"/>
      <c r="H339" s="32" t="n"/>
      <c r="I339" s="32" t="n"/>
      <c r="J339" s="32" t="n"/>
      <c r="K339" s="36">
        <f>IF(E339&lt;&gt;"",E339,IF(AND(F339&lt;&gt;"",G339&lt;&gt;""),MOD(G339-F339,1)*24,""))</f>
        <v/>
      </c>
      <c r="L339" s="37">
        <f>IF(A339="","",CHOOSE(WEEKDAY(A339,2),"Montag","Dienstag","Mittwoch","Donnerstag","Freitag","Samstag","Sonntag"))</f>
        <v/>
      </c>
      <c r="M339" s="37">
        <f>IF(A339="","",_xlfn.ISOWEEKNUM(A339))</f>
        <v/>
      </c>
      <c r="N339" s="38">
        <f>IF(A339="","",DATE(YEAR(A339),MONTH(A339),1))</f>
        <v/>
      </c>
    </row>
    <row r="340">
      <c r="A340" s="31" t="n"/>
      <c r="B340" s="32" t="n"/>
      <c r="C340" s="32" t="n"/>
      <c r="D340" s="33" t="n"/>
      <c r="E340" s="34" t="n"/>
      <c r="F340" s="35" t="n"/>
      <c r="G340" s="35" t="n"/>
      <c r="H340" s="32" t="n"/>
      <c r="I340" s="32" t="n"/>
      <c r="J340" s="32" t="n"/>
      <c r="K340" s="36">
        <f>IF(E340&lt;&gt;"",E340,IF(AND(F340&lt;&gt;"",G340&lt;&gt;""),MOD(G340-F340,1)*24,""))</f>
        <v/>
      </c>
      <c r="L340" s="37">
        <f>IF(A340="","",CHOOSE(WEEKDAY(A340,2),"Montag","Dienstag","Mittwoch","Donnerstag","Freitag","Samstag","Sonntag"))</f>
        <v/>
      </c>
      <c r="M340" s="37">
        <f>IF(A340="","",_xlfn.ISOWEEKNUM(A340))</f>
        <v/>
      </c>
      <c r="N340" s="38">
        <f>IF(A340="","",DATE(YEAR(A340),MONTH(A340),1))</f>
        <v/>
      </c>
    </row>
    <row r="341">
      <c r="A341" s="31" t="n"/>
      <c r="B341" s="32" t="n"/>
      <c r="C341" s="32" t="n"/>
      <c r="D341" s="33" t="n"/>
      <c r="E341" s="34" t="n"/>
      <c r="F341" s="35" t="n"/>
      <c r="G341" s="35" t="n"/>
      <c r="H341" s="32" t="n"/>
      <c r="I341" s="32" t="n"/>
      <c r="J341" s="32" t="n"/>
      <c r="K341" s="36">
        <f>IF(E341&lt;&gt;"",E341,IF(AND(F341&lt;&gt;"",G341&lt;&gt;""),MOD(G341-F341,1)*24,""))</f>
        <v/>
      </c>
      <c r="L341" s="37">
        <f>IF(A341="","",CHOOSE(WEEKDAY(A341,2),"Montag","Dienstag","Mittwoch","Donnerstag","Freitag","Samstag","Sonntag"))</f>
        <v/>
      </c>
      <c r="M341" s="37">
        <f>IF(A341="","",_xlfn.ISOWEEKNUM(A341))</f>
        <v/>
      </c>
      <c r="N341" s="38">
        <f>IF(A341="","",DATE(YEAR(A341),MONTH(A341),1))</f>
        <v/>
      </c>
    </row>
    <row r="342">
      <c r="A342" s="31" t="n"/>
      <c r="B342" s="32" t="n"/>
      <c r="C342" s="32" t="n"/>
      <c r="D342" s="33" t="n"/>
      <c r="E342" s="34" t="n"/>
      <c r="F342" s="35" t="n"/>
      <c r="G342" s="35" t="n"/>
      <c r="H342" s="32" t="n"/>
      <c r="I342" s="32" t="n"/>
      <c r="J342" s="32" t="n"/>
      <c r="K342" s="36">
        <f>IF(E342&lt;&gt;"",E342,IF(AND(F342&lt;&gt;"",G342&lt;&gt;""),MOD(G342-F342,1)*24,""))</f>
        <v/>
      </c>
      <c r="L342" s="37">
        <f>IF(A342="","",CHOOSE(WEEKDAY(A342,2),"Montag","Dienstag","Mittwoch","Donnerstag","Freitag","Samstag","Sonntag"))</f>
        <v/>
      </c>
      <c r="M342" s="37">
        <f>IF(A342="","",_xlfn.ISOWEEKNUM(A342))</f>
        <v/>
      </c>
      <c r="N342" s="38">
        <f>IF(A342="","",DATE(YEAR(A342),MONTH(A342),1))</f>
        <v/>
      </c>
    </row>
    <row r="343">
      <c r="A343" s="31" t="n"/>
      <c r="B343" s="32" t="n"/>
      <c r="C343" s="32" t="n"/>
      <c r="D343" s="33" t="n"/>
      <c r="E343" s="34" t="n"/>
      <c r="F343" s="35" t="n"/>
      <c r="G343" s="35" t="n"/>
      <c r="H343" s="32" t="n"/>
      <c r="I343" s="32" t="n"/>
      <c r="J343" s="32" t="n"/>
      <c r="K343" s="36">
        <f>IF(E343&lt;&gt;"",E343,IF(AND(F343&lt;&gt;"",G343&lt;&gt;""),MOD(G343-F343,1)*24,""))</f>
        <v/>
      </c>
      <c r="L343" s="37">
        <f>IF(A343="","",CHOOSE(WEEKDAY(A343,2),"Montag","Dienstag","Mittwoch","Donnerstag","Freitag","Samstag","Sonntag"))</f>
        <v/>
      </c>
      <c r="M343" s="37">
        <f>IF(A343="","",_xlfn.ISOWEEKNUM(A343))</f>
        <v/>
      </c>
      <c r="N343" s="38">
        <f>IF(A343="","",DATE(YEAR(A343),MONTH(A343),1))</f>
        <v/>
      </c>
    </row>
    <row r="344">
      <c r="A344" s="31" t="n"/>
      <c r="B344" s="32" t="n"/>
      <c r="C344" s="32" t="n"/>
      <c r="D344" s="33" t="n"/>
      <c r="E344" s="34" t="n"/>
      <c r="F344" s="35" t="n"/>
      <c r="G344" s="35" t="n"/>
      <c r="H344" s="32" t="n"/>
      <c r="I344" s="32" t="n"/>
      <c r="J344" s="32" t="n"/>
      <c r="K344" s="36">
        <f>IF(E344&lt;&gt;"",E344,IF(AND(F344&lt;&gt;"",G344&lt;&gt;""),MOD(G344-F344,1)*24,""))</f>
        <v/>
      </c>
      <c r="L344" s="37">
        <f>IF(A344="","",CHOOSE(WEEKDAY(A344,2),"Montag","Dienstag","Mittwoch","Donnerstag","Freitag","Samstag","Sonntag"))</f>
        <v/>
      </c>
      <c r="M344" s="37">
        <f>IF(A344="","",_xlfn.ISOWEEKNUM(A344))</f>
        <v/>
      </c>
      <c r="N344" s="38">
        <f>IF(A344="","",DATE(YEAR(A344),MONTH(A344),1))</f>
        <v/>
      </c>
    </row>
    <row r="345">
      <c r="A345" s="31" t="n"/>
      <c r="B345" s="32" t="n"/>
      <c r="C345" s="32" t="n"/>
      <c r="D345" s="33" t="n"/>
      <c r="E345" s="34" t="n"/>
      <c r="F345" s="35" t="n"/>
      <c r="G345" s="35" t="n"/>
      <c r="H345" s="32" t="n"/>
      <c r="I345" s="32" t="n"/>
      <c r="J345" s="32" t="n"/>
      <c r="K345" s="36">
        <f>IF(E345&lt;&gt;"",E345,IF(AND(F345&lt;&gt;"",G345&lt;&gt;""),MOD(G345-F345,1)*24,""))</f>
        <v/>
      </c>
      <c r="L345" s="37">
        <f>IF(A345="","",CHOOSE(WEEKDAY(A345,2),"Montag","Dienstag","Mittwoch","Donnerstag","Freitag","Samstag","Sonntag"))</f>
        <v/>
      </c>
      <c r="M345" s="37">
        <f>IF(A345="","",_xlfn.ISOWEEKNUM(A345))</f>
        <v/>
      </c>
      <c r="N345" s="38">
        <f>IF(A345="","",DATE(YEAR(A345),MONTH(A345),1))</f>
        <v/>
      </c>
    </row>
    <row r="346">
      <c r="A346" s="31" t="n"/>
      <c r="B346" s="32" t="n"/>
      <c r="C346" s="32" t="n"/>
      <c r="D346" s="33" t="n"/>
      <c r="E346" s="34" t="n"/>
      <c r="F346" s="35" t="n"/>
      <c r="G346" s="35" t="n"/>
      <c r="H346" s="32" t="n"/>
      <c r="I346" s="32" t="n"/>
      <c r="J346" s="32" t="n"/>
      <c r="K346" s="36">
        <f>IF(E346&lt;&gt;"",E346,IF(AND(F346&lt;&gt;"",G346&lt;&gt;""),MOD(G346-F346,1)*24,""))</f>
        <v/>
      </c>
      <c r="L346" s="37">
        <f>IF(A346="","",CHOOSE(WEEKDAY(A346,2),"Montag","Dienstag","Mittwoch","Donnerstag","Freitag","Samstag","Sonntag"))</f>
        <v/>
      </c>
      <c r="M346" s="37">
        <f>IF(A346="","",_xlfn.ISOWEEKNUM(A346))</f>
        <v/>
      </c>
      <c r="N346" s="38">
        <f>IF(A346="","",DATE(YEAR(A346),MONTH(A346),1))</f>
        <v/>
      </c>
    </row>
    <row r="347">
      <c r="A347" s="31" t="n"/>
      <c r="B347" s="32" t="n"/>
      <c r="C347" s="32" t="n"/>
      <c r="D347" s="33" t="n"/>
      <c r="E347" s="34" t="n"/>
      <c r="F347" s="35" t="n"/>
      <c r="G347" s="35" t="n"/>
      <c r="H347" s="32" t="n"/>
      <c r="I347" s="32" t="n"/>
      <c r="J347" s="32" t="n"/>
      <c r="K347" s="36">
        <f>IF(E347&lt;&gt;"",E347,IF(AND(F347&lt;&gt;"",G347&lt;&gt;""),MOD(G347-F347,1)*24,""))</f>
        <v/>
      </c>
      <c r="L347" s="37">
        <f>IF(A347="","",CHOOSE(WEEKDAY(A347,2),"Montag","Dienstag","Mittwoch","Donnerstag","Freitag","Samstag","Sonntag"))</f>
        <v/>
      </c>
      <c r="M347" s="37">
        <f>IF(A347="","",_xlfn.ISOWEEKNUM(A347))</f>
        <v/>
      </c>
      <c r="N347" s="38">
        <f>IF(A347="","",DATE(YEAR(A347),MONTH(A347),1))</f>
        <v/>
      </c>
    </row>
    <row r="348">
      <c r="A348" s="31" t="n"/>
      <c r="B348" s="32" t="n"/>
      <c r="C348" s="32" t="n"/>
      <c r="D348" s="33" t="n"/>
      <c r="E348" s="34" t="n"/>
      <c r="F348" s="35" t="n"/>
      <c r="G348" s="35" t="n"/>
      <c r="H348" s="32" t="n"/>
      <c r="I348" s="32" t="n"/>
      <c r="J348" s="32" t="n"/>
      <c r="K348" s="36">
        <f>IF(E348&lt;&gt;"",E348,IF(AND(F348&lt;&gt;"",G348&lt;&gt;""),MOD(G348-F348,1)*24,""))</f>
        <v/>
      </c>
      <c r="L348" s="37">
        <f>IF(A348="","",CHOOSE(WEEKDAY(A348,2),"Montag","Dienstag","Mittwoch","Donnerstag","Freitag","Samstag","Sonntag"))</f>
        <v/>
      </c>
      <c r="M348" s="37">
        <f>IF(A348="","",_xlfn.ISOWEEKNUM(A348))</f>
        <v/>
      </c>
      <c r="N348" s="38">
        <f>IF(A348="","",DATE(YEAR(A348),MONTH(A348),1))</f>
        <v/>
      </c>
    </row>
    <row r="349">
      <c r="A349" s="31" t="n"/>
      <c r="B349" s="32" t="n"/>
      <c r="C349" s="32" t="n"/>
      <c r="D349" s="33" t="n"/>
      <c r="E349" s="34" t="n"/>
      <c r="F349" s="35" t="n"/>
      <c r="G349" s="35" t="n"/>
      <c r="H349" s="32" t="n"/>
      <c r="I349" s="32" t="n"/>
      <c r="J349" s="32" t="n"/>
      <c r="K349" s="36">
        <f>IF(E349&lt;&gt;"",E349,IF(AND(F349&lt;&gt;"",G349&lt;&gt;""),MOD(G349-F349,1)*24,""))</f>
        <v/>
      </c>
      <c r="L349" s="37">
        <f>IF(A349="","",CHOOSE(WEEKDAY(A349,2),"Montag","Dienstag","Mittwoch","Donnerstag","Freitag","Samstag","Sonntag"))</f>
        <v/>
      </c>
      <c r="M349" s="37">
        <f>IF(A349="","",_xlfn.ISOWEEKNUM(A349))</f>
        <v/>
      </c>
      <c r="N349" s="38">
        <f>IF(A349="","",DATE(YEAR(A349),MONTH(A349),1))</f>
        <v/>
      </c>
    </row>
    <row r="350">
      <c r="A350" s="31" t="n"/>
      <c r="B350" s="32" t="n"/>
      <c r="C350" s="32" t="n"/>
      <c r="D350" s="33" t="n"/>
      <c r="E350" s="34" t="n"/>
      <c r="F350" s="35" t="n"/>
      <c r="G350" s="35" t="n"/>
      <c r="H350" s="32" t="n"/>
      <c r="I350" s="32" t="n"/>
      <c r="J350" s="32" t="n"/>
      <c r="K350" s="36">
        <f>IF(E350&lt;&gt;"",E350,IF(AND(F350&lt;&gt;"",G350&lt;&gt;""),MOD(G350-F350,1)*24,""))</f>
        <v/>
      </c>
      <c r="L350" s="37">
        <f>IF(A350="","",CHOOSE(WEEKDAY(A350,2),"Montag","Dienstag","Mittwoch","Donnerstag","Freitag","Samstag","Sonntag"))</f>
        <v/>
      </c>
      <c r="M350" s="37">
        <f>IF(A350="","",_xlfn.ISOWEEKNUM(A350))</f>
        <v/>
      </c>
      <c r="N350" s="38">
        <f>IF(A350="","",DATE(YEAR(A350),MONTH(A350),1))</f>
        <v/>
      </c>
    </row>
    <row r="351">
      <c r="A351" s="31" t="n"/>
      <c r="B351" s="32" t="n"/>
      <c r="C351" s="32" t="n"/>
      <c r="D351" s="33" t="n"/>
      <c r="E351" s="34" t="n"/>
      <c r="F351" s="35" t="n"/>
      <c r="G351" s="35" t="n"/>
      <c r="H351" s="32" t="n"/>
      <c r="I351" s="32" t="n"/>
      <c r="J351" s="32" t="n"/>
      <c r="K351" s="36">
        <f>IF(E351&lt;&gt;"",E351,IF(AND(F351&lt;&gt;"",G351&lt;&gt;""),MOD(G351-F351,1)*24,""))</f>
        <v/>
      </c>
      <c r="L351" s="37">
        <f>IF(A351="","",CHOOSE(WEEKDAY(A351,2),"Montag","Dienstag","Mittwoch","Donnerstag","Freitag","Samstag","Sonntag"))</f>
        <v/>
      </c>
      <c r="M351" s="37">
        <f>IF(A351="","",_xlfn.ISOWEEKNUM(A351))</f>
        <v/>
      </c>
      <c r="N351" s="38">
        <f>IF(A351="","",DATE(YEAR(A351),MONTH(A351),1))</f>
        <v/>
      </c>
    </row>
    <row r="352">
      <c r="A352" s="31" t="n"/>
      <c r="B352" s="32" t="n"/>
      <c r="C352" s="32" t="n"/>
      <c r="D352" s="33" t="n"/>
      <c r="E352" s="34" t="n"/>
      <c r="F352" s="35" t="n"/>
      <c r="G352" s="35" t="n"/>
      <c r="H352" s="32" t="n"/>
      <c r="I352" s="32" t="n"/>
      <c r="J352" s="32" t="n"/>
      <c r="K352" s="36">
        <f>IF(E352&lt;&gt;"",E352,IF(AND(F352&lt;&gt;"",G352&lt;&gt;""),MOD(G352-F352,1)*24,""))</f>
        <v/>
      </c>
      <c r="L352" s="37">
        <f>IF(A352="","",CHOOSE(WEEKDAY(A352,2),"Montag","Dienstag","Mittwoch","Donnerstag","Freitag","Samstag","Sonntag"))</f>
        <v/>
      </c>
      <c r="M352" s="37">
        <f>IF(A352="","",_xlfn.ISOWEEKNUM(A352))</f>
        <v/>
      </c>
      <c r="N352" s="38">
        <f>IF(A352="","",DATE(YEAR(A352),MONTH(A352),1))</f>
        <v/>
      </c>
    </row>
    <row r="353">
      <c r="A353" s="31" t="n"/>
      <c r="B353" s="32" t="n"/>
      <c r="C353" s="32" t="n"/>
      <c r="D353" s="33" t="n"/>
      <c r="E353" s="34" t="n"/>
      <c r="F353" s="35" t="n"/>
      <c r="G353" s="35" t="n"/>
      <c r="H353" s="32" t="n"/>
      <c r="I353" s="32" t="n"/>
      <c r="J353" s="32" t="n"/>
      <c r="K353" s="36">
        <f>IF(E353&lt;&gt;"",E353,IF(AND(F353&lt;&gt;"",G353&lt;&gt;""),MOD(G353-F353,1)*24,""))</f>
        <v/>
      </c>
      <c r="L353" s="37">
        <f>IF(A353="","",CHOOSE(WEEKDAY(A353,2),"Montag","Dienstag","Mittwoch","Donnerstag","Freitag","Samstag","Sonntag"))</f>
        <v/>
      </c>
      <c r="M353" s="37">
        <f>IF(A353="","",_xlfn.ISOWEEKNUM(A353))</f>
        <v/>
      </c>
      <c r="N353" s="38">
        <f>IF(A353="","",DATE(YEAR(A353),MONTH(A353),1))</f>
        <v/>
      </c>
    </row>
    <row r="354">
      <c r="A354" s="31" t="n"/>
      <c r="B354" s="32" t="n"/>
      <c r="C354" s="32" t="n"/>
      <c r="D354" s="33" t="n"/>
      <c r="E354" s="34" t="n"/>
      <c r="F354" s="35" t="n"/>
      <c r="G354" s="35" t="n"/>
      <c r="H354" s="32" t="n"/>
      <c r="I354" s="32" t="n"/>
      <c r="J354" s="32" t="n"/>
      <c r="K354" s="36">
        <f>IF(E354&lt;&gt;"",E354,IF(AND(F354&lt;&gt;"",G354&lt;&gt;""),MOD(G354-F354,1)*24,""))</f>
        <v/>
      </c>
      <c r="L354" s="37">
        <f>IF(A354="","",CHOOSE(WEEKDAY(A354,2),"Montag","Dienstag","Mittwoch","Donnerstag","Freitag","Samstag","Sonntag"))</f>
        <v/>
      </c>
      <c r="M354" s="37">
        <f>IF(A354="","",_xlfn.ISOWEEKNUM(A354))</f>
        <v/>
      </c>
      <c r="N354" s="38">
        <f>IF(A354="","",DATE(YEAR(A354),MONTH(A354),1))</f>
        <v/>
      </c>
    </row>
    <row r="355">
      <c r="A355" s="31" t="n"/>
      <c r="B355" s="32" t="n"/>
      <c r="C355" s="32" t="n"/>
      <c r="D355" s="33" t="n"/>
      <c r="E355" s="34" t="n"/>
      <c r="F355" s="35" t="n"/>
      <c r="G355" s="35" t="n"/>
      <c r="H355" s="32" t="n"/>
      <c r="I355" s="32" t="n"/>
      <c r="J355" s="32" t="n"/>
      <c r="K355" s="36">
        <f>IF(E355&lt;&gt;"",E355,IF(AND(F355&lt;&gt;"",G355&lt;&gt;""),MOD(G355-F355,1)*24,""))</f>
        <v/>
      </c>
      <c r="L355" s="37">
        <f>IF(A355="","",CHOOSE(WEEKDAY(A355,2),"Montag","Dienstag","Mittwoch","Donnerstag","Freitag","Samstag","Sonntag"))</f>
        <v/>
      </c>
      <c r="M355" s="37">
        <f>IF(A355="","",_xlfn.ISOWEEKNUM(A355))</f>
        <v/>
      </c>
      <c r="N355" s="38">
        <f>IF(A355="","",DATE(YEAR(A355),MONTH(A355),1))</f>
        <v/>
      </c>
    </row>
    <row r="356">
      <c r="A356" s="31" t="n"/>
      <c r="B356" s="32" t="n"/>
      <c r="C356" s="32" t="n"/>
      <c r="D356" s="33" t="n"/>
      <c r="E356" s="34" t="n"/>
      <c r="F356" s="35" t="n"/>
      <c r="G356" s="35" t="n"/>
      <c r="H356" s="32" t="n"/>
      <c r="I356" s="32" t="n"/>
      <c r="J356" s="32" t="n"/>
      <c r="K356" s="36">
        <f>IF(E356&lt;&gt;"",E356,IF(AND(F356&lt;&gt;"",G356&lt;&gt;""),MOD(G356-F356,1)*24,""))</f>
        <v/>
      </c>
      <c r="L356" s="37">
        <f>IF(A356="","",CHOOSE(WEEKDAY(A356,2),"Montag","Dienstag","Mittwoch","Donnerstag","Freitag","Samstag","Sonntag"))</f>
        <v/>
      </c>
      <c r="M356" s="37">
        <f>IF(A356="","",_xlfn.ISOWEEKNUM(A356))</f>
        <v/>
      </c>
      <c r="N356" s="38">
        <f>IF(A356="","",DATE(YEAR(A356),MONTH(A356),1))</f>
        <v/>
      </c>
    </row>
    <row r="357">
      <c r="A357" s="31" t="n"/>
      <c r="B357" s="32" t="n"/>
      <c r="C357" s="32" t="n"/>
      <c r="D357" s="33" t="n"/>
      <c r="E357" s="34" t="n"/>
      <c r="F357" s="35" t="n"/>
      <c r="G357" s="35" t="n"/>
      <c r="H357" s="32" t="n"/>
      <c r="I357" s="32" t="n"/>
      <c r="J357" s="32" t="n"/>
      <c r="K357" s="36">
        <f>IF(E357&lt;&gt;"",E357,IF(AND(F357&lt;&gt;"",G357&lt;&gt;""),MOD(G357-F357,1)*24,""))</f>
        <v/>
      </c>
      <c r="L357" s="37">
        <f>IF(A357="","",CHOOSE(WEEKDAY(A357,2),"Montag","Dienstag","Mittwoch","Donnerstag","Freitag","Samstag","Sonntag"))</f>
        <v/>
      </c>
      <c r="M357" s="37">
        <f>IF(A357="","",_xlfn.ISOWEEKNUM(A357))</f>
        <v/>
      </c>
      <c r="N357" s="38">
        <f>IF(A357="","",DATE(YEAR(A357),MONTH(A357),1))</f>
        <v/>
      </c>
    </row>
    <row r="358">
      <c r="A358" s="31" t="n"/>
      <c r="B358" s="32" t="n"/>
      <c r="C358" s="32" t="n"/>
      <c r="D358" s="33" t="n"/>
      <c r="E358" s="34" t="n"/>
      <c r="F358" s="35" t="n"/>
      <c r="G358" s="35" t="n"/>
      <c r="H358" s="32" t="n"/>
      <c r="I358" s="32" t="n"/>
      <c r="J358" s="32" t="n"/>
      <c r="K358" s="36">
        <f>IF(E358&lt;&gt;"",E358,IF(AND(F358&lt;&gt;"",G358&lt;&gt;""),MOD(G358-F358,1)*24,""))</f>
        <v/>
      </c>
      <c r="L358" s="37">
        <f>IF(A358="","",CHOOSE(WEEKDAY(A358,2),"Montag","Dienstag","Mittwoch","Donnerstag","Freitag","Samstag","Sonntag"))</f>
        <v/>
      </c>
      <c r="M358" s="37">
        <f>IF(A358="","",_xlfn.ISOWEEKNUM(A358))</f>
        <v/>
      </c>
      <c r="N358" s="38">
        <f>IF(A358="","",DATE(YEAR(A358),MONTH(A358),1))</f>
        <v/>
      </c>
    </row>
    <row r="359">
      <c r="A359" s="31" t="n"/>
      <c r="B359" s="32" t="n"/>
      <c r="C359" s="32" t="n"/>
      <c r="D359" s="33" t="n"/>
      <c r="E359" s="34" t="n"/>
      <c r="F359" s="35" t="n"/>
      <c r="G359" s="35" t="n"/>
      <c r="H359" s="32" t="n"/>
      <c r="I359" s="32" t="n"/>
      <c r="J359" s="32" t="n"/>
      <c r="K359" s="36">
        <f>IF(E359&lt;&gt;"",E359,IF(AND(F359&lt;&gt;"",G359&lt;&gt;""),MOD(G359-F359,1)*24,""))</f>
        <v/>
      </c>
      <c r="L359" s="37">
        <f>IF(A359="","",CHOOSE(WEEKDAY(A359,2),"Montag","Dienstag","Mittwoch","Donnerstag","Freitag","Samstag","Sonntag"))</f>
        <v/>
      </c>
      <c r="M359" s="37">
        <f>IF(A359="","",_xlfn.ISOWEEKNUM(A359))</f>
        <v/>
      </c>
      <c r="N359" s="38">
        <f>IF(A359="","",DATE(YEAR(A359),MONTH(A359),1))</f>
        <v/>
      </c>
    </row>
    <row r="360">
      <c r="A360" s="31" t="n"/>
      <c r="B360" s="32" t="n"/>
      <c r="C360" s="32" t="n"/>
      <c r="D360" s="33" t="n"/>
      <c r="E360" s="34" t="n"/>
      <c r="F360" s="35" t="n"/>
      <c r="G360" s="35" t="n"/>
      <c r="H360" s="32" t="n"/>
      <c r="I360" s="32" t="n"/>
      <c r="J360" s="32" t="n"/>
      <c r="K360" s="36">
        <f>IF(E360&lt;&gt;"",E360,IF(AND(F360&lt;&gt;"",G360&lt;&gt;""),MOD(G360-F360,1)*24,""))</f>
        <v/>
      </c>
      <c r="L360" s="37">
        <f>IF(A360="","",CHOOSE(WEEKDAY(A360,2),"Montag","Dienstag","Mittwoch","Donnerstag","Freitag","Samstag","Sonntag"))</f>
        <v/>
      </c>
      <c r="M360" s="37">
        <f>IF(A360="","",_xlfn.ISOWEEKNUM(A360))</f>
        <v/>
      </c>
      <c r="N360" s="38">
        <f>IF(A360="","",DATE(YEAR(A360),MONTH(A360),1))</f>
        <v/>
      </c>
    </row>
    <row r="361">
      <c r="A361" s="31" t="n"/>
      <c r="B361" s="32" t="n"/>
      <c r="C361" s="32" t="n"/>
      <c r="D361" s="33" t="n"/>
      <c r="E361" s="34" t="n"/>
      <c r="F361" s="35" t="n"/>
      <c r="G361" s="35" t="n"/>
      <c r="H361" s="32" t="n"/>
      <c r="I361" s="32" t="n"/>
      <c r="J361" s="32" t="n"/>
      <c r="K361" s="36">
        <f>IF(E361&lt;&gt;"",E361,IF(AND(F361&lt;&gt;"",G361&lt;&gt;""),MOD(G361-F361,1)*24,""))</f>
        <v/>
      </c>
      <c r="L361" s="37">
        <f>IF(A361="","",CHOOSE(WEEKDAY(A361,2),"Montag","Dienstag","Mittwoch","Donnerstag","Freitag","Samstag","Sonntag"))</f>
        <v/>
      </c>
      <c r="M361" s="37">
        <f>IF(A361="","",_xlfn.ISOWEEKNUM(A361))</f>
        <v/>
      </c>
      <c r="N361" s="38">
        <f>IF(A361="","",DATE(YEAR(A361),MONTH(A361),1))</f>
        <v/>
      </c>
    </row>
    <row r="362">
      <c r="A362" s="31" t="n"/>
      <c r="B362" s="32" t="n"/>
      <c r="C362" s="32" t="n"/>
      <c r="D362" s="33" t="n"/>
      <c r="E362" s="34" t="n"/>
      <c r="F362" s="35" t="n"/>
      <c r="G362" s="35" t="n"/>
      <c r="H362" s="32" t="n"/>
      <c r="I362" s="32" t="n"/>
      <c r="J362" s="32" t="n"/>
      <c r="K362" s="36">
        <f>IF(E362&lt;&gt;"",E362,IF(AND(F362&lt;&gt;"",G362&lt;&gt;""),MOD(G362-F362,1)*24,""))</f>
        <v/>
      </c>
      <c r="L362" s="37">
        <f>IF(A362="","",CHOOSE(WEEKDAY(A362,2),"Montag","Dienstag","Mittwoch","Donnerstag","Freitag","Samstag","Sonntag"))</f>
        <v/>
      </c>
      <c r="M362" s="37">
        <f>IF(A362="","",_xlfn.ISOWEEKNUM(A362))</f>
        <v/>
      </c>
      <c r="N362" s="38">
        <f>IF(A362="","",DATE(YEAR(A362),MONTH(A362),1))</f>
        <v/>
      </c>
    </row>
    <row r="363">
      <c r="A363" s="31" t="n"/>
      <c r="B363" s="32" t="n"/>
      <c r="C363" s="32" t="n"/>
      <c r="D363" s="33" t="n"/>
      <c r="E363" s="34" t="n"/>
      <c r="F363" s="35" t="n"/>
      <c r="G363" s="35" t="n"/>
      <c r="H363" s="32" t="n"/>
      <c r="I363" s="32" t="n"/>
      <c r="J363" s="32" t="n"/>
      <c r="K363" s="36">
        <f>IF(E363&lt;&gt;"",E363,IF(AND(F363&lt;&gt;"",G363&lt;&gt;""),MOD(G363-F363,1)*24,""))</f>
        <v/>
      </c>
      <c r="L363" s="37">
        <f>IF(A363="","",CHOOSE(WEEKDAY(A363,2),"Montag","Dienstag","Mittwoch","Donnerstag","Freitag","Samstag","Sonntag"))</f>
        <v/>
      </c>
      <c r="M363" s="37">
        <f>IF(A363="","",_xlfn.ISOWEEKNUM(A363))</f>
        <v/>
      </c>
      <c r="N363" s="38">
        <f>IF(A363="","",DATE(YEAR(A363),MONTH(A363),1))</f>
        <v/>
      </c>
    </row>
    <row r="364">
      <c r="A364" s="31" t="n"/>
      <c r="B364" s="32" t="n"/>
      <c r="C364" s="32" t="n"/>
      <c r="D364" s="33" t="n"/>
      <c r="E364" s="34" t="n"/>
      <c r="F364" s="35" t="n"/>
      <c r="G364" s="35" t="n"/>
      <c r="H364" s="32" t="n"/>
      <c r="I364" s="32" t="n"/>
      <c r="J364" s="32" t="n"/>
      <c r="K364" s="36">
        <f>IF(E364&lt;&gt;"",E364,IF(AND(F364&lt;&gt;"",G364&lt;&gt;""),MOD(G364-F364,1)*24,""))</f>
        <v/>
      </c>
      <c r="L364" s="37">
        <f>IF(A364="","",CHOOSE(WEEKDAY(A364,2),"Montag","Dienstag","Mittwoch","Donnerstag","Freitag","Samstag","Sonntag"))</f>
        <v/>
      </c>
      <c r="M364" s="37">
        <f>IF(A364="","",_xlfn.ISOWEEKNUM(A364))</f>
        <v/>
      </c>
      <c r="N364" s="38">
        <f>IF(A364="","",DATE(YEAR(A364),MONTH(A364),1))</f>
        <v/>
      </c>
    </row>
    <row r="365">
      <c r="A365" s="31" t="n"/>
      <c r="B365" s="32" t="n"/>
      <c r="C365" s="32" t="n"/>
      <c r="D365" s="33" t="n"/>
      <c r="E365" s="34" t="n"/>
      <c r="F365" s="35" t="n"/>
      <c r="G365" s="35" t="n"/>
      <c r="H365" s="32" t="n"/>
      <c r="I365" s="32" t="n"/>
      <c r="J365" s="32" t="n"/>
      <c r="K365" s="36">
        <f>IF(E365&lt;&gt;"",E365,IF(AND(F365&lt;&gt;"",G365&lt;&gt;""),MOD(G365-F365,1)*24,""))</f>
        <v/>
      </c>
      <c r="L365" s="37">
        <f>IF(A365="","",CHOOSE(WEEKDAY(A365,2),"Montag","Dienstag","Mittwoch","Donnerstag","Freitag","Samstag","Sonntag"))</f>
        <v/>
      </c>
      <c r="M365" s="37">
        <f>IF(A365="","",_xlfn.ISOWEEKNUM(A365))</f>
        <v/>
      </c>
      <c r="N365" s="38">
        <f>IF(A365="","",DATE(YEAR(A365),MONTH(A365),1))</f>
        <v/>
      </c>
    </row>
    <row r="366">
      <c r="A366" s="31" t="n"/>
      <c r="B366" s="32" t="n"/>
      <c r="C366" s="32" t="n"/>
      <c r="D366" s="33" t="n"/>
      <c r="E366" s="34" t="n"/>
      <c r="F366" s="35" t="n"/>
      <c r="G366" s="35" t="n"/>
      <c r="H366" s="32" t="n"/>
      <c r="I366" s="32" t="n"/>
      <c r="J366" s="32" t="n"/>
      <c r="K366" s="36">
        <f>IF(E366&lt;&gt;"",E366,IF(AND(F366&lt;&gt;"",G366&lt;&gt;""),MOD(G366-F366,1)*24,""))</f>
        <v/>
      </c>
      <c r="L366" s="37">
        <f>IF(A366="","",CHOOSE(WEEKDAY(A366,2),"Montag","Dienstag","Mittwoch","Donnerstag","Freitag","Samstag","Sonntag"))</f>
        <v/>
      </c>
      <c r="M366" s="37">
        <f>IF(A366="","",_xlfn.ISOWEEKNUM(A366))</f>
        <v/>
      </c>
      <c r="N366" s="38">
        <f>IF(A366="","",DATE(YEAR(A366),MONTH(A366),1))</f>
        <v/>
      </c>
    </row>
    <row r="367">
      <c r="A367" s="31" t="n"/>
      <c r="B367" s="32" t="n"/>
      <c r="C367" s="32" t="n"/>
      <c r="D367" s="33" t="n"/>
      <c r="E367" s="34" t="n"/>
      <c r="F367" s="35" t="n"/>
      <c r="G367" s="35" t="n"/>
      <c r="H367" s="32" t="n"/>
      <c r="I367" s="32" t="n"/>
      <c r="J367" s="32" t="n"/>
      <c r="K367" s="36">
        <f>IF(E367&lt;&gt;"",E367,IF(AND(F367&lt;&gt;"",G367&lt;&gt;""),MOD(G367-F367,1)*24,""))</f>
        <v/>
      </c>
      <c r="L367" s="37">
        <f>IF(A367="","",CHOOSE(WEEKDAY(A367,2),"Montag","Dienstag","Mittwoch","Donnerstag","Freitag","Samstag","Sonntag"))</f>
        <v/>
      </c>
      <c r="M367" s="37">
        <f>IF(A367="","",_xlfn.ISOWEEKNUM(A367))</f>
        <v/>
      </c>
      <c r="N367" s="38">
        <f>IF(A367="","",DATE(YEAR(A367),MONTH(A367),1))</f>
        <v/>
      </c>
    </row>
    <row r="368">
      <c r="A368" s="31" t="n"/>
      <c r="B368" s="32" t="n"/>
      <c r="C368" s="32" t="n"/>
      <c r="D368" s="33" t="n"/>
      <c r="E368" s="34" t="n"/>
      <c r="F368" s="35" t="n"/>
      <c r="G368" s="35" t="n"/>
      <c r="H368" s="32" t="n"/>
      <c r="I368" s="32" t="n"/>
      <c r="J368" s="32" t="n"/>
      <c r="K368" s="36">
        <f>IF(E368&lt;&gt;"",E368,IF(AND(F368&lt;&gt;"",G368&lt;&gt;""),MOD(G368-F368,1)*24,""))</f>
        <v/>
      </c>
      <c r="L368" s="37">
        <f>IF(A368="","",CHOOSE(WEEKDAY(A368,2),"Montag","Dienstag","Mittwoch","Donnerstag","Freitag","Samstag","Sonntag"))</f>
        <v/>
      </c>
      <c r="M368" s="37">
        <f>IF(A368="","",_xlfn.ISOWEEKNUM(A368))</f>
        <v/>
      </c>
      <c r="N368" s="38">
        <f>IF(A368="","",DATE(YEAR(A368),MONTH(A368),1))</f>
        <v/>
      </c>
    </row>
    <row r="369">
      <c r="A369" s="31" t="n"/>
      <c r="B369" s="32" t="n"/>
      <c r="C369" s="32" t="n"/>
      <c r="D369" s="33" t="n"/>
      <c r="E369" s="34" t="n"/>
      <c r="F369" s="35" t="n"/>
      <c r="G369" s="35" t="n"/>
      <c r="H369" s="32" t="n"/>
      <c r="I369" s="32" t="n"/>
      <c r="J369" s="32" t="n"/>
      <c r="K369" s="36">
        <f>IF(E369&lt;&gt;"",E369,IF(AND(F369&lt;&gt;"",G369&lt;&gt;""),MOD(G369-F369,1)*24,""))</f>
        <v/>
      </c>
      <c r="L369" s="37">
        <f>IF(A369="","",CHOOSE(WEEKDAY(A369,2),"Montag","Dienstag","Mittwoch","Donnerstag","Freitag","Samstag","Sonntag"))</f>
        <v/>
      </c>
      <c r="M369" s="37">
        <f>IF(A369="","",_xlfn.ISOWEEKNUM(A369))</f>
        <v/>
      </c>
      <c r="N369" s="38">
        <f>IF(A369="","",DATE(YEAR(A369),MONTH(A369),1))</f>
        <v/>
      </c>
    </row>
    <row r="370">
      <c r="A370" s="31" t="n"/>
      <c r="B370" s="32" t="n"/>
      <c r="C370" s="32" t="n"/>
      <c r="D370" s="33" t="n"/>
      <c r="E370" s="34" t="n"/>
      <c r="F370" s="35" t="n"/>
      <c r="G370" s="35" t="n"/>
      <c r="H370" s="32" t="n"/>
      <c r="I370" s="32" t="n"/>
      <c r="J370" s="32" t="n"/>
      <c r="K370" s="36">
        <f>IF(E370&lt;&gt;"",E370,IF(AND(F370&lt;&gt;"",G370&lt;&gt;""),MOD(G370-F370,1)*24,""))</f>
        <v/>
      </c>
      <c r="L370" s="37">
        <f>IF(A370="","",CHOOSE(WEEKDAY(A370,2),"Montag","Dienstag","Mittwoch","Donnerstag","Freitag","Samstag","Sonntag"))</f>
        <v/>
      </c>
      <c r="M370" s="37">
        <f>IF(A370="","",_xlfn.ISOWEEKNUM(A370))</f>
        <v/>
      </c>
      <c r="N370" s="38">
        <f>IF(A370="","",DATE(YEAR(A370),MONTH(A370),1))</f>
        <v/>
      </c>
    </row>
    <row r="371">
      <c r="A371" s="31" t="n"/>
      <c r="B371" s="32" t="n"/>
      <c r="C371" s="32" t="n"/>
      <c r="D371" s="33" t="n"/>
      <c r="E371" s="34" t="n"/>
      <c r="F371" s="35" t="n"/>
      <c r="G371" s="35" t="n"/>
      <c r="H371" s="32" t="n"/>
      <c r="I371" s="32" t="n"/>
      <c r="J371" s="32" t="n"/>
      <c r="K371" s="36">
        <f>IF(E371&lt;&gt;"",E371,IF(AND(F371&lt;&gt;"",G371&lt;&gt;""),MOD(G371-F371,1)*24,""))</f>
        <v/>
      </c>
      <c r="L371" s="37">
        <f>IF(A371="","",CHOOSE(WEEKDAY(A371,2),"Montag","Dienstag","Mittwoch","Donnerstag","Freitag","Samstag","Sonntag"))</f>
        <v/>
      </c>
      <c r="M371" s="37">
        <f>IF(A371="","",_xlfn.ISOWEEKNUM(A371))</f>
        <v/>
      </c>
      <c r="N371" s="38">
        <f>IF(A371="","",DATE(YEAR(A371),MONTH(A371),1))</f>
        <v/>
      </c>
    </row>
    <row r="372">
      <c r="A372" s="31" t="n"/>
      <c r="B372" s="32" t="n"/>
      <c r="C372" s="32" t="n"/>
      <c r="D372" s="33" t="n"/>
      <c r="E372" s="34" t="n"/>
      <c r="F372" s="35" t="n"/>
      <c r="G372" s="35" t="n"/>
      <c r="H372" s="32" t="n"/>
      <c r="I372" s="32" t="n"/>
      <c r="J372" s="32" t="n"/>
      <c r="K372" s="36">
        <f>IF(E372&lt;&gt;"",E372,IF(AND(F372&lt;&gt;"",G372&lt;&gt;""),MOD(G372-F372,1)*24,""))</f>
        <v/>
      </c>
      <c r="L372" s="37">
        <f>IF(A372="","",CHOOSE(WEEKDAY(A372,2),"Montag","Dienstag","Mittwoch","Donnerstag","Freitag","Samstag","Sonntag"))</f>
        <v/>
      </c>
      <c r="M372" s="37">
        <f>IF(A372="","",_xlfn.ISOWEEKNUM(A372))</f>
        <v/>
      </c>
      <c r="N372" s="38">
        <f>IF(A372="","",DATE(YEAR(A372),MONTH(A372),1))</f>
        <v/>
      </c>
    </row>
    <row r="373">
      <c r="A373" s="31" t="n"/>
      <c r="B373" s="32" t="n"/>
      <c r="C373" s="32" t="n"/>
      <c r="D373" s="33" t="n"/>
      <c r="E373" s="34" t="n"/>
      <c r="F373" s="35" t="n"/>
      <c r="G373" s="35" t="n"/>
      <c r="H373" s="32" t="n"/>
      <c r="I373" s="32" t="n"/>
      <c r="J373" s="32" t="n"/>
      <c r="K373" s="36">
        <f>IF(E373&lt;&gt;"",E373,IF(AND(F373&lt;&gt;"",G373&lt;&gt;""),MOD(G373-F373,1)*24,""))</f>
        <v/>
      </c>
      <c r="L373" s="37">
        <f>IF(A373="","",CHOOSE(WEEKDAY(A373,2),"Montag","Dienstag","Mittwoch","Donnerstag","Freitag","Samstag","Sonntag"))</f>
        <v/>
      </c>
      <c r="M373" s="37">
        <f>IF(A373="","",_xlfn.ISOWEEKNUM(A373))</f>
        <v/>
      </c>
      <c r="N373" s="38">
        <f>IF(A373="","",DATE(YEAR(A373),MONTH(A373),1))</f>
        <v/>
      </c>
    </row>
    <row r="374">
      <c r="A374" s="31" t="n"/>
      <c r="B374" s="32" t="n"/>
      <c r="C374" s="32" t="n"/>
      <c r="D374" s="33" t="n"/>
      <c r="E374" s="34" t="n"/>
      <c r="F374" s="35" t="n"/>
      <c r="G374" s="35" t="n"/>
      <c r="H374" s="32" t="n"/>
      <c r="I374" s="32" t="n"/>
      <c r="J374" s="32" t="n"/>
      <c r="K374" s="36">
        <f>IF(E374&lt;&gt;"",E374,IF(AND(F374&lt;&gt;"",G374&lt;&gt;""),MOD(G374-F374,1)*24,""))</f>
        <v/>
      </c>
      <c r="L374" s="37">
        <f>IF(A374="","",CHOOSE(WEEKDAY(A374,2),"Montag","Dienstag","Mittwoch","Donnerstag","Freitag","Samstag","Sonntag"))</f>
        <v/>
      </c>
      <c r="M374" s="37">
        <f>IF(A374="","",_xlfn.ISOWEEKNUM(A374))</f>
        <v/>
      </c>
      <c r="N374" s="38">
        <f>IF(A374="","",DATE(YEAR(A374),MONTH(A374),1))</f>
        <v/>
      </c>
    </row>
    <row r="375">
      <c r="A375" s="31" t="n"/>
      <c r="B375" s="32" t="n"/>
      <c r="C375" s="32" t="n"/>
      <c r="D375" s="33" t="n"/>
      <c r="E375" s="34" t="n"/>
      <c r="F375" s="35" t="n"/>
      <c r="G375" s="35" t="n"/>
      <c r="H375" s="32" t="n"/>
      <c r="I375" s="32" t="n"/>
      <c r="J375" s="32" t="n"/>
      <c r="K375" s="36">
        <f>IF(E375&lt;&gt;"",E375,IF(AND(F375&lt;&gt;"",G375&lt;&gt;""),MOD(G375-F375,1)*24,""))</f>
        <v/>
      </c>
      <c r="L375" s="37">
        <f>IF(A375="","",CHOOSE(WEEKDAY(A375,2),"Montag","Dienstag","Mittwoch","Donnerstag","Freitag","Samstag","Sonntag"))</f>
        <v/>
      </c>
      <c r="M375" s="37">
        <f>IF(A375="","",_xlfn.ISOWEEKNUM(A375))</f>
        <v/>
      </c>
      <c r="N375" s="38">
        <f>IF(A375="","",DATE(YEAR(A375),MONTH(A375),1))</f>
        <v/>
      </c>
    </row>
    <row r="376">
      <c r="A376" s="31" t="n"/>
      <c r="B376" s="32" t="n"/>
      <c r="C376" s="32" t="n"/>
      <c r="D376" s="33" t="n"/>
      <c r="E376" s="34" t="n"/>
      <c r="F376" s="35" t="n"/>
      <c r="G376" s="35" t="n"/>
      <c r="H376" s="32" t="n"/>
      <c r="I376" s="32" t="n"/>
      <c r="J376" s="32" t="n"/>
      <c r="K376" s="36">
        <f>IF(E376&lt;&gt;"",E376,IF(AND(F376&lt;&gt;"",G376&lt;&gt;""),MOD(G376-F376,1)*24,""))</f>
        <v/>
      </c>
      <c r="L376" s="37">
        <f>IF(A376="","",CHOOSE(WEEKDAY(A376,2),"Montag","Dienstag","Mittwoch","Donnerstag","Freitag","Samstag","Sonntag"))</f>
        <v/>
      </c>
      <c r="M376" s="37">
        <f>IF(A376="","",_xlfn.ISOWEEKNUM(A376))</f>
        <v/>
      </c>
      <c r="N376" s="38">
        <f>IF(A376="","",DATE(YEAR(A376),MONTH(A376),1))</f>
        <v/>
      </c>
    </row>
    <row r="377">
      <c r="A377" s="31" t="n"/>
      <c r="B377" s="32" t="n"/>
      <c r="C377" s="32" t="n"/>
      <c r="D377" s="33" t="n"/>
      <c r="E377" s="34" t="n"/>
      <c r="F377" s="35" t="n"/>
      <c r="G377" s="35" t="n"/>
      <c r="H377" s="32" t="n"/>
      <c r="I377" s="32" t="n"/>
      <c r="J377" s="32" t="n"/>
      <c r="K377" s="36">
        <f>IF(E377&lt;&gt;"",E377,IF(AND(F377&lt;&gt;"",G377&lt;&gt;""),MOD(G377-F377,1)*24,""))</f>
        <v/>
      </c>
      <c r="L377" s="37">
        <f>IF(A377="","",CHOOSE(WEEKDAY(A377,2),"Montag","Dienstag","Mittwoch","Donnerstag","Freitag","Samstag","Sonntag"))</f>
        <v/>
      </c>
      <c r="M377" s="37">
        <f>IF(A377="","",_xlfn.ISOWEEKNUM(A377))</f>
        <v/>
      </c>
      <c r="N377" s="38">
        <f>IF(A377="","",DATE(YEAR(A377),MONTH(A377),1))</f>
        <v/>
      </c>
    </row>
    <row r="378">
      <c r="A378" s="31" t="n"/>
      <c r="B378" s="32" t="n"/>
      <c r="C378" s="32" t="n"/>
      <c r="D378" s="33" t="n"/>
      <c r="E378" s="34" t="n"/>
      <c r="F378" s="35" t="n"/>
      <c r="G378" s="35" t="n"/>
      <c r="H378" s="32" t="n"/>
      <c r="I378" s="32" t="n"/>
      <c r="J378" s="32" t="n"/>
      <c r="K378" s="36">
        <f>IF(E378&lt;&gt;"",E378,IF(AND(F378&lt;&gt;"",G378&lt;&gt;""),MOD(G378-F378,1)*24,""))</f>
        <v/>
      </c>
      <c r="L378" s="37">
        <f>IF(A378="","",CHOOSE(WEEKDAY(A378,2),"Montag","Dienstag","Mittwoch","Donnerstag","Freitag","Samstag","Sonntag"))</f>
        <v/>
      </c>
      <c r="M378" s="37">
        <f>IF(A378="","",_xlfn.ISOWEEKNUM(A378))</f>
        <v/>
      </c>
      <c r="N378" s="38">
        <f>IF(A378="","",DATE(YEAR(A378),MONTH(A378),1))</f>
        <v/>
      </c>
    </row>
    <row r="379">
      <c r="A379" s="31" t="n"/>
      <c r="B379" s="32" t="n"/>
      <c r="C379" s="32" t="n"/>
      <c r="D379" s="33" t="n"/>
      <c r="E379" s="34" t="n"/>
      <c r="F379" s="35" t="n"/>
      <c r="G379" s="35" t="n"/>
      <c r="H379" s="32" t="n"/>
      <c r="I379" s="32" t="n"/>
      <c r="J379" s="32" t="n"/>
      <c r="K379" s="36">
        <f>IF(E379&lt;&gt;"",E379,IF(AND(F379&lt;&gt;"",G379&lt;&gt;""),MOD(G379-F379,1)*24,""))</f>
        <v/>
      </c>
      <c r="L379" s="37">
        <f>IF(A379="","",CHOOSE(WEEKDAY(A379,2),"Montag","Dienstag","Mittwoch","Donnerstag","Freitag","Samstag","Sonntag"))</f>
        <v/>
      </c>
      <c r="M379" s="37">
        <f>IF(A379="","",_xlfn.ISOWEEKNUM(A379))</f>
        <v/>
      </c>
      <c r="N379" s="38">
        <f>IF(A379="","",DATE(YEAR(A379),MONTH(A379),1))</f>
        <v/>
      </c>
    </row>
    <row r="380">
      <c r="A380" s="31" t="n"/>
      <c r="B380" s="32" t="n"/>
      <c r="C380" s="32" t="n"/>
      <c r="D380" s="33" t="n"/>
      <c r="E380" s="34" t="n"/>
      <c r="F380" s="35" t="n"/>
      <c r="G380" s="35" t="n"/>
      <c r="H380" s="32" t="n"/>
      <c r="I380" s="32" t="n"/>
      <c r="J380" s="32" t="n"/>
      <c r="K380" s="36">
        <f>IF(E380&lt;&gt;"",E380,IF(AND(F380&lt;&gt;"",G380&lt;&gt;""),MOD(G380-F380,1)*24,""))</f>
        <v/>
      </c>
      <c r="L380" s="37">
        <f>IF(A380="","",CHOOSE(WEEKDAY(A380,2),"Montag","Dienstag","Mittwoch","Donnerstag","Freitag","Samstag","Sonntag"))</f>
        <v/>
      </c>
      <c r="M380" s="37">
        <f>IF(A380="","",_xlfn.ISOWEEKNUM(A380))</f>
        <v/>
      </c>
      <c r="N380" s="38">
        <f>IF(A380="","",DATE(YEAR(A380),MONTH(A380),1))</f>
        <v/>
      </c>
    </row>
    <row r="381">
      <c r="A381" s="31" t="n"/>
      <c r="B381" s="32" t="n"/>
      <c r="C381" s="32" t="n"/>
      <c r="D381" s="33" t="n"/>
      <c r="E381" s="34" t="n"/>
      <c r="F381" s="35" t="n"/>
      <c r="G381" s="35" t="n"/>
      <c r="H381" s="32" t="n"/>
      <c r="I381" s="32" t="n"/>
      <c r="J381" s="32" t="n"/>
      <c r="K381" s="36">
        <f>IF(E381&lt;&gt;"",E381,IF(AND(F381&lt;&gt;"",G381&lt;&gt;""),MOD(G381-F381,1)*24,""))</f>
        <v/>
      </c>
      <c r="L381" s="37">
        <f>IF(A381="","",CHOOSE(WEEKDAY(A381,2),"Montag","Dienstag","Mittwoch","Donnerstag","Freitag","Samstag","Sonntag"))</f>
        <v/>
      </c>
      <c r="M381" s="37">
        <f>IF(A381="","",_xlfn.ISOWEEKNUM(A381))</f>
        <v/>
      </c>
      <c r="N381" s="38">
        <f>IF(A381="","",DATE(YEAR(A381),MONTH(A381),1))</f>
        <v/>
      </c>
    </row>
    <row r="382">
      <c r="A382" s="31" t="n"/>
      <c r="B382" s="32" t="n"/>
      <c r="C382" s="32" t="n"/>
      <c r="D382" s="33" t="n"/>
      <c r="E382" s="34" t="n"/>
      <c r="F382" s="35" t="n"/>
      <c r="G382" s="35" t="n"/>
      <c r="H382" s="32" t="n"/>
      <c r="I382" s="32" t="n"/>
      <c r="J382" s="32" t="n"/>
      <c r="K382" s="36">
        <f>IF(E382&lt;&gt;"",E382,IF(AND(F382&lt;&gt;"",G382&lt;&gt;""),MOD(G382-F382,1)*24,""))</f>
        <v/>
      </c>
      <c r="L382" s="37">
        <f>IF(A382="","",CHOOSE(WEEKDAY(A382,2),"Montag","Dienstag","Mittwoch","Donnerstag","Freitag","Samstag","Sonntag"))</f>
        <v/>
      </c>
      <c r="M382" s="37">
        <f>IF(A382="","",_xlfn.ISOWEEKNUM(A382))</f>
        <v/>
      </c>
      <c r="N382" s="38">
        <f>IF(A382="","",DATE(YEAR(A382),MONTH(A382),1))</f>
        <v/>
      </c>
    </row>
    <row r="383">
      <c r="A383" s="31" t="n"/>
      <c r="B383" s="32" t="n"/>
      <c r="C383" s="32" t="n"/>
      <c r="D383" s="33" t="n"/>
      <c r="E383" s="34" t="n"/>
      <c r="F383" s="35" t="n"/>
      <c r="G383" s="35" t="n"/>
      <c r="H383" s="32" t="n"/>
      <c r="I383" s="32" t="n"/>
      <c r="J383" s="32" t="n"/>
      <c r="K383" s="36">
        <f>IF(E383&lt;&gt;"",E383,IF(AND(F383&lt;&gt;"",G383&lt;&gt;""),MOD(G383-F383,1)*24,""))</f>
        <v/>
      </c>
      <c r="L383" s="37">
        <f>IF(A383="","",CHOOSE(WEEKDAY(A383,2),"Montag","Dienstag","Mittwoch","Donnerstag","Freitag","Samstag","Sonntag"))</f>
        <v/>
      </c>
      <c r="M383" s="37">
        <f>IF(A383="","",_xlfn.ISOWEEKNUM(A383))</f>
        <v/>
      </c>
      <c r="N383" s="38">
        <f>IF(A383="","",DATE(YEAR(A383),MONTH(A383),1))</f>
        <v/>
      </c>
    </row>
    <row r="384">
      <c r="A384" s="31" t="n"/>
      <c r="B384" s="32" t="n"/>
      <c r="C384" s="32" t="n"/>
      <c r="D384" s="33" t="n"/>
      <c r="E384" s="34" t="n"/>
      <c r="F384" s="35" t="n"/>
      <c r="G384" s="35" t="n"/>
      <c r="H384" s="32" t="n"/>
      <c r="I384" s="32" t="n"/>
      <c r="J384" s="32" t="n"/>
      <c r="K384" s="36">
        <f>IF(E384&lt;&gt;"",E384,IF(AND(F384&lt;&gt;"",G384&lt;&gt;""),MOD(G384-F384,1)*24,""))</f>
        <v/>
      </c>
      <c r="L384" s="37">
        <f>IF(A384="","",CHOOSE(WEEKDAY(A384,2),"Montag","Dienstag","Mittwoch","Donnerstag","Freitag","Samstag","Sonntag"))</f>
        <v/>
      </c>
      <c r="M384" s="37">
        <f>IF(A384="","",_xlfn.ISOWEEKNUM(A384))</f>
        <v/>
      </c>
      <c r="N384" s="38">
        <f>IF(A384="","",DATE(YEAR(A384),MONTH(A384),1))</f>
        <v/>
      </c>
    </row>
    <row r="385">
      <c r="A385" s="31" t="n"/>
      <c r="B385" s="32" t="n"/>
      <c r="C385" s="32" t="n"/>
      <c r="D385" s="33" t="n"/>
      <c r="E385" s="34" t="n"/>
      <c r="F385" s="35" t="n"/>
      <c r="G385" s="35" t="n"/>
      <c r="H385" s="32" t="n"/>
      <c r="I385" s="32" t="n"/>
      <c r="J385" s="32" t="n"/>
      <c r="K385" s="36">
        <f>IF(E385&lt;&gt;"",E385,IF(AND(F385&lt;&gt;"",G385&lt;&gt;""),MOD(G385-F385,1)*24,""))</f>
        <v/>
      </c>
      <c r="L385" s="37">
        <f>IF(A385="","",CHOOSE(WEEKDAY(A385,2),"Montag","Dienstag","Mittwoch","Donnerstag","Freitag","Samstag","Sonntag"))</f>
        <v/>
      </c>
      <c r="M385" s="37">
        <f>IF(A385="","",_xlfn.ISOWEEKNUM(A385))</f>
        <v/>
      </c>
      <c r="N385" s="38">
        <f>IF(A385="","",DATE(YEAR(A385),MONTH(A385),1))</f>
        <v/>
      </c>
    </row>
    <row r="386">
      <c r="A386" s="31" t="n"/>
      <c r="B386" s="32" t="n"/>
      <c r="C386" s="32" t="n"/>
      <c r="D386" s="33" t="n"/>
      <c r="E386" s="34" t="n"/>
      <c r="F386" s="35" t="n"/>
      <c r="G386" s="35" t="n"/>
      <c r="H386" s="32" t="n"/>
      <c r="I386" s="32" t="n"/>
      <c r="J386" s="32" t="n"/>
      <c r="K386" s="36">
        <f>IF(E386&lt;&gt;"",E386,IF(AND(F386&lt;&gt;"",G386&lt;&gt;""),MOD(G386-F386,1)*24,""))</f>
        <v/>
      </c>
      <c r="L386" s="37">
        <f>IF(A386="","",CHOOSE(WEEKDAY(A386,2),"Montag","Dienstag","Mittwoch","Donnerstag","Freitag","Samstag","Sonntag"))</f>
        <v/>
      </c>
      <c r="M386" s="37">
        <f>IF(A386="","",_xlfn.ISOWEEKNUM(A386))</f>
        <v/>
      </c>
      <c r="N386" s="38">
        <f>IF(A386="","",DATE(YEAR(A386),MONTH(A386),1))</f>
        <v/>
      </c>
    </row>
    <row r="387">
      <c r="A387" s="31" t="n"/>
      <c r="B387" s="32" t="n"/>
      <c r="C387" s="32" t="n"/>
      <c r="D387" s="33" t="n"/>
      <c r="E387" s="34" t="n"/>
      <c r="F387" s="35" t="n"/>
      <c r="G387" s="35" t="n"/>
      <c r="H387" s="32" t="n"/>
      <c r="I387" s="32" t="n"/>
      <c r="J387" s="32" t="n"/>
      <c r="K387" s="36">
        <f>IF(E387&lt;&gt;"",E387,IF(AND(F387&lt;&gt;"",G387&lt;&gt;""),MOD(G387-F387,1)*24,""))</f>
        <v/>
      </c>
      <c r="L387" s="37">
        <f>IF(A387="","",CHOOSE(WEEKDAY(A387,2),"Montag","Dienstag","Mittwoch","Donnerstag","Freitag","Samstag","Sonntag"))</f>
        <v/>
      </c>
      <c r="M387" s="37">
        <f>IF(A387="","",_xlfn.ISOWEEKNUM(A387))</f>
        <v/>
      </c>
      <c r="N387" s="38">
        <f>IF(A387="","",DATE(YEAR(A387),MONTH(A387),1))</f>
        <v/>
      </c>
    </row>
    <row r="388">
      <c r="A388" s="31" t="n"/>
      <c r="B388" s="32" t="n"/>
      <c r="C388" s="32" t="n"/>
      <c r="D388" s="33" t="n"/>
      <c r="E388" s="34" t="n"/>
      <c r="F388" s="35" t="n"/>
      <c r="G388" s="35" t="n"/>
      <c r="H388" s="32" t="n"/>
      <c r="I388" s="32" t="n"/>
      <c r="J388" s="32" t="n"/>
      <c r="K388" s="36">
        <f>IF(E388&lt;&gt;"",E388,IF(AND(F388&lt;&gt;"",G388&lt;&gt;""),MOD(G388-F388,1)*24,""))</f>
        <v/>
      </c>
      <c r="L388" s="37">
        <f>IF(A388="","",CHOOSE(WEEKDAY(A388,2),"Montag","Dienstag","Mittwoch","Donnerstag","Freitag","Samstag","Sonntag"))</f>
        <v/>
      </c>
      <c r="M388" s="37">
        <f>IF(A388="","",_xlfn.ISOWEEKNUM(A388))</f>
        <v/>
      </c>
      <c r="N388" s="38">
        <f>IF(A388="","",DATE(YEAR(A388),MONTH(A388),1))</f>
        <v/>
      </c>
    </row>
    <row r="389">
      <c r="A389" s="31" t="n"/>
      <c r="B389" s="32" t="n"/>
      <c r="C389" s="32" t="n"/>
      <c r="D389" s="33" t="n"/>
      <c r="E389" s="34" t="n"/>
      <c r="F389" s="35" t="n"/>
      <c r="G389" s="35" t="n"/>
      <c r="H389" s="32" t="n"/>
      <c r="I389" s="32" t="n"/>
      <c r="J389" s="32" t="n"/>
      <c r="K389" s="36">
        <f>IF(E389&lt;&gt;"",E389,IF(AND(F389&lt;&gt;"",G389&lt;&gt;""),MOD(G389-F389,1)*24,""))</f>
        <v/>
      </c>
      <c r="L389" s="37">
        <f>IF(A389="","",CHOOSE(WEEKDAY(A389,2),"Montag","Dienstag","Mittwoch","Donnerstag","Freitag","Samstag","Sonntag"))</f>
        <v/>
      </c>
      <c r="M389" s="37">
        <f>IF(A389="","",_xlfn.ISOWEEKNUM(A389))</f>
        <v/>
      </c>
      <c r="N389" s="38">
        <f>IF(A389="","",DATE(YEAR(A389),MONTH(A389),1))</f>
        <v/>
      </c>
    </row>
    <row r="390">
      <c r="A390" s="31" t="n"/>
      <c r="B390" s="32" t="n"/>
      <c r="C390" s="32" t="n"/>
      <c r="D390" s="33" t="n"/>
      <c r="E390" s="34" t="n"/>
      <c r="F390" s="35" t="n"/>
      <c r="G390" s="35" t="n"/>
      <c r="H390" s="32" t="n"/>
      <c r="I390" s="32" t="n"/>
      <c r="J390" s="32" t="n"/>
      <c r="K390" s="36">
        <f>IF(E390&lt;&gt;"",E390,IF(AND(F390&lt;&gt;"",G390&lt;&gt;""),MOD(G390-F390,1)*24,""))</f>
        <v/>
      </c>
      <c r="L390" s="37">
        <f>IF(A390="","",CHOOSE(WEEKDAY(A390,2),"Montag","Dienstag","Mittwoch","Donnerstag","Freitag","Samstag","Sonntag"))</f>
        <v/>
      </c>
      <c r="M390" s="37">
        <f>IF(A390="","",_xlfn.ISOWEEKNUM(A390))</f>
        <v/>
      </c>
      <c r="N390" s="38">
        <f>IF(A390="","",DATE(YEAR(A390),MONTH(A390),1))</f>
        <v/>
      </c>
    </row>
    <row r="391">
      <c r="A391" s="31" t="n"/>
      <c r="B391" s="32" t="n"/>
      <c r="C391" s="32" t="n"/>
      <c r="D391" s="33" t="n"/>
      <c r="E391" s="34" t="n"/>
      <c r="F391" s="35" t="n"/>
      <c r="G391" s="35" t="n"/>
      <c r="H391" s="32" t="n"/>
      <c r="I391" s="32" t="n"/>
      <c r="J391" s="32" t="n"/>
      <c r="K391" s="36">
        <f>IF(E391&lt;&gt;"",E391,IF(AND(F391&lt;&gt;"",G391&lt;&gt;""),MOD(G391-F391,1)*24,""))</f>
        <v/>
      </c>
      <c r="L391" s="37">
        <f>IF(A391="","",CHOOSE(WEEKDAY(A391,2),"Montag","Dienstag","Mittwoch","Donnerstag","Freitag","Samstag","Sonntag"))</f>
        <v/>
      </c>
      <c r="M391" s="37">
        <f>IF(A391="","",_xlfn.ISOWEEKNUM(A391))</f>
        <v/>
      </c>
      <c r="N391" s="38">
        <f>IF(A391="","",DATE(YEAR(A391),MONTH(A391),1))</f>
        <v/>
      </c>
    </row>
    <row r="392">
      <c r="A392" s="31" t="n"/>
      <c r="B392" s="32" t="n"/>
      <c r="C392" s="32" t="n"/>
      <c r="D392" s="33" t="n"/>
      <c r="E392" s="34" t="n"/>
      <c r="F392" s="35" t="n"/>
      <c r="G392" s="35" t="n"/>
      <c r="H392" s="32" t="n"/>
      <c r="I392" s="32" t="n"/>
      <c r="J392" s="32" t="n"/>
      <c r="K392" s="36">
        <f>IF(E392&lt;&gt;"",E392,IF(AND(F392&lt;&gt;"",G392&lt;&gt;""),MOD(G392-F392,1)*24,""))</f>
        <v/>
      </c>
      <c r="L392" s="37">
        <f>IF(A392="","",CHOOSE(WEEKDAY(A392,2),"Montag","Dienstag","Mittwoch","Donnerstag","Freitag","Samstag","Sonntag"))</f>
        <v/>
      </c>
      <c r="M392" s="37">
        <f>IF(A392="","",_xlfn.ISOWEEKNUM(A392))</f>
        <v/>
      </c>
      <c r="N392" s="38">
        <f>IF(A392="","",DATE(YEAR(A392),MONTH(A392),1))</f>
        <v/>
      </c>
    </row>
    <row r="393">
      <c r="A393" s="31" t="n"/>
      <c r="B393" s="32" t="n"/>
      <c r="C393" s="32" t="n"/>
      <c r="D393" s="33" t="n"/>
      <c r="E393" s="34" t="n"/>
      <c r="F393" s="35" t="n"/>
      <c r="G393" s="35" t="n"/>
      <c r="H393" s="32" t="n"/>
      <c r="I393" s="32" t="n"/>
      <c r="J393" s="32" t="n"/>
      <c r="K393" s="36">
        <f>IF(E393&lt;&gt;"",E393,IF(AND(F393&lt;&gt;"",G393&lt;&gt;""),MOD(G393-F393,1)*24,""))</f>
        <v/>
      </c>
      <c r="L393" s="37">
        <f>IF(A393="","",CHOOSE(WEEKDAY(A393,2),"Montag","Dienstag","Mittwoch","Donnerstag","Freitag","Samstag","Sonntag"))</f>
        <v/>
      </c>
      <c r="M393" s="37">
        <f>IF(A393="","",_xlfn.ISOWEEKNUM(A393))</f>
        <v/>
      </c>
      <c r="N393" s="38">
        <f>IF(A393="","",DATE(YEAR(A393),MONTH(A393),1))</f>
        <v/>
      </c>
    </row>
    <row r="394">
      <c r="A394" s="31" t="n"/>
      <c r="B394" s="32" t="n"/>
      <c r="C394" s="32" t="n"/>
      <c r="D394" s="33" t="n"/>
      <c r="E394" s="34" t="n"/>
      <c r="F394" s="35" t="n"/>
      <c r="G394" s="35" t="n"/>
      <c r="H394" s="32" t="n"/>
      <c r="I394" s="32" t="n"/>
      <c r="J394" s="32" t="n"/>
      <c r="K394" s="36">
        <f>IF(E394&lt;&gt;"",E394,IF(AND(F394&lt;&gt;"",G394&lt;&gt;""),MOD(G394-F394,1)*24,""))</f>
        <v/>
      </c>
      <c r="L394" s="37">
        <f>IF(A394="","",CHOOSE(WEEKDAY(A394,2),"Montag","Dienstag","Mittwoch","Donnerstag","Freitag","Samstag","Sonntag"))</f>
        <v/>
      </c>
      <c r="M394" s="37">
        <f>IF(A394="","",_xlfn.ISOWEEKNUM(A394))</f>
        <v/>
      </c>
      <c r="N394" s="38">
        <f>IF(A394="","",DATE(YEAR(A394),MONTH(A394),1))</f>
        <v/>
      </c>
    </row>
    <row r="395">
      <c r="A395" s="31" t="n"/>
      <c r="B395" s="32" t="n"/>
      <c r="C395" s="32" t="n"/>
      <c r="D395" s="33" t="n"/>
      <c r="E395" s="34" t="n"/>
      <c r="F395" s="35" t="n"/>
      <c r="G395" s="35" t="n"/>
      <c r="H395" s="32" t="n"/>
      <c r="I395" s="32" t="n"/>
      <c r="J395" s="32" t="n"/>
      <c r="K395" s="36">
        <f>IF(E395&lt;&gt;"",E395,IF(AND(F395&lt;&gt;"",G395&lt;&gt;""),MOD(G395-F395,1)*24,""))</f>
        <v/>
      </c>
      <c r="L395" s="37">
        <f>IF(A395="","",CHOOSE(WEEKDAY(A395,2),"Montag","Dienstag","Mittwoch","Donnerstag","Freitag","Samstag","Sonntag"))</f>
        <v/>
      </c>
      <c r="M395" s="37">
        <f>IF(A395="","",_xlfn.ISOWEEKNUM(A395))</f>
        <v/>
      </c>
      <c r="N395" s="38">
        <f>IF(A395="","",DATE(YEAR(A395),MONTH(A395),1))</f>
        <v/>
      </c>
    </row>
    <row r="396">
      <c r="A396" s="31" t="n"/>
      <c r="B396" s="32" t="n"/>
      <c r="C396" s="32" t="n"/>
      <c r="D396" s="33" t="n"/>
      <c r="E396" s="34" t="n"/>
      <c r="F396" s="35" t="n"/>
      <c r="G396" s="35" t="n"/>
      <c r="H396" s="32" t="n"/>
      <c r="I396" s="32" t="n"/>
      <c r="J396" s="32" t="n"/>
      <c r="K396" s="36">
        <f>IF(E396&lt;&gt;"",E396,IF(AND(F396&lt;&gt;"",G396&lt;&gt;""),MOD(G396-F396,1)*24,""))</f>
        <v/>
      </c>
      <c r="L396" s="37">
        <f>IF(A396="","",CHOOSE(WEEKDAY(A396,2),"Montag","Dienstag","Mittwoch","Donnerstag","Freitag","Samstag","Sonntag"))</f>
        <v/>
      </c>
      <c r="M396" s="37">
        <f>IF(A396="","",_xlfn.ISOWEEKNUM(A396))</f>
        <v/>
      </c>
      <c r="N396" s="38">
        <f>IF(A396="","",DATE(YEAR(A396),MONTH(A396),1))</f>
        <v/>
      </c>
    </row>
    <row r="397">
      <c r="A397" s="31" t="n"/>
      <c r="B397" s="32" t="n"/>
      <c r="C397" s="32" t="n"/>
      <c r="D397" s="33" t="n"/>
      <c r="E397" s="34" t="n"/>
      <c r="F397" s="35" t="n"/>
      <c r="G397" s="35" t="n"/>
      <c r="H397" s="32" t="n"/>
      <c r="I397" s="32" t="n"/>
      <c r="J397" s="32" t="n"/>
      <c r="K397" s="36">
        <f>IF(E397&lt;&gt;"",E397,IF(AND(F397&lt;&gt;"",G397&lt;&gt;""),MOD(G397-F397,1)*24,""))</f>
        <v/>
      </c>
      <c r="L397" s="37">
        <f>IF(A397="","",CHOOSE(WEEKDAY(A397,2),"Montag","Dienstag","Mittwoch","Donnerstag","Freitag","Samstag","Sonntag"))</f>
        <v/>
      </c>
      <c r="M397" s="37">
        <f>IF(A397="","",_xlfn.ISOWEEKNUM(A397))</f>
        <v/>
      </c>
      <c r="N397" s="38">
        <f>IF(A397="","",DATE(YEAR(A397),MONTH(A397),1))</f>
        <v/>
      </c>
    </row>
    <row r="398">
      <c r="A398" s="31" t="n"/>
      <c r="B398" s="32" t="n"/>
      <c r="C398" s="32" t="n"/>
      <c r="D398" s="33" t="n"/>
      <c r="E398" s="34" t="n"/>
      <c r="F398" s="35" t="n"/>
      <c r="G398" s="35" t="n"/>
      <c r="H398" s="32" t="n"/>
      <c r="I398" s="32" t="n"/>
      <c r="J398" s="32" t="n"/>
      <c r="K398" s="36">
        <f>IF(E398&lt;&gt;"",E398,IF(AND(F398&lt;&gt;"",G398&lt;&gt;""),MOD(G398-F398,1)*24,""))</f>
        <v/>
      </c>
      <c r="L398" s="37">
        <f>IF(A398="","",CHOOSE(WEEKDAY(A398,2),"Montag","Dienstag","Mittwoch","Donnerstag","Freitag","Samstag","Sonntag"))</f>
        <v/>
      </c>
      <c r="M398" s="37">
        <f>IF(A398="","",_xlfn.ISOWEEKNUM(A398))</f>
        <v/>
      </c>
      <c r="N398" s="38">
        <f>IF(A398="","",DATE(YEAR(A398),MONTH(A398),1))</f>
        <v/>
      </c>
    </row>
    <row r="399">
      <c r="A399" s="31" t="n"/>
      <c r="B399" s="32" t="n"/>
      <c r="C399" s="32" t="n"/>
      <c r="D399" s="33" t="n"/>
      <c r="E399" s="34" t="n"/>
      <c r="F399" s="35" t="n"/>
      <c r="G399" s="35" t="n"/>
      <c r="H399" s="32" t="n"/>
      <c r="I399" s="32" t="n"/>
      <c r="J399" s="32" t="n"/>
      <c r="K399" s="36">
        <f>IF(E399&lt;&gt;"",E399,IF(AND(F399&lt;&gt;"",G399&lt;&gt;""),MOD(G399-F399,1)*24,""))</f>
        <v/>
      </c>
      <c r="L399" s="37">
        <f>IF(A399="","",CHOOSE(WEEKDAY(A399,2),"Montag","Dienstag","Mittwoch","Donnerstag","Freitag","Samstag","Sonntag"))</f>
        <v/>
      </c>
      <c r="M399" s="37">
        <f>IF(A399="","",_xlfn.ISOWEEKNUM(A399))</f>
        <v/>
      </c>
      <c r="N399" s="38">
        <f>IF(A399="","",DATE(YEAR(A399),MONTH(A399),1))</f>
        <v/>
      </c>
    </row>
    <row r="400">
      <c r="A400" s="31" t="n"/>
      <c r="B400" s="32" t="n"/>
      <c r="C400" s="32" t="n"/>
      <c r="D400" s="33" t="n"/>
      <c r="E400" s="34" t="n"/>
      <c r="F400" s="35" t="n"/>
      <c r="G400" s="35" t="n"/>
      <c r="H400" s="32" t="n"/>
      <c r="I400" s="32" t="n"/>
      <c r="J400" s="32" t="n"/>
      <c r="K400" s="36">
        <f>IF(E400&lt;&gt;"",E400,IF(AND(F400&lt;&gt;"",G400&lt;&gt;""),MOD(G400-F400,1)*24,""))</f>
        <v/>
      </c>
      <c r="L400" s="37">
        <f>IF(A400="","",CHOOSE(WEEKDAY(A400,2),"Montag","Dienstag","Mittwoch","Donnerstag","Freitag","Samstag","Sonntag"))</f>
        <v/>
      </c>
      <c r="M400" s="37">
        <f>IF(A400="","",_xlfn.ISOWEEKNUM(A400))</f>
        <v/>
      </c>
      <c r="N400" s="38">
        <f>IF(A400="","",DATE(YEAR(A400),MONTH(A400),1))</f>
        <v/>
      </c>
    </row>
    <row r="401">
      <c r="A401" s="31" t="n"/>
      <c r="B401" s="32" t="n"/>
      <c r="C401" s="32" t="n"/>
      <c r="D401" s="33" t="n"/>
      <c r="E401" s="34" t="n"/>
      <c r="F401" s="35" t="n"/>
      <c r="G401" s="35" t="n"/>
      <c r="H401" s="32" t="n"/>
      <c r="I401" s="32" t="n"/>
      <c r="J401" s="32" t="n"/>
      <c r="K401" s="36">
        <f>IF(E401&lt;&gt;"",E401,IF(AND(F401&lt;&gt;"",G401&lt;&gt;""),MOD(G401-F401,1)*24,""))</f>
        <v/>
      </c>
      <c r="L401" s="37">
        <f>IF(A401="","",CHOOSE(WEEKDAY(A401,2),"Montag","Dienstag","Mittwoch","Donnerstag","Freitag","Samstag","Sonntag"))</f>
        <v/>
      </c>
      <c r="M401" s="37">
        <f>IF(A401="","",_xlfn.ISOWEEKNUM(A401))</f>
        <v/>
      </c>
      <c r="N401" s="38">
        <f>IF(A401="","",DATE(YEAR(A401),MONTH(A401),1))</f>
        <v/>
      </c>
    </row>
    <row r="402">
      <c r="A402" s="31" t="n"/>
      <c r="B402" s="32" t="n"/>
      <c r="C402" s="32" t="n"/>
      <c r="D402" s="33" t="n"/>
      <c r="E402" s="34" t="n"/>
      <c r="F402" s="35" t="n"/>
      <c r="G402" s="35" t="n"/>
      <c r="H402" s="32" t="n"/>
      <c r="I402" s="32" t="n"/>
      <c r="J402" s="32" t="n"/>
      <c r="K402" s="36">
        <f>IF(E402&lt;&gt;"",E402,IF(AND(F402&lt;&gt;"",G402&lt;&gt;""),MOD(G402-F402,1)*24,""))</f>
        <v/>
      </c>
      <c r="L402" s="37">
        <f>IF(A402="","",CHOOSE(WEEKDAY(A402,2),"Montag","Dienstag","Mittwoch","Donnerstag","Freitag","Samstag","Sonntag"))</f>
        <v/>
      </c>
      <c r="M402" s="37">
        <f>IF(A402="","",_xlfn.ISOWEEKNUM(A402))</f>
        <v/>
      </c>
      <c r="N402" s="38">
        <f>IF(A402="","",DATE(YEAR(A402),MONTH(A402),1))</f>
        <v/>
      </c>
    </row>
    <row r="403">
      <c r="A403" s="31" t="n"/>
      <c r="B403" s="32" t="n"/>
      <c r="C403" s="32" t="n"/>
      <c r="D403" s="33" t="n"/>
      <c r="E403" s="34" t="n"/>
      <c r="F403" s="35" t="n"/>
      <c r="G403" s="35" t="n"/>
      <c r="H403" s="32" t="n"/>
      <c r="I403" s="32" t="n"/>
      <c r="J403" s="32" t="n"/>
      <c r="K403" s="36">
        <f>IF(E403&lt;&gt;"",E403,IF(AND(F403&lt;&gt;"",G403&lt;&gt;""),MOD(G403-F403,1)*24,""))</f>
        <v/>
      </c>
      <c r="L403" s="37">
        <f>IF(A403="","",CHOOSE(WEEKDAY(A403,2),"Montag","Dienstag","Mittwoch","Donnerstag","Freitag","Samstag","Sonntag"))</f>
        <v/>
      </c>
      <c r="M403" s="37">
        <f>IF(A403="","",_xlfn.ISOWEEKNUM(A403))</f>
        <v/>
      </c>
      <c r="N403" s="38">
        <f>IF(A403="","",DATE(YEAR(A403),MONTH(A403),1))</f>
        <v/>
      </c>
    </row>
    <row r="404">
      <c r="A404" s="31" t="n"/>
      <c r="B404" s="32" t="n"/>
      <c r="C404" s="32" t="n"/>
      <c r="D404" s="33" t="n"/>
      <c r="E404" s="34" t="n"/>
      <c r="F404" s="35" t="n"/>
      <c r="G404" s="35" t="n"/>
      <c r="H404" s="32" t="n"/>
      <c r="I404" s="32" t="n"/>
      <c r="J404" s="32" t="n"/>
      <c r="K404" s="36">
        <f>IF(E404&lt;&gt;"",E404,IF(AND(F404&lt;&gt;"",G404&lt;&gt;""),MOD(G404-F404,1)*24,""))</f>
        <v/>
      </c>
      <c r="L404" s="37">
        <f>IF(A404="","",CHOOSE(WEEKDAY(A404,2),"Montag","Dienstag","Mittwoch","Donnerstag","Freitag","Samstag","Sonntag"))</f>
        <v/>
      </c>
      <c r="M404" s="37">
        <f>IF(A404="","",_xlfn.ISOWEEKNUM(A404))</f>
        <v/>
      </c>
      <c r="N404" s="38">
        <f>IF(A404="","",DATE(YEAR(A404),MONTH(A404),1))</f>
        <v/>
      </c>
    </row>
    <row r="405">
      <c r="A405" s="31" t="n"/>
      <c r="B405" s="32" t="n"/>
      <c r="C405" s="32" t="n"/>
      <c r="D405" s="33" t="n"/>
      <c r="E405" s="34" t="n"/>
      <c r="F405" s="35" t="n"/>
      <c r="G405" s="35" t="n"/>
      <c r="H405" s="32" t="n"/>
      <c r="I405" s="32" t="n"/>
      <c r="J405" s="32" t="n"/>
      <c r="K405" s="36">
        <f>IF(E405&lt;&gt;"",E405,IF(AND(F405&lt;&gt;"",G405&lt;&gt;""),MOD(G405-F405,1)*24,""))</f>
        <v/>
      </c>
      <c r="L405" s="37">
        <f>IF(A405="","",CHOOSE(WEEKDAY(A405,2),"Montag","Dienstag","Mittwoch","Donnerstag","Freitag","Samstag","Sonntag"))</f>
        <v/>
      </c>
      <c r="M405" s="37">
        <f>IF(A405="","",_xlfn.ISOWEEKNUM(A405))</f>
        <v/>
      </c>
      <c r="N405" s="38">
        <f>IF(A405="","",DATE(YEAR(A405),MONTH(A405),1))</f>
        <v/>
      </c>
    </row>
    <row r="406">
      <c r="A406" s="31" t="n"/>
      <c r="B406" s="32" t="n"/>
      <c r="C406" s="32" t="n"/>
      <c r="D406" s="33" t="n"/>
      <c r="E406" s="34" t="n"/>
      <c r="F406" s="35" t="n"/>
      <c r="G406" s="35" t="n"/>
      <c r="H406" s="32" t="n"/>
      <c r="I406" s="32" t="n"/>
      <c r="J406" s="32" t="n"/>
      <c r="K406" s="36">
        <f>IF(E406&lt;&gt;"",E406,IF(AND(F406&lt;&gt;"",G406&lt;&gt;""),MOD(G406-F406,1)*24,""))</f>
        <v/>
      </c>
      <c r="L406" s="37">
        <f>IF(A406="","",CHOOSE(WEEKDAY(A406,2),"Montag","Dienstag","Mittwoch","Donnerstag","Freitag","Samstag","Sonntag"))</f>
        <v/>
      </c>
      <c r="M406" s="37">
        <f>IF(A406="","",_xlfn.ISOWEEKNUM(A406))</f>
        <v/>
      </c>
      <c r="N406" s="38">
        <f>IF(A406="","",DATE(YEAR(A406),MONTH(A406),1))</f>
        <v/>
      </c>
    </row>
    <row r="407">
      <c r="A407" s="31" t="n"/>
      <c r="B407" s="32" t="n"/>
      <c r="C407" s="32" t="n"/>
      <c r="D407" s="33" t="n"/>
      <c r="E407" s="34" t="n"/>
      <c r="F407" s="35" t="n"/>
      <c r="G407" s="35" t="n"/>
      <c r="H407" s="32" t="n"/>
      <c r="I407" s="32" t="n"/>
      <c r="J407" s="32" t="n"/>
      <c r="K407" s="36">
        <f>IF(E407&lt;&gt;"",E407,IF(AND(F407&lt;&gt;"",G407&lt;&gt;""),MOD(G407-F407,1)*24,""))</f>
        <v/>
      </c>
      <c r="L407" s="37">
        <f>IF(A407="","",CHOOSE(WEEKDAY(A407,2),"Montag","Dienstag","Mittwoch","Donnerstag","Freitag","Samstag","Sonntag"))</f>
        <v/>
      </c>
      <c r="M407" s="37">
        <f>IF(A407="","",_xlfn.ISOWEEKNUM(A407))</f>
        <v/>
      </c>
      <c r="N407" s="38">
        <f>IF(A407="","",DATE(YEAR(A407),MONTH(A407),1))</f>
        <v/>
      </c>
    </row>
    <row r="408">
      <c r="A408" s="31" t="n"/>
      <c r="B408" s="32" t="n"/>
      <c r="C408" s="32" t="n"/>
      <c r="D408" s="33" t="n"/>
      <c r="E408" s="34" t="n"/>
      <c r="F408" s="35" t="n"/>
      <c r="G408" s="35" t="n"/>
      <c r="H408" s="32" t="n"/>
      <c r="I408" s="32" t="n"/>
      <c r="J408" s="32" t="n"/>
      <c r="K408" s="36">
        <f>IF(E408&lt;&gt;"",E408,IF(AND(F408&lt;&gt;"",G408&lt;&gt;""),MOD(G408-F408,1)*24,""))</f>
        <v/>
      </c>
      <c r="L408" s="37">
        <f>IF(A408="","",CHOOSE(WEEKDAY(A408,2),"Montag","Dienstag","Mittwoch","Donnerstag","Freitag","Samstag","Sonntag"))</f>
        <v/>
      </c>
      <c r="M408" s="37">
        <f>IF(A408="","",_xlfn.ISOWEEKNUM(A408))</f>
        <v/>
      </c>
      <c r="N408" s="38">
        <f>IF(A408="","",DATE(YEAR(A408),MONTH(A408),1))</f>
        <v/>
      </c>
    </row>
    <row r="409">
      <c r="A409" s="31" t="n"/>
      <c r="B409" s="32" t="n"/>
      <c r="C409" s="32" t="n"/>
      <c r="D409" s="33" t="n"/>
      <c r="E409" s="34" t="n"/>
      <c r="F409" s="35" t="n"/>
      <c r="G409" s="35" t="n"/>
      <c r="H409" s="32" t="n"/>
      <c r="I409" s="32" t="n"/>
      <c r="J409" s="32" t="n"/>
      <c r="K409" s="36">
        <f>IF(E409&lt;&gt;"",E409,IF(AND(F409&lt;&gt;"",G409&lt;&gt;""),MOD(G409-F409,1)*24,""))</f>
        <v/>
      </c>
      <c r="L409" s="37">
        <f>IF(A409="","",CHOOSE(WEEKDAY(A409,2),"Montag","Dienstag","Mittwoch","Donnerstag","Freitag","Samstag","Sonntag"))</f>
        <v/>
      </c>
      <c r="M409" s="37">
        <f>IF(A409="","",_xlfn.ISOWEEKNUM(A409))</f>
        <v/>
      </c>
      <c r="N409" s="38">
        <f>IF(A409="","",DATE(YEAR(A409),MONTH(A409),1))</f>
        <v/>
      </c>
    </row>
    <row r="410">
      <c r="A410" s="31" t="n"/>
      <c r="B410" s="32" t="n"/>
      <c r="C410" s="32" t="n"/>
      <c r="D410" s="33" t="n"/>
      <c r="E410" s="34" t="n"/>
      <c r="F410" s="35" t="n"/>
      <c r="G410" s="35" t="n"/>
      <c r="H410" s="32" t="n"/>
      <c r="I410" s="32" t="n"/>
      <c r="J410" s="32" t="n"/>
      <c r="K410" s="36">
        <f>IF(E410&lt;&gt;"",E410,IF(AND(F410&lt;&gt;"",G410&lt;&gt;""),MOD(G410-F410,1)*24,""))</f>
        <v/>
      </c>
      <c r="L410" s="37">
        <f>IF(A410="","",CHOOSE(WEEKDAY(A410,2),"Montag","Dienstag","Mittwoch","Donnerstag","Freitag","Samstag","Sonntag"))</f>
        <v/>
      </c>
      <c r="M410" s="37">
        <f>IF(A410="","",_xlfn.ISOWEEKNUM(A410))</f>
        <v/>
      </c>
      <c r="N410" s="38">
        <f>IF(A410="","",DATE(YEAR(A410),MONTH(A410),1))</f>
        <v/>
      </c>
    </row>
    <row r="411">
      <c r="A411" s="31" t="n"/>
      <c r="B411" s="32" t="n"/>
      <c r="C411" s="32" t="n"/>
      <c r="D411" s="33" t="n"/>
      <c r="E411" s="34" t="n"/>
      <c r="F411" s="35" t="n"/>
      <c r="G411" s="35" t="n"/>
      <c r="H411" s="32" t="n"/>
      <c r="I411" s="32" t="n"/>
      <c r="J411" s="32" t="n"/>
      <c r="K411" s="36">
        <f>IF(E411&lt;&gt;"",E411,IF(AND(F411&lt;&gt;"",G411&lt;&gt;""),MOD(G411-F411,1)*24,""))</f>
        <v/>
      </c>
      <c r="L411" s="37">
        <f>IF(A411="","",CHOOSE(WEEKDAY(A411,2),"Montag","Dienstag","Mittwoch","Donnerstag","Freitag","Samstag","Sonntag"))</f>
        <v/>
      </c>
      <c r="M411" s="37">
        <f>IF(A411="","",_xlfn.ISOWEEKNUM(A411))</f>
        <v/>
      </c>
      <c r="N411" s="38">
        <f>IF(A411="","",DATE(YEAR(A411),MONTH(A411),1))</f>
        <v/>
      </c>
    </row>
    <row r="412">
      <c r="A412" s="31" t="n"/>
      <c r="B412" s="32" t="n"/>
      <c r="C412" s="32" t="n"/>
      <c r="D412" s="33" t="n"/>
      <c r="E412" s="34" t="n"/>
      <c r="F412" s="35" t="n"/>
      <c r="G412" s="35" t="n"/>
      <c r="H412" s="32" t="n"/>
      <c r="I412" s="32" t="n"/>
      <c r="J412" s="32" t="n"/>
      <c r="K412" s="36">
        <f>IF(E412&lt;&gt;"",E412,IF(AND(F412&lt;&gt;"",G412&lt;&gt;""),MOD(G412-F412,1)*24,""))</f>
        <v/>
      </c>
      <c r="L412" s="37">
        <f>IF(A412="","",CHOOSE(WEEKDAY(A412,2),"Montag","Dienstag","Mittwoch","Donnerstag","Freitag","Samstag","Sonntag"))</f>
        <v/>
      </c>
      <c r="M412" s="37">
        <f>IF(A412="","",_xlfn.ISOWEEKNUM(A412))</f>
        <v/>
      </c>
      <c r="N412" s="38">
        <f>IF(A412="","",DATE(YEAR(A412),MONTH(A412),1))</f>
        <v/>
      </c>
    </row>
    <row r="413">
      <c r="A413" s="31" t="n"/>
      <c r="B413" s="32" t="n"/>
      <c r="C413" s="32" t="n"/>
      <c r="D413" s="33" t="n"/>
      <c r="E413" s="34" t="n"/>
      <c r="F413" s="35" t="n"/>
      <c r="G413" s="35" t="n"/>
      <c r="H413" s="32" t="n"/>
      <c r="I413" s="32" t="n"/>
      <c r="J413" s="32" t="n"/>
      <c r="K413" s="36">
        <f>IF(E413&lt;&gt;"",E413,IF(AND(F413&lt;&gt;"",G413&lt;&gt;""),MOD(G413-F413,1)*24,""))</f>
        <v/>
      </c>
      <c r="L413" s="37">
        <f>IF(A413="","",CHOOSE(WEEKDAY(A413,2),"Montag","Dienstag","Mittwoch","Donnerstag","Freitag","Samstag","Sonntag"))</f>
        <v/>
      </c>
      <c r="M413" s="37">
        <f>IF(A413="","",_xlfn.ISOWEEKNUM(A413))</f>
        <v/>
      </c>
      <c r="N413" s="38">
        <f>IF(A413="","",DATE(YEAR(A413),MONTH(A413),1))</f>
        <v/>
      </c>
    </row>
    <row r="414">
      <c r="A414" s="31" t="n"/>
      <c r="B414" s="32" t="n"/>
      <c r="C414" s="32" t="n"/>
      <c r="D414" s="33" t="n"/>
      <c r="E414" s="34" t="n"/>
      <c r="F414" s="35" t="n"/>
      <c r="G414" s="35" t="n"/>
      <c r="H414" s="32" t="n"/>
      <c r="I414" s="32" t="n"/>
      <c r="J414" s="32" t="n"/>
      <c r="K414" s="36">
        <f>IF(E414&lt;&gt;"",E414,IF(AND(F414&lt;&gt;"",G414&lt;&gt;""),MOD(G414-F414,1)*24,""))</f>
        <v/>
      </c>
      <c r="L414" s="37">
        <f>IF(A414="","",CHOOSE(WEEKDAY(A414,2),"Montag","Dienstag","Mittwoch","Donnerstag","Freitag","Samstag","Sonntag"))</f>
        <v/>
      </c>
      <c r="M414" s="37">
        <f>IF(A414="","",_xlfn.ISOWEEKNUM(A414))</f>
        <v/>
      </c>
      <c r="N414" s="38">
        <f>IF(A414="","",DATE(YEAR(A414),MONTH(A414),1))</f>
        <v/>
      </c>
    </row>
    <row r="415">
      <c r="A415" s="31" t="n"/>
      <c r="B415" s="32" t="n"/>
      <c r="C415" s="32" t="n"/>
      <c r="D415" s="33" t="n"/>
      <c r="E415" s="34" t="n"/>
      <c r="F415" s="35" t="n"/>
      <c r="G415" s="35" t="n"/>
      <c r="H415" s="32" t="n"/>
      <c r="I415" s="32" t="n"/>
      <c r="J415" s="32" t="n"/>
      <c r="K415" s="36">
        <f>IF(E415&lt;&gt;"",E415,IF(AND(F415&lt;&gt;"",G415&lt;&gt;""),MOD(G415-F415,1)*24,""))</f>
        <v/>
      </c>
      <c r="L415" s="37">
        <f>IF(A415="","",CHOOSE(WEEKDAY(A415,2),"Montag","Dienstag","Mittwoch","Donnerstag","Freitag","Samstag","Sonntag"))</f>
        <v/>
      </c>
      <c r="M415" s="37">
        <f>IF(A415="","",_xlfn.ISOWEEKNUM(A415))</f>
        <v/>
      </c>
      <c r="N415" s="38">
        <f>IF(A415="","",DATE(YEAR(A415),MONTH(A415),1))</f>
        <v/>
      </c>
    </row>
    <row r="416">
      <c r="A416" s="31" t="n"/>
      <c r="B416" s="32" t="n"/>
      <c r="C416" s="32" t="n"/>
      <c r="D416" s="33" t="n"/>
      <c r="E416" s="34" t="n"/>
      <c r="F416" s="35" t="n"/>
      <c r="G416" s="35" t="n"/>
      <c r="H416" s="32" t="n"/>
      <c r="I416" s="32" t="n"/>
      <c r="J416" s="32" t="n"/>
      <c r="K416" s="36">
        <f>IF(E416&lt;&gt;"",E416,IF(AND(F416&lt;&gt;"",G416&lt;&gt;""),MOD(G416-F416,1)*24,""))</f>
        <v/>
      </c>
      <c r="L416" s="37">
        <f>IF(A416="","",CHOOSE(WEEKDAY(A416,2),"Montag","Dienstag","Mittwoch","Donnerstag","Freitag","Samstag","Sonntag"))</f>
        <v/>
      </c>
      <c r="M416" s="37">
        <f>IF(A416="","",_xlfn.ISOWEEKNUM(A416))</f>
        <v/>
      </c>
      <c r="N416" s="38">
        <f>IF(A416="","",DATE(YEAR(A416),MONTH(A416),1))</f>
        <v/>
      </c>
    </row>
    <row r="417">
      <c r="A417" s="31" t="n"/>
      <c r="B417" s="32" t="n"/>
      <c r="C417" s="32" t="n"/>
      <c r="D417" s="33" t="n"/>
      <c r="E417" s="34" t="n"/>
      <c r="F417" s="35" t="n"/>
      <c r="G417" s="35" t="n"/>
      <c r="H417" s="32" t="n"/>
      <c r="I417" s="32" t="n"/>
      <c r="J417" s="32" t="n"/>
      <c r="K417" s="36">
        <f>IF(E417&lt;&gt;"",E417,IF(AND(F417&lt;&gt;"",G417&lt;&gt;""),MOD(G417-F417,1)*24,""))</f>
        <v/>
      </c>
      <c r="L417" s="37">
        <f>IF(A417="","",CHOOSE(WEEKDAY(A417,2),"Montag","Dienstag","Mittwoch","Donnerstag","Freitag","Samstag","Sonntag"))</f>
        <v/>
      </c>
      <c r="M417" s="37">
        <f>IF(A417="","",_xlfn.ISOWEEKNUM(A417))</f>
        <v/>
      </c>
      <c r="N417" s="38">
        <f>IF(A417="","",DATE(YEAR(A417),MONTH(A417),1))</f>
        <v/>
      </c>
    </row>
    <row r="418">
      <c r="A418" s="31" t="n"/>
      <c r="B418" s="32" t="n"/>
      <c r="C418" s="32" t="n"/>
      <c r="D418" s="33" t="n"/>
      <c r="E418" s="34" t="n"/>
      <c r="F418" s="35" t="n"/>
      <c r="G418" s="35" t="n"/>
      <c r="H418" s="32" t="n"/>
      <c r="I418" s="32" t="n"/>
      <c r="J418" s="32" t="n"/>
      <c r="K418" s="36">
        <f>IF(E418&lt;&gt;"",E418,IF(AND(F418&lt;&gt;"",G418&lt;&gt;""),MOD(G418-F418,1)*24,""))</f>
        <v/>
      </c>
      <c r="L418" s="37">
        <f>IF(A418="","",CHOOSE(WEEKDAY(A418,2),"Montag","Dienstag","Mittwoch","Donnerstag","Freitag","Samstag","Sonntag"))</f>
        <v/>
      </c>
      <c r="M418" s="37">
        <f>IF(A418="","",_xlfn.ISOWEEKNUM(A418))</f>
        <v/>
      </c>
      <c r="N418" s="38">
        <f>IF(A418="","",DATE(YEAR(A418),MONTH(A418),1))</f>
        <v/>
      </c>
    </row>
    <row r="419">
      <c r="A419" s="31" t="n"/>
      <c r="B419" s="32" t="n"/>
      <c r="C419" s="32" t="n"/>
      <c r="D419" s="33" t="n"/>
      <c r="E419" s="34" t="n"/>
      <c r="F419" s="35" t="n"/>
      <c r="G419" s="35" t="n"/>
      <c r="H419" s="32" t="n"/>
      <c r="I419" s="32" t="n"/>
      <c r="J419" s="32" t="n"/>
      <c r="K419" s="36">
        <f>IF(E419&lt;&gt;"",E419,IF(AND(F419&lt;&gt;"",G419&lt;&gt;""),MOD(G419-F419,1)*24,""))</f>
        <v/>
      </c>
      <c r="L419" s="37">
        <f>IF(A419="","",CHOOSE(WEEKDAY(A419,2),"Montag","Dienstag","Mittwoch","Donnerstag","Freitag","Samstag","Sonntag"))</f>
        <v/>
      </c>
      <c r="M419" s="37">
        <f>IF(A419="","",_xlfn.ISOWEEKNUM(A419))</f>
        <v/>
      </c>
      <c r="N419" s="38">
        <f>IF(A419="","",DATE(YEAR(A419),MONTH(A419),1))</f>
        <v/>
      </c>
    </row>
    <row r="420">
      <c r="A420" s="31" t="n"/>
      <c r="B420" s="32" t="n"/>
      <c r="C420" s="32" t="n"/>
      <c r="D420" s="33" t="n"/>
      <c r="E420" s="34" t="n"/>
      <c r="F420" s="35" t="n"/>
      <c r="G420" s="35" t="n"/>
      <c r="H420" s="32" t="n"/>
      <c r="I420" s="32" t="n"/>
      <c r="J420" s="32" t="n"/>
      <c r="K420" s="36">
        <f>IF(E420&lt;&gt;"",E420,IF(AND(F420&lt;&gt;"",G420&lt;&gt;""),MOD(G420-F420,1)*24,""))</f>
        <v/>
      </c>
      <c r="L420" s="37">
        <f>IF(A420="","",CHOOSE(WEEKDAY(A420,2),"Montag","Dienstag","Mittwoch","Donnerstag","Freitag","Samstag","Sonntag"))</f>
        <v/>
      </c>
      <c r="M420" s="37">
        <f>IF(A420="","",_xlfn.ISOWEEKNUM(A420))</f>
        <v/>
      </c>
      <c r="N420" s="38">
        <f>IF(A420="","",DATE(YEAR(A420),MONTH(A420),1))</f>
        <v/>
      </c>
    </row>
    <row r="421">
      <c r="A421" s="31" t="n"/>
      <c r="B421" s="32" t="n"/>
      <c r="C421" s="32" t="n"/>
      <c r="D421" s="33" t="n"/>
      <c r="E421" s="34" t="n"/>
      <c r="F421" s="35" t="n"/>
      <c r="G421" s="35" t="n"/>
      <c r="H421" s="32" t="n"/>
      <c r="I421" s="32" t="n"/>
      <c r="J421" s="32" t="n"/>
      <c r="K421" s="36">
        <f>IF(E421&lt;&gt;"",E421,IF(AND(F421&lt;&gt;"",G421&lt;&gt;""),MOD(G421-F421,1)*24,""))</f>
        <v/>
      </c>
      <c r="L421" s="37">
        <f>IF(A421="","",CHOOSE(WEEKDAY(A421,2),"Montag","Dienstag","Mittwoch","Donnerstag","Freitag","Samstag","Sonntag"))</f>
        <v/>
      </c>
      <c r="M421" s="37">
        <f>IF(A421="","",_xlfn.ISOWEEKNUM(A421))</f>
        <v/>
      </c>
      <c r="N421" s="38">
        <f>IF(A421="","",DATE(YEAR(A421),MONTH(A421),1))</f>
        <v/>
      </c>
    </row>
    <row r="422">
      <c r="A422" s="31" t="n"/>
      <c r="B422" s="32" t="n"/>
      <c r="C422" s="32" t="n"/>
      <c r="D422" s="33" t="n"/>
      <c r="E422" s="34" t="n"/>
      <c r="F422" s="35" t="n"/>
      <c r="G422" s="35" t="n"/>
      <c r="H422" s="32" t="n"/>
      <c r="I422" s="32" t="n"/>
      <c r="J422" s="32" t="n"/>
      <c r="K422" s="36">
        <f>IF(E422&lt;&gt;"",E422,IF(AND(F422&lt;&gt;"",G422&lt;&gt;""),MOD(G422-F422,1)*24,""))</f>
        <v/>
      </c>
      <c r="L422" s="37">
        <f>IF(A422="","",CHOOSE(WEEKDAY(A422,2),"Montag","Dienstag","Mittwoch","Donnerstag","Freitag","Samstag","Sonntag"))</f>
        <v/>
      </c>
      <c r="M422" s="37">
        <f>IF(A422="","",_xlfn.ISOWEEKNUM(A422))</f>
        <v/>
      </c>
      <c r="N422" s="38">
        <f>IF(A422="","",DATE(YEAR(A422),MONTH(A422),1))</f>
        <v/>
      </c>
    </row>
    <row r="423">
      <c r="A423" s="31" t="n"/>
      <c r="B423" s="32" t="n"/>
      <c r="C423" s="32" t="n"/>
      <c r="D423" s="33" t="n"/>
      <c r="E423" s="34" t="n"/>
      <c r="F423" s="35" t="n"/>
      <c r="G423" s="35" t="n"/>
      <c r="H423" s="32" t="n"/>
      <c r="I423" s="32" t="n"/>
      <c r="J423" s="32" t="n"/>
      <c r="K423" s="36">
        <f>IF(E423&lt;&gt;"",E423,IF(AND(F423&lt;&gt;"",G423&lt;&gt;""),MOD(G423-F423,1)*24,""))</f>
        <v/>
      </c>
      <c r="L423" s="37">
        <f>IF(A423="","",CHOOSE(WEEKDAY(A423,2),"Montag","Dienstag","Mittwoch","Donnerstag","Freitag","Samstag","Sonntag"))</f>
        <v/>
      </c>
      <c r="M423" s="37">
        <f>IF(A423="","",_xlfn.ISOWEEKNUM(A423))</f>
        <v/>
      </c>
      <c r="N423" s="38">
        <f>IF(A423="","",DATE(YEAR(A423),MONTH(A423),1))</f>
        <v/>
      </c>
    </row>
    <row r="424">
      <c r="A424" s="31" t="n"/>
      <c r="B424" s="32" t="n"/>
      <c r="C424" s="32" t="n"/>
      <c r="D424" s="33" t="n"/>
      <c r="E424" s="34" t="n"/>
      <c r="F424" s="35" t="n"/>
      <c r="G424" s="35" t="n"/>
      <c r="H424" s="32" t="n"/>
      <c r="I424" s="32" t="n"/>
      <c r="J424" s="32" t="n"/>
      <c r="K424" s="36">
        <f>IF(E424&lt;&gt;"",E424,IF(AND(F424&lt;&gt;"",G424&lt;&gt;""),MOD(G424-F424,1)*24,""))</f>
        <v/>
      </c>
      <c r="L424" s="37">
        <f>IF(A424="","",CHOOSE(WEEKDAY(A424,2),"Montag","Dienstag","Mittwoch","Donnerstag","Freitag","Samstag","Sonntag"))</f>
        <v/>
      </c>
      <c r="M424" s="37">
        <f>IF(A424="","",_xlfn.ISOWEEKNUM(A424))</f>
        <v/>
      </c>
      <c r="N424" s="38">
        <f>IF(A424="","",DATE(YEAR(A424),MONTH(A424),1))</f>
        <v/>
      </c>
    </row>
    <row r="425">
      <c r="A425" s="31" t="n"/>
      <c r="B425" s="32" t="n"/>
      <c r="C425" s="32" t="n"/>
      <c r="D425" s="33" t="n"/>
      <c r="E425" s="34" t="n"/>
      <c r="F425" s="35" t="n"/>
      <c r="G425" s="35" t="n"/>
      <c r="H425" s="32" t="n"/>
      <c r="I425" s="32" t="n"/>
      <c r="J425" s="32" t="n"/>
      <c r="K425" s="36">
        <f>IF(E425&lt;&gt;"",E425,IF(AND(F425&lt;&gt;"",G425&lt;&gt;""),MOD(G425-F425,1)*24,""))</f>
        <v/>
      </c>
      <c r="L425" s="37">
        <f>IF(A425="","",CHOOSE(WEEKDAY(A425,2),"Montag","Dienstag","Mittwoch","Donnerstag","Freitag","Samstag","Sonntag"))</f>
        <v/>
      </c>
      <c r="M425" s="37">
        <f>IF(A425="","",_xlfn.ISOWEEKNUM(A425))</f>
        <v/>
      </c>
      <c r="N425" s="38">
        <f>IF(A425="","",DATE(YEAR(A425),MONTH(A425),1))</f>
        <v/>
      </c>
    </row>
    <row r="426">
      <c r="A426" s="31" t="n"/>
      <c r="B426" s="32" t="n"/>
      <c r="C426" s="32" t="n"/>
      <c r="D426" s="33" t="n"/>
      <c r="E426" s="34" t="n"/>
      <c r="F426" s="35" t="n"/>
      <c r="G426" s="35" t="n"/>
      <c r="H426" s="32" t="n"/>
      <c r="I426" s="32" t="n"/>
      <c r="J426" s="32" t="n"/>
      <c r="K426" s="36">
        <f>IF(E426&lt;&gt;"",E426,IF(AND(F426&lt;&gt;"",G426&lt;&gt;""),MOD(G426-F426,1)*24,""))</f>
        <v/>
      </c>
      <c r="L426" s="37">
        <f>IF(A426="","",CHOOSE(WEEKDAY(A426,2),"Montag","Dienstag","Mittwoch","Donnerstag","Freitag","Samstag","Sonntag"))</f>
        <v/>
      </c>
      <c r="M426" s="37">
        <f>IF(A426="","",_xlfn.ISOWEEKNUM(A426))</f>
        <v/>
      </c>
      <c r="N426" s="38">
        <f>IF(A426="","",DATE(YEAR(A426),MONTH(A426),1))</f>
        <v/>
      </c>
    </row>
    <row r="427">
      <c r="A427" s="31" t="n"/>
      <c r="B427" s="32" t="n"/>
      <c r="C427" s="32" t="n"/>
      <c r="D427" s="33" t="n"/>
      <c r="E427" s="34" t="n"/>
      <c r="F427" s="35" t="n"/>
      <c r="G427" s="35" t="n"/>
      <c r="H427" s="32" t="n"/>
      <c r="I427" s="32" t="n"/>
      <c r="J427" s="32" t="n"/>
      <c r="K427" s="36">
        <f>IF(E427&lt;&gt;"",E427,IF(AND(F427&lt;&gt;"",G427&lt;&gt;""),MOD(G427-F427,1)*24,""))</f>
        <v/>
      </c>
      <c r="L427" s="37">
        <f>IF(A427="","",CHOOSE(WEEKDAY(A427,2),"Montag","Dienstag","Mittwoch","Donnerstag","Freitag","Samstag","Sonntag"))</f>
        <v/>
      </c>
      <c r="M427" s="37">
        <f>IF(A427="","",_xlfn.ISOWEEKNUM(A427))</f>
        <v/>
      </c>
      <c r="N427" s="38">
        <f>IF(A427="","",DATE(YEAR(A427),MONTH(A427),1))</f>
        <v/>
      </c>
    </row>
    <row r="428">
      <c r="A428" s="31" t="n"/>
      <c r="B428" s="32" t="n"/>
      <c r="C428" s="32" t="n"/>
      <c r="D428" s="33" t="n"/>
      <c r="E428" s="34" t="n"/>
      <c r="F428" s="35" t="n"/>
      <c r="G428" s="35" t="n"/>
      <c r="H428" s="32" t="n"/>
      <c r="I428" s="32" t="n"/>
      <c r="J428" s="32" t="n"/>
      <c r="K428" s="36">
        <f>IF(E428&lt;&gt;"",E428,IF(AND(F428&lt;&gt;"",G428&lt;&gt;""),MOD(G428-F428,1)*24,""))</f>
        <v/>
      </c>
      <c r="L428" s="37">
        <f>IF(A428="","",CHOOSE(WEEKDAY(A428,2),"Montag","Dienstag","Mittwoch","Donnerstag","Freitag","Samstag","Sonntag"))</f>
        <v/>
      </c>
      <c r="M428" s="37">
        <f>IF(A428="","",_xlfn.ISOWEEKNUM(A428))</f>
        <v/>
      </c>
      <c r="N428" s="38">
        <f>IF(A428="","",DATE(YEAR(A428),MONTH(A428),1))</f>
        <v/>
      </c>
    </row>
    <row r="429">
      <c r="A429" s="31" t="n"/>
      <c r="B429" s="32" t="n"/>
      <c r="C429" s="32" t="n"/>
      <c r="D429" s="33" t="n"/>
      <c r="E429" s="34" t="n"/>
      <c r="F429" s="35" t="n"/>
      <c r="G429" s="35" t="n"/>
      <c r="H429" s="32" t="n"/>
      <c r="I429" s="32" t="n"/>
      <c r="J429" s="32" t="n"/>
      <c r="K429" s="36">
        <f>IF(E429&lt;&gt;"",E429,IF(AND(F429&lt;&gt;"",G429&lt;&gt;""),MOD(G429-F429,1)*24,""))</f>
        <v/>
      </c>
      <c r="L429" s="37">
        <f>IF(A429="","",CHOOSE(WEEKDAY(A429,2),"Montag","Dienstag","Mittwoch","Donnerstag","Freitag","Samstag","Sonntag"))</f>
        <v/>
      </c>
      <c r="M429" s="37">
        <f>IF(A429="","",_xlfn.ISOWEEKNUM(A429))</f>
        <v/>
      </c>
      <c r="N429" s="38">
        <f>IF(A429="","",DATE(YEAR(A429),MONTH(A429),1))</f>
        <v/>
      </c>
    </row>
    <row r="430">
      <c r="A430" s="31" t="n"/>
      <c r="B430" s="32" t="n"/>
      <c r="C430" s="32" t="n"/>
      <c r="D430" s="33" t="n"/>
      <c r="E430" s="34" t="n"/>
      <c r="F430" s="35" t="n"/>
      <c r="G430" s="35" t="n"/>
      <c r="H430" s="32" t="n"/>
      <c r="I430" s="32" t="n"/>
      <c r="J430" s="32" t="n"/>
      <c r="K430" s="36">
        <f>IF(E430&lt;&gt;"",E430,IF(AND(F430&lt;&gt;"",G430&lt;&gt;""),MOD(G430-F430,1)*24,""))</f>
        <v/>
      </c>
      <c r="L430" s="37">
        <f>IF(A430="","",CHOOSE(WEEKDAY(A430,2),"Montag","Dienstag","Mittwoch","Donnerstag","Freitag","Samstag","Sonntag"))</f>
        <v/>
      </c>
      <c r="M430" s="37">
        <f>IF(A430="","",_xlfn.ISOWEEKNUM(A430))</f>
        <v/>
      </c>
      <c r="N430" s="38">
        <f>IF(A430="","",DATE(YEAR(A430),MONTH(A430),1))</f>
        <v/>
      </c>
    </row>
    <row r="431">
      <c r="A431" s="31" t="n"/>
      <c r="B431" s="32" t="n"/>
      <c r="C431" s="32" t="n"/>
      <c r="D431" s="33" t="n"/>
      <c r="E431" s="34" t="n"/>
      <c r="F431" s="35" t="n"/>
      <c r="G431" s="35" t="n"/>
      <c r="H431" s="32" t="n"/>
      <c r="I431" s="32" t="n"/>
      <c r="J431" s="32" t="n"/>
      <c r="K431" s="36">
        <f>IF(E431&lt;&gt;"",E431,IF(AND(F431&lt;&gt;"",G431&lt;&gt;""),MOD(G431-F431,1)*24,""))</f>
        <v/>
      </c>
      <c r="L431" s="37">
        <f>IF(A431="","",CHOOSE(WEEKDAY(A431,2),"Montag","Dienstag","Mittwoch","Donnerstag","Freitag","Samstag","Sonntag"))</f>
        <v/>
      </c>
      <c r="M431" s="37">
        <f>IF(A431="","",_xlfn.ISOWEEKNUM(A431))</f>
        <v/>
      </c>
      <c r="N431" s="38">
        <f>IF(A431="","",DATE(YEAR(A431),MONTH(A431),1))</f>
        <v/>
      </c>
    </row>
    <row r="432">
      <c r="A432" s="31" t="n"/>
      <c r="B432" s="32" t="n"/>
      <c r="C432" s="32" t="n"/>
      <c r="D432" s="33" t="n"/>
      <c r="E432" s="34" t="n"/>
      <c r="F432" s="35" t="n"/>
      <c r="G432" s="35" t="n"/>
      <c r="H432" s="32" t="n"/>
      <c r="I432" s="32" t="n"/>
      <c r="J432" s="32" t="n"/>
      <c r="K432" s="36">
        <f>IF(E432&lt;&gt;"",E432,IF(AND(F432&lt;&gt;"",G432&lt;&gt;""),MOD(G432-F432,1)*24,""))</f>
        <v/>
      </c>
      <c r="L432" s="37">
        <f>IF(A432="","",CHOOSE(WEEKDAY(A432,2),"Montag","Dienstag","Mittwoch","Donnerstag","Freitag","Samstag","Sonntag"))</f>
        <v/>
      </c>
      <c r="M432" s="37">
        <f>IF(A432="","",_xlfn.ISOWEEKNUM(A432))</f>
        <v/>
      </c>
      <c r="N432" s="38">
        <f>IF(A432="","",DATE(YEAR(A432),MONTH(A432),1))</f>
        <v/>
      </c>
    </row>
    <row r="433">
      <c r="A433" s="31" t="n"/>
      <c r="B433" s="32" t="n"/>
      <c r="C433" s="32" t="n"/>
      <c r="D433" s="33" t="n"/>
      <c r="E433" s="34" t="n"/>
      <c r="F433" s="35" t="n"/>
      <c r="G433" s="35" t="n"/>
      <c r="H433" s="32" t="n"/>
      <c r="I433" s="32" t="n"/>
      <c r="J433" s="32" t="n"/>
      <c r="K433" s="36">
        <f>IF(E433&lt;&gt;"",E433,IF(AND(F433&lt;&gt;"",G433&lt;&gt;""),MOD(G433-F433,1)*24,""))</f>
        <v/>
      </c>
      <c r="L433" s="37">
        <f>IF(A433="","",CHOOSE(WEEKDAY(A433,2),"Montag","Dienstag","Mittwoch","Donnerstag","Freitag","Samstag","Sonntag"))</f>
        <v/>
      </c>
      <c r="M433" s="37">
        <f>IF(A433="","",_xlfn.ISOWEEKNUM(A433))</f>
        <v/>
      </c>
      <c r="N433" s="38">
        <f>IF(A433="","",DATE(YEAR(A433),MONTH(A433),1))</f>
        <v/>
      </c>
    </row>
    <row r="434">
      <c r="A434" s="31" t="n"/>
      <c r="B434" s="32" t="n"/>
      <c r="C434" s="32" t="n"/>
      <c r="D434" s="33" t="n"/>
      <c r="E434" s="34" t="n"/>
      <c r="F434" s="35" t="n"/>
      <c r="G434" s="35" t="n"/>
      <c r="H434" s="32" t="n"/>
      <c r="I434" s="32" t="n"/>
      <c r="J434" s="32" t="n"/>
      <c r="K434" s="36">
        <f>IF(E434&lt;&gt;"",E434,IF(AND(F434&lt;&gt;"",G434&lt;&gt;""),MOD(G434-F434,1)*24,""))</f>
        <v/>
      </c>
      <c r="L434" s="37">
        <f>IF(A434="","",CHOOSE(WEEKDAY(A434,2),"Montag","Dienstag","Mittwoch","Donnerstag","Freitag","Samstag","Sonntag"))</f>
        <v/>
      </c>
      <c r="M434" s="37">
        <f>IF(A434="","",_xlfn.ISOWEEKNUM(A434))</f>
        <v/>
      </c>
      <c r="N434" s="38">
        <f>IF(A434="","",DATE(YEAR(A434),MONTH(A434),1))</f>
        <v/>
      </c>
    </row>
    <row r="435">
      <c r="A435" s="31" t="n"/>
      <c r="B435" s="32" t="n"/>
      <c r="C435" s="32" t="n"/>
      <c r="D435" s="33" t="n"/>
      <c r="E435" s="34" t="n"/>
      <c r="F435" s="35" t="n"/>
      <c r="G435" s="35" t="n"/>
      <c r="H435" s="32" t="n"/>
      <c r="I435" s="32" t="n"/>
      <c r="J435" s="32" t="n"/>
      <c r="K435" s="36">
        <f>IF(E435&lt;&gt;"",E435,IF(AND(F435&lt;&gt;"",G435&lt;&gt;""),MOD(G435-F435,1)*24,""))</f>
        <v/>
      </c>
      <c r="L435" s="37">
        <f>IF(A435="","",CHOOSE(WEEKDAY(A435,2),"Montag","Dienstag","Mittwoch","Donnerstag","Freitag","Samstag","Sonntag"))</f>
        <v/>
      </c>
      <c r="M435" s="37">
        <f>IF(A435="","",_xlfn.ISOWEEKNUM(A435))</f>
        <v/>
      </c>
      <c r="N435" s="38">
        <f>IF(A435="","",DATE(YEAR(A435),MONTH(A435),1))</f>
        <v/>
      </c>
    </row>
    <row r="436">
      <c r="A436" s="31" t="n"/>
      <c r="B436" s="32" t="n"/>
      <c r="C436" s="32" t="n"/>
      <c r="D436" s="33" t="n"/>
      <c r="E436" s="34" t="n"/>
      <c r="F436" s="35" t="n"/>
      <c r="G436" s="35" t="n"/>
      <c r="H436" s="32" t="n"/>
      <c r="I436" s="32" t="n"/>
      <c r="J436" s="32" t="n"/>
      <c r="K436" s="36">
        <f>IF(E436&lt;&gt;"",E436,IF(AND(F436&lt;&gt;"",G436&lt;&gt;""),MOD(G436-F436,1)*24,""))</f>
        <v/>
      </c>
      <c r="L436" s="37">
        <f>IF(A436="","",CHOOSE(WEEKDAY(A436,2),"Montag","Dienstag","Mittwoch","Donnerstag","Freitag","Samstag","Sonntag"))</f>
        <v/>
      </c>
      <c r="M436" s="37">
        <f>IF(A436="","",_xlfn.ISOWEEKNUM(A436))</f>
        <v/>
      </c>
      <c r="N436" s="38">
        <f>IF(A436="","",DATE(YEAR(A436),MONTH(A436),1))</f>
        <v/>
      </c>
    </row>
    <row r="437">
      <c r="A437" s="31" t="n"/>
      <c r="B437" s="32" t="n"/>
      <c r="C437" s="32" t="n"/>
      <c r="D437" s="33" t="n"/>
      <c r="E437" s="34" t="n"/>
      <c r="F437" s="35" t="n"/>
      <c r="G437" s="35" t="n"/>
      <c r="H437" s="32" t="n"/>
      <c r="I437" s="32" t="n"/>
      <c r="J437" s="32" t="n"/>
      <c r="K437" s="36">
        <f>IF(E437&lt;&gt;"",E437,IF(AND(F437&lt;&gt;"",G437&lt;&gt;""),MOD(G437-F437,1)*24,""))</f>
        <v/>
      </c>
      <c r="L437" s="37">
        <f>IF(A437="","",CHOOSE(WEEKDAY(A437,2),"Montag","Dienstag","Mittwoch","Donnerstag","Freitag","Samstag","Sonntag"))</f>
        <v/>
      </c>
      <c r="M437" s="37">
        <f>IF(A437="","",_xlfn.ISOWEEKNUM(A437))</f>
        <v/>
      </c>
      <c r="N437" s="38">
        <f>IF(A437="","",DATE(YEAR(A437),MONTH(A437),1))</f>
        <v/>
      </c>
    </row>
    <row r="438">
      <c r="A438" s="31" t="n"/>
      <c r="B438" s="32" t="n"/>
      <c r="C438" s="32" t="n"/>
      <c r="D438" s="33" t="n"/>
      <c r="E438" s="34" t="n"/>
      <c r="F438" s="35" t="n"/>
      <c r="G438" s="35" t="n"/>
      <c r="H438" s="32" t="n"/>
      <c r="I438" s="32" t="n"/>
      <c r="J438" s="32" t="n"/>
      <c r="K438" s="36">
        <f>IF(E438&lt;&gt;"",E438,IF(AND(F438&lt;&gt;"",G438&lt;&gt;""),MOD(G438-F438,1)*24,""))</f>
        <v/>
      </c>
      <c r="L438" s="37">
        <f>IF(A438="","",CHOOSE(WEEKDAY(A438,2),"Montag","Dienstag","Mittwoch","Donnerstag","Freitag","Samstag","Sonntag"))</f>
        <v/>
      </c>
      <c r="M438" s="37">
        <f>IF(A438="","",_xlfn.ISOWEEKNUM(A438))</f>
        <v/>
      </c>
      <c r="N438" s="38">
        <f>IF(A438="","",DATE(YEAR(A438),MONTH(A438),1))</f>
        <v/>
      </c>
    </row>
    <row r="439">
      <c r="A439" s="31" t="n"/>
      <c r="B439" s="32" t="n"/>
      <c r="C439" s="32" t="n"/>
      <c r="D439" s="33" t="n"/>
      <c r="E439" s="34" t="n"/>
      <c r="F439" s="35" t="n"/>
      <c r="G439" s="35" t="n"/>
      <c r="H439" s="32" t="n"/>
      <c r="I439" s="32" t="n"/>
      <c r="J439" s="32" t="n"/>
      <c r="K439" s="36">
        <f>IF(E439&lt;&gt;"",E439,IF(AND(F439&lt;&gt;"",G439&lt;&gt;""),MOD(G439-F439,1)*24,""))</f>
        <v/>
      </c>
      <c r="L439" s="37">
        <f>IF(A439="","",CHOOSE(WEEKDAY(A439,2),"Montag","Dienstag","Mittwoch","Donnerstag","Freitag","Samstag","Sonntag"))</f>
        <v/>
      </c>
      <c r="M439" s="37">
        <f>IF(A439="","",_xlfn.ISOWEEKNUM(A439))</f>
        <v/>
      </c>
      <c r="N439" s="38">
        <f>IF(A439="","",DATE(YEAR(A439),MONTH(A439),1))</f>
        <v/>
      </c>
    </row>
    <row r="440">
      <c r="A440" s="31" t="n"/>
      <c r="B440" s="32" t="n"/>
      <c r="C440" s="32" t="n"/>
      <c r="D440" s="33" t="n"/>
      <c r="E440" s="34" t="n"/>
      <c r="F440" s="35" t="n"/>
      <c r="G440" s="35" t="n"/>
      <c r="H440" s="32" t="n"/>
      <c r="I440" s="32" t="n"/>
      <c r="J440" s="32" t="n"/>
      <c r="K440" s="36">
        <f>IF(E440&lt;&gt;"",E440,IF(AND(F440&lt;&gt;"",G440&lt;&gt;""),MOD(G440-F440,1)*24,""))</f>
        <v/>
      </c>
      <c r="L440" s="37">
        <f>IF(A440="","",CHOOSE(WEEKDAY(A440,2),"Montag","Dienstag","Mittwoch","Donnerstag","Freitag","Samstag","Sonntag"))</f>
        <v/>
      </c>
      <c r="M440" s="37">
        <f>IF(A440="","",_xlfn.ISOWEEKNUM(A440))</f>
        <v/>
      </c>
      <c r="N440" s="38">
        <f>IF(A440="","",DATE(YEAR(A440),MONTH(A440),1))</f>
        <v/>
      </c>
    </row>
    <row r="441">
      <c r="A441" s="31" t="n"/>
      <c r="B441" s="32" t="n"/>
      <c r="C441" s="32" t="n"/>
      <c r="D441" s="33" t="n"/>
      <c r="E441" s="34" t="n"/>
      <c r="F441" s="35" t="n"/>
      <c r="G441" s="35" t="n"/>
      <c r="H441" s="32" t="n"/>
      <c r="I441" s="32" t="n"/>
      <c r="J441" s="32" t="n"/>
      <c r="K441" s="36">
        <f>IF(E441&lt;&gt;"",E441,IF(AND(F441&lt;&gt;"",G441&lt;&gt;""),MOD(G441-F441,1)*24,""))</f>
        <v/>
      </c>
      <c r="L441" s="37">
        <f>IF(A441="","",CHOOSE(WEEKDAY(A441,2),"Montag","Dienstag","Mittwoch","Donnerstag","Freitag","Samstag","Sonntag"))</f>
        <v/>
      </c>
      <c r="M441" s="37">
        <f>IF(A441="","",_xlfn.ISOWEEKNUM(A441))</f>
        <v/>
      </c>
      <c r="N441" s="38">
        <f>IF(A441="","",DATE(YEAR(A441),MONTH(A441),1))</f>
        <v/>
      </c>
    </row>
    <row r="442">
      <c r="A442" s="31" t="n"/>
      <c r="B442" s="32" t="n"/>
      <c r="C442" s="32" t="n"/>
      <c r="D442" s="33" t="n"/>
      <c r="E442" s="34" t="n"/>
      <c r="F442" s="35" t="n"/>
      <c r="G442" s="35" t="n"/>
      <c r="H442" s="32" t="n"/>
      <c r="I442" s="32" t="n"/>
      <c r="J442" s="32" t="n"/>
      <c r="K442" s="36">
        <f>IF(E442&lt;&gt;"",E442,IF(AND(F442&lt;&gt;"",G442&lt;&gt;""),MOD(G442-F442,1)*24,""))</f>
        <v/>
      </c>
      <c r="L442" s="37">
        <f>IF(A442="","",CHOOSE(WEEKDAY(A442,2),"Montag","Dienstag","Mittwoch","Donnerstag","Freitag","Samstag","Sonntag"))</f>
        <v/>
      </c>
      <c r="M442" s="37">
        <f>IF(A442="","",_xlfn.ISOWEEKNUM(A442))</f>
        <v/>
      </c>
      <c r="N442" s="38">
        <f>IF(A442="","",DATE(YEAR(A442),MONTH(A442),1))</f>
        <v/>
      </c>
    </row>
    <row r="443">
      <c r="A443" s="31" t="n"/>
      <c r="B443" s="32" t="n"/>
      <c r="C443" s="32" t="n"/>
      <c r="D443" s="33" t="n"/>
      <c r="E443" s="34" t="n"/>
      <c r="F443" s="35" t="n"/>
      <c r="G443" s="35" t="n"/>
      <c r="H443" s="32" t="n"/>
      <c r="I443" s="32" t="n"/>
      <c r="J443" s="32" t="n"/>
      <c r="K443" s="36">
        <f>IF(E443&lt;&gt;"",E443,IF(AND(F443&lt;&gt;"",G443&lt;&gt;""),MOD(G443-F443,1)*24,""))</f>
        <v/>
      </c>
      <c r="L443" s="37">
        <f>IF(A443="","",CHOOSE(WEEKDAY(A443,2),"Montag","Dienstag","Mittwoch","Donnerstag","Freitag","Samstag","Sonntag"))</f>
        <v/>
      </c>
      <c r="M443" s="37">
        <f>IF(A443="","",_xlfn.ISOWEEKNUM(A443))</f>
        <v/>
      </c>
      <c r="N443" s="38">
        <f>IF(A443="","",DATE(YEAR(A443),MONTH(A443),1))</f>
        <v/>
      </c>
    </row>
    <row r="444">
      <c r="A444" s="31" t="n"/>
      <c r="B444" s="32" t="n"/>
      <c r="C444" s="32" t="n"/>
      <c r="D444" s="33" t="n"/>
      <c r="E444" s="34" t="n"/>
      <c r="F444" s="35" t="n"/>
      <c r="G444" s="35" t="n"/>
      <c r="H444" s="32" t="n"/>
      <c r="I444" s="32" t="n"/>
      <c r="J444" s="32" t="n"/>
      <c r="K444" s="36">
        <f>IF(E444&lt;&gt;"",E444,IF(AND(F444&lt;&gt;"",G444&lt;&gt;""),MOD(G444-F444,1)*24,""))</f>
        <v/>
      </c>
      <c r="L444" s="37">
        <f>IF(A444="","",CHOOSE(WEEKDAY(A444,2),"Montag","Dienstag","Mittwoch","Donnerstag","Freitag","Samstag","Sonntag"))</f>
        <v/>
      </c>
      <c r="M444" s="37">
        <f>IF(A444="","",_xlfn.ISOWEEKNUM(A444))</f>
        <v/>
      </c>
      <c r="N444" s="38">
        <f>IF(A444="","",DATE(YEAR(A444),MONTH(A444),1))</f>
        <v/>
      </c>
    </row>
    <row r="445">
      <c r="A445" s="31" t="n"/>
      <c r="B445" s="32" t="n"/>
      <c r="C445" s="32" t="n"/>
      <c r="D445" s="33" t="n"/>
      <c r="E445" s="34" t="n"/>
      <c r="F445" s="35" t="n"/>
      <c r="G445" s="35" t="n"/>
      <c r="H445" s="32" t="n"/>
      <c r="I445" s="32" t="n"/>
      <c r="J445" s="32" t="n"/>
      <c r="K445" s="36">
        <f>IF(E445&lt;&gt;"",E445,IF(AND(F445&lt;&gt;"",G445&lt;&gt;""),MOD(G445-F445,1)*24,""))</f>
        <v/>
      </c>
      <c r="L445" s="37">
        <f>IF(A445="","",CHOOSE(WEEKDAY(A445,2),"Montag","Dienstag","Mittwoch","Donnerstag","Freitag","Samstag","Sonntag"))</f>
        <v/>
      </c>
      <c r="M445" s="37">
        <f>IF(A445="","",_xlfn.ISOWEEKNUM(A445))</f>
        <v/>
      </c>
      <c r="N445" s="38">
        <f>IF(A445="","",DATE(YEAR(A445),MONTH(A445),1))</f>
        <v/>
      </c>
    </row>
    <row r="446">
      <c r="A446" s="31" t="n"/>
      <c r="B446" s="32" t="n"/>
      <c r="C446" s="32" t="n"/>
      <c r="D446" s="33" t="n"/>
      <c r="E446" s="34" t="n"/>
      <c r="F446" s="35" t="n"/>
      <c r="G446" s="35" t="n"/>
      <c r="H446" s="32" t="n"/>
      <c r="I446" s="32" t="n"/>
      <c r="J446" s="32" t="n"/>
      <c r="K446" s="36">
        <f>IF(E446&lt;&gt;"",E446,IF(AND(F446&lt;&gt;"",G446&lt;&gt;""),MOD(G446-F446,1)*24,""))</f>
        <v/>
      </c>
      <c r="L446" s="37">
        <f>IF(A446="","",CHOOSE(WEEKDAY(A446,2),"Montag","Dienstag","Mittwoch","Donnerstag","Freitag","Samstag","Sonntag"))</f>
        <v/>
      </c>
      <c r="M446" s="37">
        <f>IF(A446="","",_xlfn.ISOWEEKNUM(A446))</f>
        <v/>
      </c>
      <c r="N446" s="38">
        <f>IF(A446="","",DATE(YEAR(A446),MONTH(A446),1))</f>
        <v/>
      </c>
    </row>
    <row r="447">
      <c r="A447" s="31" t="n"/>
      <c r="B447" s="32" t="n"/>
      <c r="C447" s="32" t="n"/>
      <c r="D447" s="33" t="n"/>
      <c r="E447" s="34" t="n"/>
      <c r="F447" s="35" t="n"/>
      <c r="G447" s="35" t="n"/>
      <c r="H447" s="32" t="n"/>
      <c r="I447" s="32" t="n"/>
      <c r="J447" s="32" t="n"/>
      <c r="K447" s="36">
        <f>IF(E447&lt;&gt;"",E447,IF(AND(F447&lt;&gt;"",G447&lt;&gt;""),MOD(G447-F447,1)*24,""))</f>
        <v/>
      </c>
      <c r="L447" s="37">
        <f>IF(A447="","",CHOOSE(WEEKDAY(A447,2),"Montag","Dienstag","Mittwoch","Donnerstag","Freitag","Samstag","Sonntag"))</f>
        <v/>
      </c>
      <c r="M447" s="37">
        <f>IF(A447="","",_xlfn.ISOWEEKNUM(A447))</f>
        <v/>
      </c>
      <c r="N447" s="38">
        <f>IF(A447="","",DATE(YEAR(A447),MONTH(A447),1))</f>
        <v/>
      </c>
    </row>
    <row r="448">
      <c r="A448" s="31" t="n"/>
      <c r="B448" s="32" t="n"/>
      <c r="C448" s="32" t="n"/>
      <c r="D448" s="33" t="n"/>
      <c r="E448" s="34" t="n"/>
      <c r="F448" s="35" t="n"/>
      <c r="G448" s="35" t="n"/>
      <c r="H448" s="32" t="n"/>
      <c r="I448" s="32" t="n"/>
      <c r="J448" s="32" t="n"/>
      <c r="K448" s="36">
        <f>IF(E448&lt;&gt;"",E448,IF(AND(F448&lt;&gt;"",G448&lt;&gt;""),MOD(G448-F448,1)*24,""))</f>
        <v/>
      </c>
      <c r="L448" s="37">
        <f>IF(A448="","",CHOOSE(WEEKDAY(A448,2),"Montag","Dienstag","Mittwoch","Donnerstag","Freitag","Samstag","Sonntag"))</f>
        <v/>
      </c>
      <c r="M448" s="37">
        <f>IF(A448="","",_xlfn.ISOWEEKNUM(A448))</f>
        <v/>
      </c>
      <c r="N448" s="38">
        <f>IF(A448="","",DATE(YEAR(A448),MONTH(A448),1))</f>
        <v/>
      </c>
    </row>
    <row r="449">
      <c r="A449" s="31" t="n"/>
      <c r="B449" s="32" t="n"/>
      <c r="C449" s="32" t="n"/>
      <c r="D449" s="33" t="n"/>
      <c r="E449" s="34" t="n"/>
      <c r="F449" s="35" t="n"/>
      <c r="G449" s="35" t="n"/>
      <c r="H449" s="32" t="n"/>
      <c r="I449" s="32" t="n"/>
      <c r="J449" s="32" t="n"/>
      <c r="K449" s="36">
        <f>IF(E449&lt;&gt;"",E449,IF(AND(F449&lt;&gt;"",G449&lt;&gt;""),MOD(G449-F449,1)*24,""))</f>
        <v/>
      </c>
      <c r="L449" s="37">
        <f>IF(A449="","",CHOOSE(WEEKDAY(A449,2),"Montag","Dienstag","Mittwoch","Donnerstag","Freitag","Samstag","Sonntag"))</f>
        <v/>
      </c>
      <c r="M449" s="37">
        <f>IF(A449="","",_xlfn.ISOWEEKNUM(A449))</f>
        <v/>
      </c>
      <c r="N449" s="38">
        <f>IF(A449="","",DATE(YEAR(A449),MONTH(A449),1))</f>
        <v/>
      </c>
    </row>
    <row r="450">
      <c r="A450" s="31" t="n"/>
      <c r="B450" s="32" t="n"/>
      <c r="C450" s="32" t="n"/>
      <c r="D450" s="33" t="n"/>
      <c r="E450" s="34" t="n"/>
      <c r="F450" s="35" t="n"/>
      <c r="G450" s="35" t="n"/>
      <c r="H450" s="32" t="n"/>
      <c r="I450" s="32" t="n"/>
      <c r="J450" s="32" t="n"/>
      <c r="K450" s="36">
        <f>IF(E450&lt;&gt;"",E450,IF(AND(F450&lt;&gt;"",G450&lt;&gt;""),MOD(G450-F450,1)*24,""))</f>
        <v/>
      </c>
      <c r="L450" s="37">
        <f>IF(A450="","",CHOOSE(WEEKDAY(A450,2),"Montag","Dienstag","Mittwoch","Donnerstag","Freitag","Samstag","Sonntag"))</f>
        <v/>
      </c>
      <c r="M450" s="37">
        <f>IF(A450="","",_xlfn.ISOWEEKNUM(A450))</f>
        <v/>
      </c>
      <c r="N450" s="38">
        <f>IF(A450="","",DATE(YEAR(A450),MONTH(A450),1))</f>
        <v/>
      </c>
    </row>
    <row r="451">
      <c r="A451" s="31" t="n"/>
      <c r="B451" s="32" t="n"/>
      <c r="C451" s="32" t="n"/>
      <c r="D451" s="33" t="n"/>
      <c r="E451" s="34" t="n"/>
      <c r="F451" s="35" t="n"/>
      <c r="G451" s="35" t="n"/>
      <c r="H451" s="32" t="n"/>
      <c r="I451" s="32" t="n"/>
      <c r="J451" s="32" t="n"/>
      <c r="K451" s="36">
        <f>IF(E451&lt;&gt;"",E451,IF(AND(F451&lt;&gt;"",G451&lt;&gt;""),MOD(G451-F451,1)*24,""))</f>
        <v/>
      </c>
      <c r="L451" s="37">
        <f>IF(A451="","",CHOOSE(WEEKDAY(A451,2),"Montag","Dienstag","Mittwoch","Donnerstag","Freitag","Samstag","Sonntag"))</f>
        <v/>
      </c>
      <c r="M451" s="37">
        <f>IF(A451="","",_xlfn.ISOWEEKNUM(A451))</f>
        <v/>
      </c>
      <c r="N451" s="38">
        <f>IF(A451="","",DATE(YEAR(A451),MONTH(A451),1))</f>
        <v/>
      </c>
    </row>
    <row r="452">
      <c r="A452" s="31" t="n"/>
      <c r="B452" s="32" t="n"/>
      <c r="C452" s="32" t="n"/>
      <c r="D452" s="33" t="n"/>
      <c r="E452" s="34" t="n"/>
      <c r="F452" s="35" t="n"/>
      <c r="G452" s="35" t="n"/>
      <c r="H452" s="32" t="n"/>
      <c r="I452" s="32" t="n"/>
      <c r="J452" s="32" t="n"/>
      <c r="K452" s="36">
        <f>IF(E452&lt;&gt;"",E452,IF(AND(F452&lt;&gt;"",G452&lt;&gt;""),MOD(G452-F452,1)*24,""))</f>
        <v/>
      </c>
      <c r="L452" s="37">
        <f>IF(A452="","",CHOOSE(WEEKDAY(A452,2),"Montag","Dienstag","Mittwoch","Donnerstag","Freitag","Samstag","Sonntag"))</f>
        <v/>
      </c>
      <c r="M452" s="37">
        <f>IF(A452="","",_xlfn.ISOWEEKNUM(A452))</f>
        <v/>
      </c>
      <c r="N452" s="38">
        <f>IF(A452="","",DATE(YEAR(A452),MONTH(A452),1))</f>
        <v/>
      </c>
    </row>
    <row r="453">
      <c r="A453" s="31" t="n"/>
      <c r="B453" s="32" t="n"/>
      <c r="C453" s="32" t="n"/>
      <c r="D453" s="33" t="n"/>
      <c r="E453" s="34" t="n"/>
      <c r="F453" s="35" t="n"/>
      <c r="G453" s="35" t="n"/>
      <c r="H453" s="32" t="n"/>
      <c r="I453" s="32" t="n"/>
      <c r="J453" s="32" t="n"/>
      <c r="K453" s="36">
        <f>IF(E453&lt;&gt;"",E453,IF(AND(F453&lt;&gt;"",G453&lt;&gt;""),MOD(G453-F453,1)*24,""))</f>
        <v/>
      </c>
      <c r="L453" s="37">
        <f>IF(A453="","",CHOOSE(WEEKDAY(A453,2),"Montag","Dienstag","Mittwoch","Donnerstag","Freitag","Samstag","Sonntag"))</f>
        <v/>
      </c>
      <c r="M453" s="37">
        <f>IF(A453="","",_xlfn.ISOWEEKNUM(A453))</f>
        <v/>
      </c>
      <c r="N453" s="38">
        <f>IF(A453="","",DATE(YEAR(A453),MONTH(A453),1))</f>
        <v/>
      </c>
    </row>
    <row r="454">
      <c r="A454" s="31" t="n"/>
      <c r="B454" s="32" t="n"/>
      <c r="C454" s="32" t="n"/>
      <c r="D454" s="33" t="n"/>
      <c r="E454" s="34" t="n"/>
      <c r="F454" s="35" t="n"/>
      <c r="G454" s="35" t="n"/>
      <c r="H454" s="32" t="n"/>
      <c r="I454" s="32" t="n"/>
      <c r="J454" s="32" t="n"/>
      <c r="K454" s="36">
        <f>IF(E454&lt;&gt;"",E454,IF(AND(F454&lt;&gt;"",G454&lt;&gt;""),MOD(G454-F454,1)*24,""))</f>
        <v/>
      </c>
      <c r="L454" s="37">
        <f>IF(A454="","",CHOOSE(WEEKDAY(A454,2),"Montag","Dienstag","Mittwoch","Donnerstag","Freitag","Samstag","Sonntag"))</f>
        <v/>
      </c>
      <c r="M454" s="37">
        <f>IF(A454="","",_xlfn.ISOWEEKNUM(A454))</f>
        <v/>
      </c>
      <c r="N454" s="38">
        <f>IF(A454="","",DATE(YEAR(A454),MONTH(A454),1))</f>
        <v/>
      </c>
    </row>
    <row r="455">
      <c r="A455" s="31" t="n"/>
      <c r="B455" s="32" t="n"/>
      <c r="C455" s="32" t="n"/>
      <c r="D455" s="33" t="n"/>
      <c r="E455" s="34" t="n"/>
      <c r="F455" s="35" t="n"/>
      <c r="G455" s="35" t="n"/>
      <c r="H455" s="32" t="n"/>
      <c r="I455" s="32" t="n"/>
      <c r="J455" s="32" t="n"/>
      <c r="K455" s="36">
        <f>IF(E455&lt;&gt;"",E455,IF(AND(F455&lt;&gt;"",G455&lt;&gt;""),MOD(G455-F455,1)*24,""))</f>
        <v/>
      </c>
      <c r="L455" s="37">
        <f>IF(A455="","",CHOOSE(WEEKDAY(A455,2),"Montag","Dienstag","Mittwoch","Donnerstag","Freitag","Samstag","Sonntag"))</f>
        <v/>
      </c>
      <c r="M455" s="37">
        <f>IF(A455="","",_xlfn.ISOWEEKNUM(A455))</f>
        <v/>
      </c>
      <c r="N455" s="38">
        <f>IF(A455="","",DATE(YEAR(A455),MONTH(A455),1))</f>
        <v/>
      </c>
    </row>
    <row r="456">
      <c r="A456" s="31" t="n"/>
      <c r="B456" s="32" t="n"/>
      <c r="C456" s="32" t="n"/>
      <c r="D456" s="33" t="n"/>
      <c r="E456" s="34" t="n"/>
      <c r="F456" s="35" t="n"/>
      <c r="G456" s="35" t="n"/>
      <c r="H456" s="32" t="n"/>
      <c r="I456" s="32" t="n"/>
      <c r="J456" s="32" t="n"/>
      <c r="K456" s="36">
        <f>IF(E456&lt;&gt;"",E456,IF(AND(F456&lt;&gt;"",G456&lt;&gt;""),MOD(G456-F456,1)*24,""))</f>
        <v/>
      </c>
      <c r="L456" s="37">
        <f>IF(A456="","",CHOOSE(WEEKDAY(A456,2),"Montag","Dienstag","Mittwoch","Donnerstag","Freitag","Samstag","Sonntag"))</f>
        <v/>
      </c>
      <c r="M456" s="37">
        <f>IF(A456="","",_xlfn.ISOWEEKNUM(A456))</f>
        <v/>
      </c>
      <c r="N456" s="38">
        <f>IF(A456="","",DATE(YEAR(A456),MONTH(A456),1))</f>
        <v/>
      </c>
    </row>
    <row r="457">
      <c r="A457" s="31" t="n"/>
      <c r="B457" s="32" t="n"/>
      <c r="C457" s="32" t="n"/>
      <c r="D457" s="33" t="n"/>
      <c r="E457" s="34" t="n"/>
      <c r="F457" s="35" t="n"/>
      <c r="G457" s="35" t="n"/>
      <c r="H457" s="32" t="n"/>
      <c r="I457" s="32" t="n"/>
      <c r="J457" s="32" t="n"/>
      <c r="K457" s="36">
        <f>IF(E457&lt;&gt;"",E457,IF(AND(F457&lt;&gt;"",G457&lt;&gt;""),MOD(G457-F457,1)*24,""))</f>
        <v/>
      </c>
      <c r="L457" s="37">
        <f>IF(A457="","",CHOOSE(WEEKDAY(A457,2),"Montag","Dienstag","Mittwoch","Donnerstag","Freitag","Samstag","Sonntag"))</f>
        <v/>
      </c>
      <c r="M457" s="37">
        <f>IF(A457="","",_xlfn.ISOWEEKNUM(A457))</f>
        <v/>
      </c>
      <c r="N457" s="38">
        <f>IF(A457="","",DATE(YEAR(A457),MONTH(A457),1))</f>
        <v/>
      </c>
    </row>
    <row r="458">
      <c r="A458" s="31" t="n"/>
      <c r="B458" s="32" t="n"/>
      <c r="C458" s="32" t="n"/>
      <c r="D458" s="33" t="n"/>
      <c r="E458" s="34" t="n"/>
      <c r="F458" s="35" t="n"/>
      <c r="G458" s="35" t="n"/>
      <c r="H458" s="32" t="n"/>
      <c r="I458" s="32" t="n"/>
      <c r="J458" s="32" t="n"/>
      <c r="K458" s="36">
        <f>IF(E458&lt;&gt;"",E458,IF(AND(F458&lt;&gt;"",G458&lt;&gt;""),MOD(G458-F458,1)*24,""))</f>
        <v/>
      </c>
      <c r="L458" s="37">
        <f>IF(A458="","",CHOOSE(WEEKDAY(A458,2),"Montag","Dienstag","Mittwoch","Donnerstag","Freitag","Samstag","Sonntag"))</f>
        <v/>
      </c>
      <c r="M458" s="37">
        <f>IF(A458="","",_xlfn.ISOWEEKNUM(A458))</f>
        <v/>
      </c>
      <c r="N458" s="38">
        <f>IF(A458="","",DATE(YEAR(A458),MONTH(A458),1))</f>
        <v/>
      </c>
    </row>
    <row r="459">
      <c r="A459" s="31" t="n"/>
      <c r="B459" s="32" t="n"/>
      <c r="C459" s="32" t="n"/>
      <c r="D459" s="33" t="n"/>
      <c r="E459" s="34" t="n"/>
      <c r="F459" s="35" t="n"/>
      <c r="G459" s="35" t="n"/>
      <c r="H459" s="32" t="n"/>
      <c r="I459" s="32" t="n"/>
      <c r="J459" s="32" t="n"/>
      <c r="K459" s="36">
        <f>IF(E459&lt;&gt;"",E459,IF(AND(F459&lt;&gt;"",G459&lt;&gt;""),MOD(G459-F459,1)*24,""))</f>
        <v/>
      </c>
      <c r="L459" s="37">
        <f>IF(A459="","",CHOOSE(WEEKDAY(A459,2),"Montag","Dienstag","Mittwoch","Donnerstag","Freitag","Samstag","Sonntag"))</f>
        <v/>
      </c>
      <c r="M459" s="37">
        <f>IF(A459="","",_xlfn.ISOWEEKNUM(A459))</f>
        <v/>
      </c>
      <c r="N459" s="38">
        <f>IF(A459="","",DATE(YEAR(A459),MONTH(A459),1))</f>
        <v/>
      </c>
    </row>
    <row r="460">
      <c r="A460" s="31" t="n"/>
      <c r="B460" s="32" t="n"/>
      <c r="C460" s="32" t="n"/>
      <c r="D460" s="33" t="n"/>
      <c r="E460" s="34" t="n"/>
      <c r="F460" s="35" t="n"/>
      <c r="G460" s="35" t="n"/>
      <c r="H460" s="32" t="n"/>
      <c r="I460" s="32" t="n"/>
      <c r="J460" s="32" t="n"/>
      <c r="K460" s="36">
        <f>IF(E460&lt;&gt;"",E460,IF(AND(F460&lt;&gt;"",G460&lt;&gt;""),MOD(G460-F460,1)*24,""))</f>
        <v/>
      </c>
      <c r="L460" s="37">
        <f>IF(A460="","",CHOOSE(WEEKDAY(A460,2),"Montag","Dienstag","Mittwoch","Donnerstag","Freitag","Samstag","Sonntag"))</f>
        <v/>
      </c>
      <c r="M460" s="37">
        <f>IF(A460="","",_xlfn.ISOWEEKNUM(A460))</f>
        <v/>
      </c>
      <c r="N460" s="38">
        <f>IF(A460="","",DATE(YEAR(A460),MONTH(A460),1))</f>
        <v/>
      </c>
    </row>
    <row r="461">
      <c r="A461" s="31" t="n"/>
      <c r="B461" s="32" t="n"/>
      <c r="C461" s="32" t="n"/>
      <c r="D461" s="33" t="n"/>
      <c r="E461" s="34" t="n"/>
      <c r="F461" s="35" t="n"/>
      <c r="G461" s="35" t="n"/>
      <c r="H461" s="32" t="n"/>
      <c r="I461" s="32" t="n"/>
      <c r="J461" s="32" t="n"/>
      <c r="K461" s="36">
        <f>IF(E461&lt;&gt;"",E461,IF(AND(F461&lt;&gt;"",G461&lt;&gt;""),MOD(G461-F461,1)*24,""))</f>
        <v/>
      </c>
      <c r="L461" s="37">
        <f>IF(A461="","",CHOOSE(WEEKDAY(A461,2),"Montag","Dienstag","Mittwoch","Donnerstag","Freitag","Samstag","Sonntag"))</f>
        <v/>
      </c>
      <c r="M461" s="37">
        <f>IF(A461="","",_xlfn.ISOWEEKNUM(A461))</f>
        <v/>
      </c>
      <c r="N461" s="38">
        <f>IF(A461="","",DATE(YEAR(A461),MONTH(A461),1))</f>
        <v/>
      </c>
    </row>
    <row r="462">
      <c r="A462" s="31" t="n"/>
      <c r="B462" s="32" t="n"/>
      <c r="C462" s="32" t="n"/>
      <c r="D462" s="33" t="n"/>
      <c r="E462" s="34" t="n"/>
      <c r="F462" s="35" t="n"/>
      <c r="G462" s="35" t="n"/>
      <c r="H462" s="32" t="n"/>
      <c r="I462" s="32" t="n"/>
      <c r="J462" s="32" t="n"/>
      <c r="K462" s="36">
        <f>IF(E462&lt;&gt;"",E462,IF(AND(F462&lt;&gt;"",G462&lt;&gt;""),MOD(G462-F462,1)*24,""))</f>
        <v/>
      </c>
      <c r="L462" s="37">
        <f>IF(A462="","",CHOOSE(WEEKDAY(A462,2),"Montag","Dienstag","Mittwoch","Donnerstag","Freitag","Samstag","Sonntag"))</f>
        <v/>
      </c>
      <c r="M462" s="37">
        <f>IF(A462="","",_xlfn.ISOWEEKNUM(A462))</f>
        <v/>
      </c>
      <c r="N462" s="38">
        <f>IF(A462="","",DATE(YEAR(A462),MONTH(A462),1))</f>
        <v/>
      </c>
    </row>
    <row r="463">
      <c r="A463" s="31" t="n"/>
      <c r="B463" s="32" t="n"/>
      <c r="C463" s="32" t="n"/>
      <c r="D463" s="33" t="n"/>
      <c r="E463" s="34" t="n"/>
      <c r="F463" s="35" t="n"/>
      <c r="G463" s="35" t="n"/>
      <c r="H463" s="32" t="n"/>
      <c r="I463" s="32" t="n"/>
      <c r="J463" s="32" t="n"/>
      <c r="K463" s="36">
        <f>IF(E463&lt;&gt;"",E463,IF(AND(F463&lt;&gt;"",G463&lt;&gt;""),MOD(G463-F463,1)*24,""))</f>
        <v/>
      </c>
      <c r="L463" s="37">
        <f>IF(A463="","",CHOOSE(WEEKDAY(A463,2),"Montag","Dienstag","Mittwoch","Donnerstag","Freitag","Samstag","Sonntag"))</f>
        <v/>
      </c>
      <c r="M463" s="37">
        <f>IF(A463="","",_xlfn.ISOWEEKNUM(A463))</f>
        <v/>
      </c>
      <c r="N463" s="38">
        <f>IF(A463="","",DATE(YEAR(A463),MONTH(A463),1))</f>
        <v/>
      </c>
    </row>
    <row r="464">
      <c r="A464" s="31" t="n"/>
      <c r="B464" s="32" t="n"/>
      <c r="C464" s="32" t="n"/>
      <c r="D464" s="33" t="n"/>
      <c r="E464" s="34" t="n"/>
      <c r="F464" s="35" t="n"/>
      <c r="G464" s="35" t="n"/>
      <c r="H464" s="32" t="n"/>
      <c r="I464" s="32" t="n"/>
      <c r="J464" s="32" t="n"/>
      <c r="K464" s="36">
        <f>IF(E464&lt;&gt;"",E464,IF(AND(F464&lt;&gt;"",G464&lt;&gt;""),MOD(G464-F464,1)*24,""))</f>
        <v/>
      </c>
      <c r="L464" s="37">
        <f>IF(A464="","",CHOOSE(WEEKDAY(A464,2),"Montag","Dienstag","Mittwoch","Donnerstag","Freitag","Samstag","Sonntag"))</f>
        <v/>
      </c>
      <c r="M464" s="37">
        <f>IF(A464="","",_xlfn.ISOWEEKNUM(A464))</f>
        <v/>
      </c>
      <c r="N464" s="38">
        <f>IF(A464="","",DATE(YEAR(A464),MONTH(A464),1))</f>
        <v/>
      </c>
    </row>
    <row r="465">
      <c r="A465" s="31" t="n"/>
      <c r="B465" s="32" t="n"/>
      <c r="C465" s="32" t="n"/>
      <c r="D465" s="33" t="n"/>
      <c r="E465" s="34" t="n"/>
      <c r="F465" s="35" t="n"/>
      <c r="G465" s="35" t="n"/>
      <c r="H465" s="32" t="n"/>
      <c r="I465" s="32" t="n"/>
      <c r="J465" s="32" t="n"/>
      <c r="K465" s="36">
        <f>IF(E465&lt;&gt;"",E465,IF(AND(F465&lt;&gt;"",G465&lt;&gt;""),MOD(G465-F465,1)*24,""))</f>
        <v/>
      </c>
      <c r="L465" s="37">
        <f>IF(A465="","",CHOOSE(WEEKDAY(A465,2),"Montag","Dienstag","Mittwoch","Donnerstag","Freitag","Samstag","Sonntag"))</f>
        <v/>
      </c>
      <c r="M465" s="37">
        <f>IF(A465="","",_xlfn.ISOWEEKNUM(A465))</f>
        <v/>
      </c>
      <c r="N465" s="38">
        <f>IF(A465="","",DATE(YEAR(A465),MONTH(A465),1))</f>
        <v/>
      </c>
    </row>
    <row r="466">
      <c r="A466" s="31" t="n"/>
      <c r="B466" s="32" t="n"/>
      <c r="C466" s="32" t="n"/>
      <c r="D466" s="33" t="n"/>
      <c r="E466" s="34" t="n"/>
      <c r="F466" s="35" t="n"/>
      <c r="G466" s="35" t="n"/>
      <c r="H466" s="32" t="n"/>
      <c r="I466" s="32" t="n"/>
      <c r="J466" s="32" t="n"/>
      <c r="K466" s="36">
        <f>IF(E466&lt;&gt;"",E466,IF(AND(F466&lt;&gt;"",G466&lt;&gt;""),MOD(G466-F466,1)*24,""))</f>
        <v/>
      </c>
      <c r="L466" s="37">
        <f>IF(A466="","",CHOOSE(WEEKDAY(A466,2),"Montag","Dienstag","Mittwoch","Donnerstag","Freitag","Samstag","Sonntag"))</f>
        <v/>
      </c>
      <c r="M466" s="37">
        <f>IF(A466="","",_xlfn.ISOWEEKNUM(A466))</f>
        <v/>
      </c>
      <c r="N466" s="38">
        <f>IF(A466="","",DATE(YEAR(A466),MONTH(A466),1))</f>
        <v/>
      </c>
    </row>
    <row r="467">
      <c r="A467" s="31" t="n"/>
      <c r="B467" s="32" t="n"/>
      <c r="C467" s="32" t="n"/>
      <c r="D467" s="33" t="n"/>
      <c r="E467" s="34" t="n"/>
      <c r="F467" s="35" t="n"/>
      <c r="G467" s="35" t="n"/>
      <c r="H467" s="32" t="n"/>
      <c r="I467" s="32" t="n"/>
      <c r="J467" s="32" t="n"/>
      <c r="K467" s="36">
        <f>IF(E467&lt;&gt;"",E467,IF(AND(F467&lt;&gt;"",G467&lt;&gt;""),MOD(G467-F467,1)*24,""))</f>
        <v/>
      </c>
      <c r="L467" s="37">
        <f>IF(A467="","",CHOOSE(WEEKDAY(A467,2),"Montag","Dienstag","Mittwoch","Donnerstag","Freitag","Samstag","Sonntag"))</f>
        <v/>
      </c>
      <c r="M467" s="37">
        <f>IF(A467="","",_xlfn.ISOWEEKNUM(A467))</f>
        <v/>
      </c>
      <c r="N467" s="38">
        <f>IF(A467="","",DATE(YEAR(A467),MONTH(A467),1))</f>
        <v/>
      </c>
    </row>
    <row r="468">
      <c r="A468" s="31" t="n"/>
      <c r="B468" s="32" t="n"/>
      <c r="C468" s="32" t="n"/>
      <c r="D468" s="33" t="n"/>
      <c r="E468" s="34" t="n"/>
      <c r="F468" s="35" t="n"/>
      <c r="G468" s="35" t="n"/>
      <c r="H468" s="32" t="n"/>
      <c r="I468" s="32" t="n"/>
      <c r="J468" s="32" t="n"/>
      <c r="K468" s="36">
        <f>IF(E468&lt;&gt;"",E468,IF(AND(F468&lt;&gt;"",G468&lt;&gt;""),MOD(G468-F468,1)*24,""))</f>
        <v/>
      </c>
      <c r="L468" s="37">
        <f>IF(A468="","",CHOOSE(WEEKDAY(A468,2),"Montag","Dienstag","Mittwoch","Donnerstag","Freitag","Samstag","Sonntag"))</f>
        <v/>
      </c>
      <c r="M468" s="37">
        <f>IF(A468="","",_xlfn.ISOWEEKNUM(A468))</f>
        <v/>
      </c>
      <c r="N468" s="38">
        <f>IF(A468="","",DATE(YEAR(A468),MONTH(A468),1))</f>
        <v/>
      </c>
    </row>
    <row r="469">
      <c r="A469" s="31" t="n"/>
      <c r="B469" s="32" t="n"/>
      <c r="C469" s="32" t="n"/>
      <c r="D469" s="33" t="n"/>
      <c r="E469" s="34" t="n"/>
      <c r="F469" s="35" t="n"/>
      <c r="G469" s="35" t="n"/>
      <c r="H469" s="32" t="n"/>
      <c r="I469" s="32" t="n"/>
      <c r="J469" s="32" t="n"/>
      <c r="K469" s="36">
        <f>IF(E469&lt;&gt;"",E469,IF(AND(F469&lt;&gt;"",G469&lt;&gt;""),MOD(G469-F469,1)*24,""))</f>
        <v/>
      </c>
      <c r="L469" s="37">
        <f>IF(A469="","",CHOOSE(WEEKDAY(A469,2),"Montag","Dienstag","Mittwoch","Donnerstag","Freitag","Samstag","Sonntag"))</f>
        <v/>
      </c>
      <c r="M469" s="37">
        <f>IF(A469="","",_xlfn.ISOWEEKNUM(A469))</f>
        <v/>
      </c>
      <c r="N469" s="38">
        <f>IF(A469="","",DATE(YEAR(A469),MONTH(A469),1))</f>
        <v/>
      </c>
    </row>
    <row r="470">
      <c r="A470" s="31" t="n"/>
      <c r="B470" s="32" t="n"/>
      <c r="C470" s="32" t="n"/>
      <c r="D470" s="33" t="n"/>
      <c r="E470" s="34" t="n"/>
      <c r="F470" s="35" t="n"/>
      <c r="G470" s="35" t="n"/>
      <c r="H470" s="32" t="n"/>
      <c r="I470" s="32" t="n"/>
      <c r="J470" s="32" t="n"/>
      <c r="K470" s="36">
        <f>IF(E470&lt;&gt;"",E470,IF(AND(F470&lt;&gt;"",G470&lt;&gt;""),MOD(G470-F470,1)*24,""))</f>
        <v/>
      </c>
      <c r="L470" s="37">
        <f>IF(A470="","",CHOOSE(WEEKDAY(A470,2),"Montag","Dienstag","Mittwoch","Donnerstag","Freitag","Samstag","Sonntag"))</f>
        <v/>
      </c>
      <c r="M470" s="37">
        <f>IF(A470="","",_xlfn.ISOWEEKNUM(A470))</f>
        <v/>
      </c>
      <c r="N470" s="38">
        <f>IF(A470="","",DATE(YEAR(A470),MONTH(A470),1))</f>
        <v/>
      </c>
    </row>
    <row r="471">
      <c r="A471" s="31" t="n"/>
      <c r="B471" s="32" t="n"/>
      <c r="C471" s="32" t="n"/>
      <c r="D471" s="33" t="n"/>
      <c r="E471" s="34" t="n"/>
      <c r="F471" s="35" t="n"/>
      <c r="G471" s="35" t="n"/>
      <c r="H471" s="32" t="n"/>
      <c r="I471" s="32" t="n"/>
      <c r="J471" s="32" t="n"/>
      <c r="K471" s="36">
        <f>IF(E471&lt;&gt;"",E471,IF(AND(F471&lt;&gt;"",G471&lt;&gt;""),MOD(G471-F471,1)*24,""))</f>
        <v/>
      </c>
      <c r="L471" s="37">
        <f>IF(A471="","",CHOOSE(WEEKDAY(A471,2),"Montag","Dienstag","Mittwoch","Donnerstag","Freitag","Samstag","Sonntag"))</f>
        <v/>
      </c>
      <c r="M471" s="37">
        <f>IF(A471="","",_xlfn.ISOWEEKNUM(A471))</f>
        <v/>
      </c>
      <c r="N471" s="38">
        <f>IF(A471="","",DATE(YEAR(A471),MONTH(A471),1))</f>
        <v/>
      </c>
    </row>
    <row r="472">
      <c r="A472" s="31" t="n"/>
      <c r="B472" s="32" t="n"/>
      <c r="C472" s="32" t="n"/>
      <c r="D472" s="33" t="n"/>
      <c r="E472" s="34" t="n"/>
      <c r="F472" s="35" t="n"/>
      <c r="G472" s="35" t="n"/>
      <c r="H472" s="32" t="n"/>
      <c r="I472" s="32" t="n"/>
      <c r="J472" s="32" t="n"/>
      <c r="K472" s="36">
        <f>IF(E472&lt;&gt;"",E472,IF(AND(F472&lt;&gt;"",G472&lt;&gt;""),MOD(G472-F472,1)*24,""))</f>
        <v/>
      </c>
      <c r="L472" s="37">
        <f>IF(A472="","",CHOOSE(WEEKDAY(A472,2),"Montag","Dienstag","Mittwoch","Donnerstag","Freitag","Samstag","Sonntag"))</f>
        <v/>
      </c>
      <c r="M472" s="37">
        <f>IF(A472="","",_xlfn.ISOWEEKNUM(A472))</f>
        <v/>
      </c>
      <c r="N472" s="38">
        <f>IF(A472="","",DATE(YEAR(A472),MONTH(A472),1))</f>
        <v/>
      </c>
    </row>
    <row r="473">
      <c r="A473" s="31" t="n"/>
      <c r="B473" s="32" t="n"/>
      <c r="C473" s="32" t="n"/>
      <c r="D473" s="33" t="n"/>
      <c r="E473" s="34" t="n"/>
      <c r="F473" s="35" t="n"/>
      <c r="G473" s="35" t="n"/>
      <c r="H473" s="32" t="n"/>
      <c r="I473" s="32" t="n"/>
      <c r="J473" s="32" t="n"/>
      <c r="K473" s="36">
        <f>IF(E473&lt;&gt;"",E473,IF(AND(F473&lt;&gt;"",G473&lt;&gt;""),MOD(G473-F473,1)*24,""))</f>
        <v/>
      </c>
      <c r="L473" s="37">
        <f>IF(A473="","",CHOOSE(WEEKDAY(A473,2),"Montag","Dienstag","Mittwoch","Donnerstag","Freitag","Samstag","Sonntag"))</f>
        <v/>
      </c>
      <c r="M473" s="37">
        <f>IF(A473="","",_xlfn.ISOWEEKNUM(A473))</f>
        <v/>
      </c>
      <c r="N473" s="38">
        <f>IF(A473="","",DATE(YEAR(A473),MONTH(A473),1))</f>
        <v/>
      </c>
    </row>
    <row r="474">
      <c r="A474" s="31" t="n"/>
      <c r="B474" s="32" t="n"/>
      <c r="C474" s="32" t="n"/>
      <c r="D474" s="33" t="n"/>
      <c r="E474" s="34" t="n"/>
      <c r="F474" s="35" t="n"/>
      <c r="G474" s="35" t="n"/>
      <c r="H474" s="32" t="n"/>
      <c r="I474" s="32" t="n"/>
      <c r="J474" s="32" t="n"/>
      <c r="K474" s="36">
        <f>IF(E474&lt;&gt;"",E474,IF(AND(F474&lt;&gt;"",G474&lt;&gt;""),MOD(G474-F474,1)*24,""))</f>
        <v/>
      </c>
      <c r="L474" s="37">
        <f>IF(A474="","",CHOOSE(WEEKDAY(A474,2),"Montag","Dienstag","Mittwoch","Donnerstag","Freitag","Samstag","Sonntag"))</f>
        <v/>
      </c>
      <c r="M474" s="37">
        <f>IF(A474="","",_xlfn.ISOWEEKNUM(A474))</f>
        <v/>
      </c>
      <c r="N474" s="38">
        <f>IF(A474="","",DATE(YEAR(A474),MONTH(A474),1))</f>
        <v/>
      </c>
    </row>
    <row r="475">
      <c r="A475" s="31" t="n"/>
      <c r="B475" s="32" t="n"/>
      <c r="C475" s="32" t="n"/>
      <c r="D475" s="33" t="n"/>
      <c r="E475" s="34" t="n"/>
      <c r="F475" s="35" t="n"/>
      <c r="G475" s="35" t="n"/>
      <c r="H475" s="32" t="n"/>
      <c r="I475" s="32" t="n"/>
      <c r="J475" s="32" t="n"/>
      <c r="K475" s="36">
        <f>IF(E475&lt;&gt;"",E475,IF(AND(F475&lt;&gt;"",G475&lt;&gt;""),MOD(G475-F475,1)*24,""))</f>
        <v/>
      </c>
      <c r="L475" s="37">
        <f>IF(A475="","",CHOOSE(WEEKDAY(A475,2),"Montag","Dienstag","Mittwoch","Donnerstag","Freitag","Samstag","Sonntag"))</f>
        <v/>
      </c>
      <c r="M475" s="37">
        <f>IF(A475="","",_xlfn.ISOWEEKNUM(A475))</f>
        <v/>
      </c>
      <c r="N475" s="38">
        <f>IF(A475="","",DATE(YEAR(A475),MONTH(A475),1))</f>
        <v/>
      </c>
    </row>
    <row r="476">
      <c r="A476" s="31" t="n"/>
      <c r="B476" s="32" t="n"/>
      <c r="C476" s="32" t="n"/>
      <c r="D476" s="33" t="n"/>
      <c r="E476" s="34" t="n"/>
      <c r="F476" s="35" t="n"/>
      <c r="G476" s="35" t="n"/>
      <c r="H476" s="32" t="n"/>
      <c r="I476" s="32" t="n"/>
      <c r="J476" s="32" t="n"/>
      <c r="K476" s="36">
        <f>IF(E476&lt;&gt;"",E476,IF(AND(F476&lt;&gt;"",G476&lt;&gt;""),MOD(G476-F476,1)*24,""))</f>
        <v/>
      </c>
      <c r="L476" s="37">
        <f>IF(A476="","",CHOOSE(WEEKDAY(A476,2),"Montag","Dienstag","Mittwoch","Donnerstag","Freitag","Samstag","Sonntag"))</f>
        <v/>
      </c>
      <c r="M476" s="37">
        <f>IF(A476="","",_xlfn.ISOWEEKNUM(A476))</f>
        <v/>
      </c>
      <c r="N476" s="38">
        <f>IF(A476="","",DATE(YEAR(A476),MONTH(A476),1))</f>
        <v/>
      </c>
    </row>
    <row r="477">
      <c r="A477" s="31" t="n"/>
      <c r="B477" s="32" t="n"/>
      <c r="C477" s="32" t="n"/>
      <c r="D477" s="33" t="n"/>
      <c r="E477" s="34" t="n"/>
      <c r="F477" s="35" t="n"/>
      <c r="G477" s="35" t="n"/>
      <c r="H477" s="32" t="n"/>
      <c r="I477" s="32" t="n"/>
      <c r="J477" s="32" t="n"/>
      <c r="K477" s="36">
        <f>IF(E477&lt;&gt;"",E477,IF(AND(F477&lt;&gt;"",G477&lt;&gt;""),MOD(G477-F477,1)*24,""))</f>
        <v/>
      </c>
      <c r="L477" s="37">
        <f>IF(A477="","",CHOOSE(WEEKDAY(A477,2),"Montag","Dienstag","Mittwoch","Donnerstag","Freitag","Samstag","Sonntag"))</f>
        <v/>
      </c>
      <c r="M477" s="37">
        <f>IF(A477="","",_xlfn.ISOWEEKNUM(A477))</f>
        <v/>
      </c>
      <c r="N477" s="38">
        <f>IF(A477="","",DATE(YEAR(A477),MONTH(A477),1))</f>
        <v/>
      </c>
    </row>
    <row r="478">
      <c r="A478" s="31" t="n"/>
      <c r="B478" s="32" t="n"/>
      <c r="C478" s="32" t="n"/>
      <c r="D478" s="33" t="n"/>
      <c r="E478" s="34" t="n"/>
      <c r="F478" s="35" t="n"/>
      <c r="G478" s="35" t="n"/>
      <c r="H478" s="32" t="n"/>
      <c r="I478" s="32" t="n"/>
      <c r="J478" s="32" t="n"/>
      <c r="K478" s="36">
        <f>IF(E478&lt;&gt;"",E478,IF(AND(F478&lt;&gt;"",G478&lt;&gt;""),MOD(G478-F478,1)*24,""))</f>
        <v/>
      </c>
      <c r="L478" s="37">
        <f>IF(A478="","",CHOOSE(WEEKDAY(A478,2),"Montag","Dienstag","Mittwoch","Donnerstag","Freitag","Samstag","Sonntag"))</f>
        <v/>
      </c>
      <c r="M478" s="37">
        <f>IF(A478="","",_xlfn.ISOWEEKNUM(A478))</f>
        <v/>
      </c>
      <c r="N478" s="38">
        <f>IF(A478="","",DATE(YEAR(A478),MONTH(A478),1))</f>
        <v/>
      </c>
    </row>
    <row r="479">
      <c r="A479" s="31" t="n"/>
      <c r="B479" s="32" t="n"/>
      <c r="C479" s="32" t="n"/>
      <c r="D479" s="33" t="n"/>
      <c r="E479" s="34" t="n"/>
      <c r="F479" s="35" t="n"/>
      <c r="G479" s="35" t="n"/>
      <c r="H479" s="32" t="n"/>
      <c r="I479" s="32" t="n"/>
      <c r="J479" s="32" t="n"/>
      <c r="K479" s="36">
        <f>IF(E479&lt;&gt;"",E479,IF(AND(F479&lt;&gt;"",G479&lt;&gt;""),MOD(G479-F479,1)*24,""))</f>
        <v/>
      </c>
      <c r="L479" s="37">
        <f>IF(A479="","",CHOOSE(WEEKDAY(A479,2),"Montag","Dienstag","Mittwoch","Donnerstag","Freitag","Samstag","Sonntag"))</f>
        <v/>
      </c>
      <c r="M479" s="37">
        <f>IF(A479="","",_xlfn.ISOWEEKNUM(A479))</f>
        <v/>
      </c>
      <c r="N479" s="38">
        <f>IF(A479="","",DATE(YEAR(A479),MONTH(A479),1))</f>
        <v/>
      </c>
    </row>
    <row r="480">
      <c r="A480" s="31" t="n"/>
      <c r="B480" s="32" t="n"/>
      <c r="C480" s="32" t="n"/>
      <c r="D480" s="33" t="n"/>
      <c r="E480" s="34" t="n"/>
      <c r="F480" s="35" t="n"/>
      <c r="G480" s="35" t="n"/>
      <c r="H480" s="32" t="n"/>
      <c r="I480" s="32" t="n"/>
      <c r="J480" s="32" t="n"/>
      <c r="K480" s="36">
        <f>IF(E480&lt;&gt;"",E480,IF(AND(F480&lt;&gt;"",G480&lt;&gt;""),MOD(G480-F480,1)*24,""))</f>
        <v/>
      </c>
      <c r="L480" s="37">
        <f>IF(A480="","",CHOOSE(WEEKDAY(A480,2),"Montag","Dienstag","Mittwoch","Donnerstag","Freitag","Samstag","Sonntag"))</f>
        <v/>
      </c>
      <c r="M480" s="37">
        <f>IF(A480="","",_xlfn.ISOWEEKNUM(A480))</f>
        <v/>
      </c>
      <c r="N480" s="38">
        <f>IF(A480="","",DATE(YEAR(A480),MONTH(A480),1))</f>
        <v/>
      </c>
    </row>
    <row r="481">
      <c r="A481" s="31" t="n"/>
      <c r="B481" s="32" t="n"/>
      <c r="C481" s="32" t="n"/>
      <c r="D481" s="33" t="n"/>
      <c r="E481" s="34" t="n"/>
      <c r="F481" s="35" t="n"/>
      <c r="G481" s="35" t="n"/>
      <c r="H481" s="32" t="n"/>
      <c r="I481" s="32" t="n"/>
      <c r="J481" s="32" t="n"/>
      <c r="K481" s="36">
        <f>IF(E481&lt;&gt;"",E481,IF(AND(F481&lt;&gt;"",G481&lt;&gt;""),MOD(G481-F481,1)*24,""))</f>
        <v/>
      </c>
      <c r="L481" s="37">
        <f>IF(A481="","",CHOOSE(WEEKDAY(A481,2),"Montag","Dienstag","Mittwoch","Donnerstag","Freitag","Samstag","Sonntag"))</f>
        <v/>
      </c>
      <c r="M481" s="37">
        <f>IF(A481="","",_xlfn.ISOWEEKNUM(A481))</f>
        <v/>
      </c>
      <c r="N481" s="38">
        <f>IF(A481="","",DATE(YEAR(A481),MONTH(A481),1))</f>
        <v/>
      </c>
    </row>
    <row r="482">
      <c r="A482" s="31" t="n"/>
      <c r="B482" s="32" t="n"/>
      <c r="C482" s="32" t="n"/>
      <c r="D482" s="33" t="n"/>
      <c r="E482" s="34" t="n"/>
      <c r="F482" s="35" t="n"/>
      <c r="G482" s="35" t="n"/>
      <c r="H482" s="32" t="n"/>
      <c r="I482" s="32" t="n"/>
      <c r="J482" s="32" t="n"/>
      <c r="K482" s="36">
        <f>IF(E482&lt;&gt;"",E482,IF(AND(F482&lt;&gt;"",G482&lt;&gt;""),MOD(G482-F482,1)*24,""))</f>
        <v/>
      </c>
      <c r="L482" s="37">
        <f>IF(A482="","",CHOOSE(WEEKDAY(A482,2),"Montag","Dienstag","Mittwoch","Donnerstag","Freitag","Samstag","Sonntag"))</f>
        <v/>
      </c>
      <c r="M482" s="37">
        <f>IF(A482="","",_xlfn.ISOWEEKNUM(A482))</f>
        <v/>
      </c>
      <c r="N482" s="38">
        <f>IF(A482="","",DATE(YEAR(A482),MONTH(A482),1))</f>
        <v/>
      </c>
    </row>
    <row r="483">
      <c r="A483" s="31" t="n"/>
      <c r="B483" s="32" t="n"/>
      <c r="C483" s="32" t="n"/>
      <c r="D483" s="33" t="n"/>
      <c r="E483" s="34" t="n"/>
      <c r="F483" s="35" t="n"/>
      <c r="G483" s="35" t="n"/>
      <c r="H483" s="32" t="n"/>
      <c r="I483" s="32" t="n"/>
      <c r="J483" s="32" t="n"/>
      <c r="K483" s="36">
        <f>IF(E483&lt;&gt;"",E483,IF(AND(F483&lt;&gt;"",G483&lt;&gt;""),MOD(G483-F483,1)*24,""))</f>
        <v/>
      </c>
      <c r="L483" s="37">
        <f>IF(A483="","",CHOOSE(WEEKDAY(A483,2),"Montag","Dienstag","Mittwoch","Donnerstag","Freitag","Samstag","Sonntag"))</f>
        <v/>
      </c>
      <c r="M483" s="37">
        <f>IF(A483="","",_xlfn.ISOWEEKNUM(A483))</f>
        <v/>
      </c>
      <c r="N483" s="38">
        <f>IF(A483="","",DATE(YEAR(A483),MONTH(A483),1))</f>
        <v/>
      </c>
    </row>
    <row r="484">
      <c r="A484" s="31" t="n"/>
      <c r="B484" s="32" t="n"/>
      <c r="C484" s="32" t="n"/>
      <c r="D484" s="33" t="n"/>
      <c r="E484" s="34" t="n"/>
      <c r="F484" s="35" t="n"/>
      <c r="G484" s="35" t="n"/>
      <c r="H484" s="32" t="n"/>
      <c r="I484" s="32" t="n"/>
      <c r="J484" s="32" t="n"/>
      <c r="K484" s="36">
        <f>IF(E484&lt;&gt;"",E484,IF(AND(F484&lt;&gt;"",G484&lt;&gt;""),MOD(G484-F484,1)*24,""))</f>
        <v/>
      </c>
      <c r="L484" s="37">
        <f>IF(A484="","",CHOOSE(WEEKDAY(A484,2),"Montag","Dienstag","Mittwoch","Donnerstag","Freitag","Samstag","Sonntag"))</f>
        <v/>
      </c>
      <c r="M484" s="37">
        <f>IF(A484="","",_xlfn.ISOWEEKNUM(A484))</f>
        <v/>
      </c>
      <c r="N484" s="38">
        <f>IF(A484="","",DATE(YEAR(A484),MONTH(A484),1))</f>
        <v/>
      </c>
    </row>
    <row r="485">
      <c r="A485" s="31" t="n"/>
      <c r="B485" s="32" t="n"/>
      <c r="C485" s="32" t="n"/>
      <c r="D485" s="33" t="n"/>
      <c r="E485" s="34" t="n"/>
      <c r="F485" s="35" t="n"/>
      <c r="G485" s="35" t="n"/>
      <c r="H485" s="32" t="n"/>
      <c r="I485" s="32" t="n"/>
      <c r="J485" s="32" t="n"/>
      <c r="K485" s="36">
        <f>IF(E485&lt;&gt;"",E485,IF(AND(F485&lt;&gt;"",G485&lt;&gt;""),MOD(G485-F485,1)*24,""))</f>
        <v/>
      </c>
      <c r="L485" s="37">
        <f>IF(A485="","",CHOOSE(WEEKDAY(A485,2),"Montag","Dienstag","Mittwoch","Donnerstag","Freitag","Samstag","Sonntag"))</f>
        <v/>
      </c>
      <c r="M485" s="37">
        <f>IF(A485="","",_xlfn.ISOWEEKNUM(A485))</f>
        <v/>
      </c>
      <c r="N485" s="38">
        <f>IF(A485="","",DATE(YEAR(A485),MONTH(A485),1))</f>
        <v/>
      </c>
    </row>
    <row r="486">
      <c r="A486" s="31" t="n"/>
      <c r="B486" s="32" t="n"/>
      <c r="C486" s="32" t="n"/>
      <c r="D486" s="33" t="n"/>
      <c r="E486" s="34" t="n"/>
      <c r="F486" s="35" t="n"/>
      <c r="G486" s="35" t="n"/>
      <c r="H486" s="32" t="n"/>
      <c r="I486" s="32" t="n"/>
      <c r="J486" s="32" t="n"/>
      <c r="K486" s="36">
        <f>IF(E486&lt;&gt;"",E486,IF(AND(F486&lt;&gt;"",G486&lt;&gt;""),MOD(G486-F486,1)*24,""))</f>
        <v/>
      </c>
      <c r="L486" s="37">
        <f>IF(A486="","",CHOOSE(WEEKDAY(A486,2),"Montag","Dienstag","Mittwoch","Donnerstag","Freitag","Samstag","Sonntag"))</f>
        <v/>
      </c>
      <c r="M486" s="37">
        <f>IF(A486="","",_xlfn.ISOWEEKNUM(A486))</f>
        <v/>
      </c>
      <c r="N486" s="38">
        <f>IF(A486="","",DATE(YEAR(A486),MONTH(A486),1))</f>
        <v/>
      </c>
    </row>
    <row r="487">
      <c r="A487" s="31" t="n"/>
      <c r="B487" s="32" t="n"/>
      <c r="C487" s="32" t="n"/>
      <c r="D487" s="33" t="n"/>
      <c r="E487" s="34" t="n"/>
      <c r="F487" s="35" t="n"/>
      <c r="G487" s="35" t="n"/>
      <c r="H487" s="32" t="n"/>
      <c r="I487" s="32" t="n"/>
      <c r="J487" s="32" t="n"/>
      <c r="K487" s="36">
        <f>IF(E487&lt;&gt;"",E487,IF(AND(F487&lt;&gt;"",G487&lt;&gt;""),MOD(G487-F487,1)*24,""))</f>
        <v/>
      </c>
      <c r="L487" s="37">
        <f>IF(A487="","",CHOOSE(WEEKDAY(A487,2),"Montag","Dienstag","Mittwoch","Donnerstag","Freitag","Samstag","Sonntag"))</f>
        <v/>
      </c>
      <c r="M487" s="37">
        <f>IF(A487="","",_xlfn.ISOWEEKNUM(A487))</f>
        <v/>
      </c>
      <c r="N487" s="38">
        <f>IF(A487="","",DATE(YEAR(A487),MONTH(A487),1))</f>
        <v/>
      </c>
    </row>
    <row r="488">
      <c r="A488" s="31" t="n"/>
      <c r="B488" s="32" t="n"/>
      <c r="C488" s="32" t="n"/>
      <c r="D488" s="33" t="n"/>
      <c r="E488" s="34" t="n"/>
      <c r="F488" s="35" t="n"/>
      <c r="G488" s="35" t="n"/>
      <c r="H488" s="32" t="n"/>
      <c r="I488" s="32" t="n"/>
      <c r="J488" s="32" t="n"/>
      <c r="K488" s="36">
        <f>IF(E488&lt;&gt;"",E488,IF(AND(F488&lt;&gt;"",G488&lt;&gt;""),MOD(G488-F488,1)*24,""))</f>
        <v/>
      </c>
      <c r="L488" s="37">
        <f>IF(A488="","",CHOOSE(WEEKDAY(A488,2),"Montag","Dienstag","Mittwoch","Donnerstag","Freitag","Samstag","Sonntag"))</f>
        <v/>
      </c>
      <c r="M488" s="37">
        <f>IF(A488="","",_xlfn.ISOWEEKNUM(A488))</f>
        <v/>
      </c>
      <c r="N488" s="38">
        <f>IF(A488="","",DATE(YEAR(A488),MONTH(A488),1))</f>
        <v/>
      </c>
    </row>
    <row r="489">
      <c r="A489" s="31" t="n"/>
      <c r="B489" s="32" t="n"/>
      <c r="C489" s="32" t="n"/>
      <c r="D489" s="33" t="n"/>
      <c r="E489" s="34" t="n"/>
      <c r="F489" s="35" t="n"/>
      <c r="G489" s="35" t="n"/>
      <c r="H489" s="32" t="n"/>
      <c r="I489" s="32" t="n"/>
      <c r="J489" s="32" t="n"/>
      <c r="K489" s="36">
        <f>IF(E489&lt;&gt;"",E489,IF(AND(F489&lt;&gt;"",G489&lt;&gt;""),MOD(G489-F489,1)*24,""))</f>
        <v/>
      </c>
      <c r="L489" s="37">
        <f>IF(A489="","",CHOOSE(WEEKDAY(A489,2),"Montag","Dienstag","Mittwoch","Donnerstag","Freitag","Samstag","Sonntag"))</f>
        <v/>
      </c>
      <c r="M489" s="37">
        <f>IF(A489="","",_xlfn.ISOWEEKNUM(A489))</f>
        <v/>
      </c>
      <c r="N489" s="38">
        <f>IF(A489="","",DATE(YEAR(A489),MONTH(A489),1))</f>
        <v/>
      </c>
    </row>
    <row r="490">
      <c r="A490" s="31" t="n"/>
      <c r="B490" s="32" t="n"/>
      <c r="C490" s="32" t="n"/>
      <c r="D490" s="33" t="n"/>
      <c r="E490" s="34" t="n"/>
      <c r="F490" s="35" t="n"/>
      <c r="G490" s="35" t="n"/>
      <c r="H490" s="32" t="n"/>
      <c r="I490" s="32" t="n"/>
      <c r="J490" s="32" t="n"/>
      <c r="K490" s="36">
        <f>IF(E490&lt;&gt;"",E490,IF(AND(F490&lt;&gt;"",G490&lt;&gt;""),MOD(G490-F490,1)*24,""))</f>
        <v/>
      </c>
      <c r="L490" s="37">
        <f>IF(A490="","",CHOOSE(WEEKDAY(A490,2),"Montag","Dienstag","Mittwoch","Donnerstag","Freitag","Samstag","Sonntag"))</f>
        <v/>
      </c>
      <c r="M490" s="37">
        <f>IF(A490="","",_xlfn.ISOWEEKNUM(A490))</f>
        <v/>
      </c>
      <c r="N490" s="38">
        <f>IF(A490="","",DATE(YEAR(A490),MONTH(A490),1))</f>
        <v/>
      </c>
    </row>
    <row r="491">
      <c r="A491" s="31" t="n"/>
      <c r="B491" s="32" t="n"/>
      <c r="C491" s="32" t="n"/>
      <c r="D491" s="33" t="n"/>
      <c r="E491" s="34" t="n"/>
      <c r="F491" s="35" t="n"/>
      <c r="G491" s="35" t="n"/>
      <c r="H491" s="32" t="n"/>
      <c r="I491" s="32" t="n"/>
      <c r="J491" s="32" t="n"/>
      <c r="K491" s="36">
        <f>IF(E491&lt;&gt;"",E491,IF(AND(F491&lt;&gt;"",G491&lt;&gt;""),MOD(G491-F491,1)*24,""))</f>
        <v/>
      </c>
      <c r="L491" s="37">
        <f>IF(A491="","",CHOOSE(WEEKDAY(A491,2),"Montag","Dienstag","Mittwoch","Donnerstag","Freitag","Samstag","Sonntag"))</f>
        <v/>
      </c>
      <c r="M491" s="37">
        <f>IF(A491="","",_xlfn.ISOWEEKNUM(A491))</f>
        <v/>
      </c>
      <c r="N491" s="38">
        <f>IF(A491="","",DATE(YEAR(A491),MONTH(A491),1))</f>
        <v/>
      </c>
    </row>
    <row r="492">
      <c r="A492" s="31" t="n"/>
      <c r="B492" s="32" t="n"/>
      <c r="C492" s="32" t="n"/>
      <c r="D492" s="33" t="n"/>
      <c r="E492" s="34" t="n"/>
      <c r="F492" s="35" t="n"/>
      <c r="G492" s="35" t="n"/>
      <c r="H492" s="32" t="n"/>
      <c r="I492" s="32" t="n"/>
      <c r="J492" s="32" t="n"/>
      <c r="K492" s="36">
        <f>IF(E492&lt;&gt;"",E492,IF(AND(F492&lt;&gt;"",G492&lt;&gt;""),MOD(G492-F492,1)*24,""))</f>
        <v/>
      </c>
      <c r="L492" s="37">
        <f>IF(A492="","",CHOOSE(WEEKDAY(A492,2),"Montag","Dienstag","Mittwoch","Donnerstag","Freitag","Samstag","Sonntag"))</f>
        <v/>
      </c>
      <c r="M492" s="37">
        <f>IF(A492="","",_xlfn.ISOWEEKNUM(A492))</f>
        <v/>
      </c>
      <c r="N492" s="38">
        <f>IF(A492="","",DATE(YEAR(A492),MONTH(A492),1))</f>
        <v/>
      </c>
    </row>
    <row r="493">
      <c r="A493" s="31" t="n"/>
      <c r="B493" s="32" t="n"/>
      <c r="C493" s="32" t="n"/>
      <c r="D493" s="33" t="n"/>
      <c r="E493" s="34" t="n"/>
      <c r="F493" s="35" t="n"/>
      <c r="G493" s="35" t="n"/>
      <c r="H493" s="32" t="n"/>
      <c r="I493" s="32" t="n"/>
      <c r="J493" s="32" t="n"/>
      <c r="K493" s="36">
        <f>IF(E493&lt;&gt;"",E493,IF(AND(F493&lt;&gt;"",G493&lt;&gt;""),MOD(G493-F493,1)*24,""))</f>
        <v/>
      </c>
      <c r="L493" s="37">
        <f>IF(A493="","",CHOOSE(WEEKDAY(A493,2),"Montag","Dienstag","Mittwoch","Donnerstag","Freitag","Samstag","Sonntag"))</f>
        <v/>
      </c>
      <c r="M493" s="37">
        <f>IF(A493="","",_xlfn.ISOWEEKNUM(A493))</f>
        <v/>
      </c>
      <c r="N493" s="38">
        <f>IF(A493="","",DATE(YEAR(A493),MONTH(A493),1))</f>
        <v/>
      </c>
    </row>
    <row r="494">
      <c r="A494" s="31" t="n"/>
      <c r="B494" s="32" t="n"/>
      <c r="C494" s="32" t="n"/>
      <c r="D494" s="33" t="n"/>
      <c r="E494" s="34" t="n"/>
      <c r="F494" s="35" t="n"/>
      <c r="G494" s="35" t="n"/>
      <c r="H494" s="32" t="n"/>
      <c r="I494" s="32" t="n"/>
      <c r="J494" s="32" t="n"/>
      <c r="K494" s="36">
        <f>IF(E494&lt;&gt;"",E494,IF(AND(F494&lt;&gt;"",G494&lt;&gt;""),MOD(G494-F494,1)*24,""))</f>
        <v/>
      </c>
      <c r="L494" s="37">
        <f>IF(A494="","",CHOOSE(WEEKDAY(A494,2),"Montag","Dienstag","Mittwoch","Donnerstag","Freitag","Samstag","Sonntag"))</f>
        <v/>
      </c>
      <c r="M494" s="37">
        <f>IF(A494="","",_xlfn.ISOWEEKNUM(A494))</f>
        <v/>
      </c>
      <c r="N494" s="38">
        <f>IF(A494="","",DATE(YEAR(A494),MONTH(A494),1))</f>
        <v/>
      </c>
    </row>
    <row r="495">
      <c r="A495" s="31" t="n"/>
      <c r="B495" s="32" t="n"/>
      <c r="C495" s="32" t="n"/>
      <c r="D495" s="33" t="n"/>
      <c r="E495" s="34" t="n"/>
      <c r="F495" s="35" t="n"/>
      <c r="G495" s="35" t="n"/>
      <c r="H495" s="32" t="n"/>
      <c r="I495" s="32" t="n"/>
      <c r="J495" s="32" t="n"/>
      <c r="K495" s="36">
        <f>IF(E495&lt;&gt;"",E495,IF(AND(F495&lt;&gt;"",G495&lt;&gt;""),MOD(G495-F495,1)*24,""))</f>
        <v/>
      </c>
      <c r="L495" s="37">
        <f>IF(A495="","",CHOOSE(WEEKDAY(A495,2),"Montag","Dienstag","Mittwoch","Donnerstag","Freitag","Samstag","Sonntag"))</f>
        <v/>
      </c>
      <c r="M495" s="37">
        <f>IF(A495="","",_xlfn.ISOWEEKNUM(A495))</f>
        <v/>
      </c>
      <c r="N495" s="38">
        <f>IF(A495="","",DATE(YEAR(A495),MONTH(A495),1))</f>
        <v/>
      </c>
    </row>
    <row r="496">
      <c r="A496" s="31" t="n"/>
      <c r="B496" s="32" t="n"/>
      <c r="C496" s="32" t="n"/>
      <c r="D496" s="33" t="n"/>
      <c r="E496" s="34" t="n"/>
      <c r="F496" s="35" t="n"/>
      <c r="G496" s="35" t="n"/>
      <c r="H496" s="32" t="n"/>
      <c r="I496" s="32" t="n"/>
      <c r="J496" s="32" t="n"/>
      <c r="K496" s="36">
        <f>IF(E496&lt;&gt;"",E496,IF(AND(F496&lt;&gt;"",G496&lt;&gt;""),MOD(G496-F496,1)*24,""))</f>
        <v/>
      </c>
      <c r="L496" s="37">
        <f>IF(A496="","",CHOOSE(WEEKDAY(A496,2),"Montag","Dienstag","Mittwoch","Donnerstag","Freitag","Samstag","Sonntag"))</f>
        <v/>
      </c>
      <c r="M496" s="37">
        <f>IF(A496="","",_xlfn.ISOWEEKNUM(A496))</f>
        <v/>
      </c>
      <c r="N496" s="38">
        <f>IF(A496="","",DATE(YEAR(A496),MONTH(A496),1))</f>
        <v/>
      </c>
    </row>
    <row r="497">
      <c r="A497" s="31" t="n"/>
      <c r="B497" s="32" t="n"/>
      <c r="C497" s="32" t="n"/>
      <c r="D497" s="33" t="n"/>
      <c r="E497" s="34" t="n"/>
      <c r="F497" s="35" t="n"/>
      <c r="G497" s="35" t="n"/>
      <c r="H497" s="32" t="n"/>
      <c r="I497" s="32" t="n"/>
      <c r="J497" s="32" t="n"/>
      <c r="K497" s="36">
        <f>IF(E497&lt;&gt;"",E497,IF(AND(F497&lt;&gt;"",G497&lt;&gt;""),MOD(G497-F497,1)*24,""))</f>
        <v/>
      </c>
      <c r="L497" s="37">
        <f>IF(A497="","",CHOOSE(WEEKDAY(A497,2),"Montag","Dienstag","Mittwoch","Donnerstag","Freitag","Samstag","Sonntag"))</f>
        <v/>
      </c>
      <c r="M497" s="37">
        <f>IF(A497="","",_xlfn.ISOWEEKNUM(A497))</f>
        <v/>
      </c>
      <c r="N497" s="38">
        <f>IF(A497="","",DATE(YEAR(A497),MONTH(A497),1))</f>
        <v/>
      </c>
    </row>
    <row r="498">
      <c r="A498" s="31" t="n"/>
      <c r="B498" s="32" t="n"/>
      <c r="C498" s="32" t="n"/>
      <c r="D498" s="33" t="n"/>
      <c r="E498" s="34" t="n"/>
      <c r="F498" s="35" t="n"/>
      <c r="G498" s="35" t="n"/>
      <c r="H498" s="32" t="n"/>
      <c r="I498" s="32" t="n"/>
      <c r="J498" s="32" t="n"/>
      <c r="K498" s="36">
        <f>IF(E498&lt;&gt;"",E498,IF(AND(F498&lt;&gt;"",G498&lt;&gt;""),MOD(G498-F498,1)*24,""))</f>
        <v/>
      </c>
      <c r="L498" s="37">
        <f>IF(A498="","",CHOOSE(WEEKDAY(A498,2),"Montag","Dienstag","Mittwoch","Donnerstag","Freitag","Samstag","Sonntag"))</f>
        <v/>
      </c>
      <c r="M498" s="37">
        <f>IF(A498="","",_xlfn.ISOWEEKNUM(A498))</f>
        <v/>
      </c>
      <c r="N498" s="38">
        <f>IF(A498="","",DATE(YEAR(A498),MONTH(A498),1))</f>
        <v/>
      </c>
    </row>
    <row r="499">
      <c r="A499" s="31" t="n"/>
      <c r="B499" s="32" t="n"/>
      <c r="C499" s="32" t="n"/>
      <c r="D499" s="33" t="n"/>
      <c r="E499" s="34" t="n"/>
      <c r="F499" s="35" t="n"/>
      <c r="G499" s="35" t="n"/>
      <c r="H499" s="32" t="n"/>
      <c r="I499" s="32" t="n"/>
      <c r="J499" s="32" t="n"/>
      <c r="K499" s="36">
        <f>IF(E499&lt;&gt;"",E499,IF(AND(F499&lt;&gt;"",G499&lt;&gt;""),MOD(G499-F499,1)*24,""))</f>
        <v/>
      </c>
      <c r="L499" s="37">
        <f>IF(A499="","",CHOOSE(WEEKDAY(A499,2),"Montag","Dienstag","Mittwoch","Donnerstag","Freitag","Samstag","Sonntag"))</f>
        <v/>
      </c>
      <c r="M499" s="37">
        <f>IF(A499="","",_xlfn.ISOWEEKNUM(A499))</f>
        <v/>
      </c>
      <c r="N499" s="38">
        <f>IF(A499="","",DATE(YEAR(A499),MONTH(A499),1))</f>
        <v/>
      </c>
    </row>
    <row r="500">
      <c r="A500" s="31" t="n"/>
      <c r="B500" s="32" t="n"/>
      <c r="C500" s="32" t="n"/>
      <c r="D500" s="33" t="n"/>
      <c r="E500" s="34" t="n"/>
      <c r="F500" s="35" t="n"/>
      <c r="G500" s="35" t="n"/>
      <c r="H500" s="32" t="n"/>
      <c r="I500" s="32" t="n"/>
      <c r="J500" s="32" t="n"/>
      <c r="K500" s="36">
        <f>IF(E500&lt;&gt;"",E500,IF(AND(F500&lt;&gt;"",G500&lt;&gt;""),MOD(G500-F500,1)*24,""))</f>
        <v/>
      </c>
      <c r="L500" s="37">
        <f>IF(A500="","",CHOOSE(WEEKDAY(A500,2),"Montag","Dienstag","Mittwoch","Donnerstag","Freitag","Samstag","Sonntag"))</f>
        <v/>
      </c>
      <c r="M500" s="37">
        <f>IF(A500="","",_xlfn.ISOWEEKNUM(A500))</f>
        <v/>
      </c>
      <c r="N500" s="38">
        <f>IF(A500="","",DATE(YEAR(A500),MONTH(A500),1))</f>
        <v/>
      </c>
    </row>
    <row r="501">
      <c r="A501" s="31" t="n"/>
      <c r="B501" s="32" t="n"/>
      <c r="C501" s="32" t="n"/>
      <c r="D501" s="33" t="n"/>
      <c r="E501" s="34" t="n"/>
      <c r="F501" s="35" t="n"/>
      <c r="G501" s="35" t="n"/>
      <c r="H501" s="32" t="n"/>
      <c r="I501" s="32" t="n"/>
      <c r="J501" s="32" t="n"/>
      <c r="K501" s="36">
        <f>IF(E501&lt;&gt;"",E501,IF(AND(F501&lt;&gt;"",G501&lt;&gt;""),MOD(G501-F501,1)*24,""))</f>
        <v/>
      </c>
      <c r="L501" s="37">
        <f>IF(A501="","",CHOOSE(WEEKDAY(A501,2),"Montag","Dienstag","Mittwoch","Donnerstag","Freitag","Samstag","Sonntag"))</f>
        <v/>
      </c>
      <c r="M501" s="37">
        <f>IF(A501="","",_xlfn.ISOWEEKNUM(A501))</f>
        <v/>
      </c>
      <c r="N501" s="38">
        <f>IF(A501="","",DATE(YEAR(A501),MONTH(A501),1))</f>
        <v/>
      </c>
    </row>
    <row r="502">
      <c r="A502" s="31" t="n"/>
      <c r="B502" s="32" t="n"/>
      <c r="C502" s="32" t="n"/>
      <c r="D502" s="33" t="n"/>
      <c r="E502" s="34" t="n"/>
      <c r="F502" s="35" t="n"/>
      <c r="G502" s="35" t="n"/>
      <c r="H502" s="32" t="n"/>
      <c r="I502" s="32" t="n"/>
      <c r="J502" s="32" t="n"/>
      <c r="K502" s="36">
        <f>IF(E502&lt;&gt;"",E502,IF(AND(F502&lt;&gt;"",G502&lt;&gt;""),MOD(G502-F502,1)*24,""))</f>
        <v/>
      </c>
      <c r="L502" s="37">
        <f>IF(A502="","",CHOOSE(WEEKDAY(A502,2),"Montag","Dienstag","Mittwoch","Donnerstag","Freitag","Samstag","Sonntag"))</f>
        <v/>
      </c>
      <c r="M502" s="37">
        <f>IF(A502="","",_xlfn.ISOWEEKNUM(A502))</f>
        <v/>
      </c>
      <c r="N502" s="38">
        <f>IF(A502="","",DATE(YEAR(A502),MONTH(A502),1))</f>
        <v/>
      </c>
    </row>
    <row r="503">
      <c r="A503" s="31" t="n"/>
      <c r="B503" s="32" t="n"/>
      <c r="C503" s="32" t="n"/>
      <c r="D503" s="33" t="n"/>
      <c r="E503" s="34" t="n"/>
      <c r="F503" s="35" t="n"/>
      <c r="G503" s="35" t="n"/>
      <c r="H503" s="32" t="n"/>
      <c r="I503" s="32" t="n"/>
      <c r="J503" s="32" t="n"/>
      <c r="K503" s="36">
        <f>IF(E503&lt;&gt;"",E503,IF(AND(F503&lt;&gt;"",G503&lt;&gt;""),MOD(G503-F503,1)*24,""))</f>
        <v/>
      </c>
      <c r="L503" s="37">
        <f>IF(A503="","",CHOOSE(WEEKDAY(A503,2),"Montag","Dienstag","Mittwoch","Donnerstag","Freitag","Samstag","Sonntag"))</f>
        <v/>
      </c>
      <c r="M503" s="37">
        <f>IF(A503="","",_xlfn.ISOWEEKNUM(A503))</f>
        <v/>
      </c>
      <c r="N503" s="38">
        <f>IF(A503="","",DATE(YEAR(A503),MONTH(A503),1))</f>
        <v/>
      </c>
    </row>
    <row r="504">
      <c r="A504" s="31" t="n"/>
      <c r="B504" s="32" t="n"/>
      <c r="C504" s="32" t="n"/>
      <c r="D504" s="33" t="n"/>
      <c r="E504" s="34" t="n"/>
      <c r="F504" s="35" t="n"/>
      <c r="G504" s="35" t="n"/>
      <c r="H504" s="32" t="n"/>
      <c r="I504" s="32" t="n"/>
      <c r="J504" s="32" t="n"/>
      <c r="K504" s="36">
        <f>IF(E504&lt;&gt;"",E504,IF(AND(F504&lt;&gt;"",G504&lt;&gt;""),MOD(G504-F504,1)*24,""))</f>
        <v/>
      </c>
      <c r="L504" s="37">
        <f>IF(A504="","",CHOOSE(WEEKDAY(A504,2),"Montag","Dienstag","Mittwoch","Donnerstag","Freitag","Samstag","Sonntag"))</f>
        <v/>
      </c>
      <c r="M504" s="37">
        <f>IF(A504="","",_xlfn.ISOWEEKNUM(A504))</f>
        <v/>
      </c>
      <c r="N504" s="38">
        <f>IF(A504="","",DATE(YEAR(A504),MONTH(A504),1))</f>
        <v/>
      </c>
    </row>
    <row r="505">
      <c r="A505" s="31" t="n"/>
      <c r="B505" s="32" t="n"/>
      <c r="C505" s="32" t="n"/>
      <c r="D505" s="33" t="n"/>
      <c r="E505" s="34" t="n"/>
      <c r="F505" s="35" t="n"/>
      <c r="G505" s="35" t="n"/>
      <c r="H505" s="32" t="n"/>
      <c r="I505" s="32" t="n"/>
      <c r="J505" s="32" t="n"/>
      <c r="K505" s="36">
        <f>IF(E505&lt;&gt;"",E505,IF(AND(F505&lt;&gt;"",G505&lt;&gt;""),MOD(G505-F505,1)*24,""))</f>
        <v/>
      </c>
      <c r="L505" s="37">
        <f>IF(A505="","",CHOOSE(WEEKDAY(A505,2),"Montag","Dienstag","Mittwoch","Donnerstag","Freitag","Samstag","Sonntag"))</f>
        <v/>
      </c>
      <c r="M505" s="37">
        <f>IF(A505="","",_xlfn.ISOWEEKNUM(A505))</f>
        <v/>
      </c>
      <c r="N505" s="38">
        <f>IF(A505="","",DATE(YEAR(A505),MONTH(A505),1))</f>
        <v/>
      </c>
    </row>
    <row r="506">
      <c r="A506" s="31" t="n"/>
      <c r="B506" s="32" t="n"/>
      <c r="C506" s="32" t="n"/>
      <c r="D506" s="33" t="n"/>
      <c r="E506" s="34" t="n"/>
      <c r="F506" s="35" t="n"/>
      <c r="G506" s="35" t="n"/>
      <c r="H506" s="32" t="n"/>
      <c r="I506" s="32" t="n"/>
      <c r="J506" s="32" t="n"/>
      <c r="K506" s="36">
        <f>IF(E506&lt;&gt;"",E506,IF(AND(F506&lt;&gt;"",G506&lt;&gt;""),MOD(G506-F506,1)*24,""))</f>
        <v/>
      </c>
      <c r="L506" s="37">
        <f>IF(A506="","",CHOOSE(WEEKDAY(A506,2),"Montag","Dienstag","Mittwoch","Donnerstag","Freitag","Samstag","Sonntag"))</f>
        <v/>
      </c>
      <c r="M506" s="37">
        <f>IF(A506="","",_xlfn.ISOWEEKNUM(A506))</f>
        <v/>
      </c>
      <c r="N506" s="38">
        <f>IF(A506="","",DATE(YEAR(A506),MONTH(A506),1))</f>
        <v/>
      </c>
    </row>
    <row r="507">
      <c r="A507" s="31" t="n"/>
      <c r="B507" s="32" t="n"/>
      <c r="C507" s="32" t="n"/>
      <c r="D507" s="33" t="n"/>
      <c r="E507" s="34" t="n"/>
      <c r="F507" s="35" t="n"/>
      <c r="G507" s="35" t="n"/>
      <c r="H507" s="32" t="n"/>
      <c r="I507" s="32" t="n"/>
      <c r="J507" s="32" t="n"/>
      <c r="K507" s="36">
        <f>IF(E507&lt;&gt;"",E507,IF(AND(F507&lt;&gt;"",G507&lt;&gt;""),MOD(G507-F507,1)*24,""))</f>
        <v/>
      </c>
      <c r="L507" s="37">
        <f>IF(A507="","",CHOOSE(WEEKDAY(A507,2),"Montag","Dienstag","Mittwoch","Donnerstag","Freitag","Samstag","Sonntag"))</f>
        <v/>
      </c>
      <c r="M507" s="37">
        <f>IF(A507="","",_xlfn.ISOWEEKNUM(A507))</f>
        <v/>
      </c>
      <c r="N507" s="38">
        <f>IF(A507="","",DATE(YEAR(A507),MONTH(A507),1))</f>
        <v/>
      </c>
    </row>
    <row r="508">
      <c r="A508" s="31" t="n"/>
      <c r="B508" s="32" t="n"/>
      <c r="C508" s="32" t="n"/>
      <c r="D508" s="33" t="n"/>
      <c r="E508" s="34" t="n"/>
      <c r="F508" s="35" t="n"/>
      <c r="G508" s="35" t="n"/>
      <c r="H508" s="32" t="n"/>
      <c r="I508" s="32" t="n"/>
      <c r="J508" s="32" t="n"/>
      <c r="K508" s="36">
        <f>IF(E508&lt;&gt;"",E508,IF(AND(F508&lt;&gt;"",G508&lt;&gt;""),MOD(G508-F508,1)*24,""))</f>
        <v/>
      </c>
      <c r="L508" s="37">
        <f>IF(A508="","",CHOOSE(WEEKDAY(A508,2),"Montag","Dienstag","Mittwoch","Donnerstag","Freitag","Samstag","Sonntag"))</f>
        <v/>
      </c>
      <c r="M508" s="37">
        <f>IF(A508="","",_xlfn.ISOWEEKNUM(A508))</f>
        <v/>
      </c>
      <c r="N508" s="38">
        <f>IF(A508="","",DATE(YEAR(A508),MONTH(A508),1))</f>
        <v/>
      </c>
    </row>
    <row r="509">
      <c r="A509" s="31" t="n"/>
      <c r="B509" s="32" t="n"/>
      <c r="C509" s="32" t="n"/>
      <c r="D509" s="33" t="n"/>
      <c r="E509" s="34" t="n"/>
      <c r="F509" s="35" t="n"/>
      <c r="G509" s="35" t="n"/>
      <c r="H509" s="32" t="n"/>
      <c r="I509" s="32" t="n"/>
      <c r="J509" s="32" t="n"/>
      <c r="K509" s="36">
        <f>IF(E509&lt;&gt;"",E509,IF(AND(F509&lt;&gt;"",G509&lt;&gt;""),MOD(G509-F509,1)*24,""))</f>
        <v/>
      </c>
      <c r="L509" s="37">
        <f>IF(A509="","",CHOOSE(WEEKDAY(A509,2),"Montag","Dienstag","Mittwoch","Donnerstag","Freitag","Samstag","Sonntag"))</f>
        <v/>
      </c>
      <c r="M509" s="37">
        <f>IF(A509="","",_xlfn.ISOWEEKNUM(A509))</f>
        <v/>
      </c>
      <c r="N509" s="38">
        <f>IF(A509="","",DATE(YEAR(A509),MONTH(A509),1))</f>
        <v/>
      </c>
    </row>
    <row r="510">
      <c r="A510" s="31" t="n"/>
      <c r="B510" s="32" t="n"/>
      <c r="C510" s="32" t="n"/>
      <c r="D510" s="33" t="n"/>
      <c r="E510" s="34" t="n"/>
      <c r="F510" s="35" t="n"/>
      <c r="G510" s="35" t="n"/>
      <c r="H510" s="32" t="n"/>
      <c r="I510" s="32" t="n"/>
      <c r="J510" s="32" t="n"/>
      <c r="K510" s="36">
        <f>IF(E510&lt;&gt;"",E510,IF(AND(F510&lt;&gt;"",G510&lt;&gt;""),MOD(G510-F510,1)*24,""))</f>
        <v/>
      </c>
      <c r="L510" s="37">
        <f>IF(A510="","",CHOOSE(WEEKDAY(A510,2),"Montag","Dienstag","Mittwoch","Donnerstag","Freitag","Samstag","Sonntag"))</f>
        <v/>
      </c>
      <c r="M510" s="37">
        <f>IF(A510="","",_xlfn.ISOWEEKNUM(A510))</f>
        <v/>
      </c>
      <c r="N510" s="38">
        <f>IF(A510="","",DATE(YEAR(A510),MONTH(A510),1))</f>
        <v/>
      </c>
    </row>
    <row r="511">
      <c r="A511" s="31" t="n"/>
      <c r="B511" s="32" t="n"/>
      <c r="C511" s="32" t="n"/>
      <c r="D511" s="33" t="n"/>
      <c r="E511" s="34" t="n"/>
      <c r="F511" s="35" t="n"/>
      <c r="G511" s="35" t="n"/>
      <c r="H511" s="32" t="n"/>
      <c r="I511" s="32" t="n"/>
      <c r="J511" s="32" t="n"/>
      <c r="K511" s="36">
        <f>IF(E511&lt;&gt;"",E511,IF(AND(F511&lt;&gt;"",G511&lt;&gt;""),MOD(G511-F511,1)*24,""))</f>
        <v/>
      </c>
      <c r="L511" s="37">
        <f>IF(A511="","",CHOOSE(WEEKDAY(A511,2),"Montag","Dienstag","Mittwoch","Donnerstag","Freitag","Samstag","Sonntag"))</f>
        <v/>
      </c>
      <c r="M511" s="37">
        <f>IF(A511="","",_xlfn.ISOWEEKNUM(A511))</f>
        <v/>
      </c>
      <c r="N511" s="38">
        <f>IF(A511="","",DATE(YEAR(A511),MONTH(A511),1))</f>
        <v/>
      </c>
    </row>
    <row r="512">
      <c r="A512" s="31" t="n"/>
      <c r="B512" s="32" t="n"/>
      <c r="C512" s="32" t="n"/>
      <c r="D512" s="33" t="n"/>
      <c r="E512" s="34" t="n"/>
      <c r="F512" s="35" t="n"/>
      <c r="G512" s="35" t="n"/>
      <c r="H512" s="32" t="n"/>
      <c r="I512" s="32" t="n"/>
      <c r="J512" s="32" t="n"/>
      <c r="K512" s="36">
        <f>IF(E512&lt;&gt;"",E512,IF(AND(F512&lt;&gt;"",G512&lt;&gt;""),MOD(G512-F512,1)*24,""))</f>
        <v/>
      </c>
      <c r="L512" s="37">
        <f>IF(A512="","",CHOOSE(WEEKDAY(A512,2),"Montag","Dienstag","Mittwoch","Donnerstag","Freitag","Samstag","Sonntag"))</f>
        <v/>
      </c>
      <c r="M512" s="37">
        <f>IF(A512="","",_xlfn.ISOWEEKNUM(A512))</f>
        <v/>
      </c>
      <c r="N512" s="38">
        <f>IF(A512="","",DATE(YEAR(A512),MONTH(A512),1))</f>
        <v/>
      </c>
    </row>
    <row r="513">
      <c r="A513" s="31" t="n"/>
      <c r="B513" s="32" t="n"/>
      <c r="C513" s="32" t="n"/>
      <c r="D513" s="33" t="n"/>
      <c r="E513" s="34" t="n"/>
      <c r="F513" s="35" t="n"/>
      <c r="G513" s="35" t="n"/>
      <c r="H513" s="32" t="n"/>
      <c r="I513" s="32" t="n"/>
      <c r="J513" s="32" t="n"/>
      <c r="K513" s="36">
        <f>IF(E513&lt;&gt;"",E513,IF(AND(F513&lt;&gt;"",G513&lt;&gt;""),MOD(G513-F513,1)*24,""))</f>
        <v/>
      </c>
      <c r="L513" s="37">
        <f>IF(A513="","",CHOOSE(WEEKDAY(A513,2),"Montag","Dienstag","Mittwoch","Donnerstag","Freitag","Samstag","Sonntag"))</f>
        <v/>
      </c>
      <c r="M513" s="37">
        <f>IF(A513="","",_xlfn.ISOWEEKNUM(A513))</f>
        <v/>
      </c>
      <c r="N513" s="38">
        <f>IF(A513="","",DATE(YEAR(A513),MONTH(A513),1))</f>
        <v/>
      </c>
    </row>
    <row r="514">
      <c r="A514" s="31" t="n"/>
      <c r="B514" s="32" t="n"/>
      <c r="C514" s="32" t="n"/>
      <c r="D514" s="33" t="n"/>
      <c r="E514" s="34" t="n"/>
      <c r="F514" s="35" t="n"/>
      <c r="G514" s="35" t="n"/>
      <c r="H514" s="32" t="n"/>
      <c r="I514" s="32" t="n"/>
      <c r="J514" s="32" t="n"/>
      <c r="K514" s="36">
        <f>IF(E514&lt;&gt;"",E514,IF(AND(F514&lt;&gt;"",G514&lt;&gt;""),MOD(G514-F514,1)*24,""))</f>
        <v/>
      </c>
      <c r="L514" s="37">
        <f>IF(A514="","",CHOOSE(WEEKDAY(A514,2),"Montag","Dienstag","Mittwoch","Donnerstag","Freitag","Samstag","Sonntag"))</f>
        <v/>
      </c>
      <c r="M514" s="37">
        <f>IF(A514="","",_xlfn.ISOWEEKNUM(A514))</f>
        <v/>
      </c>
      <c r="N514" s="38">
        <f>IF(A514="","",DATE(YEAR(A514),MONTH(A514),1))</f>
        <v/>
      </c>
    </row>
    <row r="515">
      <c r="A515" s="31" t="n"/>
      <c r="B515" s="32" t="n"/>
      <c r="C515" s="32" t="n"/>
      <c r="D515" s="33" t="n"/>
      <c r="E515" s="34" t="n"/>
      <c r="F515" s="35" t="n"/>
      <c r="G515" s="35" t="n"/>
      <c r="H515" s="32" t="n"/>
      <c r="I515" s="32" t="n"/>
      <c r="J515" s="32" t="n"/>
      <c r="K515" s="36">
        <f>IF(E515&lt;&gt;"",E515,IF(AND(F515&lt;&gt;"",G515&lt;&gt;""),MOD(G515-F515,1)*24,""))</f>
        <v/>
      </c>
      <c r="L515" s="37">
        <f>IF(A515="","",CHOOSE(WEEKDAY(A515,2),"Montag","Dienstag","Mittwoch","Donnerstag","Freitag","Samstag","Sonntag"))</f>
        <v/>
      </c>
      <c r="M515" s="37">
        <f>IF(A515="","",_xlfn.ISOWEEKNUM(A515))</f>
        <v/>
      </c>
      <c r="N515" s="38">
        <f>IF(A515="","",DATE(YEAR(A515),MONTH(A515),1))</f>
        <v/>
      </c>
    </row>
    <row r="516">
      <c r="A516" s="31" t="n"/>
      <c r="B516" s="32" t="n"/>
      <c r="C516" s="32" t="n"/>
      <c r="D516" s="33" t="n"/>
      <c r="E516" s="34" t="n"/>
      <c r="F516" s="35" t="n"/>
      <c r="G516" s="35" t="n"/>
      <c r="H516" s="32" t="n"/>
      <c r="I516" s="32" t="n"/>
      <c r="J516" s="32" t="n"/>
      <c r="K516" s="36">
        <f>IF(E516&lt;&gt;"",E516,IF(AND(F516&lt;&gt;"",G516&lt;&gt;""),MOD(G516-F516,1)*24,""))</f>
        <v/>
      </c>
      <c r="L516" s="37">
        <f>IF(A516="","",CHOOSE(WEEKDAY(A516,2),"Montag","Dienstag","Mittwoch","Donnerstag","Freitag","Samstag","Sonntag"))</f>
        <v/>
      </c>
      <c r="M516" s="37">
        <f>IF(A516="","",_xlfn.ISOWEEKNUM(A516))</f>
        <v/>
      </c>
      <c r="N516" s="38">
        <f>IF(A516="","",DATE(YEAR(A516),MONTH(A516),1))</f>
        <v/>
      </c>
    </row>
    <row r="517">
      <c r="A517" s="31" t="n"/>
      <c r="B517" s="32" t="n"/>
      <c r="C517" s="32" t="n"/>
      <c r="D517" s="33" t="n"/>
      <c r="E517" s="34" t="n"/>
      <c r="F517" s="35" t="n"/>
      <c r="G517" s="35" t="n"/>
      <c r="H517" s="32" t="n"/>
      <c r="I517" s="32" t="n"/>
      <c r="J517" s="32" t="n"/>
      <c r="K517" s="36">
        <f>IF(E517&lt;&gt;"",E517,IF(AND(F517&lt;&gt;"",G517&lt;&gt;""),MOD(G517-F517,1)*24,""))</f>
        <v/>
      </c>
      <c r="L517" s="37">
        <f>IF(A517="","",CHOOSE(WEEKDAY(A517,2),"Montag","Dienstag","Mittwoch","Donnerstag","Freitag","Samstag","Sonntag"))</f>
        <v/>
      </c>
      <c r="M517" s="37">
        <f>IF(A517="","",_xlfn.ISOWEEKNUM(A517))</f>
        <v/>
      </c>
      <c r="N517" s="38">
        <f>IF(A517="","",DATE(YEAR(A517),MONTH(A517),1))</f>
        <v/>
      </c>
    </row>
    <row r="518">
      <c r="A518" s="31" t="n"/>
      <c r="B518" s="32" t="n"/>
      <c r="C518" s="32" t="n"/>
      <c r="D518" s="33" t="n"/>
      <c r="E518" s="34" t="n"/>
      <c r="F518" s="35" t="n"/>
      <c r="G518" s="35" t="n"/>
      <c r="H518" s="32" t="n"/>
      <c r="I518" s="32" t="n"/>
      <c r="J518" s="32" t="n"/>
      <c r="K518" s="36">
        <f>IF(E518&lt;&gt;"",E518,IF(AND(F518&lt;&gt;"",G518&lt;&gt;""),MOD(G518-F518,1)*24,""))</f>
        <v/>
      </c>
      <c r="L518" s="37">
        <f>IF(A518="","",CHOOSE(WEEKDAY(A518,2),"Montag","Dienstag","Mittwoch","Donnerstag","Freitag","Samstag","Sonntag"))</f>
        <v/>
      </c>
      <c r="M518" s="37">
        <f>IF(A518="","",_xlfn.ISOWEEKNUM(A518))</f>
        <v/>
      </c>
      <c r="N518" s="38">
        <f>IF(A518="","",DATE(YEAR(A518),MONTH(A518),1))</f>
        <v/>
      </c>
    </row>
    <row r="519">
      <c r="A519" s="31" t="n"/>
      <c r="B519" s="32" t="n"/>
      <c r="C519" s="32" t="n"/>
      <c r="D519" s="33" t="n"/>
      <c r="E519" s="34" t="n"/>
      <c r="F519" s="35" t="n"/>
      <c r="G519" s="35" t="n"/>
      <c r="H519" s="32" t="n"/>
      <c r="I519" s="32" t="n"/>
      <c r="J519" s="32" t="n"/>
      <c r="K519" s="36">
        <f>IF(E519&lt;&gt;"",E519,IF(AND(F519&lt;&gt;"",G519&lt;&gt;""),MOD(G519-F519,1)*24,""))</f>
        <v/>
      </c>
      <c r="L519" s="37">
        <f>IF(A519="","",CHOOSE(WEEKDAY(A519,2),"Montag","Dienstag","Mittwoch","Donnerstag","Freitag","Samstag","Sonntag"))</f>
        <v/>
      </c>
      <c r="M519" s="37">
        <f>IF(A519="","",_xlfn.ISOWEEKNUM(A519))</f>
        <v/>
      </c>
      <c r="N519" s="38">
        <f>IF(A519="","",DATE(YEAR(A519),MONTH(A519),1))</f>
        <v/>
      </c>
    </row>
    <row r="520">
      <c r="A520" s="31" t="n"/>
      <c r="B520" s="32" t="n"/>
      <c r="C520" s="32" t="n"/>
      <c r="D520" s="33" t="n"/>
      <c r="E520" s="34" t="n"/>
      <c r="F520" s="35" t="n"/>
      <c r="G520" s="35" t="n"/>
      <c r="H520" s="32" t="n"/>
      <c r="I520" s="32" t="n"/>
      <c r="J520" s="32" t="n"/>
      <c r="K520" s="36">
        <f>IF(E520&lt;&gt;"",E520,IF(AND(F520&lt;&gt;"",G520&lt;&gt;""),MOD(G520-F520,1)*24,""))</f>
        <v/>
      </c>
      <c r="L520" s="37">
        <f>IF(A520="","",CHOOSE(WEEKDAY(A520,2),"Montag","Dienstag","Mittwoch","Donnerstag","Freitag","Samstag","Sonntag"))</f>
        <v/>
      </c>
      <c r="M520" s="37">
        <f>IF(A520="","",_xlfn.ISOWEEKNUM(A520))</f>
        <v/>
      </c>
      <c r="N520" s="38">
        <f>IF(A520="","",DATE(YEAR(A520),MONTH(A520),1))</f>
        <v/>
      </c>
    </row>
    <row r="521">
      <c r="A521" s="31" t="n"/>
      <c r="B521" s="32" t="n"/>
      <c r="C521" s="32" t="n"/>
      <c r="D521" s="33" t="n"/>
      <c r="E521" s="34" t="n"/>
      <c r="F521" s="35" t="n"/>
      <c r="G521" s="35" t="n"/>
      <c r="H521" s="32" t="n"/>
      <c r="I521" s="32" t="n"/>
      <c r="J521" s="32" t="n"/>
      <c r="K521" s="36">
        <f>IF(E521&lt;&gt;"",E521,IF(AND(F521&lt;&gt;"",G521&lt;&gt;""),MOD(G521-F521,1)*24,""))</f>
        <v/>
      </c>
      <c r="L521" s="37">
        <f>IF(A521="","",CHOOSE(WEEKDAY(A521,2),"Montag","Dienstag","Mittwoch","Donnerstag","Freitag","Samstag","Sonntag"))</f>
        <v/>
      </c>
      <c r="M521" s="37">
        <f>IF(A521="","",_xlfn.ISOWEEKNUM(A521))</f>
        <v/>
      </c>
      <c r="N521" s="38">
        <f>IF(A521="","",DATE(YEAR(A521),MONTH(A521),1))</f>
        <v/>
      </c>
    </row>
    <row r="522">
      <c r="A522" s="31" t="n"/>
      <c r="B522" s="32" t="n"/>
      <c r="C522" s="32" t="n"/>
      <c r="D522" s="33" t="n"/>
      <c r="E522" s="34" t="n"/>
      <c r="F522" s="35" t="n"/>
      <c r="G522" s="35" t="n"/>
      <c r="H522" s="32" t="n"/>
      <c r="I522" s="32" t="n"/>
      <c r="J522" s="32" t="n"/>
      <c r="K522" s="36">
        <f>IF(E522&lt;&gt;"",E522,IF(AND(F522&lt;&gt;"",G522&lt;&gt;""),MOD(G522-F522,1)*24,""))</f>
        <v/>
      </c>
      <c r="L522" s="37">
        <f>IF(A522="","",CHOOSE(WEEKDAY(A522,2),"Montag","Dienstag","Mittwoch","Donnerstag","Freitag","Samstag","Sonntag"))</f>
        <v/>
      </c>
      <c r="M522" s="37">
        <f>IF(A522="","",_xlfn.ISOWEEKNUM(A522))</f>
        <v/>
      </c>
      <c r="N522" s="38">
        <f>IF(A522="","",DATE(YEAR(A522),MONTH(A522),1))</f>
        <v/>
      </c>
    </row>
    <row r="523">
      <c r="A523" s="31" t="n"/>
      <c r="B523" s="32" t="n"/>
      <c r="C523" s="32" t="n"/>
      <c r="D523" s="33" t="n"/>
      <c r="E523" s="34" t="n"/>
      <c r="F523" s="35" t="n"/>
      <c r="G523" s="35" t="n"/>
      <c r="H523" s="32" t="n"/>
      <c r="I523" s="32" t="n"/>
      <c r="J523" s="32" t="n"/>
      <c r="K523" s="36">
        <f>IF(E523&lt;&gt;"",E523,IF(AND(F523&lt;&gt;"",G523&lt;&gt;""),MOD(G523-F523,1)*24,""))</f>
        <v/>
      </c>
      <c r="L523" s="37">
        <f>IF(A523="","",CHOOSE(WEEKDAY(A523,2),"Montag","Dienstag","Mittwoch","Donnerstag","Freitag","Samstag","Sonntag"))</f>
        <v/>
      </c>
      <c r="M523" s="37">
        <f>IF(A523="","",_xlfn.ISOWEEKNUM(A523))</f>
        <v/>
      </c>
      <c r="N523" s="38">
        <f>IF(A523="","",DATE(YEAR(A523),MONTH(A523),1))</f>
        <v/>
      </c>
    </row>
    <row r="524">
      <c r="A524" s="31" t="n"/>
      <c r="B524" s="32" t="n"/>
      <c r="C524" s="32" t="n"/>
      <c r="D524" s="33" t="n"/>
      <c r="E524" s="34" t="n"/>
      <c r="F524" s="35" t="n"/>
      <c r="G524" s="35" t="n"/>
      <c r="H524" s="32" t="n"/>
      <c r="I524" s="32" t="n"/>
      <c r="J524" s="32" t="n"/>
      <c r="K524" s="36">
        <f>IF(E524&lt;&gt;"",E524,IF(AND(F524&lt;&gt;"",G524&lt;&gt;""),MOD(G524-F524,1)*24,""))</f>
        <v/>
      </c>
      <c r="L524" s="37">
        <f>IF(A524="","",CHOOSE(WEEKDAY(A524,2),"Montag","Dienstag","Mittwoch","Donnerstag","Freitag","Samstag","Sonntag"))</f>
        <v/>
      </c>
      <c r="M524" s="37">
        <f>IF(A524="","",_xlfn.ISOWEEKNUM(A524))</f>
        <v/>
      </c>
      <c r="N524" s="38">
        <f>IF(A524="","",DATE(YEAR(A524),MONTH(A524),1))</f>
        <v/>
      </c>
    </row>
    <row r="525">
      <c r="A525" s="31" t="n"/>
      <c r="B525" s="32" t="n"/>
      <c r="C525" s="32" t="n"/>
      <c r="D525" s="33" t="n"/>
      <c r="E525" s="34" t="n"/>
      <c r="F525" s="35" t="n"/>
      <c r="G525" s="35" t="n"/>
      <c r="H525" s="32" t="n"/>
      <c r="I525" s="32" t="n"/>
      <c r="J525" s="32" t="n"/>
      <c r="K525" s="36">
        <f>IF(E525&lt;&gt;"",E525,IF(AND(F525&lt;&gt;"",G525&lt;&gt;""),MOD(G525-F525,1)*24,""))</f>
        <v/>
      </c>
      <c r="L525" s="37">
        <f>IF(A525="","",CHOOSE(WEEKDAY(A525,2),"Montag","Dienstag","Mittwoch","Donnerstag","Freitag","Samstag","Sonntag"))</f>
        <v/>
      </c>
      <c r="M525" s="37">
        <f>IF(A525="","",_xlfn.ISOWEEKNUM(A525))</f>
        <v/>
      </c>
      <c r="N525" s="38">
        <f>IF(A525="","",DATE(YEAR(A525),MONTH(A525),1))</f>
        <v/>
      </c>
    </row>
    <row r="526">
      <c r="A526" s="31" t="n"/>
      <c r="B526" s="32" t="n"/>
      <c r="C526" s="32" t="n"/>
      <c r="D526" s="33" t="n"/>
      <c r="E526" s="34" t="n"/>
      <c r="F526" s="35" t="n"/>
      <c r="G526" s="35" t="n"/>
      <c r="H526" s="32" t="n"/>
      <c r="I526" s="32" t="n"/>
      <c r="J526" s="32" t="n"/>
      <c r="K526" s="36">
        <f>IF(E526&lt;&gt;"",E526,IF(AND(F526&lt;&gt;"",G526&lt;&gt;""),MOD(G526-F526,1)*24,""))</f>
        <v/>
      </c>
      <c r="L526" s="37">
        <f>IF(A526="","",CHOOSE(WEEKDAY(A526,2),"Montag","Dienstag","Mittwoch","Donnerstag","Freitag","Samstag","Sonntag"))</f>
        <v/>
      </c>
      <c r="M526" s="37">
        <f>IF(A526="","",_xlfn.ISOWEEKNUM(A526))</f>
        <v/>
      </c>
      <c r="N526" s="38">
        <f>IF(A526="","",DATE(YEAR(A526),MONTH(A526),1))</f>
        <v/>
      </c>
    </row>
    <row r="527">
      <c r="A527" s="31" t="n"/>
      <c r="B527" s="32" t="n"/>
      <c r="C527" s="32" t="n"/>
      <c r="D527" s="33" t="n"/>
      <c r="E527" s="34" t="n"/>
      <c r="F527" s="35" t="n"/>
      <c r="G527" s="35" t="n"/>
      <c r="H527" s="32" t="n"/>
      <c r="I527" s="32" t="n"/>
      <c r="J527" s="32" t="n"/>
      <c r="K527" s="36">
        <f>IF(E527&lt;&gt;"",E527,IF(AND(F527&lt;&gt;"",G527&lt;&gt;""),MOD(G527-F527,1)*24,""))</f>
        <v/>
      </c>
      <c r="L527" s="37">
        <f>IF(A527="","",CHOOSE(WEEKDAY(A527,2),"Montag","Dienstag","Mittwoch","Donnerstag","Freitag","Samstag","Sonntag"))</f>
        <v/>
      </c>
      <c r="M527" s="37">
        <f>IF(A527="","",_xlfn.ISOWEEKNUM(A527))</f>
        <v/>
      </c>
      <c r="N527" s="38">
        <f>IF(A527="","",DATE(YEAR(A527),MONTH(A527),1))</f>
        <v/>
      </c>
    </row>
    <row r="528">
      <c r="A528" s="31" t="n"/>
      <c r="B528" s="32" t="n"/>
      <c r="C528" s="32" t="n"/>
      <c r="D528" s="33" t="n"/>
      <c r="E528" s="34" t="n"/>
      <c r="F528" s="35" t="n"/>
      <c r="G528" s="35" t="n"/>
      <c r="H528" s="32" t="n"/>
      <c r="I528" s="32" t="n"/>
      <c r="J528" s="32" t="n"/>
      <c r="K528" s="36">
        <f>IF(E528&lt;&gt;"",E528,IF(AND(F528&lt;&gt;"",G528&lt;&gt;""),MOD(G528-F528,1)*24,""))</f>
        <v/>
      </c>
      <c r="L528" s="37">
        <f>IF(A528="","",CHOOSE(WEEKDAY(A528,2),"Montag","Dienstag","Mittwoch","Donnerstag","Freitag","Samstag","Sonntag"))</f>
        <v/>
      </c>
      <c r="M528" s="37">
        <f>IF(A528="","",_xlfn.ISOWEEKNUM(A528))</f>
        <v/>
      </c>
      <c r="N528" s="38">
        <f>IF(A528="","",DATE(YEAR(A528),MONTH(A528),1))</f>
        <v/>
      </c>
    </row>
    <row r="529">
      <c r="A529" s="31" t="n"/>
      <c r="B529" s="32" t="n"/>
      <c r="C529" s="32" t="n"/>
      <c r="D529" s="33" t="n"/>
      <c r="E529" s="34" t="n"/>
      <c r="F529" s="35" t="n"/>
      <c r="G529" s="35" t="n"/>
      <c r="H529" s="32" t="n"/>
      <c r="I529" s="32" t="n"/>
      <c r="J529" s="32" t="n"/>
      <c r="K529" s="36">
        <f>IF(E529&lt;&gt;"",E529,IF(AND(F529&lt;&gt;"",G529&lt;&gt;""),MOD(G529-F529,1)*24,""))</f>
        <v/>
      </c>
      <c r="L529" s="37">
        <f>IF(A529="","",CHOOSE(WEEKDAY(A529,2),"Montag","Dienstag","Mittwoch","Donnerstag","Freitag","Samstag","Sonntag"))</f>
        <v/>
      </c>
      <c r="M529" s="37">
        <f>IF(A529="","",_xlfn.ISOWEEKNUM(A529))</f>
        <v/>
      </c>
      <c r="N529" s="38">
        <f>IF(A529="","",DATE(YEAR(A529),MONTH(A529),1))</f>
        <v/>
      </c>
    </row>
    <row r="530">
      <c r="A530" s="31" t="n"/>
      <c r="B530" s="32" t="n"/>
      <c r="C530" s="32" t="n"/>
      <c r="D530" s="33" t="n"/>
      <c r="E530" s="34" t="n"/>
      <c r="F530" s="35" t="n"/>
      <c r="G530" s="35" t="n"/>
      <c r="H530" s="32" t="n"/>
      <c r="I530" s="32" t="n"/>
      <c r="J530" s="32" t="n"/>
      <c r="K530" s="36">
        <f>IF(E530&lt;&gt;"",E530,IF(AND(F530&lt;&gt;"",G530&lt;&gt;""),MOD(G530-F530,1)*24,""))</f>
        <v/>
      </c>
      <c r="L530" s="37">
        <f>IF(A530="","",CHOOSE(WEEKDAY(A530,2),"Montag","Dienstag","Mittwoch","Donnerstag","Freitag","Samstag","Sonntag"))</f>
        <v/>
      </c>
      <c r="M530" s="37">
        <f>IF(A530="","",_xlfn.ISOWEEKNUM(A530))</f>
        <v/>
      </c>
      <c r="N530" s="38">
        <f>IF(A530="","",DATE(YEAR(A530),MONTH(A530),1))</f>
        <v/>
      </c>
    </row>
    <row r="531">
      <c r="A531" s="31" t="n"/>
      <c r="B531" s="32" t="n"/>
      <c r="C531" s="32" t="n"/>
      <c r="D531" s="33" t="n"/>
      <c r="E531" s="34" t="n"/>
      <c r="F531" s="35" t="n"/>
      <c r="G531" s="35" t="n"/>
      <c r="H531" s="32" t="n"/>
      <c r="I531" s="32" t="n"/>
      <c r="J531" s="32" t="n"/>
      <c r="K531" s="36">
        <f>IF(E531&lt;&gt;"",E531,IF(AND(F531&lt;&gt;"",G531&lt;&gt;""),MOD(G531-F531,1)*24,""))</f>
        <v/>
      </c>
      <c r="L531" s="37">
        <f>IF(A531="","",CHOOSE(WEEKDAY(A531,2),"Montag","Dienstag","Mittwoch","Donnerstag","Freitag","Samstag","Sonntag"))</f>
        <v/>
      </c>
      <c r="M531" s="37">
        <f>IF(A531="","",_xlfn.ISOWEEKNUM(A531))</f>
        <v/>
      </c>
      <c r="N531" s="38">
        <f>IF(A531="","",DATE(YEAR(A531),MONTH(A531),1))</f>
        <v/>
      </c>
    </row>
    <row r="532">
      <c r="A532" s="31" t="n"/>
      <c r="B532" s="32" t="n"/>
      <c r="C532" s="32" t="n"/>
      <c r="D532" s="33" t="n"/>
      <c r="E532" s="34" t="n"/>
      <c r="F532" s="35" t="n"/>
      <c r="G532" s="35" t="n"/>
      <c r="H532" s="32" t="n"/>
      <c r="I532" s="32" t="n"/>
      <c r="J532" s="32" t="n"/>
      <c r="K532" s="36">
        <f>IF(E532&lt;&gt;"",E532,IF(AND(F532&lt;&gt;"",G532&lt;&gt;""),MOD(G532-F532,1)*24,""))</f>
        <v/>
      </c>
      <c r="L532" s="37">
        <f>IF(A532="","",CHOOSE(WEEKDAY(A532,2),"Montag","Dienstag","Mittwoch","Donnerstag","Freitag","Samstag","Sonntag"))</f>
        <v/>
      </c>
      <c r="M532" s="37">
        <f>IF(A532="","",_xlfn.ISOWEEKNUM(A532))</f>
        <v/>
      </c>
      <c r="N532" s="38">
        <f>IF(A532="","",DATE(YEAR(A532),MONTH(A532),1))</f>
        <v/>
      </c>
    </row>
    <row r="533">
      <c r="A533" s="31" t="n"/>
      <c r="B533" s="32" t="n"/>
      <c r="C533" s="32" t="n"/>
      <c r="D533" s="33" t="n"/>
      <c r="E533" s="34" t="n"/>
      <c r="F533" s="35" t="n"/>
      <c r="G533" s="35" t="n"/>
      <c r="H533" s="32" t="n"/>
      <c r="I533" s="32" t="n"/>
      <c r="J533" s="32" t="n"/>
      <c r="K533" s="36">
        <f>IF(E533&lt;&gt;"",E533,IF(AND(F533&lt;&gt;"",G533&lt;&gt;""),MOD(G533-F533,1)*24,""))</f>
        <v/>
      </c>
      <c r="L533" s="37">
        <f>IF(A533="","",CHOOSE(WEEKDAY(A533,2),"Montag","Dienstag","Mittwoch","Donnerstag","Freitag","Samstag","Sonntag"))</f>
        <v/>
      </c>
      <c r="M533" s="37">
        <f>IF(A533="","",_xlfn.ISOWEEKNUM(A533))</f>
        <v/>
      </c>
      <c r="N533" s="38">
        <f>IF(A533="","",DATE(YEAR(A533),MONTH(A533),1))</f>
        <v/>
      </c>
    </row>
    <row r="534">
      <c r="A534" s="31" t="n"/>
      <c r="B534" s="32" t="n"/>
      <c r="C534" s="32" t="n"/>
      <c r="D534" s="33" t="n"/>
      <c r="E534" s="34" t="n"/>
      <c r="F534" s="35" t="n"/>
      <c r="G534" s="35" t="n"/>
      <c r="H534" s="32" t="n"/>
      <c r="I534" s="32" t="n"/>
      <c r="J534" s="32" t="n"/>
      <c r="K534" s="36">
        <f>IF(E534&lt;&gt;"",E534,IF(AND(F534&lt;&gt;"",G534&lt;&gt;""),MOD(G534-F534,1)*24,""))</f>
        <v/>
      </c>
      <c r="L534" s="37">
        <f>IF(A534="","",CHOOSE(WEEKDAY(A534,2),"Montag","Dienstag","Mittwoch","Donnerstag","Freitag","Samstag","Sonntag"))</f>
        <v/>
      </c>
      <c r="M534" s="37">
        <f>IF(A534="","",_xlfn.ISOWEEKNUM(A534))</f>
        <v/>
      </c>
      <c r="N534" s="38">
        <f>IF(A534="","",DATE(YEAR(A534),MONTH(A534),1))</f>
        <v/>
      </c>
    </row>
    <row r="535">
      <c r="A535" s="31" t="n"/>
      <c r="B535" s="32" t="n"/>
      <c r="C535" s="32" t="n"/>
      <c r="D535" s="33" t="n"/>
      <c r="E535" s="34" t="n"/>
      <c r="F535" s="35" t="n"/>
      <c r="G535" s="35" t="n"/>
      <c r="H535" s="32" t="n"/>
      <c r="I535" s="32" t="n"/>
      <c r="J535" s="32" t="n"/>
      <c r="K535" s="36">
        <f>IF(E535&lt;&gt;"",E535,IF(AND(F535&lt;&gt;"",G535&lt;&gt;""),MOD(G535-F535,1)*24,""))</f>
        <v/>
      </c>
      <c r="L535" s="37">
        <f>IF(A535="","",CHOOSE(WEEKDAY(A535,2),"Montag","Dienstag","Mittwoch","Donnerstag","Freitag","Samstag","Sonntag"))</f>
        <v/>
      </c>
      <c r="M535" s="37">
        <f>IF(A535="","",_xlfn.ISOWEEKNUM(A535))</f>
        <v/>
      </c>
      <c r="N535" s="38">
        <f>IF(A535="","",DATE(YEAR(A535),MONTH(A535),1))</f>
        <v/>
      </c>
    </row>
    <row r="536">
      <c r="A536" s="31" t="n"/>
      <c r="B536" s="32" t="n"/>
      <c r="C536" s="32" t="n"/>
      <c r="D536" s="33" t="n"/>
      <c r="E536" s="34" t="n"/>
      <c r="F536" s="35" t="n"/>
      <c r="G536" s="35" t="n"/>
      <c r="H536" s="32" t="n"/>
      <c r="I536" s="32" t="n"/>
      <c r="J536" s="32" t="n"/>
      <c r="K536" s="36">
        <f>IF(E536&lt;&gt;"",E536,IF(AND(F536&lt;&gt;"",G536&lt;&gt;""),MOD(G536-F536,1)*24,""))</f>
        <v/>
      </c>
      <c r="L536" s="37">
        <f>IF(A536="","",CHOOSE(WEEKDAY(A536,2),"Montag","Dienstag","Mittwoch","Donnerstag","Freitag","Samstag","Sonntag"))</f>
        <v/>
      </c>
      <c r="M536" s="37">
        <f>IF(A536="","",_xlfn.ISOWEEKNUM(A536))</f>
        <v/>
      </c>
      <c r="N536" s="38">
        <f>IF(A536="","",DATE(YEAR(A536),MONTH(A536),1))</f>
        <v/>
      </c>
    </row>
    <row r="537">
      <c r="A537" s="31" t="n"/>
      <c r="B537" s="32" t="n"/>
      <c r="C537" s="32" t="n"/>
      <c r="D537" s="33" t="n"/>
      <c r="E537" s="34" t="n"/>
      <c r="F537" s="35" t="n"/>
      <c r="G537" s="35" t="n"/>
      <c r="H537" s="32" t="n"/>
      <c r="I537" s="32" t="n"/>
      <c r="J537" s="32" t="n"/>
      <c r="K537" s="36">
        <f>IF(E537&lt;&gt;"",E537,IF(AND(F537&lt;&gt;"",G537&lt;&gt;""),MOD(G537-F537,1)*24,""))</f>
        <v/>
      </c>
      <c r="L537" s="37">
        <f>IF(A537="","",CHOOSE(WEEKDAY(A537,2),"Montag","Dienstag","Mittwoch","Donnerstag","Freitag","Samstag","Sonntag"))</f>
        <v/>
      </c>
      <c r="M537" s="37">
        <f>IF(A537="","",_xlfn.ISOWEEKNUM(A537))</f>
        <v/>
      </c>
      <c r="N537" s="38">
        <f>IF(A537="","",DATE(YEAR(A537),MONTH(A537),1))</f>
        <v/>
      </c>
    </row>
    <row r="538">
      <c r="A538" s="31" t="n"/>
      <c r="B538" s="32" t="n"/>
      <c r="C538" s="32" t="n"/>
      <c r="D538" s="33" t="n"/>
      <c r="E538" s="34" t="n"/>
      <c r="F538" s="35" t="n"/>
      <c r="G538" s="35" t="n"/>
      <c r="H538" s="32" t="n"/>
      <c r="I538" s="32" t="n"/>
      <c r="J538" s="32" t="n"/>
      <c r="K538" s="36">
        <f>IF(E538&lt;&gt;"",E538,IF(AND(F538&lt;&gt;"",G538&lt;&gt;""),MOD(G538-F538,1)*24,""))</f>
        <v/>
      </c>
      <c r="L538" s="37">
        <f>IF(A538="","",CHOOSE(WEEKDAY(A538,2),"Montag","Dienstag","Mittwoch","Donnerstag","Freitag","Samstag","Sonntag"))</f>
        <v/>
      </c>
      <c r="M538" s="37">
        <f>IF(A538="","",_xlfn.ISOWEEKNUM(A538))</f>
        <v/>
      </c>
      <c r="N538" s="38">
        <f>IF(A538="","",DATE(YEAR(A538),MONTH(A538),1))</f>
        <v/>
      </c>
    </row>
    <row r="539">
      <c r="A539" s="31" t="n"/>
      <c r="B539" s="32" t="n"/>
      <c r="C539" s="32" t="n"/>
      <c r="D539" s="33" t="n"/>
      <c r="E539" s="34" t="n"/>
      <c r="F539" s="35" t="n"/>
      <c r="G539" s="35" t="n"/>
      <c r="H539" s="32" t="n"/>
      <c r="I539" s="32" t="n"/>
      <c r="J539" s="32" t="n"/>
      <c r="K539" s="36">
        <f>IF(E539&lt;&gt;"",E539,IF(AND(F539&lt;&gt;"",G539&lt;&gt;""),MOD(G539-F539,1)*24,""))</f>
        <v/>
      </c>
      <c r="L539" s="37">
        <f>IF(A539="","",CHOOSE(WEEKDAY(A539,2),"Montag","Dienstag","Mittwoch","Donnerstag","Freitag","Samstag","Sonntag"))</f>
        <v/>
      </c>
      <c r="M539" s="37">
        <f>IF(A539="","",_xlfn.ISOWEEKNUM(A539))</f>
        <v/>
      </c>
      <c r="N539" s="38">
        <f>IF(A539="","",DATE(YEAR(A539),MONTH(A539),1))</f>
        <v/>
      </c>
    </row>
    <row r="540">
      <c r="A540" s="31" t="n"/>
      <c r="B540" s="32" t="n"/>
      <c r="C540" s="32" t="n"/>
      <c r="D540" s="33" t="n"/>
      <c r="E540" s="34" t="n"/>
      <c r="F540" s="35" t="n"/>
      <c r="G540" s="35" t="n"/>
      <c r="H540" s="32" t="n"/>
      <c r="I540" s="32" t="n"/>
      <c r="J540" s="32" t="n"/>
      <c r="K540" s="36">
        <f>IF(E540&lt;&gt;"",E540,IF(AND(F540&lt;&gt;"",G540&lt;&gt;""),MOD(G540-F540,1)*24,""))</f>
        <v/>
      </c>
      <c r="L540" s="37">
        <f>IF(A540="","",CHOOSE(WEEKDAY(A540,2),"Montag","Dienstag","Mittwoch","Donnerstag","Freitag","Samstag","Sonntag"))</f>
        <v/>
      </c>
      <c r="M540" s="37">
        <f>IF(A540="","",_xlfn.ISOWEEKNUM(A540))</f>
        <v/>
      </c>
      <c r="N540" s="38">
        <f>IF(A540="","",DATE(YEAR(A540),MONTH(A540),1))</f>
        <v/>
      </c>
    </row>
    <row r="541">
      <c r="A541" s="31" t="n"/>
      <c r="B541" s="32" t="n"/>
      <c r="C541" s="32" t="n"/>
      <c r="D541" s="33" t="n"/>
      <c r="E541" s="34" t="n"/>
      <c r="F541" s="35" t="n"/>
      <c r="G541" s="35" t="n"/>
      <c r="H541" s="32" t="n"/>
      <c r="I541" s="32" t="n"/>
      <c r="J541" s="32" t="n"/>
      <c r="K541" s="36">
        <f>IF(E541&lt;&gt;"",E541,IF(AND(F541&lt;&gt;"",G541&lt;&gt;""),MOD(G541-F541,1)*24,""))</f>
        <v/>
      </c>
      <c r="L541" s="37">
        <f>IF(A541="","",CHOOSE(WEEKDAY(A541,2),"Montag","Dienstag","Mittwoch","Donnerstag","Freitag","Samstag","Sonntag"))</f>
        <v/>
      </c>
      <c r="M541" s="37">
        <f>IF(A541="","",_xlfn.ISOWEEKNUM(A541))</f>
        <v/>
      </c>
      <c r="N541" s="38">
        <f>IF(A541="","",DATE(YEAR(A541),MONTH(A541),1))</f>
        <v/>
      </c>
    </row>
    <row r="542">
      <c r="A542" s="31" t="n"/>
      <c r="B542" s="32" t="n"/>
      <c r="C542" s="32" t="n"/>
      <c r="D542" s="33" t="n"/>
      <c r="E542" s="34" t="n"/>
      <c r="F542" s="35" t="n"/>
      <c r="G542" s="35" t="n"/>
      <c r="H542" s="32" t="n"/>
      <c r="I542" s="32" t="n"/>
      <c r="J542" s="32" t="n"/>
      <c r="K542" s="36">
        <f>IF(E542&lt;&gt;"",E542,IF(AND(F542&lt;&gt;"",G542&lt;&gt;""),MOD(G542-F542,1)*24,""))</f>
        <v/>
      </c>
      <c r="L542" s="37">
        <f>IF(A542="","",CHOOSE(WEEKDAY(A542,2),"Montag","Dienstag","Mittwoch","Donnerstag","Freitag","Samstag","Sonntag"))</f>
        <v/>
      </c>
      <c r="M542" s="37">
        <f>IF(A542="","",_xlfn.ISOWEEKNUM(A542))</f>
        <v/>
      </c>
      <c r="N542" s="38">
        <f>IF(A542="","",DATE(YEAR(A542),MONTH(A542),1))</f>
        <v/>
      </c>
    </row>
    <row r="543">
      <c r="A543" s="31" t="n"/>
      <c r="B543" s="32" t="n"/>
      <c r="C543" s="32" t="n"/>
      <c r="D543" s="33" t="n"/>
      <c r="E543" s="34" t="n"/>
      <c r="F543" s="35" t="n"/>
      <c r="G543" s="35" t="n"/>
      <c r="H543" s="32" t="n"/>
      <c r="I543" s="32" t="n"/>
      <c r="J543" s="32" t="n"/>
      <c r="K543" s="36">
        <f>IF(E543&lt;&gt;"",E543,IF(AND(F543&lt;&gt;"",G543&lt;&gt;""),MOD(G543-F543,1)*24,""))</f>
        <v/>
      </c>
      <c r="L543" s="37">
        <f>IF(A543="","",CHOOSE(WEEKDAY(A543,2),"Montag","Dienstag","Mittwoch","Donnerstag","Freitag","Samstag","Sonntag"))</f>
        <v/>
      </c>
      <c r="M543" s="37">
        <f>IF(A543="","",_xlfn.ISOWEEKNUM(A543))</f>
        <v/>
      </c>
      <c r="N543" s="38">
        <f>IF(A543="","",DATE(YEAR(A543),MONTH(A543),1))</f>
        <v/>
      </c>
    </row>
    <row r="544">
      <c r="A544" s="31" t="n"/>
      <c r="B544" s="32" t="n"/>
      <c r="C544" s="32" t="n"/>
      <c r="D544" s="33" t="n"/>
      <c r="E544" s="34" t="n"/>
      <c r="F544" s="35" t="n"/>
      <c r="G544" s="35" t="n"/>
      <c r="H544" s="32" t="n"/>
      <c r="I544" s="32" t="n"/>
      <c r="J544" s="32" t="n"/>
      <c r="K544" s="36">
        <f>IF(E544&lt;&gt;"",E544,IF(AND(F544&lt;&gt;"",G544&lt;&gt;""),MOD(G544-F544,1)*24,""))</f>
        <v/>
      </c>
      <c r="L544" s="37">
        <f>IF(A544="","",CHOOSE(WEEKDAY(A544,2),"Montag","Dienstag","Mittwoch","Donnerstag","Freitag","Samstag","Sonntag"))</f>
        <v/>
      </c>
      <c r="M544" s="37">
        <f>IF(A544="","",_xlfn.ISOWEEKNUM(A544))</f>
        <v/>
      </c>
      <c r="N544" s="38">
        <f>IF(A544="","",DATE(YEAR(A544),MONTH(A544),1))</f>
        <v/>
      </c>
    </row>
    <row r="545">
      <c r="A545" s="31" t="n"/>
      <c r="B545" s="32" t="n"/>
      <c r="C545" s="32" t="n"/>
      <c r="D545" s="33" t="n"/>
      <c r="E545" s="34" t="n"/>
      <c r="F545" s="35" t="n"/>
      <c r="G545" s="35" t="n"/>
      <c r="H545" s="32" t="n"/>
      <c r="I545" s="32" t="n"/>
      <c r="J545" s="32" t="n"/>
      <c r="K545" s="36">
        <f>IF(E545&lt;&gt;"",E545,IF(AND(F545&lt;&gt;"",G545&lt;&gt;""),MOD(G545-F545,1)*24,""))</f>
        <v/>
      </c>
      <c r="L545" s="37">
        <f>IF(A545="","",CHOOSE(WEEKDAY(A545,2),"Montag","Dienstag","Mittwoch","Donnerstag","Freitag","Samstag","Sonntag"))</f>
        <v/>
      </c>
      <c r="M545" s="37">
        <f>IF(A545="","",_xlfn.ISOWEEKNUM(A545))</f>
        <v/>
      </c>
      <c r="N545" s="38">
        <f>IF(A545="","",DATE(YEAR(A545),MONTH(A545),1))</f>
        <v/>
      </c>
    </row>
    <row r="546">
      <c r="A546" s="31" t="n"/>
      <c r="B546" s="32" t="n"/>
      <c r="C546" s="32" t="n"/>
      <c r="D546" s="33" t="n"/>
      <c r="E546" s="34" t="n"/>
      <c r="F546" s="35" t="n"/>
      <c r="G546" s="35" t="n"/>
      <c r="H546" s="32" t="n"/>
      <c r="I546" s="32" t="n"/>
      <c r="J546" s="32" t="n"/>
      <c r="K546" s="36">
        <f>IF(E546&lt;&gt;"",E546,IF(AND(F546&lt;&gt;"",G546&lt;&gt;""),MOD(G546-F546,1)*24,""))</f>
        <v/>
      </c>
      <c r="L546" s="37">
        <f>IF(A546="","",CHOOSE(WEEKDAY(A546,2),"Montag","Dienstag","Mittwoch","Donnerstag","Freitag","Samstag","Sonntag"))</f>
        <v/>
      </c>
      <c r="M546" s="37">
        <f>IF(A546="","",_xlfn.ISOWEEKNUM(A546))</f>
        <v/>
      </c>
      <c r="N546" s="38">
        <f>IF(A546="","",DATE(YEAR(A546),MONTH(A546),1))</f>
        <v/>
      </c>
    </row>
    <row r="547">
      <c r="A547" s="31" t="n"/>
      <c r="B547" s="32" t="n"/>
      <c r="C547" s="32" t="n"/>
      <c r="D547" s="33" t="n"/>
      <c r="E547" s="34" t="n"/>
      <c r="F547" s="35" t="n"/>
      <c r="G547" s="35" t="n"/>
      <c r="H547" s="32" t="n"/>
      <c r="I547" s="32" t="n"/>
      <c r="J547" s="32" t="n"/>
      <c r="K547" s="36">
        <f>IF(E547&lt;&gt;"",E547,IF(AND(F547&lt;&gt;"",G547&lt;&gt;""),MOD(G547-F547,1)*24,""))</f>
        <v/>
      </c>
      <c r="L547" s="37">
        <f>IF(A547="","",CHOOSE(WEEKDAY(A547,2),"Montag","Dienstag","Mittwoch","Donnerstag","Freitag","Samstag","Sonntag"))</f>
        <v/>
      </c>
      <c r="M547" s="37">
        <f>IF(A547="","",_xlfn.ISOWEEKNUM(A547))</f>
        <v/>
      </c>
      <c r="N547" s="38">
        <f>IF(A547="","",DATE(YEAR(A547),MONTH(A547),1))</f>
        <v/>
      </c>
    </row>
    <row r="548">
      <c r="A548" s="31" t="n"/>
      <c r="B548" s="32" t="n"/>
      <c r="C548" s="32" t="n"/>
      <c r="D548" s="33" t="n"/>
      <c r="E548" s="34" t="n"/>
      <c r="F548" s="35" t="n"/>
      <c r="G548" s="35" t="n"/>
      <c r="H548" s="32" t="n"/>
      <c r="I548" s="32" t="n"/>
      <c r="J548" s="32" t="n"/>
      <c r="K548" s="36">
        <f>IF(E548&lt;&gt;"",E548,IF(AND(F548&lt;&gt;"",G548&lt;&gt;""),MOD(G548-F548,1)*24,""))</f>
        <v/>
      </c>
      <c r="L548" s="37">
        <f>IF(A548="","",CHOOSE(WEEKDAY(A548,2),"Montag","Dienstag","Mittwoch","Donnerstag","Freitag","Samstag","Sonntag"))</f>
        <v/>
      </c>
      <c r="M548" s="37">
        <f>IF(A548="","",_xlfn.ISOWEEKNUM(A548))</f>
        <v/>
      </c>
      <c r="N548" s="38">
        <f>IF(A548="","",DATE(YEAR(A548),MONTH(A548),1))</f>
        <v/>
      </c>
    </row>
    <row r="549">
      <c r="A549" s="31" t="n"/>
      <c r="B549" s="32" t="n"/>
      <c r="C549" s="32" t="n"/>
      <c r="D549" s="33" t="n"/>
      <c r="E549" s="34" t="n"/>
      <c r="F549" s="35" t="n"/>
      <c r="G549" s="35" t="n"/>
      <c r="H549" s="32" t="n"/>
      <c r="I549" s="32" t="n"/>
      <c r="J549" s="32" t="n"/>
      <c r="K549" s="36">
        <f>IF(E549&lt;&gt;"",E549,IF(AND(F549&lt;&gt;"",G549&lt;&gt;""),MOD(G549-F549,1)*24,""))</f>
        <v/>
      </c>
      <c r="L549" s="37">
        <f>IF(A549="","",CHOOSE(WEEKDAY(A549,2),"Montag","Dienstag","Mittwoch","Donnerstag","Freitag","Samstag","Sonntag"))</f>
        <v/>
      </c>
      <c r="M549" s="37">
        <f>IF(A549="","",_xlfn.ISOWEEKNUM(A549))</f>
        <v/>
      </c>
      <c r="N549" s="38">
        <f>IF(A549="","",DATE(YEAR(A549),MONTH(A549),1))</f>
        <v/>
      </c>
    </row>
    <row r="550">
      <c r="A550" s="31" t="n"/>
      <c r="B550" s="32" t="n"/>
      <c r="C550" s="32" t="n"/>
      <c r="D550" s="33" t="n"/>
      <c r="E550" s="34" t="n"/>
      <c r="F550" s="35" t="n"/>
      <c r="G550" s="35" t="n"/>
      <c r="H550" s="32" t="n"/>
      <c r="I550" s="32" t="n"/>
      <c r="J550" s="32" t="n"/>
      <c r="K550" s="36">
        <f>IF(E550&lt;&gt;"",E550,IF(AND(F550&lt;&gt;"",G550&lt;&gt;""),MOD(G550-F550,1)*24,""))</f>
        <v/>
      </c>
      <c r="L550" s="37">
        <f>IF(A550="","",CHOOSE(WEEKDAY(A550,2),"Montag","Dienstag","Mittwoch","Donnerstag","Freitag","Samstag","Sonntag"))</f>
        <v/>
      </c>
      <c r="M550" s="37">
        <f>IF(A550="","",_xlfn.ISOWEEKNUM(A550))</f>
        <v/>
      </c>
      <c r="N550" s="38">
        <f>IF(A550="","",DATE(YEAR(A550),MONTH(A550),1))</f>
        <v/>
      </c>
    </row>
    <row r="551">
      <c r="A551" s="31" t="n"/>
      <c r="B551" s="32" t="n"/>
      <c r="C551" s="32" t="n"/>
      <c r="D551" s="33" t="n"/>
      <c r="E551" s="34" t="n"/>
      <c r="F551" s="35" t="n"/>
      <c r="G551" s="35" t="n"/>
      <c r="H551" s="32" t="n"/>
      <c r="I551" s="32" t="n"/>
      <c r="J551" s="32" t="n"/>
      <c r="K551" s="36">
        <f>IF(E551&lt;&gt;"",E551,IF(AND(F551&lt;&gt;"",G551&lt;&gt;""),MOD(G551-F551,1)*24,""))</f>
        <v/>
      </c>
      <c r="L551" s="37">
        <f>IF(A551="","",CHOOSE(WEEKDAY(A551,2),"Montag","Dienstag","Mittwoch","Donnerstag","Freitag","Samstag","Sonntag"))</f>
        <v/>
      </c>
      <c r="M551" s="37">
        <f>IF(A551="","",_xlfn.ISOWEEKNUM(A551))</f>
        <v/>
      </c>
      <c r="N551" s="38">
        <f>IF(A551="","",DATE(YEAR(A551),MONTH(A551),1))</f>
        <v/>
      </c>
    </row>
    <row r="552">
      <c r="A552" s="31" t="n"/>
      <c r="B552" s="32" t="n"/>
      <c r="C552" s="32" t="n"/>
      <c r="D552" s="33" t="n"/>
      <c r="E552" s="34" t="n"/>
      <c r="F552" s="35" t="n"/>
      <c r="G552" s="35" t="n"/>
      <c r="H552" s="32" t="n"/>
      <c r="I552" s="32" t="n"/>
      <c r="J552" s="32" t="n"/>
      <c r="K552" s="36">
        <f>IF(E552&lt;&gt;"",E552,IF(AND(F552&lt;&gt;"",G552&lt;&gt;""),MOD(G552-F552,1)*24,""))</f>
        <v/>
      </c>
      <c r="L552" s="37">
        <f>IF(A552="","",CHOOSE(WEEKDAY(A552,2),"Montag","Dienstag","Mittwoch","Donnerstag","Freitag","Samstag","Sonntag"))</f>
        <v/>
      </c>
      <c r="M552" s="37">
        <f>IF(A552="","",_xlfn.ISOWEEKNUM(A552))</f>
        <v/>
      </c>
      <c r="N552" s="38">
        <f>IF(A552="","",DATE(YEAR(A552),MONTH(A552),1))</f>
        <v/>
      </c>
    </row>
    <row r="553">
      <c r="A553" s="31" t="n"/>
      <c r="B553" s="32" t="n"/>
      <c r="C553" s="32" t="n"/>
      <c r="D553" s="33" t="n"/>
      <c r="E553" s="34" t="n"/>
      <c r="F553" s="35" t="n"/>
      <c r="G553" s="35" t="n"/>
      <c r="H553" s="32" t="n"/>
      <c r="I553" s="32" t="n"/>
      <c r="J553" s="32" t="n"/>
      <c r="K553" s="36">
        <f>IF(E553&lt;&gt;"",E553,IF(AND(F553&lt;&gt;"",G553&lt;&gt;""),MOD(G553-F553,1)*24,""))</f>
        <v/>
      </c>
      <c r="L553" s="37">
        <f>IF(A553="","",CHOOSE(WEEKDAY(A553,2),"Montag","Dienstag","Mittwoch","Donnerstag","Freitag","Samstag","Sonntag"))</f>
        <v/>
      </c>
      <c r="M553" s="37">
        <f>IF(A553="","",_xlfn.ISOWEEKNUM(A553))</f>
        <v/>
      </c>
      <c r="N553" s="38">
        <f>IF(A553="","",DATE(YEAR(A553),MONTH(A553),1))</f>
        <v/>
      </c>
    </row>
    <row r="554">
      <c r="A554" s="31" t="n"/>
      <c r="B554" s="32" t="n"/>
      <c r="C554" s="32" t="n"/>
      <c r="D554" s="33" t="n"/>
      <c r="E554" s="34" t="n"/>
      <c r="F554" s="35" t="n"/>
      <c r="G554" s="35" t="n"/>
      <c r="H554" s="32" t="n"/>
      <c r="I554" s="32" t="n"/>
      <c r="J554" s="32" t="n"/>
      <c r="K554" s="36">
        <f>IF(E554&lt;&gt;"",E554,IF(AND(F554&lt;&gt;"",G554&lt;&gt;""),MOD(G554-F554,1)*24,""))</f>
        <v/>
      </c>
      <c r="L554" s="37">
        <f>IF(A554="","",CHOOSE(WEEKDAY(A554,2),"Montag","Dienstag","Mittwoch","Donnerstag","Freitag","Samstag","Sonntag"))</f>
        <v/>
      </c>
      <c r="M554" s="37">
        <f>IF(A554="","",_xlfn.ISOWEEKNUM(A554))</f>
        <v/>
      </c>
      <c r="N554" s="38">
        <f>IF(A554="","",DATE(YEAR(A554),MONTH(A554),1))</f>
        <v/>
      </c>
    </row>
    <row r="555">
      <c r="A555" s="31" t="n"/>
      <c r="B555" s="32" t="n"/>
      <c r="C555" s="32" t="n"/>
      <c r="D555" s="33" t="n"/>
      <c r="E555" s="34" t="n"/>
      <c r="F555" s="35" t="n"/>
      <c r="G555" s="35" t="n"/>
      <c r="H555" s="32" t="n"/>
      <c r="I555" s="32" t="n"/>
      <c r="J555" s="32" t="n"/>
      <c r="K555" s="36">
        <f>IF(E555&lt;&gt;"",E555,IF(AND(F555&lt;&gt;"",G555&lt;&gt;""),MOD(G555-F555,1)*24,""))</f>
        <v/>
      </c>
      <c r="L555" s="37">
        <f>IF(A555="","",CHOOSE(WEEKDAY(A555,2),"Montag","Dienstag","Mittwoch","Donnerstag","Freitag","Samstag","Sonntag"))</f>
        <v/>
      </c>
      <c r="M555" s="37">
        <f>IF(A555="","",_xlfn.ISOWEEKNUM(A555))</f>
        <v/>
      </c>
      <c r="N555" s="38">
        <f>IF(A555="","",DATE(YEAR(A555),MONTH(A555),1))</f>
        <v/>
      </c>
    </row>
    <row r="556">
      <c r="A556" s="31" t="n"/>
      <c r="B556" s="32" t="n"/>
      <c r="C556" s="32" t="n"/>
      <c r="D556" s="33" t="n"/>
      <c r="E556" s="34" t="n"/>
      <c r="F556" s="35" t="n"/>
      <c r="G556" s="35" t="n"/>
      <c r="H556" s="32" t="n"/>
      <c r="I556" s="32" t="n"/>
      <c r="J556" s="32" t="n"/>
      <c r="K556" s="36">
        <f>IF(E556&lt;&gt;"",E556,IF(AND(F556&lt;&gt;"",G556&lt;&gt;""),MOD(G556-F556,1)*24,""))</f>
        <v/>
      </c>
      <c r="L556" s="37">
        <f>IF(A556="","",CHOOSE(WEEKDAY(A556,2),"Montag","Dienstag","Mittwoch","Donnerstag","Freitag","Samstag","Sonntag"))</f>
        <v/>
      </c>
      <c r="M556" s="37">
        <f>IF(A556="","",_xlfn.ISOWEEKNUM(A556))</f>
        <v/>
      </c>
      <c r="N556" s="38">
        <f>IF(A556="","",DATE(YEAR(A556),MONTH(A556),1))</f>
        <v/>
      </c>
    </row>
    <row r="557">
      <c r="A557" s="31" t="n"/>
      <c r="B557" s="32" t="n"/>
      <c r="C557" s="32" t="n"/>
      <c r="D557" s="33" t="n"/>
      <c r="E557" s="34" t="n"/>
      <c r="F557" s="35" t="n"/>
      <c r="G557" s="35" t="n"/>
      <c r="H557" s="32" t="n"/>
      <c r="I557" s="32" t="n"/>
      <c r="J557" s="32" t="n"/>
      <c r="K557" s="36">
        <f>IF(E557&lt;&gt;"",E557,IF(AND(F557&lt;&gt;"",G557&lt;&gt;""),MOD(G557-F557,1)*24,""))</f>
        <v/>
      </c>
      <c r="L557" s="37">
        <f>IF(A557="","",CHOOSE(WEEKDAY(A557,2),"Montag","Dienstag","Mittwoch","Donnerstag","Freitag","Samstag","Sonntag"))</f>
        <v/>
      </c>
      <c r="M557" s="37">
        <f>IF(A557="","",_xlfn.ISOWEEKNUM(A557))</f>
        <v/>
      </c>
      <c r="N557" s="38">
        <f>IF(A557="","",DATE(YEAR(A557),MONTH(A557),1))</f>
        <v/>
      </c>
    </row>
    <row r="558">
      <c r="A558" s="31" t="n"/>
      <c r="B558" s="32" t="n"/>
      <c r="C558" s="32" t="n"/>
      <c r="D558" s="33" t="n"/>
      <c r="E558" s="34" t="n"/>
      <c r="F558" s="35" t="n"/>
      <c r="G558" s="35" t="n"/>
      <c r="H558" s="32" t="n"/>
      <c r="I558" s="32" t="n"/>
      <c r="J558" s="32" t="n"/>
      <c r="K558" s="36">
        <f>IF(E558&lt;&gt;"",E558,IF(AND(F558&lt;&gt;"",G558&lt;&gt;""),MOD(G558-F558,1)*24,""))</f>
        <v/>
      </c>
      <c r="L558" s="37">
        <f>IF(A558="","",CHOOSE(WEEKDAY(A558,2),"Montag","Dienstag","Mittwoch","Donnerstag","Freitag","Samstag","Sonntag"))</f>
        <v/>
      </c>
      <c r="M558" s="37">
        <f>IF(A558="","",_xlfn.ISOWEEKNUM(A558))</f>
        <v/>
      </c>
      <c r="N558" s="38">
        <f>IF(A558="","",DATE(YEAR(A558),MONTH(A558),1))</f>
        <v/>
      </c>
    </row>
    <row r="559">
      <c r="A559" s="31" t="n"/>
      <c r="B559" s="32" t="n"/>
      <c r="C559" s="32" t="n"/>
      <c r="D559" s="33" t="n"/>
      <c r="E559" s="34" t="n"/>
      <c r="F559" s="35" t="n"/>
      <c r="G559" s="35" t="n"/>
      <c r="H559" s="32" t="n"/>
      <c r="I559" s="32" t="n"/>
      <c r="J559" s="32" t="n"/>
      <c r="K559" s="36">
        <f>IF(E559&lt;&gt;"",E559,IF(AND(F559&lt;&gt;"",G559&lt;&gt;""),MOD(G559-F559,1)*24,""))</f>
        <v/>
      </c>
      <c r="L559" s="37">
        <f>IF(A559="","",CHOOSE(WEEKDAY(A559,2),"Montag","Dienstag","Mittwoch","Donnerstag","Freitag","Samstag","Sonntag"))</f>
        <v/>
      </c>
      <c r="M559" s="37">
        <f>IF(A559="","",_xlfn.ISOWEEKNUM(A559))</f>
        <v/>
      </c>
      <c r="N559" s="38">
        <f>IF(A559="","",DATE(YEAR(A559),MONTH(A559),1))</f>
        <v/>
      </c>
    </row>
    <row r="560">
      <c r="A560" s="31" t="n"/>
      <c r="B560" s="32" t="n"/>
      <c r="C560" s="32" t="n"/>
      <c r="D560" s="33" t="n"/>
      <c r="E560" s="34" t="n"/>
      <c r="F560" s="35" t="n"/>
      <c r="G560" s="35" t="n"/>
      <c r="H560" s="32" t="n"/>
      <c r="I560" s="32" t="n"/>
      <c r="J560" s="32" t="n"/>
      <c r="K560" s="36">
        <f>IF(E560&lt;&gt;"",E560,IF(AND(F560&lt;&gt;"",G560&lt;&gt;""),MOD(G560-F560,1)*24,""))</f>
        <v/>
      </c>
      <c r="L560" s="37">
        <f>IF(A560="","",CHOOSE(WEEKDAY(A560,2),"Montag","Dienstag","Mittwoch","Donnerstag","Freitag","Samstag","Sonntag"))</f>
        <v/>
      </c>
      <c r="M560" s="37">
        <f>IF(A560="","",_xlfn.ISOWEEKNUM(A560))</f>
        <v/>
      </c>
      <c r="N560" s="38">
        <f>IF(A560="","",DATE(YEAR(A560),MONTH(A560),1))</f>
        <v/>
      </c>
    </row>
    <row r="561">
      <c r="A561" s="31" t="n"/>
      <c r="B561" s="32" t="n"/>
      <c r="C561" s="32" t="n"/>
      <c r="D561" s="33" t="n"/>
      <c r="E561" s="34" t="n"/>
      <c r="F561" s="35" t="n"/>
      <c r="G561" s="35" t="n"/>
      <c r="H561" s="32" t="n"/>
      <c r="I561" s="32" t="n"/>
      <c r="J561" s="32" t="n"/>
      <c r="K561" s="36">
        <f>IF(E561&lt;&gt;"",E561,IF(AND(F561&lt;&gt;"",G561&lt;&gt;""),MOD(G561-F561,1)*24,""))</f>
        <v/>
      </c>
      <c r="L561" s="37">
        <f>IF(A561="","",CHOOSE(WEEKDAY(A561,2),"Montag","Dienstag","Mittwoch","Donnerstag","Freitag","Samstag","Sonntag"))</f>
        <v/>
      </c>
      <c r="M561" s="37">
        <f>IF(A561="","",_xlfn.ISOWEEKNUM(A561))</f>
        <v/>
      </c>
      <c r="N561" s="38">
        <f>IF(A561="","",DATE(YEAR(A561),MONTH(A561),1))</f>
        <v/>
      </c>
    </row>
    <row r="562">
      <c r="A562" s="31" t="n"/>
      <c r="B562" s="32" t="n"/>
      <c r="C562" s="32" t="n"/>
      <c r="D562" s="33" t="n"/>
      <c r="E562" s="34" t="n"/>
      <c r="F562" s="35" t="n"/>
      <c r="G562" s="35" t="n"/>
      <c r="H562" s="32" t="n"/>
      <c r="I562" s="32" t="n"/>
      <c r="J562" s="32" t="n"/>
      <c r="K562" s="36">
        <f>IF(E562&lt;&gt;"",E562,IF(AND(F562&lt;&gt;"",G562&lt;&gt;""),MOD(G562-F562,1)*24,""))</f>
        <v/>
      </c>
      <c r="L562" s="37">
        <f>IF(A562="","",CHOOSE(WEEKDAY(A562,2),"Montag","Dienstag","Mittwoch","Donnerstag","Freitag","Samstag","Sonntag"))</f>
        <v/>
      </c>
      <c r="M562" s="37">
        <f>IF(A562="","",_xlfn.ISOWEEKNUM(A562))</f>
        <v/>
      </c>
      <c r="N562" s="38">
        <f>IF(A562="","",DATE(YEAR(A562),MONTH(A562),1))</f>
        <v/>
      </c>
    </row>
    <row r="563">
      <c r="A563" s="31" t="n"/>
      <c r="B563" s="32" t="n"/>
      <c r="C563" s="32" t="n"/>
      <c r="D563" s="33" t="n"/>
      <c r="E563" s="34" t="n"/>
      <c r="F563" s="35" t="n"/>
      <c r="G563" s="35" t="n"/>
      <c r="H563" s="32" t="n"/>
      <c r="I563" s="32" t="n"/>
      <c r="J563" s="32" t="n"/>
      <c r="K563" s="36">
        <f>IF(E563&lt;&gt;"",E563,IF(AND(F563&lt;&gt;"",G563&lt;&gt;""),MOD(G563-F563,1)*24,""))</f>
        <v/>
      </c>
      <c r="L563" s="37">
        <f>IF(A563="","",CHOOSE(WEEKDAY(A563,2),"Montag","Dienstag","Mittwoch","Donnerstag","Freitag","Samstag","Sonntag"))</f>
        <v/>
      </c>
      <c r="M563" s="37">
        <f>IF(A563="","",_xlfn.ISOWEEKNUM(A563))</f>
        <v/>
      </c>
      <c r="N563" s="38">
        <f>IF(A563="","",DATE(YEAR(A563),MONTH(A563),1))</f>
        <v/>
      </c>
    </row>
    <row r="564">
      <c r="A564" s="31" t="n"/>
      <c r="B564" s="32" t="n"/>
      <c r="C564" s="32" t="n"/>
      <c r="D564" s="33" t="n"/>
      <c r="E564" s="34" t="n"/>
      <c r="F564" s="35" t="n"/>
      <c r="G564" s="35" t="n"/>
      <c r="H564" s="32" t="n"/>
      <c r="I564" s="32" t="n"/>
      <c r="J564" s="32" t="n"/>
      <c r="K564" s="36">
        <f>IF(E564&lt;&gt;"",E564,IF(AND(F564&lt;&gt;"",G564&lt;&gt;""),MOD(G564-F564,1)*24,""))</f>
        <v/>
      </c>
      <c r="L564" s="37">
        <f>IF(A564="","",CHOOSE(WEEKDAY(A564,2),"Montag","Dienstag","Mittwoch","Donnerstag","Freitag","Samstag","Sonntag"))</f>
        <v/>
      </c>
      <c r="M564" s="37">
        <f>IF(A564="","",_xlfn.ISOWEEKNUM(A564))</f>
        <v/>
      </c>
      <c r="N564" s="38">
        <f>IF(A564="","",DATE(YEAR(A564),MONTH(A564),1))</f>
        <v/>
      </c>
    </row>
    <row r="565">
      <c r="A565" s="31" t="n"/>
      <c r="B565" s="32" t="n"/>
      <c r="C565" s="32" t="n"/>
      <c r="D565" s="33" t="n"/>
      <c r="E565" s="34" t="n"/>
      <c r="F565" s="35" t="n"/>
      <c r="G565" s="35" t="n"/>
      <c r="H565" s="32" t="n"/>
      <c r="I565" s="32" t="n"/>
      <c r="J565" s="32" t="n"/>
      <c r="K565" s="36">
        <f>IF(E565&lt;&gt;"",E565,IF(AND(F565&lt;&gt;"",G565&lt;&gt;""),MOD(G565-F565,1)*24,""))</f>
        <v/>
      </c>
      <c r="L565" s="37">
        <f>IF(A565="","",CHOOSE(WEEKDAY(A565,2),"Montag","Dienstag","Mittwoch","Donnerstag","Freitag","Samstag","Sonntag"))</f>
        <v/>
      </c>
      <c r="M565" s="37">
        <f>IF(A565="","",_xlfn.ISOWEEKNUM(A565))</f>
        <v/>
      </c>
      <c r="N565" s="38">
        <f>IF(A565="","",DATE(YEAR(A565),MONTH(A565),1))</f>
        <v/>
      </c>
    </row>
    <row r="566">
      <c r="A566" s="31" t="n"/>
      <c r="B566" s="32" t="n"/>
      <c r="C566" s="32" t="n"/>
      <c r="D566" s="33" t="n"/>
      <c r="E566" s="34" t="n"/>
      <c r="F566" s="35" t="n"/>
      <c r="G566" s="35" t="n"/>
      <c r="H566" s="32" t="n"/>
      <c r="I566" s="32" t="n"/>
      <c r="J566" s="32" t="n"/>
      <c r="K566" s="36">
        <f>IF(E566&lt;&gt;"",E566,IF(AND(F566&lt;&gt;"",G566&lt;&gt;""),MOD(G566-F566,1)*24,""))</f>
        <v/>
      </c>
      <c r="L566" s="37">
        <f>IF(A566="","",CHOOSE(WEEKDAY(A566,2),"Montag","Dienstag","Mittwoch","Donnerstag","Freitag","Samstag","Sonntag"))</f>
        <v/>
      </c>
      <c r="M566" s="37">
        <f>IF(A566="","",_xlfn.ISOWEEKNUM(A566))</f>
        <v/>
      </c>
      <c r="N566" s="38">
        <f>IF(A566="","",DATE(YEAR(A566),MONTH(A566),1))</f>
        <v/>
      </c>
    </row>
    <row r="567">
      <c r="A567" s="31" t="n"/>
      <c r="B567" s="32" t="n"/>
      <c r="C567" s="32" t="n"/>
      <c r="D567" s="33" t="n"/>
      <c r="E567" s="34" t="n"/>
      <c r="F567" s="35" t="n"/>
      <c r="G567" s="35" t="n"/>
      <c r="H567" s="32" t="n"/>
      <c r="I567" s="32" t="n"/>
      <c r="J567" s="32" t="n"/>
      <c r="K567" s="36">
        <f>IF(E567&lt;&gt;"",E567,IF(AND(F567&lt;&gt;"",G567&lt;&gt;""),MOD(G567-F567,1)*24,""))</f>
        <v/>
      </c>
      <c r="L567" s="37">
        <f>IF(A567="","",CHOOSE(WEEKDAY(A567,2),"Montag","Dienstag","Mittwoch","Donnerstag","Freitag","Samstag","Sonntag"))</f>
        <v/>
      </c>
      <c r="M567" s="37">
        <f>IF(A567="","",_xlfn.ISOWEEKNUM(A567))</f>
        <v/>
      </c>
      <c r="N567" s="38">
        <f>IF(A567="","",DATE(YEAR(A567),MONTH(A567),1))</f>
        <v/>
      </c>
    </row>
    <row r="568">
      <c r="A568" s="31" t="n"/>
      <c r="B568" s="32" t="n"/>
      <c r="C568" s="32" t="n"/>
      <c r="D568" s="33" t="n"/>
      <c r="E568" s="34" t="n"/>
      <c r="F568" s="35" t="n"/>
      <c r="G568" s="35" t="n"/>
      <c r="H568" s="32" t="n"/>
      <c r="I568" s="32" t="n"/>
      <c r="J568" s="32" t="n"/>
      <c r="K568" s="36">
        <f>IF(E568&lt;&gt;"",E568,IF(AND(F568&lt;&gt;"",G568&lt;&gt;""),MOD(G568-F568,1)*24,""))</f>
        <v/>
      </c>
      <c r="L568" s="37">
        <f>IF(A568="","",CHOOSE(WEEKDAY(A568,2),"Montag","Dienstag","Mittwoch","Donnerstag","Freitag","Samstag","Sonntag"))</f>
        <v/>
      </c>
      <c r="M568" s="37">
        <f>IF(A568="","",_xlfn.ISOWEEKNUM(A568))</f>
        <v/>
      </c>
      <c r="N568" s="38">
        <f>IF(A568="","",DATE(YEAR(A568),MONTH(A568),1))</f>
        <v/>
      </c>
    </row>
    <row r="569">
      <c r="A569" s="31" t="n"/>
      <c r="B569" s="32" t="n"/>
      <c r="C569" s="32" t="n"/>
      <c r="D569" s="33" t="n"/>
      <c r="E569" s="34" t="n"/>
      <c r="F569" s="35" t="n"/>
      <c r="G569" s="35" t="n"/>
      <c r="H569" s="32" t="n"/>
      <c r="I569" s="32" t="n"/>
      <c r="J569" s="32" t="n"/>
      <c r="K569" s="36">
        <f>IF(E569&lt;&gt;"",E569,IF(AND(F569&lt;&gt;"",G569&lt;&gt;""),MOD(G569-F569,1)*24,""))</f>
        <v/>
      </c>
      <c r="L569" s="37">
        <f>IF(A569="","",CHOOSE(WEEKDAY(A569,2),"Montag","Dienstag","Mittwoch","Donnerstag","Freitag","Samstag","Sonntag"))</f>
        <v/>
      </c>
      <c r="M569" s="37">
        <f>IF(A569="","",_xlfn.ISOWEEKNUM(A569))</f>
        <v/>
      </c>
      <c r="N569" s="38">
        <f>IF(A569="","",DATE(YEAR(A569),MONTH(A569),1))</f>
        <v/>
      </c>
    </row>
    <row r="570">
      <c r="A570" s="31" t="n"/>
      <c r="B570" s="32" t="n"/>
      <c r="C570" s="32" t="n"/>
      <c r="D570" s="33" t="n"/>
      <c r="E570" s="34" t="n"/>
      <c r="F570" s="35" t="n"/>
      <c r="G570" s="35" t="n"/>
      <c r="H570" s="32" t="n"/>
      <c r="I570" s="32" t="n"/>
      <c r="J570" s="32" t="n"/>
      <c r="K570" s="36">
        <f>IF(E570&lt;&gt;"",E570,IF(AND(F570&lt;&gt;"",G570&lt;&gt;""),MOD(G570-F570,1)*24,""))</f>
        <v/>
      </c>
      <c r="L570" s="37">
        <f>IF(A570="","",CHOOSE(WEEKDAY(A570,2),"Montag","Dienstag","Mittwoch","Donnerstag","Freitag","Samstag","Sonntag"))</f>
        <v/>
      </c>
      <c r="M570" s="37">
        <f>IF(A570="","",_xlfn.ISOWEEKNUM(A570))</f>
        <v/>
      </c>
      <c r="N570" s="38">
        <f>IF(A570="","",DATE(YEAR(A570),MONTH(A570),1))</f>
        <v/>
      </c>
    </row>
    <row r="571">
      <c r="A571" s="31" t="n"/>
      <c r="B571" s="32" t="n"/>
      <c r="C571" s="32" t="n"/>
      <c r="D571" s="33" t="n"/>
      <c r="E571" s="34" t="n"/>
      <c r="F571" s="35" t="n"/>
      <c r="G571" s="35" t="n"/>
      <c r="H571" s="32" t="n"/>
      <c r="I571" s="32" t="n"/>
      <c r="J571" s="32" t="n"/>
      <c r="K571" s="36">
        <f>IF(E571&lt;&gt;"",E571,IF(AND(F571&lt;&gt;"",G571&lt;&gt;""),MOD(G571-F571,1)*24,""))</f>
        <v/>
      </c>
      <c r="L571" s="37">
        <f>IF(A571="","",CHOOSE(WEEKDAY(A571,2),"Montag","Dienstag","Mittwoch","Donnerstag","Freitag","Samstag","Sonntag"))</f>
        <v/>
      </c>
      <c r="M571" s="37">
        <f>IF(A571="","",_xlfn.ISOWEEKNUM(A571))</f>
        <v/>
      </c>
      <c r="N571" s="38">
        <f>IF(A571="","",DATE(YEAR(A571),MONTH(A571),1))</f>
        <v/>
      </c>
    </row>
    <row r="572">
      <c r="A572" s="31" t="n"/>
      <c r="B572" s="32" t="n"/>
      <c r="C572" s="32" t="n"/>
      <c r="D572" s="33" t="n"/>
      <c r="E572" s="34" t="n"/>
      <c r="F572" s="35" t="n"/>
      <c r="G572" s="35" t="n"/>
      <c r="H572" s="32" t="n"/>
      <c r="I572" s="32" t="n"/>
      <c r="J572" s="32" t="n"/>
      <c r="K572" s="36">
        <f>IF(E572&lt;&gt;"",E572,IF(AND(F572&lt;&gt;"",G572&lt;&gt;""),MOD(G572-F572,1)*24,""))</f>
        <v/>
      </c>
      <c r="L572" s="37">
        <f>IF(A572="","",CHOOSE(WEEKDAY(A572,2),"Montag","Dienstag","Mittwoch","Donnerstag","Freitag","Samstag","Sonntag"))</f>
        <v/>
      </c>
      <c r="M572" s="37">
        <f>IF(A572="","",_xlfn.ISOWEEKNUM(A572))</f>
        <v/>
      </c>
      <c r="N572" s="38">
        <f>IF(A572="","",DATE(YEAR(A572),MONTH(A572),1))</f>
        <v/>
      </c>
    </row>
    <row r="573">
      <c r="A573" s="31" t="n"/>
      <c r="B573" s="32" t="n"/>
      <c r="C573" s="32" t="n"/>
      <c r="D573" s="33" t="n"/>
      <c r="E573" s="34" t="n"/>
      <c r="F573" s="35" t="n"/>
      <c r="G573" s="35" t="n"/>
      <c r="H573" s="32" t="n"/>
      <c r="I573" s="32" t="n"/>
      <c r="J573" s="32" t="n"/>
      <c r="K573" s="36">
        <f>IF(E573&lt;&gt;"",E573,IF(AND(F573&lt;&gt;"",G573&lt;&gt;""),MOD(G573-F573,1)*24,""))</f>
        <v/>
      </c>
      <c r="L573" s="37">
        <f>IF(A573="","",CHOOSE(WEEKDAY(A573,2),"Montag","Dienstag","Mittwoch","Donnerstag","Freitag","Samstag","Sonntag"))</f>
        <v/>
      </c>
      <c r="M573" s="37">
        <f>IF(A573="","",_xlfn.ISOWEEKNUM(A573))</f>
        <v/>
      </c>
      <c r="N573" s="38">
        <f>IF(A573="","",DATE(YEAR(A573),MONTH(A573),1))</f>
        <v/>
      </c>
    </row>
    <row r="574">
      <c r="A574" s="31" t="n"/>
      <c r="B574" s="32" t="n"/>
      <c r="C574" s="32" t="n"/>
      <c r="D574" s="33" t="n"/>
      <c r="E574" s="34" t="n"/>
      <c r="F574" s="35" t="n"/>
      <c r="G574" s="35" t="n"/>
      <c r="H574" s="32" t="n"/>
      <c r="I574" s="32" t="n"/>
      <c r="J574" s="32" t="n"/>
      <c r="K574" s="36">
        <f>IF(E574&lt;&gt;"",E574,IF(AND(F574&lt;&gt;"",G574&lt;&gt;""),MOD(G574-F574,1)*24,""))</f>
        <v/>
      </c>
      <c r="L574" s="37">
        <f>IF(A574="","",CHOOSE(WEEKDAY(A574,2),"Montag","Dienstag","Mittwoch","Donnerstag","Freitag","Samstag","Sonntag"))</f>
        <v/>
      </c>
      <c r="M574" s="37">
        <f>IF(A574="","",_xlfn.ISOWEEKNUM(A574))</f>
        <v/>
      </c>
      <c r="N574" s="38">
        <f>IF(A574="","",DATE(YEAR(A574),MONTH(A574),1))</f>
        <v/>
      </c>
    </row>
    <row r="575">
      <c r="A575" s="31" t="n"/>
      <c r="B575" s="32" t="n"/>
      <c r="C575" s="32" t="n"/>
      <c r="D575" s="33" t="n"/>
      <c r="E575" s="34" t="n"/>
      <c r="F575" s="35" t="n"/>
      <c r="G575" s="35" t="n"/>
      <c r="H575" s="32" t="n"/>
      <c r="I575" s="32" t="n"/>
      <c r="J575" s="32" t="n"/>
      <c r="K575" s="36">
        <f>IF(E575&lt;&gt;"",E575,IF(AND(F575&lt;&gt;"",G575&lt;&gt;""),MOD(G575-F575,1)*24,""))</f>
        <v/>
      </c>
      <c r="L575" s="37">
        <f>IF(A575="","",CHOOSE(WEEKDAY(A575,2),"Montag","Dienstag","Mittwoch","Donnerstag","Freitag","Samstag","Sonntag"))</f>
        <v/>
      </c>
      <c r="M575" s="37">
        <f>IF(A575="","",_xlfn.ISOWEEKNUM(A575))</f>
        <v/>
      </c>
      <c r="N575" s="38">
        <f>IF(A575="","",DATE(YEAR(A575),MONTH(A575),1))</f>
        <v/>
      </c>
    </row>
    <row r="576">
      <c r="A576" s="31" t="n"/>
      <c r="B576" s="32" t="n"/>
      <c r="C576" s="32" t="n"/>
      <c r="D576" s="33" t="n"/>
      <c r="E576" s="34" t="n"/>
      <c r="F576" s="35" t="n"/>
      <c r="G576" s="35" t="n"/>
      <c r="H576" s="32" t="n"/>
      <c r="I576" s="32" t="n"/>
      <c r="J576" s="32" t="n"/>
      <c r="K576" s="36">
        <f>IF(E576&lt;&gt;"",E576,IF(AND(F576&lt;&gt;"",G576&lt;&gt;""),MOD(G576-F576,1)*24,""))</f>
        <v/>
      </c>
      <c r="L576" s="37">
        <f>IF(A576="","",CHOOSE(WEEKDAY(A576,2),"Montag","Dienstag","Mittwoch","Donnerstag","Freitag","Samstag","Sonntag"))</f>
        <v/>
      </c>
      <c r="M576" s="37">
        <f>IF(A576="","",_xlfn.ISOWEEKNUM(A576))</f>
        <v/>
      </c>
      <c r="N576" s="38">
        <f>IF(A576="","",DATE(YEAR(A576),MONTH(A576),1))</f>
        <v/>
      </c>
    </row>
    <row r="577">
      <c r="A577" s="31" t="n"/>
      <c r="B577" s="32" t="n"/>
      <c r="C577" s="32" t="n"/>
      <c r="D577" s="33" t="n"/>
      <c r="E577" s="34" t="n"/>
      <c r="F577" s="35" t="n"/>
      <c r="G577" s="35" t="n"/>
      <c r="H577" s="32" t="n"/>
      <c r="I577" s="32" t="n"/>
      <c r="J577" s="32" t="n"/>
      <c r="K577" s="36">
        <f>IF(E577&lt;&gt;"",E577,IF(AND(F577&lt;&gt;"",G577&lt;&gt;""),MOD(G577-F577,1)*24,""))</f>
        <v/>
      </c>
      <c r="L577" s="37">
        <f>IF(A577="","",CHOOSE(WEEKDAY(A577,2),"Montag","Dienstag","Mittwoch","Donnerstag","Freitag","Samstag","Sonntag"))</f>
        <v/>
      </c>
      <c r="M577" s="37">
        <f>IF(A577="","",_xlfn.ISOWEEKNUM(A577))</f>
        <v/>
      </c>
      <c r="N577" s="38">
        <f>IF(A577="","",DATE(YEAR(A577),MONTH(A577),1))</f>
        <v/>
      </c>
    </row>
    <row r="578">
      <c r="A578" s="31" t="n"/>
      <c r="B578" s="32" t="n"/>
      <c r="C578" s="32" t="n"/>
      <c r="D578" s="33" t="n"/>
      <c r="E578" s="34" t="n"/>
      <c r="F578" s="35" t="n"/>
      <c r="G578" s="35" t="n"/>
      <c r="H578" s="32" t="n"/>
      <c r="I578" s="32" t="n"/>
      <c r="J578" s="32" t="n"/>
      <c r="K578" s="36">
        <f>IF(E578&lt;&gt;"",E578,IF(AND(F578&lt;&gt;"",G578&lt;&gt;""),MOD(G578-F578,1)*24,""))</f>
        <v/>
      </c>
      <c r="L578" s="37">
        <f>IF(A578="","",CHOOSE(WEEKDAY(A578,2),"Montag","Dienstag","Mittwoch","Donnerstag","Freitag","Samstag","Sonntag"))</f>
        <v/>
      </c>
      <c r="M578" s="37">
        <f>IF(A578="","",_xlfn.ISOWEEKNUM(A578))</f>
        <v/>
      </c>
      <c r="N578" s="38">
        <f>IF(A578="","",DATE(YEAR(A578),MONTH(A578),1))</f>
        <v/>
      </c>
    </row>
    <row r="579">
      <c r="A579" s="31" t="n"/>
      <c r="B579" s="32" t="n"/>
      <c r="C579" s="32" t="n"/>
      <c r="D579" s="33" t="n"/>
      <c r="E579" s="34" t="n"/>
      <c r="F579" s="35" t="n"/>
      <c r="G579" s="35" t="n"/>
      <c r="H579" s="32" t="n"/>
      <c r="I579" s="32" t="n"/>
      <c r="J579" s="32" t="n"/>
      <c r="K579" s="36">
        <f>IF(E579&lt;&gt;"",E579,IF(AND(F579&lt;&gt;"",G579&lt;&gt;""),MOD(G579-F579,1)*24,""))</f>
        <v/>
      </c>
      <c r="L579" s="37">
        <f>IF(A579="","",CHOOSE(WEEKDAY(A579,2),"Montag","Dienstag","Mittwoch","Donnerstag","Freitag","Samstag","Sonntag"))</f>
        <v/>
      </c>
      <c r="M579" s="37">
        <f>IF(A579="","",_xlfn.ISOWEEKNUM(A579))</f>
        <v/>
      </c>
      <c r="N579" s="38">
        <f>IF(A579="","",DATE(YEAR(A579),MONTH(A579),1))</f>
        <v/>
      </c>
    </row>
    <row r="580">
      <c r="A580" s="31" t="n"/>
      <c r="B580" s="32" t="n"/>
      <c r="C580" s="32" t="n"/>
      <c r="D580" s="33" t="n"/>
      <c r="E580" s="34" t="n"/>
      <c r="F580" s="35" t="n"/>
      <c r="G580" s="35" t="n"/>
      <c r="H580" s="32" t="n"/>
      <c r="I580" s="32" t="n"/>
      <c r="J580" s="32" t="n"/>
      <c r="K580" s="36">
        <f>IF(E580&lt;&gt;"",E580,IF(AND(F580&lt;&gt;"",G580&lt;&gt;""),MOD(G580-F580,1)*24,""))</f>
        <v/>
      </c>
      <c r="L580" s="37">
        <f>IF(A580="","",CHOOSE(WEEKDAY(A580,2),"Montag","Dienstag","Mittwoch","Donnerstag","Freitag","Samstag","Sonntag"))</f>
        <v/>
      </c>
      <c r="M580" s="37">
        <f>IF(A580="","",_xlfn.ISOWEEKNUM(A580))</f>
        <v/>
      </c>
      <c r="N580" s="38">
        <f>IF(A580="","",DATE(YEAR(A580),MONTH(A580),1))</f>
        <v/>
      </c>
    </row>
    <row r="581">
      <c r="A581" s="31" t="n"/>
      <c r="B581" s="32" t="n"/>
      <c r="C581" s="32" t="n"/>
      <c r="D581" s="33" t="n"/>
      <c r="E581" s="34" t="n"/>
      <c r="F581" s="35" t="n"/>
      <c r="G581" s="35" t="n"/>
      <c r="H581" s="32" t="n"/>
      <c r="I581" s="32" t="n"/>
      <c r="J581" s="32" t="n"/>
      <c r="K581" s="36">
        <f>IF(E581&lt;&gt;"",E581,IF(AND(F581&lt;&gt;"",G581&lt;&gt;""),MOD(G581-F581,1)*24,""))</f>
        <v/>
      </c>
      <c r="L581" s="37">
        <f>IF(A581="","",CHOOSE(WEEKDAY(A581,2),"Montag","Dienstag","Mittwoch","Donnerstag","Freitag","Samstag","Sonntag"))</f>
        <v/>
      </c>
      <c r="M581" s="37">
        <f>IF(A581="","",_xlfn.ISOWEEKNUM(A581))</f>
        <v/>
      </c>
      <c r="N581" s="38">
        <f>IF(A581="","",DATE(YEAR(A581),MONTH(A581),1))</f>
        <v/>
      </c>
    </row>
    <row r="582">
      <c r="A582" s="31" t="n"/>
      <c r="B582" s="32" t="n"/>
      <c r="C582" s="32" t="n"/>
      <c r="D582" s="33" t="n"/>
      <c r="E582" s="34" t="n"/>
      <c r="F582" s="35" t="n"/>
      <c r="G582" s="35" t="n"/>
      <c r="H582" s="32" t="n"/>
      <c r="I582" s="32" t="n"/>
      <c r="J582" s="32" t="n"/>
      <c r="K582" s="36">
        <f>IF(E582&lt;&gt;"",E582,IF(AND(F582&lt;&gt;"",G582&lt;&gt;""),MOD(G582-F582,1)*24,""))</f>
        <v/>
      </c>
      <c r="L582" s="37">
        <f>IF(A582="","",CHOOSE(WEEKDAY(A582,2),"Montag","Dienstag","Mittwoch","Donnerstag","Freitag","Samstag","Sonntag"))</f>
        <v/>
      </c>
      <c r="M582" s="37">
        <f>IF(A582="","",_xlfn.ISOWEEKNUM(A582))</f>
        <v/>
      </c>
      <c r="N582" s="38">
        <f>IF(A582="","",DATE(YEAR(A582),MONTH(A582),1))</f>
        <v/>
      </c>
    </row>
    <row r="583">
      <c r="A583" s="31" t="n"/>
      <c r="B583" s="32" t="n"/>
      <c r="C583" s="32" t="n"/>
      <c r="D583" s="33" t="n"/>
      <c r="E583" s="34" t="n"/>
      <c r="F583" s="35" t="n"/>
      <c r="G583" s="35" t="n"/>
      <c r="H583" s="32" t="n"/>
      <c r="I583" s="32" t="n"/>
      <c r="J583" s="32" t="n"/>
      <c r="K583" s="36">
        <f>IF(E583&lt;&gt;"",E583,IF(AND(F583&lt;&gt;"",G583&lt;&gt;""),MOD(G583-F583,1)*24,""))</f>
        <v/>
      </c>
      <c r="L583" s="37">
        <f>IF(A583="","",CHOOSE(WEEKDAY(A583,2),"Montag","Dienstag","Mittwoch","Donnerstag","Freitag","Samstag","Sonntag"))</f>
        <v/>
      </c>
      <c r="M583" s="37">
        <f>IF(A583="","",_xlfn.ISOWEEKNUM(A583))</f>
        <v/>
      </c>
      <c r="N583" s="38">
        <f>IF(A583="","",DATE(YEAR(A583),MONTH(A583),1))</f>
        <v/>
      </c>
    </row>
    <row r="584">
      <c r="A584" s="31" t="n"/>
      <c r="B584" s="32" t="n"/>
      <c r="C584" s="32" t="n"/>
      <c r="D584" s="33" t="n"/>
      <c r="E584" s="34" t="n"/>
      <c r="F584" s="35" t="n"/>
      <c r="G584" s="35" t="n"/>
      <c r="H584" s="32" t="n"/>
      <c r="I584" s="32" t="n"/>
      <c r="J584" s="32" t="n"/>
      <c r="K584" s="36">
        <f>IF(E584&lt;&gt;"",E584,IF(AND(F584&lt;&gt;"",G584&lt;&gt;""),MOD(G584-F584,1)*24,""))</f>
        <v/>
      </c>
      <c r="L584" s="37">
        <f>IF(A584="","",CHOOSE(WEEKDAY(A584,2),"Montag","Dienstag","Mittwoch","Donnerstag","Freitag","Samstag","Sonntag"))</f>
        <v/>
      </c>
      <c r="M584" s="37">
        <f>IF(A584="","",_xlfn.ISOWEEKNUM(A584))</f>
        <v/>
      </c>
      <c r="N584" s="38">
        <f>IF(A584="","",DATE(YEAR(A584),MONTH(A584),1))</f>
        <v/>
      </c>
    </row>
    <row r="585">
      <c r="A585" s="31" t="n"/>
      <c r="B585" s="32" t="n"/>
      <c r="C585" s="32" t="n"/>
      <c r="D585" s="33" t="n"/>
      <c r="E585" s="34" t="n"/>
      <c r="F585" s="35" t="n"/>
      <c r="G585" s="35" t="n"/>
      <c r="H585" s="32" t="n"/>
      <c r="I585" s="32" t="n"/>
      <c r="J585" s="32" t="n"/>
      <c r="K585" s="36">
        <f>IF(E585&lt;&gt;"",E585,IF(AND(F585&lt;&gt;"",G585&lt;&gt;""),MOD(G585-F585,1)*24,""))</f>
        <v/>
      </c>
      <c r="L585" s="37">
        <f>IF(A585="","",CHOOSE(WEEKDAY(A585,2),"Montag","Dienstag","Mittwoch","Donnerstag","Freitag","Samstag","Sonntag"))</f>
        <v/>
      </c>
      <c r="M585" s="37">
        <f>IF(A585="","",_xlfn.ISOWEEKNUM(A585))</f>
        <v/>
      </c>
      <c r="N585" s="38">
        <f>IF(A585="","",DATE(YEAR(A585),MONTH(A585),1))</f>
        <v/>
      </c>
    </row>
    <row r="586">
      <c r="A586" s="31" t="n"/>
      <c r="B586" s="32" t="n"/>
      <c r="C586" s="32" t="n"/>
      <c r="D586" s="33" t="n"/>
      <c r="E586" s="34" t="n"/>
      <c r="F586" s="35" t="n"/>
      <c r="G586" s="35" t="n"/>
      <c r="H586" s="32" t="n"/>
      <c r="I586" s="32" t="n"/>
      <c r="J586" s="32" t="n"/>
      <c r="K586" s="36">
        <f>IF(E586&lt;&gt;"",E586,IF(AND(F586&lt;&gt;"",G586&lt;&gt;""),MOD(G586-F586,1)*24,""))</f>
        <v/>
      </c>
      <c r="L586" s="37">
        <f>IF(A586="","",CHOOSE(WEEKDAY(A586,2),"Montag","Dienstag","Mittwoch","Donnerstag","Freitag","Samstag","Sonntag"))</f>
        <v/>
      </c>
      <c r="M586" s="37">
        <f>IF(A586="","",_xlfn.ISOWEEKNUM(A586))</f>
        <v/>
      </c>
      <c r="N586" s="38">
        <f>IF(A586="","",DATE(YEAR(A586),MONTH(A586),1))</f>
        <v/>
      </c>
    </row>
    <row r="587">
      <c r="A587" s="31" t="n"/>
      <c r="B587" s="32" t="n"/>
      <c r="C587" s="32" t="n"/>
      <c r="D587" s="33" t="n"/>
      <c r="E587" s="34" t="n"/>
      <c r="F587" s="35" t="n"/>
      <c r="G587" s="35" t="n"/>
      <c r="H587" s="32" t="n"/>
      <c r="I587" s="32" t="n"/>
      <c r="J587" s="32" t="n"/>
      <c r="K587" s="36">
        <f>IF(E587&lt;&gt;"",E587,IF(AND(F587&lt;&gt;"",G587&lt;&gt;""),MOD(G587-F587,1)*24,""))</f>
        <v/>
      </c>
      <c r="L587" s="37">
        <f>IF(A587="","",CHOOSE(WEEKDAY(A587,2),"Montag","Dienstag","Mittwoch","Donnerstag","Freitag","Samstag","Sonntag"))</f>
        <v/>
      </c>
      <c r="M587" s="37">
        <f>IF(A587="","",_xlfn.ISOWEEKNUM(A587))</f>
        <v/>
      </c>
      <c r="N587" s="38">
        <f>IF(A587="","",DATE(YEAR(A587),MONTH(A587),1))</f>
        <v/>
      </c>
    </row>
    <row r="588">
      <c r="A588" s="31" t="n"/>
      <c r="B588" s="32" t="n"/>
      <c r="C588" s="32" t="n"/>
      <c r="D588" s="33" t="n"/>
      <c r="E588" s="34" t="n"/>
      <c r="F588" s="35" t="n"/>
      <c r="G588" s="35" t="n"/>
      <c r="H588" s="32" t="n"/>
      <c r="I588" s="32" t="n"/>
      <c r="J588" s="32" t="n"/>
      <c r="K588" s="36">
        <f>IF(E588&lt;&gt;"",E588,IF(AND(F588&lt;&gt;"",G588&lt;&gt;""),MOD(G588-F588,1)*24,""))</f>
        <v/>
      </c>
      <c r="L588" s="37">
        <f>IF(A588="","",CHOOSE(WEEKDAY(A588,2),"Montag","Dienstag","Mittwoch","Donnerstag","Freitag","Samstag","Sonntag"))</f>
        <v/>
      </c>
      <c r="M588" s="37">
        <f>IF(A588="","",_xlfn.ISOWEEKNUM(A588))</f>
        <v/>
      </c>
      <c r="N588" s="38">
        <f>IF(A588="","",DATE(YEAR(A588),MONTH(A588),1))</f>
        <v/>
      </c>
    </row>
    <row r="589">
      <c r="A589" s="31" t="n"/>
      <c r="B589" s="32" t="n"/>
      <c r="C589" s="32" t="n"/>
      <c r="D589" s="33" t="n"/>
      <c r="E589" s="34" t="n"/>
      <c r="F589" s="35" t="n"/>
      <c r="G589" s="35" t="n"/>
      <c r="H589" s="32" t="n"/>
      <c r="I589" s="32" t="n"/>
      <c r="J589" s="32" t="n"/>
      <c r="K589" s="36">
        <f>IF(E589&lt;&gt;"",E589,IF(AND(F589&lt;&gt;"",G589&lt;&gt;""),MOD(G589-F589,1)*24,""))</f>
        <v/>
      </c>
      <c r="L589" s="37">
        <f>IF(A589="","",CHOOSE(WEEKDAY(A589,2),"Montag","Dienstag","Mittwoch","Donnerstag","Freitag","Samstag","Sonntag"))</f>
        <v/>
      </c>
      <c r="M589" s="37">
        <f>IF(A589="","",_xlfn.ISOWEEKNUM(A589))</f>
        <v/>
      </c>
      <c r="N589" s="38">
        <f>IF(A589="","",DATE(YEAR(A589),MONTH(A589),1))</f>
        <v/>
      </c>
    </row>
    <row r="590">
      <c r="A590" s="31" t="n"/>
      <c r="B590" s="32" t="n"/>
      <c r="C590" s="32" t="n"/>
      <c r="D590" s="33" t="n"/>
      <c r="E590" s="34" t="n"/>
      <c r="F590" s="35" t="n"/>
      <c r="G590" s="35" t="n"/>
      <c r="H590" s="32" t="n"/>
      <c r="I590" s="32" t="n"/>
      <c r="J590" s="32" t="n"/>
      <c r="K590" s="36">
        <f>IF(E590&lt;&gt;"",E590,IF(AND(F590&lt;&gt;"",G590&lt;&gt;""),MOD(G590-F590,1)*24,""))</f>
        <v/>
      </c>
      <c r="L590" s="37">
        <f>IF(A590="","",CHOOSE(WEEKDAY(A590,2),"Montag","Dienstag","Mittwoch","Donnerstag","Freitag","Samstag","Sonntag"))</f>
        <v/>
      </c>
      <c r="M590" s="37">
        <f>IF(A590="","",_xlfn.ISOWEEKNUM(A590))</f>
        <v/>
      </c>
      <c r="N590" s="38">
        <f>IF(A590="","",DATE(YEAR(A590),MONTH(A590),1))</f>
        <v/>
      </c>
    </row>
    <row r="591">
      <c r="A591" s="31" t="n"/>
      <c r="B591" s="32" t="n"/>
      <c r="C591" s="32" t="n"/>
      <c r="D591" s="33" t="n"/>
      <c r="E591" s="34" t="n"/>
      <c r="F591" s="35" t="n"/>
      <c r="G591" s="35" t="n"/>
      <c r="H591" s="32" t="n"/>
      <c r="I591" s="32" t="n"/>
      <c r="J591" s="32" t="n"/>
      <c r="K591" s="36">
        <f>IF(E591&lt;&gt;"",E591,IF(AND(F591&lt;&gt;"",G591&lt;&gt;""),MOD(G591-F591,1)*24,""))</f>
        <v/>
      </c>
      <c r="L591" s="37">
        <f>IF(A591="","",CHOOSE(WEEKDAY(A591,2),"Montag","Dienstag","Mittwoch","Donnerstag","Freitag","Samstag","Sonntag"))</f>
        <v/>
      </c>
      <c r="M591" s="37">
        <f>IF(A591="","",_xlfn.ISOWEEKNUM(A591))</f>
        <v/>
      </c>
      <c r="N591" s="38">
        <f>IF(A591="","",DATE(YEAR(A591),MONTH(A591),1))</f>
        <v/>
      </c>
    </row>
    <row r="592">
      <c r="A592" s="31" t="n"/>
      <c r="B592" s="32" t="n"/>
      <c r="C592" s="32" t="n"/>
      <c r="D592" s="33" t="n"/>
      <c r="E592" s="34" t="n"/>
      <c r="F592" s="35" t="n"/>
      <c r="G592" s="35" t="n"/>
      <c r="H592" s="32" t="n"/>
      <c r="I592" s="32" t="n"/>
      <c r="J592" s="32" t="n"/>
      <c r="K592" s="36">
        <f>IF(E592&lt;&gt;"",E592,IF(AND(F592&lt;&gt;"",G592&lt;&gt;""),MOD(G592-F592,1)*24,""))</f>
        <v/>
      </c>
      <c r="L592" s="37">
        <f>IF(A592="","",CHOOSE(WEEKDAY(A592,2),"Montag","Dienstag","Mittwoch","Donnerstag","Freitag","Samstag","Sonntag"))</f>
        <v/>
      </c>
      <c r="M592" s="37">
        <f>IF(A592="","",_xlfn.ISOWEEKNUM(A592))</f>
        <v/>
      </c>
      <c r="N592" s="38">
        <f>IF(A592="","",DATE(YEAR(A592),MONTH(A592),1))</f>
        <v/>
      </c>
    </row>
    <row r="593">
      <c r="A593" s="31" t="n"/>
      <c r="B593" s="32" t="n"/>
      <c r="C593" s="32" t="n"/>
      <c r="D593" s="33" t="n"/>
      <c r="E593" s="34" t="n"/>
      <c r="F593" s="35" t="n"/>
      <c r="G593" s="35" t="n"/>
      <c r="H593" s="32" t="n"/>
      <c r="I593" s="32" t="n"/>
      <c r="J593" s="32" t="n"/>
      <c r="K593" s="36">
        <f>IF(E593&lt;&gt;"",E593,IF(AND(F593&lt;&gt;"",G593&lt;&gt;""),MOD(G593-F593,1)*24,""))</f>
        <v/>
      </c>
      <c r="L593" s="37">
        <f>IF(A593="","",CHOOSE(WEEKDAY(A593,2),"Montag","Dienstag","Mittwoch","Donnerstag","Freitag","Samstag","Sonntag"))</f>
        <v/>
      </c>
      <c r="M593" s="37">
        <f>IF(A593="","",_xlfn.ISOWEEKNUM(A593))</f>
        <v/>
      </c>
      <c r="N593" s="38">
        <f>IF(A593="","",DATE(YEAR(A593),MONTH(A593),1))</f>
        <v/>
      </c>
    </row>
    <row r="594">
      <c r="A594" s="31" t="n"/>
      <c r="B594" s="32" t="n"/>
      <c r="C594" s="32" t="n"/>
      <c r="D594" s="33" t="n"/>
      <c r="E594" s="34" t="n"/>
      <c r="F594" s="35" t="n"/>
      <c r="G594" s="35" t="n"/>
      <c r="H594" s="32" t="n"/>
      <c r="I594" s="32" t="n"/>
      <c r="J594" s="32" t="n"/>
      <c r="K594" s="36">
        <f>IF(E594&lt;&gt;"",E594,IF(AND(F594&lt;&gt;"",G594&lt;&gt;""),MOD(G594-F594,1)*24,""))</f>
        <v/>
      </c>
      <c r="L594" s="37">
        <f>IF(A594="","",CHOOSE(WEEKDAY(A594,2),"Montag","Dienstag","Mittwoch","Donnerstag","Freitag","Samstag","Sonntag"))</f>
        <v/>
      </c>
      <c r="M594" s="37">
        <f>IF(A594="","",_xlfn.ISOWEEKNUM(A594))</f>
        <v/>
      </c>
      <c r="N594" s="38">
        <f>IF(A594="","",DATE(YEAR(A594),MONTH(A594),1))</f>
        <v/>
      </c>
    </row>
    <row r="595">
      <c r="A595" s="31" t="n"/>
      <c r="B595" s="32" t="n"/>
      <c r="C595" s="32" t="n"/>
      <c r="D595" s="33" t="n"/>
      <c r="E595" s="34" t="n"/>
      <c r="F595" s="35" t="n"/>
      <c r="G595" s="35" t="n"/>
      <c r="H595" s="32" t="n"/>
      <c r="I595" s="32" t="n"/>
      <c r="J595" s="32" t="n"/>
      <c r="K595" s="36">
        <f>IF(E595&lt;&gt;"",E595,IF(AND(F595&lt;&gt;"",G595&lt;&gt;""),MOD(G595-F595,1)*24,""))</f>
        <v/>
      </c>
      <c r="L595" s="37">
        <f>IF(A595="","",CHOOSE(WEEKDAY(A595,2),"Montag","Dienstag","Mittwoch","Donnerstag","Freitag","Samstag","Sonntag"))</f>
        <v/>
      </c>
      <c r="M595" s="37">
        <f>IF(A595="","",_xlfn.ISOWEEKNUM(A595))</f>
        <v/>
      </c>
      <c r="N595" s="38">
        <f>IF(A595="","",DATE(YEAR(A595),MONTH(A595),1))</f>
        <v/>
      </c>
    </row>
    <row r="596">
      <c r="A596" s="31" t="n"/>
      <c r="B596" s="32" t="n"/>
      <c r="C596" s="32" t="n"/>
      <c r="D596" s="33" t="n"/>
      <c r="E596" s="34" t="n"/>
      <c r="F596" s="35" t="n"/>
      <c r="G596" s="35" t="n"/>
      <c r="H596" s="32" t="n"/>
      <c r="I596" s="32" t="n"/>
      <c r="J596" s="32" t="n"/>
      <c r="K596" s="36">
        <f>IF(E596&lt;&gt;"",E596,IF(AND(F596&lt;&gt;"",G596&lt;&gt;""),MOD(G596-F596,1)*24,""))</f>
        <v/>
      </c>
      <c r="L596" s="37">
        <f>IF(A596="","",CHOOSE(WEEKDAY(A596,2),"Montag","Dienstag","Mittwoch","Donnerstag","Freitag","Samstag","Sonntag"))</f>
        <v/>
      </c>
      <c r="M596" s="37">
        <f>IF(A596="","",_xlfn.ISOWEEKNUM(A596))</f>
        <v/>
      </c>
      <c r="N596" s="38">
        <f>IF(A596="","",DATE(YEAR(A596),MONTH(A596),1))</f>
        <v/>
      </c>
    </row>
    <row r="597">
      <c r="A597" s="31" t="n"/>
      <c r="B597" s="32" t="n"/>
      <c r="C597" s="32" t="n"/>
      <c r="D597" s="33" t="n"/>
      <c r="E597" s="34" t="n"/>
      <c r="F597" s="35" t="n"/>
      <c r="G597" s="35" t="n"/>
      <c r="H597" s="32" t="n"/>
      <c r="I597" s="32" t="n"/>
      <c r="J597" s="32" t="n"/>
      <c r="K597" s="36">
        <f>IF(E597&lt;&gt;"",E597,IF(AND(F597&lt;&gt;"",G597&lt;&gt;""),MOD(G597-F597,1)*24,""))</f>
        <v/>
      </c>
      <c r="L597" s="37">
        <f>IF(A597="","",CHOOSE(WEEKDAY(A597,2),"Montag","Dienstag","Mittwoch","Donnerstag","Freitag","Samstag","Sonntag"))</f>
        <v/>
      </c>
      <c r="M597" s="37">
        <f>IF(A597="","",_xlfn.ISOWEEKNUM(A597))</f>
        <v/>
      </c>
      <c r="N597" s="38">
        <f>IF(A597="","",DATE(YEAR(A597),MONTH(A597),1))</f>
        <v/>
      </c>
    </row>
    <row r="598">
      <c r="A598" s="31" t="n"/>
      <c r="B598" s="32" t="n"/>
      <c r="C598" s="32" t="n"/>
      <c r="D598" s="33" t="n"/>
      <c r="E598" s="34" t="n"/>
      <c r="F598" s="35" t="n"/>
      <c r="G598" s="35" t="n"/>
      <c r="H598" s="32" t="n"/>
      <c r="I598" s="32" t="n"/>
      <c r="J598" s="32" t="n"/>
      <c r="K598" s="36">
        <f>IF(E598&lt;&gt;"",E598,IF(AND(F598&lt;&gt;"",G598&lt;&gt;""),MOD(G598-F598,1)*24,""))</f>
        <v/>
      </c>
      <c r="L598" s="37">
        <f>IF(A598="","",CHOOSE(WEEKDAY(A598,2),"Montag","Dienstag","Mittwoch","Donnerstag","Freitag","Samstag","Sonntag"))</f>
        <v/>
      </c>
      <c r="M598" s="37">
        <f>IF(A598="","",_xlfn.ISOWEEKNUM(A598))</f>
        <v/>
      </c>
      <c r="N598" s="38">
        <f>IF(A598="","",DATE(YEAR(A598),MONTH(A598),1))</f>
        <v/>
      </c>
    </row>
    <row r="599">
      <c r="A599" s="31" t="n"/>
      <c r="B599" s="32" t="n"/>
      <c r="C599" s="32" t="n"/>
      <c r="D599" s="33" t="n"/>
      <c r="E599" s="34" t="n"/>
      <c r="F599" s="35" t="n"/>
      <c r="G599" s="35" t="n"/>
      <c r="H599" s="32" t="n"/>
      <c r="I599" s="32" t="n"/>
      <c r="J599" s="32" t="n"/>
      <c r="K599" s="36">
        <f>IF(E599&lt;&gt;"",E599,IF(AND(F599&lt;&gt;"",G599&lt;&gt;""),MOD(G599-F599,1)*24,""))</f>
        <v/>
      </c>
      <c r="L599" s="37">
        <f>IF(A599="","",CHOOSE(WEEKDAY(A599,2),"Montag","Dienstag","Mittwoch","Donnerstag","Freitag","Samstag","Sonntag"))</f>
        <v/>
      </c>
      <c r="M599" s="37">
        <f>IF(A599="","",_xlfn.ISOWEEKNUM(A599))</f>
        <v/>
      </c>
      <c r="N599" s="38">
        <f>IF(A599="","",DATE(YEAR(A599),MONTH(A599),1))</f>
        <v/>
      </c>
    </row>
    <row r="600">
      <c r="A600" s="31" t="n"/>
      <c r="B600" s="32" t="n"/>
      <c r="C600" s="32" t="n"/>
      <c r="D600" s="33" t="n"/>
      <c r="E600" s="34" t="n"/>
      <c r="F600" s="35" t="n"/>
      <c r="G600" s="35" t="n"/>
      <c r="H600" s="32" t="n"/>
      <c r="I600" s="32" t="n"/>
      <c r="J600" s="32" t="n"/>
      <c r="K600" s="36">
        <f>IF(E600&lt;&gt;"",E600,IF(AND(F600&lt;&gt;"",G600&lt;&gt;""),MOD(G600-F600,1)*24,""))</f>
        <v/>
      </c>
      <c r="L600" s="37">
        <f>IF(A600="","",CHOOSE(WEEKDAY(A600,2),"Montag","Dienstag","Mittwoch","Donnerstag","Freitag","Samstag","Sonntag"))</f>
        <v/>
      </c>
      <c r="M600" s="37">
        <f>IF(A600="","",_xlfn.ISOWEEKNUM(A600))</f>
        <v/>
      </c>
      <c r="N600" s="38">
        <f>IF(A600="","",DATE(YEAR(A600),MONTH(A600),1))</f>
        <v/>
      </c>
    </row>
    <row r="601">
      <c r="A601" s="31" t="n"/>
      <c r="B601" s="32" t="n"/>
      <c r="C601" s="32" t="n"/>
      <c r="D601" s="33" t="n"/>
      <c r="E601" s="34" t="n"/>
      <c r="F601" s="35" t="n"/>
      <c r="G601" s="35" t="n"/>
      <c r="H601" s="32" t="n"/>
      <c r="I601" s="32" t="n"/>
      <c r="J601" s="32" t="n"/>
      <c r="K601" s="36">
        <f>IF(E601&lt;&gt;"",E601,IF(AND(F601&lt;&gt;"",G601&lt;&gt;""),MOD(G601-F601,1)*24,""))</f>
        <v/>
      </c>
      <c r="L601" s="37">
        <f>IF(A601="","",CHOOSE(WEEKDAY(A601,2),"Montag","Dienstag","Mittwoch","Donnerstag","Freitag","Samstag","Sonntag"))</f>
        <v/>
      </c>
      <c r="M601" s="37">
        <f>IF(A601="","",_xlfn.ISOWEEKNUM(A601))</f>
        <v/>
      </c>
      <c r="N601" s="38">
        <f>IF(A601="","",DATE(YEAR(A601),MONTH(A601),1))</f>
        <v/>
      </c>
    </row>
    <row r="602">
      <c r="A602" s="31" t="n"/>
      <c r="B602" s="32" t="n"/>
      <c r="C602" s="32" t="n"/>
      <c r="D602" s="33" t="n"/>
      <c r="E602" s="34" t="n"/>
      <c r="F602" s="35" t="n"/>
      <c r="G602" s="35" t="n"/>
      <c r="H602" s="32" t="n"/>
      <c r="I602" s="32" t="n"/>
      <c r="J602" s="32" t="n"/>
      <c r="K602" s="36">
        <f>IF(E602&lt;&gt;"",E602,IF(AND(F602&lt;&gt;"",G602&lt;&gt;""),MOD(G602-F602,1)*24,""))</f>
        <v/>
      </c>
      <c r="L602" s="37">
        <f>IF(A602="","",CHOOSE(WEEKDAY(A602,2),"Montag","Dienstag","Mittwoch","Donnerstag","Freitag","Samstag","Sonntag"))</f>
        <v/>
      </c>
      <c r="M602" s="37">
        <f>IF(A602="","",_xlfn.ISOWEEKNUM(A602))</f>
        <v/>
      </c>
      <c r="N602" s="38">
        <f>IF(A602="","",DATE(YEAR(A602),MONTH(A602),1))</f>
        <v/>
      </c>
    </row>
    <row r="603">
      <c r="A603" s="31" t="n"/>
      <c r="B603" s="32" t="n"/>
      <c r="C603" s="32" t="n"/>
      <c r="D603" s="33" t="n"/>
      <c r="E603" s="34" t="n"/>
      <c r="F603" s="35" t="n"/>
      <c r="G603" s="35" t="n"/>
      <c r="H603" s="32" t="n"/>
      <c r="I603" s="32" t="n"/>
      <c r="J603" s="32" t="n"/>
      <c r="K603" s="36">
        <f>IF(E603&lt;&gt;"",E603,IF(AND(F603&lt;&gt;"",G603&lt;&gt;""),MOD(G603-F603,1)*24,""))</f>
        <v/>
      </c>
      <c r="L603" s="37">
        <f>IF(A603="","",CHOOSE(WEEKDAY(A603,2),"Montag","Dienstag","Mittwoch","Donnerstag","Freitag","Samstag","Sonntag"))</f>
        <v/>
      </c>
      <c r="M603" s="37">
        <f>IF(A603="","",_xlfn.ISOWEEKNUM(A603))</f>
        <v/>
      </c>
      <c r="N603" s="38">
        <f>IF(A603="","",DATE(YEAR(A603),MONTH(A603),1))</f>
        <v/>
      </c>
    </row>
    <row r="604">
      <c r="A604" s="31" t="n"/>
      <c r="B604" s="32" t="n"/>
      <c r="C604" s="32" t="n"/>
      <c r="D604" s="33" t="n"/>
      <c r="E604" s="34" t="n"/>
      <c r="F604" s="35" t="n"/>
      <c r="G604" s="35" t="n"/>
      <c r="H604" s="32" t="n"/>
      <c r="I604" s="32" t="n"/>
      <c r="J604" s="32" t="n"/>
      <c r="K604" s="36">
        <f>IF(E604&lt;&gt;"",E604,IF(AND(F604&lt;&gt;"",G604&lt;&gt;""),MOD(G604-F604,1)*24,""))</f>
        <v/>
      </c>
      <c r="L604" s="37">
        <f>IF(A604="","",CHOOSE(WEEKDAY(A604,2),"Montag","Dienstag","Mittwoch","Donnerstag","Freitag","Samstag","Sonntag"))</f>
        <v/>
      </c>
      <c r="M604" s="37">
        <f>IF(A604="","",_xlfn.ISOWEEKNUM(A604))</f>
        <v/>
      </c>
      <c r="N604" s="38">
        <f>IF(A604="","",DATE(YEAR(A604),MONTH(A604),1))</f>
        <v/>
      </c>
    </row>
    <row r="605">
      <c r="A605" s="31" t="n"/>
      <c r="B605" s="32" t="n"/>
      <c r="C605" s="32" t="n"/>
      <c r="D605" s="33" t="n"/>
      <c r="E605" s="34" t="n"/>
      <c r="F605" s="35" t="n"/>
      <c r="G605" s="35" t="n"/>
      <c r="H605" s="32" t="n"/>
      <c r="I605" s="32" t="n"/>
      <c r="J605" s="32" t="n"/>
      <c r="K605" s="36">
        <f>IF(E605&lt;&gt;"",E605,IF(AND(F605&lt;&gt;"",G605&lt;&gt;""),MOD(G605-F605,1)*24,""))</f>
        <v/>
      </c>
      <c r="L605" s="37">
        <f>IF(A605="","",CHOOSE(WEEKDAY(A605,2),"Montag","Dienstag","Mittwoch","Donnerstag","Freitag","Samstag","Sonntag"))</f>
        <v/>
      </c>
      <c r="M605" s="37">
        <f>IF(A605="","",_xlfn.ISOWEEKNUM(A605))</f>
        <v/>
      </c>
      <c r="N605" s="38">
        <f>IF(A605="","",DATE(YEAR(A605),MONTH(A605),1))</f>
        <v/>
      </c>
    </row>
    <row r="606">
      <c r="A606" s="31" t="n"/>
      <c r="B606" s="32" t="n"/>
      <c r="C606" s="32" t="n"/>
      <c r="D606" s="33" t="n"/>
      <c r="E606" s="34" t="n"/>
      <c r="F606" s="35" t="n"/>
      <c r="G606" s="35" t="n"/>
      <c r="H606" s="32" t="n"/>
      <c r="I606" s="32" t="n"/>
      <c r="J606" s="32" t="n"/>
      <c r="K606" s="36">
        <f>IF(E606&lt;&gt;"",E606,IF(AND(F606&lt;&gt;"",G606&lt;&gt;""),MOD(G606-F606,1)*24,""))</f>
        <v/>
      </c>
      <c r="L606" s="37">
        <f>IF(A606="","",CHOOSE(WEEKDAY(A606,2),"Montag","Dienstag","Mittwoch","Donnerstag","Freitag","Samstag","Sonntag"))</f>
        <v/>
      </c>
      <c r="M606" s="37">
        <f>IF(A606="","",_xlfn.ISOWEEKNUM(A606))</f>
        <v/>
      </c>
      <c r="N606" s="38">
        <f>IF(A606="","",DATE(YEAR(A606),MONTH(A606),1))</f>
        <v/>
      </c>
    </row>
    <row r="607">
      <c r="A607" s="31" t="n"/>
      <c r="B607" s="32" t="n"/>
      <c r="C607" s="32" t="n"/>
      <c r="D607" s="33" t="n"/>
      <c r="E607" s="34" t="n"/>
      <c r="F607" s="35" t="n"/>
      <c r="G607" s="35" t="n"/>
      <c r="H607" s="32" t="n"/>
      <c r="I607" s="32" t="n"/>
      <c r="J607" s="32" t="n"/>
      <c r="K607" s="36">
        <f>IF(E607&lt;&gt;"",E607,IF(AND(F607&lt;&gt;"",G607&lt;&gt;""),MOD(G607-F607,1)*24,""))</f>
        <v/>
      </c>
      <c r="L607" s="37">
        <f>IF(A607="","",CHOOSE(WEEKDAY(A607,2),"Montag","Dienstag","Mittwoch","Donnerstag","Freitag","Samstag","Sonntag"))</f>
        <v/>
      </c>
      <c r="M607" s="37">
        <f>IF(A607="","",_xlfn.ISOWEEKNUM(A607))</f>
        <v/>
      </c>
      <c r="N607" s="38">
        <f>IF(A607="","",DATE(YEAR(A607),MONTH(A607),1))</f>
        <v/>
      </c>
    </row>
    <row r="608">
      <c r="A608" s="31" t="n"/>
      <c r="B608" s="32" t="n"/>
      <c r="C608" s="32" t="n"/>
      <c r="D608" s="33" t="n"/>
      <c r="E608" s="34" t="n"/>
      <c r="F608" s="35" t="n"/>
      <c r="G608" s="35" t="n"/>
      <c r="H608" s="32" t="n"/>
      <c r="I608" s="32" t="n"/>
      <c r="J608" s="32" t="n"/>
      <c r="K608" s="36">
        <f>IF(E608&lt;&gt;"",E608,IF(AND(F608&lt;&gt;"",G608&lt;&gt;""),MOD(G608-F608,1)*24,""))</f>
        <v/>
      </c>
      <c r="L608" s="37">
        <f>IF(A608="","",CHOOSE(WEEKDAY(A608,2),"Montag","Dienstag","Mittwoch","Donnerstag","Freitag","Samstag","Sonntag"))</f>
        <v/>
      </c>
      <c r="M608" s="37">
        <f>IF(A608="","",_xlfn.ISOWEEKNUM(A608))</f>
        <v/>
      </c>
      <c r="N608" s="38">
        <f>IF(A608="","",DATE(YEAR(A608),MONTH(A608),1))</f>
        <v/>
      </c>
    </row>
    <row r="609">
      <c r="A609" s="31" t="n"/>
      <c r="B609" s="32" t="n"/>
      <c r="C609" s="32" t="n"/>
      <c r="D609" s="33" t="n"/>
      <c r="E609" s="34" t="n"/>
      <c r="F609" s="35" t="n"/>
      <c r="G609" s="35" t="n"/>
      <c r="H609" s="32" t="n"/>
      <c r="I609" s="32" t="n"/>
      <c r="J609" s="32" t="n"/>
      <c r="K609" s="36">
        <f>IF(E609&lt;&gt;"",E609,IF(AND(F609&lt;&gt;"",G609&lt;&gt;""),MOD(G609-F609,1)*24,""))</f>
        <v/>
      </c>
      <c r="L609" s="37">
        <f>IF(A609="","",CHOOSE(WEEKDAY(A609,2),"Montag","Dienstag","Mittwoch","Donnerstag","Freitag","Samstag","Sonntag"))</f>
        <v/>
      </c>
      <c r="M609" s="37">
        <f>IF(A609="","",_xlfn.ISOWEEKNUM(A609))</f>
        <v/>
      </c>
      <c r="N609" s="38">
        <f>IF(A609="","",DATE(YEAR(A609),MONTH(A609),1))</f>
        <v/>
      </c>
    </row>
    <row r="610">
      <c r="A610" s="31" t="n"/>
      <c r="B610" s="32" t="n"/>
      <c r="C610" s="32" t="n"/>
      <c r="D610" s="33" t="n"/>
      <c r="E610" s="34" t="n"/>
      <c r="F610" s="35" t="n"/>
      <c r="G610" s="35" t="n"/>
      <c r="H610" s="32" t="n"/>
      <c r="I610" s="32" t="n"/>
      <c r="J610" s="32" t="n"/>
      <c r="K610" s="36">
        <f>IF(E610&lt;&gt;"",E610,IF(AND(F610&lt;&gt;"",G610&lt;&gt;""),MOD(G610-F610,1)*24,""))</f>
        <v/>
      </c>
      <c r="L610" s="37">
        <f>IF(A610="","",CHOOSE(WEEKDAY(A610,2),"Montag","Dienstag","Mittwoch","Donnerstag","Freitag","Samstag","Sonntag"))</f>
        <v/>
      </c>
      <c r="M610" s="37">
        <f>IF(A610="","",_xlfn.ISOWEEKNUM(A610))</f>
        <v/>
      </c>
      <c r="N610" s="38">
        <f>IF(A610="","",DATE(YEAR(A610),MONTH(A610),1))</f>
        <v/>
      </c>
    </row>
    <row r="611">
      <c r="A611" s="31" t="n"/>
      <c r="B611" s="32" t="n"/>
      <c r="C611" s="32" t="n"/>
      <c r="D611" s="33" t="n"/>
      <c r="E611" s="34" t="n"/>
      <c r="F611" s="35" t="n"/>
      <c r="G611" s="35" t="n"/>
      <c r="H611" s="32" t="n"/>
      <c r="I611" s="32" t="n"/>
      <c r="J611" s="32" t="n"/>
      <c r="K611" s="36">
        <f>IF(E611&lt;&gt;"",E611,IF(AND(F611&lt;&gt;"",G611&lt;&gt;""),MOD(G611-F611,1)*24,""))</f>
        <v/>
      </c>
      <c r="L611" s="37">
        <f>IF(A611="","",CHOOSE(WEEKDAY(A611,2),"Montag","Dienstag","Mittwoch","Donnerstag","Freitag","Samstag","Sonntag"))</f>
        <v/>
      </c>
      <c r="M611" s="37">
        <f>IF(A611="","",_xlfn.ISOWEEKNUM(A611))</f>
        <v/>
      </c>
      <c r="N611" s="38">
        <f>IF(A611="","",DATE(YEAR(A611),MONTH(A611),1))</f>
        <v/>
      </c>
    </row>
    <row r="612">
      <c r="A612" s="31" t="n"/>
      <c r="B612" s="32" t="n"/>
      <c r="C612" s="32" t="n"/>
      <c r="D612" s="33" t="n"/>
      <c r="E612" s="34" t="n"/>
      <c r="F612" s="35" t="n"/>
      <c r="G612" s="35" t="n"/>
      <c r="H612" s="32" t="n"/>
      <c r="I612" s="32" t="n"/>
      <c r="J612" s="32" t="n"/>
      <c r="K612" s="36">
        <f>IF(E612&lt;&gt;"",E612,IF(AND(F612&lt;&gt;"",G612&lt;&gt;""),MOD(G612-F612,1)*24,""))</f>
        <v/>
      </c>
      <c r="L612" s="37">
        <f>IF(A612="","",CHOOSE(WEEKDAY(A612,2),"Montag","Dienstag","Mittwoch","Donnerstag","Freitag","Samstag","Sonntag"))</f>
        <v/>
      </c>
      <c r="M612" s="37">
        <f>IF(A612="","",_xlfn.ISOWEEKNUM(A612))</f>
        <v/>
      </c>
      <c r="N612" s="38">
        <f>IF(A612="","",DATE(YEAR(A612),MONTH(A612),1))</f>
        <v/>
      </c>
    </row>
    <row r="613">
      <c r="A613" s="31" t="n"/>
      <c r="B613" s="32" t="n"/>
      <c r="C613" s="32" t="n"/>
      <c r="D613" s="33" t="n"/>
      <c r="E613" s="34" t="n"/>
      <c r="F613" s="35" t="n"/>
      <c r="G613" s="35" t="n"/>
      <c r="H613" s="32" t="n"/>
      <c r="I613" s="32" t="n"/>
      <c r="J613" s="32" t="n"/>
      <c r="K613" s="36">
        <f>IF(E613&lt;&gt;"",E613,IF(AND(F613&lt;&gt;"",G613&lt;&gt;""),MOD(G613-F613,1)*24,""))</f>
        <v/>
      </c>
      <c r="L613" s="37">
        <f>IF(A613="","",CHOOSE(WEEKDAY(A613,2),"Montag","Dienstag","Mittwoch","Donnerstag","Freitag","Samstag","Sonntag"))</f>
        <v/>
      </c>
      <c r="M613" s="37">
        <f>IF(A613="","",_xlfn.ISOWEEKNUM(A613))</f>
        <v/>
      </c>
      <c r="N613" s="38">
        <f>IF(A613="","",DATE(YEAR(A613),MONTH(A613),1))</f>
        <v/>
      </c>
    </row>
    <row r="614">
      <c r="A614" s="31" t="n"/>
      <c r="B614" s="32" t="n"/>
      <c r="C614" s="32" t="n"/>
      <c r="D614" s="33" t="n"/>
      <c r="E614" s="34" t="n"/>
      <c r="F614" s="35" t="n"/>
      <c r="G614" s="35" t="n"/>
      <c r="H614" s="32" t="n"/>
      <c r="I614" s="32" t="n"/>
      <c r="J614" s="32" t="n"/>
      <c r="K614" s="36">
        <f>IF(E614&lt;&gt;"",E614,IF(AND(F614&lt;&gt;"",G614&lt;&gt;""),MOD(G614-F614,1)*24,""))</f>
        <v/>
      </c>
      <c r="L614" s="37">
        <f>IF(A614="","",CHOOSE(WEEKDAY(A614,2),"Montag","Dienstag","Mittwoch","Donnerstag","Freitag","Samstag","Sonntag"))</f>
        <v/>
      </c>
      <c r="M614" s="37">
        <f>IF(A614="","",_xlfn.ISOWEEKNUM(A614))</f>
        <v/>
      </c>
      <c r="N614" s="38">
        <f>IF(A614="","",DATE(YEAR(A614),MONTH(A614),1))</f>
        <v/>
      </c>
    </row>
    <row r="615">
      <c r="A615" s="31" t="n"/>
      <c r="B615" s="32" t="n"/>
      <c r="C615" s="32" t="n"/>
      <c r="D615" s="33" t="n"/>
      <c r="E615" s="34" t="n"/>
      <c r="F615" s="35" t="n"/>
      <c r="G615" s="35" t="n"/>
      <c r="H615" s="32" t="n"/>
      <c r="I615" s="32" t="n"/>
      <c r="J615" s="32" t="n"/>
      <c r="K615" s="36">
        <f>IF(E615&lt;&gt;"",E615,IF(AND(F615&lt;&gt;"",G615&lt;&gt;""),MOD(G615-F615,1)*24,""))</f>
        <v/>
      </c>
      <c r="L615" s="37">
        <f>IF(A615="","",CHOOSE(WEEKDAY(A615,2),"Montag","Dienstag","Mittwoch","Donnerstag","Freitag","Samstag","Sonntag"))</f>
        <v/>
      </c>
      <c r="M615" s="37">
        <f>IF(A615="","",_xlfn.ISOWEEKNUM(A615))</f>
        <v/>
      </c>
      <c r="N615" s="38">
        <f>IF(A615="","",DATE(YEAR(A615),MONTH(A615),1))</f>
        <v/>
      </c>
    </row>
    <row r="616">
      <c r="A616" s="31" t="n"/>
      <c r="B616" s="32" t="n"/>
      <c r="C616" s="32" t="n"/>
      <c r="D616" s="33" t="n"/>
      <c r="E616" s="34" t="n"/>
      <c r="F616" s="35" t="n"/>
      <c r="G616" s="35" t="n"/>
      <c r="H616" s="32" t="n"/>
      <c r="I616" s="32" t="n"/>
      <c r="J616" s="32" t="n"/>
      <c r="K616" s="36">
        <f>IF(E616&lt;&gt;"",E616,IF(AND(F616&lt;&gt;"",G616&lt;&gt;""),MOD(G616-F616,1)*24,""))</f>
        <v/>
      </c>
      <c r="L616" s="37">
        <f>IF(A616="","",CHOOSE(WEEKDAY(A616,2),"Montag","Dienstag","Mittwoch","Donnerstag","Freitag","Samstag","Sonntag"))</f>
        <v/>
      </c>
      <c r="M616" s="37">
        <f>IF(A616="","",_xlfn.ISOWEEKNUM(A616))</f>
        <v/>
      </c>
      <c r="N616" s="38">
        <f>IF(A616="","",DATE(YEAR(A616),MONTH(A616),1))</f>
        <v/>
      </c>
    </row>
    <row r="617">
      <c r="A617" s="31" t="n"/>
      <c r="B617" s="32" t="n"/>
      <c r="C617" s="32" t="n"/>
      <c r="D617" s="33" t="n"/>
      <c r="E617" s="34" t="n"/>
      <c r="F617" s="35" t="n"/>
      <c r="G617" s="35" t="n"/>
      <c r="H617" s="32" t="n"/>
      <c r="I617" s="32" t="n"/>
      <c r="J617" s="32" t="n"/>
      <c r="K617" s="36">
        <f>IF(E617&lt;&gt;"",E617,IF(AND(F617&lt;&gt;"",G617&lt;&gt;""),MOD(G617-F617,1)*24,""))</f>
        <v/>
      </c>
      <c r="L617" s="37">
        <f>IF(A617="","",CHOOSE(WEEKDAY(A617,2),"Montag","Dienstag","Mittwoch","Donnerstag","Freitag","Samstag","Sonntag"))</f>
        <v/>
      </c>
      <c r="M617" s="37">
        <f>IF(A617="","",_xlfn.ISOWEEKNUM(A617))</f>
        <v/>
      </c>
      <c r="N617" s="38">
        <f>IF(A617="","",DATE(YEAR(A617),MONTH(A617),1))</f>
        <v/>
      </c>
    </row>
    <row r="618">
      <c r="A618" s="31" t="n"/>
      <c r="B618" s="32" t="n"/>
      <c r="C618" s="32" t="n"/>
      <c r="D618" s="33" t="n"/>
      <c r="E618" s="34" t="n"/>
      <c r="F618" s="35" t="n"/>
      <c r="G618" s="35" t="n"/>
      <c r="H618" s="32" t="n"/>
      <c r="I618" s="32" t="n"/>
      <c r="J618" s="32" t="n"/>
      <c r="K618" s="36">
        <f>IF(E618&lt;&gt;"",E618,IF(AND(F618&lt;&gt;"",G618&lt;&gt;""),MOD(G618-F618,1)*24,""))</f>
        <v/>
      </c>
      <c r="L618" s="37">
        <f>IF(A618="","",CHOOSE(WEEKDAY(A618,2),"Montag","Dienstag","Mittwoch","Donnerstag","Freitag","Samstag","Sonntag"))</f>
        <v/>
      </c>
      <c r="M618" s="37">
        <f>IF(A618="","",_xlfn.ISOWEEKNUM(A618))</f>
        <v/>
      </c>
      <c r="N618" s="38">
        <f>IF(A618="","",DATE(YEAR(A618),MONTH(A618),1))</f>
        <v/>
      </c>
    </row>
    <row r="619">
      <c r="A619" s="31" t="n"/>
      <c r="B619" s="32" t="n"/>
      <c r="C619" s="32" t="n"/>
      <c r="D619" s="33" t="n"/>
      <c r="E619" s="34" t="n"/>
      <c r="F619" s="35" t="n"/>
      <c r="G619" s="35" t="n"/>
      <c r="H619" s="32" t="n"/>
      <c r="I619" s="32" t="n"/>
      <c r="J619" s="32" t="n"/>
      <c r="K619" s="36">
        <f>IF(E619&lt;&gt;"",E619,IF(AND(F619&lt;&gt;"",G619&lt;&gt;""),MOD(G619-F619,1)*24,""))</f>
        <v/>
      </c>
      <c r="L619" s="37">
        <f>IF(A619="","",CHOOSE(WEEKDAY(A619,2),"Montag","Dienstag","Mittwoch","Donnerstag","Freitag","Samstag","Sonntag"))</f>
        <v/>
      </c>
      <c r="M619" s="37">
        <f>IF(A619="","",_xlfn.ISOWEEKNUM(A619))</f>
        <v/>
      </c>
      <c r="N619" s="38">
        <f>IF(A619="","",DATE(YEAR(A619),MONTH(A619),1))</f>
        <v/>
      </c>
    </row>
    <row r="620">
      <c r="A620" s="31" t="n"/>
      <c r="B620" s="32" t="n"/>
      <c r="C620" s="32" t="n"/>
      <c r="D620" s="33" t="n"/>
      <c r="E620" s="34" t="n"/>
      <c r="F620" s="35" t="n"/>
      <c r="G620" s="35" t="n"/>
      <c r="H620" s="32" t="n"/>
      <c r="I620" s="32" t="n"/>
      <c r="J620" s="32" t="n"/>
      <c r="K620" s="36">
        <f>IF(E620&lt;&gt;"",E620,IF(AND(F620&lt;&gt;"",G620&lt;&gt;""),MOD(G620-F620,1)*24,""))</f>
        <v/>
      </c>
      <c r="L620" s="37">
        <f>IF(A620="","",CHOOSE(WEEKDAY(A620,2),"Montag","Dienstag","Mittwoch","Donnerstag","Freitag","Samstag","Sonntag"))</f>
        <v/>
      </c>
      <c r="M620" s="37">
        <f>IF(A620="","",_xlfn.ISOWEEKNUM(A620))</f>
        <v/>
      </c>
      <c r="N620" s="38">
        <f>IF(A620="","",DATE(YEAR(A620),MONTH(A620),1))</f>
        <v/>
      </c>
    </row>
    <row r="621">
      <c r="A621" s="31" t="n"/>
      <c r="B621" s="32" t="n"/>
      <c r="C621" s="32" t="n"/>
      <c r="D621" s="33" t="n"/>
      <c r="E621" s="34" t="n"/>
      <c r="F621" s="35" t="n"/>
      <c r="G621" s="35" t="n"/>
      <c r="H621" s="32" t="n"/>
      <c r="I621" s="32" t="n"/>
      <c r="J621" s="32" t="n"/>
      <c r="K621" s="36">
        <f>IF(E621&lt;&gt;"",E621,IF(AND(F621&lt;&gt;"",G621&lt;&gt;""),MOD(G621-F621,1)*24,""))</f>
        <v/>
      </c>
      <c r="L621" s="37">
        <f>IF(A621="","",CHOOSE(WEEKDAY(A621,2),"Montag","Dienstag","Mittwoch","Donnerstag","Freitag","Samstag","Sonntag"))</f>
        <v/>
      </c>
      <c r="M621" s="37">
        <f>IF(A621="","",_xlfn.ISOWEEKNUM(A621))</f>
        <v/>
      </c>
      <c r="N621" s="38">
        <f>IF(A621="","",DATE(YEAR(A621),MONTH(A621),1))</f>
        <v/>
      </c>
    </row>
    <row r="622">
      <c r="A622" s="31" t="n"/>
      <c r="B622" s="32" t="n"/>
      <c r="C622" s="32" t="n"/>
      <c r="D622" s="33" t="n"/>
      <c r="E622" s="34" t="n"/>
      <c r="F622" s="35" t="n"/>
      <c r="G622" s="35" t="n"/>
      <c r="H622" s="32" t="n"/>
      <c r="I622" s="32" t="n"/>
      <c r="J622" s="32" t="n"/>
      <c r="K622" s="36">
        <f>IF(E622&lt;&gt;"",E622,IF(AND(F622&lt;&gt;"",G622&lt;&gt;""),MOD(G622-F622,1)*24,""))</f>
        <v/>
      </c>
      <c r="L622" s="37">
        <f>IF(A622="","",CHOOSE(WEEKDAY(A622,2),"Montag","Dienstag","Mittwoch","Donnerstag","Freitag","Samstag","Sonntag"))</f>
        <v/>
      </c>
      <c r="M622" s="37">
        <f>IF(A622="","",_xlfn.ISOWEEKNUM(A622))</f>
        <v/>
      </c>
      <c r="N622" s="38">
        <f>IF(A622="","",DATE(YEAR(A622),MONTH(A622),1))</f>
        <v/>
      </c>
    </row>
    <row r="623">
      <c r="A623" s="31" t="n"/>
      <c r="B623" s="32" t="n"/>
      <c r="C623" s="32" t="n"/>
      <c r="D623" s="33" t="n"/>
      <c r="E623" s="34" t="n"/>
      <c r="F623" s="35" t="n"/>
      <c r="G623" s="35" t="n"/>
      <c r="H623" s="32" t="n"/>
      <c r="I623" s="32" t="n"/>
      <c r="J623" s="32" t="n"/>
      <c r="K623" s="36">
        <f>IF(E623&lt;&gt;"",E623,IF(AND(F623&lt;&gt;"",G623&lt;&gt;""),MOD(G623-F623,1)*24,""))</f>
        <v/>
      </c>
      <c r="L623" s="37">
        <f>IF(A623="","",CHOOSE(WEEKDAY(A623,2),"Montag","Dienstag","Mittwoch","Donnerstag","Freitag","Samstag","Sonntag"))</f>
        <v/>
      </c>
      <c r="M623" s="37">
        <f>IF(A623="","",_xlfn.ISOWEEKNUM(A623))</f>
        <v/>
      </c>
      <c r="N623" s="38">
        <f>IF(A623="","",DATE(YEAR(A623),MONTH(A623),1))</f>
        <v/>
      </c>
    </row>
    <row r="624">
      <c r="A624" s="31" t="n"/>
      <c r="B624" s="32" t="n"/>
      <c r="C624" s="32" t="n"/>
      <c r="D624" s="33" t="n"/>
      <c r="E624" s="34" t="n"/>
      <c r="F624" s="35" t="n"/>
      <c r="G624" s="35" t="n"/>
      <c r="H624" s="32" t="n"/>
      <c r="I624" s="32" t="n"/>
      <c r="J624" s="32" t="n"/>
      <c r="K624" s="36">
        <f>IF(E624&lt;&gt;"",E624,IF(AND(F624&lt;&gt;"",G624&lt;&gt;""),MOD(G624-F624,1)*24,""))</f>
        <v/>
      </c>
      <c r="L624" s="37">
        <f>IF(A624="","",CHOOSE(WEEKDAY(A624,2),"Montag","Dienstag","Mittwoch","Donnerstag","Freitag","Samstag","Sonntag"))</f>
        <v/>
      </c>
      <c r="M624" s="37">
        <f>IF(A624="","",_xlfn.ISOWEEKNUM(A624))</f>
        <v/>
      </c>
      <c r="N624" s="38">
        <f>IF(A624="","",DATE(YEAR(A624),MONTH(A624),1))</f>
        <v/>
      </c>
    </row>
    <row r="625">
      <c r="A625" s="31" t="n"/>
      <c r="B625" s="32" t="n"/>
      <c r="C625" s="32" t="n"/>
      <c r="D625" s="33" t="n"/>
      <c r="E625" s="34" t="n"/>
      <c r="F625" s="35" t="n"/>
      <c r="G625" s="35" t="n"/>
      <c r="H625" s="32" t="n"/>
      <c r="I625" s="32" t="n"/>
      <c r="J625" s="32" t="n"/>
      <c r="K625" s="36">
        <f>IF(E625&lt;&gt;"",E625,IF(AND(F625&lt;&gt;"",G625&lt;&gt;""),MOD(G625-F625,1)*24,""))</f>
        <v/>
      </c>
      <c r="L625" s="37">
        <f>IF(A625="","",CHOOSE(WEEKDAY(A625,2),"Montag","Dienstag","Mittwoch","Donnerstag","Freitag","Samstag","Sonntag"))</f>
        <v/>
      </c>
      <c r="M625" s="37">
        <f>IF(A625="","",_xlfn.ISOWEEKNUM(A625))</f>
        <v/>
      </c>
      <c r="N625" s="38">
        <f>IF(A625="","",DATE(YEAR(A625),MONTH(A625),1))</f>
        <v/>
      </c>
    </row>
    <row r="626">
      <c r="A626" s="31" t="n"/>
      <c r="B626" s="32" t="n"/>
      <c r="C626" s="32" t="n"/>
      <c r="D626" s="33" t="n"/>
      <c r="E626" s="34" t="n"/>
      <c r="F626" s="35" t="n"/>
      <c r="G626" s="35" t="n"/>
      <c r="H626" s="32" t="n"/>
      <c r="I626" s="32" t="n"/>
      <c r="J626" s="32" t="n"/>
      <c r="K626" s="36">
        <f>IF(E626&lt;&gt;"",E626,IF(AND(F626&lt;&gt;"",G626&lt;&gt;""),MOD(G626-F626,1)*24,""))</f>
        <v/>
      </c>
      <c r="L626" s="37">
        <f>IF(A626="","",CHOOSE(WEEKDAY(A626,2),"Montag","Dienstag","Mittwoch","Donnerstag","Freitag","Samstag","Sonntag"))</f>
        <v/>
      </c>
      <c r="M626" s="37">
        <f>IF(A626="","",_xlfn.ISOWEEKNUM(A626))</f>
        <v/>
      </c>
      <c r="N626" s="38">
        <f>IF(A626="","",DATE(YEAR(A626),MONTH(A626),1))</f>
        <v/>
      </c>
    </row>
    <row r="627">
      <c r="A627" s="31" t="n"/>
      <c r="B627" s="32" t="n"/>
      <c r="C627" s="32" t="n"/>
      <c r="D627" s="33" t="n"/>
      <c r="E627" s="34" t="n"/>
      <c r="F627" s="35" t="n"/>
      <c r="G627" s="35" t="n"/>
      <c r="H627" s="32" t="n"/>
      <c r="I627" s="32" t="n"/>
      <c r="J627" s="32" t="n"/>
      <c r="K627" s="36">
        <f>IF(E627&lt;&gt;"",E627,IF(AND(F627&lt;&gt;"",G627&lt;&gt;""),MOD(G627-F627,1)*24,""))</f>
        <v/>
      </c>
      <c r="L627" s="37">
        <f>IF(A627="","",CHOOSE(WEEKDAY(A627,2),"Montag","Dienstag","Mittwoch","Donnerstag","Freitag","Samstag","Sonntag"))</f>
        <v/>
      </c>
      <c r="M627" s="37">
        <f>IF(A627="","",_xlfn.ISOWEEKNUM(A627))</f>
        <v/>
      </c>
      <c r="N627" s="38">
        <f>IF(A627="","",DATE(YEAR(A627),MONTH(A627),1))</f>
        <v/>
      </c>
    </row>
    <row r="628">
      <c r="A628" s="31" t="n"/>
      <c r="B628" s="32" t="n"/>
      <c r="C628" s="32" t="n"/>
      <c r="D628" s="33" t="n"/>
      <c r="E628" s="34" t="n"/>
      <c r="F628" s="35" t="n"/>
      <c r="G628" s="35" t="n"/>
      <c r="H628" s="32" t="n"/>
      <c r="I628" s="32" t="n"/>
      <c r="J628" s="32" t="n"/>
      <c r="K628" s="36">
        <f>IF(E628&lt;&gt;"",E628,IF(AND(F628&lt;&gt;"",G628&lt;&gt;""),MOD(G628-F628,1)*24,""))</f>
        <v/>
      </c>
      <c r="L628" s="37">
        <f>IF(A628="","",CHOOSE(WEEKDAY(A628,2),"Montag","Dienstag","Mittwoch","Donnerstag","Freitag","Samstag","Sonntag"))</f>
        <v/>
      </c>
      <c r="M628" s="37">
        <f>IF(A628="","",_xlfn.ISOWEEKNUM(A628))</f>
        <v/>
      </c>
      <c r="N628" s="38">
        <f>IF(A628="","",DATE(YEAR(A628),MONTH(A628),1))</f>
        <v/>
      </c>
    </row>
    <row r="629">
      <c r="A629" s="31" t="n"/>
      <c r="B629" s="32" t="n"/>
      <c r="C629" s="32" t="n"/>
      <c r="D629" s="33" t="n"/>
      <c r="E629" s="34" t="n"/>
      <c r="F629" s="35" t="n"/>
      <c r="G629" s="35" t="n"/>
      <c r="H629" s="32" t="n"/>
      <c r="I629" s="32" t="n"/>
      <c r="J629" s="32" t="n"/>
      <c r="K629" s="36">
        <f>IF(E629&lt;&gt;"",E629,IF(AND(F629&lt;&gt;"",G629&lt;&gt;""),MOD(G629-F629,1)*24,""))</f>
        <v/>
      </c>
      <c r="L629" s="37">
        <f>IF(A629="","",CHOOSE(WEEKDAY(A629,2),"Montag","Dienstag","Mittwoch","Donnerstag","Freitag","Samstag","Sonntag"))</f>
        <v/>
      </c>
      <c r="M629" s="37">
        <f>IF(A629="","",_xlfn.ISOWEEKNUM(A629))</f>
        <v/>
      </c>
      <c r="N629" s="38">
        <f>IF(A629="","",DATE(YEAR(A629),MONTH(A629),1))</f>
        <v/>
      </c>
    </row>
    <row r="630">
      <c r="A630" s="31" t="n"/>
      <c r="B630" s="32" t="n"/>
      <c r="C630" s="32" t="n"/>
      <c r="D630" s="33" t="n"/>
      <c r="E630" s="34" t="n"/>
      <c r="F630" s="35" t="n"/>
      <c r="G630" s="35" t="n"/>
      <c r="H630" s="32" t="n"/>
      <c r="I630" s="32" t="n"/>
      <c r="J630" s="32" t="n"/>
      <c r="K630" s="36">
        <f>IF(E630&lt;&gt;"",E630,IF(AND(F630&lt;&gt;"",G630&lt;&gt;""),MOD(G630-F630,1)*24,""))</f>
        <v/>
      </c>
      <c r="L630" s="37">
        <f>IF(A630="","",CHOOSE(WEEKDAY(A630,2),"Montag","Dienstag","Mittwoch","Donnerstag","Freitag","Samstag","Sonntag"))</f>
        <v/>
      </c>
      <c r="M630" s="37">
        <f>IF(A630="","",_xlfn.ISOWEEKNUM(A630))</f>
        <v/>
      </c>
      <c r="N630" s="38">
        <f>IF(A630="","",DATE(YEAR(A630),MONTH(A630),1))</f>
        <v/>
      </c>
    </row>
    <row r="631">
      <c r="A631" s="31" t="n"/>
      <c r="B631" s="32" t="n"/>
      <c r="C631" s="32" t="n"/>
      <c r="D631" s="33" t="n"/>
      <c r="E631" s="34" t="n"/>
      <c r="F631" s="35" t="n"/>
      <c r="G631" s="35" t="n"/>
      <c r="H631" s="32" t="n"/>
      <c r="I631" s="32" t="n"/>
      <c r="J631" s="32" t="n"/>
      <c r="K631" s="36">
        <f>IF(E631&lt;&gt;"",E631,IF(AND(F631&lt;&gt;"",G631&lt;&gt;""),MOD(G631-F631,1)*24,""))</f>
        <v/>
      </c>
      <c r="L631" s="37">
        <f>IF(A631="","",CHOOSE(WEEKDAY(A631,2),"Montag","Dienstag","Mittwoch","Donnerstag","Freitag","Samstag","Sonntag"))</f>
        <v/>
      </c>
      <c r="M631" s="37">
        <f>IF(A631="","",_xlfn.ISOWEEKNUM(A631))</f>
        <v/>
      </c>
      <c r="N631" s="38">
        <f>IF(A631="","",DATE(YEAR(A631),MONTH(A631),1))</f>
        <v/>
      </c>
    </row>
    <row r="632">
      <c r="A632" s="31" t="n"/>
      <c r="B632" s="32" t="n"/>
      <c r="C632" s="32" t="n"/>
      <c r="D632" s="33" t="n"/>
      <c r="E632" s="34" t="n"/>
      <c r="F632" s="35" t="n"/>
      <c r="G632" s="35" t="n"/>
      <c r="H632" s="32" t="n"/>
      <c r="I632" s="32" t="n"/>
      <c r="J632" s="32" t="n"/>
      <c r="K632" s="36">
        <f>IF(E632&lt;&gt;"",E632,IF(AND(F632&lt;&gt;"",G632&lt;&gt;""),MOD(G632-F632,1)*24,""))</f>
        <v/>
      </c>
      <c r="L632" s="37">
        <f>IF(A632="","",CHOOSE(WEEKDAY(A632,2),"Montag","Dienstag","Mittwoch","Donnerstag","Freitag","Samstag","Sonntag"))</f>
        <v/>
      </c>
      <c r="M632" s="37">
        <f>IF(A632="","",_xlfn.ISOWEEKNUM(A632))</f>
        <v/>
      </c>
      <c r="N632" s="38">
        <f>IF(A632="","",DATE(YEAR(A632),MONTH(A632),1))</f>
        <v/>
      </c>
    </row>
    <row r="633">
      <c r="A633" s="31" t="n"/>
      <c r="B633" s="32" t="n"/>
      <c r="C633" s="32" t="n"/>
      <c r="D633" s="33" t="n"/>
      <c r="E633" s="34" t="n"/>
      <c r="F633" s="35" t="n"/>
      <c r="G633" s="35" t="n"/>
      <c r="H633" s="32" t="n"/>
      <c r="I633" s="32" t="n"/>
      <c r="J633" s="32" t="n"/>
      <c r="K633" s="36">
        <f>IF(E633&lt;&gt;"",E633,IF(AND(F633&lt;&gt;"",G633&lt;&gt;""),MOD(G633-F633,1)*24,""))</f>
        <v/>
      </c>
      <c r="L633" s="37">
        <f>IF(A633="","",CHOOSE(WEEKDAY(A633,2),"Montag","Dienstag","Mittwoch","Donnerstag","Freitag","Samstag","Sonntag"))</f>
        <v/>
      </c>
      <c r="M633" s="37">
        <f>IF(A633="","",_xlfn.ISOWEEKNUM(A633))</f>
        <v/>
      </c>
      <c r="N633" s="38">
        <f>IF(A633="","",DATE(YEAR(A633),MONTH(A633),1))</f>
        <v/>
      </c>
    </row>
    <row r="634">
      <c r="A634" s="31" t="n"/>
      <c r="B634" s="32" t="n"/>
      <c r="C634" s="32" t="n"/>
      <c r="D634" s="33" t="n"/>
      <c r="E634" s="34" t="n"/>
      <c r="F634" s="35" t="n"/>
      <c r="G634" s="35" t="n"/>
      <c r="H634" s="32" t="n"/>
      <c r="I634" s="32" t="n"/>
      <c r="J634" s="32" t="n"/>
      <c r="K634" s="36">
        <f>IF(E634&lt;&gt;"",E634,IF(AND(F634&lt;&gt;"",G634&lt;&gt;""),MOD(G634-F634,1)*24,""))</f>
        <v/>
      </c>
      <c r="L634" s="37">
        <f>IF(A634="","",CHOOSE(WEEKDAY(A634,2),"Montag","Dienstag","Mittwoch","Donnerstag","Freitag","Samstag","Sonntag"))</f>
        <v/>
      </c>
      <c r="M634" s="37">
        <f>IF(A634="","",_xlfn.ISOWEEKNUM(A634))</f>
        <v/>
      </c>
      <c r="N634" s="38">
        <f>IF(A634="","",DATE(YEAR(A634),MONTH(A634),1))</f>
        <v/>
      </c>
    </row>
    <row r="635">
      <c r="A635" s="31" t="n"/>
      <c r="B635" s="32" t="n"/>
      <c r="C635" s="32" t="n"/>
      <c r="D635" s="33" t="n"/>
      <c r="E635" s="34" t="n"/>
      <c r="F635" s="35" t="n"/>
      <c r="G635" s="35" t="n"/>
      <c r="H635" s="32" t="n"/>
      <c r="I635" s="32" t="n"/>
      <c r="J635" s="32" t="n"/>
      <c r="K635" s="36">
        <f>IF(E635&lt;&gt;"",E635,IF(AND(F635&lt;&gt;"",G635&lt;&gt;""),MOD(G635-F635,1)*24,""))</f>
        <v/>
      </c>
      <c r="L635" s="37">
        <f>IF(A635="","",CHOOSE(WEEKDAY(A635,2),"Montag","Dienstag","Mittwoch","Donnerstag","Freitag","Samstag","Sonntag"))</f>
        <v/>
      </c>
      <c r="M635" s="37">
        <f>IF(A635="","",_xlfn.ISOWEEKNUM(A635))</f>
        <v/>
      </c>
      <c r="N635" s="38">
        <f>IF(A635="","",DATE(YEAR(A635),MONTH(A635),1))</f>
        <v/>
      </c>
    </row>
    <row r="636">
      <c r="A636" s="31" t="n"/>
      <c r="B636" s="32" t="n"/>
      <c r="C636" s="32" t="n"/>
      <c r="D636" s="33" t="n"/>
      <c r="E636" s="34" t="n"/>
      <c r="F636" s="35" t="n"/>
      <c r="G636" s="35" t="n"/>
      <c r="H636" s="32" t="n"/>
      <c r="I636" s="32" t="n"/>
      <c r="J636" s="32" t="n"/>
      <c r="K636" s="36">
        <f>IF(E636&lt;&gt;"",E636,IF(AND(F636&lt;&gt;"",G636&lt;&gt;""),MOD(G636-F636,1)*24,""))</f>
        <v/>
      </c>
      <c r="L636" s="37">
        <f>IF(A636="","",CHOOSE(WEEKDAY(A636,2),"Montag","Dienstag","Mittwoch","Donnerstag","Freitag","Samstag","Sonntag"))</f>
        <v/>
      </c>
      <c r="M636" s="37">
        <f>IF(A636="","",_xlfn.ISOWEEKNUM(A636))</f>
        <v/>
      </c>
      <c r="N636" s="38">
        <f>IF(A636="","",DATE(YEAR(A636),MONTH(A636),1))</f>
        <v/>
      </c>
    </row>
    <row r="637">
      <c r="A637" s="31" t="n"/>
      <c r="B637" s="32" t="n"/>
      <c r="C637" s="32" t="n"/>
      <c r="D637" s="33" t="n"/>
      <c r="E637" s="34" t="n"/>
      <c r="F637" s="35" t="n"/>
      <c r="G637" s="35" t="n"/>
      <c r="H637" s="32" t="n"/>
      <c r="I637" s="32" t="n"/>
      <c r="J637" s="32" t="n"/>
      <c r="K637" s="36">
        <f>IF(E637&lt;&gt;"",E637,IF(AND(F637&lt;&gt;"",G637&lt;&gt;""),MOD(G637-F637,1)*24,""))</f>
        <v/>
      </c>
      <c r="L637" s="37">
        <f>IF(A637="","",CHOOSE(WEEKDAY(A637,2),"Montag","Dienstag","Mittwoch","Donnerstag","Freitag","Samstag","Sonntag"))</f>
        <v/>
      </c>
      <c r="M637" s="37">
        <f>IF(A637="","",_xlfn.ISOWEEKNUM(A637))</f>
        <v/>
      </c>
      <c r="N637" s="38">
        <f>IF(A637="","",DATE(YEAR(A637),MONTH(A637),1))</f>
        <v/>
      </c>
    </row>
    <row r="638">
      <c r="A638" s="31" t="n"/>
      <c r="B638" s="32" t="n"/>
      <c r="C638" s="32" t="n"/>
      <c r="D638" s="33" t="n"/>
      <c r="E638" s="34" t="n"/>
      <c r="F638" s="35" t="n"/>
      <c r="G638" s="35" t="n"/>
      <c r="H638" s="32" t="n"/>
      <c r="I638" s="32" t="n"/>
      <c r="J638" s="32" t="n"/>
      <c r="K638" s="36">
        <f>IF(E638&lt;&gt;"",E638,IF(AND(F638&lt;&gt;"",G638&lt;&gt;""),MOD(G638-F638,1)*24,""))</f>
        <v/>
      </c>
      <c r="L638" s="37">
        <f>IF(A638="","",CHOOSE(WEEKDAY(A638,2),"Montag","Dienstag","Mittwoch","Donnerstag","Freitag","Samstag","Sonntag"))</f>
        <v/>
      </c>
      <c r="M638" s="37">
        <f>IF(A638="","",_xlfn.ISOWEEKNUM(A638))</f>
        <v/>
      </c>
      <c r="N638" s="38">
        <f>IF(A638="","",DATE(YEAR(A638),MONTH(A638),1))</f>
        <v/>
      </c>
    </row>
    <row r="639">
      <c r="A639" s="31" t="n"/>
      <c r="B639" s="32" t="n"/>
      <c r="C639" s="32" t="n"/>
      <c r="D639" s="33" t="n"/>
      <c r="E639" s="34" t="n"/>
      <c r="F639" s="35" t="n"/>
      <c r="G639" s="35" t="n"/>
      <c r="H639" s="32" t="n"/>
      <c r="I639" s="32" t="n"/>
      <c r="J639" s="32" t="n"/>
      <c r="K639" s="36">
        <f>IF(E639&lt;&gt;"",E639,IF(AND(F639&lt;&gt;"",G639&lt;&gt;""),MOD(G639-F639,1)*24,""))</f>
        <v/>
      </c>
      <c r="L639" s="37">
        <f>IF(A639="","",CHOOSE(WEEKDAY(A639,2),"Montag","Dienstag","Mittwoch","Donnerstag","Freitag","Samstag","Sonntag"))</f>
        <v/>
      </c>
      <c r="M639" s="37">
        <f>IF(A639="","",_xlfn.ISOWEEKNUM(A639))</f>
        <v/>
      </c>
      <c r="N639" s="38">
        <f>IF(A639="","",DATE(YEAR(A639),MONTH(A639),1))</f>
        <v/>
      </c>
    </row>
    <row r="640">
      <c r="A640" s="31" t="n"/>
      <c r="B640" s="32" t="n"/>
      <c r="C640" s="32" t="n"/>
      <c r="D640" s="33" t="n"/>
      <c r="E640" s="34" t="n"/>
      <c r="F640" s="35" t="n"/>
      <c r="G640" s="35" t="n"/>
      <c r="H640" s="32" t="n"/>
      <c r="I640" s="32" t="n"/>
      <c r="J640" s="32" t="n"/>
      <c r="K640" s="36">
        <f>IF(E640&lt;&gt;"",E640,IF(AND(F640&lt;&gt;"",G640&lt;&gt;""),MOD(G640-F640,1)*24,""))</f>
        <v/>
      </c>
      <c r="L640" s="37">
        <f>IF(A640="","",CHOOSE(WEEKDAY(A640,2),"Montag","Dienstag","Mittwoch","Donnerstag","Freitag","Samstag","Sonntag"))</f>
        <v/>
      </c>
      <c r="M640" s="37">
        <f>IF(A640="","",_xlfn.ISOWEEKNUM(A640))</f>
        <v/>
      </c>
      <c r="N640" s="38">
        <f>IF(A640="","",DATE(YEAR(A640),MONTH(A640),1))</f>
        <v/>
      </c>
    </row>
    <row r="641">
      <c r="A641" s="31" t="n"/>
      <c r="B641" s="32" t="n"/>
      <c r="C641" s="32" t="n"/>
      <c r="D641" s="33" t="n"/>
      <c r="E641" s="34" t="n"/>
      <c r="F641" s="35" t="n"/>
      <c r="G641" s="35" t="n"/>
      <c r="H641" s="32" t="n"/>
      <c r="I641" s="32" t="n"/>
      <c r="J641" s="32" t="n"/>
      <c r="K641" s="36">
        <f>IF(E641&lt;&gt;"",E641,IF(AND(F641&lt;&gt;"",G641&lt;&gt;""),MOD(G641-F641,1)*24,""))</f>
        <v/>
      </c>
      <c r="L641" s="37">
        <f>IF(A641="","",CHOOSE(WEEKDAY(A641,2),"Montag","Dienstag","Mittwoch","Donnerstag","Freitag","Samstag","Sonntag"))</f>
        <v/>
      </c>
      <c r="M641" s="37">
        <f>IF(A641="","",_xlfn.ISOWEEKNUM(A641))</f>
        <v/>
      </c>
      <c r="N641" s="38">
        <f>IF(A641="","",DATE(YEAR(A641),MONTH(A641),1))</f>
        <v/>
      </c>
    </row>
    <row r="642">
      <c r="A642" s="31" t="n"/>
      <c r="B642" s="32" t="n"/>
      <c r="C642" s="32" t="n"/>
      <c r="D642" s="33" t="n"/>
      <c r="E642" s="34" t="n"/>
      <c r="F642" s="35" t="n"/>
      <c r="G642" s="35" t="n"/>
      <c r="H642" s="32" t="n"/>
      <c r="I642" s="32" t="n"/>
      <c r="J642" s="32" t="n"/>
      <c r="K642" s="36">
        <f>IF(E642&lt;&gt;"",E642,IF(AND(F642&lt;&gt;"",G642&lt;&gt;""),MOD(G642-F642,1)*24,""))</f>
        <v/>
      </c>
      <c r="L642" s="37">
        <f>IF(A642="","",CHOOSE(WEEKDAY(A642,2),"Montag","Dienstag","Mittwoch","Donnerstag","Freitag","Samstag","Sonntag"))</f>
        <v/>
      </c>
      <c r="M642" s="37">
        <f>IF(A642="","",_xlfn.ISOWEEKNUM(A642))</f>
        <v/>
      </c>
      <c r="N642" s="38">
        <f>IF(A642="","",DATE(YEAR(A642),MONTH(A642),1))</f>
        <v/>
      </c>
    </row>
    <row r="643">
      <c r="A643" s="31" t="n"/>
      <c r="B643" s="32" t="n"/>
      <c r="C643" s="32" t="n"/>
      <c r="D643" s="33" t="n"/>
      <c r="E643" s="34" t="n"/>
      <c r="F643" s="35" t="n"/>
      <c r="G643" s="35" t="n"/>
      <c r="H643" s="32" t="n"/>
      <c r="I643" s="32" t="n"/>
      <c r="J643" s="32" t="n"/>
      <c r="K643" s="36">
        <f>IF(E643&lt;&gt;"",E643,IF(AND(F643&lt;&gt;"",G643&lt;&gt;""),MOD(G643-F643,1)*24,""))</f>
        <v/>
      </c>
      <c r="L643" s="37">
        <f>IF(A643="","",CHOOSE(WEEKDAY(A643,2),"Montag","Dienstag","Mittwoch","Donnerstag","Freitag","Samstag","Sonntag"))</f>
        <v/>
      </c>
      <c r="M643" s="37">
        <f>IF(A643="","",_xlfn.ISOWEEKNUM(A643))</f>
        <v/>
      </c>
      <c r="N643" s="38">
        <f>IF(A643="","",DATE(YEAR(A643),MONTH(A643),1))</f>
        <v/>
      </c>
    </row>
    <row r="644">
      <c r="A644" s="31" t="n"/>
      <c r="B644" s="32" t="n"/>
      <c r="C644" s="32" t="n"/>
      <c r="D644" s="33" t="n"/>
      <c r="E644" s="34" t="n"/>
      <c r="F644" s="35" t="n"/>
      <c r="G644" s="35" t="n"/>
      <c r="H644" s="32" t="n"/>
      <c r="I644" s="32" t="n"/>
      <c r="J644" s="32" t="n"/>
      <c r="K644" s="36">
        <f>IF(E644&lt;&gt;"",E644,IF(AND(F644&lt;&gt;"",G644&lt;&gt;""),MOD(G644-F644,1)*24,""))</f>
        <v/>
      </c>
      <c r="L644" s="37">
        <f>IF(A644="","",CHOOSE(WEEKDAY(A644,2),"Montag","Dienstag","Mittwoch","Donnerstag","Freitag","Samstag","Sonntag"))</f>
        <v/>
      </c>
      <c r="M644" s="37">
        <f>IF(A644="","",_xlfn.ISOWEEKNUM(A644))</f>
        <v/>
      </c>
      <c r="N644" s="38">
        <f>IF(A644="","",DATE(YEAR(A644),MONTH(A644),1))</f>
        <v/>
      </c>
    </row>
    <row r="645">
      <c r="A645" s="31" t="n"/>
      <c r="B645" s="32" t="n"/>
      <c r="C645" s="32" t="n"/>
      <c r="D645" s="33" t="n"/>
      <c r="E645" s="34" t="n"/>
      <c r="F645" s="35" t="n"/>
      <c r="G645" s="35" t="n"/>
      <c r="H645" s="32" t="n"/>
      <c r="I645" s="32" t="n"/>
      <c r="J645" s="32" t="n"/>
      <c r="K645" s="36">
        <f>IF(E645&lt;&gt;"",E645,IF(AND(F645&lt;&gt;"",G645&lt;&gt;""),MOD(G645-F645,1)*24,""))</f>
        <v/>
      </c>
      <c r="L645" s="37">
        <f>IF(A645="","",CHOOSE(WEEKDAY(A645,2),"Montag","Dienstag","Mittwoch","Donnerstag","Freitag","Samstag","Sonntag"))</f>
        <v/>
      </c>
      <c r="M645" s="37">
        <f>IF(A645="","",_xlfn.ISOWEEKNUM(A645))</f>
        <v/>
      </c>
      <c r="N645" s="38">
        <f>IF(A645="","",DATE(YEAR(A645),MONTH(A645),1))</f>
        <v/>
      </c>
    </row>
    <row r="646">
      <c r="A646" s="31" t="n"/>
      <c r="B646" s="32" t="n"/>
      <c r="C646" s="32" t="n"/>
      <c r="D646" s="33" t="n"/>
      <c r="E646" s="34" t="n"/>
      <c r="F646" s="35" t="n"/>
      <c r="G646" s="35" t="n"/>
      <c r="H646" s="32" t="n"/>
      <c r="I646" s="32" t="n"/>
      <c r="J646" s="32" t="n"/>
      <c r="K646" s="36">
        <f>IF(E646&lt;&gt;"",E646,IF(AND(F646&lt;&gt;"",G646&lt;&gt;""),MOD(G646-F646,1)*24,""))</f>
        <v/>
      </c>
      <c r="L646" s="37">
        <f>IF(A646="","",CHOOSE(WEEKDAY(A646,2),"Montag","Dienstag","Mittwoch","Donnerstag","Freitag","Samstag","Sonntag"))</f>
        <v/>
      </c>
      <c r="M646" s="37">
        <f>IF(A646="","",_xlfn.ISOWEEKNUM(A646))</f>
        <v/>
      </c>
      <c r="N646" s="38">
        <f>IF(A646="","",DATE(YEAR(A646),MONTH(A646),1))</f>
        <v/>
      </c>
    </row>
    <row r="647">
      <c r="A647" s="31" t="n"/>
      <c r="B647" s="32" t="n"/>
      <c r="C647" s="32" t="n"/>
      <c r="D647" s="33" t="n"/>
      <c r="E647" s="34" t="n"/>
      <c r="F647" s="35" t="n"/>
      <c r="G647" s="35" t="n"/>
      <c r="H647" s="32" t="n"/>
      <c r="I647" s="32" t="n"/>
      <c r="J647" s="32" t="n"/>
      <c r="K647" s="36">
        <f>IF(E647&lt;&gt;"",E647,IF(AND(F647&lt;&gt;"",G647&lt;&gt;""),MOD(G647-F647,1)*24,""))</f>
        <v/>
      </c>
      <c r="L647" s="37">
        <f>IF(A647="","",CHOOSE(WEEKDAY(A647,2),"Montag","Dienstag","Mittwoch","Donnerstag","Freitag","Samstag","Sonntag"))</f>
        <v/>
      </c>
      <c r="M647" s="37">
        <f>IF(A647="","",_xlfn.ISOWEEKNUM(A647))</f>
        <v/>
      </c>
      <c r="N647" s="38">
        <f>IF(A647="","",DATE(YEAR(A647),MONTH(A647),1))</f>
        <v/>
      </c>
    </row>
    <row r="648">
      <c r="A648" s="31" t="n"/>
      <c r="B648" s="32" t="n"/>
      <c r="C648" s="32" t="n"/>
      <c r="D648" s="33" t="n"/>
      <c r="E648" s="34" t="n"/>
      <c r="F648" s="35" t="n"/>
      <c r="G648" s="35" t="n"/>
      <c r="H648" s="32" t="n"/>
      <c r="I648" s="32" t="n"/>
      <c r="J648" s="32" t="n"/>
      <c r="K648" s="36">
        <f>IF(E648&lt;&gt;"",E648,IF(AND(F648&lt;&gt;"",G648&lt;&gt;""),MOD(G648-F648,1)*24,""))</f>
        <v/>
      </c>
      <c r="L648" s="37">
        <f>IF(A648="","",CHOOSE(WEEKDAY(A648,2),"Montag","Dienstag","Mittwoch","Donnerstag","Freitag","Samstag","Sonntag"))</f>
        <v/>
      </c>
      <c r="M648" s="37">
        <f>IF(A648="","",_xlfn.ISOWEEKNUM(A648))</f>
        <v/>
      </c>
      <c r="N648" s="38">
        <f>IF(A648="","",DATE(YEAR(A648),MONTH(A648),1))</f>
        <v/>
      </c>
    </row>
    <row r="649">
      <c r="A649" s="31" t="n"/>
      <c r="B649" s="32" t="n"/>
      <c r="C649" s="32" t="n"/>
      <c r="D649" s="33" t="n"/>
      <c r="E649" s="34" t="n"/>
      <c r="F649" s="35" t="n"/>
      <c r="G649" s="35" t="n"/>
      <c r="H649" s="32" t="n"/>
      <c r="I649" s="32" t="n"/>
      <c r="J649" s="32" t="n"/>
      <c r="K649" s="36">
        <f>IF(E649&lt;&gt;"",E649,IF(AND(F649&lt;&gt;"",G649&lt;&gt;""),MOD(G649-F649,1)*24,""))</f>
        <v/>
      </c>
      <c r="L649" s="37">
        <f>IF(A649="","",CHOOSE(WEEKDAY(A649,2),"Montag","Dienstag","Mittwoch","Donnerstag","Freitag","Samstag","Sonntag"))</f>
        <v/>
      </c>
      <c r="M649" s="37">
        <f>IF(A649="","",_xlfn.ISOWEEKNUM(A649))</f>
        <v/>
      </c>
      <c r="N649" s="38">
        <f>IF(A649="","",DATE(YEAR(A649),MONTH(A649),1))</f>
        <v/>
      </c>
    </row>
    <row r="650">
      <c r="A650" s="31" t="n"/>
      <c r="B650" s="32" t="n"/>
      <c r="C650" s="32" t="n"/>
      <c r="D650" s="33" t="n"/>
      <c r="E650" s="34" t="n"/>
      <c r="F650" s="35" t="n"/>
      <c r="G650" s="35" t="n"/>
      <c r="H650" s="32" t="n"/>
      <c r="I650" s="32" t="n"/>
      <c r="J650" s="32" t="n"/>
      <c r="K650" s="36">
        <f>IF(E650&lt;&gt;"",E650,IF(AND(F650&lt;&gt;"",G650&lt;&gt;""),MOD(G650-F650,1)*24,""))</f>
        <v/>
      </c>
      <c r="L650" s="37">
        <f>IF(A650="","",CHOOSE(WEEKDAY(A650,2),"Montag","Dienstag","Mittwoch","Donnerstag","Freitag","Samstag","Sonntag"))</f>
        <v/>
      </c>
      <c r="M650" s="37">
        <f>IF(A650="","",_xlfn.ISOWEEKNUM(A650))</f>
        <v/>
      </c>
      <c r="N650" s="38">
        <f>IF(A650="","",DATE(YEAR(A650),MONTH(A650),1))</f>
        <v/>
      </c>
    </row>
    <row r="651">
      <c r="A651" s="31" t="n"/>
      <c r="B651" s="32" t="n"/>
      <c r="C651" s="32" t="n"/>
      <c r="D651" s="33" t="n"/>
      <c r="E651" s="34" t="n"/>
      <c r="F651" s="35" t="n"/>
      <c r="G651" s="35" t="n"/>
      <c r="H651" s="32" t="n"/>
      <c r="I651" s="32" t="n"/>
      <c r="J651" s="32" t="n"/>
      <c r="K651" s="36">
        <f>IF(E651&lt;&gt;"",E651,IF(AND(F651&lt;&gt;"",G651&lt;&gt;""),MOD(G651-F651,1)*24,""))</f>
        <v/>
      </c>
      <c r="L651" s="37">
        <f>IF(A651="","",CHOOSE(WEEKDAY(A651,2),"Montag","Dienstag","Mittwoch","Donnerstag","Freitag","Samstag","Sonntag"))</f>
        <v/>
      </c>
      <c r="M651" s="37">
        <f>IF(A651="","",_xlfn.ISOWEEKNUM(A651))</f>
        <v/>
      </c>
      <c r="N651" s="38">
        <f>IF(A651="","",DATE(YEAR(A651),MONTH(A651),1))</f>
        <v/>
      </c>
    </row>
    <row r="652">
      <c r="A652" s="31" t="n"/>
      <c r="B652" s="32" t="n"/>
      <c r="C652" s="32" t="n"/>
      <c r="D652" s="33" t="n"/>
      <c r="E652" s="34" t="n"/>
      <c r="F652" s="35" t="n"/>
      <c r="G652" s="35" t="n"/>
      <c r="H652" s="32" t="n"/>
      <c r="I652" s="32" t="n"/>
      <c r="J652" s="32" t="n"/>
      <c r="K652" s="36">
        <f>IF(E652&lt;&gt;"",E652,IF(AND(F652&lt;&gt;"",G652&lt;&gt;""),MOD(G652-F652,1)*24,""))</f>
        <v/>
      </c>
      <c r="L652" s="37">
        <f>IF(A652="","",CHOOSE(WEEKDAY(A652,2),"Montag","Dienstag","Mittwoch","Donnerstag","Freitag","Samstag","Sonntag"))</f>
        <v/>
      </c>
      <c r="M652" s="37">
        <f>IF(A652="","",_xlfn.ISOWEEKNUM(A652))</f>
        <v/>
      </c>
      <c r="N652" s="38">
        <f>IF(A652="","",DATE(YEAR(A652),MONTH(A652),1))</f>
        <v/>
      </c>
    </row>
    <row r="653">
      <c r="A653" s="31" t="n"/>
      <c r="B653" s="32" t="n"/>
      <c r="C653" s="32" t="n"/>
      <c r="D653" s="33" t="n"/>
      <c r="E653" s="34" t="n"/>
      <c r="F653" s="35" t="n"/>
      <c r="G653" s="35" t="n"/>
      <c r="H653" s="32" t="n"/>
      <c r="I653" s="32" t="n"/>
      <c r="J653" s="32" t="n"/>
      <c r="K653" s="36">
        <f>IF(E653&lt;&gt;"",E653,IF(AND(F653&lt;&gt;"",G653&lt;&gt;""),MOD(G653-F653,1)*24,""))</f>
        <v/>
      </c>
      <c r="L653" s="37">
        <f>IF(A653="","",CHOOSE(WEEKDAY(A653,2),"Montag","Dienstag","Mittwoch","Donnerstag","Freitag","Samstag","Sonntag"))</f>
        <v/>
      </c>
      <c r="M653" s="37">
        <f>IF(A653="","",_xlfn.ISOWEEKNUM(A653))</f>
        <v/>
      </c>
      <c r="N653" s="38">
        <f>IF(A653="","",DATE(YEAR(A653),MONTH(A653),1))</f>
        <v/>
      </c>
    </row>
    <row r="654">
      <c r="A654" s="31" t="n"/>
      <c r="B654" s="32" t="n"/>
      <c r="C654" s="32" t="n"/>
      <c r="D654" s="33" t="n"/>
      <c r="E654" s="34" t="n"/>
      <c r="F654" s="35" t="n"/>
      <c r="G654" s="35" t="n"/>
      <c r="H654" s="32" t="n"/>
      <c r="I654" s="32" t="n"/>
      <c r="J654" s="32" t="n"/>
      <c r="K654" s="36">
        <f>IF(E654&lt;&gt;"",E654,IF(AND(F654&lt;&gt;"",G654&lt;&gt;""),MOD(G654-F654,1)*24,""))</f>
        <v/>
      </c>
      <c r="L654" s="37">
        <f>IF(A654="","",CHOOSE(WEEKDAY(A654,2),"Montag","Dienstag","Mittwoch","Donnerstag","Freitag","Samstag","Sonntag"))</f>
        <v/>
      </c>
      <c r="M654" s="37">
        <f>IF(A654="","",_xlfn.ISOWEEKNUM(A654))</f>
        <v/>
      </c>
      <c r="N654" s="38">
        <f>IF(A654="","",DATE(YEAR(A654),MONTH(A654),1))</f>
        <v/>
      </c>
    </row>
    <row r="655">
      <c r="A655" s="31" t="n"/>
      <c r="B655" s="32" t="n"/>
      <c r="C655" s="32" t="n"/>
      <c r="D655" s="33" t="n"/>
      <c r="E655" s="34" t="n"/>
      <c r="F655" s="35" t="n"/>
      <c r="G655" s="35" t="n"/>
      <c r="H655" s="32" t="n"/>
      <c r="I655" s="32" t="n"/>
      <c r="J655" s="32" t="n"/>
      <c r="K655" s="36">
        <f>IF(E655&lt;&gt;"",E655,IF(AND(F655&lt;&gt;"",G655&lt;&gt;""),MOD(G655-F655,1)*24,""))</f>
        <v/>
      </c>
      <c r="L655" s="37">
        <f>IF(A655="","",CHOOSE(WEEKDAY(A655,2),"Montag","Dienstag","Mittwoch","Donnerstag","Freitag","Samstag","Sonntag"))</f>
        <v/>
      </c>
      <c r="M655" s="37">
        <f>IF(A655="","",_xlfn.ISOWEEKNUM(A655))</f>
        <v/>
      </c>
      <c r="N655" s="38">
        <f>IF(A655="","",DATE(YEAR(A655),MONTH(A655),1))</f>
        <v/>
      </c>
    </row>
    <row r="656">
      <c r="A656" s="31" t="n"/>
      <c r="B656" s="32" t="n"/>
      <c r="C656" s="32" t="n"/>
      <c r="D656" s="33" t="n"/>
      <c r="E656" s="34" t="n"/>
      <c r="F656" s="35" t="n"/>
      <c r="G656" s="35" t="n"/>
      <c r="H656" s="32" t="n"/>
      <c r="I656" s="32" t="n"/>
      <c r="J656" s="32" t="n"/>
      <c r="K656" s="36">
        <f>IF(E656&lt;&gt;"",E656,IF(AND(F656&lt;&gt;"",G656&lt;&gt;""),MOD(G656-F656,1)*24,""))</f>
        <v/>
      </c>
      <c r="L656" s="37">
        <f>IF(A656="","",CHOOSE(WEEKDAY(A656,2),"Montag","Dienstag","Mittwoch","Donnerstag","Freitag","Samstag","Sonntag"))</f>
        <v/>
      </c>
      <c r="M656" s="37">
        <f>IF(A656="","",_xlfn.ISOWEEKNUM(A656))</f>
        <v/>
      </c>
      <c r="N656" s="38">
        <f>IF(A656="","",DATE(YEAR(A656),MONTH(A656),1))</f>
        <v/>
      </c>
    </row>
    <row r="657">
      <c r="A657" s="31" t="n"/>
      <c r="B657" s="32" t="n"/>
      <c r="C657" s="32" t="n"/>
      <c r="D657" s="33" t="n"/>
      <c r="E657" s="34" t="n"/>
      <c r="F657" s="35" t="n"/>
      <c r="G657" s="35" t="n"/>
      <c r="H657" s="32" t="n"/>
      <c r="I657" s="32" t="n"/>
      <c r="J657" s="32" t="n"/>
      <c r="K657" s="36">
        <f>IF(E657&lt;&gt;"",E657,IF(AND(F657&lt;&gt;"",G657&lt;&gt;""),MOD(G657-F657,1)*24,""))</f>
        <v/>
      </c>
      <c r="L657" s="37">
        <f>IF(A657="","",CHOOSE(WEEKDAY(A657,2),"Montag","Dienstag","Mittwoch","Donnerstag","Freitag","Samstag","Sonntag"))</f>
        <v/>
      </c>
      <c r="M657" s="37">
        <f>IF(A657="","",_xlfn.ISOWEEKNUM(A657))</f>
        <v/>
      </c>
      <c r="N657" s="38">
        <f>IF(A657="","",DATE(YEAR(A657),MONTH(A657),1))</f>
        <v/>
      </c>
    </row>
    <row r="658">
      <c r="A658" s="31" t="n"/>
      <c r="B658" s="32" t="n"/>
      <c r="C658" s="32" t="n"/>
      <c r="D658" s="33" t="n"/>
      <c r="E658" s="34" t="n"/>
      <c r="F658" s="35" t="n"/>
      <c r="G658" s="35" t="n"/>
      <c r="H658" s="32" t="n"/>
      <c r="I658" s="32" t="n"/>
      <c r="J658" s="32" t="n"/>
      <c r="K658" s="36">
        <f>IF(E658&lt;&gt;"",E658,IF(AND(F658&lt;&gt;"",G658&lt;&gt;""),MOD(G658-F658,1)*24,""))</f>
        <v/>
      </c>
      <c r="L658" s="37">
        <f>IF(A658="","",CHOOSE(WEEKDAY(A658,2),"Montag","Dienstag","Mittwoch","Donnerstag","Freitag","Samstag","Sonntag"))</f>
        <v/>
      </c>
      <c r="M658" s="37">
        <f>IF(A658="","",_xlfn.ISOWEEKNUM(A658))</f>
        <v/>
      </c>
      <c r="N658" s="38">
        <f>IF(A658="","",DATE(YEAR(A658),MONTH(A658),1))</f>
        <v/>
      </c>
    </row>
    <row r="659">
      <c r="A659" s="31" t="n"/>
      <c r="B659" s="32" t="n"/>
      <c r="C659" s="32" t="n"/>
      <c r="D659" s="33" t="n"/>
      <c r="E659" s="34" t="n"/>
      <c r="F659" s="35" t="n"/>
      <c r="G659" s="35" t="n"/>
      <c r="H659" s="32" t="n"/>
      <c r="I659" s="32" t="n"/>
      <c r="J659" s="32" t="n"/>
      <c r="K659" s="36">
        <f>IF(E659&lt;&gt;"",E659,IF(AND(F659&lt;&gt;"",G659&lt;&gt;""),MOD(G659-F659,1)*24,""))</f>
        <v/>
      </c>
      <c r="L659" s="37">
        <f>IF(A659="","",CHOOSE(WEEKDAY(A659,2),"Montag","Dienstag","Mittwoch","Donnerstag","Freitag","Samstag","Sonntag"))</f>
        <v/>
      </c>
      <c r="M659" s="37">
        <f>IF(A659="","",_xlfn.ISOWEEKNUM(A659))</f>
        <v/>
      </c>
      <c r="N659" s="38">
        <f>IF(A659="","",DATE(YEAR(A659),MONTH(A659),1))</f>
        <v/>
      </c>
    </row>
    <row r="660">
      <c r="A660" s="31" t="n"/>
      <c r="B660" s="32" t="n"/>
      <c r="C660" s="32" t="n"/>
      <c r="D660" s="33" t="n"/>
      <c r="E660" s="34" t="n"/>
      <c r="F660" s="35" t="n"/>
      <c r="G660" s="35" t="n"/>
      <c r="H660" s="32" t="n"/>
      <c r="I660" s="32" t="n"/>
      <c r="J660" s="32" t="n"/>
      <c r="K660" s="36">
        <f>IF(E660&lt;&gt;"",E660,IF(AND(F660&lt;&gt;"",G660&lt;&gt;""),MOD(G660-F660,1)*24,""))</f>
        <v/>
      </c>
      <c r="L660" s="37">
        <f>IF(A660="","",CHOOSE(WEEKDAY(A660,2),"Montag","Dienstag","Mittwoch","Donnerstag","Freitag","Samstag","Sonntag"))</f>
        <v/>
      </c>
      <c r="M660" s="37">
        <f>IF(A660="","",_xlfn.ISOWEEKNUM(A660))</f>
        <v/>
      </c>
      <c r="N660" s="38">
        <f>IF(A660="","",DATE(YEAR(A660),MONTH(A660),1))</f>
        <v/>
      </c>
    </row>
    <row r="661">
      <c r="A661" s="31" t="n"/>
      <c r="B661" s="32" t="n"/>
      <c r="C661" s="32" t="n"/>
      <c r="D661" s="33" t="n"/>
      <c r="E661" s="34" t="n"/>
      <c r="F661" s="35" t="n"/>
      <c r="G661" s="35" t="n"/>
      <c r="H661" s="32" t="n"/>
      <c r="I661" s="32" t="n"/>
      <c r="J661" s="32" t="n"/>
      <c r="K661" s="36">
        <f>IF(E661&lt;&gt;"",E661,IF(AND(F661&lt;&gt;"",G661&lt;&gt;""),MOD(G661-F661,1)*24,""))</f>
        <v/>
      </c>
      <c r="L661" s="37">
        <f>IF(A661="","",CHOOSE(WEEKDAY(A661,2),"Montag","Dienstag","Mittwoch","Donnerstag","Freitag","Samstag","Sonntag"))</f>
        <v/>
      </c>
      <c r="M661" s="37">
        <f>IF(A661="","",_xlfn.ISOWEEKNUM(A661))</f>
        <v/>
      </c>
      <c r="N661" s="38">
        <f>IF(A661="","",DATE(YEAR(A661),MONTH(A661),1))</f>
        <v/>
      </c>
    </row>
    <row r="662">
      <c r="A662" s="31" t="n"/>
      <c r="B662" s="32" t="n"/>
      <c r="C662" s="32" t="n"/>
      <c r="D662" s="33" t="n"/>
      <c r="E662" s="34" t="n"/>
      <c r="F662" s="35" t="n"/>
      <c r="G662" s="35" t="n"/>
      <c r="H662" s="32" t="n"/>
      <c r="I662" s="32" t="n"/>
      <c r="J662" s="32" t="n"/>
      <c r="K662" s="36">
        <f>IF(E662&lt;&gt;"",E662,IF(AND(F662&lt;&gt;"",G662&lt;&gt;""),MOD(G662-F662,1)*24,""))</f>
        <v/>
      </c>
      <c r="L662" s="37">
        <f>IF(A662="","",CHOOSE(WEEKDAY(A662,2),"Montag","Dienstag","Mittwoch","Donnerstag","Freitag","Samstag","Sonntag"))</f>
        <v/>
      </c>
      <c r="M662" s="37">
        <f>IF(A662="","",_xlfn.ISOWEEKNUM(A662))</f>
        <v/>
      </c>
      <c r="N662" s="38">
        <f>IF(A662="","",DATE(YEAR(A662),MONTH(A662),1))</f>
        <v/>
      </c>
    </row>
    <row r="663">
      <c r="A663" s="31" t="n"/>
      <c r="B663" s="32" t="n"/>
      <c r="C663" s="32" t="n"/>
      <c r="D663" s="33" t="n"/>
      <c r="E663" s="34" t="n"/>
      <c r="F663" s="35" t="n"/>
      <c r="G663" s="35" t="n"/>
      <c r="H663" s="32" t="n"/>
      <c r="I663" s="32" t="n"/>
      <c r="J663" s="32" t="n"/>
      <c r="K663" s="36">
        <f>IF(E663&lt;&gt;"",E663,IF(AND(F663&lt;&gt;"",G663&lt;&gt;""),MOD(G663-F663,1)*24,""))</f>
        <v/>
      </c>
      <c r="L663" s="37">
        <f>IF(A663="","",CHOOSE(WEEKDAY(A663,2),"Montag","Dienstag","Mittwoch","Donnerstag","Freitag","Samstag","Sonntag"))</f>
        <v/>
      </c>
      <c r="M663" s="37">
        <f>IF(A663="","",_xlfn.ISOWEEKNUM(A663))</f>
        <v/>
      </c>
      <c r="N663" s="38">
        <f>IF(A663="","",DATE(YEAR(A663),MONTH(A663),1))</f>
        <v/>
      </c>
    </row>
    <row r="664">
      <c r="A664" s="31" t="n"/>
      <c r="B664" s="32" t="n"/>
      <c r="C664" s="32" t="n"/>
      <c r="D664" s="33" t="n"/>
      <c r="E664" s="34" t="n"/>
      <c r="F664" s="35" t="n"/>
      <c r="G664" s="35" t="n"/>
      <c r="H664" s="32" t="n"/>
      <c r="I664" s="32" t="n"/>
      <c r="J664" s="32" t="n"/>
      <c r="K664" s="36">
        <f>IF(E664&lt;&gt;"",E664,IF(AND(F664&lt;&gt;"",G664&lt;&gt;""),MOD(G664-F664,1)*24,""))</f>
        <v/>
      </c>
      <c r="L664" s="37">
        <f>IF(A664="","",CHOOSE(WEEKDAY(A664,2),"Montag","Dienstag","Mittwoch","Donnerstag","Freitag","Samstag","Sonntag"))</f>
        <v/>
      </c>
      <c r="M664" s="37">
        <f>IF(A664="","",_xlfn.ISOWEEKNUM(A664))</f>
        <v/>
      </c>
      <c r="N664" s="38">
        <f>IF(A664="","",DATE(YEAR(A664),MONTH(A664),1))</f>
        <v/>
      </c>
    </row>
    <row r="665">
      <c r="A665" s="31" t="n"/>
      <c r="B665" s="32" t="n"/>
      <c r="C665" s="32" t="n"/>
      <c r="D665" s="33" t="n"/>
      <c r="E665" s="34" t="n"/>
      <c r="F665" s="35" t="n"/>
      <c r="G665" s="35" t="n"/>
      <c r="H665" s="32" t="n"/>
      <c r="I665" s="32" t="n"/>
      <c r="J665" s="32" t="n"/>
      <c r="K665" s="36">
        <f>IF(E665&lt;&gt;"",E665,IF(AND(F665&lt;&gt;"",G665&lt;&gt;""),MOD(G665-F665,1)*24,""))</f>
        <v/>
      </c>
      <c r="L665" s="37">
        <f>IF(A665="","",CHOOSE(WEEKDAY(A665,2),"Montag","Dienstag","Mittwoch","Donnerstag","Freitag","Samstag","Sonntag"))</f>
        <v/>
      </c>
      <c r="M665" s="37">
        <f>IF(A665="","",_xlfn.ISOWEEKNUM(A665))</f>
        <v/>
      </c>
      <c r="N665" s="38">
        <f>IF(A665="","",DATE(YEAR(A665),MONTH(A665),1))</f>
        <v/>
      </c>
    </row>
    <row r="666">
      <c r="A666" s="31" t="n"/>
      <c r="B666" s="32" t="n"/>
      <c r="C666" s="32" t="n"/>
      <c r="D666" s="33" t="n"/>
      <c r="E666" s="34" t="n"/>
      <c r="F666" s="35" t="n"/>
      <c r="G666" s="35" t="n"/>
      <c r="H666" s="32" t="n"/>
      <c r="I666" s="32" t="n"/>
      <c r="J666" s="32" t="n"/>
      <c r="K666" s="36">
        <f>IF(E666&lt;&gt;"",E666,IF(AND(F666&lt;&gt;"",G666&lt;&gt;""),MOD(G666-F666,1)*24,""))</f>
        <v/>
      </c>
      <c r="L666" s="37">
        <f>IF(A666="","",CHOOSE(WEEKDAY(A666,2),"Montag","Dienstag","Mittwoch","Donnerstag","Freitag","Samstag","Sonntag"))</f>
        <v/>
      </c>
      <c r="M666" s="37">
        <f>IF(A666="","",_xlfn.ISOWEEKNUM(A666))</f>
        <v/>
      </c>
      <c r="N666" s="38">
        <f>IF(A666="","",DATE(YEAR(A666),MONTH(A666),1))</f>
        <v/>
      </c>
    </row>
    <row r="667">
      <c r="A667" s="31" t="n"/>
      <c r="B667" s="32" t="n"/>
      <c r="C667" s="32" t="n"/>
      <c r="D667" s="33" t="n"/>
      <c r="E667" s="34" t="n"/>
      <c r="F667" s="35" t="n"/>
      <c r="G667" s="35" t="n"/>
      <c r="H667" s="32" t="n"/>
      <c r="I667" s="32" t="n"/>
      <c r="J667" s="32" t="n"/>
      <c r="K667" s="36">
        <f>IF(E667&lt;&gt;"",E667,IF(AND(F667&lt;&gt;"",G667&lt;&gt;""),MOD(G667-F667,1)*24,""))</f>
        <v/>
      </c>
      <c r="L667" s="37">
        <f>IF(A667="","",CHOOSE(WEEKDAY(A667,2),"Montag","Dienstag","Mittwoch","Donnerstag","Freitag","Samstag","Sonntag"))</f>
        <v/>
      </c>
      <c r="M667" s="37">
        <f>IF(A667="","",_xlfn.ISOWEEKNUM(A667))</f>
        <v/>
      </c>
      <c r="N667" s="38">
        <f>IF(A667="","",DATE(YEAR(A667),MONTH(A667),1))</f>
        <v/>
      </c>
    </row>
    <row r="668">
      <c r="A668" s="31" t="n"/>
      <c r="B668" s="32" t="n"/>
      <c r="C668" s="32" t="n"/>
      <c r="D668" s="33" t="n"/>
      <c r="E668" s="34" t="n"/>
      <c r="F668" s="35" t="n"/>
      <c r="G668" s="35" t="n"/>
      <c r="H668" s="32" t="n"/>
      <c r="I668" s="32" t="n"/>
      <c r="J668" s="32" t="n"/>
      <c r="K668" s="36">
        <f>IF(E668&lt;&gt;"",E668,IF(AND(F668&lt;&gt;"",G668&lt;&gt;""),MOD(G668-F668,1)*24,""))</f>
        <v/>
      </c>
      <c r="L668" s="37">
        <f>IF(A668="","",CHOOSE(WEEKDAY(A668,2),"Montag","Dienstag","Mittwoch","Donnerstag","Freitag","Samstag","Sonntag"))</f>
        <v/>
      </c>
      <c r="M668" s="37">
        <f>IF(A668="","",_xlfn.ISOWEEKNUM(A668))</f>
        <v/>
      </c>
      <c r="N668" s="38">
        <f>IF(A668="","",DATE(YEAR(A668),MONTH(A668),1))</f>
        <v/>
      </c>
    </row>
    <row r="669">
      <c r="A669" s="31" t="n"/>
      <c r="B669" s="32" t="n"/>
      <c r="C669" s="32" t="n"/>
      <c r="D669" s="33" t="n"/>
      <c r="E669" s="34" t="n"/>
      <c r="F669" s="35" t="n"/>
      <c r="G669" s="35" t="n"/>
      <c r="H669" s="32" t="n"/>
      <c r="I669" s="32" t="n"/>
      <c r="J669" s="32" t="n"/>
      <c r="K669" s="36">
        <f>IF(E669&lt;&gt;"",E669,IF(AND(F669&lt;&gt;"",G669&lt;&gt;""),MOD(G669-F669,1)*24,""))</f>
        <v/>
      </c>
      <c r="L669" s="37">
        <f>IF(A669="","",CHOOSE(WEEKDAY(A669,2),"Montag","Dienstag","Mittwoch","Donnerstag","Freitag","Samstag","Sonntag"))</f>
        <v/>
      </c>
      <c r="M669" s="37">
        <f>IF(A669="","",_xlfn.ISOWEEKNUM(A669))</f>
        <v/>
      </c>
      <c r="N669" s="38">
        <f>IF(A669="","",DATE(YEAR(A669),MONTH(A669),1))</f>
        <v/>
      </c>
    </row>
    <row r="670">
      <c r="A670" s="31" t="n"/>
      <c r="B670" s="32" t="n"/>
      <c r="C670" s="32" t="n"/>
      <c r="D670" s="33" t="n"/>
      <c r="E670" s="34" t="n"/>
      <c r="F670" s="35" t="n"/>
      <c r="G670" s="35" t="n"/>
      <c r="H670" s="32" t="n"/>
      <c r="I670" s="32" t="n"/>
      <c r="J670" s="32" t="n"/>
      <c r="K670" s="36">
        <f>IF(E670&lt;&gt;"",E670,IF(AND(F670&lt;&gt;"",G670&lt;&gt;""),MOD(G670-F670,1)*24,""))</f>
        <v/>
      </c>
      <c r="L670" s="37">
        <f>IF(A670="","",CHOOSE(WEEKDAY(A670,2),"Montag","Dienstag","Mittwoch","Donnerstag","Freitag","Samstag","Sonntag"))</f>
        <v/>
      </c>
      <c r="M670" s="37">
        <f>IF(A670="","",_xlfn.ISOWEEKNUM(A670))</f>
        <v/>
      </c>
      <c r="N670" s="38">
        <f>IF(A670="","",DATE(YEAR(A670),MONTH(A670),1))</f>
        <v/>
      </c>
    </row>
    <row r="671">
      <c r="A671" s="31" t="n"/>
      <c r="B671" s="32" t="n"/>
      <c r="C671" s="32" t="n"/>
      <c r="D671" s="33" t="n"/>
      <c r="E671" s="34" t="n"/>
      <c r="F671" s="35" t="n"/>
      <c r="G671" s="35" t="n"/>
      <c r="H671" s="32" t="n"/>
      <c r="I671" s="32" t="n"/>
      <c r="J671" s="32" t="n"/>
      <c r="K671" s="36">
        <f>IF(E671&lt;&gt;"",E671,IF(AND(F671&lt;&gt;"",G671&lt;&gt;""),MOD(G671-F671,1)*24,""))</f>
        <v/>
      </c>
      <c r="L671" s="37">
        <f>IF(A671="","",CHOOSE(WEEKDAY(A671,2),"Montag","Dienstag","Mittwoch","Donnerstag","Freitag","Samstag","Sonntag"))</f>
        <v/>
      </c>
      <c r="M671" s="37">
        <f>IF(A671="","",_xlfn.ISOWEEKNUM(A671))</f>
        <v/>
      </c>
      <c r="N671" s="38">
        <f>IF(A671="","",DATE(YEAR(A671),MONTH(A671),1))</f>
        <v/>
      </c>
    </row>
    <row r="672">
      <c r="A672" s="31" t="n"/>
      <c r="B672" s="32" t="n"/>
      <c r="C672" s="32" t="n"/>
      <c r="D672" s="33" t="n"/>
      <c r="E672" s="34" t="n"/>
      <c r="F672" s="35" t="n"/>
      <c r="G672" s="35" t="n"/>
      <c r="H672" s="32" t="n"/>
      <c r="I672" s="32" t="n"/>
      <c r="J672" s="32" t="n"/>
      <c r="K672" s="36">
        <f>IF(E672&lt;&gt;"",E672,IF(AND(F672&lt;&gt;"",G672&lt;&gt;""),MOD(G672-F672,1)*24,""))</f>
        <v/>
      </c>
      <c r="L672" s="37">
        <f>IF(A672="","",CHOOSE(WEEKDAY(A672,2),"Montag","Dienstag","Mittwoch","Donnerstag","Freitag","Samstag","Sonntag"))</f>
        <v/>
      </c>
      <c r="M672" s="37">
        <f>IF(A672="","",_xlfn.ISOWEEKNUM(A672))</f>
        <v/>
      </c>
      <c r="N672" s="38">
        <f>IF(A672="","",DATE(YEAR(A672),MONTH(A672),1))</f>
        <v/>
      </c>
    </row>
    <row r="673">
      <c r="A673" s="31" t="n"/>
      <c r="B673" s="32" t="n"/>
      <c r="C673" s="32" t="n"/>
      <c r="D673" s="33" t="n"/>
      <c r="E673" s="34" t="n"/>
      <c r="F673" s="35" t="n"/>
      <c r="G673" s="35" t="n"/>
      <c r="H673" s="32" t="n"/>
      <c r="I673" s="32" t="n"/>
      <c r="J673" s="32" t="n"/>
      <c r="K673" s="36">
        <f>IF(E673&lt;&gt;"",E673,IF(AND(F673&lt;&gt;"",G673&lt;&gt;""),MOD(G673-F673,1)*24,""))</f>
        <v/>
      </c>
      <c r="L673" s="37">
        <f>IF(A673="","",CHOOSE(WEEKDAY(A673,2),"Montag","Dienstag","Mittwoch","Donnerstag","Freitag","Samstag","Sonntag"))</f>
        <v/>
      </c>
      <c r="M673" s="37">
        <f>IF(A673="","",_xlfn.ISOWEEKNUM(A673))</f>
        <v/>
      </c>
      <c r="N673" s="38">
        <f>IF(A673="","",DATE(YEAR(A673),MONTH(A673),1))</f>
        <v/>
      </c>
    </row>
    <row r="674">
      <c r="A674" s="31" t="n"/>
      <c r="B674" s="32" t="n"/>
      <c r="C674" s="32" t="n"/>
      <c r="D674" s="33" t="n"/>
      <c r="E674" s="34" t="n"/>
      <c r="F674" s="35" t="n"/>
      <c r="G674" s="35" t="n"/>
      <c r="H674" s="32" t="n"/>
      <c r="I674" s="32" t="n"/>
      <c r="J674" s="32" t="n"/>
      <c r="K674" s="36">
        <f>IF(E674&lt;&gt;"",E674,IF(AND(F674&lt;&gt;"",G674&lt;&gt;""),MOD(G674-F674,1)*24,""))</f>
        <v/>
      </c>
      <c r="L674" s="37">
        <f>IF(A674="","",CHOOSE(WEEKDAY(A674,2),"Montag","Dienstag","Mittwoch","Donnerstag","Freitag","Samstag","Sonntag"))</f>
        <v/>
      </c>
      <c r="M674" s="37">
        <f>IF(A674="","",_xlfn.ISOWEEKNUM(A674))</f>
        <v/>
      </c>
      <c r="N674" s="38">
        <f>IF(A674="","",DATE(YEAR(A674),MONTH(A674),1))</f>
        <v/>
      </c>
    </row>
    <row r="675">
      <c r="A675" s="31" t="n"/>
      <c r="B675" s="32" t="n"/>
      <c r="C675" s="32" t="n"/>
      <c r="D675" s="33" t="n"/>
      <c r="E675" s="34" t="n"/>
      <c r="F675" s="35" t="n"/>
      <c r="G675" s="35" t="n"/>
      <c r="H675" s="32" t="n"/>
      <c r="I675" s="32" t="n"/>
      <c r="J675" s="32" t="n"/>
      <c r="K675" s="36">
        <f>IF(E675&lt;&gt;"",E675,IF(AND(F675&lt;&gt;"",G675&lt;&gt;""),MOD(G675-F675,1)*24,""))</f>
        <v/>
      </c>
      <c r="L675" s="37">
        <f>IF(A675="","",CHOOSE(WEEKDAY(A675,2),"Montag","Dienstag","Mittwoch","Donnerstag","Freitag","Samstag","Sonntag"))</f>
        <v/>
      </c>
      <c r="M675" s="37">
        <f>IF(A675="","",_xlfn.ISOWEEKNUM(A675))</f>
        <v/>
      </c>
      <c r="N675" s="38">
        <f>IF(A675="","",DATE(YEAR(A675),MONTH(A675),1))</f>
        <v/>
      </c>
    </row>
    <row r="676">
      <c r="A676" s="31" t="n"/>
      <c r="B676" s="32" t="n"/>
      <c r="C676" s="32" t="n"/>
      <c r="D676" s="33" t="n"/>
      <c r="E676" s="34" t="n"/>
      <c r="F676" s="35" t="n"/>
      <c r="G676" s="35" t="n"/>
      <c r="H676" s="32" t="n"/>
      <c r="I676" s="32" t="n"/>
      <c r="J676" s="32" t="n"/>
      <c r="K676" s="36">
        <f>IF(E676&lt;&gt;"",E676,IF(AND(F676&lt;&gt;"",G676&lt;&gt;""),MOD(G676-F676,1)*24,""))</f>
        <v/>
      </c>
      <c r="L676" s="37">
        <f>IF(A676="","",CHOOSE(WEEKDAY(A676,2),"Montag","Dienstag","Mittwoch","Donnerstag","Freitag","Samstag","Sonntag"))</f>
        <v/>
      </c>
      <c r="M676" s="37">
        <f>IF(A676="","",_xlfn.ISOWEEKNUM(A676))</f>
        <v/>
      </c>
      <c r="N676" s="38">
        <f>IF(A676="","",DATE(YEAR(A676),MONTH(A676),1))</f>
        <v/>
      </c>
    </row>
    <row r="677">
      <c r="A677" s="31" t="n"/>
      <c r="B677" s="32" t="n"/>
      <c r="C677" s="32" t="n"/>
      <c r="D677" s="33" t="n"/>
      <c r="E677" s="34" t="n"/>
      <c r="F677" s="35" t="n"/>
      <c r="G677" s="35" t="n"/>
      <c r="H677" s="32" t="n"/>
      <c r="I677" s="32" t="n"/>
      <c r="J677" s="32" t="n"/>
      <c r="K677" s="36">
        <f>IF(E677&lt;&gt;"",E677,IF(AND(F677&lt;&gt;"",G677&lt;&gt;""),MOD(G677-F677,1)*24,""))</f>
        <v/>
      </c>
      <c r="L677" s="37">
        <f>IF(A677="","",CHOOSE(WEEKDAY(A677,2),"Montag","Dienstag","Mittwoch","Donnerstag","Freitag","Samstag","Sonntag"))</f>
        <v/>
      </c>
      <c r="M677" s="37">
        <f>IF(A677="","",_xlfn.ISOWEEKNUM(A677))</f>
        <v/>
      </c>
      <c r="N677" s="38">
        <f>IF(A677="","",DATE(YEAR(A677),MONTH(A677),1))</f>
        <v/>
      </c>
    </row>
    <row r="678">
      <c r="A678" s="31" t="n"/>
      <c r="B678" s="32" t="n"/>
      <c r="C678" s="32" t="n"/>
      <c r="D678" s="33" t="n"/>
      <c r="E678" s="34" t="n"/>
      <c r="F678" s="35" t="n"/>
      <c r="G678" s="35" t="n"/>
      <c r="H678" s="32" t="n"/>
      <c r="I678" s="32" t="n"/>
      <c r="J678" s="32" t="n"/>
      <c r="K678" s="36">
        <f>IF(E678&lt;&gt;"",E678,IF(AND(F678&lt;&gt;"",G678&lt;&gt;""),MOD(G678-F678,1)*24,""))</f>
        <v/>
      </c>
      <c r="L678" s="37">
        <f>IF(A678="","",CHOOSE(WEEKDAY(A678,2),"Montag","Dienstag","Mittwoch","Donnerstag","Freitag","Samstag","Sonntag"))</f>
        <v/>
      </c>
      <c r="M678" s="37">
        <f>IF(A678="","",_xlfn.ISOWEEKNUM(A678))</f>
        <v/>
      </c>
      <c r="N678" s="38">
        <f>IF(A678="","",DATE(YEAR(A678),MONTH(A678),1))</f>
        <v/>
      </c>
    </row>
    <row r="679">
      <c r="A679" s="31" t="n"/>
      <c r="B679" s="32" t="n"/>
      <c r="C679" s="32" t="n"/>
      <c r="D679" s="33" t="n"/>
      <c r="E679" s="34" t="n"/>
      <c r="F679" s="35" t="n"/>
      <c r="G679" s="35" t="n"/>
      <c r="H679" s="32" t="n"/>
      <c r="I679" s="32" t="n"/>
      <c r="J679" s="32" t="n"/>
      <c r="K679" s="36">
        <f>IF(E679&lt;&gt;"",E679,IF(AND(F679&lt;&gt;"",G679&lt;&gt;""),MOD(G679-F679,1)*24,""))</f>
        <v/>
      </c>
      <c r="L679" s="37">
        <f>IF(A679="","",CHOOSE(WEEKDAY(A679,2),"Montag","Dienstag","Mittwoch","Donnerstag","Freitag","Samstag","Sonntag"))</f>
        <v/>
      </c>
      <c r="M679" s="37">
        <f>IF(A679="","",_xlfn.ISOWEEKNUM(A679))</f>
        <v/>
      </c>
      <c r="N679" s="38">
        <f>IF(A679="","",DATE(YEAR(A679),MONTH(A679),1))</f>
        <v/>
      </c>
    </row>
    <row r="680">
      <c r="A680" s="31" t="n"/>
      <c r="B680" s="32" t="n"/>
      <c r="C680" s="32" t="n"/>
      <c r="D680" s="33" t="n"/>
      <c r="E680" s="34" t="n"/>
      <c r="F680" s="35" t="n"/>
      <c r="G680" s="35" t="n"/>
      <c r="H680" s="32" t="n"/>
      <c r="I680" s="32" t="n"/>
      <c r="J680" s="32" t="n"/>
      <c r="K680" s="36">
        <f>IF(E680&lt;&gt;"",E680,IF(AND(F680&lt;&gt;"",G680&lt;&gt;""),MOD(G680-F680,1)*24,""))</f>
        <v/>
      </c>
      <c r="L680" s="37">
        <f>IF(A680="","",CHOOSE(WEEKDAY(A680,2),"Montag","Dienstag","Mittwoch","Donnerstag","Freitag","Samstag","Sonntag"))</f>
        <v/>
      </c>
      <c r="M680" s="37">
        <f>IF(A680="","",_xlfn.ISOWEEKNUM(A680))</f>
        <v/>
      </c>
      <c r="N680" s="38">
        <f>IF(A680="","",DATE(YEAR(A680),MONTH(A680),1))</f>
        <v/>
      </c>
    </row>
    <row r="681">
      <c r="A681" s="31" t="n"/>
      <c r="B681" s="32" t="n"/>
      <c r="C681" s="32" t="n"/>
      <c r="D681" s="33" t="n"/>
      <c r="E681" s="34" t="n"/>
      <c r="F681" s="35" t="n"/>
      <c r="G681" s="35" t="n"/>
      <c r="H681" s="32" t="n"/>
      <c r="I681" s="32" t="n"/>
      <c r="J681" s="32" t="n"/>
      <c r="K681" s="36">
        <f>IF(E681&lt;&gt;"",E681,IF(AND(F681&lt;&gt;"",G681&lt;&gt;""),MOD(G681-F681,1)*24,""))</f>
        <v/>
      </c>
      <c r="L681" s="37">
        <f>IF(A681="","",CHOOSE(WEEKDAY(A681,2),"Montag","Dienstag","Mittwoch","Donnerstag","Freitag","Samstag","Sonntag"))</f>
        <v/>
      </c>
      <c r="M681" s="37">
        <f>IF(A681="","",_xlfn.ISOWEEKNUM(A681))</f>
        <v/>
      </c>
      <c r="N681" s="38">
        <f>IF(A681="","",DATE(YEAR(A681),MONTH(A681),1))</f>
        <v/>
      </c>
    </row>
    <row r="682">
      <c r="A682" s="31" t="n"/>
      <c r="B682" s="32" t="n"/>
      <c r="C682" s="32" t="n"/>
      <c r="D682" s="33" t="n"/>
      <c r="E682" s="34" t="n"/>
      <c r="F682" s="35" t="n"/>
      <c r="G682" s="35" t="n"/>
      <c r="H682" s="32" t="n"/>
      <c r="I682" s="32" t="n"/>
      <c r="J682" s="32" t="n"/>
      <c r="K682" s="36">
        <f>IF(E682&lt;&gt;"",E682,IF(AND(F682&lt;&gt;"",G682&lt;&gt;""),MOD(G682-F682,1)*24,""))</f>
        <v/>
      </c>
      <c r="L682" s="37">
        <f>IF(A682="","",CHOOSE(WEEKDAY(A682,2),"Montag","Dienstag","Mittwoch","Donnerstag","Freitag","Samstag","Sonntag"))</f>
        <v/>
      </c>
      <c r="M682" s="37">
        <f>IF(A682="","",_xlfn.ISOWEEKNUM(A682))</f>
        <v/>
      </c>
      <c r="N682" s="38">
        <f>IF(A682="","",DATE(YEAR(A682),MONTH(A682),1))</f>
        <v/>
      </c>
    </row>
    <row r="683">
      <c r="A683" s="31" t="n"/>
      <c r="B683" s="32" t="n"/>
      <c r="C683" s="32" t="n"/>
      <c r="D683" s="33" t="n"/>
      <c r="E683" s="34" t="n"/>
      <c r="F683" s="35" t="n"/>
      <c r="G683" s="35" t="n"/>
      <c r="H683" s="32" t="n"/>
      <c r="I683" s="32" t="n"/>
      <c r="J683" s="32" t="n"/>
      <c r="K683" s="36">
        <f>IF(E683&lt;&gt;"",E683,IF(AND(F683&lt;&gt;"",G683&lt;&gt;""),MOD(G683-F683,1)*24,""))</f>
        <v/>
      </c>
      <c r="L683" s="37">
        <f>IF(A683="","",CHOOSE(WEEKDAY(A683,2),"Montag","Dienstag","Mittwoch","Donnerstag","Freitag","Samstag","Sonntag"))</f>
        <v/>
      </c>
      <c r="M683" s="37">
        <f>IF(A683="","",_xlfn.ISOWEEKNUM(A683))</f>
        <v/>
      </c>
      <c r="N683" s="38">
        <f>IF(A683="","",DATE(YEAR(A683),MONTH(A683),1))</f>
        <v/>
      </c>
    </row>
    <row r="684">
      <c r="A684" s="31" t="n"/>
      <c r="B684" s="32" t="n"/>
      <c r="C684" s="32" t="n"/>
      <c r="D684" s="33" t="n"/>
      <c r="E684" s="34" t="n"/>
      <c r="F684" s="35" t="n"/>
      <c r="G684" s="35" t="n"/>
      <c r="H684" s="32" t="n"/>
      <c r="I684" s="32" t="n"/>
      <c r="J684" s="32" t="n"/>
      <c r="K684" s="36">
        <f>IF(E684&lt;&gt;"",E684,IF(AND(F684&lt;&gt;"",G684&lt;&gt;""),MOD(G684-F684,1)*24,""))</f>
        <v/>
      </c>
      <c r="L684" s="37">
        <f>IF(A684="","",CHOOSE(WEEKDAY(A684,2),"Montag","Dienstag","Mittwoch","Donnerstag","Freitag","Samstag","Sonntag"))</f>
        <v/>
      </c>
      <c r="M684" s="37">
        <f>IF(A684="","",_xlfn.ISOWEEKNUM(A684))</f>
        <v/>
      </c>
      <c r="N684" s="38">
        <f>IF(A684="","",DATE(YEAR(A684),MONTH(A684),1))</f>
        <v/>
      </c>
    </row>
    <row r="685">
      <c r="A685" s="31" t="n"/>
      <c r="B685" s="32" t="n"/>
      <c r="C685" s="32" t="n"/>
      <c r="D685" s="33" t="n"/>
      <c r="E685" s="34" t="n"/>
      <c r="F685" s="35" t="n"/>
      <c r="G685" s="35" t="n"/>
      <c r="H685" s="32" t="n"/>
      <c r="I685" s="32" t="n"/>
      <c r="J685" s="32" t="n"/>
      <c r="K685" s="36">
        <f>IF(E685&lt;&gt;"",E685,IF(AND(F685&lt;&gt;"",G685&lt;&gt;""),MOD(G685-F685,1)*24,""))</f>
        <v/>
      </c>
      <c r="L685" s="37">
        <f>IF(A685="","",CHOOSE(WEEKDAY(A685,2),"Montag","Dienstag","Mittwoch","Donnerstag","Freitag","Samstag","Sonntag"))</f>
        <v/>
      </c>
      <c r="M685" s="37">
        <f>IF(A685="","",_xlfn.ISOWEEKNUM(A685))</f>
        <v/>
      </c>
      <c r="N685" s="38">
        <f>IF(A685="","",DATE(YEAR(A685),MONTH(A685),1))</f>
        <v/>
      </c>
    </row>
    <row r="686">
      <c r="A686" s="31" t="n"/>
      <c r="B686" s="32" t="n"/>
      <c r="C686" s="32" t="n"/>
      <c r="D686" s="33" t="n"/>
      <c r="E686" s="34" t="n"/>
      <c r="F686" s="35" t="n"/>
      <c r="G686" s="35" t="n"/>
      <c r="H686" s="32" t="n"/>
      <c r="I686" s="32" t="n"/>
      <c r="J686" s="32" t="n"/>
      <c r="K686" s="36">
        <f>IF(E686&lt;&gt;"",E686,IF(AND(F686&lt;&gt;"",G686&lt;&gt;""),MOD(G686-F686,1)*24,""))</f>
        <v/>
      </c>
      <c r="L686" s="37">
        <f>IF(A686="","",CHOOSE(WEEKDAY(A686,2),"Montag","Dienstag","Mittwoch","Donnerstag","Freitag","Samstag","Sonntag"))</f>
        <v/>
      </c>
      <c r="M686" s="37">
        <f>IF(A686="","",_xlfn.ISOWEEKNUM(A686))</f>
        <v/>
      </c>
      <c r="N686" s="38">
        <f>IF(A686="","",DATE(YEAR(A686),MONTH(A686),1))</f>
        <v/>
      </c>
    </row>
    <row r="687">
      <c r="A687" s="31" t="n"/>
      <c r="B687" s="32" t="n"/>
      <c r="C687" s="32" t="n"/>
      <c r="D687" s="33" t="n"/>
      <c r="E687" s="34" t="n"/>
      <c r="F687" s="35" t="n"/>
      <c r="G687" s="35" t="n"/>
      <c r="H687" s="32" t="n"/>
      <c r="I687" s="32" t="n"/>
      <c r="J687" s="32" t="n"/>
      <c r="K687" s="36">
        <f>IF(E687&lt;&gt;"",E687,IF(AND(F687&lt;&gt;"",G687&lt;&gt;""),MOD(G687-F687,1)*24,""))</f>
        <v/>
      </c>
      <c r="L687" s="37">
        <f>IF(A687="","",CHOOSE(WEEKDAY(A687,2),"Montag","Dienstag","Mittwoch","Donnerstag","Freitag","Samstag","Sonntag"))</f>
        <v/>
      </c>
      <c r="M687" s="37">
        <f>IF(A687="","",_xlfn.ISOWEEKNUM(A687))</f>
        <v/>
      </c>
      <c r="N687" s="38">
        <f>IF(A687="","",DATE(YEAR(A687),MONTH(A687),1))</f>
        <v/>
      </c>
    </row>
    <row r="688">
      <c r="A688" s="31" t="n"/>
      <c r="B688" s="32" t="n"/>
      <c r="C688" s="32" t="n"/>
      <c r="D688" s="33" t="n"/>
      <c r="E688" s="34" t="n"/>
      <c r="F688" s="35" t="n"/>
      <c r="G688" s="35" t="n"/>
      <c r="H688" s="32" t="n"/>
      <c r="I688" s="32" t="n"/>
      <c r="J688" s="32" t="n"/>
      <c r="K688" s="36">
        <f>IF(E688&lt;&gt;"",E688,IF(AND(F688&lt;&gt;"",G688&lt;&gt;""),MOD(G688-F688,1)*24,""))</f>
        <v/>
      </c>
      <c r="L688" s="37">
        <f>IF(A688="","",CHOOSE(WEEKDAY(A688,2),"Montag","Dienstag","Mittwoch","Donnerstag","Freitag","Samstag","Sonntag"))</f>
        <v/>
      </c>
      <c r="M688" s="37">
        <f>IF(A688="","",_xlfn.ISOWEEKNUM(A688))</f>
        <v/>
      </c>
      <c r="N688" s="38">
        <f>IF(A688="","",DATE(YEAR(A688),MONTH(A688),1))</f>
        <v/>
      </c>
    </row>
    <row r="689">
      <c r="A689" s="31" t="n"/>
      <c r="B689" s="32" t="n"/>
      <c r="C689" s="32" t="n"/>
      <c r="D689" s="33" t="n"/>
      <c r="E689" s="34" t="n"/>
      <c r="F689" s="35" t="n"/>
      <c r="G689" s="35" t="n"/>
      <c r="H689" s="32" t="n"/>
      <c r="I689" s="32" t="n"/>
      <c r="J689" s="32" t="n"/>
      <c r="K689" s="36">
        <f>IF(E689&lt;&gt;"",E689,IF(AND(F689&lt;&gt;"",G689&lt;&gt;""),MOD(G689-F689,1)*24,""))</f>
        <v/>
      </c>
      <c r="L689" s="37">
        <f>IF(A689="","",CHOOSE(WEEKDAY(A689,2),"Montag","Dienstag","Mittwoch","Donnerstag","Freitag","Samstag","Sonntag"))</f>
        <v/>
      </c>
      <c r="M689" s="37">
        <f>IF(A689="","",_xlfn.ISOWEEKNUM(A689))</f>
        <v/>
      </c>
      <c r="N689" s="38">
        <f>IF(A689="","",DATE(YEAR(A689),MONTH(A689),1))</f>
        <v/>
      </c>
    </row>
    <row r="690">
      <c r="A690" s="31" t="n"/>
      <c r="B690" s="32" t="n"/>
      <c r="C690" s="32" t="n"/>
      <c r="D690" s="33" t="n"/>
      <c r="E690" s="34" t="n"/>
      <c r="F690" s="35" t="n"/>
      <c r="G690" s="35" t="n"/>
      <c r="H690" s="32" t="n"/>
      <c r="I690" s="32" t="n"/>
      <c r="J690" s="32" t="n"/>
      <c r="K690" s="36">
        <f>IF(E690&lt;&gt;"",E690,IF(AND(F690&lt;&gt;"",G690&lt;&gt;""),MOD(G690-F690,1)*24,""))</f>
        <v/>
      </c>
      <c r="L690" s="37">
        <f>IF(A690="","",CHOOSE(WEEKDAY(A690,2),"Montag","Dienstag","Mittwoch","Donnerstag","Freitag","Samstag","Sonntag"))</f>
        <v/>
      </c>
      <c r="M690" s="37">
        <f>IF(A690="","",_xlfn.ISOWEEKNUM(A690))</f>
        <v/>
      </c>
      <c r="N690" s="38">
        <f>IF(A690="","",DATE(YEAR(A690),MONTH(A690),1))</f>
        <v/>
      </c>
    </row>
    <row r="691">
      <c r="A691" s="31" t="n"/>
      <c r="B691" s="32" t="n"/>
      <c r="C691" s="32" t="n"/>
      <c r="D691" s="33" t="n"/>
      <c r="E691" s="34" t="n"/>
      <c r="F691" s="35" t="n"/>
      <c r="G691" s="35" t="n"/>
      <c r="H691" s="32" t="n"/>
      <c r="I691" s="32" t="n"/>
      <c r="J691" s="32" t="n"/>
      <c r="K691" s="36">
        <f>IF(E691&lt;&gt;"",E691,IF(AND(F691&lt;&gt;"",G691&lt;&gt;""),MOD(G691-F691,1)*24,""))</f>
        <v/>
      </c>
      <c r="L691" s="37">
        <f>IF(A691="","",CHOOSE(WEEKDAY(A691,2),"Montag","Dienstag","Mittwoch","Donnerstag","Freitag","Samstag","Sonntag"))</f>
        <v/>
      </c>
      <c r="M691" s="37">
        <f>IF(A691="","",_xlfn.ISOWEEKNUM(A691))</f>
        <v/>
      </c>
      <c r="N691" s="38">
        <f>IF(A691="","",DATE(YEAR(A691),MONTH(A691),1))</f>
        <v/>
      </c>
    </row>
    <row r="692">
      <c r="A692" s="31" t="n"/>
      <c r="B692" s="32" t="n"/>
      <c r="C692" s="32" t="n"/>
      <c r="D692" s="33" t="n"/>
      <c r="E692" s="34" t="n"/>
      <c r="F692" s="35" t="n"/>
      <c r="G692" s="35" t="n"/>
      <c r="H692" s="32" t="n"/>
      <c r="I692" s="32" t="n"/>
      <c r="J692" s="32" t="n"/>
      <c r="K692" s="36">
        <f>IF(E692&lt;&gt;"",E692,IF(AND(F692&lt;&gt;"",G692&lt;&gt;""),MOD(G692-F692,1)*24,""))</f>
        <v/>
      </c>
      <c r="L692" s="37">
        <f>IF(A692="","",CHOOSE(WEEKDAY(A692,2),"Montag","Dienstag","Mittwoch","Donnerstag","Freitag","Samstag","Sonntag"))</f>
        <v/>
      </c>
      <c r="M692" s="37">
        <f>IF(A692="","",_xlfn.ISOWEEKNUM(A692))</f>
        <v/>
      </c>
      <c r="N692" s="38">
        <f>IF(A692="","",DATE(YEAR(A692),MONTH(A692),1))</f>
        <v/>
      </c>
    </row>
    <row r="693">
      <c r="A693" s="31" t="n"/>
      <c r="B693" s="32" t="n"/>
      <c r="C693" s="32" t="n"/>
      <c r="D693" s="33" t="n"/>
      <c r="E693" s="34" t="n"/>
      <c r="F693" s="35" t="n"/>
      <c r="G693" s="35" t="n"/>
      <c r="H693" s="32" t="n"/>
      <c r="I693" s="32" t="n"/>
      <c r="J693" s="32" t="n"/>
      <c r="K693" s="36">
        <f>IF(E693&lt;&gt;"",E693,IF(AND(F693&lt;&gt;"",G693&lt;&gt;""),MOD(G693-F693,1)*24,""))</f>
        <v/>
      </c>
      <c r="L693" s="37">
        <f>IF(A693="","",CHOOSE(WEEKDAY(A693,2),"Montag","Dienstag","Mittwoch","Donnerstag","Freitag","Samstag","Sonntag"))</f>
        <v/>
      </c>
      <c r="M693" s="37">
        <f>IF(A693="","",_xlfn.ISOWEEKNUM(A693))</f>
        <v/>
      </c>
      <c r="N693" s="38">
        <f>IF(A693="","",DATE(YEAR(A693),MONTH(A693),1))</f>
        <v/>
      </c>
    </row>
    <row r="694">
      <c r="A694" s="31" t="n"/>
      <c r="B694" s="32" t="n"/>
      <c r="C694" s="32" t="n"/>
      <c r="D694" s="33" t="n"/>
      <c r="E694" s="34" t="n"/>
      <c r="F694" s="35" t="n"/>
      <c r="G694" s="35" t="n"/>
      <c r="H694" s="32" t="n"/>
      <c r="I694" s="32" t="n"/>
      <c r="J694" s="32" t="n"/>
      <c r="K694" s="36">
        <f>IF(E694&lt;&gt;"",E694,IF(AND(F694&lt;&gt;"",G694&lt;&gt;""),MOD(G694-F694,1)*24,""))</f>
        <v/>
      </c>
      <c r="L694" s="37">
        <f>IF(A694="","",CHOOSE(WEEKDAY(A694,2),"Montag","Dienstag","Mittwoch","Donnerstag","Freitag","Samstag","Sonntag"))</f>
        <v/>
      </c>
      <c r="M694" s="37">
        <f>IF(A694="","",_xlfn.ISOWEEKNUM(A694))</f>
        <v/>
      </c>
      <c r="N694" s="38">
        <f>IF(A694="","",DATE(YEAR(A694),MONTH(A694),1))</f>
        <v/>
      </c>
    </row>
    <row r="695">
      <c r="A695" s="31" t="n"/>
      <c r="B695" s="32" t="n"/>
      <c r="C695" s="32" t="n"/>
      <c r="D695" s="33" t="n"/>
      <c r="E695" s="34" t="n"/>
      <c r="F695" s="35" t="n"/>
      <c r="G695" s="35" t="n"/>
      <c r="H695" s="32" t="n"/>
      <c r="I695" s="32" t="n"/>
      <c r="J695" s="32" t="n"/>
      <c r="K695" s="36">
        <f>IF(E695&lt;&gt;"",E695,IF(AND(F695&lt;&gt;"",G695&lt;&gt;""),MOD(G695-F695,1)*24,""))</f>
        <v/>
      </c>
      <c r="L695" s="37">
        <f>IF(A695="","",CHOOSE(WEEKDAY(A695,2),"Montag","Dienstag","Mittwoch","Donnerstag","Freitag","Samstag","Sonntag"))</f>
        <v/>
      </c>
      <c r="M695" s="37">
        <f>IF(A695="","",_xlfn.ISOWEEKNUM(A695))</f>
        <v/>
      </c>
      <c r="N695" s="38">
        <f>IF(A695="","",DATE(YEAR(A695),MONTH(A695),1))</f>
        <v/>
      </c>
    </row>
    <row r="696">
      <c r="A696" s="31" t="n"/>
      <c r="B696" s="32" t="n"/>
      <c r="C696" s="32" t="n"/>
      <c r="D696" s="33" t="n"/>
      <c r="E696" s="34" t="n"/>
      <c r="F696" s="35" t="n"/>
      <c r="G696" s="35" t="n"/>
      <c r="H696" s="32" t="n"/>
      <c r="I696" s="32" t="n"/>
      <c r="J696" s="32" t="n"/>
      <c r="K696" s="36">
        <f>IF(E696&lt;&gt;"",E696,IF(AND(F696&lt;&gt;"",G696&lt;&gt;""),MOD(G696-F696,1)*24,""))</f>
        <v/>
      </c>
      <c r="L696" s="37">
        <f>IF(A696="","",CHOOSE(WEEKDAY(A696,2),"Montag","Dienstag","Mittwoch","Donnerstag","Freitag","Samstag","Sonntag"))</f>
        <v/>
      </c>
      <c r="M696" s="37">
        <f>IF(A696="","",_xlfn.ISOWEEKNUM(A696))</f>
        <v/>
      </c>
      <c r="N696" s="38">
        <f>IF(A696="","",DATE(YEAR(A696),MONTH(A696),1))</f>
        <v/>
      </c>
    </row>
    <row r="697">
      <c r="A697" s="31" t="n"/>
      <c r="B697" s="32" t="n"/>
      <c r="C697" s="32" t="n"/>
      <c r="D697" s="33" t="n"/>
      <c r="E697" s="34" t="n"/>
      <c r="F697" s="35" t="n"/>
      <c r="G697" s="35" t="n"/>
      <c r="H697" s="32" t="n"/>
      <c r="I697" s="32" t="n"/>
      <c r="J697" s="32" t="n"/>
      <c r="K697" s="36">
        <f>IF(E697&lt;&gt;"",E697,IF(AND(F697&lt;&gt;"",G697&lt;&gt;""),MOD(G697-F697,1)*24,""))</f>
        <v/>
      </c>
      <c r="L697" s="37">
        <f>IF(A697="","",CHOOSE(WEEKDAY(A697,2),"Montag","Dienstag","Mittwoch","Donnerstag","Freitag","Samstag","Sonntag"))</f>
        <v/>
      </c>
      <c r="M697" s="37">
        <f>IF(A697="","",_xlfn.ISOWEEKNUM(A697))</f>
        <v/>
      </c>
      <c r="N697" s="38">
        <f>IF(A697="","",DATE(YEAR(A697),MONTH(A697),1))</f>
        <v/>
      </c>
    </row>
    <row r="698">
      <c r="A698" s="31" t="n"/>
      <c r="B698" s="32" t="n"/>
      <c r="C698" s="32" t="n"/>
      <c r="D698" s="33" t="n"/>
      <c r="E698" s="34" t="n"/>
      <c r="F698" s="35" t="n"/>
      <c r="G698" s="35" t="n"/>
      <c r="H698" s="32" t="n"/>
      <c r="I698" s="32" t="n"/>
      <c r="J698" s="32" t="n"/>
      <c r="K698" s="36">
        <f>IF(E698&lt;&gt;"",E698,IF(AND(F698&lt;&gt;"",G698&lt;&gt;""),MOD(G698-F698,1)*24,""))</f>
        <v/>
      </c>
      <c r="L698" s="37">
        <f>IF(A698="","",CHOOSE(WEEKDAY(A698,2),"Montag","Dienstag","Mittwoch","Donnerstag","Freitag","Samstag","Sonntag"))</f>
        <v/>
      </c>
      <c r="M698" s="37">
        <f>IF(A698="","",_xlfn.ISOWEEKNUM(A698))</f>
        <v/>
      </c>
      <c r="N698" s="38">
        <f>IF(A698="","",DATE(YEAR(A698),MONTH(A698),1))</f>
        <v/>
      </c>
    </row>
    <row r="699">
      <c r="A699" s="31" t="n"/>
      <c r="B699" s="32" t="n"/>
      <c r="C699" s="32" t="n"/>
      <c r="D699" s="33" t="n"/>
      <c r="E699" s="34" t="n"/>
      <c r="F699" s="35" t="n"/>
      <c r="G699" s="35" t="n"/>
      <c r="H699" s="32" t="n"/>
      <c r="I699" s="32" t="n"/>
      <c r="J699" s="32" t="n"/>
      <c r="K699" s="36">
        <f>IF(E699&lt;&gt;"",E699,IF(AND(F699&lt;&gt;"",G699&lt;&gt;""),MOD(G699-F699,1)*24,""))</f>
        <v/>
      </c>
      <c r="L699" s="37">
        <f>IF(A699="","",CHOOSE(WEEKDAY(A699,2),"Montag","Dienstag","Mittwoch","Donnerstag","Freitag","Samstag","Sonntag"))</f>
        <v/>
      </c>
      <c r="M699" s="37">
        <f>IF(A699="","",_xlfn.ISOWEEKNUM(A699))</f>
        <v/>
      </c>
      <c r="N699" s="38">
        <f>IF(A699="","",DATE(YEAR(A699),MONTH(A699),1))</f>
        <v/>
      </c>
    </row>
    <row r="700">
      <c r="A700" s="31" t="n"/>
      <c r="B700" s="32" t="n"/>
      <c r="C700" s="32" t="n"/>
      <c r="D700" s="33" t="n"/>
      <c r="E700" s="34" t="n"/>
      <c r="F700" s="35" t="n"/>
      <c r="G700" s="35" t="n"/>
      <c r="H700" s="32" t="n"/>
      <c r="I700" s="32" t="n"/>
      <c r="J700" s="32" t="n"/>
      <c r="K700" s="36">
        <f>IF(E700&lt;&gt;"",E700,IF(AND(F700&lt;&gt;"",G700&lt;&gt;""),MOD(G700-F700,1)*24,""))</f>
        <v/>
      </c>
      <c r="L700" s="37">
        <f>IF(A700="","",CHOOSE(WEEKDAY(A700,2),"Montag","Dienstag","Mittwoch","Donnerstag","Freitag","Samstag","Sonntag"))</f>
        <v/>
      </c>
      <c r="M700" s="37">
        <f>IF(A700="","",_xlfn.ISOWEEKNUM(A700))</f>
        <v/>
      </c>
      <c r="N700" s="38">
        <f>IF(A700="","",DATE(YEAR(A700),MONTH(A700),1))</f>
        <v/>
      </c>
    </row>
    <row r="701">
      <c r="A701" s="31" t="n"/>
      <c r="B701" s="32" t="n"/>
      <c r="C701" s="32" t="n"/>
      <c r="D701" s="33" t="n"/>
      <c r="E701" s="34" t="n"/>
      <c r="F701" s="35" t="n"/>
      <c r="G701" s="35" t="n"/>
      <c r="H701" s="32" t="n"/>
      <c r="I701" s="32" t="n"/>
      <c r="J701" s="32" t="n"/>
      <c r="K701" s="36">
        <f>IF(E701&lt;&gt;"",E701,IF(AND(F701&lt;&gt;"",G701&lt;&gt;""),MOD(G701-F701,1)*24,""))</f>
        <v/>
      </c>
      <c r="L701" s="37">
        <f>IF(A701="","",CHOOSE(WEEKDAY(A701,2),"Montag","Dienstag","Mittwoch","Donnerstag","Freitag","Samstag","Sonntag"))</f>
        <v/>
      </c>
      <c r="M701" s="37">
        <f>IF(A701="","",_xlfn.ISOWEEKNUM(A701))</f>
        <v/>
      </c>
      <c r="N701" s="38">
        <f>IF(A701="","",DATE(YEAR(A701),MONTH(A701),1))</f>
        <v/>
      </c>
    </row>
    <row r="702">
      <c r="A702" s="31" t="n"/>
      <c r="B702" s="32" t="n"/>
      <c r="C702" s="32" t="n"/>
      <c r="D702" s="33" t="n"/>
      <c r="E702" s="34" t="n"/>
      <c r="F702" s="35" t="n"/>
      <c r="G702" s="35" t="n"/>
      <c r="H702" s="32" t="n"/>
      <c r="I702" s="32" t="n"/>
      <c r="J702" s="32" t="n"/>
      <c r="K702" s="36">
        <f>IF(E702&lt;&gt;"",E702,IF(AND(F702&lt;&gt;"",G702&lt;&gt;""),MOD(G702-F702,1)*24,""))</f>
        <v/>
      </c>
      <c r="L702" s="37">
        <f>IF(A702="","",CHOOSE(WEEKDAY(A702,2),"Montag","Dienstag","Mittwoch","Donnerstag","Freitag","Samstag","Sonntag"))</f>
        <v/>
      </c>
      <c r="M702" s="37">
        <f>IF(A702="","",_xlfn.ISOWEEKNUM(A702))</f>
        <v/>
      </c>
      <c r="N702" s="38">
        <f>IF(A702="","",DATE(YEAR(A702),MONTH(A702),1))</f>
        <v/>
      </c>
    </row>
    <row r="703">
      <c r="A703" s="31" t="n"/>
      <c r="B703" s="32" t="n"/>
      <c r="C703" s="32" t="n"/>
      <c r="D703" s="33" t="n"/>
      <c r="E703" s="34" t="n"/>
      <c r="F703" s="35" t="n"/>
      <c r="G703" s="35" t="n"/>
      <c r="H703" s="32" t="n"/>
      <c r="I703" s="32" t="n"/>
      <c r="J703" s="32" t="n"/>
      <c r="K703" s="36">
        <f>IF(E703&lt;&gt;"",E703,IF(AND(F703&lt;&gt;"",G703&lt;&gt;""),MOD(G703-F703,1)*24,""))</f>
        <v/>
      </c>
      <c r="L703" s="37">
        <f>IF(A703="","",CHOOSE(WEEKDAY(A703,2),"Montag","Dienstag","Mittwoch","Donnerstag","Freitag","Samstag","Sonntag"))</f>
        <v/>
      </c>
      <c r="M703" s="37">
        <f>IF(A703="","",_xlfn.ISOWEEKNUM(A703))</f>
        <v/>
      </c>
      <c r="N703" s="38">
        <f>IF(A703="","",DATE(YEAR(A703),MONTH(A703),1))</f>
        <v/>
      </c>
    </row>
    <row r="704">
      <c r="A704" s="31" t="n"/>
      <c r="B704" s="32" t="n"/>
      <c r="C704" s="32" t="n"/>
      <c r="D704" s="33" t="n"/>
      <c r="E704" s="34" t="n"/>
      <c r="F704" s="35" t="n"/>
      <c r="G704" s="35" t="n"/>
      <c r="H704" s="32" t="n"/>
      <c r="I704" s="32" t="n"/>
      <c r="J704" s="32" t="n"/>
      <c r="K704" s="36">
        <f>IF(E704&lt;&gt;"",E704,IF(AND(F704&lt;&gt;"",G704&lt;&gt;""),MOD(G704-F704,1)*24,""))</f>
        <v/>
      </c>
      <c r="L704" s="37">
        <f>IF(A704="","",CHOOSE(WEEKDAY(A704,2),"Montag","Dienstag","Mittwoch","Donnerstag","Freitag","Samstag","Sonntag"))</f>
        <v/>
      </c>
      <c r="M704" s="37">
        <f>IF(A704="","",_xlfn.ISOWEEKNUM(A704))</f>
        <v/>
      </c>
      <c r="N704" s="38">
        <f>IF(A704="","",DATE(YEAR(A704),MONTH(A704),1))</f>
        <v/>
      </c>
    </row>
    <row r="705">
      <c r="A705" s="31" t="n"/>
      <c r="B705" s="32" t="n"/>
      <c r="C705" s="32" t="n"/>
      <c r="D705" s="33" t="n"/>
      <c r="E705" s="34" t="n"/>
      <c r="F705" s="35" t="n"/>
      <c r="G705" s="35" t="n"/>
      <c r="H705" s="32" t="n"/>
      <c r="I705" s="32" t="n"/>
      <c r="J705" s="32" t="n"/>
      <c r="K705" s="36">
        <f>IF(E705&lt;&gt;"",E705,IF(AND(F705&lt;&gt;"",G705&lt;&gt;""),MOD(G705-F705,1)*24,""))</f>
        <v/>
      </c>
      <c r="L705" s="37">
        <f>IF(A705="","",CHOOSE(WEEKDAY(A705,2),"Montag","Dienstag","Mittwoch","Donnerstag","Freitag","Samstag","Sonntag"))</f>
        <v/>
      </c>
      <c r="M705" s="37">
        <f>IF(A705="","",_xlfn.ISOWEEKNUM(A705))</f>
        <v/>
      </c>
      <c r="N705" s="38">
        <f>IF(A705="","",DATE(YEAR(A705),MONTH(A705),1))</f>
        <v/>
      </c>
    </row>
    <row r="706">
      <c r="A706" s="31" t="n"/>
      <c r="B706" s="32" t="n"/>
      <c r="C706" s="32" t="n"/>
      <c r="D706" s="33" t="n"/>
      <c r="E706" s="34" t="n"/>
      <c r="F706" s="35" t="n"/>
      <c r="G706" s="35" t="n"/>
      <c r="H706" s="32" t="n"/>
      <c r="I706" s="32" t="n"/>
      <c r="J706" s="32" t="n"/>
      <c r="K706" s="36">
        <f>IF(E706&lt;&gt;"",E706,IF(AND(F706&lt;&gt;"",G706&lt;&gt;""),MOD(G706-F706,1)*24,""))</f>
        <v/>
      </c>
      <c r="L706" s="37">
        <f>IF(A706="","",CHOOSE(WEEKDAY(A706,2),"Montag","Dienstag","Mittwoch","Donnerstag","Freitag","Samstag","Sonntag"))</f>
        <v/>
      </c>
      <c r="M706" s="37">
        <f>IF(A706="","",_xlfn.ISOWEEKNUM(A706))</f>
        <v/>
      </c>
      <c r="N706" s="38">
        <f>IF(A706="","",DATE(YEAR(A706),MONTH(A706),1))</f>
        <v/>
      </c>
    </row>
    <row r="707">
      <c r="A707" s="31" t="n"/>
      <c r="B707" s="32" t="n"/>
      <c r="C707" s="32" t="n"/>
      <c r="D707" s="33" t="n"/>
      <c r="E707" s="34" t="n"/>
      <c r="F707" s="35" t="n"/>
      <c r="G707" s="35" t="n"/>
      <c r="H707" s="32" t="n"/>
      <c r="I707" s="32" t="n"/>
      <c r="J707" s="32" t="n"/>
      <c r="K707" s="36">
        <f>IF(E707&lt;&gt;"",E707,IF(AND(F707&lt;&gt;"",G707&lt;&gt;""),MOD(G707-F707,1)*24,""))</f>
        <v/>
      </c>
      <c r="L707" s="37">
        <f>IF(A707="","",CHOOSE(WEEKDAY(A707,2),"Montag","Dienstag","Mittwoch","Donnerstag","Freitag","Samstag","Sonntag"))</f>
        <v/>
      </c>
      <c r="M707" s="37">
        <f>IF(A707="","",_xlfn.ISOWEEKNUM(A707))</f>
        <v/>
      </c>
      <c r="N707" s="38">
        <f>IF(A707="","",DATE(YEAR(A707),MONTH(A707),1))</f>
        <v/>
      </c>
    </row>
    <row r="708">
      <c r="A708" s="31" t="n"/>
      <c r="B708" s="32" t="n"/>
      <c r="C708" s="32" t="n"/>
      <c r="D708" s="33" t="n"/>
      <c r="E708" s="34" t="n"/>
      <c r="F708" s="35" t="n"/>
      <c r="G708" s="35" t="n"/>
      <c r="H708" s="32" t="n"/>
      <c r="I708" s="32" t="n"/>
      <c r="J708" s="32" t="n"/>
      <c r="K708" s="36">
        <f>IF(E708&lt;&gt;"",E708,IF(AND(F708&lt;&gt;"",G708&lt;&gt;""),MOD(G708-F708,1)*24,""))</f>
        <v/>
      </c>
      <c r="L708" s="37">
        <f>IF(A708="","",CHOOSE(WEEKDAY(A708,2),"Montag","Dienstag","Mittwoch","Donnerstag","Freitag","Samstag","Sonntag"))</f>
        <v/>
      </c>
      <c r="M708" s="37">
        <f>IF(A708="","",_xlfn.ISOWEEKNUM(A708))</f>
        <v/>
      </c>
      <c r="N708" s="38">
        <f>IF(A708="","",DATE(YEAR(A708),MONTH(A708),1))</f>
        <v/>
      </c>
    </row>
    <row r="709">
      <c r="A709" s="31" t="n"/>
      <c r="B709" s="32" t="n"/>
      <c r="C709" s="32" t="n"/>
      <c r="D709" s="33" t="n"/>
      <c r="E709" s="34" t="n"/>
      <c r="F709" s="35" t="n"/>
      <c r="G709" s="35" t="n"/>
      <c r="H709" s="32" t="n"/>
      <c r="I709" s="32" t="n"/>
      <c r="J709" s="32" t="n"/>
      <c r="K709" s="36">
        <f>IF(E709&lt;&gt;"",E709,IF(AND(F709&lt;&gt;"",G709&lt;&gt;""),MOD(G709-F709,1)*24,""))</f>
        <v/>
      </c>
      <c r="L709" s="37">
        <f>IF(A709="","",CHOOSE(WEEKDAY(A709,2),"Montag","Dienstag","Mittwoch","Donnerstag","Freitag","Samstag","Sonntag"))</f>
        <v/>
      </c>
      <c r="M709" s="37">
        <f>IF(A709="","",_xlfn.ISOWEEKNUM(A709))</f>
        <v/>
      </c>
      <c r="N709" s="38">
        <f>IF(A709="","",DATE(YEAR(A709),MONTH(A709),1))</f>
        <v/>
      </c>
    </row>
    <row r="710">
      <c r="A710" s="31" t="n"/>
      <c r="B710" s="32" t="n"/>
      <c r="C710" s="32" t="n"/>
      <c r="D710" s="33" t="n"/>
      <c r="E710" s="34" t="n"/>
      <c r="F710" s="35" t="n"/>
      <c r="G710" s="35" t="n"/>
      <c r="H710" s="32" t="n"/>
      <c r="I710" s="32" t="n"/>
      <c r="J710" s="32" t="n"/>
      <c r="K710" s="36">
        <f>IF(E710&lt;&gt;"",E710,IF(AND(F710&lt;&gt;"",G710&lt;&gt;""),MOD(G710-F710,1)*24,""))</f>
        <v/>
      </c>
      <c r="L710" s="37">
        <f>IF(A710="","",CHOOSE(WEEKDAY(A710,2),"Montag","Dienstag","Mittwoch","Donnerstag","Freitag","Samstag","Sonntag"))</f>
        <v/>
      </c>
      <c r="M710" s="37">
        <f>IF(A710="","",_xlfn.ISOWEEKNUM(A710))</f>
        <v/>
      </c>
      <c r="N710" s="38">
        <f>IF(A710="","",DATE(YEAR(A710),MONTH(A710),1))</f>
        <v/>
      </c>
    </row>
    <row r="711">
      <c r="A711" s="31" t="n"/>
      <c r="B711" s="32" t="n"/>
      <c r="C711" s="32" t="n"/>
      <c r="D711" s="33" t="n"/>
      <c r="E711" s="34" t="n"/>
      <c r="F711" s="35" t="n"/>
      <c r="G711" s="35" t="n"/>
      <c r="H711" s="32" t="n"/>
      <c r="I711" s="32" t="n"/>
      <c r="J711" s="32" t="n"/>
      <c r="K711" s="36">
        <f>IF(E711&lt;&gt;"",E711,IF(AND(F711&lt;&gt;"",G711&lt;&gt;""),MOD(G711-F711,1)*24,""))</f>
        <v/>
      </c>
      <c r="L711" s="37">
        <f>IF(A711="","",CHOOSE(WEEKDAY(A711,2),"Montag","Dienstag","Mittwoch","Donnerstag","Freitag","Samstag","Sonntag"))</f>
        <v/>
      </c>
      <c r="M711" s="37">
        <f>IF(A711="","",_xlfn.ISOWEEKNUM(A711))</f>
        <v/>
      </c>
      <c r="N711" s="38">
        <f>IF(A711="","",DATE(YEAR(A711),MONTH(A711),1))</f>
        <v/>
      </c>
    </row>
    <row r="712">
      <c r="A712" s="31" t="n"/>
      <c r="B712" s="32" t="n"/>
      <c r="C712" s="32" t="n"/>
      <c r="D712" s="33" t="n"/>
      <c r="E712" s="34" t="n"/>
      <c r="F712" s="35" t="n"/>
      <c r="G712" s="35" t="n"/>
      <c r="H712" s="32" t="n"/>
      <c r="I712" s="32" t="n"/>
      <c r="J712" s="32" t="n"/>
      <c r="K712" s="36">
        <f>IF(E712&lt;&gt;"",E712,IF(AND(F712&lt;&gt;"",G712&lt;&gt;""),MOD(G712-F712,1)*24,""))</f>
        <v/>
      </c>
      <c r="L712" s="37">
        <f>IF(A712="","",CHOOSE(WEEKDAY(A712,2),"Montag","Dienstag","Mittwoch","Donnerstag","Freitag","Samstag","Sonntag"))</f>
        <v/>
      </c>
      <c r="M712" s="37">
        <f>IF(A712="","",_xlfn.ISOWEEKNUM(A712))</f>
        <v/>
      </c>
      <c r="N712" s="38">
        <f>IF(A712="","",DATE(YEAR(A712),MONTH(A712),1))</f>
        <v/>
      </c>
    </row>
    <row r="713">
      <c r="A713" s="31" t="n"/>
      <c r="B713" s="32" t="n"/>
      <c r="C713" s="32" t="n"/>
      <c r="D713" s="33" t="n"/>
      <c r="E713" s="34" t="n"/>
      <c r="F713" s="35" t="n"/>
      <c r="G713" s="35" t="n"/>
      <c r="H713" s="32" t="n"/>
      <c r="I713" s="32" t="n"/>
      <c r="J713" s="32" t="n"/>
      <c r="K713" s="36">
        <f>IF(E713&lt;&gt;"",E713,IF(AND(F713&lt;&gt;"",G713&lt;&gt;""),MOD(G713-F713,1)*24,""))</f>
        <v/>
      </c>
      <c r="L713" s="37">
        <f>IF(A713="","",CHOOSE(WEEKDAY(A713,2),"Montag","Dienstag","Mittwoch","Donnerstag","Freitag","Samstag","Sonntag"))</f>
        <v/>
      </c>
      <c r="M713" s="37">
        <f>IF(A713="","",_xlfn.ISOWEEKNUM(A713))</f>
        <v/>
      </c>
      <c r="N713" s="38">
        <f>IF(A713="","",DATE(YEAR(A713),MONTH(A713),1))</f>
        <v/>
      </c>
    </row>
    <row r="714">
      <c r="A714" s="31" t="n"/>
      <c r="B714" s="32" t="n"/>
      <c r="C714" s="32" t="n"/>
      <c r="D714" s="33" t="n"/>
      <c r="E714" s="34" t="n"/>
      <c r="F714" s="35" t="n"/>
      <c r="G714" s="35" t="n"/>
      <c r="H714" s="32" t="n"/>
      <c r="I714" s="32" t="n"/>
      <c r="J714" s="32" t="n"/>
      <c r="K714" s="36">
        <f>IF(E714&lt;&gt;"",E714,IF(AND(F714&lt;&gt;"",G714&lt;&gt;""),MOD(G714-F714,1)*24,""))</f>
        <v/>
      </c>
      <c r="L714" s="37">
        <f>IF(A714="","",CHOOSE(WEEKDAY(A714,2),"Montag","Dienstag","Mittwoch","Donnerstag","Freitag","Samstag","Sonntag"))</f>
        <v/>
      </c>
      <c r="M714" s="37">
        <f>IF(A714="","",_xlfn.ISOWEEKNUM(A714))</f>
        <v/>
      </c>
      <c r="N714" s="38">
        <f>IF(A714="","",DATE(YEAR(A714),MONTH(A714),1))</f>
        <v/>
      </c>
    </row>
    <row r="715">
      <c r="A715" s="31" t="n"/>
      <c r="B715" s="32" t="n"/>
      <c r="C715" s="32" t="n"/>
      <c r="D715" s="33" t="n"/>
      <c r="E715" s="34" t="n"/>
      <c r="F715" s="35" t="n"/>
      <c r="G715" s="35" t="n"/>
      <c r="H715" s="32" t="n"/>
      <c r="I715" s="32" t="n"/>
      <c r="J715" s="32" t="n"/>
      <c r="K715" s="36">
        <f>IF(E715&lt;&gt;"",E715,IF(AND(F715&lt;&gt;"",G715&lt;&gt;""),MOD(G715-F715,1)*24,""))</f>
        <v/>
      </c>
      <c r="L715" s="37">
        <f>IF(A715="","",CHOOSE(WEEKDAY(A715,2),"Montag","Dienstag","Mittwoch","Donnerstag","Freitag","Samstag","Sonntag"))</f>
        <v/>
      </c>
      <c r="M715" s="37">
        <f>IF(A715="","",_xlfn.ISOWEEKNUM(A715))</f>
        <v/>
      </c>
      <c r="N715" s="38">
        <f>IF(A715="","",DATE(YEAR(A715),MONTH(A715),1))</f>
        <v/>
      </c>
    </row>
    <row r="716">
      <c r="A716" s="31" t="n"/>
      <c r="B716" s="32" t="n"/>
      <c r="C716" s="32" t="n"/>
      <c r="D716" s="33" t="n"/>
      <c r="E716" s="34" t="n"/>
      <c r="F716" s="35" t="n"/>
      <c r="G716" s="35" t="n"/>
      <c r="H716" s="32" t="n"/>
      <c r="I716" s="32" t="n"/>
      <c r="J716" s="32" t="n"/>
      <c r="K716" s="36">
        <f>IF(E716&lt;&gt;"",E716,IF(AND(F716&lt;&gt;"",G716&lt;&gt;""),MOD(G716-F716,1)*24,""))</f>
        <v/>
      </c>
      <c r="L716" s="37">
        <f>IF(A716="","",CHOOSE(WEEKDAY(A716,2),"Montag","Dienstag","Mittwoch","Donnerstag","Freitag","Samstag","Sonntag"))</f>
        <v/>
      </c>
      <c r="M716" s="37">
        <f>IF(A716="","",_xlfn.ISOWEEKNUM(A716))</f>
        <v/>
      </c>
      <c r="N716" s="38">
        <f>IF(A716="","",DATE(YEAR(A716),MONTH(A716),1))</f>
        <v/>
      </c>
    </row>
    <row r="717">
      <c r="A717" s="31" t="n"/>
      <c r="B717" s="32" t="n"/>
      <c r="C717" s="32" t="n"/>
      <c r="D717" s="33" t="n"/>
      <c r="E717" s="34" t="n"/>
      <c r="F717" s="35" t="n"/>
      <c r="G717" s="35" t="n"/>
      <c r="H717" s="32" t="n"/>
      <c r="I717" s="32" t="n"/>
      <c r="J717" s="32" t="n"/>
      <c r="K717" s="36">
        <f>IF(E717&lt;&gt;"",E717,IF(AND(F717&lt;&gt;"",G717&lt;&gt;""),MOD(G717-F717,1)*24,""))</f>
        <v/>
      </c>
      <c r="L717" s="37">
        <f>IF(A717="","",CHOOSE(WEEKDAY(A717,2),"Montag","Dienstag","Mittwoch","Donnerstag","Freitag","Samstag","Sonntag"))</f>
        <v/>
      </c>
      <c r="M717" s="37">
        <f>IF(A717="","",_xlfn.ISOWEEKNUM(A717))</f>
        <v/>
      </c>
      <c r="N717" s="38">
        <f>IF(A717="","",DATE(YEAR(A717),MONTH(A717),1))</f>
        <v/>
      </c>
    </row>
    <row r="718">
      <c r="A718" s="31" t="n"/>
      <c r="B718" s="32" t="n"/>
      <c r="C718" s="32" t="n"/>
      <c r="D718" s="33" t="n"/>
      <c r="E718" s="34" t="n"/>
      <c r="F718" s="35" t="n"/>
      <c r="G718" s="35" t="n"/>
      <c r="H718" s="32" t="n"/>
      <c r="I718" s="32" t="n"/>
      <c r="J718" s="32" t="n"/>
      <c r="K718" s="36">
        <f>IF(E718&lt;&gt;"",E718,IF(AND(F718&lt;&gt;"",G718&lt;&gt;""),MOD(G718-F718,1)*24,""))</f>
        <v/>
      </c>
      <c r="L718" s="37">
        <f>IF(A718="","",CHOOSE(WEEKDAY(A718,2),"Montag","Dienstag","Mittwoch","Donnerstag","Freitag","Samstag","Sonntag"))</f>
        <v/>
      </c>
      <c r="M718" s="37">
        <f>IF(A718="","",_xlfn.ISOWEEKNUM(A718))</f>
        <v/>
      </c>
      <c r="N718" s="38">
        <f>IF(A718="","",DATE(YEAR(A718),MONTH(A718),1))</f>
        <v/>
      </c>
    </row>
    <row r="719">
      <c r="A719" s="31" t="n"/>
      <c r="B719" s="32" t="n"/>
      <c r="C719" s="32" t="n"/>
      <c r="D719" s="33" t="n"/>
      <c r="E719" s="34" t="n"/>
      <c r="F719" s="35" t="n"/>
      <c r="G719" s="35" t="n"/>
      <c r="H719" s="32" t="n"/>
      <c r="I719" s="32" t="n"/>
      <c r="J719" s="32" t="n"/>
      <c r="K719" s="36">
        <f>IF(E719&lt;&gt;"",E719,IF(AND(F719&lt;&gt;"",G719&lt;&gt;""),MOD(G719-F719,1)*24,""))</f>
        <v/>
      </c>
      <c r="L719" s="37">
        <f>IF(A719="","",CHOOSE(WEEKDAY(A719,2),"Montag","Dienstag","Mittwoch","Donnerstag","Freitag","Samstag","Sonntag"))</f>
        <v/>
      </c>
      <c r="M719" s="37">
        <f>IF(A719="","",_xlfn.ISOWEEKNUM(A719))</f>
        <v/>
      </c>
      <c r="N719" s="38">
        <f>IF(A719="","",DATE(YEAR(A719),MONTH(A719),1))</f>
        <v/>
      </c>
    </row>
    <row r="720">
      <c r="A720" s="31" t="n"/>
      <c r="B720" s="32" t="n"/>
      <c r="C720" s="32" t="n"/>
      <c r="D720" s="33" t="n"/>
      <c r="E720" s="34" t="n"/>
      <c r="F720" s="35" t="n"/>
      <c r="G720" s="35" t="n"/>
      <c r="H720" s="32" t="n"/>
      <c r="I720" s="32" t="n"/>
      <c r="J720" s="32" t="n"/>
      <c r="K720" s="36">
        <f>IF(E720&lt;&gt;"",E720,IF(AND(F720&lt;&gt;"",G720&lt;&gt;""),MOD(G720-F720,1)*24,""))</f>
        <v/>
      </c>
      <c r="L720" s="37">
        <f>IF(A720="","",CHOOSE(WEEKDAY(A720,2),"Montag","Dienstag","Mittwoch","Donnerstag","Freitag","Samstag","Sonntag"))</f>
        <v/>
      </c>
      <c r="M720" s="37">
        <f>IF(A720="","",_xlfn.ISOWEEKNUM(A720))</f>
        <v/>
      </c>
      <c r="N720" s="38">
        <f>IF(A720="","",DATE(YEAR(A720),MONTH(A720),1))</f>
        <v/>
      </c>
    </row>
    <row r="721">
      <c r="A721" s="31" t="n"/>
      <c r="B721" s="32" t="n"/>
      <c r="C721" s="32" t="n"/>
      <c r="D721" s="33" t="n"/>
      <c r="E721" s="34" t="n"/>
      <c r="F721" s="35" t="n"/>
      <c r="G721" s="35" t="n"/>
      <c r="H721" s="32" t="n"/>
      <c r="I721" s="32" t="n"/>
      <c r="J721" s="32" t="n"/>
      <c r="K721" s="36">
        <f>IF(E721&lt;&gt;"",E721,IF(AND(F721&lt;&gt;"",G721&lt;&gt;""),MOD(G721-F721,1)*24,""))</f>
        <v/>
      </c>
      <c r="L721" s="37">
        <f>IF(A721="","",CHOOSE(WEEKDAY(A721,2),"Montag","Dienstag","Mittwoch","Donnerstag","Freitag","Samstag","Sonntag"))</f>
        <v/>
      </c>
      <c r="M721" s="37">
        <f>IF(A721="","",_xlfn.ISOWEEKNUM(A721))</f>
        <v/>
      </c>
      <c r="N721" s="38">
        <f>IF(A721="","",DATE(YEAR(A721),MONTH(A721),1))</f>
        <v/>
      </c>
    </row>
    <row r="722">
      <c r="A722" s="31" t="n"/>
      <c r="B722" s="32" t="n"/>
      <c r="C722" s="32" t="n"/>
      <c r="D722" s="33" t="n"/>
      <c r="E722" s="34" t="n"/>
      <c r="F722" s="35" t="n"/>
      <c r="G722" s="35" t="n"/>
      <c r="H722" s="32" t="n"/>
      <c r="I722" s="32" t="n"/>
      <c r="J722" s="32" t="n"/>
      <c r="K722" s="36">
        <f>IF(E722&lt;&gt;"",E722,IF(AND(F722&lt;&gt;"",G722&lt;&gt;""),MOD(G722-F722,1)*24,""))</f>
        <v/>
      </c>
      <c r="L722" s="37">
        <f>IF(A722="","",CHOOSE(WEEKDAY(A722,2),"Montag","Dienstag","Mittwoch","Donnerstag","Freitag","Samstag","Sonntag"))</f>
        <v/>
      </c>
      <c r="M722" s="37">
        <f>IF(A722="","",_xlfn.ISOWEEKNUM(A722))</f>
        <v/>
      </c>
      <c r="N722" s="38">
        <f>IF(A722="","",DATE(YEAR(A722),MONTH(A722),1))</f>
        <v/>
      </c>
    </row>
    <row r="723">
      <c r="A723" s="31" t="n"/>
      <c r="B723" s="32" t="n"/>
      <c r="C723" s="32" t="n"/>
      <c r="D723" s="33" t="n"/>
      <c r="E723" s="34" t="n"/>
      <c r="F723" s="35" t="n"/>
      <c r="G723" s="35" t="n"/>
      <c r="H723" s="32" t="n"/>
      <c r="I723" s="32" t="n"/>
      <c r="J723" s="32" t="n"/>
      <c r="K723" s="36">
        <f>IF(E723&lt;&gt;"",E723,IF(AND(F723&lt;&gt;"",G723&lt;&gt;""),MOD(G723-F723,1)*24,""))</f>
        <v/>
      </c>
      <c r="L723" s="37">
        <f>IF(A723="","",CHOOSE(WEEKDAY(A723,2),"Montag","Dienstag","Mittwoch","Donnerstag","Freitag","Samstag","Sonntag"))</f>
        <v/>
      </c>
      <c r="M723" s="37">
        <f>IF(A723="","",_xlfn.ISOWEEKNUM(A723))</f>
        <v/>
      </c>
      <c r="N723" s="38">
        <f>IF(A723="","",DATE(YEAR(A723),MONTH(A723),1))</f>
        <v/>
      </c>
    </row>
    <row r="724">
      <c r="A724" s="31" t="n"/>
      <c r="B724" s="32" t="n"/>
      <c r="C724" s="32" t="n"/>
      <c r="D724" s="33" t="n"/>
      <c r="E724" s="34" t="n"/>
      <c r="F724" s="35" t="n"/>
      <c r="G724" s="35" t="n"/>
      <c r="H724" s="32" t="n"/>
      <c r="I724" s="32" t="n"/>
      <c r="J724" s="32" t="n"/>
      <c r="K724" s="36">
        <f>IF(E724&lt;&gt;"",E724,IF(AND(F724&lt;&gt;"",G724&lt;&gt;""),MOD(G724-F724,1)*24,""))</f>
        <v/>
      </c>
      <c r="L724" s="37">
        <f>IF(A724="","",CHOOSE(WEEKDAY(A724,2),"Montag","Dienstag","Mittwoch","Donnerstag","Freitag","Samstag","Sonntag"))</f>
        <v/>
      </c>
      <c r="M724" s="37">
        <f>IF(A724="","",_xlfn.ISOWEEKNUM(A724))</f>
        <v/>
      </c>
      <c r="N724" s="38">
        <f>IF(A724="","",DATE(YEAR(A724),MONTH(A724),1))</f>
        <v/>
      </c>
    </row>
    <row r="725">
      <c r="A725" s="31" t="n"/>
      <c r="B725" s="32" t="n"/>
      <c r="C725" s="32" t="n"/>
      <c r="D725" s="33" t="n"/>
      <c r="E725" s="34" t="n"/>
      <c r="F725" s="35" t="n"/>
      <c r="G725" s="35" t="n"/>
      <c r="H725" s="32" t="n"/>
      <c r="I725" s="32" t="n"/>
      <c r="J725" s="32" t="n"/>
      <c r="K725" s="36">
        <f>IF(E725&lt;&gt;"",E725,IF(AND(F725&lt;&gt;"",G725&lt;&gt;""),MOD(G725-F725,1)*24,""))</f>
        <v/>
      </c>
      <c r="L725" s="37">
        <f>IF(A725="","",CHOOSE(WEEKDAY(A725,2),"Montag","Dienstag","Mittwoch","Donnerstag","Freitag","Samstag","Sonntag"))</f>
        <v/>
      </c>
      <c r="M725" s="37">
        <f>IF(A725="","",_xlfn.ISOWEEKNUM(A725))</f>
        <v/>
      </c>
      <c r="N725" s="38">
        <f>IF(A725="","",DATE(YEAR(A725),MONTH(A725),1))</f>
        <v/>
      </c>
    </row>
    <row r="726">
      <c r="A726" s="31" t="n"/>
      <c r="B726" s="32" t="n"/>
      <c r="C726" s="32" t="n"/>
      <c r="D726" s="33" t="n"/>
      <c r="E726" s="34" t="n"/>
      <c r="F726" s="35" t="n"/>
      <c r="G726" s="35" t="n"/>
      <c r="H726" s="32" t="n"/>
      <c r="I726" s="32" t="n"/>
      <c r="J726" s="32" t="n"/>
      <c r="K726" s="36">
        <f>IF(E726&lt;&gt;"",E726,IF(AND(F726&lt;&gt;"",G726&lt;&gt;""),MOD(G726-F726,1)*24,""))</f>
        <v/>
      </c>
      <c r="L726" s="37">
        <f>IF(A726="","",CHOOSE(WEEKDAY(A726,2),"Montag","Dienstag","Mittwoch","Donnerstag","Freitag","Samstag","Sonntag"))</f>
        <v/>
      </c>
      <c r="M726" s="37">
        <f>IF(A726="","",_xlfn.ISOWEEKNUM(A726))</f>
        <v/>
      </c>
      <c r="N726" s="38">
        <f>IF(A726="","",DATE(YEAR(A726),MONTH(A726),1))</f>
        <v/>
      </c>
    </row>
    <row r="727">
      <c r="A727" s="31" t="n"/>
      <c r="B727" s="32" t="n"/>
      <c r="C727" s="32" t="n"/>
      <c r="D727" s="33" t="n"/>
      <c r="E727" s="34" t="n"/>
      <c r="F727" s="35" t="n"/>
      <c r="G727" s="35" t="n"/>
      <c r="H727" s="32" t="n"/>
      <c r="I727" s="32" t="n"/>
      <c r="J727" s="32" t="n"/>
      <c r="K727" s="36">
        <f>IF(E727&lt;&gt;"",E727,IF(AND(F727&lt;&gt;"",G727&lt;&gt;""),MOD(G727-F727,1)*24,""))</f>
        <v/>
      </c>
      <c r="L727" s="37">
        <f>IF(A727="","",CHOOSE(WEEKDAY(A727,2),"Montag","Dienstag","Mittwoch","Donnerstag","Freitag","Samstag","Sonntag"))</f>
        <v/>
      </c>
      <c r="M727" s="37">
        <f>IF(A727="","",_xlfn.ISOWEEKNUM(A727))</f>
        <v/>
      </c>
      <c r="N727" s="38">
        <f>IF(A727="","",DATE(YEAR(A727),MONTH(A727),1))</f>
        <v/>
      </c>
    </row>
    <row r="728">
      <c r="A728" s="31" t="n"/>
      <c r="B728" s="32" t="n"/>
      <c r="C728" s="32" t="n"/>
      <c r="D728" s="33" t="n"/>
      <c r="E728" s="34" t="n"/>
      <c r="F728" s="35" t="n"/>
      <c r="G728" s="35" t="n"/>
      <c r="H728" s="32" t="n"/>
      <c r="I728" s="32" t="n"/>
      <c r="J728" s="32" t="n"/>
      <c r="K728" s="36">
        <f>IF(E728&lt;&gt;"",E728,IF(AND(F728&lt;&gt;"",G728&lt;&gt;""),MOD(G728-F728,1)*24,""))</f>
        <v/>
      </c>
      <c r="L728" s="37">
        <f>IF(A728="","",CHOOSE(WEEKDAY(A728,2),"Montag","Dienstag","Mittwoch","Donnerstag","Freitag","Samstag","Sonntag"))</f>
        <v/>
      </c>
      <c r="M728" s="37">
        <f>IF(A728="","",_xlfn.ISOWEEKNUM(A728))</f>
        <v/>
      </c>
      <c r="N728" s="38">
        <f>IF(A728="","",DATE(YEAR(A728),MONTH(A728),1))</f>
        <v/>
      </c>
    </row>
    <row r="729">
      <c r="A729" s="31" t="n"/>
      <c r="B729" s="32" t="n"/>
      <c r="C729" s="32" t="n"/>
      <c r="D729" s="33" t="n"/>
      <c r="E729" s="34" t="n"/>
      <c r="F729" s="35" t="n"/>
      <c r="G729" s="35" t="n"/>
      <c r="H729" s="32" t="n"/>
      <c r="I729" s="32" t="n"/>
      <c r="J729" s="32" t="n"/>
      <c r="K729" s="36">
        <f>IF(E729&lt;&gt;"",E729,IF(AND(F729&lt;&gt;"",G729&lt;&gt;""),MOD(G729-F729,1)*24,""))</f>
        <v/>
      </c>
      <c r="L729" s="37">
        <f>IF(A729="","",CHOOSE(WEEKDAY(A729,2),"Montag","Dienstag","Mittwoch","Donnerstag","Freitag","Samstag","Sonntag"))</f>
        <v/>
      </c>
      <c r="M729" s="37">
        <f>IF(A729="","",_xlfn.ISOWEEKNUM(A729))</f>
        <v/>
      </c>
      <c r="N729" s="38">
        <f>IF(A729="","",DATE(YEAR(A729),MONTH(A729),1))</f>
        <v/>
      </c>
    </row>
    <row r="730">
      <c r="A730" s="31" t="n"/>
      <c r="B730" s="32" t="n"/>
      <c r="C730" s="32" t="n"/>
      <c r="D730" s="33" t="n"/>
      <c r="E730" s="34" t="n"/>
      <c r="F730" s="35" t="n"/>
      <c r="G730" s="35" t="n"/>
      <c r="H730" s="32" t="n"/>
      <c r="I730" s="32" t="n"/>
      <c r="J730" s="32" t="n"/>
      <c r="K730" s="36">
        <f>IF(E730&lt;&gt;"",E730,IF(AND(F730&lt;&gt;"",G730&lt;&gt;""),MOD(G730-F730,1)*24,""))</f>
        <v/>
      </c>
      <c r="L730" s="37">
        <f>IF(A730="","",CHOOSE(WEEKDAY(A730,2),"Montag","Dienstag","Mittwoch","Donnerstag","Freitag","Samstag","Sonntag"))</f>
        <v/>
      </c>
      <c r="M730" s="37">
        <f>IF(A730="","",_xlfn.ISOWEEKNUM(A730))</f>
        <v/>
      </c>
      <c r="N730" s="38">
        <f>IF(A730="","",DATE(YEAR(A730),MONTH(A730),1))</f>
        <v/>
      </c>
    </row>
    <row r="731">
      <c r="A731" s="31" t="n"/>
      <c r="B731" s="32" t="n"/>
      <c r="C731" s="32" t="n"/>
      <c r="D731" s="33" t="n"/>
      <c r="E731" s="34" t="n"/>
      <c r="F731" s="35" t="n"/>
      <c r="G731" s="35" t="n"/>
      <c r="H731" s="32" t="n"/>
      <c r="I731" s="32" t="n"/>
      <c r="J731" s="32" t="n"/>
      <c r="K731" s="36">
        <f>IF(E731&lt;&gt;"",E731,IF(AND(F731&lt;&gt;"",G731&lt;&gt;""),MOD(G731-F731,1)*24,""))</f>
        <v/>
      </c>
      <c r="L731" s="37">
        <f>IF(A731="","",CHOOSE(WEEKDAY(A731,2),"Montag","Dienstag","Mittwoch","Donnerstag","Freitag","Samstag","Sonntag"))</f>
        <v/>
      </c>
      <c r="M731" s="37">
        <f>IF(A731="","",_xlfn.ISOWEEKNUM(A731))</f>
        <v/>
      </c>
      <c r="N731" s="38">
        <f>IF(A731="","",DATE(YEAR(A731),MONTH(A731),1))</f>
        <v/>
      </c>
    </row>
    <row r="732">
      <c r="A732" s="31" t="n"/>
      <c r="B732" s="32" t="n"/>
      <c r="C732" s="32" t="n"/>
      <c r="D732" s="33" t="n"/>
      <c r="E732" s="34" t="n"/>
      <c r="F732" s="35" t="n"/>
      <c r="G732" s="35" t="n"/>
      <c r="H732" s="32" t="n"/>
      <c r="I732" s="32" t="n"/>
      <c r="J732" s="32" t="n"/>
      <c r="K732" s="36">
        <f>IF(E732&lt;&gt;"",E732,IF(AND(F732&lt;&gt;"",G732&lt;&gt;""),MOD(G732-F732,1)*24,""))</f>
        <v/>
      </c>
      <c r="L732" s="37">
        <f>IF(A732="","",CHOOSE(WEEKDAY(A732,2),"Montag","Dienstag","Mittwoch","Donnerstag","Freitag","Samstag","Sonntag"))</f>
        <v/>
      </c>
      <c r="M732" s="37">
        <f>IF(A732="","",_xlfn.ISOWEEKNUM(A732))</f>
        <v/>
      </c>
      <c r="N732" s="38">
        <f>IF(A732="","",DATE(YEAR(A732),MONTH(A732),1))</f>
        <v/>
      </c>
    </row>
    <row r="733">
      <c r="A733" s="31" t="n"/>
      <c r="B733" s="32" t="n"/>
      <c r="C733" s="32" t="n"/>
      <c r="D733" s="33" t="n"/>
      <c r="E733" s="34" t="n"/>
      <c r="F733" s="35" t="n"/>
      <c r="G733" s="35" t="n"/>
      <c r="H733" s="32" t="n"/>
      <c r="I733" s="32" t="n"/>
      <c r="J733" s="32" t="n"/>
      <c r="K733" s="36">
        <f>IF(E733&lt;&gt;"",E733,IF(AND(F733&lt;&gt;"",G733&lt;&gt;""),MOD(G733-F733,1)*24,""))</f>
        <v/>
      </c>
      <c r="L733" s="37">
        <f>IF(A733="","",CHOOSE(WEEKDAY(A733,2),"Montag","Dienstag","Mittwoch","Donnerstag","Freitag","Samstag","Sonntag"))</f>
        <v/>
      </c>
      <c r="M733" s="37">
        <f>IF(A733="","",_xlfn.ISOWEEKNUM(A733))</f>
        <v/>
      </c>
      <c r="N733" s="38">
        <f>IF(A733="","",DATE(YEAR(A733),MONTH(A733),1))</f>
        <v/>
      </c>
    </row>
    <row r="734">
      <c r="A734" s="31" t="n"/>
      <c r="B734" s="32" t="n"/>
      <c r="C734" s="32" t="n"/>
      <c r="D734" s="33" t="n"/>
      <c r="E734" s="34" t="n"/>
      <c r="F734" s="35" t="n"/>
      <c r="G734" s="35" t="n"/>
      <c r="H734" s="32" t="n"/>
      <c r="I734" s="32" t="n"/>
      <c r="J734" s="32" t="n"/>
      <c r="K734" s="36">
        <f>IF(E734&lt;&gt;"",E734,IF(AND(F734&lt;&gt;"",G734&lt;&gt;""),MOD(G734-F734,1)*24,""))</f>
        <v/>
      </c>
      <c r="L734" s="37">
        <f>IF(A734="","",CHOOSE(WEEKDAY(A734,2),"Montag","Dienstag","Mittwoch","Donnerstag","Freitag","Samstag","Sonntag"))</f>
        <v/>
      </c>
      <c r="M734" s="37">
        <f>IF(A734="","",_xlfn.ISOWEEKNUM(A734))</f>
        <v/>
      </c>
      <c r="N734" s="38">
        <f>IF(A734="","",DATE(YEAR(A734),MONTH(A734),1))</f>
        <v/>
      </c>
    </row>
    <row r="735">
      <c r="A735" s="31" t="n"/>
      <c r="B735" s="32" t="n"/>
      <c r="C735" s="32" t="n"/>
      <c r="D735" s="33" t="n"/>
      <c r="E735" s="34" t="n"/>
      <c r="F735" s="35" t="n"/>
      <c r="G735" s="35" t="n"/>
      <c r="H735" s="32" t="n"/>
      <c r="I735" s="32" t="n"/>
      <c r="J735" s="32" t="n"/>
      <c r="K735" s="36">
        <f>IF(E735&lt;&gt;"",E735,IF(AND(F735&lt;&gt;"",G735&lt;&gt;""),MOD(G735-F735,1)*24,""))</f>
        <v/>
      </c>
      <c r="L735" s="37">
        <f>IF(A735="","",CHOOSE(WEEKDAY(A735,2),"Montag","Dienstag","Mittwoch","Donnerstag","Freitag","Samstag","Sonntag"))</f>
        <v/>
      </c>
      <c r="M735" s="37">
        <f>IF(A735="","",_xlfn.ISOWEEKNUM(A735))</f>
        <v/>
      </c>
      <c r="N735" s="38">
        <f>IF(A735="","",DATE(YEAR(A735),MONTH(A735),1))</f>
        <v/>
      </c>
    </row>
    <row r="736">
      <c r="A736" s="31" t="n"/>
      <c r="B736" s="32" t="n"/>
      <c r="C736" s="32" t="n"/>
      <c r="D736" s="33" t="n"/>
      <c r="E736" s="34" t="n"/>
      <c r="F736" s="35" t="n"/>
      <c r="G736" s="35" t="n"/>
      <c r="H736" s="32" t="n"/>
      <c r="I736" s="32" t="n"/>
      <c r="J736" s="32" t="n"/>
      <c r="K736" s="36">
        <f>IF(E736&lt;&gt;"",E736,IF(AND(F736&lt;&gt;"",G736&lt;&gt;""),MOD(G736-F736,1)*24,""))</f>
        <v/>
      </c>
      <c r="L736" s="37">
        <f>IF(A736="","",CHOOSE(WEEKDAY(A736,2),"Montag","Dienstag","Mittwoch","Donnerstag","Freitag","Samstag","Sonntag"))</f>
        <v/>
      </c>
      <c r="M736" s="37">
        <f>IF(A736="","",_xlfn.ISOWEEKNUM(A736))</f>
        <v/>
      </c>
      <c r="N736" s="38">
        <f>IF(A736="","",DATE(YEAR(A736),MONTH(A736),1))</f>
        <v/>
      </c>
    </row>
    <row r="737">
      <c r="A737" s="31" t="n"/>
      <c r="B737" s="32" t="n"/>
      <c r="C737" s="32" t="n"/>
      <c r="D737" s="33" t="n"/>
      <c r="E737" s="34" t="n"/>
      <c r="F737" s="35" t="n"/>
      <c r="G737" s="35" t="n"/>
      <c r="H737" s="32" t="n"/>
      <c r="I737" s="32" t="n"/>
      <c r="J737" s="32" t="n"/>
      <c r="K737" s="36">
        <f>IF(E737&lt;&gt;"",E737,IF(AND(F737&lt;&gt;"",G737&lt;&gt;""),MOD(G737-F737,1)*24,""))</f>
        <v/>
      </c>
      <c r="L737" s="37">
        <f>IF(A737="","",CHOOSE(WEEKDAY(A737,2),"Montag","Dienstag","Mittwoch","Donnerstag","Freitag","Samstag","Sonntag"))</f>
        <v/>
      </c>
      <c r="M737" s="37">
        <f>IF(A737="","",_xlfn.ISOWEEKNUM(A737))</f>
        <v/>
      </c>
      <c r="N737" s="38">
        <f>IF(A737="","",DATE(YEAR(A737),MONTH(A737),1))</f>
        <v/>
      </c>
    </row>
    <row r="738">
      <c r="A738" s="31" t="n"/>
      <c r="B738" s="32" t="n"/>
      <c r="C738" s="32" t="n"/>
      <c r="D738" s="33" t="n"/>
      <c r="E738" s="34" t="n"/>
      <c r="F738" s="35" t="n"/>
      <c r="G738" s="35" t="n"/>
      <c r="H738" s="32" t="n"/>
      <c r="I738" s="32" t="n"/>
      <c r="J738" s="32" t="n"/>
      <c r="K738" s="36">
        <f>IF(E738&lt;&gt;"",E738,IF(AND(F738&lt;&gt;"",G738&lt;&gt;""),MOD(G738-F738,1)*24,""))</f>
        <v/>
      </c>
      <c r="L738" s="37">
        <f>IF(A738="","",CHOOSE(WEEKDAY(A738,2),"Montag","Dienstag","Mittwoch","Donnerstag","Freitag","Samstag","Sonntag"))</f>
        <v/>
      </c>
      <c r="M738" s="37">
        <f>IF(A738="","",_xlfn.ISOWEEKNUM(A738))</f>
        <v/>
      </c>
      <c r="N738" s="38">
        <f>IF(A738="","",DATE(YEAR(A738),MONTH(A738),1))</f>
        <v/>
      </c>
    </row>
    <row r="739">
      <c r="A739" s="31" t="n"/>
      <c r="B739" s="32" t="n"/>
      <c r="C739" s="32" t="n"/>
      <c r="D739" s="33" t="n"/>
      <c r="E739" s="34" t="n"/>
      <c r="F739" s="35" t="n"/>
      <c r="G739" s="35" t="n"/>
      <c r="H739" s="32" t="n"/>
      <c r="I739" s="32" t="n"/>
      <c r="J739" s="32" t="n"/>
      <c r="K739" s="36">
        <f>IF(E739&lt;&gt;"",E739,IF(AND(F739&lt;&gt;"",G739&lt;&gt;""),MOD(G739-F739,1)*24,""))</f>
        <v/>
      </c>
      <c r="L739" s="37">
        <f>IF(A739="","",CHOOSE(WEEKDAY(A739,2),"Montag","Dienstag","Mittwoch","Donnerstag","Freitag","Samstag","Sonntag"))</f>
        <v/>
      </c>
      <c r="M739" s="37">
        <f>IF(A739="","",_xlfn.ISOWEEKNUM(A739))</f>
        <v/>
      </c>
      <c r="N739" s="38">
        <f>IF(A739="","",DATE(YEAR(A739),MONTH(A739),1))</f>
        <v/>
      </c>
    </row>
    <row r="740">
      <c r="A740" s="31" t="n"/>
      <c r="B740" s="32" t="n"/>
      <c r="C740" s="32" t="n"/>
      <c r="D740" s="33" t="n"/>
      <c r="E740" s="34" t="n"/>
      <c r="F740" s="35" t="n"/>
      <c r="G740" s="35" t="n"/>
      <c r="H740" s="32" t="n"/>
      <c r="I740" s="32" t="n"/>
      <c r="J740" s="32" t="n"/>
      <c r="K740" s="36">
        <f>IF(E740&lt;&gt;"",E740,IF(AND(F740&lt;&gt;"",G740&lt;&gt;""),MOD(G740-F740,1)*24,""))</f>
        <v/>
      </c>
      <c r="L740" s="37">
        <f>IF(A740="","",CHOOSE(WEEKDAY(A740,2),"Montag","Dienstag","Mittwoch","Donnerstag","Freitag","Samstag","Sonntag"))</f>
        <v/>
      </c>
      <c r="M740" s="37">
        <f>IF(A740="","",_xlfn.ISOWEEKNUM(A740))</f>
        <v/>
      </c>
      <c r="N740" s="38">
        <f>IF(A740="","",DATE(YEAR(A740),MONTH(A740),1))</f>
        <v/>
      </c>
    </row>
    <row r="741">
      <c r="A741" s="31" t="n"/>
      <c r="B741" s="32" t="n"/>
      <c r="C741" s="32" t="n"/>
      <c r="D741" s="33" t="n"/>
      <c r="E741" s="34" t="n"/>
      <c r="F741" s="35" t="n"/>
      <c r="G741" s="35" t="n"/>
      <c r="H741" s="32" t="n"/>
      <c r="I741" s="32" t="n"/>
      <c r="J741" s="32" t="n"/>
      <c r="K741" s="36">
        <f>IF(E741&lt;&gt;"",E741,IF(AND(F741&lt;&gt;"",G741&lt;&gt;""),MOD(G741-F741,1)*24,""))</f>
        <v/>
      </c>
      <c r="L741" s="37">
        <f>IF(A741="","",CHOOSE(WEEKDAY(A741,2),"Montag","Dienstag","Mittwoch","Donnerstag","Freitag","Samstag","Sonntag"))</f>
        <v/>
      </c>
      <c r="M741" s="37">
        <f>IF(A741="","",_xlfn.ISOWEEKNUM(A741))</f>
        <v/>
      </c>
      <c r="N741" s="38">
        <f>IF(A741="","",DATE(YEAR(A741),MONTH(A741),1))</f>
        <v/>
      </c>
    </row>
    <row r="742">
      <c r="A742" s="31" t="n"/>
      <c r="B742" s="32" t="n"/>
      <c r="C742" s="32" t="n"/>
      <c r="D742" s="33" t="n"/>
      <c r="E742" s="34" t="n"/>
      <c r="F742" s="35" t="n"/>
      <c r="G742" s="35" t="n"/>
      <c r="H742" s="32" t="n"/>
      <c r="I742" s="32" t="n"/>
      <c r="J742" s="32" t="n"/>
      <c r="K742" s="36">
        <f>IF(E742&lt;&gt;"",E742,IF(AND(F742&lt;&gt;"",G742&lt;&gt;""),MOD(G742-F742,1)*24,""))</f>
        <v/>
      </c>
      <c r="L742" s="37">
        <f>IF(A742="","",CHOOSE(WEEKDAY(A742,2),"Montag","Dienstag","Mittwoch","Donnerstag","Freitag","Samstag","Sonntag"))</f>
        <v/>
      </c>
      <c r="M742" s="37">
        <f>IF(A742="","",_xlfn.ISOWEEKNUM(A742))</f>
        <v/>
      </c>
      <c r="N742" s="38">
        <f>IF(A742="","",DATE(YEAR(A742),MONTH(A742),1))</f>
        <v/>
      </c>
    </row>
    <row r="743">
      <c r="A743" s="31" t="n"/>
      <c r="B743" s="32" t="n"/>
      <c r="C743" s="32" t="n"/>
      <c r="D743" s="33" t="n"/>
      <c r="E743" s="34" t="n"/>
      <c r="F743" s="35" t="n"/>
      <c r="G743" s="35" t="n"/>
      <c r="H743" s="32" t="n"/>
      <c r="I743" s="32" t="n"/>
      <c r="J743" s="32" t="n"/>
      <c r="K743" s="36">
        <f>IF(E743&lt;&gt;"",E743,IF(AND(F743&lt;&gt;"",G743&lt;&gt;""),MOD(G743-F743,1)*24,""))</f>
        <v/>
      </c>
      <c r="L743" s="37">
        <f>IF(A743="","",CHOOSE(WEEKDAY(A743,2),"Montag","Dienstag","Mittwoch","Donnerstag","Freitag","Samstag","Sonntag"))</f>
        <v/>
      </c>
      <c r="M743" s="37">
        <f>IF(A743="","",_xlfn.ISOWEEKNUM(A743))</f>
        <v/>
      </c>
      <c r="N743" s="38">
        <f>IF(A743="","",DATE(YEAR(A743),MONTH(A743),1))</f>
        <v/>
      </c>
    </row>
    <row r="744">
      <c r="A744" s="31" t="n"/>
      <c r="B744" s="32" t="n"/>
      <c r="C744" s="32" t="n"/>
      <c r="D744" s="33" t="n"/>
      <c r="E744" s="34" t="n"/>
      <c r="F744" s="35" t="n"/>
      <c r="G744" s="35" t="n"/>
      <c r="H744" s="32" t="n"/>
      <c r="I744" s="32" t="n"/>
      <c r="J744" s="32" t="n"/>
      <c r="K744" s="36">
        <f>IF(E744&lt;&gt;"",E744,IF(AND(F744&lt;&gt;"",G744&lt;&gt;""),MOD(G744-F744,1)*24,""))</f>
        <v/>
      </c>
      <c r="L744" s="37">
        <f>IF(A744="","",CHOOSE(WEEKDAY(A744,2),"Montag","Dienstag","Mittwoch","Donnerstag","Freitag","Samstag","Sonntag"))</f>
        <v/>
      </c>
      <c r="M744" s="37">
        <f>IF(A744="","",_xlfn.ISOWEEKNUM(A744))</f>
        <v/>
      </c>
      <c r="N744" s="38">
        <f>IF(A744="","",DATE(YEAR(A744),MONTH(A744),1))</f>
        <v/>
      </c>
    </row>
    <row r="745">
      <c r="A745" s="31" t="n"/>
      <c r="B745" s="32" t="n"/>
      <c r="C745" s="32" t="n"/>
      <c r="D745" s="33" t="n"/>
      <c r="E745" s="34" t="n"/>
      <c r="F745" s="35" t="n"/>
      <c r="G745" s="35" t="n"/>
      <c r="H745" s="32" t="n"/>
      <c r="I745" s="32" t="n"/>
      <c r="J745" s="32" t="n"/>
      <c r="K745" s="36">
        <f>IF(E745&lt;&gt;"",E745,IF(AND(F745&lt;&gt;"",G745&lt;&gt;""),MOD(G745-F745,1)*24,""))</f>
        <v/>
      </c>
      <c r="L745" s="37">
        <f>IF(A745="","",CHOOSE(WEEKDAY(A745,2),"Montag","Dienstag","Mittwoch","Donnerstag","Freitag","Samstag","Sonntag"))</f>
        <v/>
      </c>
      <c r="M745" s="37">
        <f>IF(A745="","",_xlfn.ISOWEEKNUM(A745))</f>
        <v/>
      </c>
      <c r="N745" s="38">
        <f>IF(A745="","",DATE(YEAR(A745),MONTH(A745),1))</f>
        <v/>
      </c>
    </row>
    <row r="746">
      <c r="A746" s="31" t="n"/>
      <c r="B746" s="32" t="n"/>
      <c r="C746" s="32" t="n"/>
      <c r="D746" s="33" t="n"/>
      <c r="E746" s="34" t="n"/>
      <c r="F746" s="35" t="n"/>
      <c r="G746" s="35" t="n"/>
      <c r="H746" s="32" t="n"/>
      <c r="I746" s="32" t="n"/>
      <c r="J746" s="32" t="n"/>
      <c r="K746" s="36">
        <f>IF(E746&lt;&gt;"",E746,IF(AND(F746&lt;&gt;"",G746&lt;&gt;""),MOD(G746-F746,1)*24,""))</f>
        <v/>
      </c>
      <c r="L746" s="37">
        <f>IF(A746="","",CHOOSE(WEEKDAY(A746,2),"Montag","Dienstag","Mittwoch","Donnerstag","Freitag","Samstag","Sonntag"))</f>
        <v/>
      </c>
      <c r="M746" s="37">
        <f>IF(A746="","",_xlfn.ISOWEEKNUM(A746))</f>
        <v/>
      </c>
      <c r="N746" s="38">
        <f>IF(A746="","",DATE(YEAR(A746),MONTH(A746),1))</f>
        <v/>
      </c>
    </row>
    <row r="747">
      <c r="A747" s="31" t="n"/>
      <c r="B747" s="32" t="n"/>
      <c r="C747" s="32" t="n"/>
      <c r="D747" s="33" t="n"/>
      <c r="E747" s="34" t="n"/>
      <c r="F747" s="35" t="n"/>
      <c r="G747" s="35" t="n"/>
      <c r="H747" s="32" t="n"/>
      <c r="I747" s="32" t="n"/>
      <c r="J747" s="32" t="n"/>
      <c r="K747" s="36">
        <f>IF(E747&lt;&gt;"",E747,IF(AND(F747&lt;&gt;"",G747&lt;&gt;""),MOD(G747-F747,1)*24,""))</f>
        <v/>
      </c>
      <c r="L747" s="37">
        <f>IF(A747="","",CHOOSE(WEEKDAY(A747,2),"Montag","Dienstag","Mittwoch","Donnerstag","Freitag","Samstag","Sonntag"))</f>
        <v/>
      </c>
      <c r="M747" s="37">
        <f>IF(A747="","",_xlfn.ISOWEEKNUM(A747))</f>
        <v/>
      </c>
      <c r="N747" s="38">
        <f>IF(A747="","",DATE(YEAR(A747),MONTH(A747),1))</f>
        <v/>
      </c>
    </row>
    <row r="748">
      <c r="A748" s="31" t="n"/>
      <c r="B748" s="32" t="n"/>
      <c r="C748" s="32" t="n"/>
      <c r="D748" s="33" t="n"/>
      <c r="E748" s="34" t="n"/>
      <c r="F748" s="35" t="n"/>
      <c r="G748" s="35" t="n"/>
      <c r="H748" s="32" t="n"/>
      <c r="I748" s="32" t="n"/>
      <c r="J748" s="32" t="n"/>
      <c r="K748" s="36">
        <f>IF(E748&lt;&gt;"",E748,IF(AND(F748&lt;&gt;"",G748&lt;&gt;""),MOD(G748-F748,1)*24,""))</f>
        <v/>
      </c>
      <c r="L748" s="37">
        <f>IF(A748="","",CHOOSE(WEEKDAY(A748,2),"Montag","Dienstag","Mittwoch","Donnerstag","Freitag","Samstag","Sonntag"))</f>
        <v/>
      </c>
      <c r="M748" s="37">
        <f>IF(A748="","",_xlfn.ISOWEEKNUM(A748))</f>
        <v/>
      </c>
      <c r="N748" s="38">
        <f>IF(A748="","",DATE(YEAR(A748),MONTH(A748),1))</f>
        <v/>
      </c>
    </row>
    <row r="749">
      <c r="A749" s="31" t="n"/>
      <c r="B749" s="32" t="n"/>
      <c r="C749" s="32" t="n"/>
      <c r="D749" s="33" t="n"/>
      <c r="E749" s="34" t="n"/>
      <c r="F749" s="35" t="n"/>
      <c r="G749" s="35" t="n"/>
      <c r="H749" s="32" t="n"/>
      <c r="I749" s="32" t="n"/>
      <c r="J749" s="32" t="n"/>
      <c r="K749" s="36">
        <f>IF(E749&lt;&gt;"",E749,IF(AND(F749&lt;&gt;"",G749&lt;&gt;""),MOD(G749-F749,1)*24,""))</f>
        <v/>
      </c>
      <c r="L749" s="37">
        <f>IF(A749="","",CHOOSE(WEEKDAY(A749,2),"Montag","Dienstag","Mittwoch","Donnerstag","Freitag","Samstag","Sonntag"))</f>
        <v/>
      </c>
      <c r="M749" s="37">
        <f>IF(A749="","",_xlfn.ISOWEEKNUM(A749))</f>
        <v/>
      </c>
      <c r="N749" s="38">
        <f>IF(A749="","",DATE(YEAR(A749),MONTH(A749),1))</f>
        <v/>
      </c>
    </row>
    <row r="750">
      <c r="A750" s="31" t="n"/>
      <c r="B750" s="32" t="n"/>
      <c r="C750" s="32" t="n"/>
      <c r="D750" s="33" t="n"/>
      <c r="E750" s="34" t="n"/>
      <c r="F750" s="35" t="n"/>
      <c r="G750" s="35" t="n"/>
      <c r="H750" s="32" t="n"/>
      <c r="I750" s="32" t="n"/>
      <c r="J750" s="32" t="n"/>
      <c r="K750" s="36">
        <f>IF(E750&lt;&gt;"",E750,IF(AND(F750&lt;&gt;"",G750&lt;&gt;""),MOD(G750-F750,1)*24,""))</f>
        <v/>
      </c>
      <c r="L750" s="37">
        <f>IF(A750="","",CHOOSE(WEEKDAY(A750,2),"Montag","Dienstag","Mittwoch","Donnerstag","Freitag","Samstag","Sonntag"))</f>
        <v/>
      </c>
      <c r="M750" s="37">
        <f>IF(A750="","",_xlfn.ISOWEEKNUM(A750))</f>
        <v/>
      </c>
      <c r="N750" s="38">
        <f>IF(A750="","",DATE(YEAR(A750),MONTH(A750),1))</f>
        <v/>
      </c>
    </row>
    <row r="751">
      <c r="A751" s="31" t="n"/>
      <c r="B751" s="32" t="n"/>
      <c r="C751" s="32" t="n"/>
      <c r="D751" s="33" t="n"/>
      <c r="E751" s="34" t="n"/>
      <c r="F751" s="35" t="n"/>
      <c r="G751" s="35" t="n"/>
      <c r="H751" s="32" t="n"/>
      <c r="I751" s="32" t="n"/>
      <c r="J751" s="32" t="n"/>
      <c r="K751" s="36">
        <f>IF(E751&lt;&gt;"",E751,IF(AND(F751&lt;&gt;"",G751&lt;&gt;""),MOD(G751-F751,1)*24,""))</f>
        <v/>
      </c>
      <c r="L751" s="37">
        <f>IF(A751="","",CHOOSE(WEEKDAY(A751,2),"Montag","Dienstag","Mittwoch","Donnerstag","Freitag","Samstag","Sonntag"))</f>
        <v/>
      </c>
      <c r="M751" s="37">
        <f>IF(A751="","",_xlfn.ISOWEEKNUM(A751))</f>
        <v/>
      </c>
      <c r="N751" s="38">
        <f>IF(A751="","",DATE(YEAR(A751),MONTH(A751),1))</f>
        <v/>
      </c>
    </row>
    <row r="752">
      <c r="A752" s="31" t="n"/>
      <c r="B752" s="32" t="n"/>
      <c r="C752" s="32" t="n"/>
      <c r="D752" s="33" t="n"/>
      <c r="E752" s="34" t="n"/>
      <c r="F752" s="35" t="n"/>
      <c r="G752" s="35" t="n"/>
      <c r="H752" s="32" t="n"/>
      <c r="I752" s="32" t="n"/>
      <c r="J752" s="32" t="n"/>
      <c r="K752" s="36">
        <f>IF(E752&lt;&gt;"",E752,IF(AND(F752&lt;&gt;"",G752&lt;&gt;""),MOD(G752-F752,1)*24,""))</f>
        <v/>
      </c>
      <c r="L752" s="37">
        <f>IF(A752="","",CHOOSE(WEEKDAY(A752,2),"Montag","Dienstag","Mittwoch","Donnerstag","Freitag","Samstag","Sonntag"))</f>
        <v/>
      </c>
      <c r="M752" s="37">
        <f>IF(A752="","",_xlfn.ISOWEEKNUM(A752))</f>
        <v/>
      </c>
      <c r="N752" s="38">
        <f>IF(A752="","",DATE(YEAR(A752),MONTH(A752),1))</f>
        <v/>
      </c>
    </row>
    <row r="753">
      <c r="A753" s="31" t="n"/>
      <c r="B753" s="32" t="n"/>
      <c r="C753" s="32" t="n"/>
      <c r="D753" s="33" t="n"/>
      <c r="E753" s="34" t="n"/>
      <c r="F753" s="35" t="n"/>
      <c r="G753" s="35" t="n"/>
      <c r="H753" s="32" t="n"/>
      <c r="I753" s="32" t="n"/>
      <c r="J753" s="32" t="n"/>
      <c r="K753" s="36">
        <f>IF(E753&lt;&gt;"",E753,IF(AND(F753&lt;&gt;"",G753&lt;&gt;""),MOD(G753-F753,1)*24,""))</f>
        <v/>
      </c>
      <c r="L753" s="37">
        <f>IF(A753="","",CHOOSE(WEEKDAY(A753,2),"Montag","Dienstag","Mittwoch","Donnerstag","Freitag","Samstag","Sonntag"))</f>
        <v/>
      </c>
      <c r="M753" s="37">
        <f>IF(A753="","",_xlfn.ISOWEEKNUM(A753))</f>
        <v/>
      </c>
      <c r="N753" s="38">
        <f>IF(A753="","",DATE(YEAR(A753),MONTH(A753),1))</f>
        <v/>
      </c>
    </row>
    <row r="754">
      <c r="A754" s="31" t="n"/>
      <c r="B754" s="32" t="n"/>
      <c r="C754" s="32" t="n"/>
      <c r="D754" s="33" t="n"/>
      <c r="E754" s="34" t="n"/>
      <c r="F754" s="35" t="n"/>
      <c r="G754" s="35" t="n"/>
      <c r="H754" s="32" t="n"/>
      <c r="I754" s="32" t="n"/>
      <c r="J754" s="32" t="n"/>
      <c r="K754" s="36">
        <f>IF(E754&lt;&gt;"",E754,IF(AND(F754&lt;&gt;"",G754&lt;&gt;""),MOD(G754-F754,1)*24,""))</f>
        <v/>
      </c>
      <c r="L754" s="37">
        <f>IF(A754="","",CHOOSE(WEEKDAY(A754,2),"Montag","Dienstag","Mittwoch","Donnerstag","Freitag","Samstag","Sonntag"))</f>
        <v/>
      </c>
      <c r="M754" s="37">
        <f>IF(A754="","",_xlfn.ISOWEEKNUM(A754))</f>
        <v/>
      </c>
      <c r="N754" s="38">
        <f>IF(A754="","",DATE(YEAR(A754),MONTH(A754),1))</f>
        <v/>
      </c>
    </row>
    <row r="755">
      <c r="A755" s="31" t="n"/>
      <c r="B755" s="32" t="n"/>
      <c r="C755" s="32" t="n"/>
      <c r="D755" s="33" t="n"/>
      <c r="E755" s="34" t="n"/>
      <c r="F755" s="35" t="n"/>
      <c r="G755" s="35" t="n"/>
      <c r="H755" s="32" t="n"/>
      <c r="I755" s="32" t="n"/>
      <c r="J755" s="32" t="n"/>
      <c r="K755" s="36">
        <f>IF(E755&lt;&gt;"",E755,IF(AND(F755&lt;&gt;"",G755&lt;&gt;""),MOD(G755-F755,1)*24,""))</f>
        <v/>
      </c>
      <c r="L755" s="37">
        <f>IF(A755="","",CHOOSE(WEEKDAY(A755,2),"Montag","Dienstag","Mittwoch","Donnerstag","Freitag","Samstag","Sonntag"))</f>
        <v/>
      </c>
      <c r="M755" s="37">
        <f>IF(A755="","",_xlfn.ISOWEEKNUM(A755))</f>
        <v/>
      </c>
      <c r="N755" s="38">
        <f>IF(A755="","",DATE(YEAR(A755),MONTH(A755),1))</f>
        <v/>
      </c>
    </row>
    <row r="756">
      <c r="A756" s="31" t="n"/>
      <c r="B756" s="32" t="n"/>
      <c r="C756" s="32" t="n"/>
      <c r="D756" s="33" t="n"/>
      <c r="E756" s="34" t="n"/>
      <c r="F756" s="35" t="n"/>
      <c r="G756" s="35" t="n"/>
      <c r="H756" s="32" t="n"/>
      <c r="I756" s="32" t="n"/>
      <c r="J756" s="32" t="n"/>
      <c r="K756" s="36">
        <f>IF(E756&lt;&gt;"",E756,IF(AND(F756&lt;&gt;"",G756&lt;&gt;""),MOD(G756-F756,1)*24,""))</f>
        <v/>
      </c>
      <c r="L756" s="37">
        <f>IF(A756="","",CHOOSE(WEEKDAY(A756,2),"Montag","Dienstag","Mittwoch","Donnerstag","Freitag","Samstag","Sonntag"))</f>
        <v/>
      </c>
      <c r="M756" s="37">
        <f>IF(A756="","",_xlfn.ISOWEEKNUM(A756))</f>
        <v/>
      </c>
      <c r="N756" s="38">
        <f>IF(A756="","",DATE(YEAR(A756),MONTH(A756),1))</f>
        <v/>
      </c>
    </row>
    <row r="757">
      <c r="A757" s="31" t="n"/>
      <c r="B757" s="32" t="n"/>
      <c r="C757" s="32" t="n"/>
      <c r="D757" s="33" t="n"/>
      <c r="E757" s="34" t="n"/>
      <c r="F757" s="35" t="n"/>
      <c r="G757" s="35" t="n"/>
      <c r="H757" s="32" t="n"/>
      <c r="I757" s="32" t="n"/>
      <c r="J757" s="32" t="n"/>
      <c r="K757" s="36">
        <f>IF(E757&lt;&gt;"",E757,IF(AND(F757&lt;&gt;"",G757&lt;&gt;""),MOD(G757-F757,1)*24,""))</f>
        <v/>
      </c>
      <c r="L757" s="37">
        <f>IF(A757="","",CHOOSE(WEEKDAY(A757,2),"Montag","Dienstag","Mittwoch","Donnerstag","Freitag","Samstag","Sonntag"))</f>
        <v/>
      </c>
      <c r="M757" s="37">
        <f>IF(A757="","",_xlfn.ISOWEEKNUM(A757))</f>
        <v/>
      </c>
      <c r="N757" s="38">
        <f>IF(A757="","",DATE(YEAR(A757),MONTH(A757),1))</f>
        <v/>
      </c>
    </row>
    <row r="758">
      <c r="A758" s="31" t="n"/>
      <c r="B758" s="32" t="n"/>
      <c r="C758" s="32" t="n"/>
      <c r="D758" s="33" t="n"/>
      <c r="E758" s="34" t="n"/>
      <c r="F758" s="35" t="n"/>
      <c r="G758" s="35" t="n"/>
      <c r="H758" s="32" t="n"/>
      <c r="I758" s="32" t="n"/>
      <c r="J758" s="32" t="n"/>
      <c r="K758" s="36">
        <f>IF(E758&lt;&gt;"",E758,IF(AND(F758&lt;&gt;"",G758&lt;&gt;""),MOD(G758-F758,1)*24,""))</f>
        <v/>
      </c>
      <c r="L758" s="37">
        <f>IF(A758="","",CHOOSE(WEEKDAY(A758,2),"Montag","Dienstag","Mittwoch","Donnerstag","Freitag","Samstag","Sonntag"))</f>
        <v/>
      </c>
      <c r="M758" s="37">
        <f>IF(A758="","",_xlfn.ISOWEEKNUM(A758))</f>
        <v/>
      </c>
      <c r="N758" s="38">
        <f>IF(A758="","",DATE(YEAR(A758),MONTH(A758),1))</f>
        <v/>
      </c>
    </row>
    <row r="759">
      <c r="A759" s="31" t="n"/>
      <c r="B759" s="32" t="n"/>
      <c r="C759" s="32" t="n"/>
      <c r="D759" s="33" t="n"/>
      <c r="E759" s="34" t="n"/>
      <c r="F759" s="35" t="n"/>
      <c r="G759" s="35" t="n"/>
      <c r="H759" s="32" t="n"/>
      <c r="I759" s="32" t="n"/>
      <c r="J759" s="32" t="n"/>
      <c r="K759" s="36">
        <f>IF(E759&lt;&gt;"",E759,IF(AND(F759&lt;&gt;"",G759&lt;&gt;""),MOD(G759-F759,1)*24,""))</f>
        <v/>
      </c>
      <c r="L759" s="37">
        <f>IF(A759="","",CHOOSE(WEEKDAY(A759,2),"Montag","Dienstag","Mittwoch","Donnerstag","Freitag","Samstag","Sonntag"))</f>
        <v/>
      </c>
      <c r="M759" s="37">
        <f>IF(A759="","",_xlfn.ISOWEEKNUM(A759))</f>
        <v/>
      </c>
      <c r="N759" s="38">
        <f>IF(A759="","",DATE(YEAR(A759),MONTH(A759),1))</f>
        <v/>
      </c>
    </row>
    <row r="760">
      <c r="A760" s="31" t="n"/>
      <c r="B760" s="32" t="n"/>
      <c r="C760" s="32" t="n"/>
      <c r="D760" s="33" t="n"/>
      <c r="E760" s="34" t="n"/>
      <c r="F760" s="35" t="n"/>
      <c r="G760" s="35" t="n"/>
      <c r="H760" s="32" t="n"/>
      <c r="I760" s="32" t="n"/>
      <c r="J760" s="32" t="n"/>
      <c r="K760" s="36">
        <f>IF(E760&lt;&gt;"",E760,IF(AND(F760&lt;&gt;"",G760&lt;&gt;""),MOD(G760-F760,1)*24,""))</f>
        <v/>
      </c>
      <c r="L760" s="37">
        <f>IF(A760="","",CHOOSE(WEEKDAY(A760,2),"Montag","Dienstag","Mittwoch","Donnerstag","Freitag","Samstag","Sonntag"))</f>
        <v/>
      </c>
      <c r="M760" s="37">
        <f>IF(A760="","",_xlfn.ISOWEEKNUM(A760))</f>
        <v/>
      </c>
      <c r="N760" s="38">
        <f>IF(A760="","",DATE(YEAR(A760),MONTH(A760),1))</f>
        <v/>
      </c>
    </row>
    <row r="761">
      <c r="A761" s="31" t="n"/>
      <c r="B761" s="32" t="n"/>
      <c r="C761" s="32" t="n"/>
      <c r="D761" s="33" t="n"/>
      <c r="E761" s="34" t="n"/>
      <c r="F761" s="35" t="n"/>
      <c r="G761" s="35" t="n"/>
      <c r="H761" s="32" t="n"/>
      <c r="I761" s="32" t="n"/>
      <c r="J761" s="32" t="n"/>
      <c r="K761" s="36">
        <f>IF(E761&lt;&gt;"",E761,IF(AND(F761&lt;&gt;"",G761&lt;&gt;""),MOD(G761-F761,1)*24,""))</f>
        <v/>
      </c>
      <c r="L761" s="37">
        <f>IF(A761="","",CHOOSE(WEEKDAY(A761,2),"Montag","Dienstag","Mittwoch","Donnerstag","Freitag","Samstag","Sonntag"))</f>
        <v/>
      </c>
      <c r="M761" s="37">
        <f>IF(A761="","",_xlfn.ISOWEEKNUM(A761))</f>
        <v/>
      </c>
      <c r="N761" s="38">
        <f>IF(A761="","",DATE(YEAR(A761),MONTH(A761),1))</f>
        <v/>
      </c>
    </row>
    <row r="762">
      <c r="A762" s="31" t="n"/>
      <c r="B762" s="32" t="n"/>
      <c r="C762" s="32" t="n"/>
      <c r="D762" s="33" t="n"/>
      <c r="E762" s="34" t="n"/>
      <c r="F762" s="35" t="n"/>
      <c r="G762" s="35" t="n"/>
      <c r="H762" s="32" t="n"/>
      <c r="I762" s="32" t="n"/>
      <c r="J762" s="32" t="n"/>
      <c r="K762" s="36">
        <f>IF(E762&lt;&gt;"",E762,IF(AND(F762&lt;&gt;"",G762&lt;&gt;""),MOD(G762-F762,1)*24,""))</f>
        <v/>
      </c>
      <c r="L762" s="37">
        <f>IF(A762="","",CHOOSE(WEEKDAY(A762,2),"Montag","Dienstag","Mittwoch","Donnerstag","Freitag","Samstag","Sonntag"))</f>
        <v/>
      </c>
      <c r="M762" s="37">
        <f>IF(A762="","",_xlfn.ISOWEEKNUM(A762))</f>
        <v/>
      </c>
      <c r="N762" s="38">
        <f>IF(A762="","",DATE(YEAR(A762),MONTH(A762),1))</f>
        <v/>
      </c>
    </row>
    <row r="763">
      <c r="A763" s="31" t="n"/>
      <c r="B763" s="32" t="n"/>
      <c r="C763" s="32" t="n"/>
      <c r="D763" s="33" t="n"/>
      <c r="E763" s="34" t="n"/>
      <c r="F763" s="35" t="n"/>
      <c r="G763" s="35" t="n"/>
      <c r="H763" s="32" t="n"/>
      <c r="I763" s="32" t="n"/>
      <c r="J763" s="32" t="n"/>
      <c r="K763" s="36">
        <f>IF(E763&lt;&gt;"",E763,IF(AND(F763&lt;&gt;"",G763&lt;&gt;""),MOD(G763-F763,1)*24,""))</f>
        <v/>
      </c>
      <c r="L763" s="37">
        <f>IF(A763="","",CHOOSE(WEEKDAY(A763,2),"Montag","Dienstag","Mittwoch","Donnerstag","Freitag","Samstag","Sonntag"))</f>
        <v/>
      </c>
      <c r="M763" s="37">
        <f>IF(A763="","",_xlfn.ISOWEEKNUM(A763))</f>
        <v/>
      </c>
      <c r="N763" s="38">
        <f>IF(A763="","",DATE(YEAR(A763),MONTH(A763),1))</f>
        <v/>
      </c>
    </row>
    <row r="764">
      <c r="A764" s="31" t="n"/>
      <c r="B764" s="32" t="n"/>
      <c r="C764" s="32" t="n"/>
      <c r="D764" s="33" t="n"/>
      <c r="E764" s="34" t="n"/>
      <c r="F764" s="35" t="n"/>
      <c r="G764" s="35" t="n"/>
      <c r="H764" s="32" t="n"/>
      <c r="I764" s="32" t="n"/>
      <c r="J764" s="32" t="n"/>
      <c r="K764" s="36">
        <f>IF(E764&lt;&gt;"",E764,IF(AND(F764&lt;&gt;"",G764&lt;&gt;""),MOD(G764-F764,1)*24,""))</f>
        <v/>
      </c>
      <c r="L764" s="37">
        <f>IF(A764="","",CHOOSE(WEEKDAY(A764,2),"Montag","Dienstag","Mittwoch","Donnerstag","Freitag","Samstag","Sonntag"))</f>
        <v/>
      </c>
      <c r="M764" s="37">
        <f>IF(A764="","",_xlfn.ISOWEEKNUM(A764))</f>
        <v/>
      </c>
      <c r="N764" s="38">
        <f>IF(A764="","",DATE(YEAR(A764),MONTH(A764),1))</f>
        <v/>
      </c>
    </row>
    <row r="765">
      <c r="A765" s="31" t="n"/>
      <c r="B765" s="32" t="n"/>
      <c r="C765" s="32" t="n"/>
      <c r="D765" s="33" t="n"/>
      <c r="E765" s="34" t="n"/>
      <c r="F765" s="35" t="n"/>
      <c r="G765" s="35" t="n"/>
      <c r="H765" s="32" t="n"/>
      <c r="I765" s="32" t="n"/>
      <c r="J765" s="32" t="n"/>
      <c r="K765" s="36">
        <f>IF(E765&lt;&gt;"",E765,IF(AND(F765&lt;&gt;"",G765&lt;&gt;""),MOD(G765-F765,1)*24,""))</f>
        <v/>
      </c>
      <c r="L765" s="37">
        <f>IF(A765="","",CHOOSE(WEEKDAY(A765,2),"Montag","Dienstag","Mittwoch","Donnerstag","Freitag","Samstag","Sonntag"))</f>
        <v/>
      </c>
      <c r="M765" s="37">
        <f>IF(A765="","",_xlfn.ISOWEEKNUM(A765))</f>
        <v/>
      </c>
      <c r="N765" s="38">
        <f>IF(A765="","",DATE(YEAR(A765),MONTH(A765),1))</f>
        <v/>
      </c>
    </row>
    <row r="766">
      <c r="A766" s="31" t="n"/>
      <c r="B766" s="32" t="n"/>
      <c r="C766" s="32" t="n"/>
      <c r="D766" s="33" t="n"/>
      <c r="E766" s="34" t="n"/>
      <c r="F766" s="35" t="n"/>
      <c r="G766" s="35" t="n"/>
      <c r="H766" s="32" t="n"/>
      <c r="I766" s="32" t="n"/>
      <c r="J766" s="32" t="n"/>
      <c r="K766" s="36">
        <f>IF(E766&lt;&gt;"",E766,IF(AND(F766&lt;&gt;"",G766&lt;&gt;""),MOD(G766-F766,1)*24,""))</f>
        <v/>
      </c>
      <c r="L766" s="37">
        <f>IF(A766="","",CHOOSE(WEEKDAY(A766,2),"Montag","Dienstag","Mittwoch","Donnerstag","Freitag","Samstag","Sonntag"))</f>
        <v/>
      </c>
      <c r="M766" s="37">
        <f>IF(A766="","",_xlfn.ISOWEEKNUM(A766))</f>
        <v/>
      </c>
      <c r="N766" s="38">
        <f>IF(A766="","",DATE(YEAR(A766),MONTH(A766),1))</f>
        <v/>
      </c>
    </row>
    <row r="767">
      <c r="A767" s="31" t="n"/>
      <c r="B767" s="32" t="n"/>
      <c r="C767" s="32" t="n"/>
      <c r="D767" s="33" t="n"/>
      <c r="E767" s="34" t="n"/>
      <c r="F767" s="35" t="n"/>
      <c r="G767" s="35" t="n"/>
      <c r="H767" s="32" t="n"/>
      <c r="I767" s="32" t="n"/>
      <c r="J767" s="32" t="n"/>
      <c r="K767" s="36">
        <f>IF(E767&lt;&gt;"",E767,IF(AND(F767&lt;&gt;"",G767&lt;&gt;""),MOD(G767-F767,1)*24,""))</f>
        <v/>
      </c>
      <c r="L767" s="37">
        <f>IF(A767="","",CHOOSE(WEEKDAY(A767,2),"Montag","Dienstag","Mittwoch","Donnerstag","Freitag","Samstag","Sonntag"))</f>
        <v/>
      </c>
      <c r="M767" s="37">
        <f>IF(A767="","",_xlfn.ISOWEEKNUM(A767))</f>
        <v/>
      </c>
      <c r="N767" s="38">
        <f>IF(A767="","",DATE(YEAR(A767),MONTH(A767),1))</f>
        <v/>
      </c>
    </row>
    <row r="768">
      <c r="A768" s="31" t="n"/>
      <c r="B768" s="32" t="n"/>
      <c r="C768" s="32" t="n"/>
      <c r="D768" s="33" t="n"/>
      <c r="E768" s="34" t="n"/>
      <c r="F768" s="35" t="n"/>
      <c r="G768" s="35" t="n"/>
      <c r="H768" s="32" t="n"/>
      <c r="I768" s="32" t="n"/>
      <c r="J768" s="32" t="n"/>
      <c r="K768" s="36">
        <f>IF(E768&lt;&gt;"",E768,IF(AND(F768&lt;&gt;"",G768&lt;&gt;""),MOD(G768-F768,1)*24,""))</f>
        <v/>
      </c>
      <c r="L768" s="37">
        <f>IF(A768="","",CHOOSE(WEEKDAY(A768,2),"Montag","Dienstag","Mittwoch","Donnerstag","Freitag","Samstag","Sonntag"))</f>
        <v/>
      </c>
      <c r="M768" s="37">
        <f>IF(A768="","",_xlfn.ISOWEEKNUM(A768))</f>
        <v/>
      </c>
      <c r="N768" s="38">
        <f>IF(A768="","",DATE(YEAR(A768),MONTH(A768),1))</f>
        <v/>
      </c>
    </row>
    <row r="769">
      <c r="A769" s="31" t="n"/>
      <c r="B769" s="32" t="n"/>
      <c r="C769" s="32" t="n"/>
      <c r="D769" s="33" t="n"/>
      <c r="E769" s="34" t="n"/>
      <c r="F769" s="35" t="n"/>
      <c r="G769" s="35" t="n"/>
      <c r="H769" s="32" t="n"/>
      <c r="I769" s="32" t="n"/>
      <c r="J769" s="32" t="n"/>
      <c r="K769" s="36">
        <f>IF(E769&lt;&gt;"",E769,IF(AND(F769&lt;&gt;"",G769&lt;&gt;""),MOD(G769-F769,1)*24,""))</f>
        <v/>
      </c>
      <c r="L769" s="37">
        <f>IF(A769="","",CHOOSE(WEEKDAY(A769,2),"Montag","Dienstag","Mittwoch","Donnerstag","Freitag","Samstag","Sonntag"))</f>
        <v/>
      </c>
      <c r="M769" s="37">
        <f>IF(A769="","",_xlfn.ISOWEEKNUM(A769))</f>
        <v/>
      </c>
      <c r="N769" s="38">
        <f>IF(A769="","",DATE(YEAR(A769),MONTH(A769),1))</f>
        <v/>
      </c>
    </row>
    <row r="770">
      <c r="A770" s="31" t="n"/>
      <c r="B770" s="32" t="n"/>
      <c r="C770" s="32" t="n"/>
      <c r="D770" s="33" t="n"/>
      <c r="E770" s="34" t="n"/>
      <c r="F770" s="35" t="n"/>
      <c r="G770" s="35" t="n"/>
      <c r="H770" s="32" t="n"/>
      <c r="I770" s="32" t="n"/>
      <c r="J770" s="32" t="n"/>
      <c r="K770" s="36">
        <f>IF(E770&lt;&gt;"",E770,IF(AND(F770&lt;&gt;"",G770&lt;&gt;""),MOD(G770-F770,1)*24,""))</f>
        <v/>
      </c>
      <c r="L770" s="37">
        <f>IF(A770="","",CHOOSE(WEEKDAY(A770,2),"Montag","Dienstag","Mittwoch","Donnerstag","Freitag","Samstag","Sonntag"))</f>
        <v/>
      </c>
      <c r="M770" s="37">
        <f>IF(A770="","",_xlfn.ISOWEEKNUM(A770))</f>
        <v/>
      </c>
      <c r="N770" s="38">
        <f>IF(A770="","",DATE(YEAR(A770),MONTH(A770),1))</f>
        <v/>
      </c>
    </row>
    <row r="771">
      <c r="A771" s="31" t="n"/>
      <c r="B771" s="32" t="n"/>
      <c r="C771" s="32" t="n"/>
      <c r="D771" s="33" t="n"/>
      <c r="E771" s="34" t="n"/>
      <c r="F771" s="35" t="n"/>
      <c r="G771" s="35" t="n"/>
      <c r="H771" s="32" t="n"/>
      <c r="I771" s="32" t="n"/>
      <c r="J771" s="32" t="n"/>
      <c r="K771" s="36">
        <f>IF(E771&lt;&gt;"",E771,IF(AND(F771&lt;&gt;"",G771&lt;&gt;""),MOD(G771-F771,1)*24,""))</f>
        <v/>
      </c>
      <c r="L771" s="37">
        <f>IF(A771="","",CHOOSE(WEEKDAY(A771,2),"Montag","Dienstag","Mittwoch","Donnerstag","Freitag","Samstag","Sonntag"))</f>
        <v/>
      </c>
      <c r="M771" s="37">
        <f>IF(A771="","",_xlfn.ISOWEEKNUM(A771))</f>
        <v/>
      </c>
      <c r="N771" s="38">
        <f>IF(A771="","",DATE(YEAR(A771),MONTH(A771),1))</f>
        <v/>
      </c>
    </row>
    <row r="772">
      <c r="A772" s="31" t="n"/>
      <c r="B772" s="32" t="n"/>
      <c r="C772" s="32" t="n"/>
      <c r="D772" s="33" t="n"/>
      <c r="E772" s="34" t="n"/>
      <c r="F772" s="35" t="n"/>
      <c r="G772" s="35" t="n"/>
      <c r="H772" s="32" t="n"/>
      <c r="I772" s="32" t="n"/>
      <c r="J772" s="32" t="n"/>
      <c r="K772" s="36">
        <f>IF(E772&lt;&gt;"",E772,IF(AND(F772&lt;&gt;"",G772&lt;&gt;""),MOD(G772-F772,1)*24,""))</f>
        <v/>
      </c>
      <c r="L772" s="37">
        <f>IF(A772="","",CHOOSE(WEEKDAY(A772,2),"Montag","Dienstag","Mittwoch","Donnerstag","Freitag","Samstag","Sonntag"))</f>
        <v/>
      </c>
      <c r="M772" s="37">
        <f>IF(A772="","",_xlfn.ISOWEEKNUM(A772))</f>
        <v/>
      </c>
      <c r="N772" s="38">
        <f>IF(A772="","",DATE(YEAR(A772),MONTH(A772),1))</f>
        <v/>
      </c>
    </row>
    <row r="773">
      <c r="A773" s="31" t="n"/>
      <c r="B773" s="32" t="n"/>
      <c r="C773" s="32" t="n"/>
      <c r="D773" s="33" t="n"/>
      <c r="E773" s="34" t="n"/>
      <c r="F773" s="35" t="n"/>
      <c r="G773" s="35" t="n"/>
      <c r="H773" s="32" t="n"/>
      <c r="I773" s="32" t="n"/>
      <c r="J773" s="32" t="n"/>
      <c r="K773" s="36">
        <f>IF(E773&lt;&gt;"",E773,IF(AND(F773&lt;&gt;"",G773&lt;&gt;""),MOD(G773-F773,1)*24,""))</f>
        <v/>
      </c>
      <c r="L773" s="37">
        <f>IF(A773="","",CHOOSE(WEEKDAY(A773,2),"Montag","Dienstag","Mittwoch","Donnerstag","Freitag","Samstag","Sonntag"))</f>
        <v/>
      </c>
      <c r="M773" s="37">
        <f>IF(A773="","",_xlfn.ISOWEEKNUM(A773))</f>
        <v/>
      </c>
      <c r="N773" s="38">
        <f>IF(A773="","",DATE(YEAR(A773),MONTH(A773),1))</f>
        <v/>
      </c>
    </row>
    <row r="774">
      <c r="A774" s="31" t="n"/>
      <c r="B774" s="32" t="n"/>
      <c r="C774" s="32" t="n"/>
      <c r="D774" s="33" t="n"/>
      <c r="E774" s="34" t="n"/>
      <c r="F774" s="35" t="n"/>
      <c r="G774" s="35" t="n"/>
      <c r="H774" s="32" t="n"/>
      <c r="I774" s="32" t="n"/>
      <c r="J774" s="32" t="n"/>
      <c r="K774" s="36">
        <f>IF(E774&lt;&gt;"",E774,IF(AND(F774&lt;&gt;"",G774&lt;&gt;""),MOD(G774-F774,1)*24,""))</f>
        <v/>
      </c>
      <c r="L774" s="37">
        <f>IF(A774="","",CHOOSE(WEEKDAY(A774,2),"Montag","Dienstag","Mittwoch","Donnerstag","Freitag","Samstag","Sonntag"))</f>
        <v/>
      </c>
      <c r="M774" s="37">
        <f>IF(A774="","",_xlfn.ISOWEEKNUM(A774))</f>
        <v/>
      </c>
      <c r="N774" s="38">
        <f>IF(A774="","",DATE(YEAR(A774),MONTH(A774),1))</f>
        <v/>
      </c>
    </row>
    <row r="775">
      <c r="A775" s="31" t="n"/>
      <c r="B775" s="32" t="n"/>
      <c r="C775" s="32" t="n"/>
      <c r="D775" s="33" t="n"/>
      <c r="E775" s="34" t="n"/>
      <c r="F775" s="35" t="n"/>
      <c r="G775" s="35" t="n"/>
      <c r="H775" s="32" t="n"/>
      <c r="I775" s="32" t="n"/>
      <c r="J775" s="32" t="n"/>
      <c r="K775" s="36">
        <f>IF(E775&lt;&gt;"",E775,IF(AND(F775&lt;&gt;"",G775&lt;&gt;""),MOD(G775-F775,1)*24,""))</f>
        <v/>
      </c>
      <c r="L775" s="37">
        <f>IF(A775="","",CHOOSE(WEEKDAY(A775,2),"Montag","Dienstag","Mittwoch","Donnerstag","Freitag","Samstag","Sonntag"))</f>
        <v/>
      </c>
      <c r="M775" s="37">
        <f>IF(A775="","",_xlfn.ISOWEEKNUM(A775))</f>
        <v/>
      </c>
      <c r="N775" s="38">
        <f>IF(A775="","",DATE(YEAR(A775),MONTH(A775),1))</f>
        <v/>
      </c>
    </row>
    <row r="776">
      <c r="A776" s="31" t="n"/>
      <c r="B776" s="32" t="n"/>
      <c r="C776" s="32" t="n"/>
      <c r="D776" s="33" t="n"/>
      <c r="E776" s="34" t="n"/>
      <c r="F776" s="35" t="n"/>
      <c r="G776" s="35" t="n"/>
      <c r="H776" s="32" t="n"/>
      <c r="I776" s="32" t="n"/>
      <c r="J776" s="32" t="n"/>
      <c r="K776" s="36">
        <f>IF(E776&lt;&gt;"",E776,IF(AND(F776&lt;&gt;"",G776&lt;&gt;""),MOD(G776-F776,1)*24,""))</f>
        <v/>
      </c>
      <c r="L776" s="37">
        <f>IF(A776="","",CHOOSE(WEEKDAY(A776,2),"Montag","Dienstag","Mittwoch","Donnerstag","Freitag","Samstag","Sonntag"))</f>
        <v/>
      </c>
      <c r="M776" s="37">
        <f>IF(A776="","",_xlfn.ISOWEEKNUM(A776))</f>
        <v/>
      </c>
      <c r="N776" s="38">
        <f>IF(A776="","",DATE(YEAR(A776),MONTH(A776),1))</f>
        <v/>
      </c>
    </row>
    <row r="777">
      <c r="A777" s="31" t="n"/>
      <c r="B777" s="32" t="n"/>
      <c r="C777" s="32" t="n"/>
      <c r="D777" s="33" t="n"/>
      <c r="E777" s="34" t="n"/>
      <c r="F777" s="35" t="n"/>
      <c r="G777" s="35" t="n"/>
      <c r="H777" s="32" t="n"/>
      <c r="I777" s="32" t="n"/>
      <c r="J777" s="32" t="n"/>
      <c r="K777" s="36">
        <f>IF(E777&lt;&gt;"",E777,IF(AND(F777&lt;&gt;"",G777&lt;&gt;""),MOD(G777-F777,1)*24,""))</f>
        <v/>
      </c>
      <c r="L777" s="37">
        <f>IF(A777="","",CHOOSE(WEEKDAY(A777,2),"Montag","Dienstag","Mittwoch","Donnerstag","Freitag","Samstag","Sonntag"))</f>
        <v/>
      </c>
      <c r="M777" s="37">
        <f>IF(A777="","",_xlfn.ISOWEEKNUM(A777))</f>
        <v/>
      </c>
      <c r="N777" s="38">
        <f>IF(A777="","",DATE(YEAR(A777),MONTH(A777),1))</f>
        <v/>
      </c>
    </row>
    <row r="778">
      <c r="A778" s="31" t="n"/>
      <c r="B778" s="32" t="n"/>
      <c r="C778" s="32" t="n"/>
      <c r="D778" s="33" t="n"/>
      <c r="E778" s="34" t="n"/>
      <c r="F778" s="35" t="n"/>
      <c r="G778" s="35" t="n"/>
      <c r="H778" s="32" t="n"/>
      <c r="I778" s="32" t="n"/>
      <c r="J778" s="32" t="n"/>
      <c r="K778" s="36">
        <f>IF(E778&lt;&gt;"",E778,IF(AND(F778&lt;&gt;"",G778&lt;&gt;""),MOD(G778-F778,1)*24,""))</f>
        <v/>
      </c>
      <c r="L778" s="37">
        <f>IF(A778="","",CHOOSE(WEEKDAY(A778,2),"Montag","Dienstag","Mittwoch","Donnerstag","Freitag","Samstag","Sonntag"))</f>
        <v/>
      </c>
      <c r="M778" s="37">
        <f>IF(A778="","",_xlfn.ISOWEEKNUM(A778))</f>
        <v/>
      </c>
      <c r="N778" s="38">
        <f>IF(A778="","",DATE(YEAR(A778),MONTH(A778),1))</f>
        <v/>
      </c>
    </row>
    <row r="779">
      <c r="A779" s="31" t="n"/>
      <c r="B779" s="32" t="n"/>
      <c r="C779" s="32" t="n"/>
      <c r="D779" s="33" t="n"/>
      <c r="E779" s="34" t="n"/>
      <c r="F779" s="35" t="n"/>
      <c r="G779" s="35" t="n"/>
      <c r="H779" s="32" t="n"/>
      <c r="I779" s="32" t="n"/>
      <c r="J779" s="32" t="n"/>
      <c r="K779" s="36">
        <f>IF(E779&lt;&gt;"",E779,IF(AND(F779&lt;&gt;"",G779&lt;&gt;""),MOD(G779-F779,1)*24,""))</f>
        <v/>
      </c>
      <c r="L779" s="37">
        <f>IF(A779="","",CHOOSE(WEEKDAY(A779,2),"Montag","Dienstag","Mittwoch","Donnerstag","Freitag","Samstag","Sonntag"))</f>
        <v/>
      </c>
      <c r="M779" s="37">
        <f>IF(A779="","",_xlfn.ISOWEEKNUM(A779))</f>
        <v/>
      </c>
      <c r="N779" s="38">
        <f>IF(A779="","",DATE(YEAR(A779),MONTH(A779),1))</f>
        <v/>
      </c>
    </row>
    <row r="780">
      <c r="A780" s="31" t="n"/>
      <c r="B780" s="32" t="n"/>
      <c r="C780" s="32" t="n"/>
      <c r="D780" s="33" t="n"/>
      <c r="E780" s="34" t="n"/>
      <c r="F780" s="35" t="n"/>
      <c r="G780" s="35" t="n"/>
      <c r="H780" s="32" t="n"/>
      <c r="I780" s="32" t="n"/>
      <c r="J780" s="32" t="n"/>
      <c r="K780" s="36">
        <f>IF(E780&lt;&gt;"",E780,IF(AND(F780&lt;&gt;"",G780&lt;&gt;""),MOD(G780-F780,1)*24,""))</f>
        <v/>
      </c>
      <c r="L780" s="37">
        <f>IF(A780="","",CHOOSE(WEEKDAY(A780,2),"Montag","Dienstag","Mittwoch","Donnerstag","Freitag","Samstag","Sonntag"))</f>
        <v/>
      </c>
      <c r="M780" s="37">
        <f>IF(A780="","",_xlfn.ISOWEEKNUM(A780))</f>
        <v/>
      </c>
      <c r="N780" s="38">
        <f>IF(A780="","",DATE(YEAR(A780),MONTH(A780),1))</f>
        <v/>
      </c>
    </row>
    <row r="781">
      <c r="A781" s="31" t="n"/>
      <c r="B781" s="32" t="n"/>
      <c r="C781" s="32" t="n"/>
      <c r="D781" s="33" t="n"/>
      <c r="E781" s="34" t="n"/>
      <c r="F781" s="35" t="n"/>
      <c r="G781" s="35" t="n"/>
      <c r="H781" s="32" t="n"/>
      <c r="I781" s="32" t="n"/>
      <c r="J781" s="32" t="n"/>
      <c r="K781" s="36">
        <f>IF(E781&lt;&gt;"",E781,IF(AND(F781&lt;&gt;"",G781&lt;&gt;""),MOD(G781-F781,1)*24,""))</f>
        <v/>
      </c>
      <c r="L781" s="37">
        <f>IF(A781="","",CHOOSE(WEEKDAY(A781,2),"Montag","Dienstag","Mittwoch","Donnerstag","Freitag","Samstag","Sonntag"))</f>
        <v/>
      </c>
      <c r="M781" s="37">
        <f>IF(A781="","",_xlfn.ISOWEEKNUM(A781))</f>
        <v/>
      </c>
      <c r="N781" s="38">
        <f>IF(A781="","",DATE(YEAR(A781),MONTH(A781),1))</f>
        <v/>
      </c>
    </row>
    <row r="782">
      <c r="A782" s="31" t="n"/>
      <c r="B782" s="32" t="n"/>
      <c r="C782" s="32" t="n"/>
      <c r="D782" s="33" t="n"/>
      <c r="E782" s="34" t="n"/>
      <c r="F782" s="35" t="n"/>
      <c r="G782" s="35" t="n"/>
      <c r="H782" s="32" t="n"/>
      <c r="I782" s="32" t="n"/>
      <c r="J782" s="32" t="n"/>
      <c r="K782" s="36">
        <f>IF(E782&lt;&gt;"",E782,IF(AND(F782&lt;&gt;"",G782&lt;&gt;""),MOD(G782-F782,1)*24,""))</f>
        <v/>
      </c>
      <c r="L782" s="37">
        <f>IF(A782="","",CHOOSE(WEEKDAY(A782,2),"Montag","Dienstag","Mittwoch","Donnerstag","Freitag","Samstag","Sonntag"))</f>
        <v/>
      </c>
      <c r="M782" s="37">
        <f>IF(A782="","",_xlfn.ISOWEEKNUM(A782))</f>
        <v/>
      </c>
      <c r="N782" s="38">
        <f>IF(A782="","",DATE(YEAR(A782),MONTH(A782),1))</f>
        <v/>
      </c>
    </row>
    <row r="783">
      <c r="A783" s="31" t="n"/>
      <c r="B783" s="32" t="n"/>
      <c r="C783" s="32" t="n"/>
      <c r="D783" s="33" t="n"/>
      <c r="E783" s="34" t="n"/>
      <c r="F783" s="35" t="n"/>
      <c r="G783" s="35" t="n"/>
      <c r="H783" s="32" t="n"/>
      <c r="I783" s="32" t="n"/>
      <c r="J783" s="32" t="n"/>
      <c r="K783" s="36">
        <f>IF(E783&lt;&gt;"",E783,IF(AND(F783&lt;&gt;"",G783&lt;&gt;""),MOD(G783-F783,1)*24,""))</f>
        <v/>
      </c>
      <c r="L783" s="37">
        <f>IF(A783="","",CHOOSE(WEEKDAY(A783,2),"Montag","Dienstag","Mittwoch","Donnerstag","Freitag","Samstag","Sonntag"))</f>
        <v/>
      </c>
      <c r="M783" s="37">
        <f>IF(A783="","",_xlfn.ISOWEEKNUM(A783))</f>
        <v/>
      </c>
      <c r="N783" s="38">
        <f>IF(A783="","",DATE(YEAR(A783),MONTH(A783),1))</f>
        <v/>
      </c>
    </row>
    <row r="784">
      <c r="A784" s="31" t="n"/>
      <c r="B784" s="32" t="n"/>
      <c r="C784" s="32" t="n"/>
      <c r="D784" s="33" t="n"/>
      <c r="E784" s="34" t="n"/>
      <c r="F784" s="35" t="n"/>
      <c r="G784" s="35" t="n"/>
      <c r="H784" s="32" t="n"/>
      <c r="I784" s="32" t="n"/>
      <c r="J784" s="32" t="n"/>
      <c r="K784" s="36">
        <f>IF(E784&lt;&gt;"",E784,IF(AND(F784&lt;&gt;"",G784&lt;&gt;""),MOD(G784-F784,1)*24,""))</f>
        <v/>
      </c>
      <c r="L784" s="37">
        <f>IF(A784="","",CHOOSE(WEEKDAY(A784,2),"Montag","Dienstag","Mittwoch","Donnerstag","Freitag","Samstag","Sonntag"))</f>
        <v/>
      </c>
      <c r="M784" s="37">
        <f>IF(A784="","",_xlfn.ISOWEEKNUM(A784))</f>
        <v/>
      </c>
      <c r="N784" s="38">
        <f>IF(A784="","",DATE(YEAR(A784),MONTH(A784),1))</f>
        <v/>
      </c>
    </row>
    <row r="785">
      <c r="A785" s="31" t="n"/>
      <c r="B785" s="32" t="n"/>
      <c r="C785" s="32" t="n"/>
      <c r="D785" s="33" t="n"/>
      <c r="E785" s="34" t="n"/>
      <c r="F785" s="35" t="n"/>
      <c r="G785" s="35" t="n"/>
      <c r="H785" s="32" t="n"/>
      <c r="I785" s="32" t="n"/>
      <c r="J785" s="32" t="n"/>
      <c r="K785" s="36">
        <f>IF(E785&lt;&gt;"",E785,IF(AND(F785&lt;&gt;"",G785&lt;&gt;""),MOD(G785-F785,1)*24,""))</f>
        <v/>
      </c>
      <c r="L785" s="37">
        <f>IF(A785="","",CHOOSE(WEEKDAY(A785,2),"Montag","Dienstag","Mittwoch","Donnerstag","Freitag","Samstag","Sonntag"))</f>
        <v/>
      </c>
      <c r="M785" s="37">
        <f>IF(A785="","",_xlfn.ISOWEEKNUM(A785))</f>
        <v/>
      </c>
      <c r="N785" s="38">
        <f>IF(A785="","",DATE(YEAR(A785),MONTH(A785),1))</f>
        <v/>
      </c>
    </row>
    <row r="786">
      <c r="A786" s="31" t="n"/>
      <c r="B786" s="32" t="n"/>
      <c r="C786" s="32" t="n"/>
      <c r="D786" s="33" t="n"/>
      <c r="E786" s="34" t="n"/>
      <c r="F786" s="35" t="n"/>
      <c r="G786" s="35" t="n"/>
      <c r="H786" s="32" t="n"/>
      <c r="I786" s="32" t="n"/>
      <c r="J786" s="32" t="n"/>
      <c r="K786" s="36">
        <f>IF(E786&lt;&gt;"",E786,IF(AND(F786&lt;&gt;"",G786&lt;&gt;""),MOD(G786-F786,1)*24,""))</f>
        <v/>
      </c>
      <c r="L786" s="37">
        <f>IF(A786="","",CHOOSE(WEEKDAY(A786,2),"Montag","Dienstag","Mittwoch","Donnerstag","Freitag","Samstag","Sonntag"))</f>
        <v/>
      </c>
      <c r="M786" s="37">
        <f>IF(A786="","",_xlfn.ISOWEEKNUM(A786))</f>
        <v/>
      </c>
      <c r="N786" s="38">
        <f>IF(A786="","",DATE(YEAR(A786),MONTH(A786),1))</f>
        <v/>
      </c>
    </row>
    <row r="787">
      <c r="A787" s="31" t="n"/>
      <c r="B787" s="32" t="n"/>
      <c r="C787" s="32" t="n"/>
      <c r="D787" s="33" t="n"/>
      <c r="E787" s="34" t="n"/>
      <c r="F787" s="35" t="n"/>
      <c r="G787" s="35" t="n"/>
      <c r="H787" s="32" t="n"/>
      <c r="I787" s="32" t="n"/>
      <c r="J787" s="32" t="n"/>
      <c r="K787" s="36">
        <f>IF(E787&lt;&gt;"",E787,IF(AND(F787&lt;&gt;"",G787&lt;&gt;""),MOD(G787-F787,1)*24,""))</f>
        <v/>
      </c>
      <c r="L787" s="37">
        <f>IF(A787="","",CHOOSE(WEEKDAY(A787,2),"Montag","Dienstag","Mittwoch","Donnerstag","Freitag","Samstag","Sonntag"))</f>
        <v/>
      </c>
      <c r="M787" s="37">
        <f>IF(A787="","",_xlfn.ISOWEEKNUM(A787))</f>
        <v/>
      </c>
      <c r="N787" s="38">
        <f>IF(A787="","",DATE(YEAR(A787),MONTH(A787),1))</f>
        <v/>
      </c>
    </row>
    <row r="788">
      <c r="A788" s="31" t="n"/>
      <c r="B788" s="32" t="n"/>
      <c r="C788" s="32" t="n"/>
      <c r="D788" s="33" t="n"/>
      <c r="E788" s="34" t="n"/>
      <c r="F788" s="35" t="n"/>
      <c r="G788" s="35" t="n"/>
      <c r="H788" s="32" t="n"/>
      <c r="I788" s="32" t="n"/>
      <c r="J788" s="32" t="n"/>
      <c r="K788" s="36">
        <f>IF(E788&lt;&gt;"",E788,IF(AND(F788&lt;&gt;"",G788&lt;&gt;""),MOD(G788-F788,1)*24,""))</f>
        <v/>
      </c>
      <c r="L788" s="37">
        <f>IF(A788="","",CHOOSE(WEEKDAY(A788,2),"Montag","Dienstag","Mittwoch","Donnerstag","Freitag","Samstag","Sonntag"))</f>
        <v/>
      </c>
      <c r="M788" s="37">
        <f>IF(A788="","",_xlfn.ISOWEEKNUM(A788))</f>
        <v/>
      </c>
      <c r="N788" s="38">
        <f>IF(A788="","",DATE(YEAR(A788),MONTH(A788),1))</f>
        <v/>
      </c>
    </row>
    <row r="789">
      <c r="A789" s="31" t="n"/>
      <c r="B789" s="32" t="n"/>
      <c r="C789" s="32" t="n"/>
      <c r="D789" s="33" t="n"/>
      <c r="E789" s="34" t="n"/>
      <c r="F789" s="35" t="n"/>
      <c r="G789" s="35" t="n"/>
      <c r="H789" s="32" t="n"/>
      <c r="I789" s="32" t="n"/>
      <c r="J789" s="32" t="n"/>
      <c r="K789" s="36">
        <f>IF(E789&lt;&gt;"",E789,IF(AND(F789&lt;&gt;"",G789&lt;&gt;""),MOD(G789-F789,1)*24,""))</f>
        <v/>
      </c>
      <c r="L789" s="37">
        <f>IF(A789="","",CHOOSE(WEEKDAY(A789,2),"Montag","Dienstag","Mittwoch","Donnerstag","Freitag","Samstag","Sonntag"))</f>
        <v/>
      </c>
      <c r="M789" s="37">
        <f>IF(A789="","",_xlfn.ISOWEEKNUM(A789))</f>
        <v/>
      </c>
      <c r="N789" s="38">
        <f>IF(A789="","",DATE(YEAR(A789),MONTH(A789),1))</f>
        <v/>
      </c>
    </row>
    <row r="790">
      <c r="A790" s="31" t="n"/>
      <c r="B790" s="32" t="n"/>
      <c r="C790" s="32" t="n"/>
      <c r="D790" s="33" t="n"/>
      <c r="E790" s="34" t="n"/>
      <c r="F790" s="35" t="n"/>
      <c r="G790" s="35" t="n"/>
      <c r="H790" s="32" t="n"/>
      <c r="I790" s="32" t="n"/>
      <c r="J790" s="32" t="n"/>
      <c r="K790" s="36">
        <f>IF(E790&lt;&gt;"",E790,IF(AND(F790&lt;&gt;"",G790&lt;&gt;""),MOD(G790-F790,1)*24,""))</f>
        <v/>
      </c>
      <c r="L790" s="37">
        <f>IF(A790="","",CHOOSE(WEEKDAY(A790,2),"Montag","Dienstag","Mittwoch","Donnerstag","Freitag","Samstag","Sonntag"))</f>
        <v/>
      </c>
      <c r="M790" s="37">
        <f>IF(A790="","",_xlfn.ISOWEEKNUM(A790))</f>
        <v/>
      </c>
      <c r="N790" s="38">
        <f>IF(A790="","",DATE(YEAR(A790),MONTH(A790),1))</f>
        <v/>
      </c>
    </row>
    <row r="791">
      <c r="A791" s="31" t="n"/>
      <c r="B791" s="32" t="n"/>
      <c r="C791" s="32" t="n"/>
      <c r="D791" s="33" t="n"/>
      <c r="E791" s="34" t="n"/>
      <c r="F791" s="35" t="n"/>
      <c r="G791" s="35" t="n"/>
      <c r="H791" s="32" t="n"/>
      <c r="I791" s="32" t="n"/>
      <c r="J791" s="32" t="n"/>
      <c r="K791" s="36">
        <f>IF(E791&lt;&gt;"",E791,IF(AND(F791&lt;&gt;"",G791&lt;&gt;""),MOD(G791-F791,1)*24,""))</f>
        <v/>
      </c>
      <c r="L791" s="37">
        <f>IF(A791="","",CHOOSE(WEEKDAY(A791,2),"Montag","Dienstag","Mittwoch","Donnerstag","Freitag","Samstag","Sonntag"))</f>
        <v/>
      </c>
      <c r="M791" s="37">
        <f>IF(A791="","",_xlfn.ISOWEEKNUM(A791))</f>
        <v/>
      </c>
      <c r="N791" s="38">
        <f>IF(A791="","",DATE(YEAR(A791),MONTH(A791),1))</f>
        <v/>
      </c>
    </row>
    <row r="792">
      <c r="A792" s="31" t="n"/>
      <c r="B792" s="32" t="n"/>
      <c r="C792" s="32" t="n"/>
      <c r="D792" s="33" t="n"/>
      <c r="E792" s="34" t="n"/>
      <c r="F792" s="35" t="n"/>
      <c r="G792" s="35" t="n"/>
      <c r="H792" s="32" t="n"/>
      <c r="I792" s="32" t="n"/>
      <c r="J792" s="32" t="n"/>
      <c r="K792" s="36">
        <f>IF(E792&lt;&gt;"",E792,IF(AND(F792&lt;&gt;"",G792&lt;&gt;""),MOD(G792-F792,1)*24,""))</f>
        <v/>
      </c>
      <c r="L792" s="37">
        <f>IF(A792="","",CHOOSE(WEEKDAY(A792,2),"Montag","Dienstag","Mittwoch","Donnerstag","Freitag","Samstag","Sonntag"))</f>
        <v/>
      </c>
      <c r="M792" s="37">
        <f>IF(A792="","",_xlfn.ISOWEEKNUM(A792))</f>
        <v/>
      </c>
      <c r="N792" s="38">
        <f>IF(A792="","",DATE(YEAR(A792),MONTH(A792),1))</f>
        <v/>
      </c>
    </row>
    <row r="793">
      <c r="A793" s="31" t="n"/>
      <c r="B793" s="32" t="n"/>
      <c r="C793" s="32" t="n"/>
      <c r="D793" s="33" t="n"/>
      <c r="E793" s="34" t="n"/>
      <c r="F793" s="35" t="n"/>
      <c r="G793" s="35" t="n"/>
      <c r="H793" s="32" t="n"/>
      <c r="I793" s="32" t="n"/>
      <c r="J793" s="32" t="n"/>
      <c r="K793" s="36">
        <f>IF(E793&lt;&gt;"",E793,IF(AND(F793&lt;&gt;"",G793&lt;&gt;""),MOD(G793-F793,1)*24,""))</f>
        <v/>
      </c>
      <c r="L793" s="37">
        <f>IF(A793="","",CHOOSE(WEEKDAY(A793,2),"Montag","Dienstag","Mittwoch","Donnerstag","Freitag","Samstag","Sonntag"))</f>
        <v/>
      </c>
      <c r="M793" s="37">
        <f>IF(A793="","",_xlfn.ISOWEEKNUM(A793))</f>
        <v/>
      </c>
      <c r="N793" s="38">
        <f>IF(A793="","",DATE(YEAR(A793),MONTH(A793),1))</f>
        <v/>
      </c>
    </row>
    <row r="794">
      <c r="A794" s="31" t="n"/>
      <c r="B794" s="32" t="n"/>
      <c r="C794" s="32" t="n"/>
      <c r="D794" s="33" t="n"/>
      <c r="E794" s="34" t="n"/>
      <c r="F794" s="35" t="n"/>
      <c r="G794" s="35" t="n"/>
      <c r="H794" s="32" t="n"/>
      <c r="I794" s="32" t="n"/>
      <c r="J794" s="32" t="n"/>
      <c r="K794" s="36">
        <f>IF(E794&lt;&gt;"",E794,IF(AND(F794&lt;&gt;"",G794&lt;&gt;""),MOD(G794-F794,1)*24,""))</f>
        <v/>
      </c>
      <c r="L794" s="37">
        <f>IF(A794="","",CHOOSE(WEEKDAY(A794,2),"Montag","Dienstag","Mittwoch","Donnerstag","Freitag","Samstag","Sonntag"))</f>
        <v/>
      </c>
      <c r="M794" s="37">
        <f>IF(A794="","",_xlfn.ISOWEEKNUM(A794))</f>
        <v/>
      </c>
      <c r="N794" s="38">
        <f>IF(A794="","",DATE(YEAR(A794),MONTH(A794),1))</f>
        <v/>
      </c>
    </row>
    <row r="795">
      <c r="A795" s="31" t="n"/>
      <c r="B795" s="32" t="n"/>
      <c r="C795" s="32" t="n"/>
      <c r="D795" s="33" t="n"/>
      <c r="E795" s="34" t="n"/>
      <c r="F795" s="35" t="n"/>
      <c r="G795" s="35" t="n"/>
      <c r="H795" s="32" t="n"/>
      <c r="I795" s="32" t="n"/>
      <c r="J795" s="32" t="n"/>
      <c r="K795" s="36">
        <f>IF(E795&lt;&gt;"",E795,IF(AND(F795&lt;&gt;"",G795&lt;&gt;""),MOD(G795-F795,1)*24,""))</f>
        <v/>
      </c>
      <c r="L795" s="37">
        <f>IF(A795="","",CHOOSE(WEEKDAY(A795,2),"Montag","Dienstag","Mittwoch","Donnerstag","Freitag","Samstag","Sonntag"))</f>
        <v/>
      </c>
      <c r="M795" s="37">
        <f>IF(A795="","",_xlfn.ISOWEEKNUM(A795))</f>
        <v/>
      </c>
      <c r="N795" s="38">
        <f>IF(A795="","",DATE(YEAR(A795),MONTH(A795),1))</f>
        <v/>
      </c>
    </row>
    <row r="796">
      <c r="A796" s="31" t="n"/>
      <c r="B796" s="32" t="n"/>
      <c r="C796" s="32" t="n"/>
      <c r="D796" s="33" t="n"/>
      <c r="E796" s="34" t="n"/>
      <c r="F796" s="35" t="n"/>
      <c r="G796" s="35" t="n"/>
      <c r="H796" s="32" t="n"/>
      <c r="I796" s="32" t="n"/>
      <c r="J796" s="32" t="n"/>
      <c r="K796" s="36">
        <f>IF(E796&lt;&gt;"",E796,IF(AND(F796&lt;&gt;"",G796&lt;&gt;""),MOD(G796-F796,1)*24,""))</f>
        <v/>
      </c>
      <c r="L796" s="37">
        <f>IF(A796="","",CHOOSE(WEEKDAY(A796,2),"Montag","Dienstag","Mittwoch","Donnerstag","Freitag","Samstag","Sonntag"))</f>
        <v/>
      </c>
      <c r="M796" s="37">
        <f>IF(A796="","",_xlfn.ISOWEEKNUM(A796))</f>
        <v/>
      </c>
      <c r="N796" s="38">
        <f>IF(A796="","",DATE(YEAR(A796),MONTH(A796),1))</f>
        <v/>
      </c>
    </row>
    <row r="797">
      <c r="A797" s="31" t="n"/>
      <c r="B797" s="32" t="n"/>
      <c r="C797" s="32" t="n"/>
      <c r="D797" s="33" t="n"/>
      <c r="E797" s="34" t="n"/>
      <c r="F797" s="35" t="n"/>
      <c r="G797" s="35" t="n"/>
      <c r="H797" s="32" t="n"/>
      <c r="I797" s="32" t="n"/>
      <c r="J797" s="32" t="n"/>
      <c r="K797" s="36">
        <f>IF(E797&lt;&gt;"",E797,IF(AND(F797&lt;&gt;"",G797&lt;&gt;""),MOD(G797-F797,1)*24,""))</f>
        <v/>
      </c>
      <c r="L797" s="37">
        <f>IF(A797="","",CHOOSE(WEEKDAY(A797,2),"Montag","Dienstag","Mittwoch","Donnerstag","Freitag","Samstag","Sonntag"))</f>
        <v/>
      </c>
      <c r="M797" s="37">
        <f>IF(A797="","",_xlfn.ISOWEEKNUM(A797))</f>
        <v/>
      </c>
      <c r="N797" s="38">
        <f>IF(A797="","",DATE(YEAR(A797),MONTH(A797),1))</f>
        <v/>
      </c>
    </row>
    <row r="798">
      <c r="A798" s="31" t="n"/>
      <c r="B798" s="32" t="n"/>
      <c r="C798" s="32" t="n"/>
      <c r="D798" s="33" t="n"/>
      <c r="E798" s="34" t="n"/>
      <c r="F798" s="35" t="n"/>
      <c r="G798" s="35" t="n"/>
      <c r="H798" s="32" t="n"/>
      <c r="I798" s="32" t="n"/>
      <c r="J798" s="32" t="n"/>
      <c r="K798" s="36">
        <f>IF(E798&lt;&gt;"",E798,IF(AND(F798&lt;&gt;"",G798&lt;&gt;""),MOD(G798-F798,1)*24,""))</f>
        <v/>
      </c>
      <c r="L798" s="37">
        <f>IF(A798="","",CHOOSE(WEEKDAY(A798,2),"Montag","Dienstag","Mittwoch","Donnerstag","Freitag","Samstag","Sonntag"))</f>
        <v/>
      </c>
      <c r="M798" s="37">
        <f>IF(A798="","",_xlfn.ISOWEEKNUM(A798))</f>
        <v/>
      </c>
      <c r="N798" s="38">
        <f>IF(A798="","",DATE(YEAR(A798),MONTH(A798),1))</f>
        <v/>
      </c>
    </row>
    <row r="799">
      <c r="A799" s="31" t="n"/>
      <c r="B799" s="32" t="n"/>
      <c r="C799" s="32" t="n"/>
      <c r="D799" s="33" t="n"/>
      <c r="E799" s="34" t="n"/>
      <c r="F799" s="35" t="n"/>
      <c r="G799" s="35" t="n"/>
      <c r="H799" s="32" t="n"/>
      <c r="I799" s="32" t="n"/>
      <c r="J799" s="32" t="n"/>
      <c r="K799" s="36">
        <f>IF(E799&lt;&gt;"",E799,IF(AND(F799&lt;&gt;"",G799&lt;&gt;""),MOD(G799-F799,1)*24,""))</f>
        <v/>
      </c>
      <c r="L799" s="37">
        <f>IF(A799="","",CHOOSE(WEEKDAY(A799,2),"Montag","Dienstag","Mittwoch","Donnerstag","Freitag","Samstag","Sonntag"))</f>
        <v/>
      </c>
      <c r="M799" s="37">
        <f>IF(A799="","",_xlfn.ISOWEEKNUM(A799))</f>
        <v/>
      </c>
      <c r="N799" s="38">
        <f>IF(A799="","",DATE(YEAR(A799),MONTH(A799),1))</f>
        <v/>
      </c>
    </row>
    <row r="800">
      <c r="A800" s="31" t="n"/>
      <c r="B800" s="32" t="n"/>
      <c r="C800" s="32" t="n"/>
      <c r="D800" s="33" t="n"/>
      <c r="E800" s="34" t="n"/>
      <c r="F800" s="35" t="n"/>
      <c r="G800" s="35" t="n"/>
      <c r="H800" s="32" t="n"/>
      <c r="I800" s="32" t="n"/>
      <c r="J800" s="32" t="n"/>
      <c r="K800" s="36">
        <f>IF(E800&lt;&gt;"",E800,IF(AND(F800&lt;&gt;"",G800&lt;&gt;""),MOD(G800-F800,1)*24,""))</f>
        <v/>
      </c>
      <c r="L800" s="37">
        <f>IF(A800="","",CHOOSE(WEEKDAY(A800,2),"Montag","Dienstag","Mittwoch","Donnerstag","Freitag","Samstag","Sonntag"))</f>
        <v/>
      </c>
      <c r="M800" s="37">
        <f>IF(A800="","",_xlfn.ISOWEEKNUM(A800))</f>
        <v/>
      </c>
      <c r="N800" s="38">
        <f>IF(A800="","",DATE(YEAR(A800),MONTH(A800),1))</f>
        <v/>
      </c>
    </row>
    <row r="801">
      <c r="A801" s="31" t="n"/>
      <c r="B801" s="32" t="n"/>
      <c r="C801" s="32" t="n"/>
      <c r="D801" s="33" t="n"/>
      <c r="E801" s="34" t="n"/>
      <c r="F801" s="35" t="n"/>
      <c r="G801" s="35" t="n"/>
      <c r="H801" s="32" t="n"/>
      <c r="I801" s="32" t="n"/>
      <c r="J801" s="32" t="n"/>
      <c r="K801" s="36">
        <f>IF(E801&lt;&gt;"",E801,IF(AND(F801&lt;&gt;"",G801&lt;&gt;""),MOD(G801-F801,1)*24,""))</f>
        <v/>
      </c>
      <c r="L801" s="37">
        <f>IF(A801="","",CHOOSE(WEEKDAY(A801,2),"Montag","Dienstag","Mittwoch","Donnerstag","Freitag","Samstag","Sonntag"))</f>
        <v/>
      </c>
      <c r="M801" s="37">
        <f>IF(A801="","",_xlfn.ISOWEEKNUM(A801))</f>
        <v/>
      </c>
      <c r="N801" s="38">
        <f>IF(A801="","",DATE(YEAR(A801),MONTH(A801),1))</f>
        <v/>
      </c>
    </row>
    <row r="802">
      <c r="A802" s="31" t="n"/>
      <c r="B802" s="32" t="n"/>
      <c r="C802" s="32" t="n"/>
      <c r="D802" s="33" t="n"/>
      <c r="E802" s="34" t="n"/>
      <c r="F802" s="35" t="n"/>
      <c r="G802" s="35" t="n"/>
      <c r="H802" s="32" t="n"/>
      <c r="I802" s="32" t="n"/>
      <c r="J802" s="32" t="n"/>
      <c r="K802" s="36">
        <f>IF(E802&lt;&gt;"",E802,IF(AND(F802&lt;&gt;"",G802&lt;&gt;""),MOD(G802-F802,1)*24,""))</f>
        <v/>
      </c>
      <c r="L802" s="37">
        <f>IF(A802="","",CHOOSE(WEEKDAY(A802,2),"Montag","Dienstag","Mittwoch","Donnerstag","Freitag","Samstag","Sonntag"))</f>
        <v/>
      </c>
      <c r="M802" s="37">
        <f>IF(A802="","",_xlfn.ISOWEEKNUM(A802))</f>
        <v/>
      </c>
      <c r="N802" s="38">
        <f>IF(A802="","",DATE(YEAR(A802),MONTH(A802),1))</f>
        <v/>
      </c>
    </row>
    <row r="803">
      <c r="A803" s="31" t="n"/>
      <c r="B803" s="32" t="n"/>
      <c r="C803" s="32" t="n"/>
      <c r="D803" s="33" t="n"/>
      <c r="E803" s="34" t="n"/>
      <c r="F803" s="35" t="n"/>
      <c r="G803" s="35" t="n"/>
      <c r="H803" s="32" t="n"/>
      <c r="I803" s="32" t="n"/>
      <c r="J803" s="32" t="n"/>
      <c r="K803" s="36">
        <f>IF(E803&lt;&gt;"",E803,IF(AND(F803&lt;&gt;"",G803&lt;&gt;""),MOD(G803-F803,1)*24,""))</f>
        <v/>
      </c>
      <c r="L803" s="37">
        <f>IF(A803="","",CHOOSE(WEEKDAY(A803,2),"Montag","Dienstag","Mittwoch","Donnerstag","Freitag","Samstag","Sonntag"))</f>
        <v/>
      </c>
      <c r="M803" s="37">
        <f>IF(A803="","",_xlfn.ISOWEEKNUM(A803))</f>
        <v/>
      </c>
      <c r="N803" s="38">
        <f>IF(A803="","",DATE(YEAR(A803),MONTH(A803),1))</f>
        <v/>
      </c>
    </row>
    <row r="804">
      <c r="A804" s="31" t="n"/>
      <c r="B804" s="32" t="n"/>
      <c r="C804" s="32" t="n"/>
      <c r="D804" s="33" t="n"/>
      <c r="E804" s="34" t="n"/>
      <c r="F804" s="35" t="n"/>
      <c r="G804" s="35" t="n"/>
      <c r="H804" s="32" t="n"/>
      <c r="I804" s="32" t="n"/>
      <c r="J804" s="32" t="n"/>
      <c r="K804" s="36">
        <f>IF(E804&lt;&gt;"",E804,IF(AND(F804&lt;&gt;"",G804&lt;&gt;""),MOD(G804-F804,1)*24,""))</f>
        <v/>
      </c>
      <c r="L804" s="37">
        <f>IF(A804="","",CHOOSE(WEEKDAY(A804,2),"Montag","Dienstag","Mittwoch","Donnerstag","Freitag","Samstag","Sonntag"))</f>
        <v/>
      </c>
      <c r="M804" s="37">
        <f>IF(A804="","",_xlfn.ISOWEEKNUM(A804))</f>
        <v/>
      </c>
      <c r="N804" s="38">
        <f>IF(A804="","",DATE(YEAR(A804),MONTH(A804),1))</f>
        <v/>
      </c>
    </row>
    <row r="805">
      <c r="A805" s="31" t="n"/>
      <c r="B805" s="32" t="n"/>
      <c r="C805" s="32" t="n"/>
      <c r="D805" s="33" t="n"/>
      <c r="E805" s="34" t="n"/>
      <c r="F805" s="35" t="n"/>
      <c r="G805" s="35" t="n"/>
      <c r="H805" s="32" t="n"/>
      <c r="I805" s="32" t="n"/>
      <c r="J805" s="32" t="n"/>
      <c r="K805" s="36">
        <f>IF(E805&lt;&gt;"",E805,IF(AND(F805&lt;&gt;"",G805&lt;&gt;""),MOD(G805-F805,1)*24,""))</f>
        <v/>
      </c>
      <c r="L805" s="37">
        <f>IF(A805="","",CHOOSE(WEEKDAY(A805,2),"Montag","Dienstag","Mittwoch","Donnerstag","Freitag","Samstag","Sonntag"))</f>
        <v/>
      </c>
      <c r="M805" s="37">
        <f>IF(A805="","",_xlfn.ISOWEEKNUM(A805))</f>
        <v/>
      </c>
      <c r="N805" s="38">
        <f>IF(A805="","",DATE(YEAR(A805),MONTH(A805),1))</f>
        <v/>
      </c>
    </row>
    <row r="806">
      <c r="A806" s="31" t="n"/>
      <c r="B806" s="32" t="n"/>
      <c r="C806" s="32" t="n"/>
      <c r="D806" s="33" t="n"/>
      <c r="E806" s="34" t="n"/>
      <c r="F806" s="35" t="n"/>
      <c r="G806" s="35" t="n"/>
      <c r="H806" s="32" t="n"/>
      <c r="I806" s="32" t="n"/>
      <c r="J806" s="32" t="n"/>
      <c r="K806" s="36">
        <f>IF(E806&lt;&gt;"",E806,IF(AND(F806&lt;&gt;"",G806&lt;&gt;""),MOD(G806-F806,1)*24,""))</f>
        <v/>
      </c>
      <c r="L806" s="37">
        <f>IF(A806="","",CHOOSE(WEEKDAY(A806,2),"Montag","Dienstag","Mittwoch","Donnerstag","Freitag","Samstag","Sonntag"))</f>
        <v/>
      </c>
      <c r="M806" s="37">
        <f>IF(A806="","",_xlfn.ISOWEEKNUM(A806))</f>
        <v/>
      </c>
      <c r="N806" s="38">
        <f>IF(A806="","",DATE(YEAR(A806),MONTH(A806),1))</f>
        <v/>
      </c>
    </row>
    <row r="807">
      <c r="A807" s="31" t="n"/>
      <c r="B807" s="32" t="n"/>
      <c r="C807" s="32" t="n"/>
      <c r="D807" s="33" t="n"/>
      <c r="E807" s="34" t="n"/>
      <c r="F807" s="35" t="n"/>
      <c r="G807" s="35" t="n"/>
      <c r="H807" s="32" t="n"/>
      <c r="I807" s="32" t="n"/>
      <c r="J807" s="32" t="n"/>
      <c r="K807" s="36">
        <f>IF(E807&lt;&gt;"",E807,IF(AND(F807&lt;&gt;"",G807&lt;&gt;""),MOD(G807-F807,1)*24,""))</f>
        <v/>
      </c>
      <c r="L807" s="37">
        <f>IF(A807="","",CHOOSE(WEEKDAY(A807,2),"Montag","Dienstag","Mittwoch","Donnerstag","Freitag","Samstag","Sonntag"))</f>
        <v/>
      </c>
      <c r="M807" s="37">
        <f>IF(A807="","",_xlfn.ISOWEEKNUM(A807))</f>
        <v/>
      </c>
      <c r="N807" s="38">
        <f>IF(A807="","",DATE(YEAR(A807),MONTH(A807),1))</f>
        <v/>
      </c>
    </row>
    <row r="808">
      <c r="A808" s="31" t="n"/>
      <c r="B808" s="32" t="n"/>
      <c r="C808" s="32" t="n"/>
      <c r="D808" s="33" t="n"/>
      <c r="E808" s="34" t="n"/>
      <c r="F808" s="35" t="n"/>
      <c r="G808" s="35" t="n"/>
      <c r="H808" s="32" t="n"/>
      <c r="I808" s="32" t="n"/>
      <c r="J808" s="32" t="n"/>
      <c r="K808" s="36">
        <f>IF(E808&lt;&gt;"",E808,IF(AND(F808&lt;&gt;"",G808&lt;&gt;""),MOD(G808-F808,1)*24,""))</f>
        <v/>
      </c>
      <c r="L808" s="37">
        <f>IF(A808="","",CHOOSE(WEEKDAY(A808,2),"Montag","Dienstag","Mittwoch","Donnerstag","Freitag","Samstag","Sonntag"))</f>
        <v/>
      </c>
      <c r="M808" s="37">
        <f>IF(A808="","",_xlfn.ISOWEEKNUM(A808))</f>
        <v/>
      </c>
      <c r="N808" s="38">
        <f>IF(A808="","",DATE(YEAR(A808),MONTH(A808),1))</f>
        <v/>
      </c>
    </row>
    <row r="809">
      <c r="A809" s="31" t="n"/>
      <c r="B809" s="32" t="n"/>
      <c r="C809" s="32" t="n"/>
      <c r="D809" s="33" t="n"/>
      <c r="E809" s="34" t="n"/>
      <c r="F809" s="35" t="n"/>
      <c r="G809" s="35" t="n"/>
      <c r="H809" s="32" t="n"/>
      <c r="I809" s="32" t="n"/>
      <c r="J809" s="32" t="n"/>
      <c r="K809" s="36">
        <f>IF(E809&lt;&gt;"",E809,IF(AND(F809&lt;&gt;"",G809&lt;&gt;""),MOD(G809-F809,1)*24,""))</f>
        <v/>
      </c>
      <c r="L809" s="37">
        <f>IF(A809="","",CHOOSE(WEEKDAY(A809,2),"Montag","Dienstag","Mittwoch","Donnerstag","Freitag","Samstag","Sonntag"))</f>
        <v/>
      </c>
      <c r="M809" s="37">
        <f>IF(A809="","",_xlfn.ISOWEEKNUM(A809))</f>
        <v/>
      </c>
      <c r="N809" s="38">
        <f>IF(A809="","",DATE(YEAR(A809),MONTH(A809),1))</f>
        <v/>
      </c>
    </row>
    <row r="810">
      <c r="A810" s="31" t="n"/>
      <c r="B810" s="32" t="n"/>
      <c r="C810" s="32" t="n"/>
      <c r="D810" s="33" t="n"/>
      <c r="E810" s="34" t="n"/>
      <c r="F810" s="35" t="n"/>
      <c r="G810" s="35" t="n"/>
      <c r="H810" s="32" t="n"/>
      <c r="I810" s="32" t="n"/>
      <c r="J810" s="32" t="n"/>
      <c r="K810" s="36">
        <f>IF(E810&lt;&gt;"",E810,IF(AND(F810&lt;&gt;"",G810&lt;&gt;""),MOD(G810-F810,1)*24,""))</f>
        <v/>
      </c>
      <c r="L810" s="37">
        <f>IF(A810="","",CHOOSE(WEEKDAY(A810,2),"Montag","Dienstag","Mittwoch","Donnerstag","Freitag","Samstag","Sonntag"))</f>
        <v/>
      </c>
      <c r="M810" s="37">
        <f>IF(A810="","",_xlfn.ISOWEEKNUM(A810))</f>
        <v/>
      </c>
      <c r="N810" s="38">
        <f>IF(A810="","",DATE(YEAR(A810),MONTH(A810),1))</f>
        <v/>
      </c>
    </row>
    <row r="811">
      <c r="A811" s="31" t="n"/>
      <c r="B811" s="32" t="n"/>
      <c r="C811" s="32" t="n"/>
      <c r="D811" s="33" t="n"/>
      <c r="E811" s="34" t="n"/>
      <c r="F811" s="35" t="n"/>
      <c r="G811" s="35" t="n"/>
      <c r="H811" s="32" t="n"/>
      <c r="I811" s="32" t="n"/>
      <c r="J811" s="32" t="n"/>
      <c r="K811" s="36">
        <f>IF(E811&lt;&gt;"",E811,IF(AND(F811&lt;&gt;"",G811&lt;&gt;""),MOD(G811-F811,1)*24,""))</f>
        <v/>
      </c>
      <c r="L811" s="37">
        <f>IF(A811="","",CHOOSE(WEEKDAY(A811,2),"Montag","Dienstag","Mittwoch","Donnerstag","Freitag","Samstag","Sonntag"))</f>
        <v/>
      </c>
      <c r="M811" s="37">
        <f>IF(A811="","",_xlfn.ISOWEEKNUM(A811))</f>
        <v/>
      </c>
      <c r="N811" s="38">
        <f>IF(A811="","",DATE(YEAR(A811),MONTH(A811),1))</f>
        <v/>
      </c>
    </row>
    <row r="812">
      <c r="A812" s="31" t="n"/>
      <c r="B812" s="32" t="n"/>
      <c r="C812" s="32" t="n"/>
      <c r="D812" s="33" t="n"/>
      <c r="E812" s="34" t="n"/>
      <c r="F812" s="35" t="n"/>
      <c r="G812" s="35" t="n"/>
      <c r="H812" s="32" t="n"/>
      <c r="I812" s="32" t="n"/>
      <c r="J812" s="32" t="n"/>
      <c r="K812" s="36">
        <f>IF(E812&lt;&gt;"",E812,IF(AND(F812&lt;&gt;"",G812&lt;&gt;""),MOD(G812-F812,1)*24,""))</f>
        <v/>
      </c>
      <c r="L812" s="37">
        <f>IF(A812="","",CHOOSE(WEEKDAY(A812,2),"Montag","Dienstag","Mittwoch","Donnerstag","Freitag","Samstag","Sonntag"))</f>
        <v/>
      </c>
      <c r="M812" s="37">
        <f>IF(A812="","",_xlfn.ISOWEEKNUM(A812))</f>
        <v/>
      </c>
      <c r="N812" s="38">
        <f>IF(A812="","",DATE(YEAR(A812),MONTH(A812),1))</f>
        <v/>
      </c>
    </row>
    <row r="813">
      <c r="A813" s="31" t="n"/>
      <c r="B813" s="32" t="n"/>
      <c r="C813" s="32" t="n"/>
      <c r="D813" s="33" t="n"/>
      <c r="E813" s="34" t="n"/>
      <c r="F813" s="35" t="n"/>
      <c r="G813" s="35" t="n"/>
      <c r="H813" s="32" t="n"/>
      <c r="I813" s="32" t="n"/>
      <c r="J813" s="32" t="n"/>
      <c r="K813" s="36">
        <f>IF(E813&lt;&gt;"",E813,IF(AND(F813&lt;&gt;"",G813&lt;&gt;""),MOD(G813-F813,1)*24,""))</f>
        <v/>
      </c>
      <c r="L813" s="37">
        <f>IF(A813="","",CHOOSE(WEEKDAY(A813,2),"Montag","Dienstag","Mittwoch","Donnerstag","Freitag","Samstag","Sonntag"))</f>
        <v/>
      </c>
      <c r="M813" s="37">
        <f>IF(A813="","",_xlfn.ISOWEEKNUM(A813))</f>
        <v/>
      </c>
      <c r="N813" s="38">
        <f>IF(A813="","",DATE(YEAR(A813),MONTH(A813),1))</f>
        <v/>
      </c>
    </row>
    <row r="814">
      <c r="A814" s="31" t="n"/>
      <c r="B814" s="32" t="n"/>
      <c r="C814" s="32" t="n"/>
      <c r="D814" s="33" t="n"/>
      <c r="E814" s="34" t="n"/>
      <c r="F814" s="35" t="n"/>
      <c r="G814" s="35" t="n"/>
      <c r="H814" s="32" t="n"/>
      <c r="I814" s="32" t="n"/>
      <c r="J814" s="32" t="n"/>
      <c r="K814" s="36">
        <f>IF(E814&lt;&gt;"",E814,IF(AND(F814&lt;&gt;"",G814&lt;&gt;""),MOD(G814-F814,1)*24,""))</f>
        <v/>
      </c>
      <c r="L814" s="37">
        <f>IF(A814="","",CHOOSE(WEEKDAY(A814,2),"Montag","Dienstag","Mittwoch","Donnerstag","Freitag","Samstag","Sonntag"))</f>
        <v/>
      </c>
      <c r="M814" s="37">
        <f>IF(A814="","",_xlfn.ISOWEEKNUM(A814))</f>
        <v/>
      </c>
      <c r="N814" s="38">
        <f>IF(A814="","",DATE(YEAR(A814),MONTH(A814),1))</f>
        <v/>
      </c>
    </row>
    <row r="815">
      <c r="A815" s="31" t="n"/>
      <c r="B815" s="32" t="n"/>
      <c r="C815" s="32" t="n"/>
      <c r="D815" s="33" t="n"/>
      <c r="E815" s="34" t="n"/>
      <c r="F815" s="35" t="n"/>
      <c r="G815" s="35" t="n"/>
      <c r="H815" s="32" t="n"/>
      <c r="I815" s="32" t="n"/>
      <c r="J815" s="32" t="n"/>
      <c r="K815" s="36">
        <f>IF(E815&lt;&gt;"",E815,IF(AND(F815&lt;&gt;"",G815&lt;&gt;""),MOD(G815-F815,1)*24,""))</f>
        <v/>
      </c>
      <c r="L815" s="37">
        <f>IF(A815="","",CHOOSE(WEEKDAY(A815,2),"Montag","Dienstag","Mittwoch","Donnerstag","Freitag","Samstag","Sonntag"))</f>
        <v/>
      </c>
      <c r="M815" s="37">
        <f>IF(A815="","",_xlfn.ISOWEEKNUM(A815))</f>
        <v/>
      </c>
      <c r="N815" s="38">
        <f>IF(A815="","",DATE(YEAR(A815),MONTH(A815),1))</f>
        <v/>
      </c>
    </row>
    <row r="816">
      <c r="A816" s="31" t="n"/>
      <c r="B816" s="32" t="n"/>
      <c r="C816" s="32" t="n"/>
      <c r="D816" s="33" t="n"/>
      <c r="E816" s="34" t="n"/>
      <c r="F816" s="35" t="n"/>
      <c r="G816" s="35" t="n"/>
      <c r="H816" s="32" t="n"/>
      <c r="I816" s="32" t="n"/>
      <c r="J816" s="32" t="n"/>
      <c r="K816" s="36">
        <f>IF(E816&lt;&gt;"",E816,IF(AND(F816&lt;&gt;"",G816&lt;&gt;""),MOD(G816-F816,1)*24,""))</f>
        <v/>
      </c>
      <c r="L816" s="37">
        <f>IF(A816="","",CHOOSE(WEEKDAY(A816,2),"Montag","Dienstag","Mittwoch","Donnerstag","Freitag","Samstag","Sonntag"))</f>
        <v/>
      </c>
      <c r="M816" s="37">
        <f>IF(A816="","",_xlfn.ISOWEEKNUM(A816))</f>
        <v/>
      </c>
      <c r="N816" s="38">
        <f>IF(A816="","",DATE(YEAR(A816),MONTH(A816),1))</f>
        <v/>
      </c>
    </row>
    <row r="817">
      <c r="A817" s="31" t="n"/>
      <c r="B817" s="32" t="n"/>
      <c r="C817" s="32" t="n"/>
      <c r="D817" s="33" t="n"/>
      <c r="E817" s="34" t="n"/>
      <c r="F817" s="35" t="n"/>
      <c r="G817" s="35" t="n"/>
      <c r="H817" s="32" t="n"/>
      <c r="I817" s="32" t="n"/>
      <c r="J817" s="32" t="n"/>
      <c r="K817" s="36">
        <f>IF(E817&lt;&gt;"",E817,IF(AND(F817&lt;&gt;"",G817&lt;&gt;""),MOD(G817-F817,1)*24,""))</f>
        <v/>
      </c>
      <c r="L817" s="37">
        <f>IF(A817="","",CHOOSE(WEEKDAY(A817,2),"Montag","Dienstag","Mittwoch","Donnerstag","Freitag","Samstag","Sonntag"))</f>
        <v/>
      </c>
      <c r="M817" s="37">
        <f>IF(A817="","",_xlfn.ISOWEEKNUM(A817))</f>
        <v/>
      </c>
      <c r="N817" s="38">
        <f>IF(A817="","",DATE(YEAR(A817),MONTH(A817),1))</f>
        <v/>
      </c>
    </row>
    <row r="818">
      <c r="A818" s="31" t="n"/>
      <c r="B818" s="32" t="n"/>
      <c r="C818" s="32" t="n"/>
      <c r="D818" s="33" t="n"/>
      <c r="E818" s="34" t="n"/>
      <c r="F818" s="35" t="n"/>
      <c r="G818" s="35" t="n"/>
      <c r="H818" s="32" t="n"/>
      <c r="I818" s="32" t="n"/>
      <c r="J818" s="32" t="n"/>
      <c r="K818" s="36">
        <f>IF(E818&lt;&gt;"",E818,IF(AND(F818&lt;&gt;"",G818&lt;&gt;""),MOD(G818-F818,1)*24,""))</f>
        <v/>
      </c>
      <c r="L818" s="37">
        <f>IF(A818="","",CHOOSE(WEEKDAY(A818,2),"Montag","Dienstag","Mittwoch","Donnerstag","Freitag","Samstag","Sonntag"))</f>
        <v/>
      </c>
      <c r="M818" s="37">
        <f>IF(A818="","",_xlfn.ISOWEEKNUM(A818))</f>
        <v/>
      </c>
      <c r="N818" s="38">
        <f>IF(A818="","",DATE(YEAR(A818),MONTH(A818),1))</f>
        <v/>
      </c>
    </row>
    <row r="819">
      <c r="A819" s="31" t="n"/>
      <c r="B819" s="32" t="n"/>
      <c r="C819" s="32" t="n"/>
      <c r="D819" s="33" t="n"/>
      <c r="E819" s="34" t="n"/>
      <c r="F819" s="35" t="n"/>
      <c r="G819" s="35" t="n"/>
      <c r="H819" s="32" t="n"/>
      <c r="I819" s="32" t="n"/>
      <c r="J819" s="32" t="n"/>
      <c r="K819" s="36">
        <f>IF(E819&lt;&gt;"",E819,IF(AND(F819&lt;&gt;"",G819&lt;&gt;""),MOD(G819-F819,1)*24,""))</f>
        <v/>
      </c>
      <c r="L819" s="37">
        <f>IF(A819="","",CHOOSE(WEEKDAY(A819,2),"Montag","Dienstag","Mittwoch","Donnerstag","Freitag","Samstag","Sonntag"))</f>
        <v/>
      </c>
      <c r="M819" s="37">
        <f>IF(A819="","",_xlfn.ISOWEEKNUM(A819))</f>
        <v/>
      </c>
      <c r="N819" s="38">
        <f>IF(A819="","",DATE(YEAR(A819),MONTH(A819),1))</f>
        <v/>
      </c>
    </row>
    <row r="820">
      <c r="A820" s="31" t="n"/>
      <c r="B820" s="32" t="n"/>
      <c r="C820" s="32" t="n"/>
      <c r="D820" s="33" t="n"/>
      <c r="E820" s="34" t="n"/>
      <c r="F820" s="35" t="n"/>
      <c r="G820" s="35" t="n"/>
      <c r="H820" s="32" t="n"/>
      <c r="I820" s="32" t="n"/>
      <c r="J820" s="32" t="n"/>
      <c r="K820" s="36">
        <f>IF(E820&lt;&gt;"",E820,IF(AND(F820&lt;&gt;"",G820&lt;&gt;""),MOD(G820-F820,1)*24,""))</f>
        <v/>
      </c>
      <c r="L820" s="37">
        <f>IF(A820="","",CHOOSE(WEEKDAY(A820,2),"Montag","Dienstag","Mittwoch","Donnerstag","Freitag","Samstag","Sonntag"))</f>
        <v/>
      </c>
      <c r="M820" s="37">
        <f>IF(A820="","",_xlfn.ISOWEEKNUM(A820))</f>
        <v/>
      </c>
      <c r="N820" s="38">
        <f>IF(A820="","",DATE(YEAR(A820),MONTH(A820),1))</f>
        <v/>
      </c>
    </row>
    <row r="821">
      <c r="A821" s="31" t="n"/>
      <c r="B821" s="32" t="n"/>
      <c r="C821" s="32" t="n"/>
      <c r="D821" s="33" t="n"/>
      <c r="E821" s="34" t="n"/>
      <c r="F821" s="35" t="n"/>
      <c r="G821" s="35" t="n"/>
      <c r="H821" s="32" t="n"/>
      <c r="I821" s="32" t="n"/>
      <c r="J821" s="32" t="n"/>
      <c r="K821" s="36">
        <f>IF(E821&lt;&gt;"",E821,IF(AND(F821&lt;&gt;"",G821&lt;&gt;""),MOD(G821-F821,1)*24,""))</f>
        <v/>
      </c>
      <c r="L821" s="37">
        <f>IF(A821="","",CHOOSE(WEEKDAY(A821,2),"Montag","Dienstag","Mittwoch","Donnerstag","Freitag","Samstag","Sonntag"))</f>
        <v/>
      </c>
      <c r="M821" s="37">
        <f>IF(A821="","",_xlfn.ISOWEEKNUM(A821))</f>
        <v/>
      </c>
      <c r="N821" s="38">
        <f>IF(A821="","",DATE(YEAR(A821),MONTH(A821),1))</f>
        <v/>
      </c>
    </row>
    <row r="822">
      <c r="A822" s="31" t="n"/>
      <c r="B822" s="32" t="n"/>
      <c r="C822" s="32" t="n"/>
      <c r="D822" s="33" t="n"/>
      <c r="E822" s="34" t="n"/>
      <c r="F822" s="35" t="n"/>
      <c r="G822" s="35" t="n"/>
      <c r="H822" s="32" t="n"/>
      <c r="I822" s="32" t="n"/>
      <c r="J822" s="32" t="n"/>
      <c r="K822" s="36">
        <f>IF(E822&lt;&gt;"",E822,IF(AND(F822&lt;&gt;"",G822&lt;&gt;""),MOD(G822-F822,1)*24,""))</f>
        <v/>
      </c>
      <c r="L822" s="37">
        <f>IF(A822="","",CHOOSE(WEEKDAY(A822,2),"Montag","Dienstag","Mittwoch","Donnerstag","Freitag","Samstag","Sonntag"))</f>
        <v/>
      </c>
      <c r="M822" s="37">
        <f>IF(A822="","",_xlfn.ISOWEEKNUM(A822))</f>
        <v/>
      </c>
      <c r="N822" s="38">
        <f>IF(A822="","",DATE(YEAR(A822),MONTH(A822),1))</f>
        <v/>
      </c>
    </row>
    <row r="823">
      <c r="A823" s="31" t="n"/>
      <c r="B823" s="32" t="n"/>
      <c r="C823" s="32" t="n"/>
      <c r="D823" s="33" t="n"/>
      <c r="E823" s="34" t="n"/>
      <c r="F823" s="35" t="n"/>
      <c r="G823" s="35" t="n"/>
      <c r="H823" s="32" t="n"/>
      <c r="I823" s="32" t="n"/>
      <c r="J823" s="32" t="n"/>
      <c r="K823" s="36">
        <f>IF(E823&lt;&gt;"",E823,IF(AND(F823&lt;&gt;"",G823&lt;&gt;""),MOD(G823-F823,1)*24,""))</f>
        <v/>
      </c>
      <c r="L823" s="37">
        <f>IF(A823="","",CHOOSE(WEEKDAY(A823,2),"Montag","Dienstag","Mittwoch","Donnerstag","Freitag","Samstag","Sonntag"))</f>
        <v/>
      </c>
      <c r="M823" s="37">
        <f>IF(A823="","",_xlfn.ISOWEEKNUM(A823))</f>
        <v/>
      </c>
      <c r="N823" s="38">
        <f>IF(A823="","",DATE(YEAR(A823),MONTH(A823),1))</f>
        <v/>
      </c>
    </row>
    <row r="824">
      <c r="A824" s="31" t="n"/>
      <c r="B824" s="32" t="n"/>
      <c r="C824" s="32" t="n"/>
      <c r="D824" s="33" t="n"/>
      <c r="E824" s="34" t="n"/>
      <c r="F824" s="35" t="n"/>
      <c r="G824" s="35" t="n"/>
      <c r="H824" s="32" t="n"/>
      <c r="I824" s="32" t="n"/>
      <c r="J824" s="32" t="n"/>
      <c r="K824" s="36">
        <f>IF(E824&lt;&gt;"",E824,IF(AND(F824&lt;&gt;"",G824&lt;&gt;""),MOD(G824-F824,1)*24,""))</f>
        <v/>
      </c>
      <c r="L824" s="37">
        <f>IF(A824="","",CHOOSE(WEEKDAY(A824,2),"Montag","Dienstag","Mittwoch","Donnerstag","Freitag","Samstag","Sonntag"))</f>
        <v/>
      </c>
      <c r="M824" s="37">
        <f>IF(A824="","",_xlfn.ISOWEEKNUM(A824))</f>
        <v/>
      </c>
      <c r="N824" s="38">
        <f>IF(A824="","",DATE(YEAR(A824),MONTH(A824),1))</f>
        <v/>
      </c>
    </row>
    <row r="825">
      <c r="A825" s="31" t="n"/>
      <c r="B825" s="32" t="n"/>
      <c r="C825" s="32" t="n"/>
      <c r="D825" s="33" t="n"/>
      <c r="E825" s="34" t="n"/>
      <c r="F825" s="35" t="n"/>
      <c r="G825" s="35" t="n"/>
      <c r="H825" s="32" t="n"/>
      <c r="I825" s="32" t="n"/>
      <c r="J825" s="32" t="n"/>
      <c r="K825" s="36">
        <f>IF(E825&lt;&gt;"",E825,IF(AND(F825&lt;&gt;"",G825&lt;&gt;""),MOD(G825-F825,1)*24,""))</f>
        <v/>
      </c>
      <c r="L825" s="37">
        <f>IF(A825="","",CHOOSE(WEEKDAY(A825,2),"Montag","Dienstag","Mittwoch","Donnerstag","Freitag","Samstag","Sonntag"))</f>
        <v/>
      </c>
      <c r="M825" s="37">
        <f>IF(A825="","",_xlfn.ISOWEEKNUM(A825))</f>
        <v/>
      </c>
      <c r="N825" s="38">
        <f>IF(A825="","",DATE(YEAR(A825),MONTH(A825),1))</f>
        <v/>
      </c>
    </row>
    <row r="826">
      <c r="A826" s="31" t="n"/>
      <c r="B826" s="32" t="n"/>
      <c r="C826" s="32" t="n"/>
      <c r="D826" s="33" t="n"/>
      <c r="E826" s="34" t="n"/>
      <c r="F826" s="35" t="n"/>
      <c r="G826" s="35" t="n"/>
      <c r="H826" s="32" t="n"/>
      <c r="I826" s="32" t="n"/>
      <c r="J826" s="32" t="n"/>
      <c r="K826" s="36">
        <f>IF(E826&lt;&gt;"",E826,IF(AND(F826&lt;&gt;"",G826&lt;&gt;""),MOD(G826-F826,1)*24,""))</f>
        <v/>
      </c>
      <c r="L826" s="37">
        <f>IF(A826="","",CHOOSE(WEEKDAY(A826,2),"Montag","Dienstag","Mittwoch","Donnerstag","Freitag","Samstag","Sonntag"))</f>
        <v/>
      </c>
      <c r="M826" s="37">
        <f>IF(A826="","",_xlfn.ISOWEEKNUM(A826))</f>
        <v/>
      </c>
      <c r="N826" s="38">
        <f>IF(A826="","",DATE(YEAR(A826),MONTH(A826),1))</f>
        <v/>
      </c>
    </row>
    <row r="827">
      <c r="A827" s="31" t="n"/>
      <c r="B827" s="32" t="n"/>
      <c r="C827" s="32" t="n"/>
      <c r="D827" s="33" t="n"/>
      <c r="E827" s="34" t="n"/>
      <c r="F827" s="35" t="n"/>
      <c r="G827" s="35" t="n"/>
      <c r="H827" s="32" t="n"/>
      <c r="I827" s="32" t="n"/>
      <c r="J827" s="32" t="n"/>
      <c r="K827" s="36">
        <f>IF(E827&lt;&gt;"",E827,IF(AND(F827&lt;&gt;"",G827&lt;&gt;""),MOD(G827-F827,1)*24,""))</f>
        <v/>
      </c>
      <c r="L827" s="37">
        <f>IF(A827="","",CHOOSE(WEEKDAY(A827,2),"Montag","Dienstag","Mittwoch","Donnerstag","Freitag","Samstag","Sonntag"))</f>
        <v/>
      </c>
      <c r="M827" s="37">
        <f>IF(A827="","",_xlfn.ISOWEEKNUM(A827))</f>
        <v/>
      </c>
      <c r="N827" s="38">
        <f>IF(A827="","",DATE(YEAR(A827),MONTH(A827),1))</f>
        <v/>
      </c>
    </row>
    <row r="828">
      <c r="A828" s="31" t="n"/>
      <c r="B828" s="32" t="n"/>
      <c r="C828" s="32" t="n"/>
      <c r="D828" s="33" t="n"/>
      <c r="E828" s="34" t="n"/>
      <c r="F828" s="35" t="n"/>
      <c r="G828" s="35" t="n"/>
      <c r="H828" s="32" t="n"/>
      <c r="I828" s="32" t="n"/>
      <c r="J828" s="32" t="n"/>
      <c r="K828" s="36">
        <f>IF(E828&lt;&gt;"",E828,IF(AND(F828&lt;&gt;"",G828&lt;&gt;""),MOD(G828-F828,1)*24,""))</f>
        <v/>
      </c>
      <c r="L828" s="37">
        <f>IF(A828="","",CHOOSE(WEEKDAY(A828,2),"Montag","Dienstag","Mittwoch","Donnerstag","Freitag","Samstag","Sonntag"))</f>
        <v/>
      </c>
      <c r="M828" s="37">
        <f>IF(A828="","",_xlfn.ISOWEEKNUM(A828))</f>
        <v/>
      </c>
      <c r="N828" s="38">
        <f>IF(A828="","",DATE(YEAR(A828),MONTH(A828),1))</f>
        <v/>
      </c>
    </row>
    <row r="829">
      <c r="A829" s="31" t="n"/>
      <c r="B829" s="32" t="n"/>
      <c r="C829" s="32" t="n"/>
      <c r="D829" s="33" t="n"/>
      <c r="E829" s="34" t="n"/>
      <c r="F829" s="35" t="n"/>
      <c r="G829" s="35" t="n"/>
      <c r="H829" s="32" t="n"/>
      <c r="I829" s="32" t="n"/>
      <c r="J829" s="32" t="n"/>
      <c r="K829" s="36">
        <f>IF(E829&lt;&gt;"",E829,IF(AND(F829&lt;&gt;"",G829&lt;&gt;""),MOD(G829-F829,1)*24,""))</f>
        <v/>
      </c>
      <c r="L829" s="37">
        <f>IF(A829="","",CHOOSE(WEEKDAY(A829,2),"Montag","Dienstag","Mittwoch","Donnerstag","Freitag","Samstag","Sonntag"))</f>
        <v/>
      </c>
      <c r="M829" s="37">
        <f>IF(A829="","",_xlfn.ISOWEEKNUM(A829))</f>
        <v/>
      </c>
      <c r="N829" s="38">
        <f>IF(A829="","",DATE(YEAR(A829),MONTH(A829),1))</f>
        <v/>
      </c>
    </row>
    <row r="830">
      <c r="A830" s="31" t="n"/>
      <c r="B830" s="32" t="n"/>
      <c r="C830" s="32" t="n"/>
      <c r="D830" s="33" t="n"/>
      <c r="E830" s="34" t="n"/>
      <c r="F830" s="35" t="n"/>
      <c r="G830" s="35" t="n"/>
      <c r="H830" s="32" t="n"/>
      <c r="I830" s="32" t="n"/>
      <c r="J830" s="32" t="n"/>
      <c r="K830" s="36">
        <f>IF(E830&lt;&gt;"",E830,IF(AND(F830&lt;&gt;"",G830&lt;&gt;""),MOD(G830-F830,1)*24,""))</f>
        <v/>
      </c>
      <c r="L830" s="37">
        <f>IF(A830="","",CHOOSE(WEEKDAY(A830,2),"Montag","Dienstag","Mittwoch","Donnerstag","Freitag","Samstag","Sonntag"))</f>
        <v/>
      </c>
      <c r="M830" s="37">
        <f>IF(A830="","",_xlfn.ISOWEEKNUM(A830))</f>
        <v/>
      </c>
      <c r="N830" s="38">
        <f>IF(A830="","",DATE(YEAR(A830),MONTH(A830),1))</f>
        <v/>
      </c>
    </row>
    <row r="831">
      <c r="A831" s="31" t="n"/>
      <c r="B831" s="32" t="n"/>
      <c r="C831" s="32" t="n"/>
      <c r="D831" s="33" t="n"/>
      <c r="E831" s="34" t="n"/>
      <c r="F831" s="35" t="n"/>
      <c r="G831" s="35" t="n"/>
      <c r="H831" s="32" t="n"/>
      <c r="I831" s="32" t="n"/>
      <c r="J831" s="32" t="n"/>
      <c r="K831" s="36">
        <f>IF(E831&lt;&gt;"",E831,IF(AND(F831&lt;&gt;"",G831&lt;&gt;""),MOD(G831-F831,1)*24,""))</f>
        <v/>
      </c>
      <c r="L831" s="37">
        <f>IF(A831="","",CHOOSE(WEEKDAY(A831,2),"Montag","Dienstag","Mittwoch","Donnerstag","Freitag","Samstag","Sonntag"))</f>
        <v/>
      </c>
      <c r="M831" s="37">
        <f>IF(A831="","",_xlfn.ISOWEEKNUM(A831))</f>
        <v/>
      </c>
      <c r="N831" s="38">
        <f>IF(A831="","",DATE(YEAR(A831),MONTH(A831),1))</f>
        <v/>
      </c>
    </row>
    <row r="832">
      <c r="A832" s="31" t="n"/>
      <c r="B832" s="32" t="n"/>
      <c r="C832" s="32" t="n"/>
      <c r="D832" s="33" t="n"/>
      <c r="E832" s="34" t="n"/>
      <c r="F832" s="35" t="n"/>
      <c r="G832" s="35" t="n"/>
      <c r="H832" s="32" t="n"/>
      <c r="I832" s="32" t="n"/>
      <c r="J832" s="32" t="n"/>
      <c r="K832" s="36">
        <f>IF(E832&lt;&gt;"",E832,IF(AND(F832&lt;&gt;"",G832&lt;&gt;""),MOD(G832-F832,1)*24,""))</f>
        <v/>
      </c>
      <c r="L832" s="37">
        <f>IF(A832="","",CHOOSE(WEEKDAY(A832,2),"Montag","Dienstag","Mittwoch","Donnerstag","Freitag","Samstag","Sonntag"))</f>
        <v/>
      </c>
      <c r="M832" s="37">
        <f>IF(A832="","",_xlfn.ISOWEEKNUM(A832))</f>
        <v/>
      </c>
      <c r="N832" s="38">
        <f>IF(A832="","",DATE(YEAR(A832),MONTH(A832),1))</f>
        <v/>
      </c>
    </row>
    <row r="833">
      <c r="A833" s="31" t="n"/>
      <c r="B833" s="32" t="n"/>
      <c r="C833" s="32" t="n"/>
      <c r="D833" s="33" t="n"/>
      <c r="E833" s="34" t="n"/>
      <c r="F833" s="35" t="n"/>
      <c r="G833" s="35" t="n"/>
      <c r="H833" s="32" t="n"/>
      <c r="I833" s="32" t="n"/>
      <c r="J833" s="32" t="n"/>
      <c r="K833" s="36">
        <f>IF(E833&lt;&gt;"",E833,IF(AND(F833&lt;&gt;"",G833&lt;&gt;""),MOD(G833-F833,1)*24,""))</f>
        <v/>
      </c>
      <c r="L833" s="37">
        <f>IF(A833="","",CHOOSE(WEEKDAY(A833,2),"Montag","Dienstag","Mittwoch","Donnerstag","Freitag","Samstag","Sonntag"))</f>
        <v/>
      </c>
      <c r="M833" s="37">
        <f>IF(A833="","",_xlfn.ISOWEEKNUM(A833))</f>
        <v/>
      </c>
      <c r="N833" s="38">
        <f>IF(A833="","",DATE(YEAR(A833),MONTH(A833),1))</f>
        <v/>
      </c>
    </row>
    <row r="834">
      <c r="A834" s="31" t="n"/>
      <c r="B834" s="32" t="n"/>
      <c r="C834" s="32" t="n"/>
      <c r="D834" s="33" t="n"/>
      <c r="E834" s="34" t="n"/>
      <c r="F834" s="35" t="n"/>
      <c r="G834" s="35" t="n"/>
      <c r="H834" s="32" t="n"/>
      <c r="I834" s="32" t="n"/>
      <c r="J834" s="32" t="n"/>
      <c r="K834" s="36">
        <f>IF(E834&lt;&gt;"",E834,IF(AND(F834&lt;&gt;"",G834&lt;&gt;""),MOD(G834-F834,1)*24,""))</f>
        <v/>
      </c>
      <c r="L834" s="37">
        <f>IF(A834="","",CHOOSE(WEEKDAY(A834,2),"Montag","Dienstag","Mittwoch","Donnerstag","Freitag","Samstag","Sonntag"))</f>
        <v/>
      </c>
      <c r="M834" s="37">
        <f>IF(A834="","",_xlfn.ISOWEEKNUM(A834))</f>
        <v/>
      </c>
      <c r="N834" s="38">
        <f>IF(A834="","",DATE(YEAR(A834),MONTH(A834),1))</f>
        <v/>
      </c>
    </row>
    <row r="835">
      <c r="A835" s="31" t="n"/>
      <c r="B835" s="32" t="n"/>
      <c r="C835" s="32" t="n"/>
      <c r="D835" s="33" t="n"/>
      <c r="E835" s="34" t="n"/>
      <c r="F835" s="35" t="n"/>
      <c r="G835" s="35" t="n"/>
      <c r="H835" s="32" t="n"/>
      <c r="I835" s="32" t="n"/>
      <c r="J835" s="32" t="n"/>
      <c r="K835" s="36">
        <f>IF(E835&lt;&gt;"",E835,IF(AND(F835&lt;&gt;"",G835&lt;&gt;""),MOD(G835-F835,1)*24,""))</f>
        <v/>
      </c>
      <c r="L835" s="37">
        <f>IF(A835="","",CHOOSE(WEEKDAY(A835,2),"Montag","Dienstag","Mittwoch","Donnerstag","Freitag","Samstag","Sonntag"))</f>
        <v/>
      </c>
      <c r="M835" s="37">
        <f>IF(A835="","",_xlfn.ISOWEEKNUM(A835))</f>
        <v/>
      </c>
      <c r="N835" s="38">
        <f>IF(A835="","",DATE(YEAR(A835),MONTH(A835),1))</f>
        <v/>
      </c>
    </row>
    <row r="836">
      <c r="A836" s="31" t="n"/>
      <c r="B836" s="32" t="n"/>
      <c r="C836" s="32" t="n"/>
      <c r="D836" s="33" t="n"/>
      <c r="E836" s="34" t="n"/>
      <c r="F836" s="35" t="n"/>
      <c r="G836" s="35" t="n"/>
      <c r="H836" s="32" t="n"/>
      <c r="I836" s="32" t="n"/>
      <c r="J836" s="32" t="n"/>
      <c r="K836" s="36">
        <f>IF(E836&lt;&gt;"",E836,IF(AND(F836&lt;&gt;"",G836&lt;&gt;""),MOD(G836-F836,1)*24,""))</f>
        <v/>
      </c>
      <c r="L836" s="37">
        <f>IF(A836="","",CHOOSE(WEEKDAY(A836,2),"Montag","Dienstag","Mittwoch","Donnerstag","Freitag","Samstag","Sonntag"))</f>
        <v/>
      </c>
      <c r="M836" s="37">
        <f>IF(A836="","",_xlfn.ISOWEEKNUM(A836))</f>
        <v/>
      </c>
      <c r="N836" s="38">
        <f>IF(A836="","",DATE(YEAR(A836),MONTH(A836),1))</f>
        <v/>
      </c>
    </row>
    <row r="837">
      <c r="A837" s="31" t="n"/>
      <c r="B837" s="32" t="n"/>
      <c r="C837" s="32" t="n"/>
      <c r="D837" s="33" t="n"/>
      <c r="E837" s="34" t="n"/>
      <c r="F837" s="35" t="n"/>
      <c r="G837" s="35" t="n"/>
      <c r="H837" s="32" t="n"/>
      <c r="I837" s="32" t="n"/>
      <c r="J837" s="32" t="n"/>
      <c r="K837" s="36">
        <f>IF(E837&lt;&gt;"",E837,IF(AND(F837&lt;&gt;"",G837&lt;&gt;""),MOD(G837-F837,1)*24,""))</f>
        <v/>
      </c>
      <c r="L837" s="37">
        <f>IF(A837="","",CHOOSE(WEEKDAY(A837,2),"Montag","Dienstag","Mittwoch","Donnerstag","Freitag","Samstag","Sonntag"))</f>
        <v/>
      </c>
      <c r="M837" s="37">
        <f>IF(A837="","",_xlfn.ISOWEEKNUM(A837))</f>
        <v/>
      </c>
      <c r="N837" s="38">
        <f>IF(A837="","",DATE(YEAR(A837),MONTH(A837),1))</f>
        <v/>
      </c>
    </row>
    <row r="838">
      <c r="A838" s="31" t="n"/>
      <c r="B838" s="32" t="n"/>
      <c r="C838" s="32" t="n"/>
      <c r="D838" s="33" t="n"/>
      <c r="E838" s="34" t="n"/>
      <c r="F838" s="35" t="n"/>
      <c r="G838" s="35" t="n"/>
      <c r="H838" s="32" t="n"/>
      <c r="I838" s="32" t="n"/>
      <c r="J838" s="32" t="n"/>
      <c r="K838" s="36">
        <f>IF(E838&lt;&gt;"",E838,IF(AND(F838&lt;&gt;"",G838&lt;&gt;""),MOD(G838-F838,1)*24,""))</f>
        <v/>
      </c>
      <c r="L838" s="37">
        <f>IF(A838="","",CHOOSE(WEEKDAY(A838,2),"Montag","Dienstag","Mittwoch","Donnerstag","Freitag","Samstag","Sonntag"))</f>
        <v/>
      </c>
      <c r="M838" s="37">
        <f>IF(A838="","",_xlfn.ISOWEEKNUM(A838))</f>
        <v/>
      </c>
      <c r="N838" s="38">
        <f>IF(A838="","",DATE(YEAR(A838),MONTH(A838),1))</f>
        <v/>
      </c>
    </row>
    <row r="839">
      <c r="A839" s="31" t="n"/>
      <c r="B839" s="32" t="n"/>
      <c r="C839" s="32" t="n"/>
      <c r="D839" s="33" t="n"/>
      <c r="E839" s="34" t="n"/>
      <c r="F839" s="35" t="n"/>
      <c r="G839" s="35" t="n"/>
      <c r="H839" s="32" t="n"/>
      <c r="I839" s="32" t="n"/>
      <c r="J839" s="32" t="n"/>
      <c r="K839" s="36">
        <f>IF(E839&lt;&gt;"",E839,IF(AND(F839&lt;&gt;"",G839&lt;&gt;""),MOD(G839-F839,1)*24,""))</f>
        <v/>
      </c>
      <c r="L839" s="37">
        <f>IF(A839="","",CHOOSE(WEEKDAY(A839,2),"Montag","Dienstag","Mittwoch","Donnerstag","Freitag","Samstag","Sonntag"))</f>
        <v/>
      </c>
      <c r="M839" s="37">
        <f>IF(A839="","",_xlfn.ISOWEEKNUM(A839))</f>
        <v/>
      </c>
      <c r="N839" s="38">
        <f>IF(A839="","",DATE(YEAR(A839),MONTH(A839),1))</f>
        <v/>
      </c>
    </row>
    <row r="840">
      <c r="A840" s="31" t="n"/>
      <c r="B840" s="32" t="n"/>
      <c r="C840" s="32" t="n"/>
      <c r="D840" s="33" t="n"/>
      <c r="E840" s="34" t="n"/>
      <c r="F840" s="35" t="n"/>
      <c r="G840" s="35" t="n"/>
      <c r="H840" s="32" t="n"/>
      <c r="I840" s="32" t="n"/>
      <c r="J840" s="32" t="n"/>
      <c r="K840" s="36">
        <f>IF(E840&lt;&gt;"",E840,IF(AND(F840&lt;&gt;"",G840&lt;&gt;""),MOD(G840-F840,1)*24,""))</f>
        <v/>
      </c>
      <c r="L840" s="37">
        <f>IF(A840="","",CHOOSE(WEEKDAY(A840,2),"Montag","Dienstag","Mittwoch","Donnerstag","Freitag","Samstag","Sonntag"))</f>
        <v/>
      </c>
      <c r="M840" s="37">
        <f>IF(A840="","",_xlfn.ISOWEEKNUM(A840))</f>
        <v/>
      </c>
      <c r="N840" s="38">
        <f>IF(A840="","",DATE(YEAR(A840),MONTH(A840),1))</f>
        <v/>
      </c>
    </row>
    <row r="841">
      <c r="A841" s="31" t="n"/>
      <c r="B841" s="32" t="n"/>
      <c r="C841" s="32" t="n"/>
      <c r="D841" s="33" t="n"/>
      <c r="E841" s="34" t="n"/>
      <c r="F841" s="35" t="n"/>
      <c r="G841" s="35" t="n"/>
      <c r="H841" s="32" t="n"/>
      <c r="I841" s="32" t="n"/>
      <c r="J841" s="32" t="n"/>
      <c r="K841" s="36">
        <f>IF(E841&lt;&gt;"",E841,IF(AND(F841&lt;&gt;"",G841&lt;&gt;""),MOD(G841-F841,1)*24,""))</f>
        <v/>
      </c>
      <c r="L841" s="37">
        <f>IF(A841="","",CHOOSE(WEEKDAY(A841,2),"Montag","Dienstag","Mittwoch","Donnerstag","Freitag","Samstag","Sonntag"))</f>
        <v/>
      </c>
      <c r="M841" s="37">
        <f>IF(A841="","",_xlfn.ISOWEEKNUM(A841))</f>
        <v/>
      </c>
      <c r="N841" s="38">
        <f>IF(A841="","",DATE(YEAR(A841),MONTH(A841),1))</f>
        <v/>
      </c>
    </row>
    <row r="842">
      <c r="A842" s="31" t="n"/>
      <c r="B842" s="32" t="n"/>
      <c r="C842" s="32" t="n"/>
      <c r="D842" s="33" t="n"/>
      <c r="E842" s="34" t="n"/>
      <c r="F842" s="35" t="n"/>
      <c r="G842" s="35" t="n"/>
      <c r="H842" s="32" t="n"/>
      <c r="I842" s="32" t="n"/>
      <c r="J842" s="32" t="n"/>
      <c r="K842" s="36">
        <f>IF(E842&lt;&gt;"",E842,IF(AND(F842&lt;&gt;"",G842&lt;&gt;""),MOD(G842-F842,1)*24,""))</f>
        <v/>
      </c>
      <c r="L842" s="37">
        <f>IF(A842="","",CHOOSE(WEEKDAY(A842,2),"Montag","Dienstag","Mittwoch","Donnerstag","Freitag","Samstag","Sonntag"))</f>
        <v/>
      </c>
      <c r="M842" s="37">
        <f>IF(A842="","",_xlfn.ISOWEEKNUM(A842))</f>
        <v/>
      </c>
      <c r="N842" s="38">
        <f>IF(A842="","",DATE(YEAR(A842),MONTH(A842),1))</f>
        <v/>
      </c>
    </row>
    <row r="843">
      <c r="A843" s="31" t="n"/>
      <c r="B843" s="32" t="n"/>
      <c r="C843" s="32" t="n"/>
      <c r="D843" s="33" t="n"/>
      <c r="E843" s="34" t="n"/>
      <c r="F843" s="35" t="n"/>
      <c r="G843" s="35" t="n"/>
      <c r="H843" s="32" t="n"/>
      <c r="I843" s="32" t="n"/>
      <c r="J843" s="32" t="n"/>
      <c r="K843" s="36">
        <f>IF(E843&lt;&gt;"",E843,IF(AND(F843&lt;&gt;"",G843&lt;&gt;""),MOD(G843-F843,1)*24,""))</f>
        <v/>
      </c>
      <c r="L843" s="37">
        <f>IF(A843="","",CHOOSE(WEEKDAY(A843,2),"Montag","Dienstag","Mittwoch","Donnerstag","Freitag","Samstag","Sonntag"))</f>
        <v/>
      </c>
      <c r="M843" s="37">
        <f>IF(A843="","",_xlfn.ISOWEEKNUM(A843))</f>
        <v/>
      </c>
      <c r="N843" s="38">
        <f>IF(A843="","",DATE(YEAR(A843),MONTH(A843),1))</f>
        <v/>
      </c>
    </row>
    <row r="844">
      <c r="A844" s="31" t="n"/>
      <c r="B844" s="32" t="n"/>
      <c r="C844" s="32" t="n"/>
      <c r="D844" s="33" t="n"/>
      <c r="E844" s="34" t="n"/>
      <c r="F844" s="35" t="n"/>
      <c r="G844" s="35" t="n"/>
      <c r="H844" s="32" t="n"/>
      <c r="I844" s="32" t="n"/>
      <c r="J844" s="32" t="n"/>
      <c r="K844" s="36">
        <f>IF(E844&lt;&gt;"",E844,IF(AND(F844&lt;&gt;"",G844&lt;&gt;""),MOD(G844-F844,1)*24,""))</f>
        <v/>
      </c>
      <c r="L844" s="37">
        <f>IF(A844="","",CHOOSE(WEEKDAY(A844,2),"Montag","Dienstag","Mittwoch","Donnerstag","Freitag","Samstag","Sonntag"))</f>
        <v/>
      </c>
      <c r="M844" s="37">
        <f>IF(A844="","",_xlfn.ISOWEEKNUM(A844))</f>
        <v/>
      </c>
      <c r="N844" s="38">
        <f>IF(A844="","",DATE(YEAR(A844),MONTH(A844),1))</f>
        <v/>
      </c>
    </row>
    <row r="845">
      <c r="A845" s="31" t="n"/>
      <c r="B845" s="32" t="n"/>
      <c r="C845" s="32" t="n"/>
      <c r="D845" s="33" t="n"/>
      <c r="E845" s="34" t="n"/>
      <c r="F845" s="35" t="n"/>
      <c r="G845" s="35" t="n"/>
      <c r="H845" s="32" t="n"/>
      <c r="I845" s="32" t="n"/>
      <c r="J845" s="32" t="n"/>
      <c r="K845" s="36">
        <f>IF(E845&lt;&gt;"",E845,IF(AND(F845&lt;&gt;"",G845&lt;&gt;""),MOD(G845-F845,1)*24,""))</f>
        <v/>
      </c>
      <c r="L845" s="37">
        <f>IF(A845="","",CHOOSE(WEEKDAY(A845,2),"Montag","Dienstag","Mittwoch","Donnerstag","Freitag","Samstag","Sonntag"))</f>
        <v/>
      </c>
      <c r="M845" s="37">
        <f>IF(A845="","",_xlfn.ISOWEEKNUM(A845))</f>
        <v/>
      </c>
      <c r="N845" s="38">
        <f>IF(A845="","",DATE(YEAR(A845),MONTH(A845),1))</f>
        <v/>
      </c>
    </row>
    <row r="846">
      <c r="A846" s="31" t="n"/>
      <c r="B846" s="32" t="n"/>
      <c r="C846" s="32" t="n"/>
      <c r="D846" s="33" t="n"/>
      <c r="E846" s="34" t="n"/>
      <c r="F846" s="35" t="n"/>
      <c r="G846" s="35" t="n"/>
      <c r="H846" s="32" t="n"/>
      <c r="I846" s="32" t="n"/>
      <c r="J846" s="32" t="n"/>
      <c r="K846" s="36">
        <f>IF(E846&lt;&gt;"",E846,IF(AND(F846&lt;&gt;"",G846&lt;&gt;""),MOD(G846-F846,1)*24,""))</f>
        <v/>
      </c>
      <c r="L846" s="37">
        <f>IF(A846="","",CHOOSE(WEEKDAY(A846,2),"Montag","Dienstag","Mittwoch","Donnerstag","Freitag","Samstag","Sonntag"))</f>
        <v/>
      </c>
      <c r="M846" s="37">
        <f>IF(A846="","",_xlfn.ISOWEEKNUM(A846))</f>
        <v/>
      </c>
      <c r="N846" s="38">
        <f>IF(A846="","",DATE(YEAR(A846),MONTH(A846),1))</f>
        <v/>
      </c>
    </row>
    <row r="847">
      <c r="A847" s="31" t="n"/>
      <c r="B847" s="32" t="n"/>
      <c r="C847" s="32" t="n"/>
      <c r="D847" s="33" t="n"/>
      <c r="E847" s="34" t="n"/>
      <c r="F847" s="35" t="n"/>
      <c r="G847" s="35" t="n"/>
      <c r="H847" s="32" t="n"/>
      <c r="I847" s="32" t="n"/>
      <c r="J847" s="32" t="n"/>
      <c r="K847" s="36">
        <f>IF(E847&lt;&gt;"",E847,IF(AND(F847&lt;&gt;"",G847&lt;&gt;""),MOD(G847-F847,1)*24,""))</f>
        <v/>
      </c>
      <c r="L847" s="37">
        <f>IF(A847="","",CHOOSE(WEEKDAY(A847,2),"Montag","Dienstag","Mittwoch","Donnerstag","Freitag","Samstag","Sonntag"))</f>
        <v/>
      </c>
      <c r="M847" s="37">
        <f>IF(A847="","",_xlfn.ISOWEEKNUM(A847))</f>
        <v/>
      </c>
      <c r="N847" s="38">
        <f>IF(A847="","",DATE(YEAR(A847),MONTH(A847),1))</f>
        <v/>
      </c>
    </row>
    <row r="848">
      <c r="A848" s="31" t="n"/>
      <c r="B848" s="32" t="n"/>
      <c r="C848" s="32" t="n"/>
      <c r="D848" s="33" t="n"/>
      <c r="E848" s="34" t="n"/>
      <c r="F848" s="35" t="n"/>
      <c r="G848" s="35" t="n"/>
      <c r="H848" s="32" t="n"/>
      <c r="I848" s="32" t="n"/>
      <c r="J848" s="32" t="n"/>
      <c r="K848" s="36">
        <f>IF(E848&lt;&gt;"",E848,IF(AND(F848&lt;&gt;"",G848&lt;&gt;""),MOD(G848-F848,1)*24,""))</f>
        <v/>
      </c>
      <c r="L848" s="37">
        <f>IF(A848="","",CHOOSE(WEEKDAY(A848,2),"Montag","Dienstag","Mittwoch","Donnerstag","Freitag","Samstag","Sonntag"))</f>
        <v/>
      </c>
      <c r="M848" s="37">
        <f>IF(A848="","",_xlfn.ISOWEEKNUM(A848))</f>
        <v/>
      </c>
      <c r="N848" s="38">
        <f>IF(A848="","",DATE(YEAR(A848),MONTH(A848),1))</f>
        <v/>
      </c>
    </row>
    <row r="849">
      <c r="A849" s="31" t="n"/>
      <c r="B849" s="32" t="n"/>
      <c r="C849" s="32" t="n"/>
      <c r="D849" s="33" t="n"/>
      <c r="E849" s="34" t="n"/>
      <c r="F849" s="35" t="n"/>
      <c r="G849" s="35" t="n"/>
      <c r="H849" s="32" t="n"/>
      <c r="I849" s="32" t="n"/>
      <c r="J849" s="32" t="n"/>
      <c r="K849" s="36">
        <f>IF(E849&lt;&gt;"",E849,IF(AND(F849&lt;&gt;"",G849&lt;&gt;""),MOD(G849-F849,1)*24,""))</f>
        <v/>
      </c>
      <c r="L849" s="37">
        <f>IF(A849="","",CHOOSE(WEEKDAY(A849,2),"Montag","Dienstag","Mittwoch","Donnerstag","Freitag","Samstag","Sonntag"))</f>
        <v/>
      </c>
      <c r="M849" s="37">
        <f>IF(A849="","",_xlfn.ISOWEEKNUM(A849))</f>
        <v/>
      </c>
      <c r="N849" s="38">
        <f>IF(A849="","",DATE(YEAR(A849),MONTH(A849),1))</f>
        <v/>
      </c>
    </row>
    <row r="850">
      <c r="A850" s="31" t="n"/>
      <c r="B850" s="32" t="n"/>
      <c r="C850" s="32" t="n"/>
      <c r="D850" s="33" t="n"/>
      <c r="E850" s="34" t="n"/>
      <c r="F850" s="35" t="n"/>
      <c r="G850" s="35" t="n"/>
      <c r="H850" s="32" t="n"/>
      <c r="I850" s="32" t="n"/>
      <c r="J850" s="32" t="n"/>
      <c r="K850" s="36">
        <f>IF(E850&lt;&gt;"",E850,IF(AND(F850&lt;&gt;"",G850&lt;&gt;""),MOD(G850-F850,1)*24,""))</f>
        <v/>
      </c>
      <c r="L850" s="37">
        <f>IF(A850="","",CHOOSE(WEEKDAY(A850,2),"Montag","Dienstag","Mittwoch","Donnerstag","Freitag","Samstag","Sonntag"))</f>
        <v/>
      </c>
      <c r="M850" s="37">
        <f>IF(A850="","",_xlfn.ISOWEEKNUM(A850))</f>
        <v/>
      </c>
      <c r="N850" s="38">
        <f>IF(A850="","",DATE(YEAR(A850),MONTH(A850),1))</f>
        <v/>
      </c>
    </row>
    <row r="851">
      <c r="A851" s="31" t="n"/>
      <c r="B851" s="32" t="n"/>
      <c r="C851" s="32" t="n"/>
      <c r="D851" s="33" t="n"/>
      <c r="E851" s="34" t="n"/>
      <c r="F851" s="35" t="n"/>
      <c r="G851" s="35" t="n"/>
      <c r="H851" s="32" t="n"/>
      <c r="I851" s="32" t="n"/>
      <c r="J851" s="32" t="n"/>
      <c r="K851" s="36">
        <f>IF(E851&lt;&gt;"",E851,IF(AND(F851&lt;&gt;"",G851&lt;&gt;""),MOD(G851-F851,1)*24,""))</f>
        <v/>
      </c>
      <c r="L851" s="37">
        <f>IF(A851="","",CHOOSE(WEEKDAY(A851,2),"Montag","Dienstag","Mittwoch","Donnerstag","Freitag","Samstag","Sonntag"))</f>
        <v/>
      </c>
      <c r="M851" s="37">
        <f>IF(A851="","",_xlfn.ISOWEEKNUM(A851))</f>
        <v/>
      </c>
      <c r="N851" s="38">
        <f>IF(A851="","",DATE(YEAR(A851),MONTH(A851),1))</f>
        <v/>
      </c>
    </row>
    <row r="852">
      <c r="A852" s="31" t="n"/>
      <c r="B852" s="32" t="n"/>
      <c r="C852" s="32" t="n"/>
      <c r="D852" s="33" t="n"/>
      <c r="E852" s="34" t="n"/>
      <c r="F852" s="35" t="n"/>
      <c r="G852" s="35" t="n"/>
      <c r="H852" s="32" t="n"/>
      <c r="I852" s="32" t="n"/>
      <c r="J852" s="32" t="n"/>
      <c r="K852" s="36">
        <f>IF(E852&lt;&gt;"",E852,IF(AND(F852&lt;&gt;"",G852&lt;&gt;""),MOD(G852-F852,1)*24,""))</f>
        <v/>
      </c>
      <c r="L852" s="37">
        <f>IF(A852="","",CHOOSE(WEEKDAY(A852,2),"Montag","Dienstag","Mittwoch","Donnerstag","Freitag","Samstag","Sonntag"))</f>
        <v/>
      </c>
      <c r="M852" s="37">
        <f>IF(A852="","",_xlfn.ISOWEEKNUM(A852))</f>
        <v/>
      </c>
      <c r="N852" s="38">
        <f>IF(A852="","",DATE(YEAR(A852),MONTH(A852),1))</f>
        <v/>
      </c>
    </row>
    <row r="853">
      <c r="A853" s="31" t="n"/>
      <c r="B853" s="32" t="n"/>
      <c r="C853" s="32" t="n"/>
      <c r="D853" s="33" t="n"/>
      <c r="E853" s="34" t="n"/>
      <c r="F853" s="35" t="n"/>
      <c r="G853" s="35" t="n"/>
      <c r="H853" s="32" t="n"/>
      <c r="I853" s="32" t="n"/>
      <c r="J853" s="32" t="n"/>
      <c r="K853" s="36">
        <f>IF(E853&lt;&gt;"",E853,IF(AND(F853&lt;&gt;"",G853&lt;&gt;""),MOD(G853-F853,1)*24,""))</f>
        <v/>
      </c>
      <c r="L853" s="37">
        <f>IF(A853="","",CHOOSE(WEEKDAY(A853,2),"Montag","Dienstag","Mittwoch","Donnerstag","Freitag","Samstag","Sonntag"))</f>
        <v/>
      </c>
      <c r="M853" s="37">
        <f>IF(A853="","",_xlfn.ISOWEEKNUM(A853))</f>
        <v/>
      </c>
      <c r="N853" s="38">
        <f>IF(A853="","",DATE(YEAR(A853),MONTH(A853),1))</f>
        <v/>
      </c>
    </row>
    <row r="854">
      <c r="A854" s="31" t="n"/>
      <c r="B854" s="32" t="n"/>
      <c r="C854" s="32" t="n"/>
      <c r="D854" s="33" t="n"/>
      <c r="E854" s="34" t="n"/>
      <c r="F854" s="35" t="n"/>
      <c r="G854" s="35" t="n"/>
      <c r="H854" s="32" t="n"/>
      <c r="I854" s="32" t="n"/>
      <c r="J854" s="32" t="n"/>
      <c r="K854" s="36">
        <f>IF(E854&lt;&gt;"",E854,IF(AND(F854&lt;&gt;"",G854&lt;&gt;""),MOD(G854-F854,1)*24,""))</f>
        <v/>
      </c>
      <c r="L854" s="37">
        <f>IF(A854="","",CHOOSE(WEEKDAY(A854,2),"Montag","Dienstag","Mittwoch","Donnerstag","Freitag","Samstag","Sonntag"))</f>
        <v/>
      </c>
      <c r="M854" s="37">
        <f>IF(A854="","",_xlfn.ISOWEEKNUM(A854))</f>
        <v/>
      </c>
      <c r="N854" s="38">
        <f>IF(A854="","",DATE(YEAR(A854),MONTH(A854),1))</f>
        <v/>
      </c>
    </row>
    <row r="855">
      <c r="A855" s="31" t="n"/>
      <c r="B855" s="32" t="n"/>
      <c r="C855" s="32" t="n"/>
      <c r="D855" s="33" t="n"/>
      <c r="E855" s="34" t="n"/>
      <c r="F855" s="35" t="n"/>
      <c r="G855" s="35" t="n"/>
      <c r="H855" s="32" t="n"/>
      <c r="I855" s="32" t="n"/>
      <c r="J855" s="32" t="n"/>
      <c r="K855" s="36">
        <f>IF(E855&lt;&gt;"",E855,IF(AND(F855&lt;&gt;"",G855&lt;&gt;""),MOD(G855-F855,1)*24,""))</f>
        <v/>
      </c>
      <c r="L855" s="37">
        <f>IF(A855="","",CHOOSE(WEEKDAY(A855,2),"Montag","Dienstag","Mittwoch","Donnerstag","Freitag","Samstag","Sonntag"))</f>
        <v/>
      </c>
      <c r="M855" s="37">
        <f>IF(A855="","",_xlfn.ISOWEEKNUM(A855))</f>
        <v/>
      </c>
      <c r="N855" s="38">
        <f>IF(A855="","",DATE(YEAR(A855),MONTH(A855),1))</f>
        <v/>
      </c>
    </row>
    <row r="856">
      <c r="A856" s="31" t="n"/>
      <c r="B856" s="32" t="n"/>
      <c r="C856" s="32" t="n"/>
      <c r="D856" s="33" t="n"/>
      <c r="E856" s="34" t="n"/>
      <c r="F856" s="35" t="n"/>
      <c r="G856" s="35" t="n"/>
      <c r="H856" s="32" t="n"/>
      <c r="I856" s="32" t="n"/>
      <c r="J856" s="32" t="n"/>
      <c r="K856" s="36">
        <f>IF(E856&lt;&gt;"",E856,IF(AND(F856&lt;&gt;"",G856&lt;&gt;""),MOD(G856-F856,1)*24,""))</f>
        <v/>
      </c>
      <c r="L856" s="37">
        <f>IF(A856="","",CHOOSE(WEEKDAY(A856,2),"Montag","Dienstag","Mittwoch","Donnerstag","Freitag","Samstag","Sonntag"))</f>
        <v/>
      </c>
      <c r="M856" s="37">
        <f>IF(A856="","",_xlfn.ISOWEEKNUM(A856))</f>
        <v/>
      </c>
      <c r="N856" s="38">
        <f>IF(A856="","",DATE(YEAR(A856),MONTH(A856),1))</f>
        <v/>
      </c>
    </row>
    <row r="857">
      <c r="A857" s="31" t="n"/>
      <c r="B857" s="32" t="n"/>
      <c r="C857" s="32" t="n"/>
      <c r="D857" s="33" t="n"/>
      <c r="E857" s="34" t="n"/>
      <c r="F857" s="35" t="n"/>
      <c r="G857" s="35" t="n"/>
      <c r="H857" s="32" t="n"/>
      <c r="I857" s="32" t="n"/>
      <c r="J857" s="32" t="n"/>
      <c r="K857" s="36">
        <f>IF(E857&lt;&gt;"",E857,IF(AND(F857&lt;&gt;"",G857&lt;&gt;""),MOD(G857-F857,1)*24,""))</f>
        <v/>
      </c>
      <c r="L857" s="37">
        <f>IF(A857="","",CHOOSE(WEEKDAY(A857,2),"Montag","Dienstag","Mittwoch","Donnerstag","Freitag","Samstag","Sonntag"))</f>
        <v/>
      </c>
      <c r="M857" s="37">
        <f>IF(A857="","",_xlfn.ISOWEEKNUM(A857))</f>
        <v/>
      </c>
      <c r="N857" s="38">
        <f>IF(A857="","",DATE(YEAR(A857),MONTH(A857),1))</f>
        <v/>
      </c>
    </row>
    <row r="858">
      <c r="A858" s="31" t="n"/>
      <c r="B858" s="32" t="n"/>
      <c r="C858" s="32" t="n"/>
      <c r="D858" s="33" t="n"/>
      <c r="E858" s="34" t="n"/>
      <c r="F858" s="35" t="n"/>
      <c r="G858" s="35" t="n"/>
      <c r="H858" s="32" t="n"/>
      <c r="I858" s="32" t="n"/>
      <c r="J858" s="32" t="n"/>
      <c r="K858" s="36">
        <f>IF(E858&lt;&gt;"",E858,IF(AND(F858&lt;&gt;"",G858&lt;&gt;""),MOD(G858-F858,1)*24,""))</f>
        <v/>
      </c>
      <c r="L858" s="37">
        <f>IF(A858="","",CHOOSE(WEEKDAY(A858,2),"Montag","Dienstag","Mittwoch","Donnerstag","Freitag","Samstag","Sonntag"))</f>
        <v/>
      </c>
      <c r="M858" s="37">
        <f>IF(A858="","",_xlfn.ISOWEEKNUM(A858))</f>
        <v/>
      </c>
      <c r="N858" s="38">
        <f>IF(A858="","",DATE(YEAR(A858),MONTH(A858),1))</f>
        <v/>
      </c>
    </row>
    <row r="859">
      <c r="A859" s="31" t="n"/>
      <c r="B859" s="32" t="n"/>
      <c r="C859" s="32" t="n"/>
      <c r="D859" s="33" t="n"/>
      <c r="E859" s="34" t="n"/>
      <c r="F859" s="35" t="n"/>
      <c r="G859" s="35" t="n"/>
      <c r="H859" s="32" t="n"/>
      <c r="I859" s="32" t="n"/>
      <c r="J859" s="32" t="n"/>
      <c r="K859" s="36">
        <f>IF(E859&lt;&gt;"",E859,IF(AND(F859&lt;&gt;"",G859&lt;&gt;""),MOD(G859-F859,1)*24,""))</f>
        <v/>
      </c>
      <c r="L859" s="37">
        <f>IF(A859="","",CHOOSE(WEEKDAY(A859,2),"Montag","Dienstag","Mittwoch","Donnerstag","Freitag","Samstag","Sonntag"))</f>
        <v/>
      </c>
      <c r="M859" s="37">
        <f>IF(A859="","",_xlfn.ISOWEEKNUM(A859))</f>
        <v/>
      </c>
      <c r="N859" s="38">
        <f>IF(A859="","",DATE(YEAR(A859),MONTH(A859),1))</f>
        <v/>
      </c>
    </row>
    <row r="860">
      <c r="A860" s="31" t="n"/>
      <c r="B860" s="32" t="n"/>
      <c r="C860" s="32" t="n"/>
      <c r="D860" s="33" t="n"/>
      <c r="E860" s="34" t="n"/>
      <c r="F860" s="35" t="n"/>
      <c r="G860" s="35" t="n"/>
      <c r="H860" s="32" t="n"/>
      <c r="I860" s="32" t="n"/>
      <c r="J860" s="32" t="n"/>
      <c r="K860" s="36">
        <f>IF(E860&lt;&gt;"",E860,IF(AND(F860&lt;&gt;"",G860&lt;&gt;""),MOD(G860-F860,1)*24,""))</f>
        <v/>
      </c>
      <c r="L860" s="37">
        <f>IF(A860="","",CHOOSE(WEEKDAY(A860,2),"Montag","Dienstag","Mittwoch","Donnerstag","Freitag","Samstag","Sonntag"))</f>
        <v/>
      </c>
      <c r="M860" s="37">
        <f>IF(A860="","",_xlfn.ISOWEEKNUM(A860))</f>
        <v/>
      </c>
      <c r="N860" s="38">
        <f>IF(A860="","",DATE(YEAR(A860),MONTH(A860),1))</f>
        <v/>
      </c>
    </row>
    <row r="861">
      <c r="A861" s="31" t="n"/>
      <c r="B861" s="32" t="n"/>
      <c r="C861" s="32" t="n"/>
      <c r="D861" s="33" t="n"/>
      <c r="E861" s="34" t="n"/>
      <c r="F861" s="35" t="n"/>
      <c r="G861" s="35" t="n"/>
      <c r="H861" s="32" t="n"/>
      <c r="I861" s="32" t="n"/>
      <c r="J861" s="32" t="n"/>
      <c r="K861" s="36">
        <f>IF(E861&lt;&gt;"",E861,IF(AND(F861&lt;&gt;"",G861&lt;&gt;""),MOD(G861-F861,1)*24,""))</f>
        <v/>
      </c>
      <c r="L861" s="37">
        <f>IF(A861="","",CHOOSE(WEEKDAY(A861,2),"Montag","Dienstag","Mittwoch","Donnerstag","Freitag","Samstag","Sonntag"))</f>
        <v/>
      </c>
      <c r="M861" s="37">
        <f>IF(A861="","",_xlfn.ISOWEEKNUM(A861))</f>
        <v/>
      </c>
      <c r="N861" s="38">
        <f>IF(A861="","",DATE(YEAR(A861),MONTH(A861),1))</f>
        <v/>
      </c>
    </row>
    <row r="862">
      <c r="A862" s="31" t="n"/>
      <c r="B862" s="32" t="n"/>
      <c r="C862" s="32" t="n"/>
      <c r="D862" s="33" t="n"/>
      <c r="E862" s="34" t="n"/>
      <c r="F862" s="35" t="n"/>
      <c r="G862" s="35" t="n"/>
      <c r="H862" s="32" t="n"/>
      <c r="I862" s="32" t="n"/>
      <c r="J862" s="32" t="n"/>
      <c r="K862" s="36">
        <f>IF(E862&lt;&gt;"",E862,IF(AND(F862&lt;&gt;"",G862&lt;&gt;""),MOD(G862-F862,1)*24,""))</f>
        <v/>
      </c>
      <c r="L862" s="37">
        <f>IF(A862="","",CHOOSE(WEEKDAY(A862,2),"Montag","Dienstag","Mittwoch","Donnerstag","Freitag","Samstag","Sonntag"))</f>
        <v/>
      </c>
      <c r="M862" s="37">
        <f>IF(A862="","",_xlfn.ISOWEEKNUM(A862))</f>
        <v/>
      </c>
      <c r="N862" s="38">
        <f>IF(A862="","",DATE(YEAR(A862),MONTH(A862),1))</f>
        <v/>
      </c>
    </row>
    <row r="863">
      <c r="A863" s="31" t="n"/>
      <c r="B863" s="32" t="n"/>
      <c r="C863" s="32" t="n"/>
      <c r="D863" s="33" t="n"/>
      <c r="E863" s="34" t="n"/>
      <c r="F863" s="35" t="n"/>
      <c r="G863" s="35" t="n"/>
      <c r="H863" s="32" t="n"/>
      <c r="I863" s="32" t="n"/>
      <c r="J863" s="32" t="n"/>
      <c r="K863" s="36">
        <f>IF(E863&lt;&gt;"",E863,IF(AND(F863&lt;&gt;"",G863&lt;&gt;""),MOD(G863-F863,1)*24,""))</f>
        <v/>
      </c>
      <c r="L863" s="37">
        <f>IF(A863="","",CHOOSE(WEEKDAY(A863,2),"Montag","Dienstag","Mittwoch","Donnerstag","Freitag","Samstag","Sonntag"))</f>
        <v/>
      </c>
      <c r="M863" s="37">
        <f>IF(A863="","",_xlfn.ISOWEEKNUM(A863))</f>
        <v/>
      </c>
      <c r="N863" s="38">
        <f>IF(A863="","",DATE(YEAR(A863),MONTH(A863),1))</f>
        <v/>
      </c>
    </row>
    <row r="864">
      <c r="A864" s="31" t="n"/>
      <c r="B864" s="32" t="n"/>
      <c r="C864" s="32" t="n"/>
      <c r="D864" s="33" t="n"/>
      <c r="E864" s="34" t="n"/>
      <c r="F864" s="35" t="n"/>
      <c r="G864" s="35" t="n"/>
      <c r="H864" s="32" t="n"/>
      <c r="I864" s="32" t="n"/>
      <c r="J864" s="32" t="n"/>
      <c r="K864" s="36">
        <f>IF(E864&lt;&gt;"",E864,IF(AND(F864&lt;&gt;"",G864&lt;&gt;""),MOD(G864-F864,1)*24,""))</f>
        <v/>
      </c>
      <c r="L864" s="37">
        <f>IF(A864="","",CHOOSE(WEEKDAY(A864,2),"Montag","Dienstag","Mittwoch","Donnerstag","Freitag","Samstag","Sonntag"))</f>
        <v/>
      </c>
      <c r="M864" s="37">
        <f>IF(A864="","",_xlfn.ISOWEEKNUM(A864))</f>
        <v/>
      </c>
      <c r="N864" s="38">
        <f>IF(A864="","",DATE(YEAR(A864),MONTH(A864),1))</f>
        <v/>
      </c>
    </row>
    <row r="865">
      <c r="A865" s="31" t="n"/>
      <c r="B865" s="32" t="n"/>
      <c r="C865" s="32" t="n"/>
      <c r="D865" s="33" t="n"/>
      <c r="E865" s="34" t="n"/>
      <c r="F865" s="35" t="n"/>
      <c r="G865" s="35" t="n"/>
      <c r="H865" s="32" t="n"/>
      <c r="I865" s="32" t="n"/>
      <c r="J865" s="32" t="n"/>
      <c r="K865" s="36">
        <f>IF(E865&lt;&gt;"",E865,IF(AND(F865&lt;&gt;"",G865&lt;&gt;""),MOD(G865-F865,1)*24,""))</f>
        <v/>
      </c>
      <c r="L865" s="37">
        <f>IF(A865="","",CHOOSE(WEEKDAY(A865,2),"Montag","Dienstag","Mittwoch","Donnerstag","Freitag","Samstag","Sonntag"))</f>
        <v/>
      </c>
      <c r="M865" s="37">
        <f>IF(A865="","",_xlfn.ISOWEEKNUM(A865))</f>
        <v/>
      </c>
      <c r="N865" s="38">
        <f>IF(A865="","",DATE(YEAR(A865),MONTH(A865),1))</f>
        <v/>
      </c>
    </row>
    <row r="866">
      <c r="A866" s="31" t="n"/>
      <c r="B866" s="32" t="n"/>
      <c r="C866" s="32" t="n"/>
      <c r="D866" s="33" t="n"/>
      <c r="E866" s="34" t="n"/>
      <c r="F866" s="35" t="n"/>
      <c r="G866" s="35" t="n"/>
      <c r="H866" s="32" t="n"/>
      <c r="I866" s="32" t="n"/>
      <c r="J866" s="32" t="n"/>
      <c r="K866" s="36">
        <f>IF(E866&lt;&gt;"",E866,IF(AND(F866&lt;&gt;"",G866&lt;&gt;""),MOD(G866-F866,1)*24,""))</f>
        <v/>
      </c>
      <c r="L866" s="37">
        <f>IF(A866="","",CHOOSE(WEEKDAY(A866,2),"Montag","Dienstag","Mittwoch","Donnerstag","Freitag","Samstag","Sonntag"))</f>
        <v/>
      </c>
      <c r="M866" s="37">
        <f>IF(A866="","",_xlfn.ISOWEEKNUM(A866))</f>
        <v/>
      </c>
      <c r="N866" s="38">
        <f>IF(A866="","",DATE(YEAR(A866),MONTH(A866),1))</f>
        <v/>
      </c>
    </row>
    <row r="867">
      <c r="A867" s="31" t="n"/>
      <c r="B867" s="32" t="n"/>
      <c r="C867" s="32" t="n"/>
      <c r="D867" s="33" t="n"/>
      <c r="E867" s="34" t="n"/>
      <c r="F867" s="35" t="n"/>
      <c r="G867" s="35" t="n"/>
      <c r="H867" s="32" t="n"/>
      <c r="I867" s="32" t="n"/>
      <c r="J867" s="32" t="n"/>
      <c r="K867" s="36">
        <f>IF(E867&lt;&gt;"",E867,IF(AND(F867&lt;&gt;"",G867&lt;&gt;""),MOD(G867-F867,1)*24,""))</f>
        <v/>
      </c>
      <c r="L867" s="37">
        <f>IF(A867="","",CHOOSE(WEEKDAY(A867,2),"Montag","Dienstag","Mittwoch","Donnerstag","Freitag","Samstag","Sonntag"))</f>
        <v/>
      </c>
      <c r="M867" s="37">
        <f>IF(A867="","",_xlfn.ISOWEEKNUM(A867))</f>
        <v/>
      </c>
      <c r="N867" s="38">
        <f>IF(A867="","",DATE(YEAR(A867),MONTH(A867),1))</f>
        <v/>
      </c>
    </row>
    <row r="868">
      <c r="A868" s="31" t="n"/>
      <c r="B868" s="32" t="n"/>
      <c r="C868" s="32" t="n"/>
      <c r="D868" s="33" t="n"/>
      <c r="E868" s="34" t="n"/>
      <c r="F868" s="35" t="n"/>
      <c r="G868" s="35" t="n"/>
      <c r="H868" s="32" t="n"/>
      <c r="I868" s="32" t="n"/>
      <c r="J868" s="32" t="n"/>
      <c r="K868" s="36">
        <f>IF(E868&lt;&gt;"",E868,IF(AND(F868&lt;&gt;"",G868&lt;&gt;""),MOD(G868-F868,1)*24,""))</f>
        <v/>
      </c>
      <c r="L868" s="37">
        <f>IF(A868="","",CHOOSE(WEEKDAY(A868,2),"Montag","Dienstag","Mittwoch","Donnerstag","Freitag","Samstag","Sonntag"))</f>
        <v/>
      </c>
      <c r="M868" s="37">
        <f>IF(A868="","",_xlfn.ISOWEEKNUM(A868))</f>
        <v/>
      </c>
      <c r="N868" s="38">
        <f>IF(A868="","",DATE(YEAR(A868),MONTH(A868),1))</f>
        <v/>
      </c>
    </row>
    <row r="869">
      <c r="A869" s="31" t="n"/>
      <c r="B869" s="32" t="n"/>
      <c r="C869" s="32" t="n"/>
      <c r="D869" s="33" t="n"/>
      <c r="E869" s="34" t="n"/>
      <c r="F869" s="35" t="n"/>
      <c r="G869" s="35" t="n"/>
      <c r="H869" s="32" t="n"/>
      <c r="I869" s="32" t="n"/>
      <c r="J869" s="32" t="n"/>
      <c r="K869" s="36">
        <f>IF(E869&lt;&gt;"",E869,IF(AND(F869&lt;&gt;"",G869&lt;&gt;""),MOD(G869-F869,1)*24,""))</f>
        <v/>
      </c>
      <c r="L869" s="37">
        <f>IF(A869="","",CHOOSE(WEEKDAY(A869,2),"Montag","Dienstag","Mittwoch","Donnerstag","Freitag","Samstag","Sonntag"))</f>
        <v/>
      </c>
      <c r="M869" s="37">
        <f>IF(A869="","",_xlfn.ISOWEEKNUM(A869))</f>
        <v/>
      </c>
      <c r="N869" s="38">
        <f>IF(A869="","",DATE(YEAR(A869),MONTH(A869),1))</f>
        <v/>
      </c>
    </row>
    <row r="870">
      <c r="A870" s="31" t="n"/>
      <c r="B870" s="32" t="n"/>
      <c r="C870" s="32" t="n"/>
      <c r="D870" s="33" t="n"/>
      <c r="E870" s="34" t="n"/>
      <c r="F870" s="35" t="n"/>
      <c r="G870" s="35" t="n"/>
      <c r="H870" s="32" t="n"/>
      <c r="I870" s="32" t="n"/>
      <c r="J870" s="32" t="n"/>
      <c r="K870" s="36">
        <f>IF(E870&lt;&gt;"",E870,IF(AND(F870&lt;&gt;"",G870&lt;&gt;""),MOD(G870-F870,1)*24,""))</f>
        <v/>
      </c>
      <c r="L870" s="37">
        <f>IF(A870="","",CHOOSE(WEEKDAY(A870,2),"Montag","Dienstag","Mittwoch","Donnerstag","Freitag","Samstag","Sonntag"))</f>
        <v/>
      </c>
      <c r="M870" s="37">
        <f>IF(A870="","",_xlfn.ISOWEEKNUM(A870))</f>
        <v/>
      </c>
      <c r="N870" s="38">
        <f>IF(A870="","",DATE(YEAR(A870),MONTH(A870),1))</f>
        <v/>
      </c>
    </row>
    <row r="871">
      <c r="A871" s="31" t="n"/>
      <c r="B871" s="32" t="n"/>
      <c r="C871" s="32" t="n"/>
      <c r="D871" s="33" t="n"/>
      <c r="E871" s="34" t="n"/>
      <c r="F871" s="35" t="n"/>
      <c r="G871" s="35" t="n"/>
      <c r="H871" s="32" t="n"/>
      <c r="I871" s="32" t="n"/>
      <c r="J871" s="32" t="n"/>
      <c r="K871" s="36">
        <f>IF(E871&lt;&gt;"",E871,IF(AND(F871&lt;&gt;"",G871&lt;&gt;""),MOD(G871-F871,1)*24,""))</f>
        <v/>
      </c>
      <c r="L871" s="37">
        <f>IF(A871="","",CHOOSE(WEEKDAY(A871,2),"Montag","Dienstag","Mittwoch","Donnerstag","Freitag","Samstag","Sonntag"))</f>
        <v/>
      </c>
      <c r="M871" s="37">
        <f>IF(A871="","",_xlfn.ISOWEEKNUM(A871))</f>
        <v/>
      </c>
      <c r="N871" s="38">
        <f>IF(A871="","",DATE(YEAR(A871),MONTH(A871),1))</f>
        <v/>
      </c>
    </row>
    <row r="872">
      <c r="A872" s="31" t="n"/>
      <c r="B872" s="32" t="n"/>
      <c r="C872" s="32" t="n"/>
      <c r="D872" s="33" t="n"/>
      <c r="E872" s="34" t="n"/>
      <c r="F872" s="35" t="n"/>
      <c r="G872" s="35" t="n"/>
      <c r="H872" s="32" t="n"/>
      <c r="I872" s="32" t="n"/>
      <c r="J872" s="32" t="n"/>
      <c r="K872" s="36">
        <f>IF(E872&lt;&gt;"",E872,IF(AND(F872&lt;&gt;"",G872&lt;&gt;""),MOD(G872-F872,1)*24,""))</f>
        <v/>
      </c>
      <c r="L872" s="37">
        <f>IF(A872="","",CHOOSE(WEEKDAY(A872,2),"Montag","Dienstag","Mittwoch","Donnerstag","Freitag","Samstag","Sonntag"))</f>
        <v/>
      </c>
      <c r="M872" s="37">
        <f>IF(A872="","",_xlfn.ISOWEEKNUM(A872))</f>
        <v/>
      </c>
      <c r="N872" s="38">
        <f>IF(A872="","",DATE(YEAR(A872),MONTH(A872),1))</f>
        <v/>
      </c>
    </row>
    <row r="873">
      <c r="A873" s="31" t="n"/>
      <c r="B873" s="32" t="n"/>
      <c r="C873" s="32" t="n"/>
      <c r="D873" s="33" t="n"/>
      <c r="E873" s="34" t="n"/>
      <c r="F873" s="35" t="n"/>
      <c r="G873" s="35" t="n"/>
      <c r="H873" s="32" t="n"/>
      <c r="I873" s="32" t="n"/>
      <c r="J873" s="32" t="n"/>
      <c r="K873" s="36">
        <f>IF(E873&lt;&gt;"",E873,IF(AND(F873&lt;&gt;"",G873&lt;&gt;""),MOD(G873-F873,1)*24,""))</f>
        <v/>
      </c>
      <c r="L873" s="37">
        <f>IF(A873="","",CHOOSE(WEEKDAY(A873,2),"Montag","Dienstag","Mittwoch","Donnerstag","Freitag","Samstag","Sonntag"))</f>
        <v/>
      </c>
      <c r="M873" s="37">
        <f>IF(A873="","",_xlfn.ISOWEEKNUM(A873))</f>
        <v/>
      </c>
      <c r="N873" s="38">
        <f>IF(A873="","",DATE(YEAR(A873),MONTH(A873),1))</f>
        <v/>
      </c>
    </row>
    <row r="874">
      <c r="A874" s="31" t="n"/>
      <c r="B874" s="32" t="n"/>
      <c r="C874" s="32" t="n"/>
      <c r="D874" s="33" t="n"/>
      <c r="E874" s="34" t="n"/>
      <c r="F874" s="35" t="n"/>
      <c r="G874" s="35" t="n"/>
      <c r="H874" s="32" t="n"/>
      <c r="I874" s="32" t="n"/>
      <c r="J874" s="32" t="n"/>
      <c r="K874" s="36">
        <f>IF(E874&lt;&gt;"",E874,IF(AND(F874&lt;&gt;"",G874&lt;&gt;""),MOD(G874-F874,1)*24,""))</f>
        <v/>
      </c>
      <c r="L874" s="37">
        <f>IF(A874="","",CHOOSE(WEEKDAY(A874,2),"Montag","Dienstag","Mittwoch","Donnerstag","Freitag","Samstag","Sonntag"))</f>
        <v/>
      </c>
      <c r="M874" s="37">
        <f>IF(A874="","",_xlfn.ISOWEEKNUM(A874))</f>
        <v/>
      </c>
      <c r="N874" s="38">
        <f>IF(A874="","",DATE(YEAR(A874),MONTH(A874),1))</f>
        <v/>
      </c>
    </row>
    <row r="875">
      <c r="A875" s="31" t="n"/>
      <c r="B875" s="32" t="n"/>
      <c r="C875" s="32" t="n"/>
      <c r="D875" s="33" t="n"/>
      <c r="E875" s="34" t="n"/>
      <c r="F875" s="35" t="n"/>
      <c r="G875" s="35" t="n"/>
      <c r="H875" s="32" t="n"/>
      <c r="I875" s="32" t="n"/>
      <c r="J875" s="32" t="n"/>
      <c r="K875" s="36">
        <f>IF(E875&lt;&gt;"",E875,IF(AND(F875&lt;&gt;"",G875&lt;&gt;""),MOD(G875-F875,1)*24,""))</f>
        <v/>
      </c>
      <c r="L875" s="37">
        <f>IF(A875="","",CHOOSE(WEEKDAY(A875,2),"Montag","Dienstag","Mittwoch","Donnerstag","Freitag","Samstag","Sonntag"))</f>
        <v/>
      </c>
      <c r="M875" s="37">
        <f>IF(A875="","",_xlfn.ISOWEEKNUM(A875))</f>
        <v/>
      </c>
      <c r="N875" s="38">
        <f>IF(A875="","",DATE(YEAR(A875),MONTH(A875),1))</f>
        <v/>
      </c>
    </row>
    <row r="876">
      <c r="A876" s="31" t="n"/>
      <c r="B876" s="32" t="n"/>
      <c r="C876" s="32" t="n"/>
      <c r="D876" s="33" t="n"/>
      <c r="E876" s="34" t="n"/>
      <c r="F876" s="35" t="n"/>
      <c r="G876" s="35" t="n"/>
      <c r="H876" s="32" t="n"/>
      <c r="I876" s="32" t="n"/>
      <c r="J876" s="32" t="n"/>
      <c r="K876" s="36">
        <f>IF(E876&lt;&gt;"",E876,IF(AND(F876&lt;&gt;"",G876&lt;&gt;""),MOD(G876-F876,1)*24,""))</f>
        <v/>
      </c>
      <c r="L876" s="37">
        <f>IF(A876="","",CHOOSE(WEEKDAY(A876,2),"Montag","Dienstag","Mittwoch","Donnerstag","Freitag","Samstag","Sonntag"))</f>
        <v/>
      </c>
      <c r="M876" s="37">
        <f>IF(A876="","",_xlfn.ISOWEEKNUM(A876))</f>
        <v/>
      </c>
      <c r="N876" s="38">
        <f>IF(A876="","",DATE(YEAR(A876),MONTH(A876),1))</f>
        <v/>
      </c>
    </row>
    <row r="877">
      <c r="A877" s="31" t="n"/>
      <c r="B877" s="32" t="n"/>
      <c r="C877" s="32" t="n"/>
      <c r="D877" s="33" t="n"/>
      <c r="E877" s="34" t="n"/>
      <c r="F877" s="35" t="n"/>
      <c r="G877" s="35" t="n"/>
      <c r="H877" s="32" t="n"/>
      <c r="I877" s="32" t="n"/>
      <c r="J877" s="32" t="n"/>
      <c r="K877" s="36">
        <f>IF(E877&lt;&gt;"",E877,IF(AND(F877&lt;&gt;"",G877&lt;&gt;""),MOD(G877-F877,1)*24,""))</f>
        <v/>
      </c>
      <c r="L877" s="37">
        <f>IF(A877="","",CHOOSE(WEEKDAY(A877,2),"Montag","Dienstag","Mittwoch","Donnerstag","Freitag","Samstag","Sonntag"))</f>
        <v/>
      </c>
      <c r="M877" s="37">
        <f>IF(A877="","",_xlfn.ISOWEEKNUM(A877))</f>
        <v/>
      </c>
      <c r="N877" s="38">
        <f>IF(A877="","",DATE(YEAR(A877),MONTH(A877),1))</f>
        <v/>
      </c>
    </row>
    <row r="878">
      <c r="A878" s="31" t="n"/>
      <c r="B878" s="32" t="n"/>
      <c r="C878" s="32" t="n"/>
      <c r="D878" s="33" t="n"/>
      <c r="E878" s="34" t="n"/>
      <c r="F878" s="35" t="n"/>
      <c r="G878" s="35" t="n"/>
      <c r="H878" s="32" t="n"/>
      <c r="I878" s="32" t="n"/>
      <c r="J878" s="32" t="n"/>
      <c r="K878" s="36">
        <f>IF(E878&lt;&gt;"",E878,IF(AND(F878&lt;&gt;"",G878&lt;&gt;""),MOD(G878-F878,1)*24,""))</f>
        <v/>
      </c>
      <c r="L878" s="37">
        <f>IF(A878="","",CHOOSE(WEEKDAY(A878,2),"Montag","Dienstag","Mittwoch","Donnerstag","Freitag","Samstag","Sonntag"))</f>
        <v/>
      </c>
      <c r="M878" s="37">
        <f>IF(A878="","",_xlfn.ISOWEEKNUM(A878))</f>
        <v/>
      </c>
      <c r="N878" s="38">
        <f>IF(A878="","",DATE(YEAR(A878),MONTH(A878),1))</f>
        <v/>
      </c>
    </row>
    <row r="879">
      <c r="A879" s="31" t="n"/>
      <c r="B879" s="32" t="n"/>
      <c r="C879" s="32" t="n"/>
      <c r="D879" s="33" t="n"/>
      <c r="E879" s="34" t="n"/>
      <c r="F879" s="35" t="n"/>
      <c r="G879" s="35" t="n"/>
      <c r="H879" s="32" t="n"/>
      <c r="I879" s="32" t="n"/>
      <c r="J879" s="32" t="n"/>
      <c r="K879" s="36">
        <f>IF(E879&lt;&gt;"",E879,IF(AND(F879&lt;&gt;"",G879&lt;&gt;""),MOD(G879-F879,1)*24,""))</f>
        <v/>
      </c>
      <c r="L879" s="37">
        <f>IF(A879="","",CHOOSE(WEEKDAY(A879,2),"Montag","Dienstag","Mittwoch","Donnerstag","Freitag","Samstag","Sonntag"))</f>
        <v/>
      </c>
      <c r="M879" s="37">
        <f>IF(A879="","",_xlfn.ISOWEEKNUM(A879))</f>
        <v/>
      </c>
      <c r="N879" s="38">
        <f>IF(A879="","",DATE(YEAR(A879),MONTH(A879),1))</f>
        <v/>
      </c>
    </row>
    <row r="880">
      <c r="A880" s="31" t="n"/>
      <c r="B880" s="32" t="n"/>
      <c r="C880" s="32" t="n"/>
      <c r="D880" s="33" t="n"/>
      <c r="E880" s="34" t="n"/>
      <c r="F880" s="35" t="n"/>
      <c r="G880" s="35" t="n"/>
      <c r="H880" s="32" t="n"/>
      <c r="I880" s="32" t="n"/>
      <c r="J880" s="32" t="n"/>
      <c r="K880" s="36">
        <f>IF(E880&lt;&gt;"",E880,IF(AND(F880&lt;&gt;"",G880&lt;&gt;""),MOD(G880-F880,1)*24,""))</f>
        <v/>
      </c>
      <c r="L880" s="37">
        <f>IF(A880="","",CHOOSE(WEEKDAY(A880,2),"Montag","Dienstag","Mittwoch","Donnerstag","Freitag","Samstag","Sonntag"))</f>
        <v/>
      </c>
      <c r="M880" s="37">
        <f>IF(A880="","",_xlfn.ISOWEEKNUM(A880))</f>
        <v/>
      </c>
      <c r="N880" s="38">
        <f>IF(A880="","",DATE(YEAR(A880),MONTH(A880),1))</f>
        <v/>
      </c>
    </row>
    <row r="881">
      <c r="A881" s="31" t="n"/>
      <c r="B881" s="32" t="n"/>
      <c r="C881" s="32" t="n"/>
      <c r="D881" s="33" t="n"/>
      <c r="E881" s="34" t="n"/>
      <c r="F881" s="35" t="n"/>
      <c r="G881" s="35" t="n"/>
      <c r="H881" s="32" t="n"/>
      <c r="I881" s="32" t="n"/>
      <c r="J881" s="32" t="n"/>
      <c r="K881" s="36">
        <f>IF(E881&lt;&gt;"",E881,IF(AND(F881&lt;&gt;"",G881&lt;&gt;""),MOD(G881-F881,1)*24,""))</f>
        <v/>
      </c>
      <c r="L881" s="37">
        <f>IF(A881="","",CHOOSE(WEEKDAY(A881,2),"Montag","Dienstag","Mittwoch","Donnerstag","Freitag","Samstag","Sonntag"))</f>
        <v/>
      </c>
      <c r="M881" s="37">
        <f>IF(A881="","",_xlfn.ISOWEEKNUM(A881))</f>
        <v/>
      </c>
      <c r="N881" s="38">
        <f>IF(A881="","",DATE(YEAR(A881),MONTH(A881),1))</f>
        <v/>
      </c>
    </row>
    <row r="882">
      <c r="A882" s="31" t="n"/>
      <c r="B882" s="32" t="n"/>
      <c r="C882" s="32" t="n"/>
      <c r="D882" s="33" t="n"/>
      <c r="E882" s="34" t="n"/>
      <c r="F882" s="35" t="n"/>
      <c r="G882" s="35" t="n"/>
      <c r="H882" s="32" t="n"/>
      <c r="I882" s="32" t="n"/>
      <c r="J882" s="32" t="n"/>
      <c r="K882" s="36">
        <f>IF(E882&lt;&gt;"",E882,IF(AND(F882&lt;&gt;"",G882&lt;&gt;""),MOD(G882-F882,1)*24,""))</f>
        <v/>
      </c>
      <c r="L882" s="37">
        <f>IF(A882="","",CHOOSE(WEEKDAY(A882,2),"Montag","Dienstag","Mittwoch","Donnerstag","Freitag","Samstag","Sonntag"))</f>
        <v/>
      </c>
      <c r="M882" s="37">
        <f>IF(A882="","",_xlfn.ISOWEEKNUM(A882))</f>
        <v/>
      </c>
      <c r="N882" s="38">
        <f>IF(A882="","",DATE(YEAR(A882),MONTH(A882),1))</f>
        <v/>
      </c>
    </row>
    <row r="883">
      <c r="A883" s="31" t="n"/>
      <c r="B883" s="32" t="n"/>
      <c r="C883" s="32" t="n"/>
      <c r="D883" s="33" t="n"/>
      <c r="E883" s="34" t="n"/>
      <c r="F883" s="35" t="n"/>
      <c r="G883" s="35" t="n"/>
      <c r="H883" s="32" t="n"/>
      <c r="I883" s="32" t="n"/>
      <c r="J883" s="32" t="n"/>
      <c r="K883" s="36">
        <f>IF(E883&lt;&gt;"",E883,IF(AND(F883&lt;&gt;"",G883&lt;&gt;""),MOD(G883-F883,1)*24,""))</f>
        <v/>
      </c>
      <c r="L883" s="37">
        <f>IF(A883="","",CHOOSE(WEEKDAY(A883,2),"Montag","Dienstag","Mittwoch","Donnerstag","Freitag","Samstag","Sonntag"))</f>
        <v/>
      </c>
      <c r="M883" s="37">
        <f>IF(A883="","",_xlfn.ISOWEEKNUM(A883))</f>
        <v/>
      </c>
      <c r="N883" s="38">
        <f>IF(A883="","",DATE(YEAR(A883),MONTH(A883),1))</f>
        <v/>
      </c>
    </row>
    <row r="884">
      <c r="A884" s="31" t="n"/>
      <c r="B884" s="32" t="n"/>
      <c r="C884" s="32" t="n"/>
      <c r="D884" s="33" t="n"/>
      <c r="E884" s="34" t="n"/>
      <c r="F884" s="35" t="n"/>
      <c r="G884" s="35" t="n"/>
      <c r="H884" s="32" t="n"/>
      <c r="I884" s="32" t="n"/>
      <c r="J884" s="32" t="n"/>
      <c r="K884" s="36">
        <f>IF(E884&lt;&gt;"",E884,IF(AND(F884&lt;&gt;"",G884&lt;&gt;""),MOD(G884-F884,1)*24,""))</f>
        <v/>
      </c>
      <c r="L884" s="37">
        <f>IF(A884="","",CHOOSE(WEEKDAY(A884,2),"Montag","Dienstag","Mittwoch","Donnerstag","Freitag","Samstag","Sonntag"))</f>
        <v/>
      </c>
      <c r="M884" s="37">
        <f>IF(A884="","",_xlfn.ISOWEEKNUM(A884))</f>
        <v/>
      </c>
      <c r="N884" s="38">
        <f>IF(A884="","",DATE(YEAR(A884),MONTH(A884),1))</f>
        <v/>
      </c>
    </row>
    <row r="885">
      <c r="A885" s="31" t="n"/>
      <c r="B885" s="32" t="n"/>
      <c r="C885" s="32" t="n"/>
      <c r="D885" s="33" t="n"/>
      <c r="E885" s="34" t="n"/>
      <c r="F885" s="35" t="n"/>
      <c r="G885" s="35" t="n"/>
      <c r="H885" s="32" t="n"/>
      <c r="I885" s="32" t="n"/>
      <c r="J885" s="32" t="n"/>
      <c r="K885" s="36">
        <f>IF(E885&lt;&gt;"",E885,IF(AND(F885&lt;&gt;"",G885&lt;&gt;""),MOD(G885-F885,1)*24,""))</f>
        <v/>
      </c>
      <c r="L885" s="37">
        <f>IF(A885="","",CHOOSE(WEEKDAY(A885,2),"Montag","Dienstag","Mittwoch","Donnerstag","Freitag","Samstag","Sonntag"))</f>
        <v/>
      </c>
      <c r="M885" s="37">
        <f>IF(A885="","",_xlfn.ISOWEEKNUM(A885))</f>
        <v/>
      </c>
      <c r="N885" s="38">
        <f>IF(A885="","",DATE(YEAR(A885),MONTH(A885),1))</f>
        <v/>
      </c>
    </row>
    <row r="886">
      <c r="A886" s="31" t="n"/>
      <c r="B886" s="32" t="n"/>
      <c r="C886" s="32" t="n"/>
      <c r="D886" s="33" t="n"/>
      <c r="E886" s="34" t="n"/>
      <c r="F886" s="35" t="n"/>
      <c r="G886" s="35" t="n"/>
      <c r="H886" s="32" t="n"/>
      <c r="I886" s="32" t="n"/>
      <c r="J886" s="32" t="n"/>
      <c r="K886" s="36">
        <f>IF(E886&lt;&gt;"",E886,IF(AND(F886&lt;&gt;"",G886&lt;&gt;""),MOD(G886-F886,1)*24,""))</f>
        <v/>
      </c>
      <c r="L886" s="37">
        <f>IF(A886="","",CHOOSE(WEEKDAY(A886,2),"Montag","Dienstag","Mittwoch","Donnerstag","Freitag","Samstag","Sonntag"))</f>
        <v/>
      </c>
      <c r="M886" s="37">
        <f>IF(A886="","",_xlfn.ISOWEEKNUM(A886))</f>
        <v/>
      </c>
      <c r="N886" s="38">
        <f>IF(A886="","",DATE(YEAR(A886),MONTH(A886),1))</f>
        <v/>
      </c>
    </row>
    <row r="887">
      <c r="A887" s="31" t="n"/>
      <c r="B887" s="32" t="n"/>
      <c r="C887" s="32" t="n"/>
      <c r="D887" s="33" t="n"/>
      <c r="E887" s="34" t="n"/>
      <c r="F887" s="35" t="n"/>
      <c r="G887" s="35" t="n"/>
      <c r="H887" s="32" t="n"/>
      <c r="I887" s="32" t="n"/>
      <c r="J887" s="32" t="n"/>
      <c r="K887" s="36">
        <f>IF(E887&lt;&gt;"",E887,IF(AND(F887&lt;&gt;"",G887&lt;&gt;""),MOD(G887-F887,1)*24,""))</f>
        <v/>
      </c>
      <c r="L887" s="37">
        <f>IF(A887="","",CHOOSE(WEEKDAY(A887,2),"Montag","Dienstag","Mittwoch","Donnerstag","Freitag","Samstag","Sonntag"))</f>
        <v/>
      </c>
      <c r="M887" s="37">
        <f>IF(A887="","",_xlfn.ISOWEEKNUM(A887))</f>
        <v/>
      </c>
      <c r="N887" s="38">
        <f>IF(A887="","",DATE(YEAR(A887),MONTH(A887),1))</f>
        <v/>
      </c>
    </row>
    <row r="888">
      <c r="A888" s="31" t="n"/>
      <c r="B888" s="32" t="n"/>
      <c r="C888" s="32" t="n"/>
      <c r="D888" s="33" t="n"/>
      <c r="E888" s="34" t="n"/>
      <c r="F888" s="35" t="n"/>
      <c r="G888" s="35" t="n"/>
      <c r="H888" s="32" t="n"/>
      <c r="I888" s="32" t="n"/>
      <c r="J888" s="32" t="n"/>
      <c r="K888" s="36">
        <f>IF(E888&lt;&gt;"",E888,IF(AND(F888&lt;&gt;"",G888&lt;&gt;""),MOD(G888-F888,1)*24,""))</f>
        <v/>
      </c>
      <c r="L888" s="37">
        <f>IF(A888="","",CHOOSE(WEEKDAY(A888,2),"Montag","Dienstag","Mittwoch","Donnerstag","Freitag","Samstag","Sonntag"))</f>
        <v/>
      </c>
      <c r="M888" s="37">
        <f>IF(A888="","",_xlfn.ISOWEEKNUM(A888))</f>
        <v/>
      </c>
      <c r="N888" s="38">
        <f>IF(A888="","",DATE(YEAR(A888),MONTH(A888),1))</f>
        <v/>
      </c>
    </row>
    <row r="889">
      <c r="A889" s="31" t="n"/>
      <c r="B889" s="32" t="n"/>
      <c r="C889" s="32" t="n"/>
      <c r="D889" s="33" t="n"/>
      <c r="E889" s="34" t="n"/>
      <c r="F889" s="35" t="n"/>
      <c r="G889" s="35" t="n"/>
      <c r="H889" s="32" t="n"/>
      <c r="I889" s="32" t="n"/>
      <c r="J889" s="32" t="n"/>
      <c r="K889" s="36">
        <f>IF(E889&lt;&gt;"",E889,IF(AND(F889&lt;&gt;"",G889&lt;&gt;""),MOD(G889-F889,1)*24,""))</f>
        <v/>
      </c>
      <c r="L889" s="37">
        <f>IF(A889="","",CHOOSE(WEEKDAY(A889,2),"Montag","Dienstag","Mittwoch","Donnerstag","Freitag","Samstag","Sonntag"))</f>
        <v/>
      </c>
      <c r="M889" s="37">
        <f>IF(A889="","",_xlfn.ISOWEEKNUM(A889))</f>
        <v/>
      </c>
      <c r="N889" s="38">
        <f>IF(A889="","",DATE(YEAR(A889),MONTH(A889),1))</f>
        <v/>
      </c>
    </row>
    <row r="890">
      <c r="A890" s="31" t="n"/>
      <c r="B890" s="32" t="n"/>
      <c r="C890" s="32" t="n"/>
      <c r="D890" s="33" t="n"/>
      <c r="E890" s="34" t="n"/>
      <c r="F890" s="35" t="n"/>
      <c r="G890" s="35" t="n"/>
      <c r="H890" s="32" t="n"/>
      <c r="I890" s="32" t="n"/>
      <c r="J890" s="32" t="n"/>
      <c r="K890" s="36">
        <f>IF(E890&lt;&gt;"",E890,IF(AND(F890&lt;&gt;"",G890&lt;&gt;""),MOD(G890-F890,1)*24,""))</f>
        <v/>
      </c>
      <c r="L890" s="37">
        <f>IF(A890="","",CHOOSE(WEEKDAY(A890,2),"Montag","Dienstag","Mittwoch","Donnerstag","Freitag","Samstag","Sonntag"))</f>
        <v/>
      </c>
      <c r="M890" s="37">
        <f>IF(A890="","",_xlfn.ISOWEEKNUM(A890))</f>
        <v/>
      </c>
      <c r="N890" s="38">
        <f>IF(A890="","",DATE(YEAR(A890),MONTH(A890),1))</f>
        <v/>
      </c>
    </row>
    <row r="891">
      <c r="A891" s="31" t="n"/>
      <c r="B891" s="32" t="n"/>
      <c r="C891" s="32" t="n"/>
      <c r="D891" s="33" t="n"/>
      <c r="E891" s="34" t="n"/>
      <c r="F891" s="35" t="n"/>
      <c r="G891" s="35" t="n"/>
      <c r="H891" s="32" t="n"/>
      <c r="I891" s="32" t="n"/>
      <c r="J891" s="32" t="n"/>
      <c r="K891" s="36">
        <f>IF(E891&lt;&gt;"",E891,IF(AND(F891&lt;&gt;"",G891&lt;&gt;""),MOD(G891-F891,1)*24,""))</f>
        <v/>
      </c>
      <c r="L891" s="37">
        <f>IF(A891="","",CHOOSE(WEEKDAY(A891,2),"Montag","Dienstag","Mittwoch","Donnerstag","Freitag","Samstag","Sonntag"))</f>
        <v/>
      </c>
      <c r="M891" s="37">
        <f>IF(A891="","",_xlfn.ISOWEEKNUM(A891))</f>
        <v/>
      </c>
      <c r="N891" s="38">
        <f>IF(A891="","",DATE(YEAR(A891),MONTH(A891),1))</f>
        <v/>
      </c>
    </row>
    <row r="892">
      <c r="A892" s="31" t="n"/>
      <c r="B892" s="32" t="n"/>
      <c r="C892" s="32" t="n"/>
      <c r="D892" s="33" t="n"/>
      <c r="E892" s="34" t="n"/>
      <c r="F892" s="35" t="n"/>
      <c r="G892" s="35" t="n"/>
      <c r="H892" s="32" t="n"/>
      <c r="I892" s="32" t="n"/>
      <c r="J892" s="32" t="n"/>
      <c r="K892" s="36">
        <f>IF(E892&lt;&gt;"",E892,IF(AND(F892&lt;&gt;"",G892&lt;&gt;""),MOD(G892-F892,1)*24,""))</f>
        <v/>
      </c>
      <c r="L892" s="37">
        <f>IF(A892="","",CHOOSE(WEEKDAY(A892,2),"Montag","Dienstag","Mittwoch","Donnerstag","Freitag","Samstag","Sonntag"))</f>
        <v/>
      </c>
      <c r="M892" s="37">
        <f>IF(A892="","",_xlfn.ISOWEEKNUM(A892))</f>
        <v/>
      </c>
      <c r="N892" s="38">
        <f>IF(A892="","",DATE(YEAR(A892),MONTH(A892),1))</f>
        <v/>
      </c>
    </row>
    <row r="893">
      <c r="A893" s="31" t="n"/>
      <c r="B893" s="32" t="n"/>
      <c r="C893" s="32" t="n"/>
      <c r="D893" s="33" t="n"/>
      <c r="E893" s="34" t="n"/>
      <c r="F893" s="35" t="n"/>
      <c r="G893" s="35" t="n"/>
      <c r="H893" s="32" t="n"/>
      <c r="I893" s="32" t="n"/>
      <c r="J893" s="32" t="n"/>
      <c r="K893" s="36">
        <f>IF(E893&lt;&gt;"",E893,IF(AND(F893&lt;&gt;"",G893&lt;&gt;""),MOD(G893-F893,1)*24,""))</f>
        <v/>
      </c>
      <c r="L893" s="37">
        <f>IF(A893="","",CHOOSE(WEEKDAY(A893,2),"Montag","Dienstag","Mittwoch","Donnerstag","Freitag","Samstag","Sonntag"))</f>
        <v/>
      </c>
      <c r="M893" s="37">
        <f>IF(A893="","",_xlfn.ISOWEEKNUM(A893))</f>
        <v/>
      </c>
      <c r="N893" s="38">
        <f>IF(A893="","",DATE(YEAR(A893),MONTH(A893),1))</f>
        <v/>
      </c>
    </row>
    <row r="894">
      <c r="A894" s="31" t="n"/>
      <c r="B894" s="32" t="n"/>
      <c r="C894" s="32" t="n"/>
      <c r="D894" s="33" t="n"/>
      <c r="E894" s="34" t="n"/>
      <c r="F894" s="35" t="n"/>
      <c r="G894" s="35" t="n"/>
      <c r="H894" s="32" t="n"/>
      <c r="I894" s="32" t="n"/>
      <c r="J894" s="32" t="n"/>
      <c r="K894" s="36">
        <f>IF(E894&lt;&gt;"",E894,IF(AND(F894&lt;&gt;"",G894&lt;&gt;""),MOD(G894-F894,1)*24,""))</f>
        <v/>
      </c>
      <c r="L894" s="37">
        <f>IF(A894="","",CHOOSE(WEEKDAY(A894,2),"Montag","Dienstag","Mittwoch","Donnerstag","Freitag","Samstag","Sonntag"))</f>
        <v/>
      </c>
      <c r="M894" s="37">
        <f>IF(A894="","",_xlfn.ISOWEEKNUM(A894))</f>
        <v/>
      </c>
      <c r="N894" s="38">
        <f>IF(A894="","",DATE(YEAR(A894),MONTH(A894),1))</f>
        <v/>
      </c>
    </row>
    <row r="895">
      <c r="A895" s="31" t="n"/>
      <c r="B895" s="32" t="n"/>
      <c r="C895" s="32" t="n"/>
      <c r="D895" s="33" t="n"/>
      <c r="E895" s="34" t="n"/>
      <c r="F895" s="35" t="n"/>
      <c r="G895" s="35" t="n"/>
      <c r="H895" s="32" t="n"/>
      <c r="I895" s="32" t="n"/>
      <c r="J895" s="32" t="n"/>
      <c r="K895" s="36">
        <f>IF(E895&lt;&gt;"",E895,IF(AND(F895&lt;&gt;"",G895&lt;&gt;""),MOD(G895-F895,1)*24,""))</f>
        <v/>
      </c>
      <c r="L895" s="37">
        <f>IF(A895="","",CHOOSE(WEEKDAY(A895,2),"Montag","Dienstag","Mittwoch","Donnerstag","Freitag","Samstag","Sonntag"))</f>
        <v/>
      </c>
      <c r="M895" s="37">
        <f>IF(A895="","",_xlfn.ISOWEEKNUM(A895))</f>
        <v/>
      </c>
      <c r="N895" s="38">
        <f>IF(A895="","",DATE(YEAR(A895),MONTH(A895),1))</f>
        <v/>
      </c>
    </row>
    <row r="896">
      <c r="A896" s="31" t="n"/>
      <c r="B896" s="32" t="n"/>
      <c r="C896" s="32" t="n"/>
      <c r="D896" s="33" t="n"/>
      <c r="E896" s="34" t="n"/>
      <c r="F896" s="35" t="n"/>
      <c r="G896" s="35" t="n"/>
      <c r="H896" s="32" t="n"/>
      <c r="I896" s="32" t="n"/>
      <c r="J896" s="32" t="n"/>
      <c r="K896" s="36">
        <f>IF(E896&lt;&gt;"",E896,IF(AND(F896&lt;&gt;"",G896&lt;&gt;""),MOD(G896-F896,1)*24,""))</f>
        <v/>
      </c>
      <c r="L896" s="37">
        <f>IF(A896="","",CHOOSE(WEEKDAY(A896,2),"Montag","Dienstag","Mittwoch","Donnerstag","Freitag","Samstag","Sonntag"))</f>
        <v/>
      </c>
      <c r="M896" s="37">
        <f>IF(A896="","",_xlfn.ISOWEEKNUM(A896))</f>
        <v/>
      </c>
      <c r="N896" s="38">
        <f>IF(A896="","",DATE(YEAR(A896),MONTH(A896),1))</f>
        <v/>
      </c>
    </row>
    <row r="897">
      <c r="A897" s="31" t="n"/>
      <c r="B897" s="32" t="n"/>
      <c r="C897" s="32" t="n"/>
      <c r="D897" s="33" t="n"/>
      <c r="E897" s="34" t="n"/>
      <c r="F897" s="35" t="n"/>
      <c r="G897" s="35" t="n"/>
      <c r="H897" s="32" t="n"/>
      <c r="I897" s="32" t="n"/>
      <c r="J897" s="32" t="n"/>
      <c r="K897" s="36">
        <f>IF(E897&lt;&gt;"",E897,IF(AND(F897&lt;&gt;"",G897&lt;&gt;""),MOD(G897-F897,1)*24,""))</f>
        <v/>
      </c>
      <c r="L897" s="37">
        <f>IF(A897="","",CHOOSE(WEEKDAY(A897,2),"Montag","Dienstag","Mittwoch","Donnerstag","Freitag","Samstag","Sonntag"))</f>
        <v/>
      </c>
      <c r="M897" s="37">
        <f>IF(A897="","",_xlfn.ISOWEEKNUM(A897))</f>
        <v/>
      </c>
      <c r="N897" s="38">
        <f>IF(A897="","",DATE(YEAR(A897),MONTH(A897),1))</f>
        <v/>
      </c>
    </row>
    <row r="898">
      <c r="A898" s="31" t="n"/>
      <c r="B898" s="32" t="n"/>
      <c r="C898" s="32" t="n"/>
      <c r="D898" s="33" t="n"/>
      <c r="E898" s="34" t="n"/>
      <c r="F898" s="35" t="n"/>
      <c r="G898" s="35" t="n"/>
      <c r="H898" s="32" t="n"/>
      <c r="I898" s="32" t="n"/>
      <c r="J898" s="32" t="n"/>
      <c r="K898" s="36">
        <f>IF(E898&lt;&gt;"",E898,IF(AND(F898&lt;&gt;"",G898&lt;&gt;""),MOD(G898-F898,1)*24,""))</f>
        <v/>
      </c>
      <c r="L898" s="37">
        <f>IF(A898="","",CHOOSE(WEEKDAY(A898,2),"Montag","Dienstag","Mittwoch","Donnerstag","Freitag","Samstag","Sonntag"))</f>
        <v/>
      </c>
      <c r="M898" s="37">
        <f>IF(A898="","",_xlfn.ISOWEEKNUM(A898))</f>
        <v/>
      </c>
      <c r="N898" s="38">
        <f>IF(A898="","",DATE(YEAR(A898),MONTH(A898),1))</f>
        <v/>
      </c>
    </row>
    <row r="899">
      <c r="A899" s="31" t="n"/>
      <c r="B899" s="32" t="n"/>
      <c r="C899" s="32" t="n"/>
      <c r="D899" s="33" t="n"/>
      <c r="E899" s="34" t="n"/>
      <c r="F899" s="35" t="n"/>
      <c r="G899" s="35" t="n"/>
      <c r="H899" s="32" t="n"/>
      <c r="I899" s="32" t="n"/>
      <c r="J899" s="32" t="n"/>
      <c r="K899" s="36">
        <f>IF(E899&lt;&gt;"",E899,IF(AND(F899&lt;&gt;"",G899&lt;&gt;""),MOD(G899-F899,1)*24,""))</f>
        <v/>
      </c>
      <c r="L899" s="37">
        <f>IF(A899="","",CHOOSE(WEEKDAY(A899,2),"Montag","Dienstag","Mittwoch","Donnerstag","Freitag","Samstag","Sonntag"))</f>
        <v/>
      </c>
      <c r="M899" s="37">
        <f>IF(A899="","",_xlfn.ISOWEEKNUM(A899))</f>
        <v/>
      </c>
      <c r="N899" s="38">
        <f>IF(A899="","",DATE(YEAR(A899),MONTH(A899),1))</f>
        <v/>
      </c>
    </row>
    <row r="900">
      <c r="A900" s="31" t="n"/>
      <c r="B900" s="32" t="n"/>
      <c r="C900" s="32" t="n"/>
      <c r="D900" s="33" t="n"/>
      <c r="E900" s="34" t="n"/>
      <c r="F900" s="35" t="n"/>
      <c r="G900" s="35" t="n"/>
      <c r="H900" s="32" t="n"/>
      <c r="I900" s="32" t="n"/>
      <c r="J900" s="32" t="n"/>
      <c r="K900" s="36">
        <f>IF(E900&lt;&gt;"",E900,IF(AND(F900&lt;&gt;"",G900&lt;&gt;""),MOD(G900-F900,1)*24,""))</f>
        <v/>
      </c>
      <c r="L900" s="37">
        <f>IF(A900="","",CHOOSE(WEEKDAY(A900,2),"Montag","Dienstag","Mittwoch","Donnerstag","Freitag","Samstag","Sonntag"))</f>
        <v/>
      </c>
      <c r="M900" s="37">
        <f>IF(A900="","",_xlfn.ISOWEEKNUM(A900))</f>
        <v/>
      </c>
      <c r="N900" s="38">
        <f>IF(A900="","",DATE(YEAR(A900),MONTH(A900),1))</f>
        <v/>
      </c>
    </row>
    <row r="901">
      <c r="A901" s="31" t="n"/>
      <c r="B901" s="32" t="n"/>
      <c r="C901" s="32" t="n"/>
      <c r="D901" s="33" t="n"/>
      <c r="E901" s="34" t="n"/>
      <c r="F901" s="35" t="n"/>
      <c r="G901" s="35" t="n"/>
      <c r="H901" s="32" t="n"/>
      <c r="I901" s="32" t="n"/>
      <c r="J901" s="32" t="n"/>
      <c r="K901" s="36">
        <f>IF(E901&lt;&gt;"",E901,IF(AND(F901&lt;&gt;"",G901&lt;&gt;""),MOD(G901-F901,1)*24,""))</f>
        <v/>
      </c>
      <c r="L901" s="37">
        <f>IF(A901="","",CHOOSE(WEEKDAY(A901,2),"Montag","Dienstag","Mittwoch","Donnerstag","Freitag","Samstag","Sonntag"))</f>
        <v/>
      </c>
      <c r="M901" s="37">
        <f>IF(A901="","",_xlfn.ISOWEEKNUM(A901))</f>
        <v/>
      </c>
      <c r="N901" s="38">
        <f>IF(A901="","",DATE(YEAR(A901),MONTH(A901),1))</f>
        <v/>
      </c>
    </row>
    <row r="902">
      <c r="A902" s="31" t="n"/>
      <c r="B902" s="32" t="n"/>
      <c r="C902" s="32" t="n"/>
      <c r="D902" s="33" t="n"/>
      <c r="E902" s="34" t="n"/>
      <c r="F902" s="35" t="n"/>
      <c r="G902" s="35" t="n"/>
      <c r="H902" s="32" t="n"/>
      <c r="I902" s="32" t="n"/>
      <c r="J902" s="32" t="n"/>
      <c r="K902" s="36">
        <f>IF(E902&lt;&gt;"",E902,IF(AND(F902&lt;&gt;"",G902&lt;&gt;""),MOD(G902-F902,1)*24,""))</f>
        <v/>
      </c>
      <c r="L902" s="37">
        <f>IF(A902="","",CHOOSE(WEEKDAY(A902,2),"Montag","Dienstag","Mittwoch","Donnerstag","Freitag","Samstag","Sonntag"))</f>
        <v/>
      </c>
      <c r="M902" s="37">
        <f>IF(A902="","",_xlfn.ISOWEEKNUM(A902))</f>
        <v/>
      </c>
      <c r="N902" s="38">
        <f>IF(A902="","",DATE(YEAR(A902),MONTH(A902),1))</f>
        <v/>
      </c>
    </row>
    <row r="903">
      <c r="A903" s="31" t="n"/>
      <c r="B903" s="32" t="n"/>
      <c r="C903" s="32" t="n"/>
      <c r="D903" s="33" t="n"/>
      <c r="E903" s="34" t="n"/>
      <c r="F903" s="35" t="n"/>
      <c r="G903" s="35" t="n"/>
      <c r="H903" s="32" t="n"/>
      <c r="I903" s="32" t="n"/>
      <c r="J903" s="32" t="n"/>
      <c r="K903" s="36">
        <f>IF(E903&lt;&gt;"",E903,IF(AND(F903&lt;&gt;"",G903&lt;&gt;""),MOD(G903-F903,1)*24,""))</f>
        <v/>
      </c>
      <c r="L903" s="37">
        <f>IF(A903="","",CHOOSE(WEEKDAY(A903,2),"Montag","Dienstag","Mittwoch","Donnerstag","Freitag","Samstag","Sonntag"))</f>
        <v/>
      </c>
      <c r="M903" s="37">
        <f>IF(A903="","",_xlfn.ISOWEEKNUM(A903))</f>
        <v/>
      </c>
      <c r="N903" s="38">
        <f>IF(A903="","",DATE(YEAR(A903),MONTH(A903),1))</f>
        <v/>
      </c>
    </row>
    <row r="904">
      <c r="A904" s="31" t="n"/>
      <c r="B904" s="32" t="n"/>
      <c r="C904" s="32" t="n"/>
      <c r="D904" s="33" t="n"/>
      <c r="E904" s="34" t="n"/>
      <c r="F904" s="35" t="n"/>
      <c r="G904" s="35" t="n"/>
      <c r="H904" s="32" t="n"/>
      <c r="I904" s="32" t="n"/>
      <c r="J904" s="32" t="n"/>
      <c r="K904" s="36">
        <f>IF(E904&lt;&gt;"",E904,IF(AND(F904&lt;&gt;"",G904&lt;&gt;""),MOD(G904-F904,1)*24,""))</f>
        <v/>
      </c>
      <c r="L904" s="37">
        <f>IF(A904="","",CHOOSE(WEEKDAY(A904,2),"Montag","Dienstag","Mittwoch","Donnerstag","Freitag","Samstag","Sonntag"))</f>
        <v/>
      </c>
      <c r="M904" s="37">
        <f>IF(A904="","",_xlfn.ISOWEEKNUM(A904))</f>
        <v/>
      </c>
      <c r="N904" s="38">
        <f>IF(A904="","",DATE(YEAR(A904),MONTH(A904),1))</f>
        <v/>
      </c>
    </row>
    <row r="905">
      <c r="A905" s="31" t="n"/>
      <c r="B905" s="32" t="n"/>
      <c r="C905" s="32" t="n"/>
      <c r="D905" s="33" t="n"/>
      <c r="E905" s="34" t="n"/>
      <c r="F905" s="35" t="n"/>
      <c r="G905" s="35" t="n"/>
      <c r="H905" s="32" t="n"/>
      <c r="I905" s="32" t="n"/>
      <c r="J905" s="32" t="n"/>
      <c r="K905" s="36">
        <f>IF(E905&lt;&gt;"",E905,IF(AND(F905&lt;&gt;"",G905&lt;&gt;""),MOD(G905-F905,1)*24,""))</f>
        <v/>
      </c>
      <c r="L905" s="37">
        <f>IF(A905="","",CHOOSE(WEEKDAY(A905,2),"Montag","Dienstag","Mittwoch","Donnerstag","Freitag","Samstag","Sonntag"))</f>
        <v/>
      </c>
      <c r="M905" s="37">
        <f>IF(A905="","",_xlfn.ISOWEEKNUM(A905))</f>
        <v/>
      </c>
      <c r="N905" s="38">
        <f>IF(A905="","",DATE(YEAR(A905),MONTH(A905),1))</f>
        <v/>
      </c>
    </row>
    <row r="906">
      <c r="A906" s="31" t="n"/>
      <c r="B906" s="32" t="n"/>
      <c r="C906" s="32" t="n"/>
      <c r="D906" s="33" t="n"/>
      <c r="E906" s="34" t="n"/>
      <c r="F906" s="35" t="n"/>
      <c r="G906" s="35" t="n"/>
      <c r="H906" s="32" t="n"/>
      <c r="I906" s="32" t="n"/>
      <c r="J906" s="32" t="n"/>
      <c r="K906" s="36">
        <f>IF(E906&lt;&gt;"",E906,IF(AND(F906&lt;&gt;"",G906&lt;&gt;""),MOD(G906-F906,1)*24,""))</f>
        <v/>
      </c>
      <c r="L906" s="37">
        <f>IF(A906="","",CHOOSE(WEEKDAY(A906,2),"Montag","Dienstag","Mittwoch","Donnerstag","Freitag","Samstag","Sonntag"))</f>
        <v/>
      </c>
      <c r="M906" s="37">
        <f>IF(A906="","",_xlfn.ISOWEEKNUM(A906))</f>
        <v/>
      </c>
      <c r="N906" s="38">
        <f>IF(A906="","",DATE(YEAR(A906),MONTH(A906),1))</f>
        <v/>
      </c>
    </row>
    <row r="907">
      <c r="A907" s="31" t="n"/>
      <c r="B907" s="32" t="n"/>
      <c r="C907" s="32" t="n"/>
      <c r="D907" s="33" t="n"/>
      <c r="E907" s="34" t="n"/>
      <c r="F907" s="35" t="n"/>
      <c r="G907" s="35" t="n"/>
      <c r="H907" s="32" t="n"/>
      <c r="I907" s="32" t="n"/>
      <c r="J907" s="32" t="n"/>
      <c r="K907" s="36">
        <f>IF(E907&lt;&gt;"",E907,IF(AND(F907&lt;&gt;"",G907&lt;&gt;""),MOD(G907-F907,1)*24,""))</f>
        <v/>
      </c>
      <c r="L907" s="37">
        <f>IF(A907="","",CHOOSE(WEEKDAY(A907,2),"Montag","Dienstag","Mittwoch","Donnerstag","Freitag","Samstag","Sonntag"))</f>
        <v/>
      </c>
      <c r="M907" s="37">
        <f>IF(A907="","",_xlfn.ISOWEEKNUM(A907))</f>
        <v/>
      </c>
      <c r="N907" s="38">
        <f>IF(A907="","",DATE(YEAR(A907),MONTH(A907),1))</f>
        <v/>
      </c>
    </row>
    <row r="908">
      <c r="A908" s="31" t="n"/>
      <c r="B908" s="32" t="n"/>
      <c r="C908" s="32" t="n"/>
      <c r="D908" s="33" t="n"/>
      <c r="E908" s="34" t="n"/>
      <c r="F908" s="35" t="n"/>
      <c r="G908" s="35" t="n"/>
      <c r="H908" s="32" t="n"/>
      <c r="I908" s="32" t="n"/>
      <c r="J908" s="32" t="n"/>
      <c r="K908" s="36">
        <f>IF(E908&lt;&gt;"",E908,IF(AND(F908&lt;&gt;"",G908&lt;&gt;""),MOD(G908-F908,1)*24,""))</f>
        <v/>
      </c>
      <c r="L908" s="37">
        <f>IF(A908="","",CHOOSE(WEEKDAY(A908,2),"Montag","Dienstag","Mittwoch","Donnerstag","Freitag","Samstag","Sonntag"))</f>
        <v/>
      </c>
      <c r="M908" s="37">
        <f>IF(A908="","",_xlfn.ISOWEEKNUM(A908))</f>
        <v/>
      </c>
      <c r="N908" s="38">
        <f>IF(A908="","",DATE(YEAR(A908),MONTH(A908),1))</f>
        <v/>
      </c>
    </row>
    <row r="909">
      <c r="A909" s="31" t="n"/>
      <c r="B909" s="32" t="n"/>
      <c r="C909" s="32" t="n"/>
      <c r="D909" s="33" t="n"/>
      <c r="E909" s="34" t="n"/>
      <c r="F909" s="35" t="n"/>
      <c r="G909" s="35" t="n"/>
      <c r="H909" s="32" t="n"/>
      <c r="I909" s="32" t="n"/>
      <c r="J909" s="32" t="n"/>
      <c r="K909" s="36">
        <f>IF(E909&lt;&gt;"",E909,IF(AND(F909&lt;&gt;"",G909&lt;&gt;""),MOD(G909-F909,1)*24,""))</f>
        <v/>
      </c>
      <c r="L909" s="37">
        <f>IF(A909="","",CHOOSE(WEEKDAY(A909,2),"Montag","Dienstag","Mittwoch","Donnerstag","Freitag","Samstag","Sonntag"))</f>
        <v/>
      </c>
      <c r="M909" s="37">
        <f>IF(A909="","",_xlfn.ISOWEEKNUM(A909))</f>
        <v/>
      </c>
      <c r="N909" s="38">
        <f>IF(A909="","",DATE(YEAR(A909),MONTH(A909),1))</f>
        <v/>
      </c>
    </row>
    <row r="910">
      <c r="A910" s="31" t="n"/>
      <c r="B910" s="32" t="n"/>
      <c r="C910" s="32" t="n"/>
      <c r="D910" s="33" t="n"/>
      <c r="E910" s="34" t="n"/>
      <c r="F910" s="35" t="n"/>
      <c r="G910" s="35" t="n"/>
      <c r="H910" s="32" t="n"/>
      <c r="I910" s="32" t="n"/>
      <c r="J910" s="32" t="n"/>
      <c r="K910" s="36">
        <f>IF(E910&lt;&gt;"",E910,IF(AND(F910&lt;&gt;"",G910&lt;&gt;""),MOD(G910-F910,1)*24,""))</f>
        <v/>
      </c>
      <c r="L910" s="37">
        <f>IF(A910="","",CHOOSE(WEEKDAY(A910,2),"Montag","Dienstag","Mittwoch","Donnerstag","Freitag","Samstag","Sonntag"))</f>
        <v/>
      </c>
      <c r="M910" s="37">
        <f>IF(A910="","",_xlfn.ISOWEEKNUM(A910))</f>
        <v/>
      </c>
      <c r="N910" s="38">
        <f>IF(A910="","",DATE(YEAR(A910),MONTH(A910),1))</f>
        <v/>
      </c>
    </row>
    <row r="911">
      <c r="A911" s="31" t="n"/>
      <c r="B911" s="32" t="n"/>
      <c r="C911" s="32" t="n"/>
      <c r="D911" s="33" t="n"/>
      <c r="E911" s="34" t="n"/>
      <c r="F911" s="35" t="n"/>
      <c r="G911" s="35" t="n"/>
      <c r="H911" s="32" t="n"/>
      <c r="I911" s="32" t="n"/>
      <c r="J911" s="32" t="n"/>
      <c r="K911" s="36">
        <f>IF(E911&lt;&gt;"",E911,IF(AND(F911&lt;&gt;"",G911&lt;&gt;""),MOD(G911-F911,1)*24,""))</f>
        <v/>
      </c>
      <c r="L911" s="37">
        <f>IF(A911="","",CHOOSE(WEEKDAY(A911,2),"Montag","Dienstag","Mittwoch","Donnerstag","Freitag","Samstag","Sonntag"))</f>
        <v/>
      </c>
      <c r="M911" s="37">
        <f>IF(A911="","",_xlfn.ISOWEEKNUM(A911))</f>
        <v/>
      </c>
      <c r="N911" s="38">
        <f>IF(A911="","",DATE(YEAR(A911),MONTH(A911),1))</f>
        <v/>
      </c>
    </row>
    <row r="912">
      <c r="A912" s="31" t="n"/>
      <c r="B912" s="32" t="n"/>
      <c r="C912" s="32" t="n"/>
      <c r="D912" s="33" t="n"/>
      <c r="E912" s="34" t="n"/>
      <c r="F912" s="35" t="n"/>
      <c r="G912" s="35" t="n"/>
      <c r="H912" s="32" t="n"/>
      <c r="I912" s="32" t="n"/>
      <c r="J912" s="32" t="n"/>
      <c r="K912" s="36">
        <f>IF(E912&lt;&gt;"",E912,IF(AND(F912&lt;&gt;"",G912&lt;&gt;""),MOD(G912-F912,1)*24,""))</f>
        <v/>
      </c>
      <c r="L912" s="37">
        <f>IF(A912="","",CHOOSE(WEEKDAY(A912,2),"Montag","Dienstag","Mittwoch","Donnerstag","Freitag","Samstag","Sonntag"))</f>
        <v/>
      </c>
      <c r="M912" s="37">
        <f>IF(A912="","",_xlfn.ISOWEEKNUM(A912))</f>
        <v/>
      </c>
      <c r="N912" s="38">
        <f>IF(A912="","",DATE(YEAR(A912),MONTH(A912),1))</f>
        <v/>
      </c>
    </row>
    <row r="913">
      <c r="A913" s="31" t="n"/>
      <c r="B913" s="32" t="n"/>
      <c r="C913" s="32" t="n"/>
      <c r="D913" s="33" t="n"/>
      <c r="E913" s="34" t="n"/>
      <c r="F913" s="35" t="n"/>
      <c r="G913" s="35" t="n"/>
      <c r="H913" s="32" t="n"/>
      <c r="I913" s="32" t="n"/>
      <c r="J913" s="32" t="n"/>
      <c r="K913" s="36">
        <f>IF(E913&lt;&gt;"",E913,IF(AND(F913&lt;&gt;"",G913&lt;&gt;""),MOD(G913-F913,1)*24,""))</f>
        <v/>
      </c>
      <c r="L913" s="37">
        <f>IF(A913="","",CHOOSE(WEEKDAY(A913,2),"Montag","Dienstag","Mittwoch","Donnerstag","Freitag","Samstag","Sonntag"))</f>
        <v/>
      </c>
      <c r="M913" s="37">
        <f>IF(A913="","",_xlfn.ISOWEEKNUM(A913))</f>
        <v/>
      </c>
      <c r="N913" s="38">
        <f>IF(A913="","",DATE(YEAR(A913),MONTH(A913),1))</f>
        <v/>
      </c>
    </row>
    <row r="914">
      <c r="A914" s="31" t="n"/>
      <c r="B914" s="32" t="n"/>
      <c r="C914" s="32" t="n"/>
      <c r="D914" s="33" t="n"/>
      <c r="E914" s="34" t="n"/>
      <c r="F914" s="35" t="n"/>
      <c r="G914" s="35" t="n"/>
      <c r="H914" s="32" t="n"/>
      <c r="I914" s="32" t="n"/>
      <c r="J914" s="32" t="n"/>
      <c r="K914" s="36">
        <f>IF(E914&lt;&gt;"",E914,IF(AND(F914&lt;&gt;"",G914&lt;&gt;""),MOD(G914-F914,1)*24,""))</f>
        <v/>
      </c>
      <c r="L914" s="37">
        <f>IF(A914="","",CHOOSE(WEEKDAY(A914,2),"Montag","Dienstag","Mittwoch","Donnerstag","Freitag","Samstag","Sonntag"))</f>
        <v/>
      </c>
      <c r="M914" s="37">
        <f>IF(A914="","",_xlfn.ISOWEEKNUM(A914))</f>
        <v/>
      </c>
      <c r="N914" s="38">
        <f>IF(A914="","",DATE(YEAR(A914),MONTH(A914),1))</f>
        <v/>
      </c>
    </row>
    <row r="915">
      <c r="A915" s="31" t="n"/>
      <c r="B915" s="32" t="n"/>
      <c r="C915" s="32" t="n"/>
      <c r="D915" s="33" t="n"/>
      <c r="E915" s="34" t="n"/>
      <c r="F915" s="35" t="n"/>
      <c r="G915" s="35" t="n"/>
      <c r="H915" s="32" t="n"/>
      <c r="I915" s="32" t="n"/>
      <c r="J915" s="32" t="n"/>
      <c r="K915" s="36">
        <f>IF(E915&lt;&gt;"",E915,IF(AND(F915&lt;&gt;"",G915&lt;&gt;""),MOD(G915-F915,1)*24,""))</f>
        <v/>
      </c>
      <c r="L915" s="37">
        <f>IF(A915="","",CHOOSE(WEEKDAY(A915,2),"Montag","Dienstag","Mittwoch","Donnerstag","Freitag","Samstag","Sonntag"))</f>
        <v/>
      </c>
      <c r="M915" s="37">
        <f>IF(A915="","",_xlfn.ISOWEEKNUM(A915))</f>
        <v/>
      </c>
      <c r="N915" s="38">
        <f>IF(A915="","",DATE(YEAR(A915),MONTH(A915),1))</f>
        <v/>
      </c>
    </row>
    <row r="916">
      <c r="A916" s="31" t="n"/>
      <c r="B916" s="32" t="n"/>
      <c r="C916" s="32" t="n"/>
      <c r="D916" s="33" t="n"/>
      <c r="E916" s="34" t="n"/>
      <c r="F916" s="35" t="n"/>
      <c r="G916" s="35" t="n"/>
      <c r="H916" s="32" t="n"/>
      <c r="I916" s="32" t="n"/>
      <c r="J916" s="32" t="n"/>
      <c r="K916" s="36">
        <f>IF(E916&lt;&gt;"",E916,IF(AND(F916&lt;&gt;"",G916&lt;&gt;""),MOD(G916-F916,1)*24,""))</f>
        <v/>
      </c>
      <c r="L916" s="37">
        <f>IF(A916="","",CHOOSE(WEEKDAY(A916,2),"Montag","Dienstag","Mittwoch","Donnerstag","Freitag","Samstag","Sonntag"))</f>
        <v/>
      </c>
      <c r="M916" s="37">
        <f>IF(A916="","",_xlfn.ISOWEEKNUM(A916))</f>
        <v/>
      </c>
      <c r="N916" s="38">
        <f>IF(A916="","",DATE(YEAR(A916),MONTH(A916),1))</f>
        <v/>
      </c>
    </row>
    <row r="917">
      <c r="A917" s="31" t="n"/>
      <c r="B917" s="32" t="n"/>
      <c r="C917" s="32" t="n"/>
      <c r="D917" s="33" t="n"/>
      <c r="E917" s="34" t="n"/>
      <c r="F917" s="35" t="n"/>
      <c r="G917" s="35" t="n"/>
      <c r="H917" s="32" t="n"/>
      <c r="I917" s="32" t="n"/>
      <c r="J917" s="32" t="n"/>
      <c r="K917" s="36">
        <f>IF(E917&lt;&gt;"",E917,IF(AND(F917&lt;&gt;"",G917&lt;&gt;""),MOD(G917-F917,1)*24,""))</f>
        <v/>
      </c>
      <c r="L917" s="37">
        <f>IF(A917="","",CHOOSE(WEEKDAY(A917,2),"Montag","Dienstag","Mittwoch","Donnerstag","Freitag","Samstag","Sonntag"))</f>
        <v/>
      </c>
      <c r="M917" s="37">
        <f>IF(A917="","",_xlfn.ISOWEEKNUM(A917))</f>
        <v/>
      </c>
      <c r="N917" s="38">
        <f>IF(A917="","",DATE(YEAR(A917),MONTH(A917),1))</f>
        <v/>
      </c>
    </row>
    <row r="918">
      <c r="A918" s="31" t="n"/>
      <c r="B918" s="32" t="n"/>
      <c r="C918" s="32" t="n"/>
      <c r="D918" s="33" t="n"/>
      <c r="E918" s="34" t="n"/>
      <c r="F918" s="35" t="n"/>
      <c r="G918" s="35" t="n"/>
      <c r="H918" s="32" t="n"/>
      <c r="I918" s="32" t="n"/>
      <c r="J918" s="32" t="n"/>
      <c r="K918" s="36">
        <f>IF(E918&lt;&gt;"",E918,IF(AND(F918&lt;&gt;"",G918&lt;&gt;""),MOD(G918-F918,1)*24,""))</f>
        <v/>
      </c>
      <c r="L918" s="37">
        <f>IF(A918="","",CHOOSE(WEEKDAY(A918,2),"Montag","Dienstag","Mittwoch","Donnerstag","Freitag","Samstag","Sonntag"))</f>
        <v/>
      </c>
      <c r="M918" s="37">
        <f>IF(A918="","",_xlfn.ISOWEEKNUM(A918))</f>
        <v/>
      </c>
      <c r="N918" s="38">
        <f>IF(A918="","",DATE(YEAR(A918),MONTH(A918),1))</f>
        <v/>
      </c>
    </row>
    <row r="919">
      <c r="A919" s="31" t="n"/>
      <c r="B919" s="32" t="n"/>
      <c r="C919" s="32" t="n"/>
      <c r="D919" s="33" t="n"/>
      <c r="E919" s="34" t="n"/>
      <c r="F919" s="35" t="n"/>
      <c r="G919" s="35" t="n"/>
      <c r="H919" s="32" t="n"/>
      <c r="I919" s="32" t="n"/>
      <c r="J919" s="32" t="n"/>
      <c r="K919" s="36">
        <f>IF(E919&lt;&gt;"",E919,IF(AND(F919&lt;&gt;"",G919&lt;&gt;""),MOD(G919-F919,1)*24,""))</f>
        <v/>
      </c>
      <c r="L919" s="37">
        <f>IF(A919="","",CHOOSE(WEEKDAY(A919,2),"Montag","Dienstag","Mittwoch","Donnerstag","Freitag","Samstag","Sonntag"))</f>
        <v/>
      </c>
      <c r="M919" s="37">
        <f>IF(A919="","",_xlfn.ISOWEEKNUM(A919))</f>
        <v/>
      </c>
      <c r="N919" s="38">
        <f>IF(A919="","",DATE(YEAR(A919),MONTH(A919),1))</f>
        <v/>
      </c>
    </row>
    <row r="920">
      <c r="A920" s="31" t="n"/>
      <c r="B920" s="32" t="n"/>
      <c r="C920" s="32" t="n"/>
      <c r="D920" s="33" t="n"/>
      <c r="E920" s="34" t="n"/>
      <c r="F920" s="35" t="n"/>
      <c r="G920" s="35" t="n"/>
      <c r="H920" s="32" t="n"/>
      <c r="I920" s="32" t="n"/>
      <c r="J920" s="32" t="n"/>
      <c r="K920" s="36">
        <f>IF(E920&lt;&gt;"",E920,IF(AND(F920&lt;&gt;"",G920&lt;&gt;""),MOD(G920-F920,1)*24,""))</f>
        <v/>
      </c>
      <c r="L920" s="37">
        <f>IF(A920="","",CHOOSE(WEEKDAY(A920,2),"Montag","Dienstag","Mittwoch","Donnerstag","Freitag","Samstag","Sonntag"))</f>
        <v/>
      </c>
      <c r="M920" s="37">
        <f>IF(A920="","",_xlfn.ISOWEEKNUM(A920))</f>
        <v/>
      </c>
      <c r="N920" s="38">
        <f>IF(A920="","",DATE(YEAR(A920),MONTH(A920),1))</f>
        <v/>
      </c>
    </row>
    <row r="921">
      <c r="A921" s="31" t="n"/>
      <c r="B921" s="32" t="n"/>
      <c r="C921" s="32" t="n"/>
      <c r="D921" s="33" t="n"/>
      <c r="E921" s="34" t="n"/>
      <c r="F921" s="35" t="n"/>
      <c r="G921" s="35" t="n"/>
      <c r="H921" s="32" t="n"/>
      <c r="I921" s="32" t="n"/>
      <c r="J921" s="32" t="n"/>
      <c r="K921" s="36">
        <f>IF(E921&lt;&gt;"",E921,IF(AND(F921&lt;&gt;"",G921&lt;&gt;""),MOD(G921-F921,1)*24,""))</f>
        <v/>
      </c>
      <c r="L921" s="37">
        <f>IF(A921="","",CHOOSE(WEEKDAY(A921,2),"Montag","Dienstag","Mittwoch","Donnerstag","Freitag","Samstag","Sonntag"))</f>
        <v/>
      </c>
      <c r="M921" s="37">
        <f>IF(A921="","",_xlfn.ISOWEEKNUM(A921))</f>
        <v/>
      </c>
      <c r="N921" s="38">
        <f>IF(A921="","",DATE(YEAR(A921),MONTH(A921),1))</f>
        <v/>
      </c>
    </row>
    <row r="922">
      <c r="A922" s="31" t="n"/>
      <c r="B922" s="32" t="n"/>
      <c r="C922" s="32" t="n"/>
      <c r="D922" s="33" t="n"/>
      <c r="E922" s="34" t="n"/>
      <c r="F922" s="35" t="n"/>
      <c r="G922" s="35" t="n"/>
      <c r="H922" s="32" t="n"/>
      <c r="I922" s="32" t="n"/>
      <c r="J922" s="32" t="n"/>
      <c r="K922" s="36">
        <f>IF(E922&lt;&gt;"",E922,IF(AND(F922&lt;&gt;"",G922&lt;&gt;""),MOD(G922-F922,1)*24,""))</f>
        <v/>
      </c>
      <c r="L922" s="37">
        <f>IF(A922="","",CHOOSE(WEEKDAY(A922,2),"Montag","Dienstag","Mittwoch","Donnerstag","Freitag","Samstag","Sonntag"))</f>
        <v/>
      </c>
      <c r="M922" s="37">
        <f>IF(A922="","",_xlfn.ISOWEEKNUM(A922))</f>
        <v/>
      </c>
      <c r="N922" s="38">
        <f>IF(A922="","",DATE(YEAR(A922),MONTH(A922),1))</f>
        <v/>
      </c>
    </row>
    <row r="923">
      <c r="A923" s="31" t="n"/>
      <c r="B923" s="32" t="n"/>
      <c r="C923" s="32" t="n"/>
      <c r="D923" s="33" t="n"/>
      <c r="E923" s="34" t="n"/>
      <c r="F923" s="35" t="n"/>
      <c r="G923" s="35" t="n"/>
      <c r="H923" s="32" t="n"/>
      <c r="I923" s="32" t="n"/>
      <c r="J923" s="32" t="n"/>
      <c r="K923" s="36">
        <f>IF(E923&lt;&gt;"",E923,IF(AND(F923&lt;&gt;"",G923&lt;&gt;""),MOD(G923-F923,1)*24,""))</f>
        <v/>
      </c>
      <c r="L923" s="37">
        <f>IF(A923="","",CHOOSE(WEEKDAY(A923,2),"Montag","Dienstag","Mittwoch","Donnerstag","Freitag","Samstag","Sonntag"))</f>
        <v/>
      </c>
      <c r="M923" s="37">
        <f>IF(A923="","",_xlfn.ISOWEEKNUM(A923))</f>
        <v/>
      </c>
      <c r="N923" s="38">
        <f>IF(A923="","",DATE(YEAR(A923),MONTH(A923),1))</f>
        <v/>
      </c>
    </row>
    <row r="924">
      <c r="A924" s="31" t="n"/>
      <c r="B924" s="32" t="n"/>
      <c r="C924" s="32" t="n"/>
      <c r="D924" s="33" t="n"/>
      <c r="E924" s="34" t="n"/>
      <c r="F924" s="35" t="n"/>
      <c r="G924" s="35" t="n"/>
      <c r="H924" s="32" t="n"/>
      <c r="I924" s="32" t="n"/>
      <c r="J924" s="32" t="n"/>
      <c r="K924" s="36">
        <f>IF(E924&lt;&gt;"",E924,IF(AND(F924&lt;&gt;"",G924&lt;&gt;""),MOD(G924-F924,1)*24,""))</f>
        <v/>
      </c>
      <c r="L924" s="37">
        <f>IF(A924="","",CHOOSE(WEEKDAY(A924,2),"Montag","Dienstag","Mittwoch","Donnerstag","Freitag","Samstag","Sonntag"))</f>
        <v/>
      </c>
      <c r="M924" s="37">
        <f>IF(A924="","",_xlfn.ISOWEEKNUM(A924))</f>
        <v/>
      </c>
      <c r="N924" s="38">
        <f>IF(A924="","",DATE(YEAR(A924),MONTH(A924),1))</f>
        <v/>
      </c>
    </row>
    <row r="925">
      <c r="A925" s="31" t="n"/>
      <c r="B925" s="32" t="n"/>
      <c r="C925" s="32" t="n"/>
      <c r="D925" s="33" t="n"/>
      <c r="E925" s="34" t="n"/>
      <c r="F925" s="35" t="n"/>
      <c r="G925" s="35" t="n"/>
      <c r="H925" s="32" t="n"/>
      <c r="I925" s="32" t="n"/>
      <c r="J925" s="32" t="n"/>
      <c r="K925" s="36">
        <f>IF(E925&lt;&gt;"",E925,IF(AND(F925&lt;&gt;"",G925&lt;&gt;""),MOD(G925-F925,1)*24,""))</f>
        <v/>
      </c>
      <c r="L925" s="37">
        <f>IF(A925="","",CHOOSE(WEEKDAY(A925,2),"Montag","Dienstag","Mittwoch","Donnerstag","Freitag","Samstag","Sonntag"))</f>
        <v/>
      </c>
      <c r="M925" s="37">
        <f>IF(A925="","",_xlfn.ISOWEEKNUM(A925))</f>
        <v/>
      </c>
      <c r="N925" s="38">
        <f>IF(A925="","",DATE(YEAR(A925),MONTH(A925),1))</f>
        <v/>
      </c>
    </row>
    <row r="926">
      <c r="A926" s="31" t="n"/>
      <c r="B926" s="32" t="n"/>
      <c r="C926" s="32" t="n"/>
      <c r="D926" s="33" t="n"/>
      <c r="E926" s="34" t="n"/>
      <c r="F926" s="35" t="n"/>
      <c r="G926" s="35" t="n"/>
      <c r="H926" s="32" t="n"/>
      <c r="I926" s="32" t="n"/>
      <c r="J926" s="32" t="n"/>
      <c r="K926" s="36">
        <f>IF(E926&lt;&gt;"",E926,IF(AND(F926&lt;&gt;"",G926&lt;&gt;""),MOD(G926-F926,1)*24,""))</f>
        <v/>
      </c>
      <c r="L926" s="37">
        <f>IF(A926="","",CHOOSE(WEEKDAY(A926,2),"Montag","Dienstag","Mittwoch","Donnerstag","Freitag","Samstag","Sonntag"))</f>
        <v/>
      </c>
      <c r="M926" s="37">
        <f>IF(A926="","",_xlfn.ISOWEEKNUM(A926))</f>
        <v/>
      </c>
      <c r="N926" s="38">
        <f>IF(A926="","",DATE(YEAR(A926),MONTH(A926),1))</f>
        <v/>
      </c>
    </row>
    <row r="927">
      <c r="A927" s="31" t="n"/>
      <c r="B927" s="32" t="n"/>
      <c r="C927" s="32" t="n"/>
      <c r="D927" s="33" t="n"/>
      <c r="E927" s="34" t="n"/>
      <c r="F927" s="35" t="n"/>
      <c r="G927" s="35" t="n"/>
      <c r="H927" s="32" t="n"/>
      <c r="I927" s="32" t="n"/>
      <c r="J927" s="32" t="n"/>
      <c r="K927" s="36">
        <f>IF(E927&lt;&gt;"",E927,IF(AND(F927&lt;&gt;"",G927&lt;&gt;""),MOD(G927-F927,1)*24,""))</f>
        <v/>
      </c>
      <c r="L927" s="37">
        <f>IF(A927="","",CHOOSE(WEEKDAY(A927,2),"Montag","Dienstag","Mittwoch","Donnerstag","Freitag","Samstag","Sonntag"))</f>
        <v/>
      </c>
      <c r="M927" s="37">
        <f>IF(A927="","",_xlfn.ISOWEEKNUM(A927))</f>
        <v/>
      </c>
      <c r="N927" s="38">
        <f>IF(A927="","",DATE(YEAR(A927),MONTH(A927),1))</f>
        <v/>
      </c>
    </row>
    <row r="928">
      <c r="A928" s="31" t="n"/>
      <c r="B928" s="32" t="n"/>
      <c r="C928" s="32" t="n"/>
      <c r="D928" s="33" t="n"/>
      <c r="E928" s="34" t="n"/>
      <c r="F928" s="35" t="n"/>
      <c r="G928" s="35" t="n"/>
      <c r="H928" s="32" t="n"/>
      <c r="I928" s="32" t="n"/>
      <c r="J928" s="32" t="n"/>
      <c r="K928" s="36">
        <f>IF(E928&lt;&gt;"",E928,IF(AND(F928&lt;&gt;"",G928&lt;&gt;""),MOD(G928-F928,1)*24,""))</f>
        <v/>
      </c>
      <c r="L928" s="37">
        <f>IF(A928="","",CHOOSE(WEEKDAY(A928,2),"Montag","Dienstag","Mittwoch","Donnerstag","Freitag","Samstag","Sonntag"))</f>
        <v/>
      </c>
      <c r="M928" s="37">
        <f>IF(A928="","",_xlfn.ISOWEEKNUM(A928))</f>
        <v/>
      </c>
      <c r="N928" s="38">
        <f>IF(A928="","",DATE(YEAR(A928),MONTH(A928),1))</f>
        <v/>
      </c>
    </row>
    <row r="929">
      <c r="A929" s="31" t="n"/>
      <c r="B929" s="32" t="n"/>
      <c r="C929" s="32" t="n"/>
      <c r="D929" s="33" t="n"/>
      <c r="E929" s="34" t="n"/>
      <c r="F929" s="35" t="n"/>
      <c r="G929" s="35" t="n"/>
      <c r="H929" s="32" t="n"/>
      <c r="I929" s="32" t="n"/>
      <c r="J929" s="32" t="n"/>
      <c r="K929" s="36">
        <f>IF(E929&lt;&gt;"",E929,IF(AND(F929&lt;&gt;"",G929&lt;&gt;""),MOD(G929-F929,1)*24,""))</f>
        <v/>
      </c>
      <c r="L929" s="37">
        <f>IF(A929="","",CHOOSE(WEEKDAY(A929,2),"Montag","Dienstag","Mittwoch","Donnerstag","Freitag","Samstag","Sonntag"))</f>
        <v/>
      </c>
      <c r="M929" s="37">
        <f>IF(A929="","",_xlfn.ISOWEEKNUM(A929))</f>
        <v/>
      </c>
      <c r="N929" s="38">
        <f>IF(A929="","",DATE(YEAR(A929),MONTH(A929),1))</f>
        <v/>
      </c>
    </row>
    <row r="930">
      <c r="A930" s="31" t="n"/>
      <c r="B930" s="32" t="n"/>
      <c r="C930" s="32" t="n"/>
      <c r="D930" s="33" t="n"/>
      <c r="E930" s="34" t="n"/>
      <c r="F930" s="35" t="n"/>
      <c r="G930" s="35" t="n"/>
      <c r="H930" s="32" t="n"/>
      <c r="I930" s="32" t="n"/>
      <c r="J930" s="32" t="n"/>
      <c r="K930" s="36">
        <f>IF(E930&lt;&gt;"",E930,IF(AND(F930&lt;&gt;"",G930&lt;&gt;""),MOD(G930-F930,1)*24,""))</f>
        <v/>
      </c>
      <c r="L930" s="37">
        <f>IF(A930="","",CHOOSE(WEEKDAY(A930,2),"Montag","Dienstag","Mittwoch","Donnerstag","Freitag","Samstag","Sonntag"))</f>
        <v/>
      </c>
      <c r="M930" s="37">
        <f>IF(A930="","",_xlfn.ISOWEEKNUM(A930))</f>
        <v/>
      </c>
      <c r="N930" s="38">
        <f>IF(A930="","",DATE(YEAR(A930),MONTH(A930),1))</f>
        <v/>
      </c>
    </row>
    <row r="931">
      <c r="A931" s="31" t="n"/>
      <c r="B931" s="32" t="n"/>
      <c r="C931" s="32" t="n"/>
      <c r="D931" s="33" t="n"/>
      <c r="E931" s="34" t="n"/>
      <c r="F931" s="35" t="n"/>
      <c r="G931" s="35" t="n"/>
      <c r="H931" s="32" t="n"/>
      <c r="I931" s="32" t="n"/>
      <c r="J931" s="32" t="n"/>
      <c r="K931" s="36">
        <f>IF(E931&lt;&gt;"",E931,IF(AND(F931&lt;&gt;"",G931&lt;&gt;""),MOD(G931-F931,1)*24,""))</f>
        <v/>
      </c>
      <c r="L931" s="37">
        <f>IF(A931="","",CHOOSE(WEEKDAY(A931,2),"Montag","Dienstag","Mittwoch","Donnerstag","Freitag","Samstag","Sonntag"))</f>
        <v/>
      </c>
      <c r="M931" s="37">
        <f>IF(A931="","",_xlfn.ISOWEEKNUM(A931))</f>
        <v/>
      </c>
      <c r="N931" s="38">
        <f>IF(A931="","",DATE(YEAR(A931),MONTH(A931),1))</f>
        <v/>
      </c>
    </row>
    <row r="932">
      <c r="A932" s="31" t="n"/>
      <c r="B932" s="32" t="n"/>
      <c r="C932" s="32" t="n"/>
      <c r="D932" s="33" t="n"/>
      <c r="E932" s="34" t="n"/>
      <c r="F932" s="35" t="n"/>
      <c r="G932" s="35" t="n"/>
      <c r="H932" s="32" t="n"/>
      <c r="I932" s="32" t="n"/>
      <c r="J932" s="32" t="n"/>
      <c r="K932" s="36">
        <f>IF(E932&lt;&gt;"",E932,IF(AND(F932&lt;&gt;"",G932&lt;&gt;""),MOD(G932-F932,1)*24,""))</f>
        <v/>
      </c>
      <c r="L932" s="37">
        <f>IF(A932="","",CHOOSE(WEEKDAY(A932,2),"Montag","Dienstag","Mittwoch","Donnerstag","Freitag","Samstag","Sonntag"))</f>
        <v/>
      </c>
      <c r="M932" s="37">
        <f>IF(A932="","",_xlfn.ISOWEEKNUM(A932))</f>
        <v/>
      </c>
      <c r="N932" s="38">
        <f>IF(A932="","",DATE(YEAR(A932),MONTH(A932),1))</f>
        <v/>
      </c>
    </row>
    <row r="933">
      <c r="A933" s="31" t="n"/>
      <c r="B933" s="32" t="n"/>
      <c r="C933" s="32" t="n"/>
      <c r="D933" s="33" t="n"/>
      <c r="E933" s="34" t="n"/>
      <c r="F933" s="35" t="n"/>
      <c r="G933" s="35" t="n"/>
      <c r="H933" s="32" t="n"/>
      <c r="I933" s="32" t="n"/>
      <c r="J933" s="32" t="n"/>
      <c r="K933" s="36">
        <f>IF(E933&lt;&gt;"",E933,IF(AND(F933&lt;&gt;"",G933&lt;&gt;""),MOD(G933-F933,1)*24,""))</f>
        <v/>
      </c>
      <c r="L933" s="37">
        <f>IF(A933="","",CHOOSE(WEEKDAY(A933,2),"Montag","Dienstag","Mittwoch","Donnerstag","Freitag","Samstag","Sonntag"))</f>
        <v/>
      </c>
      <c r="M933" s="37">
        <f>IF(A933="","",_xlfn.ISOWEEKNUM(A933))</f>
        <v/>
      </c>
      <c r="N933" s="38">
        <f>IF(A933="","",DATE(YEAR(A933),MONTH(A933),1))</f>
        <v/>
      </c>
    </row>
    <row r="934">
      <c r="A934" s="31" t="n"/>
      <c r="B934" s="32" t="n"/>
      <c r="C934" s="32" t="n"/>
      <c r="D934" s="33" t="n"/>
      <c r="E934" s="34" t="n"/>
      <c r="F934" s="35" t="n"/>
      <c r="G934" s="35" t="n"/>
      <c r="H934" s="32" t="n"/>
      <c r="I934" s="32" t="n"/>
      <c r="J934" s="32" t="n"/>
      <c r="K934" s="36">
        <f>IF(E934&lt;&gt;"",E934,IF(AND(F934&lt;&gt;"",G934&lt;&gt;""),MOD(G934-F934,1)*24,""))</f>
        <v/>
      </c>
      <c r="L934" s="37">
        <f>IF(A934="","",CHOOSE(WEEKDAY(A934,2),"Montag","Dienstag","Mittwoch","Donnerstag","Freitag","Samstag","Sonntag"))</f>
        <v/>
      </c>
      <c r="M934" s="37">
        <f>IF(A934="","",_xlfn.ISOWEEKNUM(A934))</f>
        <v/>
      </c>
      <c r="N934" s="38">
        <f>IF(A934="","",DATE(YEAR(A934),MONTH(A934),1))</f>
        <v/>
      </c>
    </row>
    <row r="935">
      <c r="A935" s="31" t="n"/>
      <c r="B935" s="32" t="n"/>
      <c r="C935" s="32" t="n"/>
      <c r="D935" s="33" t="n"/>
      <c r="E935" s="34" t="n"/>
      <c r="F935" s="35" t="n"/>
      <c r="G935" s="35" t="n"/>
      <c r="H935" s="32" t="n"/>
      <c r="I935" s="32" t="n"/>
      <c r="J935" s="32" t="n"/>
      <c r="K935" s="36">
        <f>IF(E935&lt;&gt;"",E935,IF(AND(F935&lt;&gt;"",G935&lt;&gt;""),MOD(G935-F935,1)*24,""))</f>
        <v/>
      </c>
      <c r="L935" s="37">
        <f>IF(A935="","",CHOOSE(WEEKDAY(A935,2),"Montag","Dienstag","Mittwoch","Donnerstag","Freitag","Samstag","Sonntag"))</f>
        <v/>
      </c>
      <c r="M935" s="37">
        <f>IF(A935="","",_xlfn.ISOWEEKNUM(A935))</f>
        <v/>
      </c>
      <c r="N935" s="38">
        <f>IF(A935="","",DATE(YEAR(A935),MONTH(A935),1))</f>
        <v/>
      </c>
    </row>
    <row r="936">
      <c r="A936" s="31" t="n"/>
      <c r="B936" s="32" t="n"/>
      <c r="C936" s="32" t="n"/>
      <c r="D936" s="33" t="n"/>
      <c r="E936" s="34" t="n"/>
      <c r="F936" s="35" t="n"/>
      <c r="G936" s="35" t="n"/>
      <c r="H936" s="32" t="n"/>
      <c r="I936" s="32" t="n"/>
      <c r="J936" s="32" t="n"/>
      <c r="K936" s="36">
        <f>IF(E936&lt;&gt;"",E936,IF(AND(F936&lt;&gt;"",G936&lt;&gt;""),MOD(G936-F936,1)*24,""))</f>
        <v/>
      </c>
      <c r="L936" s="37">
        <f>IF(A936="","",CHOOSE(WEEKDAY(A936,2),"Montag","Dienstag","Mittwoch","Donnerstag","Freitag","Samstag","Sonntag"))</f>
        <v/>
      </c>
      <c r="M936" s="37">
        <f>IF(A936="","",_xlfn.ISOWEEKNUM(A936))</f>
        <v/>
      </c>
      <c r="N936" s="38">
        <f>IF(A936="","",DATE(YEAR(A936),MONTH(A936),1))</f>
        <v/>
      </c>
    </row>
    <row r="937">
      <c r="A937" s="31" t="n"/>
      <c r="B937" s="32" t="n"/>
      <c r="C937" s="32" t="n"/>
      <c r="D937" s="33" t="n"/>
      <c r="E937" s="34" t="n"/>
      <c r="F937" s="35" t="n"/>
      <c r="G937" s="35" t="n"/>
      <c r="H937" s="32" t="n"/>
      <c r="I937" s="32" t="n"/>
      <c r="J937" s="32" t="n"/>
      <c r="K937" s="36">
        <f>IF(E937&lt;&gt;"",E937,IF(AND(F937&lt;&gt;"",G937&lt;&gt;""),MOD(G937-F937,1)*24,""))</f>
        <v/>
      </c>
      <c r="L937" s="37">
        <f>IF(A937="","",CHOOSE(WEEKDAY(A937,2),"Montag","Dienstag","Mittwoch","Donnerstag","Freitag","Samstag","Sonntag"))</f>
        <v/>
      </c>
      <c r="M937" s="37">
        <f>IF(A937="","",_xlfn.ISOWEEKNUM(A937))</f>
        <v/>
      </c>
      <c r="N937" s="38">
        <f>IF(A937="","",DATE(YEAR(A937),MONTH(A937),1))</f>
        <v/>
      </c>
    </row>
    <row r="938">
      <c r="A938" s="31" t="n"/>
      <c r="B938" s="32" t="n"/>
      <c r="C938" s="32" t="n"/>
      <c r="D938" s="33" t="n"/>
      <c r="E938" s="34" t="n"/>
      <c r="F938" s="35" t="n"/>
      <c r="G938" s="35" t="n"/>
      <c r="H938" s="32" t="n"/>
      <c r="I938" s="32" t="n"/>
      <c r="J938" s="32" t="n"/>
      <c r="K938" s="36">
        <f>IF(E938&lt;&gt;"",E938,IF(AND(F938&lt;&gt;"",G938&lt;&gt;""),MOD(G938-F938,1)*24,""))</f>
        <v/>
      </c>
      <c r="L938" s="37">
        <f>IF(A938="","",CHOOSE(WEEKDAY(A938,2),"Montag","Dienstag","Mittwoch","Donnerstag","Freitag","Samstag","Sonntag"))</f>
        <v/>
      </c>
      <c r="M938" s="37">
        <f>IF(A938="","",_xlfn.ISOWEEKNUM(A938))</f>
        <v/>
      </c>
      <c r="N938" s="38">
        <f>IF(A938="","",DATE(YEAR(A938),MONTH(A938),1))</f>
        <v/>
      </c>
    </row>
    <row r="939">
      <c r="A939" s="31" t="n"/>
      <c r="B939" s="32" t="n"/>
      <c r="C939" s="32" t="n"/>
      <c r="D939" s="33" t="n"/>
      <c r="E939" s="34" t="n"/>
      <c r="F939" s="35" t="n"/>
      <c r="G939" s="35" t="n"/>
      <c r="H939" s="32" t="n"/>
      <c r="I939" s="32" t="n"/>
      <c r="J939" s="32" t="n"/>
      <c r="K939" s="36">
        <f>IF(E939&lt;&gt;"",E939,IF(AND(F939&lt;&gt;"",G939&lt;&gt;""),MOD(G939-F939,1)*24,""))</f>
        <v/>
      </c>
      <c r="L939" s="37">
        <f>IF(A939="","",CHOOSE(WEEKDAY(A939,2),"Montag","Dienstag","Mittwoch","Donnerstag","Freitag","Samstag","Sonntag"))</f>
        <v/>
      </c>
      <c r="M939" s="37">
        <f>IF(A939="","",_xlfn.ISOWEEKNUM(A939))</f>
        <v/>
      </c>
      <c r="N939" s="38">
        <f>IF(A939="","",DATE(YEAR(A939),MONTH(A939),1))</f>
        <v/>
      </c>
    </row>
    <row r="940">
      <c r="A940" s="31" t="n"/>
      <c r="B940" s="32" t="n"/>
      <c r="C940" s="32" t="n"/>
      <c r="D940" s="33" t="n"/>
      <c r="E940" s="34" t="n"/>
      <c r="F940" s="35" t="n"/>
      <c r="G940" s="35" t="n"/>
      <c r="H940" s="32" t="n"/>
      <c r="I940" s="32" t="n"/>
      <c r="J940" s="32" t="n"/>
      <c r="K940" s="36">
        <f>IF(E940&lt;&gt;"",E940,IF(AND(F940&lt;&gt;"",G940&lt;&gt;""),MOD(G940-F940,1)*24,""))</f>
        <v/>
      </c>
      <c r="L940" s="37">
        <f>IF(A940="","",CHOOSE(WEEKDAY(A940,2),"Montag","Dienstag","Mittwoch","Donnerstag","Freitag","Samstag","Sonntag"))</f>
        <v/>
      </c>
      <c r="M940" s="37">
        <f>IF(A940="","",_xlfn.ISOWEEKNUM(A940))</f>
        <v/>
      </c>
      <c r="N940" s="38">
        <f>IF(A940="","",DATE(YEAR(A940),MONTH(A940),1))</f>
        <v/>
      </c>
    </row>
    <row r="941">
      <c r="A941" s="31" t="n"/>
      <c r="B941" s="32" t="n"/>
      <c r="C941" s="32" t="n"/>
      <c r="D941" s="33" t="n"/>
      <c r="E941" s="34" t="n"/>
      <c r="F941" s="35" t="n"/>
      <c r="G941" s="35" t="n"/>
      <c r="H941" s="32" t="n"/>
      <c r="I941" s="32" t="n"/>
      <c r="J941" s="32" t="n"/>
      <c r="K941" s="36">
        <f>IF(E941&lt;&gt;"",E941,IF(AND(F941&lt;&gt;"",G941&lt;&gt;""),MOD(G941-F941,1)*24,""))</f>
        <v/>
      </c>
      <c r="L941" s="37">
        <f>IF(A941="","",CHOOSE(WEEKDAY(A941,2),"Montag","Dienstag","Mittwoch","Donnerstag","Freitag","Samstag","Sonntag"))</f>
        <v/>
      </c>
      <c r="M941" s="37">
        <f>IF(A941="","",_xlfn.ISOWEEKNUM(A941))</f>
        <v/>
      </c>
      <c r="N941" s="38">
        <f>IF(A941="","",DATE(YEAR(A941),MONTH(A941),1))</f>
        <v/>
      </c>
    </row>
    <row r="942">
      <c r="A942" s="31" t="n"/>
      <c r="B942" s="32" t="n"/>
      <c r="C942" s="32" t="n"/>
      <c r="D942" s="33" t="n"/>
      <c r="E942" s="34" t="n"/>
      <c r="F942" s="35" t="n"/>
      <c r="G942" s="35" t="n"/>
      <c r="H942" s="32" t="n"/>
      <c r="I942" s="32" t="n"/>
      <c r="J942" s="32" t="n"/>
      <c r="K942" s="36">
        <f>IF(E942&lt;&gt;"",E942,IF(AND(F942&lt;&gt;"",G942&lt;&gt;""),MOD(G942-F942,1)*24,""))</f>
        <v/>
      </c>
      <c r="L942" s="37">
        <f>IF(A942="","",CHOOSE(WEEKDAY(A942,2),"Montag","Dienstag","Mittwoch","Donnerstag","Freitag","Samstag","Sonntag"))</f>
        <v/>
      </c>
      <c r="M942" s="37">
        <f>IF(A942="","",_xlfn.ISOWEEKNUM(A942))</f>
        <v/>
      </c>
      <c r="N942" s="38">
        <f>IF(A942="","",DATE(YEAR(A942),MONTH(A942),1))</f>
        <v/>
      </c>
    </row>
    <row r="943">
      <c r="A943" s="31" t="n"/>
      <c r="B943" s="32" t="n"/>
      <c r="C943" s="32" t="n"/>
      <c r="D943" s="33" t="n"/>
      <c r="E943" s="34" t="n"/>
      <c r="F943" s="35" t="n"/>
      <c r="G943" s="35" t="n"/>
      <c r="H943" s="32" t="n"/>
      <c r="I943" s="32" t="n"/>
      <c r="J943" s="32" t="n"/>
      <c r="K943" s="36">
        <f>IF(E943&lt;&gt;"",E943,IF(AND(F943&lt;&gt;"",G943&lt;&gt;""),MOD(G943-F943,1)*24,""))</f>
        <v/>
      </c>
      <c r="L943" s="37">
        <f>IF(A943="","",CHOOSE(WEEKDAY(A943,2),"Montag","Dienstag","Mittwoch","Donnerstag","Freitag","Samstag","Sonntag"))</f>
        <v/>
      </c>
      <c r="M943" s="37">
        <f>IF(A943="","",_xlfn.ISOWEEKNUM(A943))</f>
        <v/>
      </c>
      <c r="N943" s="38">
        <f>IF(A943="","",DATE(YEAR(A943),MONTH(A943),1))</f>
        <v/>
      </c>
    </row>
    <row r="944">
      <c r="A944" s="31" t="n"/>
      <c r="B944" s="32" t="n"/>
      <c r="C944" s="32" t="n"/>
      <c r="D944" s="33" t="n"/>
      <c r="E944" s="34" t="n"/>
      <c r="F944" s="35" t="n"/>
      <c r="G944" s="35" t="n"/>
      <c r="H944" s="32" t="n"/>
      <c r="I944" s="32" t="n"/>
      <c r="J944" s="32" t="n"/>
      <c r="K944" s="36">
        <f>IF(E944&lt;&gt;"",E944,IF(AND(F944&lt;&gt;"",G944&lt;&gt;""),MOD(G944-F944,1)*24,""))</f>
        <v/>
      </c>
      <c r="L944" s="37">
        <f>IF(A944="","",CHOOSE(WEEKDAY(A944,2),"Montag","Dienstag","Mittwoch","Donnerstag","Freitag","Samstag","Sonntag"))</f>
        <v/>
      </c>
      <c r="M944" s="37">
        <f>IF(A944="","",_xlfn.ISOWEEKNUM(A944))</f>
        <v/>
      </c>
      <c r="N944" s="38">
        <f>IF(A944="","",DATE(YEAR(A944),MONTH(A944),1))</f>
        <v/>
      </c>
    </row>
    <row r="945">
      <c r="A945" s="31" t="n"/>
      <c r="B945" s="32" t="n"/>
      <c r="C945" s="32" t="n"/>
      <c r="D945" s="33" t="n"/>
      <c r="E945" s="34" t="n"/>
      <c r="F945" s="35" t="n"/>
      <c r="G945" s="35" t="n"/>
      <c r="H945" s="32" t="n"/>
      <c r="I945" s="32" t="n"/>
      <c r="J945" s="32" t="n"/>
      <c r="K945" s="36">
        <f>IF(E945&lt;&gt;"",E945,IF(AND(F945&lt;&gt;"",G945&lt;&gt;""),MOD(G945-F945,1)*24,""))</f>
        <v/>
      </c>
      <c r="L945" s="37">
        <f>IF(A945="","",CHOOSE(WEEKDAY(A945,2),"Montag","Dienstag","Mittwoch","Donnerstag","Freitag","Samstag","Sonntag"))</f>
        <v/>
      </c>
      <c r="M945" s="37">
        <f>IF(A945="","",_xlfn.ISOWEEKNUM(A945))</f>
        <v/>
      </c>
      <c r="N945" s="38">
        <f>IF(A945="","",DATE(YEAR(A945),MONTH(A945),1))</f>
        <v/>
      </c>
    </row>
    <row r="946">
      <c r="A946" s="31" t="n"/>
      <c r="B946" s="32" t="n"/>
      <c r="C946" s="32" t="n"/>
      <c r="D946" s="33" t="n"/>
      <c r="E946" s="34" t="n"/>
      <c r="F946" s="35" t="n"/>
      <c r="G946" s="35" t="n"/>
      <c r="H946" s="32" t="n"/>
      <c r="I946" s="32" t="n"/>
      <c r="J946" s="32" t="n"/>
      <c r="K946" s="36">
        <f>IF(E946&lt;&gt;"",E946,IF(AND(F946&lt;&gt;"",G946&lt;&gt;""),MOD(G946-F946,1)*24,""))</f>
        <v/>
      </c>
      <c r="L946" s="37">
        <f>IF(A946="","",CHOOSE(WEEKDAY(A946,2),"Montag","Dienstag","Mittwoch","Donnerstag","Freitag","Samstag","Sonntag"))</f>
        <v/>
      </c>
      <c r="M946" s="37">
        <f>IF(A946="","",_xlfn.ISOWEEKNUM(A946))</f>
        <v/>
      </c>
      <c r="N946" s="38">
        <f>IF(A946="","",DATE(YEAR(A946),MONTH(A946),1))</f>
        <v/>
      </c>
    </row>
    <row r="947">
      <c r="A947" s="31" t="n"/>
      <c r="B947" s="32" t="n"/>
      <c r="C947" s="32" t="n"/>
      <c r="D947" s="33" t="n"/>
      <c r="E947" s="34" t="n"/>
      <c r="F947" s="35" t="n"/>
      <c r="G947" s="35" t="n"/>
      <c r="H947" s="32" t="n"/>
      <c r="I947" s="32" t="n"/>
      <c r="J947" s="32" t="n"/>
      <c r="K947" s="36">
        <f>IF(E947&lt;&gt;"",E947,IF(AND(F947&lt;&gt;"",G947&lt;&gt;""),MOD(G947-F947,1)*24,""))</f>
        <v/>
      </c>
      <c r="L947" s="37">
        <f>IF(A947="","",CHOOSE(WEEKDAY(A947,2),"Montag","Dienstag","Mittwoch","Donnerstag","Freitag","Samstag","Sonntag"))</f>
        <v/>
      </c>
      <c r="M947" s="37">
        <f>IF(A947="","",_xlfn.ISOWEEKNUM(A947))</f>
        <v/>
      </c>
      <c r="N947" s="38">
        <f>IF(A947="","",DATE(YEAR(A947),MONTH(A947),1))</f>
        <v/>
      </c>
    </row>
    <row r="948">
      <c r="A948" s="31" t="n"/>
      <c r="B948" s="32" t="n"/>
      <c r="C948" s="32" t="n"/>
      <c r="D948" s="33" t="n"/>
      <c r="E948" s="34" t="n"/>
      <c r="F948" s="35" t="n"/>
      <c r="G948" s="35" t="n"/>
      <c r="H948" s="32" t="n"/>
      <c r="I948" s="32" t="n"/>
      <c r="J948" s="32" t="n"/>
      <c r="K948" s="36">
        <f>IF(E948&lt;&gt;"",E948,IF(AND(F948&lt;&gt;"",G948&lt;&gt;""),MOD(G948-F948,1)*24,""))</f>
        <v/>
      </c>
      <c r="L948" s="37">
        <f>IF(A948="","",CHOOSE(WEEKDAY(A948,2),"Montag","Dienstag","Mittwoch","Donnerstag","Freitag","Samstag","Sonntag"))</f>
        <v/>
      </c>
      <c r="M948" s="37">
        <f>IF(A948="","",_xlfn.ISOWEEKNUM(A948))</f>
        <v/>
      </c>
      <c r="N948" s="38">
        <f>IF(A948="","",DATE(YEAR(A948),MONTH(A948),1))</f>
        <v/>
      </c>
    </row>
    <row r="949">
      <c r="A949" s="31" t="n"/>
      <c r="B949" s="32" t="n"/>
      <c r="C949" s="32" t="n"/>
      <c r="D949" s="33" t="n"/>
      <c r="E949" s="34" t="n"/>
      <c r="F949" s="35" t="n"/>
      <c r="G949" s="35" t="n"/>
      <c r="H949" s="32" t="n"/>
      <c r="I949" s="32" t="n"/>
      <c r="J949" s="32" t="n"/>
      <c r="K949" s="36">
        <f>IF(E949&lt;&gt;"",E949,IF(AND(F949&lt;&gt;"",G949&lt;&gt;""),MOD(G949-F949,1)*24,""))</f>
        <v/>
      </c>
      <c r="L949" s="37">
        <f>IF(A949="","",CHOOSE(WEEKDAY(A949,2),"Montag","Dienstag","Mittwoch","Donnerstag","Freitag","Samstag","Sonntag"))</f>
        <v/>
      </c>
      <c r="M949" s="37">
        <f>IF(A949="","",_xlfn.ISOWEEKNUM(A949))</f>
        <v/>
      </c>
      <c r="N949" s="38">
        <f>IF(A949="","",DATE(YEAR(A949),MONTH(A949),1))</f>
        <v/>
      </c>
    </row>
    <row r="950">
      <c r="A950" s="31" t="n"/>
      <c r="B950" s="32" t="n"/>
      <c r="C950" s="32" t="n"/>
      <c r="D950" s="33" t="n"/>
      <c r="E950" s="34" t="n"/>
      <c r="F950" s="35" t="n"/>
      <c r="G950" s="35" t="n"/>
      <c r="H950" s="32" t="n"/>
      <c r="I950" s="32" t="n"/>
      <c r="J950" s="32" t="n"/>
      <c r="K950" s="36">
        <f>IF(E950&lt;&gt;"",E950,IF(AND(F950&lt;&gt;"",G950&lt;&gt;""),MOD(G950-F950,1)*24,""))</f>
        <v/>
      </c>
      <c r="L950" s="37">
        <f>IF(A950="","",CHOOSE(WEEKDAY(A950,2),"Montag","Dienstag","Mittwoch","Donnerstag","Freitag","Samstag","Sonntag"))</f>
        <v/>
      </c>
      <c r="M950" s="37">
        <f>IF(A950="","",_xlfn.ISOWEEKNUM(A950))</f>
        <v/>
      </c>
      <c r="N950" s="38">
        <f>IF(A950="","",DATE(YEAR(A950),MONTH(A950),1))</f>
        <v/>
      </c>
    </row>
    <row r="951">
      <c r="A951" s="31" t="n"/>
      <c r="B951" s="32" t="n"/>
      <c r="C951" s="32" t="n"/>
      <c r="D951" s="33" t="n"/>
      <c r="E951" s="34" t="n"/>
      <c r="F951" s="35" t="n"/>
      <c r="G951" s="35" t="n"/>
      <c r="H951" s="32" t="n"/>
      <c r="I951" s="32" t="n"/>
      <c r="J951" s="32" t="n"/>
      <c r="K951" s="36">
        <f>IF(E951&lt;&gt;"",E951,IF(AND(F951&lt;&gt;"",G951&lt;&gt;""),MOD(G951-F951,1)*24,""))</f>
        <v/>
      </c>
      <c r="L951" s="37">
        <f>IF(A951="","",CHOOSE(WEEKDAY(A951,2),"Montag","Dienstag","Mittwoch","Donnerstag","Freitag","Samstag","Sonntag"))</f>
        <v/>
      </c>
      <c r="M951" s="37">
        <f>IF(A951="","",_xlfn.ISOWEEKNUM(A951))</f>
        <v/>
      </c>
      <c r="N951" s="38">
        <f>IF(A951="","",DATE(YEAR(A951),MONTH(A951),1))</f>
        <v/>
      </c>
    </row>
    <row r="952">
      <c r="A952" s="31" t="n"/>
      <c r="B952" s="32" t="n"/>
      <c r="C952" s="32" t="n"/>
      <c r="D952" s="33" t="n"/>
      <c r="E952" s="34" t="n"/>
      <c r="F952" s="35" t="n"/>
      <c r="G952" s="35" t="n"/>
      <c r="H952" s="32" t="n"/>
      <c r="I952" s="32" t="n"/>
      <c r="J952" s="32" t="n"/>
      <c r="K952" s="36">
        <f>IF(E952&lt;&gt;"",E952,IF(AND(F952&lt;&gt;"",G952&lt;&gt;""),MOD(G952-F952,1)*24,""))</f>
        <v/>
      </c>
      <c r="L952" s="37">
        <f>IF(A952="","",CHOOSE(WEEKDAY(A952,2),"Montag","Dienstag","Mittwoch","Donnerstag","Freitag","Samstag","Sonntag"))</f>
        <v/>
      </c>
      <c r="M952" s="37">
        <f>IF(A952="","",_xlfn.ISOWEEKNUM(A952))</f>
        <v/>
      </c>
      <c r="N952" s="38">
        <f>IF(A952="","",DATE(YEAR(A952),MONTH(A952),1))</f>
        <v/>
      </c>
    </row>
    <row r="953">
      <c r="A953" s="31" t="n"/>
      <c r="B953" s="32" t="n"/>
      <c r="C953" s="32" t="n"/>
      <c r="D953" s="33" t="n"/>
      <c r="E953" s="34" t="n"/>
      <c r="F953" s="35" t="n"/>
      <c r="G953" s="35" t="n"/>
      <c r="H953" s="32" t="n"/>
      <c r="I953" s="32" t="n"/>
      <c r="J953" s="32" t="n"/>
      <c r="K953" s="36">
        <f>IF(E953&lt;&gt;"",E953,IF(AND(F953&lt;&gt;"",G953&lt;&gt;""),MOD(G953-F953,1)*24,""))</f>
        <v/>
      </c>
      <c r="L953" s="37">
        <f>IF(A953="","",CHOOSE(WEEKDAY(A953,2),"Montag","Dienstag","Mittwoch","Donnerstag","Freitag","Samstag","Sonntag"))</f>
        <v/>
      </c>
      <c r="M953" s="37">
        <f>IF(A953="","",_xlfn.ISOWEEKNUM(A953))</f>
        <v/>
      </c>
      <c r="N953" s="38">
        <f>IF(A953="","",DATE(YEAR(A953),MONTH(A953),1))</f>
        <v/>
      </c>
    </row>
    <row r="954">
      <c r="A954" s="31" t="n"/>
      <c r="B954" s="32" t="n"/>
      <c r="C954" s="32" t="n"/>
      <c r="D954" s="33" t="n"/>
      <c r="E954" s="34" t="n"/>
      <c r="F954" s="35" t="n"/>
      <c r="G954" s="35" t="n"/>
      <c r="H954" s="32" t="n"/>
      <c r="I954" s="32" t="n"/>
      <c r="J954" s="32" t="n"/>
      <c r="K954" s="36">
        <f>IF(E954&lt;&gt;"",E954,IF(AND(F954&lt;&gt;"",G954&lt;&gt;""),MOD(G954-F954,1)*24,""))</f>
        <v/>
      </c>
      <c r="L954" s="37">
        <f>IF(A954="","",CHOOSE(WEEKDAY(A954,2),"Montag","Dienstag","Mittwoch","Donnerstag","Freitag","Samstag","Sonntag"))</f>
        <v/>
      </c>
      <c r="M954" s="37">
        <f>IF(A954="","",_xlfn.ISOWEEKNUM(A954))</f>
        <v/>
      </c>
      <c r="N954" s="38">
        <f>IF(A954="","",DATE(YEAR(A954),MONTH(A954),1))</f>
        <v/>
      </c>
    </row>
    <row r="955">
      <c r="A955" s="31" t="n"/>
      <c r="B955" s="32" t="n"/>
      <c r="C955" s="32" t="n"/>
      <c r="D955" s="33" t="n"/>
      <c r="E955" s="34" t="n"/>
      <c r="F955" s="35" t="n"/>
      <c r="G955" s="35" t="n"/>
      <c r="H955" s="32" t="n"/>
      <c r="I955" s="32" t="n"/>
      <c r="J955" s="32" t="n"/>
      <c r="K955" s="36">
        <f>IF(E955&lt;&gt;"",E955,IF(AND(F955&lt;&gt;"",G955&lt;&gt;""),MOD(G955-F955,1)*24,""))</f>
        <v/>
      </c>
      <c r="L955" s="37">
        <f>IF(A955="","",CHOOSE(WEEKDAY(A955,2),"Montag","Dienstag","Mittwoch","Donnerstag","Freitag","Samstag","Sonntag"))</f>
        <v/>
      </c>
      <c r="M955" s="37">
        <f>IF(A955="","",_xlfn.ISOWEEKNUM(A955))</f>
        <v/>
      </c>
      <c r="N955" s="38">
        <f>IF(A955="","",DATE(YEAR(A955),MONTH(A955),1))</f>
        <v/>
      </c>
    </row>
    <row r="956">
      <c r="A956" s="31" t="n"/>
      <c r="B956" s="32" t="n"/>
      <c r="C956" s="32" t="n"/>
      <c r="D956" s="33" t="n"/>
      <c r="E956" s="34" t="n"/>
      <c r="F956" s="35" t="n"/>
      <c r="G956" s="35" t="n"/>
      <c r="H956" s="32" t="n"/>
      <c r="I956" s="32" t="n"/>
      <c r="J956" s="32" t="n"/>
      <c r="K956" s="36">
        <f>IF(E956&lt;&gt;"",E956,IF(AND(F956&lt;&gt;"",G956&lt;&gt;""),MOD(G956-F956,1)*24,""))</f>
        <v/>
      </c>
      <c r="L956" s="37">
        <f>IF(A956="","",CHOOSE(WEEKDAY(A956,2),"Montag","Dienstag","Mittwoch","Donnerstag","Freitag","Samstag","Sonntag"))</f>
        <v/>
      </c>
      <c r="M956" s="37">
        <f>IF(A956="","",_xlfn.ISOWEEKNUM(A956))</f>
        <v/>
      </c>
      <c r="N956" s="38">
        <f>IF(A956="","",DATE(YEAR(A956),MONTH(A956),1))</f>
        <v/>
      </c>
    </row>
    <row r="957">
      <c r="A957" s="31" t="n"/>
      <c r="B957" s="32" t="n"/>
      <c r="C957" s="32" t="n"/>
      <c r="D957" s="33" t="n"/>
      <c r="E957" s="34" t="n"/>
      <c r="F957" s="35" t="n"/>
      <c r="G957" s="35" t="n"/>
      <c r="H957" s="32" t="n"/>
      <c r="I957" s="32" t="n"/>
      <c r="J957" s="32" t="n"/>
      <c r="K957" s="36">
        <f>IF(E957&lt;&gt;"",E957,IF(AND(F957&lt;&gt;"",G957&lt;&gt;""),MOD(G957-F957,1)*24,""))</f>
        <v/>
      </c>
      <c r="L957" s="37">
        <f>IF(A957="","",CHOOSE(WEEKDAY(A957,2),"Montag","Dienstag","Mittwoch","Donnerstag","Freitag","Samstag","Sonntag"))</f>
        <v/>
      </c>
      <c r="M957" s="37">
        <f>IF(A957="","",_xlfn.ISOWEEKNUM(A957))</f>
        <v/>
      </c>
      <c r="N957" s="38">
        <f>IF(A957="","",DATE(YEAR(A957),MONTH(A957),1))</f>
        <v/>
      </c>
    </row>
    <row r="958">
      <c r="A958" s="31" t="n"/>
      <c r="B958" s="32" t="n"/>
      <c r="C958" s="32" t="n"/>
      <c r="D958" s="33" t="n"/>
      <c r="E958" s="34" t="n"/>
      <c r="F958" s="35" t="n"/>
      <c r="G958" s="35" t="n"/>
      <c r="H958" s="32" t="n"/>
      <c r="I958" s="32" t="n"/>
      <c r="J958" s="32" t="n"/>
      <c r="K958" s="36">
        <f>IF(E958&lt;&gt;"",E958,IF(AND(F958&lt;&gt;"",G958&lt;&gt;""),MOD(G958-F958,1)*24,""))</f>
        <v/>
      </c>
      <c r="L958" s="37">
        <f>IF(A958="","",CHOOSE(WEEKDAY(A958,2),"Montag","Dienstag","Mittwoch","Donnerstag","Freitag","Samstag","Sonntag"))</f>
        <v/>
      </c>
      <c r="M958" s="37">
        <f>IF(A958="","",_xlfn.ISOWEEKNUM(A958))</f>
        <v/>
      </c>
      <c r="N958" s="38">
        <f>IF(A958="","",DATE(YEAR(A958),MONTH(A958),1))</f>
        <v/>
      </c>
    </row>
    <row r="959">
      <c r="A959" s="31" t="n"/>
      <c r="B959" s="32" t="n"/>
      <c r="C959" s="32" t="n"/>
      <c r="D959" s="33" t="n"/>
      <c r="E959" s="34" t="n"/>
      <c r="F959" s="35" t="n"/>
      <c r="G959" s="35" t="n"/>
      <c r="H959" s="32" t="n"/>
      <c r="I959" s="32" t="n"/>
      <c r="J959" s="32" t="n"/>
      <c r="K959" s="36">
        <f>IF(E959&lt;&gt;"",E959,IF(AND(F959&lt;&gt;"",G959&lt;&gt;""),MOD(G959-F959,1)*24,""))</f>
        <v/>
      </c>
      <c r="L959" s="37">
        <f>IF(A959="","",CHOOSE(WEEKDAY(A959,2),"Montag","Dienstag","Mittwoch","Donnerstag","Freitag","Samstag","Sonntag"))</f>
        <v/>
      </c>
      <c r="M959" s="37">
        <f>IF(A959="","",_xlfn.ISOWEEKNUM(A959))</f>
        <v/>
      </c>
      <c r="N959" s="38">
        <f>IF(A959="","",DATE(YEAR(A959),MONTH(A959),1))</f>
        <v/>
      </c>
    </row>
    <row r="960">
      <c r="A960" s="31" t="n"/>
      <c r="B960" s="32" t="n"/>
      <c r="C960" s="32" t="n"/>
      <c r="D960" s="33" t="n"/>
      <c r="E960" s="34" t="n"/>
      <c r="F960" s="35" t="n"/>
      <c r="G960" s="35" t="n"/>
      <c r="H960" s="32" t="n"/>
      <c r="I960" s="32" t="n"/>
      <c r="J960" s="32" t="n"/>
      <c r="K960" s="36">
        <f>IF(E960&lt;&gt;"",E960,IF(AND(F960&lt;&gt;"",G960&lt;&gt;""),MOD(G960-F960,1)*24,""))</f>
        <v/>
      </c>
      <c r="L960" s="37">
        <f>IF(A960="","",CHOOSE(WEEKDAY(A960,2),"Montag","Dienstag","Mittwoch","Donnerstag","Freitag","Samstag","Sonntag"))</f>
        <v/>
      </c>
      <c r="M960" s="37">
        <f>IF(A960="","",_xlfn.ISOWEEKNUM(A960))</f>
        <v/>
      </c>
      <c r="N960" s="38">
        <f>IF(A960="","",DATE(YEAR(A960),MONTH(A960),1))</f>
        <v/>
      </c>
    </row>
    <row r="961">
      <c r="A961" s="31" t="n"/>
      <c r="B961" s="32" t="n"/>
      <c r="C961" s="32" t="n"/>
      <c r="D961" s="33" t="n"/>
      <c r="E961" s="34" t="n"/>
      <c r="F961" s="35" t="n"/>
      <c r="G961" s="35" t="n"/>
      <c r="H961" s="32" t="n"/>
      <c r="I961" s="32" t="n"/>
      <c r="J961" s="32" t="n"/>
      <c r="K961" s="36">
        <f>IF(E961&lt;&gt;"",E961,IF(AND(F961&lt;&gt;"",G961&lt;&gt;""),MOD(G961-F961,1)*24,""))</f>
        <v/>
      </c>
      <c r="L961" s="37">
        <f>IF(A961="","",CHOOSE(WEEKDAY(A961,2),"Montag","Dienstag","Mittwoch","Donnerstag","Freitag","Samstag","Sonntag"))</f>
        <v/>
      </c>
      <c r="M961" s="37">
        <f>IF(A961="","",_xlfn.ISOWEEKNUM(A961))</f>
        <v/>
      </c>
      <c r="N961" s="38">
        <f>IF(A961="","",DATE(YEAR(A961),MONTH(A961),1))</f>
        <v/>
      </c>
    </row>
    <row r="962">
      <c r="A962" s="31" t="n"/>
      <c r="B962" s="32" t="n"/>
      <c r="C962" s="32" t="n"/>
      <c r="D962" s="33" t="n"/>
      <c r="E962" s="34" t="n"/>
      <c r="F962" s="35" t="n"/>
      <c r="G962" s="35" t="n"/>
      <c r="H962" s="32" t="n"/>
      <c r="I962" s="32" t="n"/>
      <c r="J962" s="32" t="n"/>
      <c r="K962" s="36">
        <f>IF(E962&lt;&gt;"",E962,IF(AND(F962&lt;&gt;"",G962&lt;&gt;""),MOD(G962-F962,1)*24,""))</f>
        <v/>
      </c>
      <c r="L962" s="37">
        <f>IF(A962="","",CHOOSE(WEEKDAY(A962,2),"Montag","Dienstag","Mittwoch","Donnerstag","Freitag","Samstag","Sonntag"))</f>
        <v/>
      </c>
      <c r="M962" s="37">
        <f>IF(A962="","",_xlfn.ISOWEEKNUM(A962))</f>
        <v/>
      </c>
      <c r="N962" s="38">
        <f>IF(A962="","",DATE(YEAR(A962),MONTH(A962),1))</f>
        <v/>
      </c>
    </row>
    <row r="963">
      <c r="A963" s="31" t="n"/>
      <c r="B963" s="32" t="n"/>
      <c r="C963" s="32" t="n"/>
      <c r="D963" s="33" t="n"/>
      <c r="E963" s="34" t="n"/>
      <c r="F963" s="35" t="n"/>
      <c r="G963" s="35" t="n"/>
      <c r="H963" s="32" t="n"/>
      <c r="I963" s="32" t="n"/>
      <c r="J963" s="32" t="n"/>
      <c r="K963" s="36">
        <f>IF(E963&lt;&gt;"",E963,IF(AND(F963&lt;&gt;"",G963&lt;&gt;""),MOD(G963-F963,1)*24,""))</f>
        <v/>
      </c>
      <c r="L963" s="37">
        <f>IF(A963="","",CHOOSE(WEEKDAY(A963,2),"Montag","Dienstag","Mittwoch","Donnerstag","Freitag","Samstag","Sonntag"))</f>
        <v/>
      </c>
      <c r="M963" s="37">
        <f>IF(A963="","",_xlfn.ISOWEEKNUM(A963))</f>
        <v/>
      </c>
      <c r="N963" s="38">
        <f>IF(A963="","",DATE(YEAR(A963),MONTH(A963),1))</f>
        <v/>
      </c>
    </row>
    <row r="964">
      <c r="A964" s="31" t="n"/>
      <c r="B964" s="32" t="n"/>
      <c r="C964" s="32" t="n"/>
      <c r="D964" s="33" t="n"/>
      <c r="E964" s="34" t="n"/>
      <c r="F964" s="35" t="n"/>
      <c r="G964" s="35" t="n"/>
      <c r="H964" s="32" t="n"/>
      <c r="I964" s="32" t="n"/>
      <c r="J964" s="32" t="n"/>
      <c r="K964" s="36">
        <f>IF(E964&lt;&gt;"",E964,IF(AND(F964&lt;&gt;"",G964&lt;&gt;""),MOD(G964-F964,1)*24,""))</f>
        <v/>
      </c>
      <c r="L964" s="37">
        <f>IF(A964="","",CHOOSE(WEEKDAY(A964,2),"Montag","Dienstag","Mittwoch","Donnerstag","Freitag","Samstag","Sonntag"))</f>
        <v/>
      </c>
      <c r="M964" s="37">
        <f>IF(A964="","",_xlfn.ISOWEEKNUM(A964))</f>
        <v/>
      </c>
      <c r="N964" s="38">
        <f>IF(A964="","",DATE(YEAR(A964),MONTH(A964),1))</f>
        <v/>
      </c>
    </row>
    <row r="965">
      <c r="A965" s="31" t="n"/>
      <c r="B965" s="32" t="n"/>
      <c r="C965" s="32" t="n"/>
      <c r="D965" s="33" t="n"/>
      <c r="E965" s="34" t="n"/>
      <c r="F965" s="35" t="n"/>
      <c r="G965" s="35" t="n"/>
      <c r="H965" s="32" t="n"/>
      <c r="I965" s="32" t="n"/>
      <c r="J965" s="32" t="n"/>
      <c r="K965" s="36">
        <f>IF(E965&lt;&gt;"",E965,IF(AND(F965&lt;&gt;"",G965&lt;&gt;""),MOD(G965-F965,1)*24,""))</f>
        <v/>
      </c>
      <c r="L965" s="37">
        <f>IF(A965="","",CHOOSE(WEEKDAY(A965,2),"Montag","Dienstag","Mittwoch","Donnerstag","Freitag","Samstag","Sonntag"))</f>
        <v/>
      </c>
      <c r="M965" s="37">
        <f>IF(A965="","",_xlfn.ISOWEEKNUM(A965))</f>
        <v/>
      </c>
      <c r="N965" s="38">
        <f>IF(A965="","",DATE(YEAR(A965),MONTH(A965),1))</f>
        <v/>
      </c>
    </row>
    <row r="966">
      <c r="A966" s="31" t="n"/>
      <c r="B966" s="32" t="n"/>
      <c r="C966" s="32" t="n"/>
      <c r="D966" s="33" t="n"/>
      <c r="E966" s="34" t="n"/>
      <c r="F966" s="35" t="n"/>
      <c r="G966" s="35" t="n"/>
      <c r="H966" s="32" t="n"/>
      <c r="I966" s="32" t="n"/>
      <c r="J966" s="32" t="n"/>
      <c r="K966" s="36">
        <f>IF(E966&lt;&gt;"",E966,IF(AND(F966&lt;&gt;"",G966&lt;&gt;""),MOD(G966-F966,1)*24,""))</f>
        <v/>
      </c>
      <c r="L966" s="37">
        <f>IF(A966="","",CHOOSE(WEEKDAY(A966,2),"Montag","Dienstag","Mittwoch","Donnerstag","Freitag","Samstag","Sonntag"))</f>
        <v/>
      </c>
      <c r="M966" s="37">
        <f>IF(A966="","",_xlfn.ISOWEEKNUM(A966))</f>
        <v/>
      </c>
      <c r="N966" s="38">
        <f>IF(A966="","",DATE(YEAR(A966),MONTH(A966),1))</f>
        <v/>
      </c>
    </row>
    <row r="967">
      <c r="A967" s="31" t="n"/>
      <c r="B967" s="32" t="n"/>
      <c r="C967" s="32" t="n"/>
      <c r="D967" s="33" t="n"/>
      <c r="E967" s="34" t="n"/>
      <c r="F967" s="35" t="n"/>
      <c r="G967" s="35" t="n"/>
      <c r="H967" s="32" t="n"/>
      <c r="I967" s="32" t="n"/>
      <c r="J967" s="32" t="n"/>
      <c r="K967" s="36">
        <f>IF(E967&lt;&gt;"",E967,IF(AND(F967&lt;&gt;"",G967&lt;&gt;""),MOD(G967-F967,1)*24,""))</f>
        <v/>
      </c>
      <c r="L967" s="37">
        <f>IF(A967="","",CHOOSE(WEEKDAY(A967,2),"Montag","Dienstag","Mittwoch","Donnerstag","Freitag","Samstag","Sonntag"))</f>
        <v/>
      </c>
      <c r="M967" s="37">
        <f>IF(A967="","",_xlfn.ISOWEEKNUM(A967))</f>
        <v/>
      </c>
      <c r="N967" s="38">
        <f>IF(A967="","",DATE(YEAR(A967),MONTH(A967),1))</f>
        <v/>
      </c>
    </row>
    <row r="968">
      <c r="A968" s="31" t="n"/>
      <c r="B968" s="32" t="n"/>
      <c r="C968" s="32" t="n"/>
      <c r="D968" s="33" t="n"/>
      <c r="E968" s="34" t="n"/>
      <c r="F968" s="35" t="n"/>
      <c r="G968" s="35" t="n"/>
      <c r="H968" s="32" t="n"/>
      <c r="I968" s="32" t="n"/>
      <c r="J968" s="32" t="n"/>
      <c r="K968" s="36">
        <f>IF(E968&lt;&gt;"",E968,IF(AND(F968&lt;&gt;"",G968&lt;&gt;""),MOD(G968-F968,1)*24,""))</f>
        <v/>
      </c>
      <c r="L968" s="37">
        <f>IF(A968="","",CHOOSE(WEEKDAY(A968,2),"Montag","Dienstag","Mittwoch","Donnerstag","Freitag","Samstag","Sonntag"))</f>
        <v/>
      </c>
      <c r="M968" s="37">
        <f>IF(A968="","",_xlfn.ISOWEEKNUM(A968))</f>
        <v/>
      </c>
      <c r="N968" s="38">
        <f>IF(A968="","",DATE(YEAR(A968),MONTH(A968),1))</f>
        <v/>
      </c>
    </row>
    <row r="969">
      <c r="A969" s="31" t="n"/>
      <c r="B969" s="32" t="n"/>
      <c r="C969" s="32" t="n"/>
      <c r="D969" s="33" t="n"/>
      <c r="E969" s="34" t="n"/>
      <c r="F969" s="35" t="n"/>
      <c r="G969" s="35" t="n"/>
      <c r="H969" s="32" t="n"/>
      <c r="I969" s="32" t="n"/>
      <c r="J969" s="32" t="n"/>
      <c r="K969" s="36">
        <f>IF(E969&lt;&gt;"",E969,IF(AND(F969&lt;&gt;"",G969&lt;&gt;""),MOD(G969-F969,1)*24,""))</f>
        <v/>
      </c>
      <c r="L969" s="37">
        <f>IF(A969="","",CHOOSE(WEEKDAY(A969,2),"Montag","Dienstag","Mittwoch","Donnerstag","Freitag","Samstag","Sonntag"))</f>
        <v/>
      </c>
      <c r="M969" s="37">
        <f>IF(A969="","",_xlfn.ISOWEEKNUM(A969))</f>
        <v/>
      </c>
      <c r="N969" s="38">
        <f>IF(A969="","",DATE(YEAR(A969),MONTH(A969),1))</f>
        <v/>
      </c>
    </row>
    <row r="970">
      <c r="A970" s="31" t="n"/>
      <c r="B970" s="32" t="n"/>
      <c r="C970" s="32" t="n"/>
      <c r="D970" s="33" t="n"/>
      <c r="E970" s="34" t="n"/>
      <c r="F970" s="35" t="n"/>
      <c r="G970" s="35" t="n"/>
      <c r="H970" s="32" t="n"/>
      <c r="I970" s="32" t="n"/>
      <c r="J970" s="32" t="n"/>
      <c r="K970" s="36">
        <f>IF(E970&lt;&gt;"",E970,IF(AND(F970&lt;&gt;"",G970&lt;&gt;""),MOD(G970-F970,1)*24,""))</f>
        <v/>
      </c>
      <c r="L970" s="37">
        <f>IF(A970="","",CHOOSE(WEEKDAY(A970,2),"Montag","Dienstag","Mittwoch","Donnerstag","Freitag","Samstag","Sonntag"))</f>
        <v/>
      </c>
      <c r="M970" s="37">
        <f>IF(A970="","",_xlfn.ISOWEEKNUM(A970))</f>
        <v/>
      </c>
      <c r="N970" s="38">
        <f>IF(A970="","",DATE(YEAR(A970),MONTH(A970),1))</f>
        <v/>
      </c>
    </row>
    <row r="971">
      <c r="A971" s="31" t="n"/>
      <c r="B971" s="32" t="n"/>
      <c r="C971" s="32" t="n"/>
      <c r="D971" s="33" t="n"/>
      <c r="E971" s="34" t="n"/>
      <c r="F971" s="35" t="n"/>
      <c r="G971" s="35" t="n"/>
      <c r="H971" s="32" t="n"/>
      <c r="I971" s="32" t="n"/>
      <c r="J971" s="32" t="n"/>
      <c r="K971" s="36">
        <f>IF(E971&lt;&gt;"",E971,IF(AND(F971&lt;&gt;"",G971&lt;&gt;""),MOD(G971-F971,1)*24,""))</f>
        <v/>
      </c>
      <c r="L971" s="37">
        <f>IF(A971="","",CHOOSE(WEEKDAY(A971,2),"Montag","Dienstag","Mittwoch","Donnerstag","Freitag","Samstag","Sonntag"))</f>
        <v/>
      </c>
      <c r="M971" s="37">
        <f>IF(A971="","",_xlfn.ISOWEEKNUM(A971))</f>
        <v/>
      </c>
      <c r="N971" s="38">
        <f>IF(A971="","",DATE(YEAR(A971),MONTH(A971),1))</f>
        <v/>
      </c>
    </row>
    <row r="972">
      <c r="A972" s="31" t="n"/>
      <c r="B972" s="32" t="n"/>
      <c r="C972" s="32" t="n"/>
      <c r="D972" s="33" t="n"/>
      <c r="E972" s="34" t="n"/>
      <c r="F972" s="35" t="n"/>
      <c r="G972" s="35" t="n"/>
      <c r="H972" s="32" t="n"/>
      <c r="I972" s="32" t="n"/>
      <c r="J972" s="32" t="n"/>
      <c r="K972" s="36">
        <f>IF(E972&lt;&gt;"",E972,IF(AND(F972&lt;&gt;"",G972&lt;&gt;""),MOD(G972-F972,1)*24,""))</f>
        <v/>
      </c>
      <c r="L972" s="37">
        <f>IF(A972="","",CHOOSE(WEEKDAY(A972,2),"Montag","Dienstag","Mittwoch","Donnerstag","Freitag","Samstag","Sonntag"))</f>
        <v/>
      </c>
      <c r="M972" s="37">
        <f>IF(A972="","",_xlfn.ISOWEEKNUM(A972))</f>
        <v/>
      </c>
      <c r="N972" s="38">
        <f>IF(A972="","",DATE(YEAR(A972),MONTH(A972),1))</f>
        <v/>
      </c>
    </row>
    <row r="973">
      <c r="A973" s="31" t="n"/>
      <c r="B973" s="32" t="n"/>
      <c r="C973" s="32" t="n"/>
      <c r="D973" s="33" t="n"/>
      <c r="E973" s="34" t="n"/>
      <c r="F973" s="35" t="n"/>
      <c r="G973" s="35" t="n"/>
      <c r="H973" s="32" t="n"/>
      <c r="I973" s="32" t="n"/>
      <c r="J973" s="32" t="n"/>
      <c r="K973" s="36">
        <f>IF(E973&lt;&gt;"",E973,IF(AND(F973&lt;&gt;"",G973&lt;&gt;""),MOD(G973-F973,1)*24,""))</f>
        <v/>
      </c>
      <c r="L973" s="37">
        <f>IF(A973="","",CHOOSE(WEEKDAY(A973,2),"Montag","Dienstag","Mittwoch","Donnerstag","Freitag","Samstag","Sonntag"))</f>
        <v/>
      </c>
      <c r="M973" s="37">
        <f>IF(A973="","",_xlfn.ISOWEEKNUM(A973))</f>
        <v/>
      </c>
      <c r="N973" s="38">
        <f>IF(A973="","",DATE(YEAR(A973),MONTH(A973),1))</f>
        <v/>
      </c>
    </row>
    <row r="974">
      <c r="A974" s="31" t="n"/>
      <c r="B974" s="32" t="n"/>
      <c r="C974" s="32" t="n"/>
      <c r="D974" s="33" t="n"/>
      <c r="E974" s="34" t="n"/>
      <c r="F974" s="35" t="n"/>
      <c r="G974" s="35" t="n"/>
      <c r="H974" s="32" t="n"/>
      <c r="I974" s="32" t="n"/>
      <c r="J974" s="32" t="n"/>
      <c r="K974" s="36">
        <f>IF(E974&lt;&gt;"",E974,IF(AND(F974&lt;&gt;"",G974&lt;&gt;""),MOD(G974-F974,1)*24,""))</f>
        <v/>
      </c>
      <c r="L974" s="37">
        <f>IF(A974="","",CHOOSE(WEEKDAY(A974,2),"Montag","Dienstag","Mittwoch","Donnerstag","Freitag","Samstag","Sonntag"))</f>
        <v/>
      </c>
      <c r="M974" s="37">
        <f>IF(A974="","",_xlfn.ISOWEEKNUM(A974))</f>
        <v/>
      </c>
      <c r="N974" s="38">
        <f>IF(A974="","",DATE(YEAR(A974),MONTH(A974),1))</f>
        <v/>
      </c>
    </row>
    <row r="975">
      <c r="A975" s="31" t="n"/>
      <c r="B975" s="32" t="n"/>
      <c r="C975" s="32" t="n"/>
      <c r="D975" s="33" t="n"/>
      <c r="E975" s="34" t="n"/>
      <c r="F975" s="35" t="n"/>
      <c r="G975" s="35" t="n"/>
      <c r="H975" s="32" t="n"/>
      <c r="I975" s="32" t="n"/>
      <c r="J975" s="32" t="n"/>
      <c r="K975" s="36">
        <f>IF(E975&lt;&gt;"",E975,IF(AND(F975&lt;&gt;"",G975&lt;&gt;""),MOD(G975-F975,1)*24,""))</f>
        <v/>
      </c>
      <c r="L975" s="37">
        <f>IF(A975="","",CHOOSE(WEEKDAY(A975,2),"Montag","Dienstag","Mittwoch","Donnerstag","Freitag","Samstag","Sonntag"))</f>
        <v/>
      </c>
      <c r="M975" s="37">
        <f>IF(A975="","",_xlfn.ISOWEEKNUM(A975))</f>
        <v/>
      </c>
      <c r="N975" s="38">
        <f>IF(A975="","",DATE(YEAR(A975),MONTH(A975),1))</f>
        <v/>
      </c>
    </row>
    <row r="976">
      <c r="A976" s="31" t="n"/>
      <c r="B976" s="32" t="n"/>
      <c r="C976" s="32" t="n"/>
      <c r="D976" s="33" t="n"/>
      <c r="E976" s="34" t="n"/>
      <c r="F976" s="35" t="n"/>
      <c r="G976" s="35" t="n"/>
      <c r="H976" s="32" t="n"/>
      <c r="I976" s="32" t="n"/>
      <c r="J976" s="32" t="n"/>
      <c r="K976" s="36">
        <f>IF(E976&lt;&gt;"",E976,IF(AND(F976&lt;&gt;"",G976&lt;&gt;""),MOD(G976-F976,1)*24,""))</f>
        <v/>
      </c>
      <c r="L976" s="37">
        <f>IF(A976="","",CHOOSE(WEEKDAY(A976,2),"Montag","Dienstag","Mittwoch","Donnerstag","Freitag","Samstag","Sonntag"))</f>
        <v/>
      </c>
      <c r="M976" s="37">
        <f>IF(A976="","",_xlfn.ISOWEEKNUM(A976))</f>
        <v/>
      </c>
      <c r="N976" s="38">
        <f>IF(A976="","",DATE(YEAR(A976),MONTH(A976),1))</f>
        <v/>
      </c>
    </row>
    <row r="977">
      <c r="A977" s="31" t="n"/>
      <c r="B977" s="32" t="n"/>
      <c r="C977" s="32" t="n"/>
      <c r="D977" s="33" t="n"/>
      <c r="E977" s="34" t="n"/>
      <c r="F977" s="35" t="n"/>
      <c r="G977" s="35" t="n"/>
      <c r="H977" s="32" t="n"/>
      <c r="I977" s="32" t="n"/>
      <c r="J977" s="32" t="n"/>
      <c r="K977" s="36">
        <f>IF(E977&lt;&gt;"",E977,IF(AND(F977&lt;&gt;"",G977&lt;&gt;""),MOD(G977-F977,1)*24,""))</f>
        <v/>
      </c>
      <c r="L977" s="37">
        <f>IF(A977="","",CHOOSE(WEEKDAY(A977,2),"Montag","Dienstag","Mittwoch","Donnerstag","Freitag","Samstag","Sonntag"))</f>
        <v/>
      </c>
      <c r="M977" s="37">
        <f>IF(A977="","",_xlfn.ISOWEEKNUM(A977))</f>
        <v/>
      </c>
      <c r="N977" s="38">
        <f>IF(A977="","",DATE(YEAR(A977),MONTH(A977),1))</f>
        <v/>
      </c>
    </row>
    <row r="978">
      <c r="A978" s="31" t="n"/>
      <c r="B978" s="32" t="n"/>
      <c r="C978" s="32" t="n"/>
      <c r="D978" s="33" t="n"/>
      <c r="E978" s="34" t="n"/>
      <c r="F978" s="35" t="n"/>
      <c r="G978" s="35" t="n"/>
      <c r="H978" s="32" t="n"/>
      <c r="I978" s="32" t="n"/>
      <c r="J978" s="32" t="n"/>
      <c r="K978" s="36">
        <f>IF(E978&lt;&gt;"",E978,IF(AND(F978&lt;&gt;"",G978&lt;&gt;""),MOD(G978-F978,1)*24,""))</f>
        <v/>
      </c>
      <c r="L978" s="37">
        <f>IF(A978="","",CHOOSE(WEEKDAY(A978,2),"Montag","Dienstag","Mittwoch","Donnerstag","Freitag","Samstag","Sonntag"))</f>
        <v/>
      </c>
      <c r="M978" s="37">
        <f>IF(A978="","",_xlfn.ISOWEEKNUM(A978))</f>
        <v/>
      </c>
      <c r="N978" s="38">
        <f>IF(A978="","",DATE(YEAR(A978),MONTH(A978),1))</f>
        <v/>
      </c>
    </row>
    <row r="979">
      <c r="A979" s="31" t="n"/>
      <c r="B979" s="32" t="n"/>
      <c r="C979" s="32" t="n"/>
      <c r="D979" s="33" t="n"/>
      <c r="E979" s="34" t="n"/>
      <c r="F979" s="35" t="n"/>
      <c r="G979" s="35" t="n"/>
      <c r="H979" s="32" t="n"/>
      <c r="I979" s="32" t="n"/>
      <c r="J979" s="32" t="n"/>
      <c r="K979" s="36">
        <f>IF(E979&lt;&gt;"",E979,IF(AND(F979&lt;&gt;"",G979&lt;&gt;""),MOD(G979-F979,1)*24,""))</f>
        <v/>
      </c>
      <c r="L979" s="37">
        <f>IF(A979="","",CHOOSE(WEEKDAY(A979,2),"Montag","Dienstag","Mittwoch","Donnerstag","Freitag","Samstag","Sonntag"))</f>
        <v/>
      </c>
      <c r="M979" s="37">
        <f>IF(A979="","",_xlfn.ISOWEEKNUM(A979))</f>
        <v/>
      </c>
      <c r="N979" s="38">
        <f>IF(A979="","",DATE(YEAR(A979),MONTH(A979),1))</f>
        <v/>
      </c>
    </row>
    <row r="980">
      <c r="A980" s="31" t="n"/>
      <c r="B980" s="32" t="n"/>
      <c r="C980" s="32" t="n"/>
      <c r="D980" s="33" t="n"/>
      <c r="E980" s="34" t="n"/>
      <c r="F980" s="35" t="n"/>
      <c r="G980" s="35" t="n"/>
      <c r="H980" s="32" t="n"/>
      <c r="I980" s="32" t="n"/>
      <c r="J980" s="32" t="n"/>
      <c r="K980" s="36">
        <f>IF(E980&lt;&gt;"",E980,IF(AND(F980&lt;&gt;"",G980&lt;&gt;""),MOD(G980-F980,1)*24,""))</f>
        <v/>
      </c>
      <c r="L980" s="37">
        <f>IF(A980="","",CHOOSE(WEEKDAY(A980,2),"Montag","Dienstag","Mittwoch","Donnerstag","Freitag","Samstag","Sonntag"))</f>
        <v/>
      </c>
      <c r="M980" s="37">
        <f>IF(A980="","",_xlfn.ISOWEEKNUM(A980))</f>
        <v/>
      </c>
      <c r="N980" s="38">
        <f>IF(A980="","",DATE(YEAR(A980),MONTH(A980),1))</f>
        <v/>
      </c>
    </row>
    <row r="981">
      <c r="A981" s="31" t="n"/>
      <c r="B981" s="32" t="n"/>
      <c r="C981" s="32" t="n"/>
      <c r="D981" s="33" t="n"/>
      <c r="E981" s="34" t="n"/>
      <c r="F981" s="35" t="n"/>
      <c r="G981" s="35" t="n"/>
      <c r="H981" s="32" t="n"/>
      <c r="I981" s="32" t="n"/>
      <c r="J981" s="32" t="n"/>
      <c r="K981" s="36">
        <f>IF(E981&lt;&gt;"",E981,IF(AND(F981&lt;&gt;"",G981&lt;&gt;""),MOD(G981-F981,1)*24,""))</f>
        <v/>
      </c>
      <c r="L981" s="37">
        <f>IF(A981="","",CHOOSE(WEEKDAY(A981,2),"Montag","Dienstag","Mittwoch","Donnerstag","Freitag","Samstag","Sonntag"))</f>
        <v/>
      </c>
      <c r="M981" s="37">
        <f>IF(A981="","",_xlfn.ISOWEEKNUM(A981))</f>
        <v/>
      </c>
      <c r="N981" s="38">
        <f>IF(A981="","",DATE(YEAR(A981),MONTH(A981),1))</f>
        <v/>
      </c>
    </row>
    <row r="982">
      <c r="A982" s="31" t="n"/>
      <c r="B982" s="32" t="n"/>
      <c r="C982" s="32" t="n"/>
      <c r="D982" s="33" t="n"/>
      <c r="E982" s="34" t="n"/>
      <c r="F982" s="35" t="n"/>
      <c r="G982" s="35" t="n"/>
      <c r="H982" s="32" t="n"/>
      <c r="I982" s="32" t="n"/>
      <c r="J982" s="32" t="n"/>
      <c r="K982" s="36">
        <f>IF(E982&lt;&gt;"",E982,IF(AND(F982&lt;&gt;"",G982&lt;&gt;""),MOD(G982-F982,1)*24,""))</f>
        <v/>
      </c>
      <c r="L982" s="37">
        <f>IF(A982="","",CHOOSE(WEEKDAY(A982,2),"Montag","Dienstag","Mittwoch","Donnerstag","Freitag","Samstag","Sonntag"))</f>
        <v/>
      </c>
      <c r="M982" s="37">
        <f>IF(A982="","",_xlfn.ISOWEEKNUM(A982))</f>
        <v/>
      </c>
      <c r="N982" s="38">
        <f>IF(A982="","",DATE(YEAR(A982),MONTH(A982),1))</f>
        <v/>
      </c>
    </row>
    <row r="983">
      <c r="A983" s="31" t="n"/>
      <c r="B983" s="32" t="n"/>
      <c r="C983" s="32" t="n"/>
      <c r="D983" s="33" t="n"/>
      <c r="E983" s="34" t="n"/>
      <c r="F983" s="35" t="n"/>
      <c r="G983" s="35" t="n"/>
      <c r="H983" s="32" t="n"/>
      <c r="I983" s="32" t="n"/>
      <c r="J983" s="32" t="n"/>
      <c r="K983" s="36">
        <f>IF(E983&lt;&gt;"",E983,IF(AND(F983&lt;&gt;"",G983&lt;&gt;""),MOD(G983-F983,1)*24,""))</f>
        <v/>
      </c>
      <c r="L983" s="37">
        <f>IF(A983="","",CHOOSE(WEEKDAY(A983,2),"Montag","Dienstag","Mittwoch","Donnerstag","Freitag","Samstag","Sonntag"))</f>
        <v/>
      </c>
      <c r="M983" s="37">
        <f>IF(A983="","",_xlfn.ISOWEEKNUM(A983))</f>
        <v/>
      </c>
      <c r="N983" s="38">
        <f>IF(A983="","",DATE(YEAR(A983),MONTH(A983),1))</f>
        <v/>
      </c>
    </row>
    <row r="984">
      <c r="A984" s="31" t="n"/>
      <c r="B984" s="32" t="n"/>
      <c r="C984" s="32" t="n"/>
      <c r="D984" s="33" t="n"/>
      <c r="E984" s="34" t="n"/>
      <c r="F984" s="35" t="n"/>
      <c r="G984" s="35" t="n"/>
      <c r="H984" s="32" t="n"/>
      <c r="I984" s="32" t="n"/>
      <c r="J984" s="32" t="n"/>
      <c r="K984" s="36">
        <f>IF(E984&lt;&gt;"",E984,IF(AND(F984&lt;&gt;"",G984&lt;&gt;""),MOD(G984-F984,1)*24,""))</f>
        <v/>
      </c>
      <c r="L984" s="37">
        <f>IF(A984="","",CHOOSE(WEEKDAY(A984,2),"Montag","Dienstag","Mittwoch","Donnerstag","Freitag","Samstag","Sonntag"))</f>
        <v/>
      </c>
      <c r="M984" s="37">
        <f>IF(A984="","",_xlfn.ISOWEEKNUM(A984))</f>
        <v/>
      </c>
      <c r="N984" s="38">
        <f>IF(A984="","",DATE(YEAR(A984),MONTH(A984),1))</f>
        <v/>
      </c>
    </row>
    <row r="985">
      <c r="A985" s="31" t="n"/>
      <c r="B985" s="32" t="n"/>
      <c r="C985" s="32" t="n"/>
      <c r="D985" s="33" t="n"/>
      <c r="E985" s="34" t="n"/>
      <c r="F985" s="35" t="n"/>
      <c r="G985" s="35" t="n"/>
      <c r="H985" s="32" t="n"/>
      <c r="I985" s="32" t="n"/>
      <c r="J985" s="32" t="n"/>
      <c r="K985" s="36">
        <f>IF(E985&lt;&gt;"",E985,IF(AND(F985&lt;&gt;"",G985&lt;&gt;""),MOD(G985-F985,1)*24,""))</f>
        <v/>
      </c>
      <c r="L985" s="37">
        <f>IF(A985="","",CHOOSE(WEEKDAY(A985,2),"Montag","Dienstag","Mittwoch","Donnerstag","Freitag","Samstag","Sonntag"))</f>
        <v/>
      </c>
      <c r="M985" s="37">
        <f>IF(A985="","",_xlfn.ISOWEEKNUM(A985))</f>
        <v/>
      </c>
      <c r="N985" s="38">
        <f>IF(A985="","",DATE(YEAR(A985),MONTH(A985),1))</f>
        <v/>
      </c>
    </row>
    <row r="986">
      <c r="A986" s="31" t="n"/>
      <c r="B986" s="32" t="n"/>
      <c r="C986" s="32" t="n"/>
      <c r="D986" s="33" t="n"/>
      <c r="E986" s="34" t="n"/>
      <c r="F986" s="35" t="n"/>
      <c r="G986" s="35" t="n"/>
      <c r="H986" s="32" t="n"/>
      <c r="I986" s="32" t="n"/>
      <c r="J986" s="32" t="n"/>
      <c r="K986" s="36">
        <f>IF(E986&lt;&gt;"",E986,IF(AND(F986&lt;&gt;"",G986&lt;&gt;""),MOD(G986-F986,1)*24,""))</f>
        <v/>
      </c>
      <c r="L986" s="37">
        <f>IF(A986="","",CHOOSE(WEEKDAY(A986,2),"Montag","Dienstag","Mittwoch","Donnerstag","Freitag","Samstag","Sonntag"))</f>
        <v/>
      </c>
      <c r="M986" s="37">
        <f>IF(A986="","",_xlfn.ISOWEEKNUM(A986))</f>
        <v/>
      </c>
      <c r="N986" s="38">
        <f>IF(A986="","",DATE(YEAR(A986),MONTH(A986),1))</f>
        <v/>
      </c>
    </row>
    <row r="987">
      <c r="A987" s="31" t="n"/>
      <c r="B987" s="32" t="n"/>
      <c r="C987" s="32" t="n"/>
      <c r="D987" s="33" t="n"/>
      <c r="E987" s="34" t="n"/>
      <c r="F987" s="35" t="n"/>
      <c r="G987" s="35" t="n"/>
      <c r="H987" s="32" t="n"/>
      <c r="I987" s="32" t="n"/>
      <c r="J987" s="32" t="n"/>
      <c r="K987" s="36">
        <f>IF(E987&lt;&gt;"",E987,IF(AND(F987&lt;&gt;"",G987&lt;&gt;""),MOD(G987-F987,1)*24,""))</f>
        <v/>
      </c>
      <c r="L987" s="37">
        <f>IF(A987="","",CHOOSE(WEEKDAY(A987,2),"Montag","Dienstag","Mittwoch","Donnerstag","Freitag","Samstag","Sonntag"))</f>
        <v/>
      </c>
      <c r="M987" s="37">
        <f>IF(A987="","",_xlfn.ISOWEEKNUM(A987))</f>
        <v/>
      </c>
      <c r="N987" s="38">
        <f>IF(A987="","",DATE(YEAR(A987),MONTH(A987),1))</f>
        <v/>
      </c>
    </row>
    <row r="988">
      <c r="A988" s="31" t="n"/>
      <c r="B988" s="32" t="n"/>
      <c r="C988" s="32" t="n"/>
      <c r="D988" s="33" t="n"/>
      <c r="E988" s="34" t="n"/>
      <c r="F988" s="35" t="n"/>
      <c r="G988" s="35" t="n"/>
      <c r="H988" s="32" t="n"/>
      <c r="I988" s="32" t="n"/>
      <c r="J988" s="32" t="n"/>
      <c r="K988" s="36">
        <f>IF(E988&lt;&gt;"",E988,IF(AND(F988&lt;&gt;"",G988&lt;&gt;""),MOD(G988-F988,1)*24,""))</f>
        <v/>
      </c>
      <c r="L988" s="37">
        <f>IF(A988="","",CHOOSE(WEEKDAY(A988,2),"Montag","Dienstag","Mittwoch","Donnerstag","Freitag","Samstag","Sonntag"))</f>
        <v/>
      </c>
      <c r="M988" s="37">
        <f>IF(A988="","",_xlfn.ISOWEEKNUM(A988))</f>
        <v/>
      </c>
      <c r="N988" s="38">
        <f>IF(A988="","",DATE(YEAR(A988),MONTH(A988),1))</f>
        <v/>
      </c>
    </row>
    <row r="989">
      <c r="A989" s="31" t="n"/>
      <c r="B989" s="32" t="n"/>
      <c r="C989" s="32" t="n"/>
      <c r="D989" s="33" t="n"/>
      <c r="E989" s="34" t="n"/>
      <c r="F989" s="35" t="n"/>
      <c r="G989" s="35" t="n"/>
      <c r="H989" s="32" t="n"/>
      <c r="I989" s="32" t="n"/>
      <c r="J989" s="32" t="n"/>
      <c r="K989" s="36">
        <f>IF(E989&lt;&gt;"",E989,IF(AND(F989&lt;&gt;"",G989&lt;&gt;""),MOD(G989-F989,1)*24,""))</f>
        <v/>
      </c>
      <c r="L989" s="37">
        <f>IF(A989="","",CHOOSE(WEEKDAY(A989,2),"Montag","Dienstag","Mittwoch","Donnerstag","Freitag","Samstag","Sonntag"))</f>
        <v/>
      </c>
      <c r="M989" s="37">
        <f>IF(A989="","",_xlfn.ISOWEEKNUM(A989))</f>
        <v/>
      </c>
      <c r="N989" s="38">
        <f>IF(A989="","",DATE(YEAR(A989),MONTH(A989),1))</f>
        <v/>
      </c>
    </row>
    <row r="990">
      <c r="A990" s="31" t="n"/>
      <c r="B990" s="32" t="n"/>
      <c r="C990" s="32" t="n"/>
      <c r="D990" s="33" t="n"/>
      <c r="E990" s="34" t="n"/>
      <c r="F990" s="35" t="n"/>
      <c r="G990" s="35" t="n"/>
      <c r="H990" s="32" t="n"/>
      <c r="I990" s="32" t="n"/>
      <c r="J990" s="32" t="n"/>
      <c r="K990" s="36">
        <f>IF(E990&lt;&gt;"",E990,IF(AND(F990&lt;&gt;"",G990&lt;&gt;""),MOD(G990-F990,1)*24,""))</f>
        <v/>
      </c>
      <c r="L990" s="37">
        <f>IF(A990="","",CHOOSE(WEEKDAY(A990,2),"Montag","Dienstag","Mittwoch","Donnerstag","Freitag","Samstag","Sonntag"))</f>
        <v/>
      </c>
      <c r="M990" s="37">
        <f>IF(A990="","",_xlfn.ISOWEEKNUM(A990))</f>
        <v/>
      </c>
      <c r="N990" s="38">
        <f>IF(A990="","",DATE(YEAR(A990),MONTH(A990),1))</f>
        <v/>
      </c>
    </row>
    <row r="991">
      <c r="A991" s="31" t="n"/>
      <c r="B991" s="32" t="n"/>
      <c r="C991" s="32" t="n"/>
      <c r="D991" s="33" t="n"/>
      <c r="E991" s="34" t="n"/>
      <c r="F991" s="35" t="n"/>
      <c r="G991" s="35" t="n"/>
      <c r="H991" s="32" t="n"/>
      <c r="I991" s="32" t="n"/>
      <c r="J991" s="32" t="n"/>
      <c r="K991" s="36">
        <f>IF(E991&lt;&gt;"",E991,IF(AND(F991&lt;&gt;"",G991&lt;&gt;""),MOD(G991-F991,1)*24,""))</f>
        <v/>
      </c>
      <c r="L991" s="37">
        <f>IF(A991="","",CHOOSE(WEEKDAY(A991,2),"Montag","Dienstag","Mittwoch","Donnerstag","Freitag","Samstag","Sonntag"))</f>
        <v/>
      </c>
      <c r="M991" s="37">
        <f>IF(A991="","",_xlfn.ISOWEEKNUM(A991))</f>
        <v/>
      </c>
      <c r="N991" s="38">
        <f>IF(A991="","",DATE(YEAR(A991),MONTH(A991),1))</f>
        <v/>
      </c>
    </row>
    <row r="992">
      <c r="A992" s="31" t="n"/>
      <c r="B992" s="32" t="n"/>
      <c r="C992" s="32" t="n"/>
      <c r="D992" s="33" t="n"/>
      <c r="E992" s="34" t="n"/>
      <c r="F992" s="35" t="n"/>
      <c r="G992" s="35" t="n"/>
      <c r="H992" s="32" t="n"/>
      <c r="I992" s="32" t="n"/>
      <c r="J992" s="32" t="n"/>
      <c r="K992" s="36">
        <f>IF(E992&lt;&gt;"",E992,IF(AND(F992&lt;&gt;"",G992&lt;&gt;""),MOD(G992-F992,1)*24,""))</f>
        <v/>
      </c>
      <c r="L992" s="37">
        <f>IF(A992="","",CHOOSE(WEEKDAY(A992,2),"Montag","Dienstag","Mittwoch","Donnerstag","Freitag","Samstag","Sonntag"))</f>
        <v/>
      </c>
      <c r="M992" s="37">
        <f>IF(A992="","",_xlfn.ISOWEEKNUM(A992))</f>
        <v/>
      </c>
      <c r="N992" s="38">
        <f>IF(A992="","",DATE(YEAR(A992),MONTH(A992),1))</f>
        <v/>
      </c>
    </row>
    <row r="993">
      <c r="A993" s="31" t="n"/>
      <c r="B993" s="32" t="n"/>
      <c r="C993" s="32" t="n"/>
      <c r="D993" s="33" t="n"/>
      <c r="E993" s="34" t="n"/>
      <c r="F993" s="35" t="n"/>
      <c r="G993" s="35" t="n"/>
      <c r="H993" s="32" t="n"/>
      <c r="I993" s="32" t="n"/>
      <c r="J993" s="32" t="n"/>
      <c r="K993" s="36">
        <f>IF(E993&lt;&gt;"",E993,IF(AND(F993&lt;&gt;"",G993&lt;&gt;""),MOD(G993-F993,1)*24,""))</f>
        <v/>
      </c>
      <c r="L993" s="37">
        <f>IF(A993="","",CHOOSE(WEEKDAY(A993,2),"Montag","Dienstag","Mittwoch","Donnerstag","Freitag","Samstag","Sonntag"))</f>
        <v/>
      </c>
      <c r="M993" s="37">
        <f>IF(A993="","",_xlfn.ISOWEEKNUM(A993))</f>
        <v/>
      </c>
      <c r="N993" s="38">
        <f>IF(A993="","",DATE(YEAR(A993),MONTH(A993),1))</f>
        <v/>
      </c>
    </row>
    <row r="994">
      <c r="A994" s="31" t="n"/>
      <c r="B994" s="32" t="n"/>
      <c r="C994" s="32" t="n"/>
      <c r="D994" s="33" t="n"/>
      <c r="E994" s="34" t="n"/>
      <c r="F994" s="35" t="n"/>
      <c r="G994" s="35" t="n"/>
      <c r="H994" s="32" t="n"/>
      <c r="I994" s="32" t="n"/>
      <c r="J994" s="32" t="n"/>
      <c r="K994" s="36">
        <f>IF(E994&lt;&gt;"",E994,IF(AND(F994&lt;&gt;"",G994&lt;&gt;""),MOD(G994-F994,1)*24,""))</f>
        <v/>
      </c>
      <c r="L994" s="37">
        <f>IF(A994="","",CHOOSE(WEEKDAY(A994,2),"Montag","Dienstag","Mittwoch","Donnerstag","Freitag","Samstag","Sonntag"))</f>
        <v/>
      </c>
      <c r="M994" s="37">
        <f>IF(A994="","",_xlfn.ISOWEEKNUM(A994))</f>
        <v/>
      </c>
      <c r="N994" s="38">
        <f>IF(A994="","",DATE(YEAR(A994),MONTH(A994),1))</f>
        <v/>
      </c>
    </row>
    <row r="995">
      <c r="A995" s="31" t="n"/>
      <c r="B995" s="32" t="n"/>
      <c r="C995" s="32" t="n"/>
      <c r="D995" s="33" t="n"/>
      <c r="E995" s="34" t="n"/>
      <c r="F995" s="35" t="n"/>
      <c r="G995" s="35" t="n"/>
      <c r="H995" s="32" t="n"/>
      <c r="I995" s="32" t="n"/>
      <c r="J995" s="32" t="n"/>
      <c r="K995" s="36">
        <f>IF(E995&lt;&gt;"",E995,IF(AND(F995&lt;&gt;"",G995&lt;&gt;""),MOD(G995-F995,1)*24,""))</f>
        <v/>
      </c>
      <c r="L995" s="37">
        <f>IF(A995="","",CHOOSE(WEEKDAY(A995,2),"Montag","Dienstag","Mittwoch","Donnerstag","Freitag","Samstag","Sonntag"))</f>
        <v/>
      </c>
      <c r="M995" s="37">
        <f>IF(A995="","",_xlfn.ISOWEEKNUM(A995))</f>
        <v/>
      </c>
      <c r="N995" s="38">
        <f>IF(A995="","",DATE(YEAR(A995),MONTH(A995),1))</f>
        <v/>
      </c>
    </row>
    <row r="996">
      <c r="A996" s="31" t="n"/>
      <c r="B996" s="32" t="n"/>
      <c r="C996" s="32" t="n"/>
      <c r="D996" s="33" t="n"/>
      <c r="E996" s="34" t="n"/>
      <c r="F996" s="35" t="n"/>
      <c r="G996" s="35" t="n"/>
      <c r="H996" s="32" t="n"/>
      <c r="I996" s="32" t="n"/>
      <c r="J996" s="32" t="n"/>
      <c r="K996" s="36">
        <f>IF(E996&lt;&gt;"",E996,IF(AND(F996&lt;&gt;"",G996&lt;&gt;""),MOD(G996-F996,1)*24,""))</f>
        <v/>
      </c>
      <c r="L996" s="37">
        <f>IF(A996="","",CHOOSE(WEEKDAY(A996,2),"Montag","Dienstag","Mittwoch","Donnerstag","Freitag","Samstag","Sonntag"))</f>
        <v/>
      </c>
      <c r="M996" s="37">
        <f>IF(A996="","",_xlfn.ISOWEEKNUM(A996))</f>
        <v/>
      </c>
      <c r="N996" s="38">
        <f>IF(A996="","",DATE(YEAR(A996),MONTH(A996),1))</f>
        <v/>
      </c>
    </row>
    <row r="997">
      <c r="A997" s="31" t="n"/>
      <c r="B997" s="32" t="n"/>
      <c r="C997" s="32" t="n"/>
      <c r="D997" s="33" t="n"/>
      <c r="E997" s="34" t="n"/>
      <c r="F997" s="35" t="n"/>
      <c r="G997" s="35" t="n"/>
      <c r="H997" s="32" t="n"/>
      <c r="I997" s="32" t="n"/>
      <c r="J997" s="32" t="n"/>
      <c r="K997" s="36">
        <f>IF(E997&lt;&gt;"",E997,IF(AND(F997&lt;&gt;"",G997&lt;&gt;""),MOD(G997-F997,1)*24,""))</f>
        <v/>
      </c>
      <c r="L997" s="37">
        <f>IF(A997="","",CHOOSE(WEEKDAY(A997,2),"Montag","Dienstag","Mittwoch","Donnerstag","Freitag","Samstag","Sonntag"))</f>
        <v/>
      </c>
      <c r="M997" s="37">
        <f>IF(A997="","",_xlfn.ISOWEEKNUM(A997))</f>
        <v/>
      </c>
      <c r="N997" s="38">
        <f>IF(A997="","",DATE(YEAR(A997),MONTH(A997),1))</f>
        <v/>
      </c>
    </row>
    <row r="998">
      <c r="A998" s="31" t="n"/>
      <c r="B998" s="32" t="n"/>
      <c r="C998" s="32" t="n"/>
      <c r="D998" s="33" t="n"/>
      <c r="E998" s="34" t="n"/>
      <c r="F998" s="35" t="n"/>
      <c r="G998" s="35" t="n"/>
      <c r="H998" s="32" t="n"/>
      <c r="I998" s="32" t="n"/>
      <c r="J998" s="32" t="n"/>
      <c r="K998" s="36">
        <f>IF(E998&lt;&gt;"",E998,IF(AND(F998&lt;&gt;"",G998&lt;&gt;""),MOD(G998-F998,1)*24,""))</f>
        <v/>
      </c>
      <c r="L998" s="37">
        <f>IF(A998="","",CHOOSE(WEEKDAY(A998,2),"Montag","Dienstag","Mittwoch","Donnerstag","Freitag","Samstag","Sonntag"))</f>
        <v/>
      </c>
      <c r="M998" s="37">
        <f>IF(A998="","",_xlfn.ISOWEEKNUM(A998))</f>
        <v/>
      </c>
      <c r="N998" s="38">
        <f>IF(A998="","",DATE(YEAR(A998),MONTH(A998),1))</f>
        <v/>
      </c>
    </row>
    <row r="999">
      <c r="A999" s="31" t="n"/>
      <c r="B999" s="32" t="n"/>
      <c r="C999" s="32" t="n"/>
      <c r="D999" s="33" t="n"/>
      <c r="E999" s="34" t="n"/>
      <c r="F999" s="35" t="n"/>
      <c r="G999" s="35" t="n"/>
      <c r="H999" s="32" t="n"/>
      <c r="I999" s="32" t="n"/>
      <c r="J999" s="32" t="n"/>
      <c r="K999" s="36">
        <f>IF(E999&lt;&gt;"",E999,IF(AND(F999&lt;&gt;"",G999&lt;&gt;""),MOD(G999-F999,1)*24,""))</f>
        <v/>
      </c>
      <c r="L999" s="37">
        <f>IF(A999="","",CHOOSE(WEEKDAY(A999,2),"Montag","Dienstag","Mittwoch","Donnerstag","Freitag","Samstag","Sonntag"))</f>
        <v/>
      </c>
      <c r="M999" s="37">
        <f>IF(A999="","",_xlfn.ISOWEEKNUM(A999))</f>
        <v/>
      </c>
      <c r="N999" s="38">
        <f>IF(A999="","",DATE(YEAR(A999),MONTH(A999),1))</f>
        <v/>
      </c>
    </row>
    <row r="1000">
      <c r="A1000" s="31" t="n"/>
      <c r="B1000" s="32" t="n"/>
      <c r="C1000" s="32" t="n"/>
      <c r="D1000" s="33" t="n"/>
      <c r="E1000" s="34" t="n"/>
      <c r="F1000" s="35" t="n"/>
      <c r="G1000" s="35" t="n"/>
      <c r="H1000" s="32" t="n"/>
      <c r="I1000" s="32" t="n"/>
      <c r="J1000" s="32" t="n"/>
      <c r="K1000" s="36">
        <f>IF(E1000&lt;&gt;"",E1000,IF(AND(F1000&lt;&gt;"",G1000&lt;&gt;""),MOD(G1000-F1000,1)*24,""))</f>
        <v/>
      </c>
      <c r="L1000" s="37">
        <f>IF(A1000="","",CHOOSE(WEEKDAY(A1000,2),"Montag","Dienstag","Mittwoch","Donnerstag","Freitag","Samstag","Sonntag"))</f>
        <v/>
      </c>
      <c r="M1000" s="37">
        <f>IF(A1000="","",_xlfn.ISOWEEKNUM(A1000))</f>
        <v/>
      </c>
      <c r="N1000" s="38">
        <f>IF(A1000="","",DATE(YEAR(A1000),MONTH(A1000),1))</f>
        <v/>
      </c>
    </row>
    <row r="1001">
      <c r="A1001" s="31" t="n"/>
      <c r="B1001" s="32" t="n"/>
      <c r="C1001" s="32" t="n"/>
      <c r="D1001" s="33" t="n"/>
      <c r="E1001" s="34" t="n"/>
      <c r="F1001" s="35" t="n"/>
      <c r="G1001" s="35" t="n"/>
      <c r="H1001" s="32" t="n"/>
      <c r="I1001" s="32" t="n"/>
      <c r="J1001" s="32" t="n"/>
      <c r="K1001" s="36">
        <f>IF(E1001&lt;&gt;"",E1001,IF(AND(F1001&lt;&gt;"",G1001&lt;&gt;""),MOD(G1001-F1001,1)*24,""))</f>
        <v/>
      </c>
      <c r="L1001" s="37">
        <f>IF(A1001="","",CHOOSE(WEEKDAY(A1001,2),"Montag","Dienstag","Mittwoch","Donnerstag","Freitag","Samstag","Sonntag"))</f>
        <v/>
      </c>
      <c r="M1001" s="37">
        <f>IF(A1001="","",_xlfn.ISOWEEKNUM(A1001))</f>
        <v/>
      </c>
      <c r="N1001" s="38">
        <f>IF(A1001="","",DATE(YEAR(A1001),MONTH(A1001),1))</f>
        <v/>
      </c>
    </row>
    <row r="1002">
      <c r="A1002" s="31" t="n"/>
      <c r="B1002" s="32" t="n"/>
      <c r="C1002" s="32" t="n"/>
      <c r="D1002" s="33" t="n"/>
      <c r="E1002" s="34" t="n"/>
      <c r="F1002" s="35" t="n"/>
      <c r="G1002" s="35" t="n"/>
      <c r="H1002" s="32" t="n"/>
      <c r="I1002" s="32" t="n"/>
      <c r="J1002" s="32" t="n"/>
      <c r="K1002" s="36">
        <f>IF(E1002&lt;&gt;"",E1002,IF(AND(F1002&lt;&gt;"",G1002&lt;&gt;""),MOD(G1002-F1002,1)*24,""))</f>
        <v/>
      </c>
      <c r="L1002" s="37">
        <f>IF(A1002="","",CHOOSE(WEEKDAY(A1002,2),"Montag","Dienstag","Mittwoch","Donnerstag","Freitag","Samstag","Sonntag"))</f>
        <v/>
      </c>
      <c r="M1002" s="37">
        <f>IF(A1002="","",_xlfn.ISOWEEKNUM(A1002))</f>
        <v/>
      </c>
      <c r="N1002" s="38">
        <f>IF(A1002="","",DATE(YEAR(A1002),MONTH(A1002),1))</f>
        <v/>
      </c>
    </row>
    <row r="1003">
      <c r="A1003" s="31" t="n"/>
      <c r="B1003" s="32" t="n"/>
      <c r="C1003" s="32" t="n"/>
      <c r="D1003" s="33" t="n"/>
      <c r="E1003" s="34" t="n"/>
      <c r="F1003" s="35" t="n"/>
      <c r="G1003" s="35" t="n"/>
      <c r="H1003" s="32" t="n"/>
      <c r="I1003" s="32" t="n"/>
      <c r="J1003" s="32" t="n"/>
      <c r="K1003" s="36">
        <f>IF(E1003&lt;&gt;"",E1003,IF(AND(F1003&lt;&gt;"",G1003&lt;&gt;""),MOD(G1003-F1003,1)*24,""))</f>
        <v/>
      </c>
      <c r="L1003" s="37">
        <f>IF(A1003="","",CHOOSE(WEEKDAY(A1003,2),"Montag","Dienstag","Mittwoch","Donnerstag","Freitag","Samstag","Sonntag"))</f>
        <v/>
      </c>
      <c r="M1003" s="37">
        <f>IF(A1003="","",_xlfn.ISOWEEKNUM(A1003))</f>
        <v/>
      </c>
      <c r="N1003" s="38">
        <f>IF(A1003="","",DATE(YEAR(A1003),MONTH(A1003),1))</f>
        <v/>
      </c>
    </row>
    <row r="1004">
      <c r="A1004" s="31" t="n"/>
      <c r="B1004" s="32" t="n"/>
      <c r="C1004" s="32" t="n"/>
      <c r="D1004" s="33" t="n"/>
      <c r="E1004" s="34" t="n"/>
      <c r="F1004" s="35" t="n"/>
      <c r="G1004" s="35" t="n"/>
      <c r="H1004" s="32" t="n"/>
      <c r="I1004" s="32" t="n"/>
      <c r="J1004" s="32" t="n"/>
      <c r="K1004" s="36">
        <f>IF(E1004&lt;&gt;"",E1004,IF(AND(F1004&lt;&gt;"",G1004&lt;&gt;""),MOD(G1004-F1004,1)*24,""))</f>
        <v/>
      </c>
      <c r="L1004" s="37">
        <f>IF(A1004="","",CHOOSE(WEEKDAY(A1004,2),"Montag","Dienstag","Mittwoch","Donnerstag","Freitag","Samstag","Sonntag"))</f>
        <v/>
      </c>
      <c r="M1004" s="37">
        <f>IF(A1004="","",_xlfn.ISOWEEKNUM(A1004))</f>
        <v/>
      </c>
      <c r="N1004" s="38">
        <f>IF(A1004="","",DATE(YEAR(A1004),MONTH(A1004),1))</f>
        <v/>
      </c>
    </row>
    <row r="1005">
      <c r="A1005" s="31" t="n"/>
      <c r="B1005" s="32" t="n"/>
      <c r="C1005" s="32" t="n"/>
      <c r="D1005" s="33" t="n"/>
      <c r="E1005" s="34" t="n"/>
      <c r="F1005" s="35" t="n"/>
      <c r="G1005" s="35" t="n"/>
      <c r="H1005" s="32" t="n"/>
      <c r="I1005" s="32" t="n"/>
      <c r="J1005" s="32" t="n"/>
      <c r="K1005" s="36">
        <f>IF(E1005&lt;&gt;"",E1005,IF(AND(F1005&lt;&gt;"",G1005&lt;&gt;""),MOD(G1005-F1005,1)*24,""))</f>
        <v/>
      </c>
      <c r="L1005" s="37">
        <f>IF(A1005="","",CHOOSE(WEEKDAY(A1005,2),"Montag","Dienstag","Mittwoch","Donnerstag","Freitag","Samstag","Sonntag"))</f>
        <v/>
      </c>
      <c r="M1005" s="37">
        <f>IF(A1005="","",_xlfn.ISOWEEKNUM(A1005))</f>
        <v/>
      </c>
      <c r="N1005" s="38">
        <f>IF(A1005="","",DATE(YEAR(A1005),MONTH(A1005),1))</f>
        <v/>
      </c>
    </row>
    <row r="1006">
      <c r="A1006" s="31" t="n"/>
      <c r="B1006" s="32" t="n"/>
      <c r="C1006" s="32" t="n"/>
      <c r="D1006" s="33" t="n"/>
      <c r="E1006" s="34" t="n"/>
      <c r="F1006" s="35" t="n"/>
      <c r="G1006" s="35" t="n"/>
      <c r="H1006" s="32" t="n"/>
      <c r="I1006" s="32" t="n"/>
      <c r="J1006" s="32" t="n"/>
      <c r="K1006" s="36">
        <f>IF(E1006&lt;&gt;"",E1006,IF(AND(F1006&lt;&gt;"",G1006&lt;&gt;""),MOD(G1006-F1006,1)*24,""))</f>
        <v/>
      </c>
      <c r="L1006" s="37">
        <f>IF(A1006="","",CHOOSE(WEEKDAY(A1006,2),"Montag","Dienstag","Mittwoch","Donnerstag","Freitag","Samstag","Sonntag"))</f>
        <v/>
      </c>
      <c r="M1006" s="37">
        <f>IF(A1006="","",_xlfn.ISOWEEKNUM(A1006))</f>
        <v/>
      </c>
      <c r="N1006" s="38">
        <f>IF(A1006="","",DATE(YEAR(A1006),MONTH(A1006),1))</f>
        <v/>
      </c>
    </row>
    <row r="1007">
      <c r="A1007" s="31" t="n"/>
      <c r="B1007" s="32" t="n"/>
      <c r="C1007" s="32" t="n"/>
      <c r="D1007" s="33" t="n"/>
      <c r="E1007" s="34" t="n"/>
      <c r="F1007" s="35" t="n"/>
      <c r="G1007" s="35" t="n"/>
      <c r="H1007" s="32" t="n"/>
      <c r="I1007" s="32" t="n"/>
      <c r="J1007" s="32" t="n"/>
      <c r="K1007" s="36">
        <f>IF(E1007&lt;&gt;"",E1007,IF(AND(F1007&lt;&gt;"",G1007&lt;&gt;""),MOD(G1007-F1007,1)*24,""))</f>
        <v/>
      </c>
      <c r="L1007" s="37">
        <f>IF(A1007="","",CHOOSE(WEEKDAY(A1007,2),"Montag","Dienstag","Mittwoch","Donnerstag","Freitag","Samstag","Sonntag"))</f>
        <v/>
      </c>
      <c r="M1007" s="37">
        <f>IF(A1007="","",_xlfn.ISOWEEKNUM(A1007))</f>
        <v/>
      </c>
      <c r="N1007" s="38">
        <f>IF(A1007="","",DATE(YEAR(A1007),MONTH(A1007),1))</f>
        <v/>
      </c>
    </row>
    <row r="1008">
      <c r="A1008" s="31" t="n"/>
      <c r="B1008" s="32" t="n"/>
      <c r="C1008" s="32" t="n"/>
      <c r="D1008" s="33" t="n"/>
      <c r="E1008" s="34" t="n"/>
      <c r="F1008" s="35" t="n"/>
      <c r="G1008" s="35" t="n"/>
      <c r="H1008" s="32" t="n"/>
      <c r="I1008" s="32" t="n"/>
      <c r="J1008" s="32" t="n"/>
      <c r="K1008" s="36">
        <f>IF(E1008&lt;&gt;"",E1008,IF(AND(F1008&lt;&gt;"",G1008&lt;&gt;""),MOD(G1008-F1008,1)*24,""))</f>
        <v/>
      </c>
      <c r="L1008" s="37">
        <f>IF(A1008="","",CHOOSE(WEEKDAY(A1008,2),"Montag","Dienstag","Mittwoch","Donnerstag","Freitag","Samstag","Sonntag"))</f>
        <v/>
      </c>
      <c r="M1008" s="37">
        <f>IF(A1008="","",_xlfn.ISOWEEKNUM(A1008))</f>
        <v/>
      </c>
      <c r="N1008" s="38">
        <f>IF(A1008="","",DATE(YEAR(A1008),MONTH(A1008),1))</f>
        <v/>
      </c>
    </row>
    <row r="1009">
      <c r="A1009" s="31" t="n"/>
      <c r="B1009" s="32" t="n"/>
      <c r="C1009" s="32" t="n"/>
      <c r="D1009" s="33" t="n"/>
      <c r="E1009" s="34" t="n"/>
      <c r="F1009" s="35" t="n"/>
      <c r="G1009" s="35" t="n"/>
      <c r="H1009" s="32" t="n"/>
      <c r="I1009" s="32" t="n"/>
      <c r="J1009" s="32" t="n"/>
      <c r="K1009" s="36">
        <f>IF(E1009&lt;&gt;"",E1009,IF(AND(F1009&lt;&gt;"",G1009&lt;&gt;""),MOD(G1009-F1009,1)*24,""))</f>
        <v/>
      </c>
      <c r="L1009" s="37">
        <f>IF(A1009="","",CHOOSE(WEEKDAY(A1009,2),"Montag","Dienstag","Mittwoch","Donnerstag","Freitag","Samstag","Sonntag"))</f>
        <v/>
      </c>
      <c r="M1009" s="37">
        <f>IF(A1009="","",_xlfn.ISOWEEKNUM(A1009))</f>
        <v/>
      </c>
      <c r="N1009" s="38">
        <f>IF(A1009="","",DATE(YEAR(A1009),MONTH(A1009),1))</f>
        <v/>
      </c>
    </row>
    <row r="1010">
      <c r="A1010" s="31" t="n"/>
      <c r="B1010" s="32" t="n"/>
      <c r="C1010" s="32" t="n"/>
      <c r="D1010" s="33" t="n"/>
      <c r="E1010" s="34" t="n"/>
      <c r="F1010" s="35" t="n"/>
      <c r="G1010" s="35" t="n"/>
      <c r="H1010" s="32" t="n"/>
      <c r="I1010" s="32" t="n"/>
      <c r="J1010" s="32" t="n"/>
      <c r="K1010" s="36">
        <f>IF(E1010&lt;&gt;"",E1010,IF(AND(F1010&lt;&gt;"",G1010&lt;&gt;""),MOD(G1010-F1010,1)*24,""))</f>
        <v/>
      </c>
      <c r="L1010" s="37">
        <f>IF(A1010="","",CHOOSE(WEEKDAY(A1010,2),"Montag","Dienstag","Mittwoch","Donnerstag","Freitag","Samstag","Sonntag"))</f>
        <v/>
      </c>
      <c r="M1010" s="37">
        <f>IF(A1010="","",_xlfn.ISOWEEKNUM(A1010))</f>
        <v/>
      </c>
      <c r="N1010" s="38">
        <f>IF(A1010="","",DATE(YEAR(A1010),MONTH(A1010),1))</f>
        <v/>
      </c>
    </row>
    <row r="1011">
      <c r="A1011" s="31" t="n"/>
      <c r="B1011" s="32" t="n"/>
      <c r="C1011" s="32" t="n"/>
      <c r="D1011" s="33" t="n"/>
      <c r="E1011" s="34" t="n"/>
      <c r="F1011" s="35" t="n"/>
      <c r="G1011" s="35" t="n"/>
      <c r="H1011" s="32" t="n"/>
      <c r="I1011" s="32" t="n"/>
      <c r="J1011" s="32" t="n"/>
      <c r="K1011" s="36">
        <f>IF(E1011&lt;&gt;"",E1011,IF(AND(F1011&lt;&gt;"",G1011&lt;&gt;""),MOD(G1011-F1011,1)*24,""))</f>
        <v/>
      </c>
      <c r="L1011" s="37">
        <f>IF(A1011="","",CHOOSE(WEEKDAY(A1011,2),"Montag","Dienstag","Mittwoch","Donnerstag","Freitag","Samstag","Sonntag"))</f>
        <v/>
      </c>
      <c r="M1011" s="37">
        <f>IF(A1011="","",_xlfn.ISOWEEKNUM(A1011))</f>
        <v/>
      </c>
      <c r="N1011" s="38">
        <f>IF(A1011="","",DATE(YEAR(A1011),MONTH(A1011),1))</f>
        <v/>
      </c>
    </row>
    <row r="1012">
      <c r="A1012" s="31" t="n"/>
      <c r="B1012" s="32" t="n"/>
      <c r="C1012" s="32" t="n"/>
      <c r="D1012" s="33" t="n"/>
      <c r="E1012" s="34" t="n"/>
      <c r="F1012" s="35" t="n"/>
      <c r="G1012" s="35" t="n"/>
      <c r="H1012" s="32" t="n"/>
      <c r="I1012" s="32" t="n"/>
      <c r="J1012" s="32" t="n"/>
      <c r="K1012" s="36">
        <f>IF(E1012&lt;&gt;"",E1012,IF(AND(F1012&lt;&gt;"",G1012&lt;&gt;""),MOD(G1012-F1012,1)*24,""))</f>
        <v/>
      </c>
      <c r="L1012" s="37">
        <f>IF(A1012="","",CHOOSE(WEEKDAY(A1012,2),"Montag","Dienstag","Mittwoch","Donnerstag","Freitag","Samstag","Sonntag"))</f>
        <v/>
      </c>
      <c r="M1012" s="37">
        <f>IF(A1012="","",_xlfn.ISOWEEKNUM(A1012))</f>
        <v/>
      </c>
      <c r="N1012" s="38">
        <f>IF(A1012="","",DATE(YEAR(A1012),MONTH(A1012),1))</f>
        <v/>
      </c>
    </row>
    <row r="1013">
      <c r="A1013" s="31" t="n"/>
      <c r="B1013" s="32" t="n"/>
      <c r="C1013" s="32" t="n"/>
      <c r="D1013" s="33" t="n"/>
      <c r="E1013" s="34" t="n"/>
      <c r="F1013" s="35" t="n"/>
      <c r="G1013" s="35" t="n"/>
      <c r="H1013" s="32" t="n"/>
      <c r="I1013" s="32" t="n"/>
      <c r="J1013" s="32" t="n"/>
      <c r="K1013" s="36">
        <f>IF(E1013&lt;&gt;"",E1013,IF(AND(F1013&lt;&gt;"",G1013&lt;&gt;""),MOD(G1013-F1013,1)*24,""))</f>
        <v/>
      </c>
      <c r="L1013" s="37">
        <f>IF(A1013="","",CHOOSE(WEEKDAY(A1013,2),"Montag","Dienstag","Mittwoch","Donnerstag","Freitag","Samstag","Sonntag"))</f>
        <v/>
      </c>
      <c r="M1013" s="37">
        <f>IF(A1013="","",_xlfn.ISOWEEKNUM(A1013))</f>
        <v/>
      </c>
      <c r="N1013" s="38">
        <f>IF(A1013="","",DATE(YEAR(A1013),MONTH(A1013),1))</f>
        <v/>
      </c>
    </row>
    <row r="1014">
      <c r="A1014" s="31" t="n"/>
      <c r="B1014" s="32" t="n"/>
      <c r="C1014" s="32" t="n"/>
      <c r="D1014" s="33" t="n"/>
      <c r="E1014" s="34" t="n"/>
      <c r="F1014" s="35" t="n"/>
      <c r="G1014" s="35" t="n"/>
      <c r="H1014" s="32" t="n"/>
      <c r="I1014" s="32" t="n"/>
      <c r="J1014" s="32" t="n"/>
      <c r="K1014" s="36">
        <f>IF(E1014&lt;&gt;"",E1014,IF(AND(F1014&lt;&gt;"",G1014&lt;&gt;""),MOD(G1014-F1014,1)*24,""))</f>
        <v/>
      </c>
      <c r="L1014" s="37">
        <f>IF(A1014="","",CHOOSE(WEEKDAY(A1014,2),"Montag","Dienstag","Mittwoch","Donnerstag","Freitag","Samstag","Sonntag"))</f>
        <v/>
      </c>
      <c r="M1014" s="37">
        <f>IF(A1014="","",_xlfn.ISOWEEKNUM(A1014))</f>
        <v/>
      </c>
      <c r="N1014" s="38">
        <f>IF(A1014="","",DATE(YEAR(A1014),MONTH(A1014),1))</f>
        <v/>
      </c>
    </row>
    <row r="1015">
      <c r="A1015" s="31" t="n"/>
      <c r="B1015" s="32" t="n"/>
      <c r="C1015" s="32" t="n"/>
      <c r="D1015" s="33" t="n"/>
      <c r="E1015" s="34" t="n"/>
      <c r="F1015" s="35" t="n"/>
      <c r="G1015" s="35" t="n"/>
      <c r="H1015" s="32" t="n"/>
      <c r="I1015" s="32" t="n"/>
      <c r="J1015" s="32" t="n"/>
      <c r="K1015" s="36">
        <f>IF(E1015&lt;&gt;"",E1015,IF(AND(F1015&lt;&gt;"",G1015&lt;&gt;""),MOD(G1015-F1015,1)*24,""))</f>
        <v/>
      </c>
      <c r="L1015" s="37">
        <f>IF(A1015="","",CHOOSE(WEEKDAY(A1015,2),"Montag","Dienstag","Mittwoch","Donnerstag","Freitag","Samstag","Sonntag"))</f>
        <v/>
      </c>
      <c r="M1015" s="37">
        <f>IF(A1015="","",_xlfn.ISOWEEKNUM(A1015))</f>
        <v/>
      </c>
      <c r="N1015" s="38">
        <f>IF(A1015="","",DATE(YEAR(A1015),MONTH(A1015),1))</f>
        <v/>
      </c>
    </row>
    <row r="1016">
      <c r="A1016" s="31" t="n"/>
      <c r="B1016" s="32" t="n"/>
      <c r="C1016" s="32" t="n"/>
      <c r="D1016" s="33" t="n"/>
      <c r="E1016" s="34" t="n"/>
      <c r="F1016" s="35" t="n"/>
      <c r="G1016" s="35" t="n"/>
      <c r="H1016" s="32" t="n"/>
      <c r="I1016" s="32" t="n"/>
      <c r="J1016" s="32" t="n"/>
      <c r="K1016" s="36">
        <f>IF(E1016&lt;&gt;"",E1016,IF(AND(F1016&lt;&gt;"",G1016&lt;&gt;""),MOD(G1016-F1016,1)*24,""))</f>
        <v/>
      </c>
      <c r="L1016" s="37">
        <f>IF(A1016="","",CHOOSE(WEEKDAY(A1016,2),"Montag","Dienstag","Mittwoch","Donnerstag","Freitag","Samstag","Sonntag"))</f>
        <v/>
      </c>
      <c r="M1016" s="37">
        <f>IF(A1016="","",_xlfn.ISOWEEKNUM(A1016))</f>
        <v/>
      </c>
      <c r="N1016" s="38">
        <f>IF(A1016="","",DATE(YEAR(A1016),MONTH(A1016),1))</f>
        <v/>
      </c>
    </row>
    <row r="1017">
      <c r="A1017" s="31" t="n"/>
      <c r="B1017" s="32" t="n"/>
      <c r="C1017" s="32" t="n"/>
      <c r="D1017" s="33" t="n"/>
      <c r="E1017" s="34" t="n"/>
      <c r="F1017" s="35" t="n"/>
      <c r="G1017" s="35" t="n"/>
      <c r="H1017" s="32" t="n"/>
      <c r="I1017" s="32" t="n"/>
      <c r="J1017" s="32" t="n"/>
      <c r="K1017" s="36">
        <f>IF(E1017&lt;&gt;"",E1017,IF(AND(F1017&lt;&gt;"",G1017&lt;&gt;""),MOD(G1017-F1017,1)*24,""))</f>
        <v/>
      </c>
      <c r="L1017" s="37">
        <f>IF(A1017="","",CHOOSE(WEEKDAY(A1017,2),"Montag","Dienstag","Mittwoch","Donnerstag","Freitag","Samstag","Sonntag"))</f>
        <v/>
      </c>
      <c r="M1017" s="37">
        <f>IF(A1017="","",_xlfn.ISOWEEKNUM(A1017))</f>
        <v/>
      </c>
      <c r="N1017" s="38">
        <f>IF(A1017="","",DATE(YEAR(A1017),MONTH(A1017),1))</f>
        <v/>
      </c>
    </row>
    <row r="1018">
      <c r="A1018" s="31" t="n"/>
      <c r="B1018" s="32" t="n"/>
      <c r="C1018" s="32" t="n"/>
      <c r="D1018" s="33" t="n"/>
      <c r="E1018" s="34" t="n"/>
      <c r="F1018" s="35" t="n"/>
      <c r="G1018" s="35" t="n"/>
      <c r="H1018" s="32" t="n"/>
      <c r="I1018" s="32" t="n"/>
      <c r="J1018" s="32" t="n"/>
      <c r="K1018" s="36">
        <f>IF(E1018&lt;&gt;"",E1018,IF(AND(F1018&lt;&gt;"",G1018&lt;&gt;""),MOD(G1018-F1018,1)*24,""))</f>
        <v/>
      </c>
      <c r="L1018" s="37">
        <f>IF(A1018="","",CHOOSE(WEEKDAY(A1018,2),"Montag","Dienstag","Mittwoch","Donnerstag","Freitag","Samstag","Sonntag"))</f>
        <v/>
      </c>
      <c r="M1018" s="37">
        <f>IF(A1018="","",_xlfn.ISOWEEKNUM(A1018))</f>
        <v/>
      </c>
      <c r="N1018" s="38">
        <f>IF(A1018="","",DATE(YEAR(A1018),MONTH(A1018),1))</f>
        <v/>
      </c>
    </row>
    <row r="1019">
      <c r="A1019" s="31" t="n"/>
      <c r="B1019" s="32" t="n"/>
      <c r="C1019" s="32" t="n"/>
      <c r="D1019" s="33" t="n"/>
      <c r="E1019" s="34" t="n"/>
      <c r="F1019" s="35" t="n"/>
      <c r="G1019" s="35" t="n"/>
      <c r="H1019" s="32" t="n"/>
      <c r="I1019" s="32" t="n"/>
      <c r="J1019" s="32" t="n"/>
      <c r="K1019" s="36">
        <f>IF(E1019&lt;&gt;"",E1019,IF(AND(F1019&lt;&gt;"",G1019&lt;&gt;""),MOD(G1019-F1019,1)*24,""))</f>
        <v/>
      </c>
      <c r="L1019" s="37">
        <f>IF(A1019="","",CHOOSE(WEEKDAY(A1019,2),"Montag","Dienstag","Mittwoch","Donnerstag","Freitag","Samstag","Sonntag"))</f>
        <v/>
      </c>
      <c r="M1019" s="37">
        <f>IF(A1019="","",_xlfn.ISOWEEKNUM(A1019))</f>
        <v/>
      </c>
      <c r="N1019" s="38">
        <f>IF(A1019="","",DATE(YEAR(A1019),MONTH(A1019),1))</f>
        <v/>
      </c>
    </row>
    <row r="1020">
      <c r="A1020" s="31" t="n"/>
      <c r="B1020" s="32" t="n"/>
      <c r="C1020" s="32" t="n"/>
      <c r="D1020" s="33" t="n"/>
      <c r="E1020" s="34" t="n"/>
      <c r="F1020" s="35" t="n"/>
      <c r="G1020" s="35" t="n"/>
      <c r="H1020" s="32" t="n"/>
      <c r="I1020" s="32" t="n"/>
      <c r="J1020" s="32" t="n"/>
      <c r="K1020" s="36">
        <f>IF(E1020&lt;&gt;"",E1020,IF(AND(F1020&lt;&gt;"",G1020&lt;&gt;""),MOD(G1020-F1020,1)*24,""))</f>
        <v/>
      </c>
      <c r="L1020" s="37">
        <f>IF(A1020="","",CHOOSE(WEEKDAY(A1020,2),"Montag","Dienstag","Mittwoch","Donnerstag","Freitag","Samstag","Sonntag"))</f>
        <v/>
      </c>
      <c r="M1020" s="37">
        <f>IF(A1020="","",_xlfn.ISOWEEKNUM(A1020))</f>
        <v/>
      </c>
      <c r="N1020" s="38">
        <f>IF(A1020="","",DATE(YEAR(A1020),MONTH(A1020),1))</f>
        <v/>
      </c>
    </row>
    <row r="1021">
      <c r="A1021" s="31" t="n"/>
      <c r="B1021" s="32" t="n"/>
      <c r="C1021" s="32" t="n"/>
      <c r="D1021" s="33" t="n"/>
      <c r="E1021" s="34" t="n"/>
      <c r="F1021" s="35" t="n"/>
      <c r="G1021" s="35" t="n"/>
      <c r="H1021" s="32" t="n"/>
      <c r="I1021" s="32" t="n"/>
      <c r="J1021" s="32" t="n"/>
      <c r="K1021" s="36">
        <f>IF(E1021&lt;&gt;"",E1021,IF(AND(F1021&lt;&gt;"",G1021&lt;&gt;""),MOD(G1021-F1021,1)*24,""))</f>
        <v/>
      </c>
      <c r="L1021" s="37">
        <f>IF(A1021="","",CHOOSE(WEEKDAY(A1021,2),"Montag","Dienstag","Mittwoch","Donnerstag","Freitag","Samstag","Sonntag"))</f>
        <v/>
      </c>
      <c r="M1021" s="37">
        <f>IF(A1021="","",_xlfn.ISOWEEKNUM(A1021))</f>
        <v/>
      </c>
      <c r="N1021" s="38">
        <f>IF(A1021="","",DATE(YEAR(A1021),MONTH(A1021),1))</f>
        <v/>
      </c>
    </row>
    <row r="1022">
      <c r="A1022" s="31" t="n"/>
      <c r="B1022" s="32" t="n"/>
      <c r="C1022" s="32" t="n"/>
      <c r="D1022" s="33" t="n"/>
      <c r="E1022" s="34" t="n"/>
      <c r="F1022" s="35" t="n"/>
      <c r="G1022" s="35" t="n"/>
      <c r="H1022" s="32" t="n"/>
      <c r="I1022" s="32" t="n"/>
      <c r="J1022" s="32" t="n"/>
      <c r="K1022" s="36">
        <f>IF(E1022&lt;&gt;"",E1022,IF(AND(F1022&lt;&gt;"",G1022&lt;&gt;""),MOD(G1022-F1022,1)*24,""))</f>
        <v/>
      </c>
      <c r="L1022" s="37">
        <f>IF(A1022="","",CHOOSE(WEEKDAY(A1022,2),"Montag","Dienstag","Mittwoch","Donnerstag","Freitag","Samstag","Sonntag"))</f>
        <v/>
      </c>
      <c r="M1022" s="37">
        <f>IF(A1022="","",_xlfn.ISOWEEKNUM(A1022))</f>
        <v/>
      </c>
      <c r="N1022" s="38">
        <f>IF(A1022="","",DATE(YEAR(A1022),MONTH(A1022),1))</f>
        <v/>
      </c>
    </row>
    <row r="1023">
      <c r="A1023" s="31" t="n"/>
      <c r="B1023" s="32" t="n"/>
      <c r="C1023" s="32" t="n"/>
      <c r="D1023" s="33" t="n"/>
      <c r="E1023" s="34" t="n"/>
      <c r="F1023" s="35" t="n"/>
      <c r="G1023" s="35" t="n"/>
      <c r="H1023" s="32" t="n"/>
      <c r="I1023" s="32" t="n"/>
      <c r="J1023" s="32" t="n"/>
      <c r="K1023" s="36">
        <f>IF(E1023&lt;&gt;"",E1023,IF(AND(F1023&lt;&gt;"",G1023&lt;&gt;""),MOD(G1023-F1023,1)*24,""))</f>
        <v/>
      </c>
      <c r="L1023" s="37">
        <f>IF(A1023="","",CHOOSE(WEEKDAY(A1023,2),"Montag","Dienstag","Mittwoch","Donnerstag","Freitag","Samstag","Sonntag"))</f>
        <v/>
      </c>
      <c r="M1023" s="37">
        <f>IF(A1023="","",_xlfn.ISOWEEKNUM(A1023))</f>
        <v/>
      </c>
      <c r="N1023" s="38">
        <f>IF(A1023="","",DATE(YEAR(A1023),MONTH(A1023),1))</f>
        <v/>
      </c>
    </row>
    <row r="1024">
      <c r="A1024" s="31" t="n"/>
      <c r="B1024" s="32" t="n"/>
      <c r="C1024" s="32" t="n"/>
      <c r="D1024" s="33" t="n"/>
      <c r="E1024" s="34" t="n"/>
      <c r="F1024" s="35" t="n"/>
      <c r="G1024" s="35" t="n"/>
      <c r="H1024" s="32" t="n"/>
      <c r="I1024" s="32" t="n"/>
      <c r="J1024" s="32" t="n"/>
      <c r="K1024" s="36">
        <f>IF(E1024&lt;&gt;"",E1024,IF(AND(F1024&lt;&gt;"",G1024&lt;&gt;""),MOD(G1024-F1024,1)*24,""))</f>
        <v/>
      </c>
      <c r="L1024" s="37">
        <f>IF(A1024="","",CHOOSE(WEEKDAY(A1024,2),"Montag","Dienstag","Mittwoch","Donnerstag","Freitag","Samstag","Sonntag"))</f>
        <v/>
      </c>
      <c r="M1024" s="37">
        <f>IF(A1024="","",_xlfn.ISOWEEKNUM(A1024))</f>
        <v/>
      </c>
      <c r="N1024" s="38">
        <f>IF(A1024="","",DATE(YEAR(A1024),MONTH(A1024),1))</f>
        <v/>
      </c>
    </row>
    <row r="1025">
      <c r="A1025" s="31" t="n"/>
      <c r="B1025" s="32" t="n"/>
      <c r="C1025" s="32" t="n"/>
      <c r="D1025" s="33" t="n"/>
      <c r="E1025" s="34" t="n"/>
      <c r="F1025" s="35" t="n"/>
      <c r="G1025" s="35" t="n"/>
      <c r="H1025" s="32" t="n"/>
      <c r="I1025" s="32" t="n"/>
      <c r="J1025" s="32" t="n"/>
      <c r="K1025" s="36">
        <f>IF(E1025&lt;&gt;"",E1025,IF(AND(F1025&lt;&gt;"",G1025&lt;&gt;""),MOD(G1025-F1025,1)*24,""))</f>
        <v/>
      </c>
      <c r="L1025" s="37">
        <f>IF(A1025="","",CHOOSE(WEEKDAY(A1025,2),"Montag","Dienstag","Mittwoch","Donnerstag","Freitag","Samstag","Sonntag"))</f>
        <v/>
      </c>
      <c r="M1025" s="37">
        <f>IF(A1025="","",_xlfn.ISOWEEKNUM(A1025))</f>
        <v/>
      </c>
      <c r="N1025" s="38">
        <f>IF(A1025="","",DATE(YEAR(A1025),MONTH(A1025),1))</f>
        <v/>
      </c>
    </row>
    <row r="1026">
      <c r="A1026" s="31" t="n"/>
      <c r="B1026" s="32" t="n"/>
      <c r="C1026" s="32" t="n"/>
      <c r="D1026" s="33" t="n"/>
      <c r="E1026" s="34" t="n"/>
      <c r="F1026" s="35" t="n"/>
      <c r="G1026" s="35" t="n"/>
      <c r="H1026" s="32" t="n"/>
      <c r="I1026" s="32" t="n"/>
      <c r="J1026" s="32" t="n"/>
      <c r="K1026" s="36">
        <f>IF(E1026&lt;&gt;"",E1026,IF(AND(F1026&lt;&gt;"",G1026&lt;&gt;""),MOD(G1026-F1026,1)*24,""))</f>
        <v/>
      </c>
      <c r="L1026" s="37">
        <f>IF(A1026="","",CHOOSE(WEEKDAY(A1026,2),"Montag","Dienstag","Mittwoch","Donnerstag","Freitag","Samstag","Sonntag"))</f>
        <v/>
      </c>
      <c r="M1026" s="37">
        <f>IF(A1026="","",_xlfn.ISOWEEKNUM(A1026))</f>
        <v/>
      </c>
      <c r="N1026" s="38">
        <f>IF(A1026="","",DATE(YEAR(A1026),MONTH(A1026),1))</f>
        <v/>
      </c>
    </row>
    <row r="1027">
      <c r="A1027" s="31" t="n"/>
      <c r="B1027" s="32" t="n"/>
      <c r="C1027" s="32" t="n"/>
      <c r="D1027" s="33" t="n"/>
      <c r="E1027" s="34" t="n"/>
      <c r="F1027" s="35" t="n"/>
      <c r="G1027" s="35" t="n"/>
      <c r="H1027" s="32" t="n"/>
      <c r="I1027" s="32" t="n"/>
      <c r="J1027" s="32" t="n"/>
      <c r="K1027" s="36">
        <f>IF(E1027&lt;&gt;"",E1027,IF(AND(F1027&lt;&gt;"",G1027&lt;&gt;""),MOD(G1027-F1027,1)*24,""))</f>
        <v/>
      </c>
      <c r="L1027" s="37">
        <f>IF(A1027="","",CHOOSE(WEEKDAY(A1027,2),"Montag","Dienstag","Mittwoch","Donnerstag","Freitag","Samstag","Sonntag"))</f>
        <v/>
      </c>
      <c r="M1027" s="37">
        <f>IF(A1027="","",_xlfn.ISOWEEKNUM(A1027))</f>
        <v/>
      </c>
      <c r="N1027" s="38">
        <f>IF(A1027="","",DATE(YEAR(A1027),MONTH(A1027),1))</f>
        <v/>
      </c>
    </row>
    <row r="1028">
      <c r="A1028" s="31" t="n"/>
      <c r="B1028" s="32" t="n"/>
      <c r="C1028" s="32" t="n"/>
      <c r="D1028" s="33" t="n"/>
      <c r="E1028" s="34" t="n"/>
      <c r="F1028" s="35" t="n"/>
      <c r="G1028" s="35" t="n"/>
      <c r="H1028" s="32" t="n"/>
      <c r="I1028" s="32" t="n"/>
      <c r="J1028" s="32" t="n"/>
      <c r="K1028" s="36">
        <f>IF(E1028&lt;&gt;"",E1028,IF(AND(F1028&lt;&gt;"",G1028&lt;&gt;""),MOD(G1028-F1028,1)*24,""))</f>
        <v/>
      </c>
      <c r="L1028" s="37">
        <f>IF(A1028="","",CHOOSE(WEEKDAY(A1028,2),"Montag","Dienstag","Mittwoch","Donnerstag","Freitag","Samstag","Sonntag"))</f>
        <v/>
      </c>
      <c r="M1028" s="37">
        <f>IF(A1028="","",_xlfn.ISOWEEKNUM(A1028))</f>
        <v/>
      </c>
      <c r="N1028" s="38">
        <f>IF(A1028="","",DATE(YEAR(A1028),MONTH(A1028),1))</f>
        <v/>
      </c>
    </row>
    <row r="1029">
      <c r="A1029" s="31" t="n"/>
      <c r="B1029" s="32" t="n"/>
      <c r="C1029" s="32" t="n"/>
      <c r="D1029" s="33" t="n"/>
      <c r="E1029" s="34" t="n"/>
      <c r="F1029" s="35" t="n"/>
      <c r="G1029" s="35" t="n"/>
      <c r="H1029" s="32" t="n"/>
      <c r="I1029" s="32" t="n"/>
      <c r="J1029" s="32" t="n"/>
      <c r="K1029" s="36">
        <f>IF(E1029&lt;&gt;"",E1029,IF(AND(F1029&lt;&gt;"",G1029&lt;&gt;""),MOD(G1029-F1029,1)*24,""))</f>
        <v/>
      </c>
      <c r="L1029" s="37">
        <f>IF(A1029="","",CHOOSE(WEEKDAY(A1029,2),"Montag","Dienstag","Mittwoch","Donnerstag","Freitag","Samstag","Sonntag"))</f>
        <v/>
      </c>
      <c r="M1029" s="37">
        <f>IF(A1029="","",_xlfn.ISOWEEKNUM(A1029))</f>
        <v/>
      </c>
      <c r="N1029" s="38">
        <f>IF(A1029="","",DATE(YEAR(A1029),MONTH(A1029),1))</f>
        <v/>
      </c>
    </row>
    <row r="1030">
      <c r="A1030" s="31" t="n"/>
      <c r="B1030" s="32" t="n"/>
      <c r="C1030" s="32" t="n"/>
      <c r="D1030" s="33" t="n"/>
      <c r="E1030" s="34" t="n"/>
      <c r="F1030" s="35" t="n"/>
      <c r="G1030" s="35" t="n"/>
      <c r="H1030" s="32" t="n"/>
      <c r="I1030" s="32" t="n"/>
      <c r="J1030" s="32" t="n"/>
      <c r="K1030" s="36">
        <f>IF(E1030&lt;&gt;"",E1030,IF(AND(F1030&lt;&gt;"",G1030&lt;&gt;""),MOD(G1030-F1030,1)*24,""))</f>
        <v/>
      </c>
      <c r="L1030" s="37">
        <f>IF(A1030="","",CHOOSE(WEEKDAY(A1030,2),"Montag","Dienstag","Mittwoch","Donnerstag","Freitag","Samstag","Sonntag"))</f>
        <v/>
      </c>
      <c r="M1030" s="37">
        <f>IF(A1030="","",_xlfn.ISOWEEKNUM(A1030))</f>
        <v/>
      </c>
      <c r="N1030" s="38">
        <f>IF(A1030="","",DATE(YEAR(A1030),MONTH(A1030),1))</f>
        <v/>
      </c>
    </row>
    <row r="1031">
      <c r="A1031" s="31" t="n"/>
      <c r="B1031" s="32" t="n"/>
      <c r="C1031" s="32" t="n"/>
      <c r="D1031" s="33" t="n"/>
      <c r="E1031" s="34" t="n"/>
      <c r="F1031" s="35" t="n"/>
      <c r="G1031" s="35" t="n"/>
      <c r="H1031" s="32" t="n"/>
      <c r="I1031" s="32" t="n"/>
      <c r="J1031" s="32" t="n"/>
      <c r="K1031" s="36">
        <f>IF(E1031&lt;&gt;"",E1031,IF(AND(F1031&lt;&gt;"",G1031&lt;&gt;""),MOD(G1031-F1031,1)*24,""))</f>
        <v/>
      </c>
      <c r="L1031" s="37">
        <f>IF(A1031="","",CHOOSE(WEEKDAY(A1031,2),"Montag","Dienstag","Mittwoch","Donnerstag","Freitag","Samstag","Sonntag"))</f>
        <v/>
      </c>
      <c r="M1031" s="37">
        <f>IF(A1031="","",_xlfn.ISOWEEKNUM(A1031))</f>
        <v/>
      </c>
      <c r="N1031" s="38">
        <f>IF(A1031="","",DATE(YEAR(A1031),MONTH(A1031),1))</f>
        <v/>
      </c>
    </row>
    <row r="1032">
      <c r="A1032" s="31" t="n"/>
      <c r="B1032" s="32" t="n"/>
      <c r="C1032" s="32" t="n"/>
      <c r="D1032" s="33" t="n"/>
      <c r="E1032" s="34" t="n"/>
      <c r="F1032" s="35" t="n"/>
      <c r="G1032" s="35" t="n"/>
      <c r="H1032" s="32" t="n"/>
      <c r="I1032" s="32" t="n"/>
      <c r="J1032" s="32" t="n"/>
      <c r="K1032" s="36">
        <f>IF(E1032&lt;&gt;"",E1032,IF(AND(F1032&lt;&gt;"",G1032&lt;&gt;""),MOD(G1032-F1032,1)*24,""))</f>
        <v/>
      </c>
      <c r="L1032" s="37">
        <f>IF(A1032="","",CHOOSE(WEEKDAY(A1032,2),"Montag","Dienstag","Mittwoch","Donnerstag","Freitag","Samstag","Sonntag"))</f>
        <v/>
      </c>
      <c r="M1032" s="37">
        <f>IF(A1032="","",_xlfn.ISOWEEKNUM(A1032))</f>
        <v/>
      </c>
      <c r="N1032" s="38">
        <f>IF(A1032="","",DATE(YEAR(A1032),MONTH(A1032),1))</f>
        <v/>
      </c>
    </row>
    <row r="1033">
      <c r="A1033" s="31" t="n"/>
      <c r="B1033" s="32" t="n"/>
      <c r="C1033" s="32" t="n"/>
      <c r="D1033" s="33" t="n"/>
      <c r="E1033" s="34" t="n"/>
      <c r="F1033" s="35" t="n"/>
      <c r="G1033" s="35" t="n"/>
      <c r="H1033" s="32" t="n"/>
      <c r="I1033" s="32" t="n"/>
      <c r="J1033" s="32" t="n"/>
      <c r="K1033" s="36">
        <f>IF(E1033&lt;&gt;"",E1033,IF(AND(F1033&lt;&gt;"",G1033&lt;&gt;""),MOD(G1033-F1033,1)*24,""))</f>
        <v/>
      </c>
      <c r="L1033" s="37">
        <f>IF(A1033="","",CHOOSE(WEEKDAY(A1033,2),"Montag","Dienstag","Mittwoch","Donnerstag","Freitag","Samstag","Sonntag"))</f>
        <v/>
      </c>
      <c r="M1033" s="37">
        <f>IF(A1033="","",_xlfn.ISOWEEKNUM(A1033))</f>
        <v/>
      </c>
      <c r="N1033" s="38">
        <f>IF(A1033="","",DATE(YEAR(A1033),MONTH(A1033),1))</f>
        <v/>
      </c>
    </row>
    <row r="1034">
      <c r="A1034" s="31" t="n"/>
      <c r="B1034" s="32" t="n"/>
      <c r="C1034" s="32" t="n"/>
      <c r="D1034" s="33" t="n"/>
      <c r="E1034" s="34" t="n"/>
      <c r="F1034" s="35" t="n"/>
      <c r="G1034" s="35" t="n"/>
      <c r="H1034" s="32" t="n"/>
      <c r="I1034" s="32" t="n"/>
      <c r="J1034" s="32" t="n"/>
      <c r="K1034" s="36">
        <f>IF(E1034&lt;&gt;"",E1034,IF(AND(F1034&lt;&gt;"",G1034&lt;&gt;""),MOD(G1034-F1034,1)*24,""))</f>
        <v/>
      </c>
      <c r="L1034" s="37">
        <f>IF(A1034="","",CHOOSE(WEEKDAY(A1034,2),"Montag","Dienstag","Mittwoch","Donnerstag","Freitag","Samstag","Sonntag"))</f>
        <v/>
      </c>
      <c r="M1034" s="37">
        <f>IF(A1034="","",_xlfn.ISOWEEKNUM(A1034))</f>
        <v/>
      </c>
      <c r="N1034" s="38">
        <f>IF(A1034="","",DATE(YEAR(A1034),MONTH(A1034),1))</f>
        <v/>
      </c>
    </row>
    <row r="1035">
      <c r="A1035" s="31" t="n"/>
      <c r="B1035" s="32" t="n"/>
      <c r="C1035" s="32" t="n"/>
      <c r="D1035" s="33" t="n"/>
      <c r="E1035" s="34" t="n"/>
      <c r="F1035" s="35" t="n"/>
      <c r="G1035" s="35" t="n"/>
      <c r="H1035" s="32" t="n"/>
      <c r="I1035" s="32" t="n"/>
      <c r="J1035" s="32" t="n"/>
      <c r="K1035" s="36">
        <f>IF(E1035&lt;&gt;"",E1035,IF(AND(F1035&lt;&gt;"",G1035&lt;&gt;""),MOD(G1035-F1035,1)*24,""))</f>
        <v/>
      </c>
      <c r="L1035" s="37">
        <f>IF(A1035="","",CHOOSE(WEEKDAY(A1035,2),"Montag","Dienstag","Mittwoch","Donnerstag","Freitag","Samstag","Sonntag"))</f>
        <v/>
      </c>
      <c r="M1035" s="37">
        <f>IF(A1035="","",_xlfn.ISOWEEKNUM(A1035))</f>
        <v/>
      </c>
      <c r="N1035" s="38">
        <f>IF(A1035="","",DATE(YEAR(A1035),MONTH(A1035),1))</f>
        <v/>
      </c>
    </row>
    <row r="1036">
      <c r="A1036" s="31" t="n"/>
      <c r="B1036" s="32" t="n"/>
      <c r="C1036" s="32" t="n"/>
      <c r="D1036" s="33" t="n"/>
      <c r="E1036" s="34" t="n"/>
      <c r="F1036" s="35" t="n"/>
      <c r="G1036" s="35" t="n"/>
      <c r="H1036" s="32" t="n"/>
      <c r="I1036" s="32" t="n"/>
      <c r="J1036" s="32" t="n"/>
      <c r="K1036" s="36">
        <f>IF(E1036&lt;&gt;"",E1036,IF(AND(F1036&lt;&gt;"",G1036&lt;&gt;""),MOD(G1036-F1036,1)*24,""))</f>
        <v/>
      </c>
      <c r="L1036" s="37">
        <f>IF(A1036="","",CHOOSE(WEEKDAY(A1036,2),"Montag","Dienstag","Mittwoch","Donnerstag","Freitag","Samstag","Sonntag"))</f>
        <v/>
      </c>
      <c r="M1036" s="37">
        <f>IF(A1036="","",_xlfn.ISOWEEKNUM(A1036))</f>
        <v/>
      </c>
      <c r="N1036" s="38">
        <f>IF(A1036="","",DATE(YEAR(A1036),MONTH(A1036),1))</f>
        <v/>
      </c>
    </row>
    <row r="1037">
      <c r="A1037" s="31" t="n"/>
      <c r="B1037" s="32" t="n"/>
      <c r="C1037" s="32" t="n"/>
      <c r="D1037" s="33" t="n"/>
      <c r="E1037" s="34" t="n"/>
      <c r="F1037" s="35" t="n"/>
      <c r="G1037" s="35" t="n"/>
      <c r="H1037" s="32" t="n"/>
      <c r="I1037" s="32" t="n"/>
      <c r="J1037" s="32" t="n"/>
      <c r="K1037" s="36">
        <f>IF(E1037&lt;&gt;"",E1037,IF(AND(F1037&lt;&gt;"",G1037&lt;&gt;""),MOD(G1037-F1037,1)*24,""))</f>
        <v/>
      </c>
      <c r="L1037" s="37">
        <f>IF(A1037="","",CHOOSE(WEEKDAY(A1037,2),"Montag","Dienstag","Mittwoch","Donnerstag","Freitag","Samstag","Sonntag"))</f>
        <v/>
      </c>
      <c r="M1037" s="37">
        <f>IF(A1037="","",_xlfn.ISOWEEKNUM(A1037))</f>
        <v/>
      </c>
      <c r="N1037" s="38">
        <f>IF(A1037="","",DATE(YEAR(A1037),MONTH(A1037),1))</f>
        <v/>
      </c>
    </row>
    <row r="1038">
      <c r="A1038" s="31" t="n"/>
      <c r="B1038" s="32" t="n"/>
      <c r="C1038" s="32" t="n"/>
      <c r="D1038" s="33" t="n"/>
      <c r="E1038" s="34" t="n"/>
      <c r="F1038" s="35" t="n"/>
      <c r="G1038" s="35" t="n"/>
      <c r="H1038" s="32" t="n"/>
      <c r="I1038" s="32" t="n"/>
      <c r="J1038" s="32" t="n"/>
      <c r="K1038" s="36">
        <f>IF(E1038&lt;&gt;"",E1038,IF(AND(F1038&lt;&gt;"",G1038&lt;&gt;""),MOD(G1038-F1038,1)*24,""))</f>
        <v/>
      </c>
      <c r="L1038" s="37">
        <f>IF(A1038="","",CHOOSE(WEEKDAY(A1038,2),"Montag","Dienstag","Mittwoch","Donnerstag","Freitag","Samstag","Sonntag"))</f>
        <v/>
      </c>
      <c r="M1038" s="37">
        <f>IF(A1038="","",_xlfn.ISOWEEKNUM(A1038))</f>
        <v/>
      </c>
      <c r="N1038" s="38">
        <f>IF(A1038="","",DATE(YEAR(A1038),MONTH(A1038),1))</f>
        <v/>
      </c>
    </row>
    <row r="1039">
      <c r="A1039" s="31" t="n"/>
      <c r="B1039" s="32" t="n"/>
      <c r="C1039" s="32" t="n"/>
      <c r="D1039" s="33" t="n"/>
      <c r="E1039" s="34" t="n"/>
      <c r="F1039" s="35" t="n"/>
      <c r="G1039" s="35" t="n"/>
      <c r="H1039" s="32" t="n"/>
      <c r="I1039" s="32" t="n"/>
      <c r="J1039" s="32" t="n"/>
      <c r="K1039" s="36">
        <f>IF(E1039&lt;&gt;"",E1039,IF(AND(F1039&lt;&gt;"",G1039&lt;&gt;""),MOD(G1039-F1039,1)*24,""))</f>
        <v/>
      </c>
      <c r="L1039" s="37">
        <f>IF(A1039="","",CHOOSE(WEEKDAY(A1039,2),"Montag","Dienstag","Mittwoch","Donnerstag","Freitag","Samstag","Sonntag"))</f>
        <v/>
      </c>
      <c r="M1039" s="37">
        <f>IF(A1039="","",_xlfn.ISOWEEKNUM(A1039))</f>
        <v/>
      </c>
      <c r="N1039" s="38">
        <f>IF(A1039="","",DATE(YEAR(A1039),MONTH(A1039),1))</f>
        <v/>
      </c>
    </row>
    <row r="1040">
      <c r="A1040" s="31" t="n"/>
      <c r="B1040" s="32" t="n"/>
      <c r="C1040" s="32" t="n"/>
      <c r="D1040" s="33" t="n"/>
      <c r="E1040" s="34" t="n"/>
      <c r="F1040" s="35" t="n"/>
      <c r="G1040" s="35" t="n"/>
      <c r="H1040" s="32" t="n"/>
      <c r="I1040" s="32" t="n"/>
      <c r="J1040" s="32" t="n"/>
      <c r="K1040" s="36">
        <f>IF(E1040&lt;&gt;"",E1040,IF(AND(F1040&lt;&gt;"",G1040&lt;&gt;""),MOD(G1040-F1040,1)*24,""))</f>
        <v/>
      </c>
      <c r="L1040" s="37">
        <f>IF(A1040="","",CHOOSE(WEEKDAY(A1040,2),"Montag","Dienstag","Mittwoch","Donnerstag","Freitag","Samstag","Sonntag"))</f>
        <v/>
      </c>
      <c r="M1040" s="37">
        <f>IF(A1040="","",_xlfn.ISOWEEKNUM(A1040))</f>
        <v/>
      </c>
      <c r="N1040" s="38">
        <f>IF(A1040="","",DATE(YEAR(A1040),MONTH(A1040),1))</f>
        <v/>
      </c>
    </row>
    <row r="1041">
      <c r="A1041" s="31" t="n"/>
      <c r="B1041" s="32" t="n"/>
      <c r="C1041" s="32" t="n"/>
      <c r="D1041" s="33" t="n"/>
      <c r="E1041" s="34" t="n"/>
      <c r="F1041" s="35" t="n"/>
      <c r="G1041" s="35" t="n"/>
      <c r="H1041" s="32" t="n"/>
      <c r="I1041" s="32" t="n"/>
      <c r="J1041" s="32" t="n"/>
      <c r="K1041" s="36">
        <f>IF(E1041&lt;&gt;"",E1041,IF(AND(F1041&lt;&gt;"",G1041&lt;&gt;""),MOD(G1041-F1041,1)*24,""))</f>
        <v/>
      </c>
      <c r="L1041" s="37">
        <f>IF(A1041="","",CHOOSE(WEEKDAY(A1041,2),"Montag","Dienstag","Mittwoch","Donnerstag","Freitag","Samstag","Sonntag"))</f>
        <v/>
      </c>
      <c r="M1041" s="37">
        <f>IF(A1041="","",_xlfn.ISOWEEKNUM(A1041))</f>
        <v/>
      </c>
      <c r="N1041" s="38">
        <f>IF(A1041="","",DATE(YEAR(A1041),MONTH(A1041),1))</f>
        <v/>
      </c>
    </row>
    <row r="1042">
      <c r="A1042" s="31" t="n"/>
      <c r="B1042" s="32" t="n"/>
      <c r="C1042" s="32" t="n"/>
      <c r="D1042" s="33" t="n"/>
      <c r="E1042" s="34" t="n"/>
      <c r="F1042" s="35" t="n"/>
      <c r="G1042" s="35" t="n"/>
      <c r="H1042" s="32" t="n"/>
      <c r="I1042" s="32" t="n"/>
      <c r="J1042" s="32" t="n"/>
      <c r="K1042" s="36">
        <f>IF(E1042&lt;&gt;"",E1042,IF(AND(F1042&lt;&gt;"",G1042&lt;&gt;""),MOD(G1042-F1042,1)*24,""))</f>
        <v/>
      </c>
      <c r="L1042" s="37">
        <f>IF(A1042="","",CHOOSE(WEEKDAY(A1042,2),"Montag","Dienstag","Mittwoch","Donnerstag","Freitag","Samstag","Sonntag"))</f>
        <v/>
      </c>
      <c r="M1042" s="37">
        <f>IF(A1042="","",_xlfn.ISOWEEKNUM(A1042))</f>
        <v/>
      </c>
      <c r="N1042" s="38">
        <f>IF(A1042="","",DATE(YEAR(A1042),MONTH(A1042),1))</f>
        <v/>
      </c>
    </row>
    <row r="1043">
      <c r="A1043" s="31" t="n"/>
      <c r="B1043" s="32" t="n"/>
      <c r="C1043" s="32" t="n"/>
      <c r="D1043" s="33" t="n"/>
      <c r="E1043" s="34" t="n"/>
      <c r="F1043" s="35" t="n"/>
      <c r="G1043" s="35" t="n"/>
      <c r="H1043" s="32" t="n"/>
      <c r="I1043" s="32" t="n"/>
      <c r="J1043" s="32" t="n"/>
      <c r="K1043" s="36">
        <f>IF(E1043&lt;&gt;"",E1043,IF(AND(F1043&lt;&gt;"",G1043&lt;&gt;""),MOD(G1043-F1043,1)*24,""))</f>
        <v/>
      </c>
      <c r="L1043" s="37">
        <f>IF(A1043="","",CHOOSE(WEEKDAY(A1043,2),"Montag","Dienstag","Mittwoch","Donnerstag","Freitag","Samstag","Sonntag"))</f>
        <v/>
      </c>
      <c r="M1043" s="37">
        <f>IF(A1043="","",_xlfn.ISOWEEKNUM(A1043))</f>
        <v/>
      </c>
      <c r="N1043" s="38">
        <f>IF(A1043="","",DATE(YEAR(A1043),MONTH(A1043),1))</f>
        <v/>
      </c>
    </row>
    <row r="1044">
      <c r="A1044" s="31" t="n"/>
      <c r="B1044" s="32" t="n"/>
      <c r="C1044" s="32" t="n"/>
      <c r="D1044" s="33" t="n"/>
      <c r="E1044" s="34" t="n"/>
      <c r="F1044" s="35" t="n"/>
      <c r="G1044" s="35" t="n"/>
      <c r="H1044" s="32" t="n"/>
      <c r="I1044" s="32" t="n"/>
      <c r="J1044" s="32" t="n"/>
      <c r="K1044" s="36">
        <f>IF(E1044&lt;&gt;"",E1044,IF(AND(F1044&lt;&gt;"",G1044&lt;&gt;""),MOD(G1044-F1044,1)*24,""))</f>
        <v/>
      </c>
      <c r="L1044" s="37">
        <f>IF(A1044="","",CHOOSE(WEEKDAY(A1044,2),"Montag","Dienstag","Mittwoch","Donnerstag","Freitag","Samstag","Sonntag"))</f>
        <v/>
      </c>
      <c r="M1044" s="37">
        <f>IF(A1044="","",_xlfn.ISOWEEKNUM(A1044))</f>
        <v/>
      </c>
      <c r="N1044" s="38">
        <f>IF(A1044="","",DATE(YEAR(A1044),MONTH(A1044),1))</f>
        <v/>
      </c>
    </row>
    <row r="1045">
      <c r="A1045" s="31" t="n"/>
      <c r="B1045" s="32" t="n"/>
      <c r="C1045" s="32" t="n"/>
      <c r="D1045" s="33" t="n"/>
      <c r="E1045" s="34" t="n"/>
      <c r="F1045" s="35" t="n"/>
      <c r="G1045" s="35" t="n"/>
      <c r="H1045" s="32" t="n"/>
      <c r="I1045" s="32" t="n"/>
      <c r="J1045" s="32" t="n"/>
      <c r="K1045" s="36">
        <f>IF(E1045&lt;&gt;"",E1045,IF(AND(F1045&lt;&gt;"",G1045&lt;&gt;""),MOD(G1045-F1045,1)*24,""))</f>
        <v/>
      </c>
      <c r="L1045" s="37">
        <f>IF(A1045="","",CHOOSE(WEEKDAY(A1045,2),"Montag","Dienstag","Mittwoch","Donnerstag","Freitag","Samstag","Sonntag"))</f>
        <v/>
      </c>
      <c r="M1045" s="37">
        <f>IF(A1045="","",_xlfn.ISOWEEKNUM(A1045))</f>
        <v/>
      </c>
      <c r="N1045" s="38">
        <f>IF(A1045="","",DATE(YEAR(A1045),MONTH(A1045),1))</f>
        <v/>
      </c>
    </row>
    <row r="1046">
      <c r="A1046" s="31" t="n"/>
      <c r="B1046" s="32" t="n"/>
      <c r="C1046" s="32" t="n"/>
      <c r="D1046" s="33" t="n"/>
      <c r="E1046" s="34" t="n"/>
      <c r="F1046" s="35" t="n"/>
      <c r="G1046" s="35" t="n"/>
      <c r="H1046" s="32" t="n"/>
      <c r="I1046" s="32" t="n"/>
      <c r="J1046" s="32" t="n"/>
      <c r="K1046" s="36">
        <f>IF(E1046&lt;&gt;"",E1046,IF(AND(F1046&lt;&gt;"",G1046&lt;&gt;""),MOD(G1046-F1046,1)*24,""))</f>
        <v/>
      </c>
      <c r="L1046" s="37">
        <f>IF(A1046="","",CHOOSE(WEEKDAY(A1046,2),"Montag","Dienstag","Mittwoch","Donnerstag","Freitag","Samstag","Sonntag"))</f>
        <v/>
      </c>
      <c r="M1046" s="37">
        <f>IF(A1046="","",_xlfn.ISOWEEKNUM(A1046))</f>
        <v/>
      </c>
      <c r="N1046" s="38">
        <f>IF(A1046="","",DATE(YEAR(A1046),MONTH(A1046),1))</f>
        <v/>
      </c>
    </row>
    <row r="1047">
      <c r="A1047" s="31" t="n"/>
      <c r="B1047" s="32" t="n"/>
      <c r="C1047" s="32" t="n"/>
      <c r="D1047" s="33" t="n"/>
      <c r="E1047" s="34" t="n"/>
      <c r="F1047" s="35" t="n"/>
      <c r="G1047" s="35" t="n"/>
      <c r="H1047" s="32" t="n"/>
      <c r="I1047" s="32" t="n"/>
      <c r="J1047" s="32" t="n"/>
      <c r="K1047" s="36">
        <f>IF(E1047&lt;&gt;"",E1047,IF(AND(F1047&lt;&gt;"",G1047&lt;&gt;""),MOD(G1047-F1047,1)*24,""))</f>
        <v/>
      </c>
      <c r="L1047" s="37">
        <f>IF(A1047="","",CHOOSE(WEEKDAY(A1047,2),"Montag","Dienstag","Mittwoch","Donnerstag","Freitag","Samstag","Sonntag"))</f>
        <v/>
      </c>
      <c r="M1047" s="37">
        <f>IF(A1047="","",_xlfn.ISOWEEKNUM(A1047))</f>
        <v/>
      </c>
      <c r="N1047" s="38">
        <f>IF(A1047="","",DATE(YEAR(A1047),MONTH(A1047),1))</f>
        <v/>
      </c>
    </row>
    <row r="1048">
      <c r="A1048" s="31" t="n"/>
      <c r="B1048" s="32" t="n"/>
      <c r="C1048" s="32" t="n"/>
      <c r="D1048" s="33" t="n"/>
      <c r="E1048" s="34" t="n"/>
      <c r="F1048" s="35" t="n"/>
      <c r="G1048" s="35" t="n"/>
      <c r="H1048" s="32" t="n"/>
      <c r="I1048" s="32" t="n"/>
      <c r="J1048" s="32" t="n"/>
      <c r="K1048" s="36">
        <f>IF(E1048&lt;&gt;"",E1048,IF(AND(F1048&lt;&gt;"",G1048&lt;&gt;""),MOD(G1048-F1048,1)*24,""))</f>
        <v/>
      </c>
      <c r="L1048" s="37">
        <f>IF(A1048="","",CHOOSE(WEEKDAY(A1048,2),"Montag","Dienstag","Mittwoch","Donnerstag","Freitag","Samstag","Sonntag"))</f>
        <v/>
      </c>
      <c r="M1048" s="37">
        <f>IF(A1048="","",_xlfn.ISOWEEKNUM(A1048))</f>
        <v/>
      </c>
      <c r="N1048" s="38">
        <f>IF(A1048="","",DATE(YEAR(A1048),MONTH(A1048),1))</f>
        <v/>
      </c>
    </row>
    <row r="1049">
      <c r="A1049" s="31" t="n"/>
      <c r="B1049" s="32" t="n"/>
      <c r="C1049" s="32" t="n"/>
      <c r="D1049" s="33" t="n"/>
      <c r="E1049" s="34" t="n"/>
      <c r="F1049" s="35" t="n"/>
      <c r="G1049" s="35" t="n"/>
      <c r="H1049" s="32" t="n"/>
      <c r="I1049" s="32" t="n"/>
      <c r="J1049" s="32" t="n"/>
      <c r="K1049" s="36">
        <f>IF(E1049&lt;&gt;"",E1049,IF(AND(F1049&lt;&gt;"",G1049&lt;&gt;""),MOD(G1049-F1049,1)*24,""))</f>
        <v/>
      </c>
      <c r="L1049" s="37">
        <f>IF(A1049="","",CHOOSE(WEEKDAY(A1049,2),"Montag","Dienstag","Mittwoch","Donnerstag","Freitag","Samstag","Sonntag"))</f>
        <v/>
      </c>
      <c r="M1049" s="37">
        <f>IF(A1049="","",_xlfn.ISOWEEKNUM(A1049))</f>
        <v/>
      </c>
      <c r="N1049" s="38">
        <f>IF(A1049="","",DATE(YEAR(A1049),MONTH(A1049),1))</f>
        <v/>
      </c>
    </row>
    <row r="1050">
      <c r="A1050" s="31" t="n"/>
      <c r="B1050" s="32" t="n"/>
      <c r="C1050" s="32" t="n"/>
      <c r="D1050" s="33" t="n"/>
      <c r="E1050" s="34" t="n"/>
      <c r="F1050" s="35" t="n"/>
      <c r="G1050" s="35" t="n"/>
      <c r="H1050" s="32" t="n"/>
      <c r="I1050" s="32" t="n"/>
      <c r="J1050" s="32" t="n"/>
      <c r="K1050" s="36">
        <f>IF(E1050&lt;&gt;"",E1050,IF(AND(F1050&lt;&gt;"",G1050&lt;&gt;""),MOD(G1050-F1050,1)*24,""))</f>
        <v/>
      </c>
      <c r="L1050" s="37">
        <f>IF(A1050="","",CHOOSE(WEEKDAY(A1050,2),"Montag","Dienstag","Mittwoch","Donnerstag","Freitag","Samstag","Sonntag"))</f>
        <v/>
      </c>
      <c r="M1050" s="37">
        <f>IF(A1050="","",_xlfn.ISOWEEKNUM(A1050))</f>
        <v/>
      </c>
      <c r="N1050" s="38">
        <f>IF(A1050="","",DATE(YEAR(A1050),MONTH(A1050),1))</f>
        <v/>
      </c>
    </row>
    <row r="1051">
      <c r="A1051" s="31" t="n"/>
      <c r="B1051" s="32" t="n"/>
      <c r="C1051" s="32" t="n"/>
      <c r="D1051" s="33" t="n"/>
      <c r="E1051" s="34" t="n"/>
      <c r="F1051" s="35" t="n"/>
      <c r="G1051" s="35" t="n"/>
      <c r="H1051" s="32" t="n"/>
      <c r="I1051" s="32" t="n"/>
      <c r="J1051" s="32" t="n"/>
      <c r="K1051" s="36">
        <f>IF(E1051&lt;&gt;"",E1051,IF(AND(F1051&lt;&gt;"",G1051&lt;&gt;""),MOD(G1051-F1051,1)*24,""))</f>
        <v/>
      </c>
      <c r="L1051" s="37">
        <f>IF(A1051="","",CHOOSE(WEEKDAY(A1051,2),"Montag","Dienstag","Mittwoch","Donnerstag","Freitag","Samstag","Sonntag"))</f>
        <v/>
      </c>
      <c r="M1051" s="37">
        <f>IF(A1051="","",_xlfn.ISOWEEKNUM(A1051))</f>
        <v/>
      </c>
      <c r="N1051" s="38">
        <f>IF(A1051="","",DATE(YEAR(A1051),MONTH(A1051),1))</f>
        <v/>
      </c>
    </row>
    <row r="1052">
      <c r="A1052" s="31" t="n"/>
      <c r="B1052" s="32" t="n"/>
      <c r="C1052" s="32" t="n"/>
      <c r="D1052" s="33" t="n"/>
      <c r="E1052" s="34" t="n"/>
      <c r="F1052" s="35" t="n"/>
      <c r="G1052" s="35" t="n"/>
      <c r="H1052" s="32" t="n"/>
      <c r="I1052" s="32" t="n"/>
      <c r="J1052" s="32" t="n"/>
      <c r="K1052" s="36">
        <f>IF(E1052&lt;&gt;"",E1052,IF(AND(F1052&lt;&gt;"",G1052&lt;&gt;""),MOD(G1052-F1052,1)*24,""))</f>
        <v/>
      </c>
      <c r="L1052" s="37">
        <f>IF(A1052="","",CHOOSE(WEEKDAY(A1052,2),"Montag","Dienstag","Mittwoch","Donnerstag","Freitag","Samstag","Sonntag"))</f>
        <v/>
      </c>
      <c r="M1052" s="37">
        <f>IF(A1052="","",_xlfn.ISOWEEKNUM(A1052))</f>
        <v/>
      </c>
      <c r="N1052" s="38">
        <f>IF(A1052="","",DATE(YEAR(A1052),MONTH(A1052),1))</f>
        <v/>
      </c>
    </row>
    <row r="1053">
      <c r="A1053" s="31" t="n"/>
      <c r="B1053" s="32" t="n"/>
      <c r="C1053" s="32" t="n"/>
      <c r="D1053" s="33" t="n"/>
      <c r="E1053" s="34" t="n"/>
      <c r="F1053" s="35" t="n"/>
      <c r="G1053" s="35" t="n"/>
      <c r="H1053" s="32" t="n"/>
      <c r="I1053" s="32" t="n"/>
      <c r="J1053" s="32" t="n"/>
      <c r="K1053" s="36">
        <f>IF(E1053&lt;&gt;"",E1053,IF(AND(F1053&lt;&gt;"",G1053&lt;&gt;""),MOD(G1053-F1053,1)*24,""))</f>
        <v/>
      </c>
      <c r="L1053" s="37">
        <f>IF(A1053="","",CHOOSE(WEEKDAY(A1053,2),"Montag","Dienstag","Mittwoch","Donnerstag","Freitag","Samstag","Sonntag"))</f>
        <v/>
      </c>
      <c r="M1053" s="37">
        <f>IF(A1053="","",_xlfn.ISOWEEKNUM(A1053))</f>
        <v/>
      </c>
      <c r="N1053" s="38">
        <f>IF(A1053="","",DATE(YEAR(A1053),MONTH(A1053),1))</f>
        <v/>
      </c>
    </row>
    <row r="1054">
      <c r="A1054" s="31" t="n"/>
      <c r="B1054" s="32" t="n"/>
      <c r="C1054" s="32" t="n"/>
      <c r="D1054" s="33" t="n"/>
      <c r="E1054" s="34" t="n"/>
      <c r="F1054" s="35" t="n"/>
      <c r="G1054" s="35" t="n"/>
      <c r="H1054" s="32" t="n"/>
      <c r="I1054" s="32" t="n"/>
      <c r="J1054" s="32" t="n"/>
      <c r="K1054" s="36">
        <f>IF(E1054&lt;&gt;"",E1054,IF(AND(F1054&lt;&gt;"",G1054&lt;&gt;""),MOD(G1054-F1054,1)*24,""))</f>
        <v/>
      </c>
      <c r="L1054" s="37">
        <f>IF(A1054="","",CHOOSE(WEEKDAY(A1054,2),"Montag","Dienstag","Mittwoch","Donnerstag","Freitag","Samstag","Sonntag"))</f>
        <v/>
      </c>
      <c r="M1054" s="37">
        <f>IF(A1054="","",_xlfn.ISOWEEKNUM(A1054))</f>
        <v/>
      </c>
      <c r="N1054" s="38">
        <f>IF(A1054="","",DATE(YEAR(A1054),MONTH(A1054),1))</f>
        <v/>
      </c>
    </row>
    <row r="1055">
      <c r="A1055" s="31" t="n"/>
      <c r="B1055" s="32" t="n"/>
      <c r="C1055" s="32" t="n"/>
      <c r="D1055" s="33" t="n"/>
      <c r="E1055" s="34" t="n"/>
      <c r="F1055" s="35" t="n"/>
      <c r="G1055" s="35" t="n"/>
      <c r="H1055" s="32" t="n"/>
      <c r="I1055" s="32" t="n"/>
      <c r="J1055" s="32" t="n"/>
      <c r="K1055" s="36">
        <f>IF(E1055&lt;&gt;"",E1055,IF(AND(F1055&lt;&gt;"",G1055&lt;&gt;""),MOD(G1055-F1055,1)*24,""))</f>
        <v/>
      </c>
      <c r="L1055" s="37">
        <f>IF(A1055="","",CHOOSE(WEEKDAY(A1055,2),"Montag","Dienstag","Mittwoch","Donnerstag","Freitag","Samstag","Sonntag"))</f>
        <v/>
      </c>
      <c r="M1055" s="37">
        <f>IF(A1055="","",_xlfn.ISOWEEKNUM(A1055))</f>
        <v/>
      </c>
      <c r="N1055" s="38">
        <f>IF(A1055="","",DATE(YEAR(A1055),MONTH(A1055),1))</f>
        <v/>
      </c>
    </row>
    <row r="1056">
      <c r="A1056" s="31" t="n"/>
      <c r="B1056" s="32" t="n"/>
      <c r="C1056" s="32" t="n"/>
      <c r="D1056" s="33" t="n"/>
      <c r="E1056" s="34" t="n"/>
      <c r="F1056" s="35" t="n"/>
      <c r="G1056" s="35" t="n"/>
      <c r="H1056" s="32" t="n"/>
      <c r="I1056" s="32" t="n"/>
      <c r="J1056" s="32" t="n"/>
      <c r="K1056" s="36">
        <f>IF(E1056&lt;&gt;"",E1056,IF(AND(F1056&lt;&gt;"",G1056&lt;&gt;""),MOD(G1056-F1056,1)*24,""))</f>
        <v/>
      </c>
      <c r="L1056" s="37">
        <f>IF(A1056="","",CHOOSE(WEEKDAY(A1056,2),"Montag","Dienstag","Mittwoch","Donnerstag","Freitag","Samstag","Sonntag"))</f>
        <v/>
      </c>
      <c r="M1056" s="37">
        <f>IF(A1056="","",_xlfn.ISOWEEKNUM(A1056))</f>
        <v/>
      </c>
      <c r="N1056" s="38">
        <f>IF(A1056="","",DATE(YEAR(A1056),MONTH(A1056),1))</f>
        <v/>
      </c>
    </row>
    <row r="1057">
      <c r="A1057" s="31" t="n"/>
      <c r="B1057" s="32" t="n"/>
      <c r="C1057" s="32" t="n"/>
      <c r="D1057" s="33" t="n"/>
      <c r="E1057" s="34" t="n"/>
      <c r="F1057" s="35" t="n"/>
      <c r="G1057" s="35" t="n"/>
      <c r="H1057" s="32" t="n"/>
      <c r="I1057" s="32" t="n"/>
      <c r="J1057" s="32" t="n"/>
      <c r="K1057" s="36">
        <f>IF(E1057&lt;&gt;"",E1057,IF(AND(F1057&lt;&gt;"",G1057&lt;&gt;""),MOD(G1057-F1057,1)*24,""))</f>
        <v/>
      </c>
      <c r="L1057" s="37">
        <f>IF(A1057="","",CHOOSE(WEEKDAY(A1057,2),"Montag","Dienstag","Mittwoch","Donnerstag","Freitag","Samstag","Sonntag"))</f>
        <v/>
      </c>
      <c r="M1057" s="37">
        <f>IF(A1057="","",_xlfn.ISOWEEKNUM(A1057))</f>
        <v/>
      </c>
      <c r="N1057" s="38">
        <f>IF(A1057="","",DATE(YEAR(A1057),MONTH(A1057),1))</f>
        <v/>
      </c>
    </row>
    <row r="1058">
      <c r="A1058" s="31" t="n"/>
      <c r="B1058" s="32" t="n"/>
      <c r="C1058" s="32" t="n"/>
      <c r="D1058" s="33" t="n"/>
      <c r="E1058" s="34" t="n"/>
      <c r="F1058" s="35" t="n"/>
      <c r="G1058" s="35" t="n"/>
      <c r="H1058" s="32" t="n"/>
      <c r="I1058" s="32" t="n"/>
      <c r="J1058" s="32" t="n"/>
      <c r="K1058" s="36">
        <f>IF(E1058&lt;&gt;"",E1058,IF(AND(F1058&lt;&gt;"",G1058&lt;&gt;""),MOD(G1058-F1058,1)*24,""))</f>
        <v/>
      </c>
      <c r="L1058" s="37">
        <f>IF(A1058="","",CHOOSE(WEEKDAY(A1058,2),"Montag","Dienstag","Mittwoch","Donnerstag","Freitag","Samstag","Sonntag"))</f>
        <v/>
      </c>
      <c r="M1058" s="37">
        <f>IF(A1058="","",_xlfn.ISOWEEKNUM(A1058))</f>
        <v/>
      </c>
      <c r="N1058" s="38">
        <f>IF(A1058="","",DATE(YEAR(A1058),MONTH(A1058),1))</f>
        <v/>
      </c>
    </row>
    <row r="1059">
      <c r="A1059" s="31" t="n"/>
      <c r="B1059" s="32" t="n"/>
      <c r="C1059" s="32" t="n"/>
      <c r="D1059" s="33" t="n"/>
      <c r="E1059" s="34" t="n"/>
      <c r="F1059" s="35" t="n"/>
      <c r="G1059" s="35" t="n"/>
      <c r="H1059" s="32" t="n"/>
      <c r="I1059" s="32" t="n"/>
      <c r="J1059" s="32" t="n"/>
      <c r="K1059" s="36">
        <f>IF(E1059&lt;&gt;"",E1059,IF(AND(F1059&lt;&gt;"",G1059&lt;&gt;""),MOD(G1059-F1059,1)*24,""))</f>
        <v/>
      </c>
      <c r="L1059" s="37">
        <f>IF(A1059="","",CHOOSE(WEEKDAY(A1059,2),"Montag","Dienstag","Mittwoch","Donnerstag","Freitag","Samstag","Sonntag"))</f>
        <v/>
      </c>
      <c r="M1059" s="37">
        <f>IF(A1059="","",_xlfn.ISOWEEKNUM(A1059))</f>
        <v/>
      </c>
      <c r="N1059" s="38">
        <f>IF(A1059="","",DATE(YEAR(A1059),MONTH(A1059),1))</f>
        <v/>
      </c>
    </row>
    <row r="1060">
      <c r="A1060" s="31" t="n"/>
      <c r="B1060" s="32" t="n"/>
      <c r="C1060" s="32" t="n"/>
      <c r="D1060" s="33" t="n"/>
      <c r="E1060" s="34" t="n"/>
      <c r="F1060" s="35" t="n"/>
      <c r="G1060" s="35" t="n"/>
      <c r="H1060" s="32" t="n"/>
      <c r="I1060" s="32" t="n"/>
      <c r="J1060" s="32" t="n"/>
      <c r="K1060" s="36">
        <f>IF(E1060&lt;&gt;"",E1060,IF(AND(F1060&lt;&gt;"",G1060&lt;&gt;""),MOD(G1060-F1060,1)*24,""))</f>
        <v/>
      </c>
      <c r="L1060" s="37">
        <f>IF(A1060="","",CHOOSE(WEEKDAY(A1060,2),"Montag","Dienstag","Mittwoch","Donnerstag","Freitag","Samstag","Sonntag"))</f>
        <v/>
      </c>
      <c r="M1060" s="37">
        <f>IF(A1060="","",_xlfn.ISOWEEKNUM(A1060))</f>
        <v/>
      </c>
      <c r="N1060" s="38">
        <f>IF(A1060="","",DATE(YEAR(A1060),MONTH(A1060),1))</f>
        <v/>
      </c>
    </row>
    <row r="1061">
      <c r="A1061" s="31" t="n"/>
      <c r="B1061" s="32" t="n"/>
      <c r="C1061" s="32" t="n"/>
      <c r="D1061" s="33" t="n"/>
      <c r="E1061" s="34" t="n"/>
      <c r="F1061" s="35" t="n"/>
      <c r="G1061" s="35" t="n"/>
      <c r="H1061" s="32" t="n"/>
      <c r="I1061" s="32" t="n"/>
      <c r="J1061" s="32" t="n"/>
      <c r="K1061" s="36">
        <f>IF(E1061&lt;&gt;"",E1061,IF(AND(F1061&lt;&gt;"",G1061&lt;&gt;""),MOD(G1061-F1061,1)*24,""))</f>
        <v/>
      </c>
      <c r="L1061" s="37">
        <f>IF(A1061="","",CHOOSE(WEEKDAY(A1061,2),"Montag","Dienstag","Mittwoch","Donnerstag","Freitag","Samstag","Sonntag"))</f>
        <v/>
      </c>
      <c r="M1061" s="37">
        <f>IF(A1061="","",_xlfn.ISOWEEKNUM(A1061))</f>
        <v/>
      </c>
      <c r="N1061" s="38">
        <f>IF(A1061="","",DATE(YEAR(A1061),MONTH(A1061),1))</f>
        <v/>
      </c>
    </row>
    <row r="1062">
      <c r="A1062" s="31" t="n"/>
      <c r="B1062" s="32" t="n"/>
      <c r="C1062" s="32" t="n"/>
      <c r="D1062" s="33" t="n"/>
      <c r="E1062" s="34" t="n"/>
      <c r="F1062" s="35" t="n"/>
      <c r="G1062" s="35" t="n"/>
      <c r="H1062" s="32" t="n"/>
      <c r="I1062" s="32" t="n"/>
      <c r="J1062" s="32" t="n"/>
      <c r="K1062" s="36">
        <f>IF(E1062&lt;&gt;"",E1062,IF(AND(F1062&lt;&gt;"",G1062&lt;&gt;""),MOD(G1062-F1062,1)*24,""))</f>
        <v/>
      </c>
      <c r="L1062" s="37">
        <f>IF(A1062="","",CHOOSE(WEEKDAY(A1062,2),"Montag","Dienstag","Mittwoch","Donnerstag","Freitag","Samstag","Sonntag"))</f>
        <v/>
      </c>
      <c r="M1062" s="37">
        <f>IF(A1062="","",_xlfn.ISOWEEKNUM(A1062))</f>
        <v/>
      </c>
      <c r="N1062" s="38">
        <f>IF(A1062="","",DATE(YEAR(A1062),MONTH(A1062),1))</f>
        <v/>
      </c>
    </row>
    <row r="1063">
      <c r="A1063" s="31" t="n"/>
      <c r="B1063" s="32" t="n"/>
      <c r="C1063" s="32" t="n"/>
      <c r="D1063" s="33" t="n"/>
      <c r="E1063" s="34" t="n"/>
      <c r="F1063" s="35" t="n"/>
      <c r="G1063" s="35" t="n"/>
      <c r="H1063" s="32" t="n"/>
      <c r="I1063" s="32" t="n"/>
      <c r="J1063" s="32" t="n"/>
      <c r="K1063" s="36">
        <f>IF(E1063&lt;&gt;"",E1063,IF(AND(F1063&lt;&gt;"",G1063&lt;&gt;""),MOD(G1063-F1063,1)*24,""))</f>
        <v/>
      </c>
      <c r="L1063" s="37">
        <f>IF(A1063="","",CHOOSE(WEEKDAY(A1063,2),"Montag","Dienstag","Mittwoch","Donnerstag","Freitag","Samstag","Sonntag"))</f>
        <v/>
      </c>
      <c r="M1063" s="37">
        <f>IF(A1063="","",_xlfn.ISOWEEKNUM(A1063))</f>
        <v/>
      </c>
      <c r="N1063" s="38">
        <f>IF(A1063="","",DATE(YEAR(A1063),MONTH(A1063),1))</f>
        <v/>
      </c>
    </row>
    <row r="1064">
      <c r="A1064" s="31" t="n"/>
      <c r="B1064" s="32" t="n"/>
      <c r="C1064" s="32" t="n"/>
      <c r="D1064" s="33" t="n"/>
      <c r="E1064" s="34" t="n"/>
      <c r="F1064" s="35" t="n"/>
      <c r="G1064" s="35" t="n"/>
      <c r="H1064" s="32" t="n"/>
      <c r="I1064" s="32" t="n"/>
      <c r="J1064" s="32" t="n"/>
      <c r="K1064" s="36">
        <f>IF(E1064&lt;&gt;"",E1064,IF(AND(F1064&lt;&gt;"",G1064&lt;&gt;""),MOD(G1064-F1064,1)*24,""))</f>
        <v/>
      </c>
      <c r="L1064" s="37">
        <f>IF(A1064="","",CHOOSE(WEEKDAY(A1064,2),"Montag","Dienstag","Mittwoch","Donnerstag","Freitag","Samstag","Sonntag"))</f>
        <v/>
      </c>
      <c r="M1064" s="37">
        <f>IF(A1064="","",_xlfn.ISOWEEKNUM(A1064))</f>
        <v/>
      </c>
      <c r="N1064" s="38">
        <f>IF(A1064="","",DATE(YEAR(A1064),MONTH(A1064),1))</f>
        <v/>
      </c>
    </row>
    <row r="1065">
      <c r="A1065" s="31" t="n"/>
      <c r="B1065" s="32" t="n"/>
      <c r="C1065" s="32" t="n"/>
      <c r="D1065" s="33" t="n"/>
      <c r="E1065" s="34" t="n"/>
      <c r="F1065" s="35" t="n"/>
      <c r="G1065" s="35" t="n"/>
      <c r="H1065" s="32" t="n"/>
      <c r="I1065" s="32" t="n"/>
      <c r="J1065" s="32" t="n"/>
      <c r="K1065" s="36">
        <f>IF(E1065&lt;&gt;"",E1065,IF(AND(F1065&lt;&gt;"",G1065&lt;&gt;""),MOD(G1065-F1065,1)*24,""))</f>
        <v/>
      </c>
      <c r="L1065" s="37">
        <f>IF(A1065="","",CHOOSE(WEEKDAY(A1065,2),"Montag","Dienstag","Mittwoch","Donnerstag","Freitag","Samstag","Sonntag"))</f>
        <v/>
      </c>
      <c r="M1065" s="37">
        <f>IF(A1065="","",_xlfn.ISOWEEKNUM(A1065))</f>
        <v/>
      </c>
      <c r="N1065" s="38">
        <f>IF(A1065="","",DATE(YEAR(A1065),MONTH(A1065),1))</f>
        <v/>
      </c>
    </row>
    <row r="1066">
      <c r="A1066" s="31" t="n"/>
      <c r="B1066" s="32" t="n"/>
      <c r="C1066" s="32" t="n"/>
      <c r="D1066" s="33" t="n"/>
      <c r="E1066" s="34" t="n"/>
      <c r="F1066" s="35" t="n"/>
      <c r="G1066" s="35" t="n"/>
      <c r="H1066" s="32" t="n"/>
      <c r="I1066" s="32" t="n"/>
      <c r="J1066" s="32" t="n"/>
      <c r="K1066" s="36">
        <f>IF(E1066&lt;&gt;"",E1066,IF(AND(F1066&lt;&gt;"",G1066&lt;&gt;""),MOD(G1066-F1066,1)*24,""))</f>
        <v/>
      </c>
      <c r="L1066" s="37">
        <f>IF(A1066="","",CHOOSE(WEEKDAY(A1066,2),"Montag","Dienstag","Mittwoch","Donnerstag","Freitag","Samstag","Sonntag"))</f>
        <v/>
      </c>
      <c r="M1066" s="37">
        <f>IF(A1066="","",_xlfn.ISOWEEKNUM(A1066))</f>
        <v/>
      </c>
      <c r="N1066" s="38">
        <f>IF(A1066="","",DATE(YEAR(A1066),MONTH(A1066),1))</f>
        <v/>
      </c>
    </row>
    <row r="1067">
      <c r="A1067" s="31" t="n"/>
      <c r="B1067" s="32" t="n"/>
      <c r="C1067" s="32" t="n"/>
      <c r="D1067" s="33" t="n"/>
      <c r="E1067" s="34" t="n"/>
      <c r="F1067" s="35" t="n"/>
      <c r="G1067" s="35" t="n"/>
      <c r="H1067" s="32" t="n"/>
      <c r="I1067" s="32" t="n"/>
      <c r="J1067" s="32" t="n"/>
      <c r="K1067" s="36">
        <f>IF(E1067&lt;&gt;"",E1067,IF(AND(F1067&lt;&gt;"",G1067&lt;&gt;""),MOD(G1067-F1067,1)*24,""))</f>
        <v/>
      </c>
      <c r="L1067" s="37">
        <f>IF(A1067="","",CHOOSE(WEEKDAY(A1067,2),"Montag","Dienstag","Mittwoch","Donnerstag","Freitag","Samstag","Sonntag"))</f>
        <v/>
      </c>
      <c r="M1067" s="37">
        <f>IF(A1067="","",_xlfn.ISOWEEKNUM(A1067))</f>
        <v/>
      </c>
      <c r="N1067" s="38">
        <f>IF(A1067="","",DATE(YEAR(A1067),MONTH(A1067),1))</f>
        <v/>
      </c>
    </row>
    <row r="1068">
      <c r="A1068" s="31" t="n"/>
      <c r="B1068" s="32" t="n"/>
      <c r="C1068" s="32" t="n"/>
      <c r="D1068" s="33" t="n"/>
      <c r="E1068" s="34" t="n"/>
      <c r="F1068" s="35" t="n"/>
      <c r="G1068" s="35" t="n"/>
      <c r="H1068" s="32" t="n"/>
      <c r="I1068" s="32" t="n"/>
      <c r="J1068" s="32" t="n"/>
      <c r="K1068" s="36">
        <f>IF(E1068&lt;&gt;"",E1068,IF(AND(F1068&lt;&gt;"",G1068&lt;&gt;""),MOD(G1068-F1068,1)*24,""))</f>
        <v/>
      </c>
      <c r="L1068" s="37">
        <f>IF(A1068="","",CHOOSE(WEEKDAY(A1068,2),"Montag","Dienstag","Mittwoch","Donnerstag","Freitag","Samstag","Sonntag"))</f>
        <v/>
      </c>
      <c r="M1068" s="37">
        <f>IF(A1068="","",_xlfn.ISOWEEKNUM(A1068))</f>
        <v/>
      </c>
      <c r="N1068" s="38">
        <f>IF(A1068="","",DATE(YEAR(A1068),MONTH(A1068),1))</f>
        <v/>
      </c>
    </row>
    <row r="1069">
      <c r="A1069" s="31" t="n"/>
      <c r="B1069" s="32" t="n"/>
      <c r="C1069" s="32" t="n"/>
      <c r="D1069" s="33" t="n"/>
      <c r="E1069" s="34" t="n"/>
      <c r="F1069" s="35" t="n"/>
      <c r="G1069" s="35" t="n"/>
      <c r="H1069" s="32" t="n"/>
      <c r="I1069" s="32" t="n"/>
      <c r="J1069" s="32" t="n"/>
      <c r="K1069" s="36">
        <f>IF(E1069&lt;&gt;"",E1069,IF(AND(F1069&lt;&gt;"",G1069&lt;&gt;""),MOD(G1069-F1069,1)*24,""))</f>
        <v/>
      </c>
      <c r="L1069" s="37">
        <f>IF(A1069="","",CHOOSE(WEEKDAY(A1069,2),"Montag","Dienstag","Mittwoch","Donnerstag","Freitag","Samstag","Sonntag"))</f>
        <v/>
      </c>
      <c r="M1069" s="37">
        <f>IF(A1069="","",_xlfn.ISOWEEKNUM(A1069))</f>
        <v/>
      </c>
      <c r="N1069" s="38">
        <f>IF(A1069="","",DATE(YEAR(A1069),MONTH(A1069),1))</f>
        <v/>
      </c>
    </row>
    <row r="1070">
      <c r="A1070" s="31" t="n"/>
      <c r="B1070" s="32" t="n"/>
      <c r="C1070" s="32" t="n"/>
      <c r="D1070" s="33" t="n"/>
      <c r="E1070" s="34" t="n"/>
      <c r="F1070" s="35" t="n"/>
      <c r="G1070" s="35" t="n"/>
      <c r="H1070" s="32" t="n"/>
      <c r="I1070" s="32" t="n"/>
      <c r="J1070" s="32" t="n"/>
      <c r="K1070" s="36">
        <f>IF(E1070&lt;&gt;"",E1070,IF(AND(F1070&lt;&gt;"",G1070&lt;&gt;""),MOD(G1070-F1070,1)*24,""))</f>
        <v/>
      </c>
      <c r="L1070" s="37">
        <f>IF(A1070="","",CHOOSE(WEEKDAY(A1070,2),"Montag","Dienstag","Mittwoch","Donnerstag","Freitag","Samstag","Sonntag"))</f>
        <v/>
      </c>
      <c r="M1070" s="37">
        <f>IF(A1070="","",_xlfn.ISOWEEKNUM(A1070))</f>
        <v/>
      </c>
      <c r="N1070" s="38">
        <f>IF(A1070="","",DATE(YEAR(A1070),MONTH(A1070),1))</f>
        <v/>
      </c>
    </row>
    <row r="1071">
      <c r="A1071" s="31" t="n"/>
      <c r="B1071" s="32" t="n"/>
      <c r="C1071" s="32" t="n"/>
      <c r="D1071" s="33" t="n"/>
      <c r="E1071" s="34" t="n"/>
      <c r="F1071" s="35" t="n"/>
      <c r="G1071" s="35" t="n"/>
      <c r="H1071" s="32" t="n"/>
      <c r="I1071" s="32" t="n"/>
      <c r="J1071" s="32" t="n"/>
      <c r="K1071" s="36">
        <f>IF(E1071&lt;&gt;"",E1071,IF(AND(F1071&lt;&gt;"",G1071&lt;&gt;""),MOD(G1071-F1071,1)*24,""))</f>
        <v/>
      </c>
      <c r="L1071" s="37">
        <f>IF(A1071="","",CHOOSE(WEEKDAY(A1071,2),"Montag","Dienstag","Mittwoch","Donnerstag","Freitag","Samstag","Sonntag"))</f>
        <v/>
      </c>
      <c r="M1071" s="37">
        <f>IF(A1071="","",_xlfn.ISOWEEKNUM(A1071))</f>
        <v/>
      </c>
      <c r="N1071" s="38">
        <f>IF(A1071="","",DATE(YEAR(A1071),MONTH(A1071),1))</f>
        <v/>
      </c>
    </row>
    <row r="1072">
      <c r="A1072" s="31" t="n"/>
      <c r="B1072" s="32" t="n"/>
      <c r="C1072" s="32" t="n"/>
      <c r="D1072" s="33" t="n"/>
      <c r="E1072" s="34" t="n"/>
      <c r="F1072" s="35" t="n"/>
      <c r="G1072" s="35" t="n"/>
      <c r="H1072" s="32" t="n"/>
      <c r="I1072" s="32" t="n"/>
      <c r="J1072" s="32" t="n"/>
      <c r="K1072" s="36">
        <f>IF(E1072&lt;&gt;"",E1072,IF(AND(F1072&lt;&gt;"",G1072&lt;&gt;""),MOD(G1072-F1072,1)*24,""))</f>
        <v/>
      </c>
      <c r="L1072" s="37">
        <f>IF(A1072="","",CHOOSE(WEEKDAY(A1072,2),"Montag","Dienstag","Mittwoch","Donnerstag","Freitag","Samstag","Sonntag"))</f>
        <v/>
      </c>
      <c r="M1072" s="37">
        <f>IF(A1072="","",_xlfn.ISOWEEKNUM(A1072))</f>
        <v/>
      </c>
      <c r="N1072" s="38">
        <f>IF(A1072="","",DATE(YEAR(A1072),MONTH(A1072),1))</f>
        <v/>
      </c>
    </row>
    <row r="1073">
      <c r="A1073" s="31" t="n"/>
      <c r="B1073" s="32" t="n"/>
      <c r="C1073" s="32" t="n"/>
      <c r="D1073" s="33" t="n"/>
      <c r="E1073" s="34" t="n"/>
      <c r="F1073" s="35" t="n"/>
      <c r="G1073" s="35" t="n"/>
      <c r="H1073" s="32" t="n"/>
      <c r="I1073" s="32" t="n"/>
      <c r="J1073" s="32" t="n"/>
      <c r="K1073" s="36">
        <f>IF(E1073&lt;&gt;"",E1073,IF(AND(F1073&lt;&gt;"",G1073&lt;&gt;""),MOD(G1073-F1073,1)*24,""))</f>
        <v/>
      </c>
      <c r="L1073" s="37">
        <f>IF(A1073="","",CHOOSE(WEEKDAY(A1073,2),"Montag","Dienstag","Mittwoch","Donnerstag","Freitag","Samstag","Sonntag"))</f>
        <v/>
      </c>
      <c r="M1073" s="37">
        <f>IF(A1073="","",_xlfn.ISOWEEKNUM(A1073))</f>
        <v/>
      </c>
      <c r="N1073" s="38">
        <f>IF(A1073="","",DATE(YEAR(A1073),MONTH(A1073),1))</f>
        <v/>
      </c>
    </row>
    <row r="1074">
      <c r="A1074" s="31" t="n"/>
      <c r="B1074" s="32" t="n"/>
      <c r="C1074" s="32" t="n"/>
      <c r="D1074" s="33" t="n"/>
      <c r="E1074" s="34" t="n"/>
      <c r="F1074" s="35" t="n"/>
      <c r="G1074" s="35" t="n"/>
      <c r="H1074" s="32" t="n"/>
      <c r="I1074" s="32" t="n"/>
      <c r="J1074" s="32" t="n"/>
      <c r="K1074" s="36">
        <f>IF(E1074&lt;&gt;"",E1074,IF(AND(F1074&lt;&gt;"",G1074&lt;&gt;""),MOD(G1074-F1074,1)*24,""))</f>
        <v/>
      </c>
      <c r="L1074" s="37">
        <f>IF(A1074="","",CHOOSE(WEEKDAY(A1074,2),"Montag","Dienstag","Mittwoch","Donnerstag","Freitag","Samstag","Sonntag"))</f>
        <v/>
      </c>
      <c r="M1074" s="37">
        <f>IF(A1074="","",_xlfn.ISOWEEKNUM(A1074))</f>
        <v/>
      </c>
      <c r="N1074" s="38">
        <f>IF(A1074="","",DATE(YEAR(A1074),MONTH(A1074),1))</f>
        <v/>
      </c>
    </row>
    <row r="1075">
      <c r="A1075" s="31" t="n"/>
      <c r="B1075" s="32" t="n"/>
      <c r="C1075" s="32" t="n"/>
      <c r="D1075" s="33" t="n"/>
      <c r="E1075" s="34" t="n"/>
      <c r="F1075" s="35" t="n"/>
      <c r="G1075" s="35" t="n"/>
      <c r="H1075" s="32" t="n"/>
      <c r="I1075" s="32" t="n"/>
      <c r="J1075" s="32" t="n"/>
      <c r="K1075" s="36">
        <f>IF(E1075&lt;&gt;"",E1075,IF(AND(F1075&lt;&gt;"",G1075&lt;&gt;""),MOD(G1075-F1075,1)*24,""))</f>
        <v/>
      </c>
      <c r="L1075" s="37">
        <f>IF(A1075="","",CHOOSE(WEEKDAY(A1075,2),"Montag","Dienstag","Mittwoch","Donnerstag","Freitag","Samstag","Sonntag"))</f>
        <v/>
      </c>
      <c r="M1075" s="37">
        <f>IF(A1075="","",_xlfn.ISOWEEKNUM(A1075))</f>
        <v/>
      </c>
      <c r="N1075" s="38">
        <f>IF(A1075="","",DATE(YEAR(A1075),MONTH(A1075),1))</f>
        <v/>
      </c>
    </row>
    <row r="1076">
      <c r="A1076" s="31" t="n"/>
      <c r="B1076" s="32" t="n"/>
      <c r="C1076" s="32" t="n"/>
      <c r="D1076" s="33" t="n"/>
      <c r="E1076" s="34" t="n"/>
      <c r="F1076" s="35" t="n"/>
      <c r="G1076" s="35" t="n"/>
      <c r="H1076" s="32" t="n"/>
      <c r="I1076" s="32" t="n"/>
      <c r="J1076" s="32" t="n"/>
      <c r="K1076" s="36">
        <f>IF(E1076&lt;&gt;"",E1076,IF(AND(F1076&lt;&gt;"",G1076&lt;&gt;""),MOD(G1076-F1076,1)*24,""))</f>
        <v/>
      </c>
      <c r="L1076" s="37">
        <f>IF(A1076="","",CHOOSE(WEEKDAY(A1076,2),"Montag","Dienstag","Mittwoch","Donnerstag","Freitag","Samstag","Sonntag"))</f>
        <v/>
      </c>
      <c r="M1076" s="37">
        <f>IF(A1076="","",_xlfn.ISOWEEKNUM(A1076))</f>
        <v/>
      </c>
      <c r="N1076" s="38">
        <f>IF(A1076="","",DATE(YEAR(A1076),MONTH(A1076),1))</f>
        <v/>
      </c>
    </row>
    <row r="1077">
      <c r="A1077" s="31" t="n"/>
      <c r="B1077" s="32" t="n"/>
      <c r="C1077" s="32" t="n"/>
      <c r="D1077" s="33" t="n"/>
      <c r="E1077" s="34" t="n"/>
      <c r="F1077" s="35" t="n"/>
      <c r="G1077" s="35" t="n"/>
      <c r="H1077" s="32" t="n"/>
      <c r="I1077" s="32" t="n"/>
      <c r="J1077" s="32" t="n"/>
      <c r="K1077" s="36">
        <f>IF(E1077&lt;&gt;"",E1077,IF(AND(F1077&lt;&gt;"",G1077&lt;&gt;""),MOD(G1077-F1077,1)*24,""))</f>
        <v/>
      </c>
      <c r="L1077" s="37">
        <f>IF(A1077="","",CHOOSE(WEEKDAY(A1077,2),"Montag","Dienstag","Mittwoch","Donnerstag","Freitag","Samstag","Sonntag"))</f>
        <v/>
      </c>
      <c r="M1077" s="37">
        <f>IF(A1077="","",_xlfn.ISOWEEKNUM(A1077))</f>
        <v/>
      </c>
      <c r="N1077" s="38">
        <f>IF(A1077="","",DATE(YEAR(A1077),MONTH(A1077),1))</f>
        <v/>
      </c>
    </row>
    <row r="1078">
      <c r="A1078" s="31" t="n"/>
      <c r="B1078" s="32" t="n"/>
      <c r="C1078" s="32" t="n"/>
      <c r="D1078" s="33" t="n"/>
      <c r="E1078" s="34" t="n"/>
      <c r="F1078" s="35" t="n"/>
      <c r="G1078" s="35" t="n"/>
      <c r="H1078" s="32" t="n"/>
      <c r="I1078" s="32" t="n"/>
      <c r="J1078" s="32" t="n"/>
      <c r="K1078" s="36">
        <f>IF(E1078&lt;&gt;"",E1078,IF(AND(F1078&lt;&gt;"",G1078&lt;&gt;""),MOD(G1078-F1078,1)*24,""))</f>
        <v/>
      </c>
      <c r="L1078" s="37">
        <f>IF(A1078="","",CHOOSE(WEEKDAY(A1078,2),"Montag","Dienstag","Mittwoch","Donnerstag","Freitag","Samstag","Sonntag"))</f>
        <v/>
      </c>
      <c r="M1078" s="37">
        <f>IF(A1078="","",_xlfn.ISOWEEKNUM(A1078))</f>
        <v/>
      </c>
      <c r="N1078" s="38">
        <f>IF(A1078="","",DATE(YEAR(A1078),MONTH(A1078),1))</f>
        <v/>
      </c>
    </row>
    <row r="1079">
      <c r="A1079" s="31" t="n"/>
      <c r="B1079" s="32" t="n"/>
      <c r="C1079" s="32" t="n"/>
      <c r="D1079" s="33" t="n"/>
      <c r="E1079" s="34" t="n"/>
      <c r="F1079" s="35" t="n"/>
      <c r="G1079" s="35" t="n"/>
      <c r="H1079" s="32" t="n"/>
      <c r="I1079" s="32" t="n"/>
      <c r="J1079" s="32" t="n"/>
      <c r="K1079" s="36">
        <f>IF(E1079&lt;&gt;"",E1079,IF(AND(F1079&lt;&gt;"",G1079&lt;&gt;""),MOD(G1079-F1079,1)*24,""))</f>
        <v/>
      </c>
      <c r="L1079" s="37">
        <f>IF(A1079="","",CHOOSE(WEEKDAY(A1079,2),"Montag","Dienstag","Mittwoch","Donnerstag","Freitag","Samstag","Sonntag"))</f>
        <v/>
      </c>
      <c r="M1079" s="37">
        <f>IF(A1079="","",_xlfn.ISOWEEKNUM(A1079))</f>
        <v/>
      </c>
      <c r="N1079" s="38">
        <f>IF(A1079="","",DATE(YEAR(A1079),MONTH(A1079),1))</f>
        <v/>
      </c>
    </row>
    <row r="1080">
      <c r="A1080" s="31" t="n"/>
      <c r="B1080" s="32" t="n"/>
      <c r="C1080" s="32" t="n"/>
      <c r="D1080" s="33" t="n"/>
      <c r="E1080" s="34" t="n"/>
      <c r="F1080" s="35" t="n"/>
      <c r="G1080" s="35" t="n"/>
      <c r="H1080" s="32" t="n"/>
      <c r="I1080" s="32" t="n"/>
      <c r="J1080" s="32" t="n"/>
      <c r="K1080" s="36">
        <f>IF(E1080&lt;&gt;"",E1080,IF(AND(F1080&lt;&gt;"",G1080&lt;&gt;""),MOD(G1080-F1080,1)*24,""))</f>
        <v/>
      </c>
      <c r="L1080" s="37">
        <f>IF(A1080="","",CHOOSE(WEEKDAY(A1080,2),"Montag","Dienstag","Mittwoch","Donnerstag","Freitag","Samstag","Sonntag"))</f>
        <v/>
      </c>
      <c r="M1080" s="37">
        <f>IF(A1080="","",_xlfn.ISOWEEKNUM(A1080))</f>
        <v/>
      </c>
      <c r="N1080" s="38">
        <f>IF(A1080="","",DATE(YEAR(A1080),MONTH(A1080),1))</f>
        <v/>
      </c>
    </row>
    <row r="1081">
      <c r="A1081" s="31" t="n"/>
      <c r="B1081" s="32" t="n"/>
      <c r="C1081" s="32" t="n"/>
      <c r="D1081" s="33" t="n"/>
      <c r="E1081" s="34" t="n"/>
      <c r="F1081" s="35" t="n"/>
      <c r="G1081" s="35" t="n"/>
      <c r="H1081" s="32" t="n"/>
      <c r="I1081" s="32" t="n"/>
      <c r="J1081" s="32" t="n"/>
      <c r="K1081" s="36">
        <f>IF(E1081&lt;&gt;"",E1081,IF(AND(F1081&lt;&gt;"",G1081&lt;&gt;""),MOD(G1081-F1081,1)*24,""))</f>
        <v/>
      </c>
      <c r="L1081" s="37">
        <f>IF(A1081="","",CHOOSE(WEEKDAY(A1081,2),"Montag","Dienstag","Mittwoch","Donnerstag","Freitag","Samstag","Sonntag"))</f>
        <v/>
      </c>
      <c r="M1081" s="37">
        <f>IF(A1081="","",_xlfn.ISOWEEKNUM(A1081))</f>
        <v/>
      </c>
      <c r="N1081" s="38">
        <f>IF(A1081="","",DATE(YEAR(A1081),MONTH(A1081),1))</f>
        <v/>
      </c>
    </row>
    <row r="1082">
      <c r="A1082" s="31" t="n"/>
      <c r="B1082" s="32" t="n"/>
      <c r="C1082" s="32" t="n"/>
      <c r="D1082" s="33" t="n"/>
      <c r="E1082" s="34" t="n"/>
      <c r="F1082" s="35" t="n"/>
      <c r="G1082" s="35" t="n"/>
      <c r="H1082" s="32" t="n"/>
      <c r="I1082" s="32" t="n"/>
      <c r="J1082" s="32" t="n"/>
      <c r="K1082" s="36">
        <f>IF(E1082&lt;&gt;"",E1082,IF(AND(F1082&lt;&gt;"",G1082&lt;&gt;""),MOD(G1082-F1082,1)*24,""))</f>
        <v/>
      </c>
      <c r="L1082" s="37">
        <f>IF(A1082="","",CHOOSE(WEEKDAY(A1082,2),"Montag","Dienstag","Mittwoch","Donnerstag","Freitag","Samstag","Sonntag"))</f>
        <v/>
      </c>
      <c r="M1082" s="37">
        <f>IF(A1082="","",_xlfn.ISOWEEKNUM(A1082))</f>
        <v/>
      </c>
      <c r="N1082" s="38">
        <f>IF(A1082="","",DATE(YEAR(A1082),MONTH(A1082),1))</f>
        <v/>
      </c>
    </row>
    <row r="1083">
      <c r="A1083" s="31" t="n"/>
      <c r="B1083" s="32" t="n"/>
      <c r="C1083" s="32" t="n"/>
      <c r="D1083" s="33" t="n"/>
      <c r="E1083" s="34" t="n"/>
      <c r="F1083" s="35" t="n"/>
      <c r="G1083" s="35" t="n"/>
      <c r="H1083" s="32" t="n"/>
      <c r="I1083" s="32" t="n"/>
      <c r="J1083" s="32" t="n"/>
      <c r="K1083" s="36">
        <f>IF(E1083&lt;&gt;"",E1083,IF(AND(F1083&lt;&gt;"",G1083&lt;&gt;""),MOD(G1083-F1083,1)*24,""))</f>
        <v/>
      </c>
      <c r="L1083" s="37">
        <f>IF(A1083="","",CHOOSE(WEEKDAY(A1083,2),"Montag","Dienstag","Mittwoch","Donnerstag","Freitag","Samstag","Sonntag"))</f>
        <v/>
      </c>
      <c r="M1083" s="37">
        <f>IF(A1083="","",_xlfn.ISOWEEKNUM(A1083))</f>
        <v/>
      </c>
      <c r="N1083" s="38">
        <f>IF(A1083="","",DATE(YEAR(A1083),MONTH(A1083),1))</f>
        <v/>
      </c>
    </row>
    <row r="1084">
      <c r="A1084" s="31" t="n"/>
      <c r="B1084" s="32" t="n"/>
      <c r="C1084" s="32" t="n"/>
      <c r="D1084" s="33" t="n"/>
      <c r="E1084" s="34" t="n"/>
      <c r="F1084" s="35" t="n"/>
      <c r="G1084" s="35" t="n"/>
      <c r="H1084" s="32" t="n"/>
      <c r="I1084" s="32" t="n"/>
      <c r="J1084" s="32" t="n"/>
      <c r="K1084" s="36">
        <f>IF(E1084&lt;&gt;"",E1084,IF(AND(F1084&lt;&gt;"",G1084&lt;&gt;""),MOD(G1084-F1084,1)*24,""))</f>
        <v/>
      </c>
      <c r="L1084" s="37">
        <f>IF(A1084="","",CHOOSE(WEEKDAY(A1084,2),"Montag","Dienstag","Mittwoch","Donnerstag","Freitag","Samstag","Sonntag"))</f>
        <v/>
      </c>
      <c r="M1084" s="37">
        <f>IF(A1084="","",_xlfn.ISOWEEKNUM(A1084))</f>
        <v/>
      </c>
      <c r="N1084" s="38">
        <f>IF(A1084="","",DATE(YEAR(A1084),MONTH(A1084),1))</f>
        <v/>
      </c>
    </row>
    <row r="1085">
      <c r="A1085" s="31" t="n"/>
      <c r="B1085" s="32" t="n"/>
      <c r="C1085" s="32" t="n"/>
      <c r="D1085" s="33" t="n"/>
      <c r="E1085" s="34" t="n"/>
      <c r="F1085" s="35" t="n"/>
      <c r="G1085" s="35" t="n"/>
      <c r="H1085" s="32" t="n"/>
      <c r="I1085" s="32" t="n"/>
      <c r="J1085" s="32" t="n"/>
      <c r="K1085" s="36">
        <f>IF(E1085&lt;&gt;"",E1085,IF(AND(F1085&lt;&gt;"",G1085&lt;&gt;""),MOD(G1085-F1085,1)*24,""))</f>
        <v/>
      </c>
      <c r="L1085" s="37">
        <f>IF(A1085="","",CHOOSE(WEEKDAY(A1085,2),"Montag","Dienstag","Mittwoch","Donnerstag","Freitag","Samstag","Sonntag"))</f>
        <v/>
      </c>
      <c r="M1085" s="37">
        <f>IF(A1085="","",_xlfn.ISOWEEKNUM(A1085))</f>
        <v/>
      </c>
      <c r="N1085" s="38">
        <f>IF(A1085="","",DATE(YEAR(A1085),MONTH(A1085),1))</f>
        <v/>
      </c>
    </row>
    <row r="1086">
      <c r="A1086" s="31" t="n"/>
      <c r="B1086" s="32" t="n"/>
      <c r="C1086" s="32" t="n"/>
      <c r="D1086" s="33" t="n"/>
      <c r="E1086" s="34" t="n"/>
      <c r="F1086" s="35" t="n"/>
      <c r="G1086" s="35" t="n"/>
      <c r="H1086" s="32" t="n"/>
      <c r="I1086" s="32" t="n"/>
      <c r="J1086" s="32" t="n"/>
      <c r="K1086" s="36">
        <f>IF(E1086&lt;&gt;"",E1086,IF(AND(F1086&lt;&gt;"",G1086&lt;&gt;""),MOD(G1086-F1086,1)*24,""))</f>
        <v/>
      </c>
      <c r="L1086" s="37">
        <f>IF(A1086="","",CHOOSE(WEEKDAY(A1086,2),"Montag","Dienstag","Mittwoch","Donnerstag","Freitag","Samstag","Sonntag"))</f>
        <v/>
      </c>
      <c r="M1086" s="37">
        <f>IF(A1086="","",_xlfn.ISOWEEKNUM(A1086))</f>
        <v/>
      </c>
      <c r="N1086" s="38">
        <f>IF(A1086="","",DATE(YEAR(A1086),MONTH(A1086),1))</f>
        <v/>
      </c>
    </row>
    <row r="1087">
      <c r="A1087" s="31" t="n"/>
      <c r="B1087" s="32" t="n"/>
      <c r="C1087" s="32" t="n"/>
      <c r="D1087" s="33" t="n"/>
      <c r="E1087" s="34" t="n"/>
      <c r="F1087" s="35" t="n"/>
      <c r="G1087" s="35" t="n"/>
      <c r="H1087" s="32" t="n"/>
      <c r="I1087" s="32" t="n"/>
      <c r="J1087" s="32" t="n"/>
      <c r="K1087" s="36">
        <f>IF(E1087&lt;&gt;"",E1087,IF(AND(F1087&lt;&gt;"",G1087&lt;&gt;""),MOD(G1087-F1087,1)*24,""))</f>
        <v/>
      </c>
      <c r="L1087" s="37">
        <f>IF(A1087="","",CHOOSE(WEEKDAY(A1087,2),"Montag","Dienstag","Mittwoch","Donnerstag","Freitag","Samstag","Sonntag"))</f>
        <v/>
      </c>
      <c r="M1087" s="37">
        <f>IF(A1087="","",_xlfn.ISOWEEKNUM(A1087))</f>
        <v/>
      </c>
      <c r="N1087" s="38">
        <f>IF(A1087="","",DATE(YEAR(A1087),MONTH(A1087),1))</f>
        <v/>
      </c>
    </row>
    <row r="1088">
      <c r="A1088" s="31" t="n"/>
      <c r="B1088" s="32" t="n"/>
      <c r="C1088" s="32" t="n"/>
      <c r="D1088" s="33" t="n"/>
      <c r="E1088" s="34" t="n"/>
      <c r="F1088" s="35" t="n"/>
      <c r="G1088" s="35" t="n"/>
      <c r="H1088" s="32" t="n"/>
      <c r="I1088" s="32" t="n"/>
      <c r="J1088" s="32" t="n"/>
      <c r="K1088" s="36">
        <f>IF(E1088&lt;&gt;"",E1088,IF(AND(F1088&lt;&gt;"",G1088&lt;&gt;""),MOD(G1088-F1088,1)*24,""))</f>
        <v/>
      </c>
      <c r="L1088" s="37">
        <f>IF(A1088="","",CHOOSE(WEEKDAY(A1088,2),"Montag","Dienstag","Mittwoch","Donnerstag","Freitag","Samstag","Sonntag"))</f>
        <v/>
      </c>
      <c r="M1088" s="37">
        <f>IF(A1088="","",_xlfn.ISOWEEKNUM(A1088))</f>
        <v/>
      </c>
      <c r="N1088" s="38">
        <f>IF(A1088="","",DATE(YEAR(A1088),MONTH(A1088),1))</f>
        <v/>
      </c>
    </row>
    <row r="1089">
      <c r="A1089" s="31" t="n"/>
      <c r="B1089" s="32" t="n"/>
      <c r="C1089" s="32" t="n"/>
      <c r="D1089" s="33" t="n"/>
      <c r="E1089" s="34" t="n"/>
      <c r="F1089" s="35" t="n"/>
      <c r="G1089" s="35" t="n"/>
      <c r="H1089" s="32" t="n"/>
      <c r="I1089" s="32" t="n"/>
      <c r="J1089" s="32" t="n"/>
      <c r="K1089" s="36">
        <f>IF(E1089&lt;&gt;"",E1089,IF(AND(F1089&lt;&gt;"",G1089&lt;&gt;""),MOD(G1089-F1089,1)*24,""))</f>
        <v/>
      </c>
      <c r="L1089" s="37">
        <f>IF(A1089="","",CHOOSE(WEEKDAY(A1089,2),"Montag","Dienstag","Mittwoch","Donnerstag","Freitag","Samstag","Sonntag"))</f>
        <v/>
      </c>
      <c r="M1089" s="37">
        <f>IF(A1089="","",_xlfn.ISOWEEKNUM(A1089))</f>
        <v/>
      </c>
      <c r="N1089" s="38">
        <f>IF(A1089="","",DATE(YEAR(A1089),MONTH(A1089),1))</f>
        <v/>
      </c>
    </row>
    <row r="1090">
      <c r="A1090" s="31" t="n"/>
      <c r="B1090" s="32" t="n"/>
      <c r="C1090" s="32" t="n"/>
      <c r="D1090" s="33" t="n"/>
      <c r="E1090" s="34" t="n"/>
      <c r="F1090" s="35" t="n"/>
      <c r="G1090" s="35" t="n"/>
      <c r="H1090" s="32" t="n"/>
      <c r="I1090" s="32" t="n"/>
      <c r="J1090" s="32" t="n"/>
      <c r="K1090" s="36">
        <f>IF(E1090&lt;&gt;"",E1090,IF(AND(F1090&lt;&gt;"",G1090&lt;&gt;""),MOD(G1090-F1090,1)*24,""))</f>
        <v/>
      </c>
      <c r="L1090" s="37">
        <f>IF(A1090="","",CHOOSE(WEEKDAY(A1090,2),"Montag","Dienstag","Mittwoch","Donnerstag","Freitag","Samstag","Sonntag"))</f>
        <v/>
      </c>
      <c r="M1090" s="37">
        <f>IF(A1090="","",_xlfn.ISOWEEKNUM(A1090))</f>
        <v/>
      </c>
      <c r="N1090" s="38">
        <f>IF(A1090="","",DATE(YEAR(A1090),MONTH(A1090),1))</f>
        <v/>
      </c>
    </row>
    <row r="1091">
      <c r="A1091" s="31" t="n"/>
      <c r="B1091" s="32" t="n"/>
      <c r="C1091" s="32" t="n"/>
      <c r="D1091" s="33" t="n"/>
      <c r="E1091" s="34" t="n"/>
      <c r="F1091" s="35" t="n"/>
      <c r="G1091" s="35" t="n"/>
      <c r="H1091" s="32" t="n"/>
      <c r="I1091" s="32" t="n"/>
      <c r="J1091" s="32" t="n"/>
      <c r="K1091" s="36">
        <f>IF(E1091&lt;&gt;"",E1091,IF(AND(F1091&lt;&gt;"",G1091&lt;&gt;""),MOD(G1091-F1091,1)*24,""))</f>
        <v/>
      </c>
      <c r="L1091" s="37">
        <f>IF(A1091="","",CHOOSE(WEEKDAY(A1091,2),"Montag","Dienstag","Mittwoch","Donnerstag","Freitag","Samstag","Sonntag"))</f>
        <v/>
      </c>
      <c r="M1091" s="37">
        <f>IF(A1091="","",_xlfn.ISOWEEKNUM(A1091))</f>
        <v/>
      </c>
      <c r="N1091" s="38">
        <f>IF(A1091="","",DATE(YEAR(A1091),MONTH(A1091),1))</f>
        <v/>
      </c>
    </row>
    <row r="1092">
      <c r="A1092" s="31" t="n"/>
      <c r="B1092" s="32" t="n"/>
      <c r="C1092" s="32" t="n"/>
      <c r="D1092" s="33" t="n"/>
      <c r="E1092" s="34" t="n"/>
      <c r="F1092" s="35" t="n"/>
      <c r="G1092" s="35" t="n"/>
      <c r="H1092" s="32" t="n"/>
      <c r="I1092" s="32" t="n"/>
      <c r="J1092" s="32" t="n"/>
      <c r="K1092" s="36">
        <f>IF(E1092&lt;&gt;"",E1092,IF(AND(F1092&lt;&gt;"",G1092&lt;&gt;""),MOD(G1092-F1092,1)*24,""))</f>
        <v/>
      </c>
      <c r="L1092" s="37">
        <f>IF(A1092="","",CHOOSE(WEEKDAY(A1092,2),"Montag","Dienstag","Mittwoch","Donnerstag","Freitag","Samstag","Sonntag"))</f>
        <v/>
      </c>
      <c r="M1092" s="37">
        <f>IF(A1092="","",_xlfn.ISOWEEKNUM(A1092))</f>
        <v/>
      </c>
      <c r="N1092" s="38">
        <f>IF(A1092="","",DATE(YEAR(A1092),MONTH(A1092),1))</f>
        <v/>
      </c>
    </row>
    <row r="1093">
      <c r="A1093" s="31" t="n"/>
      <c r="B1093" s="32" t="n"/>
      <c r="C1093" s="32" t="n"/>
      <c r="D1093" s="33" t="n"/>
      <c r="E1093" s="34" t="n"/>
      <c r="F1093" s="35" t="n"/>
      <c r="G1093" s="35" t="n"/>
      <c r="H1093" s="32" t="n"/>
      <c r="I1093" s="32" t="n"/>
      <c r="J1093" s="32" t="n"/>
      <c r="K1093" s="36">
        <f>IF(E1093&lt;&gt;"",E1093,IF(AND(F1093&lt;&gt;"",G1093&lt;&gt;""),MOD(G1093-F1093,1)*24,""))</f>
        <v/>
      </c>
      <c r="L1093" s="37">
        <f>IF(A1093="","",CHOOSE(WEEKDAY(A1093,2),"Montag","Dienstag","Mittwoch","Donnerstag","Freitag","Samstag","Sonntag"))</f>
        <v/>
      </c>
      <c r="M1093" s="37">
        <f>IF(A1093="","",_xlfn.ISOWEEKNUM(A1093))</f>
        <v/>
      </c>
      <c r="N1093" s="38">
        <f>IF(A1093="","",DATE(YEAR(A1093),MONTH(A1093),1))</f>
        <v/>
      </c>
    </row>
    <row r="1094">
      <c r="A1094" s="31" t="n"/>
      <c r="B1094" s="32" t="n"/>
      <c r="C1094" s="32" t="n"/>
      <c r="D1094" s="33" t="n"/>
      <c r="E1094" s="34" t="n"/>
      <c r="F1094" s="35" t="n"/>
      <c r="G1094" s="35" t="n"/>
      <c r="H1094" s="32" t="n"/>
      <c r="I1094" s="32" t="n"/>
      <c r="J1094" s="32" t="n"/>
      <c r="K1094" s="36">
        <f>IF(E1094&lt;&gt;"",E1094,IF(AND(F1094&lt;&gt;"",G1094&lt;&gt;""),MOD(G1094-F1094,1)*24,""))</f>
        <v/>
      </c>
      <c r="L1094" s="37">
        <f>IF(A1094="","",CHOOSE(WEEKDAY(A1094,2),"Montag","Dienstag","Mittwoch","Donnerstag","Freitag","Samstag","Sonntag"))</f>
        <v/>
      </c>
      <c r="M1094" s="37">
        <f>IF(A1094="","",_xlfn.ISOWEEKNUM(A1094))</f>
        <v/>
      </c>
      <c r="N1094" s="38">
        <f>IF(A1094="","",DATE(YEAR(A1094),MONTH(A1094),1))</f>
        <v/>
      </c>
    </row>
    <row r="1095">
      <c r="A1095" s="31" t="n"/>
      <c r="B1095" s="32" t="n"/>
      <c r="C1095" s="32" t="n"/>
      <c r="D1095" s="33" t="n"/>
      <c r="E1095" s="34" t="n"/>
      <c r="F1095" s="35" t="n"/>
      <c r="G1095" s="35" t="n"/>
      <c r="H1095" s="32" t="n"/>
      <c r="I1095" s="32" t="n"/>
      <c r="J1095" s="32" t="n"/>
      <c r="K1095" s="36">
        <f>IF(E1095&lt;&gt;"",E1095,IF(AND(F1095&lt;&gt;"",G1095&lt;&gt;""),MOD(G1095-F1095,1)*24,""))</f>
        <v/>
      </c>
      <c r="L1095" s="37">
        <f>IF(A1095="","",CHOOSE(WEEKDAY(A1095,2),"Montag","Dienstag","Mittwoch","Donnerstag","Freitag","Samstag","Sonntag"))</f>
        <v/>
      </c>
      <c r="M1095" s="37">
        <f>IF(A1095="","",_xlfn.ISOWEEKNUM(A1095))</f>
        <v/>
      </c>
      <c r="N1095" s="38">
        <f>IF(A1095="","",DATE(YEAR(A1095),MONTH(A1095),1))</f>
        <v/>
      </c>
    </row>
    <row r="1096">
      <c r="A1096" s="31" t="n"/>
      <c r="B1096" s="32" t="n"/>
      <c r="C1096" s="32" t="n"/>
      <c r="D1096" s="33" t="n"/>
      <c r="E1096" s="34" t="n"/>
      <c r="F1096" s="35" t="n"/>
      <c r="G1096" s="35" t="n"/>
      <c r="H1096" s="32" t="n"/>
      <c r="I1096" s="32" t="n"/>
      <c r="J1096" s="32" t="n"/>
      <c r="K1096" s="36">
        <f>IF(E1096&lt;&gt;"",E1096,IF(AND(F1096&lt;&gt;"",G1096&lt;&gt;""),MOD(G1096-F1096,1)*24,""))</f>
        <v/>
      </c>
      <c r="L1096" s="37">
        <f>IF(A1096="","",CHOOSE(WEEKDAY(A1096,2),"Montag","Dienstag","Mittwoch","Donnerstag","Freitag","Samstag","Sonntag"))</f>
        <v/>
      </c>
      <c r="M1096" s="37">
        <f>IF(A1096="","",_xlfn.ISOWEEKNUM(A1096))</f>
        <v/>
      </c>
      <c r="N1096" s="38">
        <f>IF(A1096="","",DATE(YEAR(A1096),MONTH(A1096),1))</f>
        <v/>
      </c>
    </row>
    <row r="1097">
      <c r="A1097" s="31" t="n"/>
      <c r="B1097" s="32" t="n"/>
      <c r="C1097" s="32" t="n"/>
      <c r="D1097" s="33" t="n"/>
      <c r="E1097" s="34" t="n"/>
      <c r="F1097" s="35" t="n"/>
      <c r="G1097" s="35" t="n"/>
      <c r="H1097" s="32" t="n"/>
      <c r="I1097" s="32" t="n"/>
      <c r="J1097" s="32" t="n"/>
      <c r="K1097" s="36">
        <f>IF(E1097&lt;&gt;"",E1097,IF(AND(F1097&lt;&gt;"",G1097&lt;&gt;""),MOD(G1097-F1097,1)*24,""))</f>
        <v/>
      </c>
      <c r="L1097" s="37">
        <f>IF(A1097="","",CHOOSE(WEEKDAY(A1097,2),"Montag","Dienstag","Mittwoch","Donnerstag","Freitag","Samstag","Sonntag"))</f>
        <v/>
      </c>
      <c r="M1097" s="37">
        <f>IF(A1097="","",_xlfn.ISOWEEKNUM(A1097))</f>
        <v/>
      </c>
      <c r="N1097" s="38">
        <f>IF(A1097="","",DATE(YEAR(A1097),MONTH(A1097),1))</f>
        <v/>
      </c>
    </row>
    <row r="1098">
      <c r="A1098" s="31" t="n"/>
      <c r="B1098" s="32" t="n"/>
      <c r="C1098" s="32" t="n"/>
      <c r="D1098" s="33" t="n"/>
      <c r="E1098" s="34" t="n"/>
      <c r="F1098" s="35" t="n"/>
      <c r="G1098" s="35" t="n"/>
      <c r="H1098" s="32" t="n"/>
      <c r="I1098" s="32" t="n"/>
      <c r="J1098" s="32" t="n"/>
      <c r="K1098" s="36">
        <f>IF(E1098&lt;&gt;"",E1098,IF(AND(F1098&lt;&gt;"",G1098&lt;&gt;""),MOD(G1098-F1098,1)*24,""))</f>
        <v/>
      </c>
      <c r="L1098" s="37">
        <f>IF(A1098="","",CHOOSE(WEEKDAY(A1098,2),"Montag","Dienstag","Mittwoch","Donnerstag","Freitag","Samstag","Sonntag"))</f>
        <v/>
      </c>
      <c r="M1098" s="37">
        <f>IF(A1098="","",_xlfn.ISOWEEKNUM(A1098))</f>
        <v/>
      </c>
      <c r="N1098" s="38">
        <f>IF(A1098="","",DATE(YEAR(A1098),MONTH(A1098),1))</f>
        <v/>
      </c>
    </row>
    <row r="1099">
      <c r="A1099" s="31" t="n"/>
      <c r="B1099" s="32" t="n"/>
      <c r="C1099" s="32" t="n"/>
      <c r="D1099" s="33" t="n"/>
      <c r="E1099" s="34" t="n"/>
      <c r="F1099" s="35" t="n"/>
      <c r="G1099" s="35" t="n"/>
      <c r="H1099" s="32" t="n"/>
      <c r="I1099" s="32" t="n"/>
      <c r="J1099" s="32" t="n"/>
      <c r="K1099" s="36">
        <f>IF(E1099&lt;&gt;"",E1099,IF(AND(F1099&lt;&gt;"",G1099&lt;&gt;""),MOD(G1099-F1099,1)*24,""))</f>
        <v/>
      </c>
      <c r="L1099" s="37">
        <f>IF(A1099="","",CHOOSE(WEEKDAY(A1099,2),"Montag","Dienstag","Mittwoch","Donnerstag","Freitag","Samstag","Sonntag"))</f>
        <v/>
      </c>
      <c r="M1099" s="37">
        <f>IF(A1099="","",_xlfn.ISOWEEKNUM(A1099))</f>
        <v/>
      </c>
      <c r="N1099" s="38">
        <f>IF(A1099="","",DATE(YEAR(A1099),MONTH(A1099),1))</f>
        <v/>
      </c>
    </row>
    <row r="1100">
      <c r="A1100" s="31" t="n"/>
      <c r="B1100" s="32" t="n"/>
      <c r="C1100" s="32" t="n"/>
      <c r="D1100" s="33" t="n"/>
      <c r="E1100" s="34" t="n"/>
      <c r="F1100" s="35" t="n"/>
      <c r="G1100" s="35" t="n"/>
      <c r="H1100" s="32" t="n"/>
      <c r="I1100" s="32" t="n"/>
      <c r="J1100" s="32" t="n"/>
      <c r="K1100" s="36">
        <f>IF(E1100&lt;&gt;"",E1100,IF(AND(F1100&lt;&gt;"",G1100&lt;&gt;""),MOD(G1100-F1100,1)*24,""))</f>
        <v/>
      </c>
      <c r="L1100" s="37">
        <f>IF(A1100="","",CHOOSE(WEEKDAY(A1100,2),"Montag","Dienstag","Mittwoch","Donnerstag","Freitag","Samstag","Sonntag"))</f>
        <v/>
      </c>
      <c r="M1100" s="37">
        <f>IF(A1100="","",_xlfn.ISOWEEKNUM(A1100))</f>
        <v/>
      </c>
      <c r="N1100" s="38">
        <f>IF(A1100="","",DATE(YEAR(A1100),MONTH(A1100),1))</f>
        <v/>
      </c>
    </row>
    <row r="1101">
      <c r="A1101" s="31" t="n"/>
      <c r="B1101" s="32" t="n"/>
      <c r="C1101" s="32" t="n"/>
      <c r="D1101" s="33" t="n"/>
      <c r="E1101" s="34" t="n"/>
      <c r="F1101" s="35" t="n"/>
      <c r="G1101" s="35" t="n"/>
      <c r="H1101" s="32" t="n"/>
      <c r="I1101" s="32" t="n"/>
      <c r="J1101" s="32" t="n"/>
      <c r="K1101" s="36">
        <f>IF(E1101&lt;&gt;"",E1101,IF(AND(F1101&lt;&gt;"",G1101&lt;&gt;""),MOD(G1101-F1101,1)*24,""))</f>
        <v/>
      </c>
      <c r="L1101" s="37">
        <f>IF(A1101="","",CHOOSE(WEEKDAY(A1101,2),"Montag","Dienstag","Mittwoch","Donnerstag","Freitag","Samstag","Sonntag"))</f>
        <v/>
      </c>
      <c r="M1101" s="37">
        <f>IF(A1101="","",_xlfn.ISOWEEKNUM(A1101))</f>
        <v/>
      </c>
      <c r="N1101" s="38">
        <f>IF(A1101="","",DATE(YEAR(A1101),MONTH(A1101),1))</f>
        <v/>
      </c>
    </row>
    <row r="1102">
      <c r="A1102" s="31" t="n"/>
      <c r="B1102" s="32" t="n"/>
      <c r="C1102" s="32" t="n"/>
      <c r="D1102" s="33" t="n"/>
      <c r="E1102" s="34" t="n"/>
      <c r="F1102" s="35" t="n"/>
      <c r="G1102" s="35" t="n"/>
      <c r="H1102" s="32" t="n"/>
      <c r="I1102" s="32" t="n"/>
      <c r="J1102" s="32" t="n"/>
      <c r="K1102" s="36">
        <f>IF(E1102&lt;&gt;"",E1102,IF(AND(F1102&lt;&gt;"",G1102&lt;&gt;""),MOD(G1102-F1102,1)*24,""))</f>
        <v/>
      </c>
      <c r="L1102" s="37">
        <f>IF(A1102="","",CHOOSE(WEEKDAY(A1102,2),"Montag","Dienstag","Mittwoch","Donnerstag","Freitag","Samstag","Sonntag"))</f>
        <v/>
      </c>
      <c r="M1102" s="37">
        <f>IF(A1102="","",_xlfn.ISOWEEKNUM(A1102))</f>
        <v/>
      </c>
      <c r="N1102" s="38">
        <f>IF(A1102="","",DATE(YEAR(A1102),MONTH(A1102),1))</f>
        <v/>
      </c>
    </row>
    <row r="1103">
      <c r="A1103" s="31" t="n"/>
      <c r="B1103" s="32" t="n"/>
      <c r="C1103" s="32" t="n"/>
      <c r="D1103" s="33" t="n"/>
      <c r="E1103" s="34" t="n"/>
      <c r="F1103" s="35" t="n"/>
      <c r="G1103" s="35" t="n"/>
      <c r="H1103" s="32" t="n"/>
      <c r="I1103" s="32" t="n"/>
      <c r="J1103" s="32" t="n"/>
      <c r="K1103" s="36">
        <f>IF(E1103&lt;&gt;"",E1103,IF(AND(F1103&lt;&gt;"",G1103&lt;&gt;""),MOD(G1103-F1103,1)*24,""))</f>
        <v/>
      </c>
      <c r="L1103" s="37">
        <f>IF(A1103="","",CHOOSE(WEEKDAY(A1103,2),"Montag","Dienstag","Mittwoch","Donnerstag","Freitag","Samstag","Sonntag"))</f>
        <v/>
      </c>
      <c r="M1103" s="37">
        <f>IF(A1103="","",_xlfn.ISOWEEKNUM(A1103))</f>
        <v/>
      </c>
      <c r="N1103" s="38">
        <f>IF(A1103="","",DATE(YEAR(A1103),MONTH(A1103),1))</f>
        <v/>
      </c>
    </row>
    <row r="1104">
      <c r="A1104" s="31" t="n"/>
      <c r="B1104" s="32" t="n"/>
      <c r="C1104" s="32" t="n"/>
      <c r="D1104" s="33" t="n"/>
      <c r="E1104" s="34" t="n"/>
      <c r="F1104" s="35" t="n"/>
      <c r="G1104" s="35" t="n"/>
      <c r="H1104" s="32" t="n"/>
      <c r="I1104" s="32" t="n"/>
      <c r="J1104" s="32" t="n"/>
      <c r="K1104" s="36">
        <f>IF(E1104&lt;&gt;"",E1104,IF(AND(F1104&lt;&gt;"",G1104&lt;&gt;""),MOD(G1104-F1104,1)*24,""))</f>
        <v/>
      </c>
      <c r="L1104" s="37">
        <f>IF(A1104="","",CHOOSE(WEEKDAY(A1104,2),"Montag","Dienstag","Mittwoch","Donnerstag","Freitag","Samstag","Sonntag"))</f>
        <v/>
      </c>
      <c r="M1104" s="37">
        <f>IF(A1104="","",_xlfn.ISOWEEKNUM(A1104))</f>
        <v/>
      </c>
      <c r="N1104" s="38">
        <f>IF(A1104="","",DATE(YEAR(A1104),MONTH(A1104),1))</f>
        <v/>
      </c>
    </row>
    <row r="1105">
      <c r="A1105" s="31" t="n"/>
      <c r="B1105" s="32" t="n"/>
      <c r="C1105" s="32" t="n"/>
      <c r="D1105" s="33" t="n"/>
      <c r="E1105" s="34" t="n"/>
      <c r="F1105" s="35" t="n"/>
      <c r="G1105" s="35" t="n"/>
      <c r="H1105" s="32" t="n"/>
      <c r="I1105" s="32" t="n"/>
      <c r="J1105" s="32" t="n"/>
      <c r="K1105" s="36">
        <f>IF(E1105&lt;&gt;"",E1105,IF(AND(F1105&lt;&gt;"",G1105&lt;&gt;""),MOD(G1105-F1105,1)*24,""))</f>
        <v/>
      </c>
      <c r="L1105" s="37">
        <f>IF(A1105="","",CHOOSE(WEEKDAY(A1105,2),"Montag","Dienstag","Mittwoch","Donnerstag","Freitag","Samstag","Sonntag"))</f>
        <v/>
      </c>
      <c r="M1105" s="37">
        <f>IF(A1105="","",_xlfn.ISOWEEKNUM(A1105))</f>
        <v/>
      </c>
      <c r="N1105" s="38">
        <f>IF(A1105="","",DATE(YEAR(A1105),MONTH(A1105),1))</f>
        <v/>
      </c>
    </row>
    <row r="1106">
      <c r="A1106" s="31" t="n"/>
      <c r="B1106" s="32" t="n"/>
      <c r="C1106" s="32" t="n"/>
      <c r="D1106" s="33" t="n"/>
      <c r="E1106" s="34" t="n"/>
      <c r="F1106" s="35" t="n"/>
      <c r="G1106" s="35" t="n"/>
      <c r="H1106" s="32" t="n"/>
      <c r="I1106" s="32" t="n"/>
      <c r="J1106" s="32" t="n"/>
      <c r="K1106" s="36">
        <f>IF(E1106&lt;&gt;"",E1106,IF(AND(F1106&lt;&gt;"",G1106&lt;&gt;""),MOD(G1106-F1106,1)*24,""))</f>
        <v/>
      </c>
      <c r="L1106" s="37">
        <f>IF(A1106="","",CHOOSE(WEEKDAY(A1106,2),"Montag","Dienstag","Mittwoch","Donnerstag","Freitag","Samstag","Sonntag"))</f>
        <v/>
      </c>
      <c r="M1106" s="37">
        <f>IF(A1106="","",_xlfn.ISOWEEKNUM(A1106))</f>
        <v/>
      </c>
      <c r="N1106" s="38">
        <f>IF(A1106="","",DATE(YEAR(A1106),MONTH(A1106),1))</f>
        <v/>
      </c>
    </row>
    <row r="1107">
      <c r="A1107" s="31" t="n"/>
      <c r="B1107" s="32" t="n"/>
      <c r="C1107" s="32" t="n"/>
      <c r="D1107" s="33" t="n"/>
      <c r="E1107" s="34" t="n"/>
      <c r="F1107" s="35" t="n"/>
      <c r="G1107" s="35" t="n"/>
      <c r="H1107" s="32" t="n"/>
      <c r="I1107" s="32" t="n"/>
      <c r="J1107" s="32" t="n"/>
      <c r="K1107" s="36">
        <f>IF(E1107&lt;&gt;"",E1107,IF(AND(F1107&lt;&gt;"",G1107&lt;&gt;""),MOD(G1107-F1107,1)*24,""))</f>
        <v/>
      </c>
      <c r="L1107" s="37">
        <f>IF(A1107="","",CHOOSE(WEEKDAY(A1107,2),"Montag","Dienstag","Mittwoch","Donnerstag","Freitag","Samstag","Sonntag"))</f>
        <v/>
      </c>
      <c r="M1107" s="37">
        <f>IF(A1107="","",_xlfn.ISOWEEKNUM(A1107))</f>
        <v/>
      </c>
      <c r="N1107" s="38">
        <f>IF(A1107="","",DATE(YEAR(A1107),MONTH(A1107),1))</f>
        <v/>
      </c>
    </row>
    <row r="1108">
      <c r="A1108" s="31" t="n"/>
      <c r="B1108" s="32" t="n"/>
      <c r="C1108" s="32" t="n"/>
      <c r="D1108" s="33" t="n"/>
      <c r="E1108" s="34" t="n"/>
      <c r="F1108" s="35" t="n"/>
      <c r="G1108" s="35" t="n"/>
      <c r="H1108" s="32" t="n"/>
      <c r="I1108" s="32" t="n"/>
      <c r="J1108" s="32" t="n"/>
      <c r="K1108" s="36">
        <f>IF(E1108&lt;&gt;"",E1108,IF(AND(F1108&lt;&gt;"",G1108&lt;&gt;""),MOD(G1108-F1108,1)*24,""))</f>
        <v/>
      </c>
      <c r="L1108" s="37">
        <f>IF(A1108="","",CHOOSE(WEEKDAY(A1108,2),"Montag","Dienstag","Mittwoch","Donnerstag","Freitag","Samstag","Sonntag"))</f>
        <v/>
      </c>
      <c r="M1108" s="37">
        <f>IF(A1108="","",_xlfn.ISOWEEKNUM(A1108))</f>
        <v/>
      </c>
      <c r="N1108" s="38">
        <f>IF(A1108="","",DATE(YEAR(A1108),MONTH(A1108),1))</f>
        <v/>
      </c>
    </row>
    <row r="1109">
      <c r="A1109" s="31" t="n"/>
      <c r="B1109" s="32" t="n"/>
      <c r="C1109" s="32" t="n"/>
      <c r="D1109" s="33" t="n"/>
      <c r="E1109" s="34" t="n"/>
      <c r="F1109" s="35" t="n"/>
      <c r="G1109" s="35" t="n"/>
      <c r="H1109" s="32" t="n"/>
      <c r="I1109" s="32" t="n"/>
      <c r="J1109" s="32" t="n"/>
      <c r="K1109" s="36">
        <f>IF(E1109&lt;&gt;"",E1109,IF(AND(F1109&lt;&gt;"",G1109&lt;&gt;""),MOD(G1109-F1109,1)*24,""))</f>
        <v/>
      </c>
      <c r="L1109" s="37">
        <f>IF(A1109="","",CHOOSE(WEEKDAY(A1109,2),"Montag","Dienstag","Mittwoch","Donnerstag","Freitag","Samstag","Sonntag"))</f>
        <v/>
      </c>
      <c r="M1109" s="37">
        <f>IF(A1109="","",_xlfn.ISOWEEKNUM(A1109))</f>
        <v/>
      </c>
      <c r="N1109" s="38">
        <f>IF(A1109="","",DATE(YEAR(A1109),MONTH(A1109),1))</f>
        <v/>
      </c>
    </row>
    <row r="1110">
      <c r="A1110" s="31" t="n"/>
      <c r="B1110" s="32" t="n"/>
      <c r="C1110" s="32" t="n"/>
      <c r="D1110" s="33" t="n"/>
      <c r="E1110" s="34" t="n"/>
      <c r="F1110" s="35" t="n"/>
      <c r="G1110" s="35" t="n"/>
      <c r="H1110" s="32" t="n"/>
      <c r="I1110" s="32" t="n"/>
      <c r="J1110" s="32" t="n"/>
      <c r="K1110" s="36">
        <f>IF(E1110&lt;&gt;"",E1110,IF(AND(F1110&lt;&gt;"",G1110&lt;&gt;""),MOD(G1110-F1110,1)*24,""))</f>
        <v/>
      </c>
      <c r="L1110" s="37">
        <f>IF(A1110="","",CHOOSE(WEEKDAY(A1110,2),"Montag","Dienstag","Mittwoch","Donnerstag","Freitag","Samstag","Sonntag"))</f>
        <v/>
      </c>
      <c r="M1110" s="37">
        <f>IF(A1110="","",_xlfn.ISOWEEKNUM(A1110))</f>
        <v/>
      </c>
      <c r="N1110" s="38">
        <f>IF(A1110="","",DATE(YEAR(A1110),MONTH(A1110),1))</f>
        <v/>
      </c>
    </row>
    <row r="1111">
      <c r="A1111" s="31" t="n"/>
      <c r="B1111" s="32" t="n"/>
      <c r="C1111" s="32" t="n"/>
      <c r="D1111" s="33" t="n"/>
      <c r="E1111" s="34" t="n"/>
      <c r="F1111" s="35" t="n"/>
      <c r="G1111" s="35" t="n"/>
      <c r="H1111" s="32" t="n"/>
      <c r="I1111" s="32" t="n"/>
      <c r="J1111" s="32" t="n"/>
      <c r="K1111" s="36">
        <f>IF(E1111&lt;&gt;"",E1111,IF(AND(F1111&lt;&gt;"",G1111&lt;&gt;""),MOD(G1111-F1111,1)*24,""))</f>
        <v/>
      </c>
      <c r="L1111" s="37">
        <f>IF(A1111="","",CHOOSE(WEEKDAY(A1111,2),"Montag","Dienstag","Mittwoch","Donnerstag","Freitag","Samstag","Sonntag"))</f>
        <v/>
      </c>
      <c r="M1111" s="37">
        <f>IF(A1111="","",_xlfn.ISOWEEKNUM(A1111))</f>
        <v/>
      </c>
      <c r="N1111" s="38">
        <f>IF(A1111="","",DATE(YEAR(A1111),MONTH(A1111),1))</f>
        <v/>
      </c>
    </row>
    <row r="1112">
      <c r="A1112" s="31" t="n"/>
      <c r="B1112" s="32" t="n"/>
      <c r="C1112" s="32" t="n"/>
      <c r="D1112" s="33" t="n"/>
      <c r="E1112" s="34" t="n"/>
      <c r="F1112" s="35" t="n"/>
      <c r="G1112" s="35" t="n"/>
      <c r="H1112" s="32" t="n"/>
      <c r="I1112" s="32" t="n"/>
      <c r="J1112" s="32" t="n"/>
      <c r="K1112" s="36">
        <f>IF(E1112&lt;&gt;"",E1112,IF(AND(F1112&lt;&gt;"",G1112&lt;&gt;""),MOD(G1112-F1112,1)*24,""))</f>
        <v/>
      </c>
      <c r="L1112" s="37">
        <f>IF(A1112="","",CHOOSE(WEEKDAY(A1112,2),"Montag","Dienstag","Mittwoch","Donnerstag","Freitag","Samstag","Sonntag"))</f>
        <v/>
      </c>
      <c r="M1112" s="37">
        <f>IF(A1112="","",_xlfn.ISOWEEKNUM(A1112))</f>
        <v/>
      </c>
      <c r="N1112" s="38">
        <f>IF(A1112="","",DATE(YEAR(A1112),MONTH(A1112),1))</f>
        <v/>
      </c>
    </row>
    <row r="1113">
      <c r="A1113" s="31" t="n"/>
      <c r="B1113" s="32" t="n"/>
      <c r="C1113" s="32" t="n"/>
      <c r="D1113" s="33" t="n"/>
      <c r="E1113" s="34" t="n"/>
      <c r="F1113" s="35" t="n"/>
      <c r="G1113" s="35" t="n"/>
      <c r="H1113" s="32" t="n"/>
      <c r="I1113" s="32" t="n"/>
      <c r="J1113" s="32" t="n"/>
      <c r="K1113" s="36">
        <f>IF(E1113&lt;&gt;"",E1113,IF(AND(F1113&lt;&gt;"",G1113&lt;&gt;""),MOD(G1113-F1113,1)*24,""))</f>
        <v/>
      </c>
      <c r="L1113" s="37">
        <f>IF(A1113="","",CHOOSE(WEEKDAY(A1113,2),"Montag","Dienstag","Mittwoch","Donnerstag","Freitag","Samstag","Sonntag"))</f>
        <v/>
      </c>
      <c r="M1113" s="37">
        <f>IF(A1113="","",_xlfn.ISOWEEKNUM(A1113))</f>
        <v/>
      </c>
      <c r="N1113" s="38">
        <f>IF(A1113="","",DATE(YEAR(A1113),MONTH(A1113),1))</f>
        <v/>
      </c>
    </row>
    <row r="1114">
      <c r="A1114" s="31" t="n"/>
      <c r="B1114" s="32" t="n"/>
      <c r="C1114" s="32" t="n"/>
      <c r="D1114" s="33" t="n"/>
      <c r="E1114" s="34" t="n"/>
      <c r="F1114" s="35" t="n"/>
      <c r="G1114" s="35" t="n"/>
      <c r="H1114" s="32" t="n"/>
      <c r="I1114" s="32" t="n"/>
      <c r="J1114" s="32" t="n"/>
      <c r="K1114" s="36">
        <f>IF(E1114&lt;&gt;"",E1114,IF(AND(F1114&lt;&gt;"",G1114&lt;&gt;""),MOD(G1114-F1114,1)*24,""))</f>
        <v/>
      </c>
      <c r="L1114" s="37">
        <f>IF(A1114="","",CHOOSE(WEEKDAY(A1114,2),"Montag","Dienstag","Mittwoch","Donnerstag","Freitag","Samstag","Sonntag"))</f>
        <v/>
      </c>
      <c r="M1114" s="37">
        <f>IF(A1114="","",_xlfn.ISOWEEKNUM(A1114))</f>
        <v/>
      </c>
      <c r="N1114" s="38">
        <f>IF(A1114="","",DATE(YEAR(A1114),MONTH(A1114),1))</f>
        <v/>
      </c>
    </row>
    <row r="1115">
      <c r="A1115" s="31" t="n"/>
      <c r="B1115" s="32" t="n"/>
      <c r="C1115" s="32" t="n"/>
      <c r="D1115" s="33" t="n"/>
      <c r="E1115" s="34" t="n"/>
      <c r="F1115" s="35" t="n"/>
      <c r="G1115" s="35" t="n"/>
      <c r="H1115" s="32" t="n"/>
      <c r="I1115" s="32" t="n"/>
      <c r="J1115" s="32" t="n"/>
      <c r="K1115" s="36">
        <f>IF(E1115&lt;&gt;"",E1115,IF(AND(F1115&lt;&gt;"",G1115&lt;&gt;""),MOD(G1115-F1115,1)*24,""))</f>
        <v/>
      </c>
      <c r="L1115" s="37">
        <f>IF(A1115="","",CHOOSE(WEEKDAY(A1115,2),"Montag","Dienstag","Mittwoch","Donnerstag","Freitag","Samstag","Sonntag"))</f>
        <v/>
      </c>
      <c r="M1115" s="37">
        <f>IF(A1115="","",_xlfn.ISOWEEKNUM(A1115))</f>
        <v/>
      </c>
      <c r="N1115" s="38">
        <f>IF(A1115="","",DATE(YEAR(A1115),MONTH(A1115),1))</f>
        <v/>
      </c>
    </row>
    <row r="1116">
      <c r="A1116" s="31" t="n"/>
      <c r="B1116" s="32" t="n"/>
      <c r="C1116" s="32" t="n"/>
      <c r="D1116" s="33" t="n"/>
      <c r="E1116" s="34" t="n"/>
      <c r="F1116" s="35" t="n"/>
      <c r="G1116" s="35" t="n"/>
      <c r="H1116" s="32" t="n"/>
      <c r="I1116" s="32" t="n"/>
      <c r="J1116" s="32" t="n"/>
      <c r="K1116" s="36">
        <f>IF(E1116&lt;&gt;"",E1116,IF(AND(F1116&lt;&gt;"",G1116&lt;&gt;""),MOD(G1116-F1116,1)*24,""))</f>
        <v/>
      </c>
      <c r="L1116" s="37">
        <f>IF(A1116="","",CHOOSE(WEEKDAY(A1116,2),"Montag","Dienstag","Mittwoch","Donnerstag","Freitag","Samstag","Sonntag"))</f>
        <v/>
      </c>
      <c r="M1116" s="37">
        <f>IF(A1116="","",_xlfn.ISOWEEKNUM(A1116))</f>
        <v/>
      </c>
      <c r="N1116" s="38">
        <f>IF(A1116="","",DATE(YEAR(A1116),MONTH(A1116),1))</f>
        <v/>
      </c>
    </row>
    <row r="1117">
      <c r="A1117" s="31" t="n"/>
      <c r="B1117" s="32" t="n"/>
      <c r="C1117" s="32" t="n"/>
      <c r="D1117" s="33" t="n"/>
      <c r="E1117" s="34" t="n"/>
      <c r="F1117" s="35" t="n"/>
      <c r="G1117" s="35" t="n"/>
      <c r="H1117" s="32" t="n"/>
      <c r="I1117" s="32" t="n"/>
      <c r="J1117" s="32" t="n"/>
      <c r="K1117" s="36">
        <f>IF(E1117&lt;&gt;"",E1117,IF(AND(F1117&lt;&gt;"",G1117&lt;&gt;""),MOD(G1117-F1117,1)*24,""))</f>
        <v/>
      </c>
      <c r="L1117" s="37">
        <f>IF(A1117="","",CHOOSE(WEEKDAY(A1117,2),"Montag","Dienstag","Mittwoch","Donnerstag","Freitag","Samstag","Sonntag"))</f>
        <v/>
      </c>
      <c r="M1117" s="37">
        <f>IF(A1117="","",_xlfn.ISOWEEKNUM(A1117))</f>
        <v/>
      </c>
      <c r="N1117" s="38">
        <f>IF(A1117="","",DATE(YEAR(A1117),MONTH(A1117),1))</f>
        <v/>
      </c>
    </row>
    <row r="1118">
      <c r="A1118" s="31" t="n"/>
      <c r="B1118" s="32" t="n"/>
      <c r="C1118" s="32" t="n"/>
      <c r="D1118" s="33" t="n"/>
      <c r="E1118" s="34" t="n"/>
      <c r="F1118" s="35" t="n"/>
      <c r="G1118" s="35" t="n"/>
      <c r="H1118" s="32" t="n"/>
      <c r="I1118" s="32" t="n"/>
      <c r="J1118" s="32" t="n"/>
      <c r="K1118" s="36">
        <f>IF(E1118&lt;&gt;"",E1118,IF(AND(F1118&lt;&gt;"",G1118&lt;&gt;""),MOD(G1118-F1118,1)*24,""))</f>
        <v/>
      </c>
      <c r="L1118" s="37">
        <f>IF(A1118="","",CHOOSE(WEEKDAY(A1118,2),"Montag","Dienstag","Mittwoch","Donnerstag","Freitag","Samstag","Sonntag"))</f>
        <v/>
      </c>
      <c r="M1118" s="37">
        <f>IF(A1118="","",_xlfn.ISOWEEKNUM(A1118))</f>
        <v/>
      </c>
      <c r="N1118" s="38">
        <f>IF(A1118="","",DATE(YEAR(A1118),MONTH(A1118),1))</f>
        <v/>
      </c>
    </row>
    <row r="1119">
      <c r="A1119" s="31" t="n"/>
      <c r="B1119" s="32" t="n"/>
      <c r="C1119" s="32" t="n"/>
      <c r="D1119" s="33" t="n"/>
      <c r="E1119" s="34" t="n"/>
      <c r="F1119" s="35" t="n"/>
      <c r="G1119" s="35" t="n"/>
      <c r="H1119" s="32" t="n"/>
      <c r="I1119" s="32" t="n"/>
      <c r="J1119" s="32" t="n"/>
      <c r="K1119" s="36">
        <f>IF(E1119&lt;&gt;"",E1119,IF(AND(F1119&lt;&gt;"",G1119&lt;&gt;""),MOD(G1119-F1119,1)*24,""))</f>
        <v/>
      </c>
      <c r="L1119" s="37">
        <f>IF(A1119="","",CHOOSE(WEEKDAY(A1119,2),"Montag","Dienstag","Mittwoch","Donnerstag","Freitag","Samstag","Sonntag"))</f>
        <v/>
      </c>
      <c r="M1119" s="37">
        <f>IF(A1119="","",_xlfn.ISOWEEKNUM(A1119))</f>
        <v/>
      </c>
      <c r="N1119" s="38">
        <f>IF(A1119="","",DATE(YEAR(A1119),MONTH(A1119),1))</f>
        <v/>
      </c>
    </row>
    <row r="1120">
      <c r="A1120" s="31" t="n"/>
      <c r="B1120" s="32" t="n"/>
      <c r="C1120" s="32" t="n"/>
      <c r="D1120" s="33" t="n"/>
      <c r="E1120" s="34" t="n"/>
      <c r="F1120" s="35" t="n"/>
      <c r="G1120" s="35" t="n"/>
      <c r="H1120" s="32" t="n"/>
      <c r="I1120" s="32" t="n"/>
      <c r="J1120" s="32" t="n"/>
      <c r="K1120" s="36">
        <f>IF(E1120&lt;&gt;"",E1120,IF(AND(F1120&lt;&gt;"",G1120&lt;&gt;""),MOD(G1120-F1120,1)*24,""))</f>
        <v/>
      </c>
      <c r="L1120" s="37">
        <f>IF(A1120="","",CHOOSE(WEEKDAY(A1120,2),"Montag","Dienstag","Mittwoch","Donnerstag","Freitag","Samstag","Sonntag"))</f>
        <v/>
      </c>
      <c r="M1120" s="37">
        <f>IF(A1120="","",_xlfn.ISOWEEKNUM(A1120))</f>
        <v/>
      </c>
      <c r="N1120" s="38">
        <f>IF(A1120="","",DATE(YEAR(A1120),MONTH(A1120),1))</f>
        <v/>
      </c>
    </row>
    <row r="1121">
      <c r="A1121" s="31" t="n"/>
      <c r="B1121" s="32" t="n"/>
      <c r="C1121" s="32" t="n"/>
      <c r="D1121" s="33" t="n"/>
      <c r="E1121" s="34" t="n"/>
      <c r="F1121" s="35" t="n"/>
      <c r="G1121" s="35" t="n"/>
      <c r="H1121" s="32" t="n"/>
      <c r="I1121" s="32" t="n"/>
      <c r="J1121" s="32" t="n"/>
      <c r="K1121" s="36">
        <f>IF(E1121&lt;&gt;"",E1121,IF(AND(F1121&lt;&gt;"",G1121&lt;&gt;""),MOD(G1121-F1121,1)*24,""))</f>
        <v/>
      </c>
      <c r="L1121" s="37">
        <f>IF(A1121="","",CHOOSE(WEEKDAY(A1121,2),"Montag","Dienstag","Mittwoch","Donnerstag","Freitag","Samstag","Sonntag"))</f>
        <v/>
      </c>
      <c r="M1121" s="37">
        <f>IF(A1121="","",_xlfn.ISOWEEKNUM(A1121))</f>
        <v/>
      </c>
      <c r="N1121" s="38">
        <f>IF(A1121="","",DATE(YEAR(A1121),MONTH(A1121),1))</f>
        <v/>
      </c>
    </row>
    <row r="1122">
      <c r="A1122" s="31" t="n"/>
      <c r="B1122" s="32" t="n"/>
      <c r="C1122" s="32" t="n"/>
      <c r="D1122" s="33" t="n"/>
      <c r="E1122" s="34" t="n"/>
      <c r="F1122" s="35" t="n"/>
      <c r="G1122" s="35" t="n"/>
      <c r="H1122" s="32" t="n"/>
      <c r="I1122" s="32" t="n"/>
      <c r="J1122" s="32" t="n"/>
      <c r="K1122" s="36">
        <f>IF(E1122&lt;&gt;"",E1122,IF(AND(F1122&lt;&gt;"",G1122&lt;&gt;""),MOD(G1122-F1122,1)*24,""))</f>
        <v/>
      </c>
      <c r="L1122" s="37">
        <f>IF(A1122="","",CHOOSE(WEEKDAY(A1122,2),"Montag","Dienstag","Mittwoch","Donnerstag","Freitag","Samstag","Sonntag"))</f>
        <v/>
      </c>
      <c r="M1122" s="37">
        <f>IF(A1122="","",_xlfn.ISOWEEKNUM(A1122))</f>
        <v/>
      </c>
      <c r="N1122" s="38">
        <f>IF(A1122="","",DATE(YEAR(A1122),MONTH(A1122),1))</f>
        <v/>
      </c>
    </row>
    <row r="1123">
      <c r="A1123" s="31" t="n"/>
      <c r="B1123" s="32" t="n"/>
      <c r="C1123" s="32" t="n"/>
      <c r="D1123" s="33" t="n"/>
      <c r="E1123" s="34" t="n"/>
      <c r="F1123" s="35" t="n"/>
      <c r="G1123" s="35" t="n"/>
      <c r="H1123" s="32" t="n"/>
      <c r="I1123" s="32" t="n"/>
      <c r="J1123" s="32" t="n"/>
      <c r="K1123" s="36">
        <f>IF(E1123&lt;&gt;"",E1123,IF(AND(F1123&lt;&gt;"",G1123&lt;&gt;""),MOD(G1123-F1123,1)*24,""))</f>
        <v/>
      </c>
      <c r="L1123" s="37">
        <f>IF(A1123="","",CHOOSE(WEEKDAY(A1123,2),"Montag","Dienstag","Mittwoch","Donnerstag","Freitag","Samstag","Sonntag"))</f>
        <v/>
      </c>
      <c r="M1123" s="37">
        <f>IF(A1123="","",_xlfn.ISOWEEKNUM(A1123))</f>
        <v/>
      </c>
      <c r="N1123" s="38">
        <f>IF(A1123="","",DATE(YEAR(A1123),MONTH(A1123),1))</f>
        <v/>
      </c>
    </row>
    <row r="1124">
      <c r="A1124" s="31" t="n"/>
      <c r="B1124" s="32" t="n"/>
      <c r="C1124" s="32" t="n"/>
      <c r="D1124" s="33" t="n"/>
      <c r="E1124" s="34" t="n"/>
      <c r="F1124" s="35" t="n"/>
      <c r="G1124" s="35" t="n"/>
      <c r="H1124" s="32" t="n"/>
      <c r="I1124" s="32" t="n"/>
      <c r="J1124" s="32" t="n"/>
      <c r="K1124" s="36">
        <f>IF(E1124&lt;&gt;"",E1124,IF(AND(F1124&lt;&gt;"",G1124&lt;&gt;""),MOD(G1124-F1124,1)*24,""))</f>
        <v/>
      </c>
      <c r="L1124" s="37">
        <f>IF(A1124="","",CHOOSE(WEEKDAY(A1124,2),"Montag","Dienstag","Mittwoch","Donnerstag","Freitag","Samstag","Sonntag"))</f>
        <v/>
      </c>
      <c r="M1124" s="37">
        <f>IF(A1124="","",_xlfn.ISOWEEKNUM(A1124))</f>
        <v/>
      </c>
      <c r="N1124" s="38">
        <f>IF(A1124="","",DATE(YEAR(A1124),MONTH(A1124),1))</f>
        <v/>
      </c>
    </row>
    <row r="1125">
      <c r="A1125" s="31" t="n"/>
      <c r="B1125" s="32" t="n"/>
      <c r="C1125" s="32" t="n"/>
      <c r="D1125" s="33" t="n"/>
      <c r="E1125" s="34" t="n"/>
      <c r="F1125" s="35" t="n"/>
      <c r="G1125" s="35" t="n"/>
      <c r="H1125" s="32" t="n"/>
      <c r="I1125" s="32" t="n"/>
      <c r="J1125" s="32" t="n"/>
      <c r="K1125" s="36">
        <f>IF(E1125&lt;&gt;"",E1125,IF(AND(F1125&lt;&gt;"",G1125&lt;&gt;""),MOD(G1125-F1125,1)*24,""))</f>
        <v/>
      </c>
      <c r="L1125" s="37">
        <f>IF(A1125="","",CHOOSE(WEEKDAY(A1125,2),"Montag","Dienstag","Mittwoch","Donnerstag","Freitag","Samstag","Sonntag"))</f>
        <v/>
      </c>
      <c r="M1125" s="37">
        <f>IF(A1125="","",_xlfn.ISOWEEKNUM(A1125))</f>
        <v/>
      </c>
      <c r="N1125" s="38">
        <f>IF(A1125="","",DATE(YEAR(A1125),MONTH(A1125),1))</f>
        <v/>
      </c>
    </row>
    <row r="1126">
      <c r="A1126" s="31" t="n"/>
      <c r="B1126" s="32" t="n"/>
      <c r="C1126" s="32" t="n"/>
      <c r="D1126" s="33" t="n"/>
      <c r="E1126" s="34" t="n"/>
      <c r="F1126" s="35" t="n"/>
      <c r="G1126" s="35" t="n"/>
      <c r="H1126" s="32" t="n"/>
      <c r="I1126" s="32" t="n"/>
      <c r="J1126" s="32" t="n"/>
      <c r="K1126" s="36">
        <f>IF(E1126&lt;&gt;"",E1126,IF(AND(F1126&lt;&gt;"",G1126&lt;&gt;""),MOD(G1126-F1126,1)*24,""))</f>
        <v/>
      </c>
      <c r="L1126" s="37">
        <f>IF(A1126="","",CHOOSE(WEEKDAY(A1126,2),"Montag","Dienstag","Mittwoch","Donnerstag","Freitag","Samstag","Sonntag"))</f>
        <v/>
      </c>
      <c r="M1126" s="37">
        <f>IF(A1126="","",_xlfn.ISOWEEKNUM(A1126))</f>
        <v/>
      </c>
      <c r="N1126" s="38">
        <f>IF(A1126="","",DATE(YEAR(A1126),MONTH(A1126),1))</f>
        <v/>
      </c>
    </row>
    <row r="1127">
      <c r="A1127" s="31" t="n"/>
      <c r="B1127" s="32" t="n"/>
      <c r="C1127" s="32" t="n"/>
      <c r="D1127" s="33" t="n"/>
      <c r="E1127" s="34" t="n"/>
      <c r="F1127" s="35" t="n"/>
      <c r="G1127" s="35" t="n"/>
      <c r="H1127" s="32" t="n"/>
      <c r="I1127" s="32" t="n"/>
      <c r="J1127" s="32" t="n"/>
      <c r="K1127" s="36">
        <f>IF(E1127&lt;&gt;"",E1127,IF(AND(F1127&lt;&gt;"",G1127&lt;&gt;""),MOD(G1127-F1127,1)*24,""))</f>
        <v/>
      </c>
      <c r="L1127" s="37">
        <f>IF(A1127="","",CHOOSE(WEEKDAY(A1127,2),"Montag","Dienstag","Mittwoch","Donnerstag","Freitag","Samstag","Sonntag"))</f>
        <v/>
      </c>
      <c r="M1127" s="37">
        <f>IF(A1127="","",_xlfn.ISOWEEKNUM(A1127))</f>
        <v/>
      </c>
      <c r="N1127" s="38">
        <f>IF(A1127="","",DATE(YEAR(A1127),MONTH(A1127),1))</f>
        <v/>
      </c>
    </row>
    <row r="1128">
      <c r="A1128" s="31" t="n"/>
      <c r="B1128" s="32" t="n"/>
      <c r="C1128" s="32" t="n"/>
      <c r="D1128" s="33" t="n"/>
      <c r="E1128" s="34" t="n"/>
      <c r="F1128" s="35" t="n"/>
      <c r="G1128" s="35" t="n"/>
      <c r="H1128" s="32" t="n"/>
      <c r="I1128" s="32" t="n"/>
      <c r="J1128" s="32" t="n"/>
      <c r="K1128" s="36">
        <f>IF(E1128&lt;&gt;"",E1128,IF(AND(F1128&lt;&gt;"",G1128&lt;&gt;""),MOD(G1128-F1128,1)*24,""))</f>
        <v/>
      </c>
      <c r="L1128" s="37">
        <f>IF(A1128="","",CHOOSE(WEEKDAY(A1128,2),"Montag","Dienstag","Mittwoch","Donnerstag","Freitag","Samstag","Sonntag"))</f>
        <v/>
      </c>
      <c r="M1128" s="37">
        <f>IF(A1128="","",_xlfn.ISOWEEKNUM(A1128))</f>
        <v/>
      </c>
      <c r="N1128" s="38">
        <f>IF(A1128="","",DATE(YEAR(A1128),MONTH(A1128),1))</f>
        <v/>
      </c>
    </row>
    <row r="1129">
      <c r="A1129" s="31" t="n"/>
      <c r="B1129" s="32" t="n"/>
      <c r="C1129" s="32" t="n"/>
      <c r="D1129" s="33" t="n"/>
      <c r="E1129" s="34" t="n"/>
      <c r="F1129" s="35" t="n"/>
      <c r="G1129" s="35" t="n"/>
      <c r="H1129" s="32" t="n"/>
      <c r="I1129" s="32" t="n"/>
      <c r="J1129" s="32" t="n"/>
      <c r="K1129" s="36">
        <f>IF(E1129&lt;&gt;"",E1129,IF(AND(F1129&lt;&gt;"",G1129&lt;&gt;""),MOD(G1129-F1129,1)*24,""))</f>
        <v/>
      </c>
      <c r="L1129" s="37">
        <f>IF(A1129="","",CHOOSE(WEEKDAY(A1129,2),"Montag","Dienstag","Mittwoch","Donnerstag","Freitag","Samstag","Sonntag"))</f>
        <v/>
      </c>
      <c r="M1129" s="37">
        <f>IF(A1129="","",_xlfn.ISOWEEKNUM(A1129))</f>
        <v/>
      </c>
      <c r="N1129" s="38">
        <f>IF(A1129="","",DATE(YEAR(A1129),MONTH(A1129),1))</f>
        <v/>
      </c>
    </row>
    <row r="1130">
      <c r="A1130" s="31" t="n"/>
      <c r="B1130" s="32" t="n"/>
      <c r="C1130" s="32" t="n"/>
      <c r="D1130" s="33" t="n"/>
      <c r="E1130" s="34" t="n"/>
      <c r="F1130" s="35" t="n"/>
      <c r="G1130" s="35" t="n"/>
      <c r="H1130" s="32" t="n"/>
      <c r="I1130" s="32" t="n"/>
      <c r="J1130" s="32" t="n"/>
      <c r="K1130" s="36">
        <f>IF(E1130&lt;&gt;"",E1130,IF(AND(F1130&lt;&gt;"",G1130&lt;&gt;""),MOD(G1130-F1130,1)*24,""))</f>
        <v/>
      </c>
      <c r="L1130" s="37">
        <f>IF(A1130="","",CHOOSE(WEEKDAY(A1130,2),"Montag","Dienstag","Mittwoch","Donnerstag","Freitag","Samstag","Sonntag"))</f>
        <v/>
      </c>
      <c r="M1130" s="37">
        <f>IF(A1130="","",_xlfn.ISOWEEKNUM(A1130))</f>
        <v/>
      </c>
      <c r="N1130" s="38">
        <f>IF(A1130="","",DATE(YEAR(A1130),MONTH(A1130),1))</f>
        <v/>
      </c>
    </row>
    <row r="1131">
      <c r="A1131" s="31" t="n"/>
      <c r="B1131" s="32" t="n"/>
      <c r="C1131" s="32" t="n"/>
      <c r="D1131" s="33" t="n"/>
      <c r="E1131" s="34" t="n"/>
      <c r="F1131" s="35" t="n"/>
      <c r="G1131" s="35" t="n"/>
      <c r="H1131" s="32" t="n"/>
      <c r="I1131" s="32" t="n"/>
      <c r="J1131" s="32" t="n"/>
      <c r="K1131" s="36">
        <f>IF(E1131&lt;&gt;"",E1131,IF(AND(F1131&lt;&gt;"",G1131&lt;&gt;""),MOD(G1131-F1131,1)*24,""))</f>
        <v/>
      </c>
      <c r="L1131" s="37">
        <f>IF(A1131="","",CHOOSE(WEEKDAY(A1131,2),"Montag","Dienstag","Mittwoch","Donnerstag","Freitag","Samstag","Sonntag"))</f>
        <v/>
      </c>
      <c r="M1131" s="37">
        <f>IF(A1131="","",_xlfn.ISOWEEKNUM(A1131))</f>
        <v/>
      </c>
      <c r="N1131" s="38">
        <f>IF(A1131="","",DATE(YEAR(A1131),MONTH(A1131),1))</f>
        <v/>
      </c>
    </row>
    <row r="1132">
      <c r="A1132" s="31" t="n"/>
      <c r="B1132" s="32" t="n"/>
      <c r="C1132" s="32" t="n"/>
      <c r="D1132" s="33" t="n"/>
      <c r="E1132" s="34" t="n"/>
      <c r="F1132" s="35" t="n"/>
      <c r="G1132" s="35" t="n"/>
      <c r="H1132" s="32" t="n"/>
      <c r="I1132" s="32" t="n"/>
      <c r="J1132" s="32" t="n"/>
      <c r="K1132" s="36">
        <f>IF(E1132&lt;&gt;"",E1132,IF(AND(F1132&lt;&gt;"",G1132&lt;&gt;""),MOD(G1132-F1132,1)*24,""))</f>
        <v/>
      </c>
      <c r="L1132" s="37">
        <f>IF(A1132="","",CHOOSE(WEEKDAY(A1132,2),"Montag","Dienstag","Mittwoch","Donnerstag","Freitag","Samstag","Sonntag"))</f>
        <v/>
      </c>
      <c r="M1132" s="37">
        <f>IF(A1132="","",_xlfn.ISOWEEKNUM(A1132))</f>
        <v/>
      </c>
      <c r="N1132" s="38">
        <f>IF(A1132="","",DATE(YEAR(A1132),MONTH(A1132),1))</f>
        <v/>
      </c>
    </row>
    <row r="1133">
      <c r="A1133" s="31" t="n"/>
      <c r="B1133" s="32" t="n"/>
      <c r="C1133" s="32" t="n"/>
      <c r="D1133" s="33" t="n"/>
      <c r="E1133" s="34" t="n"/>
      <c r="F1133" s="35" t="n"/>
      <c r="G1133" s="35" t="n"/>
      <c r="H1133" s="32" t="n"/>
      <c r="I1133" s="32" t="n"/>
      <c r="J1133" s="32" t="n"/>
      <c r="K1133" s="36">
        <f>IF(E1133&lt;&gt;"",E1133,IF(AND(F1133&lt;&gt;"",G1133&lt;&gt;""),MOD(G1133-F1133,1)*24,""))</f>
        <v/>
      </c>
      <c r="L1133" s="37">
        <f>IF(A1133="","",CHOOSE(WEEKDAY(A1133,2),"Montag","Dienstag","Mittwoch","Donnerstag","Freitag","Samstag","Sonntag"))</f>
        <v/>
      </c>
      <c r="M1133" s="37">
        <f>IF(A1133="","",_xlfn.ISOWEEKNUM(A1133))</f>
        <v/>
      </c>
      <c r="N1133" s="38">
        <f>IF(A1133="","",DATE(YEAR(A1133),MONTH(A1133),1))</f>
        <v/>
      </c>
    </row>
    <row r="1134">
      <c r="A1134" s="31" t="n"/>
      <c r="B1134" s="32" t="n"/>
      <c r="C1134" s="32" t="n"/>
      <c r="D1134" s="33" t="n"/>
      <c r="E1134" s="34" t="n"/>
      <c r="F1134" s="35" t="n"/>
      <c r="G1134" s="35" t="n"/>
      <c r="H1134" s="32" t="n"/>
      <c r="I1134" s="32" t="n"/>
      <c r="J1134" s="32" t="n"/>
      <c r="K1134" s="36">
        <f>IF(E1134&lt;&gt;"",E1134,IF(AND(F1134&lt;&gt;"",G1134&lt;&gt;""),MOD(G1134-F1134,1)*24,""))</f>
        <v/>
      </c>
      <c r="L1134" s="37">
        <f>IF(A1134="","",CHOOSE(WEEKDAY(A1134,2),"Montag","Dienstag","Mittwoch","Donnerstag","Freitag","Samstag","Sonntag"))</f>
        <v/>
      </c>
      <c r="M1134" s="37">
        <f>IF(A1134="","",_xlfn.ISOWEEKNUM(A1134))</f>
        <v/>
      </c>
      <c r="N1134" s="38">
        <f>IF(A1134="","",DATE(YEAR(A1134),MONTH(A1134),1))</f>
        <v/>
      </c>
    </row>
    <row r="1135">
      <c r="A1135" s="31" t="n"/>
      <c r="B1135" s="32" t="n"/>
      <c r="C1135" s="32" t="n"/>
      <c r="D1135" s="33" t="n"/>
      <c r="E1135" s="34" t="n"/>
      <c r="F1135" s="35" t="n"/>
      <c r="G1135" s="35" t="n"/>
      <c r="H1135" s="32" t="n"/>
      <c r="I1135" s="32" t="n"/>
      <c r="J1135" s="32" t="n"/>
      <c r="K1135" s="36">
        <f>IF(E1135&lt;&gt;"",E1135,IF(AND(F1135&lt;&gt;"",G1135&lt;&gt;""),MOD(G1135-F1135,1)*24,""))</f>
        <v/>
      </c>
      <c r="L1135" s="37">
        <f>IF(A1135="","",CHOOSE(WEEKDAY(A1135,2),"Montag","Dienstag","Mittwoch","Donnerstag","Freitag","Samstag","Sonntag"))</f>
        <v/>
      </c>
      <c r="M1135" s="37">
        <f>IF(A1135="","",_xlfn.ISOWEEKNUM(A1135))</f>
        <v/>
      </c>
      <c r="N1135" s="38">
        <f>IF(A1135="","",DATE(YEAR(A1135),MONTH(A1135),1))</f>
        <v/>
      </c>
    </row>
    <row r="1136">
      <c r="A1136" s="31" t="n"/>
      <c r="B1136" s="32" t="n"/>
      <c r="C1136" s="32" t="n"/>
      <c r="D1136" s="33" t="n"/>
      <c r="E1136" s="34" t="n"/>
      <c r="F1136" s="35" t="n"/>
      <c r="G1136" s="35" t="n"/>
      <c r="H1136" s="32" t="n"/>
      <c r="I1136" s="32" t="n"/>
      <c r="J1136" s="32" t="n"/>
      <c r="K1136" s="36">
        <f>IF(E1136&lt;&gt;"",E1136,IF(AND(F1136&lt;&gt;"",G1136&lt;&gt;""),MOD(G1136-F1136,1)*24,""))</f>
        <v/>
      </c>
      <c r="L1136" s="37">
        <f>IF(A1136="","",CHOOSE(WEEKDAY(A1136,2),"Montag","Dienstag","Mittwoch","Donnerstag","Freitag","Samstag","Sonntag"))</f>
        <v/>
      </c>
      <c r="M1136" s="37">
        <f>IF(A1136="","",_xlfn.ISOWEEKNUM(A1136))</f>
        <v/>
      </c>
      <c r="N1136" s="38">
        <f>IF(A1136="","",DATE(YEAR(A1136),MONTH(A1136),1))</f>
        <v/>
      </c>
    </row>
    <row r="1137">
      <c r="A1137" s="31" t="n"/>
      <c r="B1137" s="32" t="n"/>
      <c r="C1137" s="32" t="n"/>
      <c r="D1137" s="33" t="n"/>
      <c r="E1137" s="34" t="n"/>
      <c r="F1137" s="35" t="n"/>
      <c r="G1137" s="35" t="n"/>
      <c r="H1137" s="32" t="n"/>
      <c r="I1137" s="32" t="n"/>
      <c r="J1137" s="32" t="n"/>
      <c r="K1137" s="36">
        <f>IF(E1137&lt;&gt;"",E1137,IF(AND(F1137&lt;&gt;"",G1137&lt;&gt;""),MOD(G1137-F1137,1)*24,""))</f>
        <v/>
      </c>
      <c r="L1137" s="37">
        <f>IF(A1137="","",CHOOSE(WEEKDAY(A1137,2),"Montag","Dienstag","Mittwoch","Donnerstag","Freitag","Samstag","Sonntag"))</f>
        <v/>
      </c>
      <c r="M1137" s="37">
        <f>IF(A1137="","",_xlfn.ISOWEEKNUM(A1137))</f>
        <v/>
      </c>
      <c r="N1137" s="38">
        <f>IF(A1137="","",DATE(YEAR(A1137),MONTH(A1137),1))</f>
        <v/>
      </c>
    </row>
    <row r="1138">
      <c r="A1138" s="31" t="n"/>
      <c r="B1138" s="32" t="n"/>
      <c r="C1138" s="32" t="n"/>
      <c r="D1138" s="33" t="n"/>
      <c r="E1138" s="34" t="n"/>
      <c r="F1138" s="35" t="n"/>
      <c r="G1138" s="35" t="n"/>
      <c r="H1138" s="32" t="n"/>
      <c r="I1138" s="32" t="n"/>
      <c r="J1138" s="32" t="n"/>
      <c r="K1138" s="36">
        <f>IF(E1138&lt;&gt;"",E1138,IF(AND(F1138&lt;&gt;"",G1138&lt;&gt;""),MOD(G1138-F1138,1)*24,""))</f>
        <v/>
      </c>
      <c r="L1138" s="37">
        <f>IF(A1138="","",CHOOSE(WEEKDAY(A1138,2),"Montag","Dienstag","Mittwoch","Donnerstag","Freitag","Samstag","Sonntag"))</f>
        <v/>
      </c>
      <c r="M1138" s="37">
        <f>IF(A1138="","",_xlfn.ISOWEEKNUM(A1138))</f>
        <v/>
      </c>
      <c r="N1138" s="38">
        <f>IF(A1138="","",DATE(YEAR(A1138),MONTH(A1138),1))</f>
        <v/>
      </c>
    </row>
    <row r="1139">
      <c r="A1139" s="31" t="n"/>
      <c r="B1139" s="32" t="n"/>
      <c r="C1139" s="32" t="n"/>
      <c r="D1139" s="33" t="n"/>
      <c r="E1139" s="34" t="n"/>
      <c r="F1139" s="35" t="n"/>
      <c r="G1139" s="35" t="n"/>
      <c r="H1139" s="32" t="n"/>
      <c r="I1139" s="32" t="n"/>
      <c r="J1139" s="32" t="n"/>
      <c r="K1139" s="36">
        <f>IF(E1139&lt;&gt;"",E1139,IF(AND(F1139&lt;&gt;"",G1139&lt;&gt;""),MOD(G1139-F1139,1)*24,""))</f>
        <v/>
      </c>
      <c r="L1139" s="37">
        <f>IF(A1139="","",CHOOSE(WEEKDAY(A1139,2),"Montag","Dienstag","Mittwoch","Donnerstag","Freitag","Samstag","Sonntag"))</f>
        <v/>
      </c>
      <c r="M1139" s="37">
        <f>IF(A1139="","",_xlfn.ISOWEEKNUM(A1139))</f>
        <v/>
      </c>
      <c r="N1139" s="38">
        <f>IF(A1139="","",DATE(YEAR(A1139),MONTH(A1139),1))</f>
        <v/>
      </c>
    </row>
    <row r="1140">
      <c r="A1140" s="31" t="n"/>
      <c r="B1140" s="32" t="n"/>
      <c r="C1140" s="32" t="n"/>
      <c r="D1140" s="33" t="n"/>
      <c r="E1140" s="34" t="n"/>
      <c r="F1140" s="35" t="n"/>
      <c r="G1140" s="35" t="n"/>
      <c r="H1140" s="32" t="n"/>
      <c r="I1140" s="32" t="n"/>
      <c r="J1140" s="32" t="n"/>
      <c r="K1140" s="36">
        <f>IF(E1140&lt;&gt;"",E1140,IF(AND(F1140&lt;&gt;"",G1140&lt;&gt;""),MOD(G1140-F1140,1)*24,""))</f>
        <v/>
      </c>
      <c r="L1140" s="37">
        <f>IF(A1140="","",CHOOSE(WEEKDAY(A1140,2),"Montag","Dienstag","Mittwoch","Donnerstag","Freitag","Samstag","Sonntag"))</f>
        <v/>
      </c>
      <c r="M1140" s="37">
        <f>IF(A1140="","",_xlfn.ISOWEEKNUM(A1140))</f>
        <v/>
      </c>
      <c r="N1140" s="38">
        <f>IF(A1140="","",DATE(YEAR(A1140),MONTH(A1140),1))</f>
        <v/>
      </c>
    </row>
    <row r="1141">
      <c r="A1141" s="31" t="n"/>
      <c r="B1141" s="32" t="n"/>
      <c r="C1141" s="32" t="n"/>
      <c r="D1141" s="33" t="n"/>
      <c r="E1141" s="34" t="n"/>
      <c r="F1141" s="35" t="n"/>
      <c r="G1141" s="35" t="n"/>
      <c r="H1141" s="32" t="n"/>
      <c r="I1141" s="32" t="n"/>
      <c r="J1141" s="32" t="n"/>
      <c r="K1141" s="36">
        <f>IF(E1141&lt;&gt;"",E1141,IF(AND(F1141&lt;&gt;"",G1141&lt;&gt;""),MOD(G1141-F1141,1)*24,""))</f>
        <v/>
      </c>
      <c r="L1141" s="37">
        <f>IF(A1141="","",CHOOSE(WEEKDAY(A1141,2),"Montag","Dienstag","Mittwoch","Donnerstag","Freitag","Samstag","Sonntag"))</f>
        <v/>
      </c>
      <c r="M1141" s="37">
        <f>IF(A1141="","",_xlfn.ISOWEEKNUM(A1141))</f>
        <v/>
      </c>
      <c r="N1141" s="38">
        <f>IF(A1141="","",DATE(YEAR(A1141),MONTH(A1141),1))</f>
        <v/>
      </c>
    </row>
    <row r="1142">
      <c r="A1142" s="31" t="n"/>
      <c r="B1142" s="32" t="n"/>
      <c r="C1142" s="32" t="n"/>
      <c r="D1142" s="33" t="n"/>
      <c r="E1142" s="34" t="n"/>
      <c r="F1142" s="35" t="n"/>
      <c r="G1142" s="35" t="n"/>
      <c r="H1142" s="32" t="n"/>
      <c r="I1142" s="32" t="n"/>
      <c r="J1142" s="32" t="n"/>
      <c r="K1142" s="36">
        <f>IF(E1142&lt;&gt;"",E1142,IF(AND(F1142&lt;&gt;"",G1142&lt;&gt;""),MOD(G1142-F1142,1)*24,""))</f>
        <v/>
      </c>
      <c r="L1142" s="37">
        <f>IF(A1142="","",CHOOSE(WEEKDAY(A1142,2),"Montag","Dienstag","Mittwoch","Donnerstag","Freitag","Samstag","Sonntag"))</f>
        <v/>
      </c>
      <c r="M1142" s="37">
        <f>IF(A1142="","",_xlfn.ISOWEEKNUM(A1142))</f>
        <v/>
      </c>
      <c r="N1142" s="38">
        <f>IF(A1142="","",DATE(YEAR(A1142),MONTH(A1142),1))</f>
        <v/>
      </c>
    </row>
    <row r="1143">
      <c r="A1143" s="31" t="n"/>
      <c r="B1143" s="32" t="n"/>
      <c r="C1143" s="32" t="n"/>
      <c r="D1143" s="33" t="n"/>
      <c r="E1143" s="34" t="n"/>
      <c r="F1143" s="35" t="n"/>
      <c r="G1143" s="35" t="n"/>
      <c r="H1143" s="32" t="n"/>
      <c r="I1143" s="32" t="n"/>
      <c r="J1143" s="32" t="n"/>
      <c r="K1143" s="36">
        <f>IF(E1143&lt;&gt;"",E1143,IF(AND(F1143&lt;&gt;"",G1143&lt;&gt;""),MOD(G1143-F1143,1)*24,""))</f>
        <v/>
      </c>
      <c r="L1143" s="37">
        <f>IF(A1143="","",CHOOSE(WEEKDAY(A1143,2),"Montag","Dienstag","Mittwoch","Donnerstag","Freitag","Samstag","Sonntag"))</f>
        <v/>
      </c>
      <c r="M1143" s="37">
        <f>IF(A1143="","",_xlfn.ISOWEEKNUM(A1143))</f>
        <v/>
      </c>
      <c r="N1143" s="38">
        <f>IF(A1143="","",DATE(YEAR(A1143),MONTH(A1143),1))</f>
        <v/>
      </c>
    </row>
    <row r="1144">
      <c r="A1144" s="31" t="n"/>
      <c r="B1144" s="32" t="n"/>
      <c r="C1144" s="32" t="n"/>
      <c r="D1144" s="33" t="n"/>
      <c r="E1144" s="34" t="n"/>
      <c r="F1144" s="35" t="n"/>
      <c r="G1144" s="35" t="n"/>
      <c r="H1144" s="32" t="n"/>
      <c r="I1144" s="32" t="n"/>
      <c r="J1144" s="32" t="n"/>
      <c r="K1144" s="36">
        <f>IF(E1144&lt;&gt;"",E1144,IF(AND(F1144&lt;&gt;"",G1144&lt;&gt;""),MOD(G1144-F1144,1)*24,""))</f>
        <v/>
      </c>
      <c r="L1144" s="37">
        <f>IF(A1144="","",CHOOSE(WEEKDAY(A1144,2),"Montag","Dienstag","Mittwoch","Donnerstag","Freitag","Samstag","Sonntag"))</f>
        <v/>
      </c>
      <c r="M1144" s="37">
        <f>IF(A1144="","",_xlfn.ISOWEEKNUM(A1144))</f>
        <v/>
      </c>
      <c r="N1144" s="38">
        <f>IF(A1144="","",DATE(YEAR(A1144),MONTH(A1144),1))</f>
        <v/>
      </c>
    </row>
    <row r="1145">
      <c r="A1145" s="31" t="n"/>
      <c r="B1145" s="32" t="n"/>
      <c r="C1145" s="32" t="n"/>
      <c r="D1145" s="33" t="n"/>
      <c r="E1145" s="34" t="n"/>
      <c r="F1145" s="35" t="n"/>
      <c r="G1145" s="35" t="n"/>
      <c r="H1145" s="32" t="n"/>
      <c r="I1145" s="32" t="n"/>
      <c r="J1145" s="32" t="n"/>
      <c r="K1145" s="36">
        <f>IF(E1145&lt;&gt;"",E1145,IF(AND(F1145&lt;&gt;"",G1145&lt;&gt;""),MOD(G1145-F1145,1)*24,""))</f>
        <v/>
      </c>
      <c r="L1145" s="37">
        <f>IF(A1145="","",CHOOSE(WEEKDAY(A1145,2),"Montag","Dienstag","Mittwoch","Donnerstag","Freitag","Samstag","Sonntag"))</f>
        <v/>
      </c>
      <c r="M1145" s="37">
        <f>IF(A1145="","",_xlfn.ISOWEEKNUM(A1145))</f>
        <v/>
      </c>
      <c r="N1145" s="38">
        <f>IF(A1145="","",DATE(YEAR(A1145),MONTH(A1145),1))</f>
        <v/>
      </c>
    </row>
    <row r="1146">
      <c r="A1146" s="31" t="n"/>
      <c r="B1146" s="32" t="n"/>
      <c r="C1146" s="32" t="n"/>
      <c r="D1146" s="33" t="n"/>
      <c r="E1146" s="34" t="n"/>
      <c r="F1146" s="35" t="n"/>
      <c r="G1146" s="35" t="n"/>
      <c r="H1146" s="32" t="n"/>
      <c r="I1146" s="32" t="n"/>
      <c r="J1146" s="32" t="n"/>
      <c r="K1146" s="36">
        <f>IF(E1146&lt;&gt;"",E1146,IF(AND(F1146&lt;&gt;"",G1146&lt;&gt;""),MOD(G1146-F1146,1)*24,""))</f>
        <v/>
      </c>
      <c r="L1146" s="37">
        <f>IF(A1146="","",CHOOSE(WEEKDAY(A1146,2),"Montag","Dienstag","Mittwoch","Donnerstag","Freitag","Samstag","Sonntag"))</f>
        <v/>
      </c>
      <c r="M1146" s="37">
        <f>IF(A1146="","",_xlfn.ISOWEEKNUM(A1146))</f>
        <v/>
      </c>
      <c r="N1146" s="38">
        <f>IF(A1146="","",DATE(YEAR(A1146),MONTH(A1146),1))</f>
        <v/>
      </c>
    </row>
    <row r="1147">
      <c r="A1147" s="31" t="n"/>
      <c r="B1147" s="32" t="n"/>
      <c r="C1147" s="32" t="n"/>
      <c r="D1147" s="33" t="n"/>
      <c r="E1147" s="34" t="n"/>
      <c r="F1147" s="35" t="n"/>
      <c r="G1147" s="35" t="n"/>
      <c r="H1147" s="32" t="n"/>
      <c r="I1147" s="32" t="n"/>
      <c r="J1147" s="32" t="n"/>
      <c r="K1147" s="36">
        <f>IF(E1147&lt;&gt;"",E1147,IF(AND(F1147&lt;&gt;"",G1147&lt;&gt;""),MOD(G1147-F1147,1)*24,""))</f>
        <v/>
      </c>
      <c r="L1147" s="37">
        <f>IF(A1147="","",CHOOSE(WEEKDAY(A1147,2),"Montag","Dienstag","Mittwoch","Donnerstag","Freitag","Samstag","Sonntag"))</f>
        <v/>
      </c>
      <c r="M1147" s="37">
        <f>IF(A1147="","",_xlfn.ISOWEEKNUM(A1147))</f>
        <v/>
      </c>
      <c r="N1147" s="38">
        <f>IF(A1147="","",DATE(YEAR(A1147),MONTH(A1147),1))</f>
        <v/>
      </c>
    </row>
    <row r="1148">
      <c r="A1148" s="31" t="n"/>
      <c r="B1148" s="32" t="n"/>
      <c r="C1148" s="32" t="n"/>
      <c r="D1148" s="33" t="n"/>
      <c r="E1148" s="34" t="n"/>
      <c r="F1148" s="35" t="n"/>
      <c r="G1148" s="35" t="n"/>
      <c r="H1148" s="32" t="n"/>
      <c r="I1148" s="32" t="n"/>
      <c r="J1148" s="32" t="n"/>
      <c r="K1148" s="36">
        <f>IF(E1148&lt;&gt;"",E1148,IF(AND(F1148&lt;&gt;"",G1148&lt;&gt;""),MOD(G1148-F1148,1)*24,""))</f>
        <v/>
      </c>
      <c r="L1148" s="37">
        <f>IF(A1148="","",CHOOSE(WEEKDAY(A1148,2),"Montag","Dienstag","Mittwoch","Donnerstag","Freitag","Samstag","Sonntag"))</f>
        <v/>
      </c>
      <c r="M1148" s="37">
        <f>IF(A1148="","",_xlfn.ISOWEEKNUM(A1148))</f>
        <v/>
      </c>
      <c r="N1148" s="38">
        <f>IF(A1148="","",DATE(YEAR(A1148),MONTH(A1148),1))</f>
        <v/>
      </c>
    </row>
    <row r="1149">
      <c r="A1149" s="31" t="n"/>
      <c r="B1149" s="32" t="n"/>
      <c r="C1149" s="32" t="n"/>
      <c r="D1149" s="33" t="n"/>
      <c r="E1149" s="34" t="n"/>
      <c r="F1149" s="35" t="n"/>
      <c r="G1149" s="35" t="n"/>
      <c r="H1149" s="32" t="n"/>
      <c r="I1149" s="32" t="n"/>
      <c r="J1149" s="32" t="n"/>
      <c r="K1149" s="36">
        <f>IF(E1149&lt;&gt;"",E1149,IF(AND(F1149&lt;&gt;"",G1149&lt;&gt;""),MOD(G1149-F1149,1)*24,""))</f>
        <v/>
      </c>
      <c r="L1149" s="37">
        <f>IF(A1149="","",CHOOSE(WEEKDAY(A1149,2),"Montag","Dienstag","Mittwoch","Donnerstag","Freitag","Samstag","Sonntag"))</f>
        <v/>
      </c>
      <c r="M1149" s="37">
        <f>IF(A1149="","",_xlfn.ISOWEEKNUM(A1149))</f>
        <v/>
      </c>
      <c r="N1149" s="38">
        <f>IF(A1149="","",DATE(YEAR(A1149),MONTH(A1149),1))</f>
        <v/>
      </c>
    </row>
    <row r="1150">
      <c r="A1150" s="31" t="n"/>
      <c r="B1150" s="32" t="n"/>
      <c r="C1150" s="32" t="n"/>
      <c r="D1150" s="33" t="n"/>
      <c r="E1150" s="34" t="n"/>
      <c r="F1150" s="35" t="n"/>
      <c r="G1150" s="35" t="n"/>
      <c r="H1150" s="32" t="n"/>
      <c r="I1150" s="32" t="n"/>
      <c r="J1150" s="32" t="n"/>
      <c r="K1150" s="36">
        <f>IF(E1150&lt;&gt;"",E1150,IF(AND(F1150&lt;&gt;"",G1150&lt;&gt;""),MOD(G1150-F1150,1)*24,""))</f>
        <v/>
      </c>
      <c r="L1150" s="37">
        <f>IF(A1150="","",CHOOSE(WEEKDAY(A1150,2),"Montag","Dienstag","Mittwoch","Donnerstag","Freitag","Samstag","Sonntag"))</f>
        <v/>
      </c>
      <c r="M1150" s="37">
        <f>IF(A1150="","",_xlfn.ISOWEEKNUM(A1150))</f>
        <v/>
      </c>
      <c r="N1150" s="38">
        <f>IF(A1150="","",DATE(YEAR(A1150),MONTH(A1150),1))</f>
        <v/>
      </c>
    </row>
    <row r="1151">
      <c r="A1151" s="31" t="n"/>
      <c r="B1151" s="32" t="n"/>
      <c r="C1151" s="32" t="n"/>
      <c r="D1151" s="33" t="n"/>
      <c r="E1151" s="34" t="n"/>
      <c r="F1151" s="35" t="n"/>
      <c r="G1151" s="35" t="n"/>
      <c r="H1151" s="32" t="n"/>
      <c r="I1151" s="32" t="n"/>
      <c r="J1151" s="32" t="n"/>
      <c r="K1151" s="36">
        <f>IF(E1151&lt;&gt;"",E1151,IF(AND(F1151&lt;&gt;"",G1151&lt;&gt;""),MOD(G1151-F1151,1)*24,""))</f>
        <v/>
      </c>
      <c r="L1151" s="37">
        <f>IF(A1151="","",CHOOSE(WEEKDAY(A1151,2),"Montag","Dienstag","Mittwoch","Donnerstag","Freitag","Samstag","Sonntag"))</f>
        <v/>
      </c>
      <c r="M1151" s="37">
        <f>IF(A1151="","",_xlfn.ISOWEEKNUM(A1151))</f>
        <v/>
      </c>
      <c r="N1151" s="38">
        <f>IF(A1151="","",DATE(YEAR(A1151),MONTH(A1151),1))</f>
        <v/>
      </c>
    </row>
    <row r="1152">
      <c r="A1152" s="31" t="n"/>
      <c r="B1152" s="32" t="n"/>
      <c r="C1152" s="32" t="n"/>
      <c r="D1152" s="33" t="n"/>
      <c r="E1152" s="34" t="n"/>
      <c r="F1152" s="35" t="n"/>
      <c r="G1152" s="35" t="n"/>
      <c r="H1152" s="32" t="n"/>
      <c r="I1152" s="32" t="n"/>
      <c r="J1152" s="32" t="n"/>
      <c r="K1152" s="36">
        <f>IF(E1152&lt;&gt;"",E1152,IF(AND(F1152&lt;&gt;"",G1152&lt;&gt;""),MOD(G1152-F1152,1)*24,""))</f>
        <v/>
      </c>
      <c r="L1152" s="37">
        <f>IF(A1152="","",CHOOSE(WEEKDAY(A1152,2),"Montag","Dienstag","Mittwoch","Donnerstag","Freitag","Samstag","Sonntag"))</f>
        <v/>
      </c>
      <c r="M1152" s="37">
        <f>IF(A1152="","",_xlfn.ISOWEEKNUM(A1152))</f>
        <v/>
      </c>
      <c r="N1152" s="38">
        <f>IF(A1152="","",DATE(YEAR(A1152),MONTH(A1152),1))</f>
        <v/>
      </c>
    </row>
    <row r="1153">
      <c r="A1153" s="31" t="n"/>
      <c r="B1153" s="32" t="n"/>
      <c r="C1153" s="32" t="n"/>
      <c r="D1153" s="33" t="n"/>
      <c r="E1153" s="34" t="n"/>
      <c r="F1153" s="35" t="n"/>
      <c r="G1153" s="35" t="n"/>
      <c r="H1153" s="32" t="n"/>
      <c r="I1153" s="32" t="n"/>
      <c r="J1153" s="32" t="n"/>
      <c r="K1153" s="36">
        <f>IF(E1153&lt;&gt;"",E1153,IF(AND(F1153&lt;&gt;"",G1153&lt;&gt;""),MOD(G1153-F1153,1)*24,""))</f>
        <v/>
      </c>
      <c r="L1153" s="37">
        <f>IF(A1153="","",CHOOSE(WEEKDAY(A1153,2),"Montag","Dienstag","Mittwoch","Donnerstag","Freitag","Samstag","Sonntag"))</f>
        <v/>
      </c>
      <c r="M1153" s="37">
        <f>IF(A1153="","",_xlfn.ISOWEEKNUM(A1153))</f>
        <v/>
      </c>
      <c r="N1153" s="38">
        <f>IF(A1153="","",DATE(YEAR(A1153),MONTH(A1153),1))</f>
        <v/>
      </c>
    </row>
    <row r="1154">
      <c r="A1154" s="31" t="n"/>
      <c r="B1154" s="32" t="n"/>
      <c r="C1154" s="32" t="n"/>
      <c r="D1154" s="33" t="n"/>
      <c r="E1154" s="34" t="n"/>
      <c r="F1154" s="35" t="n"/>
      <c r="G1154" s="35" t="n"/>
      <c r="H1154" s="32" t="n"/>
      <c r="I1154" s="32" t="n"/>
      <c r="J1154" s="32" t="n"/>
      <c r="K1154" s="36">
        <f>IF(E1154&lt;&gt;"",E1154,IF(AND(F1154&lt;&gt;"",G1154&lt;&gt;""),MOD(G1154-F1154,1)*24,""))</f>
        <v/>
      </c>
      <c r="L1154" s="37">
        <f>IF(A1154="","",CHOOSE(WEEKDAY(A1154,2),"Montag","Dienstag","Mittwoch","Donnerstag","Freitag","Samstag","Sonntag"))</f>
        <v/>
      </c>
      <c r="M1154" s="37">
        <f>IF(A1154="","",_xlfn.ISOWEEKNUM(A1154))</f>
        <v/>
      </c>
      <c r="N1154" s="38">
        <f>IF(A1154="","",DATE(YEAR(A1154),MONTH(A1154),1))</f>
        <v/>
      </c>
    </row>
    <row r="1155">
      <c r="A1155" s="31" t="n"/>
      <c r="B1155" s="32" t="n"/>
      <c r="C1155" s="32" t="n"/>
      <c r="D1155" s="33" t="n"/>
      <c r="E1155" s="34" t="n"/>
      <c r="F1155" s="35" t="n"/>
      <c r="G1155" s="35" t="n"/>
      <c r="H1155" s="32" t="n"/>
      <c r="I1155" s="32" t="n"/>
      <c r="J1155" s="32" t="n"/>
      <c r="K1155" s="36">
        <f>IF(E1155&lt;&gt;"",E1155,IF(AND(F1155&lt;&gt;"",G1155&lt;&gt;""),MOD(G1155-F1155,1)*24,""))</f>
        <v/>
      </c>
      <c r="L1155" s="37">
        <f>IF(A1155="","",CHOOSE(WEEKDAY(A1155,2),"Montag","Dienstag","Mittwoch","Donnerstag","Freitag","Samstag","Sonntag"))</f>
        <v/>
      </c>
      <c r="M1155" s="37">
        <f>IF(A1155="","",_xlfn.ISOWEEKNUM(A1155))</f>
        <v/>
      </c>
      <c r="N1155" s="38">
        <f>IF(A1155="","",DATE(YEAR(A1155),MONTH(A1155),1))</f>
        <v/>
      </c>
    </row>
    <row r="1156">
      <c r="A1156" s="31" t="n"/>
      <c r="B1156" s="32" t="n"/>
      <c r="C1156" s="32" t="n"/>
      <c r="D1156" s="33" t="n"/>
      <c r="E1156" s="34" t="n"/>
      <c r="F1156" s="35" t="n"/>
      <c r="G1156" s="35" t="n"/>
      <c r="H1156" s="32" t="n"/>
      <c r="I1156" s="32" t="n"/>
      <c r="J1156" s="32" t="n"/>
      <c r="K1156" s="36">
        <f>IF(E1156&lt;&gt;"",E1156,IF(AND(F1156&lt;&gt;"",G1156&lt;&gt;""),MOD(G1156-F1156,1)*24,""))</f>
        <v/>
      </c>
      <c r="L1156" s="37">
        <f>IF(A1156="","",CHOOSE(WEEKDAY(A1156,2),"Montag","Dienstag","Mittwoch","Donnerstag","Freitag","Samstag","Sonntag"))</f>
        <v/>
      </c>
      <c r="M1156" s="37">
        <f>IF(A1156="","",_xlfn.ISOWEEKNUM(A1156))</f>
        <v/>
      </c>
      <c r="N1156" s="38">
        <f>IF(A1156="","",DATE(YEAR(A1156),MONTH(A1156),1))</f>
        <v/>
      </c>
    </row>
    <row r="1157">
      <c r="A1157" s="31" t="n"/>
      <c r="B1157" s="32" t="n"/>
      <c r="C1157" s="32" t="n"/>
      <c r="D1157" s="33" t="n"/>
      <c r="E1157" s="34" t="n"/>
      <c r="F1157" s="35" t="n"/>
      <c r="G1157" s="35" t="n"/>
      <c r="H1157" s="32" t="n"/>
      <c r="I1157" s="32" t="n"/>
      <c r="J1157" s="32" t="n"/>
      <c r="K1157" s="36">
        <f>IF(E1157&lt;&gt;"",E1157,IF(AND(F1157&lt;&gt;"",G1157&lt;&gt;""),MOD(G1157-F1157,1)*24,""))</f>
        <v/>
      </c>
      <c r="L1157" s="37">
        <f>IF(A1157="","",CHOOSE(WEEKDAY(A1157,2),"Montag","Dienstag","Mittwoch","Donnerstag","Freitag","Samstag","Sonntag"))</f>
        <v/>
      </c>
      <c r="M1157" s="37">
        <f>IF(A1157="","",_xlfn.ISOWEEKNUM(A1157))</f>
        <v/>
      </c>
      <c r="N1157" s="38">
        <f>IF(A1157="","",DATE(YEAR(A1157),MONTH(A1157),1))</f>
        <v/>
      </c>
    </row>
    <row r="1158">
      <c r="A1158" s="31" t="n"/>
      <c r="B1158" s="32" t="n"/>
      <c r="C1158" s="32" t="n"/>
      <c r="D1158" s="33" t="n"/>
      <c r="E1158" s="34" t="n"/>
      <c r="F1158" s="35" t="n"/>
      <c r="G1158" s="35" t="n"/>
      <c r="H1158" s="32" t="n"/>
      <c r="I1158" s="32" t="n"/>
      <c r="J1158" s="32" t="n"/>
      <c r="K1158" s="36">
        <f>IF(E1158&lt;&gt;"",E1158,IF(AND(F1158&lt;&gt;"",G1158&lt;&gt;""),MOD(G1158-F1158,1)*24,""))</f>
        <v/>
      </c>
      <c r="L1158" s="37">
        <f>IF(A1158="","",CHOOSE(WEEKDAY(A1158,2),"Montag","Dienstag","Mittwoch","Donnerstag","Freitag","Samstag","Sonntag"))</f>
        <v/>
      </c>
      <c r="M1158" s="37">
        <f>IF(A1158="","",_xlfn.ISOWEEKNUM(A1158))</f>
        <v/>
      </c>
      <c r="N1158" s="38">
        <f>IF(A1158="","",DATE(YEAR(A1158),MONTH(A1158),1))</f>
        <v/>
      </c>
    </row>
    <row r="1159">
      <c r="A1159" s="31" t="n"/>
      <c r="B1159" s="32" t="n"/>
      <c r="C1159" s="32" t="n"/>
      <c r="D1159" s="33" t="n"/>
      <c r="E1159" s="34" t="n"/>
      <c r="F1159" s="35" t="n"/>
      <c r="G1159" s="35" t="n"/>
      <c r="H1159" s="32" t="n"/>
      <c r="I1159" s="32" t="n"/>
      <c r="J1159" s="32" t="n"/>
      <c r="K1159" s="36">
        <f>IF(E1159&lt;&gt;"",E1159,IF(AND(F1159&lt;&gt;"",G1159&lt;&gt;""),MOD(G1159-F1159,1)*24,""))</f>
        <v/>
      </c>
      <c r="L1159" s="37">
        <f>IF(A1159="","",CHOOSE(WEEKDAY(A1159,2),"Montag","Dienstag","Mittwoch","Donnerstag","Freitag","Samstag","Sonntag"))</f>
        <v/>
      </c>
      <c r="M1159" s="37">
        <f>IF(A1159="","",_xlfn.ISOWEEKNUM(A1159))</f>
        <v/>
      </c>
      <c r="N1159" s="38">
        <f>IF(A1159="","",DATE(YEAR(A1159),MONTH(A1159),1))</f>
        <v/>
      </c>
    </row>
    <row r="1160">
      <c r="A1160" s="31" t="n"/>
      <c r="B1160" s="32" t="n"/>
      <c r="C1160" s="32" t="n"/>
      <c r="D1160" s="33" t="n"/>
      <c r="E1160" s="34" t="n"/>
      <c r="F1160" s="35" t="n"/>
      <c r="G1160" s="35" t="n"/>
      <c r="H1160" s="32" t="n"/>
      <c r="I1160" s="32" t="n"/>
      <c r="J1160" s="32" t="n"/>
      <c r="K1160" s="36">
        <f>IF(E1160&lt;&gt;"",E1160,IF(AND(F1160&lt;&gt;"",G1160&lt;&gt;""),MOD(G1160-F1160,1)*24,""))</f>
        <v/>
      </c>
      <c r="L1160" s="37">
        <f>IF(A1160="","",CHOOSE(WEEKDAY(A1160,2),"Montag","Dienstag","Mittwoch","Donnerstag","Freitag","Samstag","Sonntag"))</f>
        <v/>
      </c>
      <c r="M1160" s="37">
        <f>IF(A1160="","",_xlfn.ISOWEEKNUM(A1160))</f>
        <v/>
      </c>
      <c r="N1160" s="38">
        <f>IF(A1160="","",DATE(YEAR(A1160),MONTH(A1160),1))</f>
        <v/>
      </c>
    </row>
    <row r="1161">
      <c r="A1161" s="31" t="n"/>
      <c r="B1161" s="32" t="n"/>
      <c r="C1161" s="32" t="n"/>
      <c r="D1161" s="33" t="n"/>
      <c r="E1161" s="34" t="n"/>
      <c r="F1161" s="35" t="n"/>
      <c r="G1161" s="35" t="n"/>
      <c r="H1161" s="32" t="n"/>
      <c r="I1161" s="32" t="n"/>
      <c r="J1161" s="32" t="n"/>
      <c r="K1161" s="36">
        <f>IF(E1161&lt;&gt;"",E1161,IF(AND(F1161&lt;&gt;"",G1161&lt;&gt;""),MOD(G1161-F1161,1)*24,""))</f>
        <v/>
      </c>
      <c r="L1161" s="37">
        <f>IF(A1161="","",CHOOSE(WEEKDAY(A1161,2),"Montag","Dienstag","Mittwoch","Donnerstag","Freitag","Samstag","Sonntag"))</f>
        <v/>
      </c>
      <c r="M1161" s="37">
        <f>IF(A1161="","",_xlfn.ISOWEEKNUM(A1161))</f>
        <v/>
      </c>
      <c r="N1161" s="38">
        <f>IF(A1161="","",DATE(YEAR(A1161),MONTH(A1161),1))</f>
        <v/>
      </c>
    </row>
    <row r="1162">
      <c r="A1162" s="31" t="n"/>
      <c r="B1162" s="32" t="n"/>
      <c r="C1162" s="32" t="n"/>
      <c r="D1162" s="33" t="n"/>
      <c r="E1162" s="34" t="n"/>
      <c r="F1162" s="35" t="n"/>
      <c r="G1162" s="35" t="n"/>
      <c r="H1162" s="32" t="n"/>
      <c r="I1162" s="32" t="n"/>
      <c r="J1162" s="32" t="n"/>
      <c r="K1162" s="36">
        <f>IF(E1162&lt;&gt;"",E1162,IF(AND(F1162&lt;&gt;"",G1162&lt;&gt;""),MOD(G1162-F1162,1)*24,""))</f>
        <v/>
      </c>
      <c r="L1162" s="37">
        <f>IF(A1162="","",CHOOSE(WEEKDAY(A1162,2),"Montag","Dienstag","Mittwoch","Donnerstag","Freitag","Samstag","Sonntag"))</f>
        <v/>
      </c>
      <c r="M1162" s="37">
        <f>IF(A1162="","",_xlfn.ISOWEEKNUM(A1162))</f>
        <v/>
      </c>
      <c r="N1162" s="38">
        <f>IF(A1162="","",DATE(YEAR(A1162),MONTH(A1162),1))</f>
        <v/>
      </c>
    </row>
    <row r="1163">
      <c r="A1163" s="31" t="n"/>
      <c r="B1163" s="32" t="n"/>
      <c r="C1163" s="32" t="n"/>
      <c r="D1163" s="33" t="n"/>
      <c r="E1163" s="34" t="n"/>
      <c r="F1163" s="35" t="n"/>
      <c r="G1163" s="35" t="n"/>
      <c r="H1163" s="32" t="n"/>
      <c r="I1163" s="32" t="n"/>
      <c r="J1163" s="32" t="n"/>
      <c r="K1163" s="36">
        <f>IF(E1163&lt;&gt;"",E1163,IF(AND(F1163&lt;&gt;"",G1163&lt;&gt;""),MOD(G1163-F1163,1)*24,""))</f>
        <v/>
      </c>
      <c r="L1163" s="37">
        <f>IF(A1163="","",CHOOSE(WEEKDAY(A1163,2),"Montag","Dienstag","Mittwoch","Donnerstag","Freitag","Samstag","Sonntag"))</f>
        <v/>
      </c>
      <c r="M1163" s="37">
        <f>IF(A1163="","",_xlfn.ISOWEEKNUM(A1163))</f>
        <v/>
      </c>
      <c r="N1163" s="38">
        <f>IF(A1163="","",DATE(YEAR(A1163),MONTH(A1163),1))</f>
        <v/>
      </c>
    </row>
    <row r="1164">
      <c r="A1164" s="31" t="n"/>
      <c r="B1164" s="32" t="n"/>
      <c r="C1164" s="32" t="n"/>
      <c r="D1164" s="33" t="n"/>
      <c r="E1164" s="34" t="n"/>
      <c r="F1164" s="35" t="n"/>
      <c r="G1164" s="35" t="n"/>
      <c r="H1164" s="32" t="n"/>
      <c r="I1164" s="32" t="n"/>
      <c r="J1164" s="32" t="n"/>
      <c r="K1164" s="36">
        <f>IF(E1164&lt;&gt;"",E1164,IF(AND(F1164&lt;&gt;"",G1164&lt;&gt;""),MOD(G1164-F1164,1)*24,""))</f>
        <v/>
      </c>
      <c r="L1164" s="37">
        <f>IF(A1164="","",CHOOSE(WEEKDAY(A1164,2),"Montag","Dienstag","Mittwoch","Donnerstag","Freitag","Samstag","Sonntag"))</f>
        <v/>
      </c>
      <c r="M1164" s="37">
        <f>IF(A1164="","",_xlfn.ISOWEEKNUM(A1164))</f>
        <v/>
      </c>
      <c r="N1164" s="38">
        <f>IF(A1164="","",DATE(YEAR(A1164),MONTH(A1164),1))</f>
        <v/>
      </c>
    </row>
    <row r="1165">
      <c r="A1165" s="31" t="n"/>
      <c r="B1165" s="32" t="n"/>
      <c r="C1165" s="32" t="n"/>
      <c r="D1165" s="33" t="n"/>
      <c r="E1165" s="34" t="n"/>
      <c r="F1165" s="35" t="n"/>
      <c r="G1165" s="35" t="n"/>
      <c r="H1165" s="32" t="n"/>
      <c r="I1165" s="32" t="n"/>
      <c r="J1165" s="32" t="n"/>
      <c r="K1165" s="36">
        <f>IF(E1165&lt;&gt;"",E1165,IF(AND(F1165&lt;&gt;"",G1165&lt;&gt;""),MOD(G1165-F1165,1)*24,""))</f>
        <v/>
      </c>
      <c r="L1165" s="37">
        <f>IF(A1165="","",CHOOSE(WEEKDAY(A1165,2),"Montag","Dienstag","Mittwoch","Donnerstag","Freitag","Samstag","Sonntag"))</f>
        <v/>
      </c>
      <c r="M1165" s="37">
        <f>IF(A1165="","",_xlfn.ISOWEEKNUM(A1165))</f>
        <v/>
      </c>
      <c r="N1165" s="38">
        <f>IF(A1165="","",DATE(YEAR(A1165),MONTH(A1165),1))</f>
        <v/>
      </c>
    </row>
    <row r="1166">
      <c r="A1166" s="31" t="n"/>
      <c r="B1166" s="32" t="n"/>
      <c r="C1166" s="32" t="n"/>
      <c r="D1166" s="33" t="n"/>
      <c r="E1166" s="34" t="n"/>
      <c r="F1166" s="35" t="n"/>
      <c r="G1166" s="35" t="n"/>
      <c r="H1166" s="32" t="n"/>
      <c r="I1166" s="32" t="n"/>
      <c r="J1166" s="32" t="n"/>
      <c r="K1166" s="36">
        <f>IF(E1166&lt;&gt;"",E1166,IF(AND(F1166&lt;&gt;"",G1166&lt;&gt;""),MOD(G1166-F1166,1)*24,""))</f>
        <v/>
      </c>
      <c r="L1166" s="37">
        <f>IF(A1166="","",CHOOSE(WEEKDAY(A1166,2),"Montag","Dienstag","Mittwoch","Donnerstag","Freitag","Samstag","Sonntag"))</f>
        <v/>
      </c>
      <c r="M1166" s="37">
        <f>IF(A1166="","",_xlfn.ISOWEEKNUM(A1166))</f>
        <v/>
      </c>
      <c r="N1166" s="38">
        <f>IF(A1166="","",DATE(YEAR(A1166),MONTH(A1166),1))</f>
        <v/>
      </c>
    </row>
    <row r="1167">
      <c r="A1167" s="31" t="n"/>
      <c r="B1167" s="32" t="n"/>
      <c r="C1167" s="32" t="n"/>
      <c r="D1167" s="33" t="n"/>
      <c r="E1167" s="34" t="n"/>
      <c r="F1167" s="35" t="n"/>
      <c r="G1167" s="35" t="n"/>
      <c r="H1167" s="32" t="n"/>
      <c r="I1167" s="32" t="n"/>
      <c r="J1167" s="32" t="n"/>
      <c r="K1167" s="36">
        <f>IF(E1167&lt;&gt;"",E1167,IF(AND(F1167&lt;&gt;"",G1167&lt;&gt;""),MOD(G1167-F1167,1)*24,""))</f>
        <v/>
      </c>
      <c r="L1167" s="37">
        <f>IF(A1167="","",CHOOSE(WEEKDAY(A1167,2),"Montag","Dienstag","Mittwoch","Donnerstag","Freitag","Samstag","Sonntag"))</f>
        <v/>
      </c>
      <c r="M1167" s="37">
        <f>IF(A1167="","",_xlfn.ISOWEEKNUM(A1167))</f>
        <v/>
      </c>
      <c r="N1167" s="38">
        <f>IF(A1167="","",DATE(YEAR(A1167),MONTH(A1167),1))</f>
        <v/>
      </c>
    </row>
    <row r="1168">
      <c r="A1168" s="31" t="n"/>
      <c r="B1168" s="32" t="n"/>
      <c r="C1168" s="32" t="n"/>
      <c r="D1168" s="33" t="n"/>
      <c r="E1168" s="34" t="n"/>
      <c r="F1168" s="35" t="n"/>
      <c r="G1168" s="35" t="n"/>
      <c r="H1168" s="32" t="n"/>
      <c r="I1168" s="32" t="n"/>
      <c r="J1168" s="32" t="n"/>
      <c r="K1168" s="36">
        <f>IF(E1168&lt;&gt;"",E1168,IF(AND(F1168&lt;&gt;"",G1168&lt;&gt;""),MOD(G1168-F1168,1)*24,""))</f>
        <v/>
      </c>
      <c r="L1168" s="37">
        <f>IF(A1168="","",CHOOSE(WEEKDAY(A1168,2),"Montag","Dienstag","Mittwoch","Donnerstag","Freitag","Samstag","Sonntag"))</f>
        <v/>
      </c>
      <c r="M1168" s="37">
        <f>IF(A1168="","",_xlfn.ISOWEEKNUM(A1168))</f>
        <v/>
      </c>
      <c r="N1168" s="38">
        <f>IF(A1168="","",DATE(YEAR(A1168),MONTH(A1168),1))</f>
        <v/>
      </c>
    </row>
    <row r="1169">
      <c r="A1169" s="31" t="n"/>
      <c r="B1169" s="32" t="n"/>
      <c r="C1169" s="32" t="n"/>
      <c r="D1169" s="33" t="n"/>
      <c r="E1169" s="34" t="n"/>
      <c r="F1169" s="35" t="n"/>
      <c r="G1169" s="35" t="n"/>
      <c r="H1169" s="32" t="n"/>
      <c r="I1169" s="32" t="n"/>
      <c r="J1169" s="32" t="n"/>
      <c r="K1169" s="36">
        <f>IF(E1169&lt;&gt;"",E1169,IF(AND(F1169&lt;&gt;"",G1169&lt;&gt;""),MOD(G1169-F1169,1)*24,""))</f>
        <v/>
      </c>
      <c r="L1169" s="37">
        <f>IF(A1169="","",CHOOSE(WEEKDAY(A1169,2),"Montag","Dienstag","Mittwoch","Donnerstag","Freitag","Samstag","Sonntag"))</f>
        <v/>
      </c>
      <c r="M1169" s="37">
        <f>IF(A1169="","",_xlfn.ISOWEEKNUM(A1169))</f>
        <v/>
      </c>
      <c r="N1169" s="38">
        <f>IF(A1169="","",DATE(YEAR(A1169),MONTH(A1169),1))</f>
        <v/>
      </c>
    </row>
    <row r="1170">
      <c r="A1170" s="31" t="n"/>
      <c r="B1170" s="32" t="n"/>
      <c r="C1170" s="32" t="n"/>
      <c r="D1170" s="33" t="n"/>
      <c r="E1170" s="34" t="n"/>
      <c r="F1170" s="35" t="n"/>
      <c r="G1170" s="35" t="n"/>
      <c r="H1170" s="32" t="n"/>
      <c r="I1170" s="32" t="n"/>
      <c r="J1170" s="32" t="n"/>
      <c r="K1170" s="36">
        <f>IF(E1170&lt;&gt;"",E1170,IF(AND(F1170&lt;&gt;"",G1170&lt;&gt;""),MOD(G1170-F1170,1)*24,""))</f>
        <v/>
      </c>
      <c r="L1170" s="37">
        <f>IF(A1170="","",CHOOSE(WEEKDAY(A1170,2),"Montag","Dienstag","Mittwoch","Donnerstag","Freitag","Samstag","Sonntag"))</f>
        <v/>
      </c>
      <c r="M1170" s="37">
        <f>IF(A1170="","",_xlfn.ISOWEEKNUM(A1170))</f>
        <v/>
      </c>
      <c r="N1170" s="38">
        <f>IF(A1170="","",DATE(YEAR(A1170),MONTH(A1170),1))</f>
        <v/>
      </c>
    </row>
    <row r="1171">
      <c r="A1171" s="31" t="n"/>
      <c r="B1171" s="32" t="n"/>
      <c r="C1171" s="32" t="n"/>
      <c r="D1171" s="33" t="n"/>
      <c r="E1171" s="34" t="n"/>
      <c r="F1171" s="35" t="n"/>
      <c r="G1171" s="35" t="n"/>
      <c r="H1171" s="32" t="n"/>
      <c r="I1171" s="32" t="n"/>
      <c r="J1171" s="32" t="n"/>
      <c r="K1171" s="36">
        <f>IF(E1171&lt;&gt;"",E1171,IF(AND(F1171&lt;&gt;"",G1171&lt;&gt;""),MOD(G1171-F1171,1)*24,""))</f>
        <v/>
      </c>
      <c r="L1171" s="37">
        <f>IF(A1171="","",CHOOSE(WEEKDAY(A1171,2),"Montag","Dienstag","Mittwoch","Donnerstag","Freitag","Samstag","Sonntag"))</f>
        <v/>
      </c>
      <c r="M1171" s="37">
        <f>IF(A1171="","",_xlfn.ISOWEEKNUM(A1171))</f>
        <v/>
      </c>
      <c r="N1171" s="38">
        <f>IF(A1171="","",DATE(YEAR(A1171),MONTH(A1171),1))</f>
        <v/>
      </c>
    </row>
    <row r="1172">
      <c r="A1172" s="31" t="n"/>
      <c r="B1172" s="32" t="n"/>
      <c r="C1172" s="32" t="n"/>
      <c r="D1172" s="33" t="n"/>
      <c r="E1172" s="34" t="n"/>
      <c r="F1172" s="35" t="n"/>
      <c r="G1172" s="35" t="n"/>
      <c r="H1172" s="32" t="n"/>
      <c r="I1172" s="32" t="n"/>
      <c r="J1172" s="32" t="n"/>
      <c r="K1172" s="36">
        <f>IF(E1172&lt;&gt;"",E1172,IF(AND(F1172&lt;&gt;"",G1172&lt;&gt;""),MOD(G1172-F1172,1)*24,""))</f>
        <v/>
      </c>
      <c r="L1172" s="37">
        <f>IF(A1172="","",CHOOSE(WEEKDAY(A1172,2),"Montag","Dienstag","Mittwoch","Donnerstag","Freitag","Samstag","Sonntag"))</f>
        <v/>
      </c>
      <c r="M1172" s="37">
        <f>IF(A1172="","",_xlfn.ISOWEEKNUM(A1172))</f>
        <v/>
      </c>
      <c r="N1172" s="38">
        <f>IF(A1172="","",DATE(YEAR(A1172),MONTH(A1172),1))</f>
        <v/>
      </c>
    </row>
    <row r="1173">
      <c r="A1173" s="31" t="n"/>
      <c r="B1173" s="32" t="n"/>
      <c r="C1173" s="32" t="n"/>
      <c r="D1173" s="33" t="n"/>
      <c r="E1173" s="34" t="n"/>
      <c r="F1173" s="35" t="n"/>
      <c r="G1173" s="35" t="n"/>
      <c r="H1173" s="32" t="n"/>
      <c r="I1173" s="32" t="n"/>
      <c r="J1173" s="32" t="n"/>
      <c r="K1173" s="36">
        <f>IF(E1173&lt;&gt;"",E1173,IF(AND(F1173&lt;&gt;"",G1173&lt;&gt;""),MOD(G1173-F1173,1)*24,""))</f>
        <v/>
      </c>
      <c r="L1173" s="37">
        <f>IF(A1173="","",CHOOSE(WEEKDAY(A1173,2),"Montag","Dienstag","Mittwoch","Donnerstag","Freitag","Samstag","Sonntag"))</f>
        <v/>
      </c>
      <c r="M1173" s="37">
        <f>IF(A1173="","",_xlfn.ISOWEEKNUM(A1173))</f>
        <v/>
      </c>
      <c r="N1173" s="38">
        <f>IF(A1173="","",DATE(YEAR(A1173),MONTH(A1173),1))</f>
        <v/>
      </c>
    </row>
    <row r="1174">
      <c r="A1174" s="31" t="n"/>
      <c r="B1174" s="32" t="n"/>
      <c r="C1174" s="32" t="n"/>
      <c r="D1174" s="33" t="n"/>
      <c r="E1174" s="34" t="n"/>
      <c r="F1174" s="35" t="n"/>
      <c r="G1174" s="35" t="n"/>
      <c r="H1174" s="32" t="n"/>
      <c r="I1174" s="32" t="n"/>
      <c r="J1174" s="32" t="n"/>
      <c r="K1174" s="36">
        <f>IF(E1174&lt;&gt;"",E1174,IF(AND(F1174&lt;&gt;"",G1174&lt;&gt;""),MOD(G1174-F1174,1)*24,""))</f>
        <v/>
      </c>
      <c r="L1174" s="37">
        <f>IF(A1174="","",CHOOSE(WEEKDAY(A1174,2),"Montag","Dienstag","Mittwoch","Donnerstag","Freitag","Samstag","Sonntag"))</f>
        <v/>
      </c>
      <c r="M1174" s="37">
        <f>IF(A1174="","",_xlfn.ISOWEEKNUM(A1174))</f>
        <v/>
      </c>
      <c r="N1174" s="38">
        <f>IF(A1174="","",DATE(YEAR(A1174),MONTH(A1174),1))</f>
        <v/>
      </c>
    </row>
    <row r="1175">
      <c r="A1175" s="31" t="n"/>
      <c r="B1175" s="32" t="n"/>
      <c r="C1175" s="32" t="n"/>
      <c r="D1175" s="33" t="n"/>
      <c r="E1175" s="34" t="n"/>
      <c r="F1175" s="35" t="n"/>
      <c r="G1175" s="35" t="n"/>
      <c r="H1175" s="32" t="n"/>
      <c r="I1175" s="32" t="n"/>
      <c r="J1175" s="32" t="n"/>
      <c r="K1175" s="36">
        <f>IF(E1175&lt;&gt;"",E1175,IF(AND(F1175&lt;&gt;"",G1175&lt;&gt;""),MOD(G1175-F1175,1)*24,""))</f>
        <v/>
      </c>
      <c r="L1175" s="37">
        <f>IF(A1175="","",CHOOSE(WEEKDAY(A1175,2),"Montag","Dienstag","Mittwoch","Donnerstag","Freitag","Samstag","Sonntag"))</f>
        <v/>
      </c>
      <c r="M1175" s="37">
        <f>IF(A1175="","",_xlfn.ISOWEEKNUM(A1175))</f>
        <v/>
      </c>
      <c r="N1175" s="38">
        <f>IF(A1175="","",DATE(YEAR(A1175),MONTH(A1175),1))</f>
        <v/>
      </c>
    </row>
    <row r="1176">
      <c r="A1176" s="31" t="n"/>
      <c r="B1176" s="32" t="n"/>
      <c r="C1176" s="32" t="n"/>
      <c r="D1176" s="33" t="n"/>
      <c r="E1176" s="34" t="n"/>
      <c r="F1176" s="35" t="n"/>
      <c r="G1176" s="35" t="n"/>
      <c r="H1176" s="32" t="n"/>
      <c r="I1176" s="32" t="n"/>
      <c r="J1176" s="32" t="n"/>
      <c r="K1176" s="36">
        <f>IF(E1176&lt;&gt;"",E1176,IF(AND(F1176&lt;&gt;"",G1176&lt;&gt;""),MOD(G1176-F1176,1)*24,""))</f>
        <v/>
      </c>
      <c r="L1176" s="37">
        <f>IF(A1176="","",CHOOSE(WEEKDAY(A1176,2),"Montag","Dienstag","Mittwoch","Donnerstag","Freitag","Samstag","Sonntag"))</f>
        <v/>
      </c>
      <c r="M1176" s="37">
        <f>IF(A1176="","",_xlfn.ISOWEEKNUM(A1176))</f>
        <v/>
      </c>
      <c r="N1176" s="38">
        <f>IF(A1176="","",DATE(YEAR(A1176),MONTH(A1176),1))</f>
        <v/>
      </c>
    </row>
    <row r="1177">
      <c r="A1177" s="31" t="n"/>
      <c r="B1177" s="32" t="n"/>
      <c r="C1177" s="32" t="n"/>
      <c r="D1177" s="33" t="n"/>
      <c r="E1177" s="34" t="n"/>
      <c r="F1177" s="35" t="n"/>
      <c r="G1177" s="35" t="n"/>
      <c r="H1177" s="32" t="n"/>
      <c r="I1177" s="32" t="n"/>
      <c r="J1177" s="32" t="n"/>
      <c r="K1177" s="36">
        <f>IF(E1177&lt;&gt;"",E1177,IF(AND(F1177&lt;&gt;"",G1177&lt;&gt;""),MOD(G1177-F1177,1)*24,""))</f>
        <v/>
      </c>
      <c r="L1177" s="37">
        <f>IF(A1177="","",CHOOSE(WEEKDAY(A1177,2),"Montag","Dienstag","Mittwoch","Donnerstag","Freitag","Samstag","Sonntag"))</f>
        <v/>
      </c>
      <c r="M1177" s="37">
        <f>IF(A1177="","",_xlfn.ISOWEEKNUM(A1177))</f>
        <v/>
      </c>
      <c r="N1177" s="38">
        <f>IF(A1177="","",DATE(YEAR(A1177),MONTH(A1177),1))</f>
        <v/>
      </c>
    </row>
    <row r="1178">
      <c r="A1178" s="31" t="n"/>
      <c r="B1178" s="32" t="n"/>
      <c r="C1178" s="32" t="n"/>
      <c r="D1178" s="33" t="n"/>
      <c r="E1178" s="34" t="n"/>
      <c r="F1178" s="35" t="n"/>
      <c r="G1178" s="35" t="n"/>
      <c r="H1178" s="32" t="n"/>
      <c r="I1178" s="32" t="n"/>
      <c r="J1178" s="32" t="n"/>
      <c r="K1178" s="36">
        <f>IF(E1178&lt;&gt;"",E1178,IF(AND(F1178&lt;&gt;"",G1178&lt;&gt;""),MOD(G1178-F1178,1)*24,""))</f>
        <v/>
      </c>
      <c r="L1178" s="37">
        <f>IF(A1178="","",CHOOSE(WEEKDAY(A1178,2),"Montag","Dienstag","Mittwoch","Donnerstag","Freitag","Samstag","Sonntag"))</f>
        <v/>
      </c>
      <c r="M1178" s="37">
        <f>IF(A1178="","",_xlfn.ISOWEEKNUM(A1178))</f>
        <v/>
      </c>
      <c r="N1178" s="38">
        <f>IF(A1178="","",DATE(YEAR(A1178),MONTH(A1178),1))</f>
        <v/>
      </c>
    </row>
    <row r="1179">
      <c r="A1179" s="31" t="n"/>
      <c r="B1179" s="32" t="n"/>
      <c r="C1179" s="32" t="n"/>
      <c r="D1179" s="33" t="n"/>
      <c r="E1179" s="34" t="n"/>
      <c r="F1179" s="35" t="n"/>
      <c r="G1179" s="35" t="n"/>
      <c r="H1179" s="32" t="n"/>
      <c r="I1179" s="32" t="n"/>
      <c r="J1179" s="32" t="n"/>
      <c r="K1179" s="36">
        <f>IF(E1179&lt;&gt;"",E1179,IF(AND(F1179&lt;&gt;"",G1179&lt;&gt;""),MOD(G1179-F1179,1)*24,""))</f>
        <v/>
      </c>
      <c r="L1179" s="37">
        <f>IF(A1179="","",CHOOSE(WEEKDAY(A1179,2),"Montag","Dienstag","Mittwoch","Donnerstag","Freitag","Samstag","Sonntag"))</f>
        <v/>
      </c>
      <c r="M1179" s="37">
        <f>IF(A1179="","",_xlfn.ISOWEEKNUM(A1179))</f>
        <v/>
      </c>
      <c r="N1179" s="38">
        <f>IF(A1179="","",DATE(YEAR(A1179),MONTH(A1179),1))</f>
        <v/>
      </c>
    </row>
    <row r="1180">
      <c r="A1180" s="31" t="n"/>
      <c r="B1180" s="32" t="n"/>
      <c r="C1180" s="32" t="n"/>
      <c r="D1180" s="33" t="n"/>
      <c r="E1180" s="34" t="n"/>
      <c r="F1180" s="35" t="n"/>
      <c r="G1180" s="35" t="n"/>
      <c r="H1180" s="32" t="n"/>
      <c r="I1180" s="32" t="n"/>
      <c r="J1180" s="32" t="n"/>
      <c r="K1180" s="36">
        <f>IF(E1180&lt;&gt;"",E1180,IF(AND(F1180&lt;&gt;"",G1180&lt;&gt;""),MOD(G1180-F1180,1)*24,""))</f>
        <v/>
      </c>
      <c r="L1180" s="37">
        <f>IF(A1180="","",CHOOSE(WEEKDAY(A1180,2),"Montag","Dienstag","Mittwoch","Donnerstag","Freitag","Samstag","Sonntag"))</f>
        <v/>
      </c>
      <c r="M1180" s="37">
        <f>IF(A1180="","",_xlfn.ISOWEEKNUM(A1180))</f>
        <v/>
      </c>
      <c r="N1180" s="38">
        <f>IF(A1180="","",DATE(YEAR(A1180),MONTH(A1180),1))</f>
        <v/>
      </c>
    </row>
    <row r="1181">
      <c r="A1181" s="31" t="n"/>
      <c r="B1181" s="32" t="n"/>
      <c r="C1181" s="32" t="n"/>
      <c r="D1181" s="33" t="n"/>
      <c r="E1181" s="34" t="n"/>
      <c r="F1181" s="35" t="n"/>
      <c r="G1181" s="35" t="n"/>
      <c r="H1181" s="32" t="n"/>
      <c r="I1181" s="32" t="n"/>
      <c r="J1181" s="32" t="n"/>
      <c r="K1181" s="36">
        <f>IF(E1181&lt;&gt;"",E1181,IF(AND(F1181&lt;&gt;"",G1181&lt;&gt;""),MOD(G1181-F1181,1)*24,""))</f>
        <v/>
      </c>
      <c r="L1181" s="37">
        <f>IF(A1181="","",CHOOSE(WEEKDAY(A1181,2),"Montag","Dienstag","Mittwoch","Donnerstag","Freitag","Samstag","Sonntag"))</f>
        <v/>
      </c>
      <c r="M1181" s="37">
        <f>IF(A1181="","",_xlfn.ISOWEEKNUM(A1181))</f>
        <v/>
      </c>
      <c r="N1181" s="38">
        <f>IF(A1181="","",DATE(YEAR(A1181),MONTH(A1181),1))</f>
        <v/>
      </c>
    </row>
    <row r="1182">
      <c r="A1182" s="31" t="n"/>
      <c r="B1182" s="32" t="n"/>
      <c r="C1182" s="32" t="n"/>
      <c r="D1182" s="33" t="n"/>
      <c r="E1182" s="34" t="n"/>
      <c r="F1182" s="35" t="n"/>
      <c r="G1182" s="35" t="n"/>
      <c r="H1182" s="32" t="n"/>
      <c r="I1182" s="32" t="n"/>
      <c r="J1182" s="32" t="n"/>
      <c r="K1182" s="36">
        <f>IF(E1182&lt;&gt;"",E1182,IF(AND(F1182&lt;&gt;"",G1182&lt;&gt;""),MOD(G1182-F1182,1)*24,""))</f>
        <v/>
      </c>
      <c r="L1182" s="37">
        <f>IF(A1182="","",CHOOSE(WEEKDAY(A1182,2),"Montag","Dienstag","Mittwoch","Donnerstag","Freitag","Samstag","Sonntag"))</f>
        <v/>
      </c>
      <c r="M1182" s="37">
        <f>IF(A1182="","",_xlfn.ISOWEEKNUM(A1182))</f>
        <v/>
      </c>
      <c r="N1182" s="38">
        <f>IF(A1182="","",DATE(YEAR(A1182),MONTH(A1182),1))</f>
        <v/>
      </c>
    </row>
    <row r="1183">
      <c r="A1183" s="31" t="n"/>
      <c r="B1183" s="32" t="n"/>
      <c r="C1183" s="32" t="n"/>
      <c r="D1183" s="33" t="n"/>
      <c r="E1183" s="34" t="n"/>
      <c r="F1183" s="35" t="n"/>
      <c r="G1183" s="35" t="n"/>
      <c r="H1183" s="32" t="n"/>
      <c r="I1183" s="32" t="n"/>
      <c r="J1183" s="32" t="n"/>
      <c r="K1183" s="36">
        <f>IF(E1183&lt;&gt;"",E1183,IF(AND(F1183&lt;&gt;"",G1183&lt;&gt;""),MOD(G1183-F1183,1)*24,""))</f>
        <v/>
      </c>
      <c r="L1183" s="37">
        <f>IF(A1183="","",CHOOSE(WEEKDAY(A1183,2),"Montag","Dienstag","Mittwoch","Donnerstag","Freitag","Samstag","Sonntag"))</f>
        <v/>
      </c>
      <c r="M1183" s="37">
        <f>IF(A1183="","",_xlfn.ISOWEEKNUM(A1183))</f>
        <v/>
      </c>
      <c r="N1183" s="38">
        <f>IF(A1183="","",DATE(YEAR(A1183),MONTH(A1183),1))</f>
        <v/>
      </c>
    </row>
    <row r="1184">
      <c r="A1184" s="31" t="n"/>
      <c r="B1184" s="32" t="n"/>
      <c r="C1184" s="32" t="n"/>
      <c r="D1184" s="33" t="n"/>
      <c r="E1184" s="34" t="n"/>
      <c r="F1184" s="35" t="n"/>
      <c r="G1184" s="35" t="n"/>
      <c r="H1184" s="32" t="n"/>
      <c r="I1184" s="32" t="n"/>
      <c r="J1184" s="32" t="n"/>
      <c r="K1184" s="36">
        <f>IF(E1184&lt;&gt;"",E1184,IF(AND(F1184&lt;&gt;"",G1184&lt;&gt;""),MOD(G1184-F1184,1)*24,""))</f>
        <v/>
      </c>
      <c r="L1184" s="37">
        <f>IF(A1184="","",CHOOSE(WEEKDAY(A1184,2),"Montag","Dienstag","Mittwoch","Donnerstag","Freitag","Samstag","Sonntag"))</f>
        <v/>
      </c>
      <c r="M1184" s="37">
        <f>IF(A1184="","",_xlfn.ISOWEEKNUM(A1184))</f>
        <v/>
      </c>
      <c r="N1184" s="38">
        <f>IF(A1184="","",DATE(YEAR(A1184),MONTH(A1184),1))</f>
        <v/>
      </c>
    </row>
    <row r="1185">
      <c r="A1185" s="31" t="n"/>
      <c r="B1185" s="32" t="n"/>
      <c r="C1185" s="32" t="n"/>
      <c r="D1185" s="33" t="n"/>
      <c r="E1185" s="34" t="n"/>
      <c r="F1185" s="35" t="n"/>
      <c r="G1185" s="35" t="n"/>
      <c r="H1185" s="32" t="n"/>
      <c r="I1185" s="32" t="n"/>
      <c r="J1185" s="32" t="n"/>
      <c r="K1185" s="36">
        <f>IF(E1185&lt;&gt;"",E1185,IF(AND(F1185&lt;&gt;"",G1185&lt;&gt;""),MOD(G1185-F1185,1)*24,""))</f>
        <v/>
      </c>
      <c r="L1185" s="37">
        <f>IF(A1185="","",CHOOSE(WEEKDAY(A1185,2),"Montag","Dienstag","Mittwoch","Donnerstag","Freitag","Samstag","Sonntag"))</f>
        <v/>
      </c>
      <c r="M1185" s="37">
        <f>IF(A1185="","",_xlfn.ISOWEEKNUM(A1185))</f>
        <v/>
      </c>
      <c r="N1185" s="38">
        <f>IF(A1185="","",DATE(YEAR(A1185),MONTH(A1185),1))</f>
        <v/>
      </c>
    </row>
    <row r="1186">
      <c r="A1186" s="31" t="n"/>
      <c r="B1186" s="32" t="n"/>
      <c r="C1186" s="32" t="n"/>
      <c r="D1186" s="33" t="n"/>
      <c r="E1186" s="34" t="n"/>
      <c r="F1186" s="35" t="n"/>
      <c r="G1186" s="35" t="n"/>
      <c r="H1186" s="32" t="n"/>
      <c r="I1186" s="32" t="n"/>
      <c r="J1186" s="32" t="n"/>
      <c r="K1186" s="36">
        <f>IF(E1186&lt;&gt;"",E1186,IF(AND(F1186&lt;&gt;"",G1186&lt;&gt;""),MOD(G1186-F1186,1)*24,""))</f>
        <v/>
      </c>
      <c r="L1186" s="37">
        <f>IF(A1186="","",CHOOSE(WEEKDAY(A1186,2),"Montag","Dienstag","Mittwoch","Donnerstag","Freitag","Samstag","Sonntag"))</f>
        <v/>
      </c>
      <c r="M1186" s="37">
        <f>IF(A1186="","",_xlfn.ISOWEEKNUM(A1186))</f>
        <v/>
      </c>
      <c r="N1186" s="38">
        <f>IF(A1186="","",DATE(YEAR(A1186),MONTH(A1186),1))</f>
        <v/>
      </c>
    </row>
    <row r="1187">
      <c r="A1187" s="31" t="n"/>
      <c r="B1187" s="32" t="n"/>
      <c r="C1187" s="32" t="n"/>
      <c r="D1187" s="33" t="n"/>
      <c r="E1187" s="34" t="n"/>
      <c r="F1187" s="35" t="n"/>
      <c r="G1187" s="35" t="n"/>
      <c r="H1187" s="32" t="n"/>
      <c r="I1187" s="32" t="n"/>
      <c r="J1187" s="32" t="n"/>
      <c r="K1187" s="36">
        <f>IF(E1187&lt;&gt;"",E1187,IF(AND(F1187&lt;&gt;"",G1187&lt;&gt;""),MOD(G1187-F1187,1)*24,""))</f>
        <v/>
      </c>
      <c r="L1187" s="37">
        <f>IF(A1187="","",CHOOSE(WEEKDAY(A1187,2),"Montag","Dienstag","Mittwoch","Donnerstag","Freitag","Samstag","Sonntag"))</f>
        <v/>
      </c>
      <c r="M1187" s="37">
        <f>IF(A1187="","",_xlfn.ISOWEEKNUM(A1187))</f>
        <v/>
      </c>
      <c r="N1187" s="38">
        <f>IF(A1187="","",DATE(YEAR(A1187),MONTH(A1187),1))</f>
        <v/>
      </c>
    </row>
    <row r="1188">
      <c r="A1188" s="31" t="n"/>
      <c r="B1188" s="32" t="n"/>
      <c r="C1188" s="32" t="n"/>
      <c r="D1188" s="33" t="n"/>
      <c r="E1188" s="34" t="n"/>
      <c r="F1188" s="35" t="n"/>
      <c r="G1188" s="35" t="n"/>
      <c r="H1188" s="32" t="n"/>
      <c r="I1188" s="32" t="n"/>
      <c r="J1188" s="32" t="n"/>
      <c r="K1188" s="36">
        <f>IF(E1188&lt;&gt;"",E1188,IF(AND(F1188&lt;&gt;"",G1188&lt;&gt;""),MOD(G1188-F1188,1)*24,""))</f>
        <v/>
      </c>
      <c r="L1188" s="37">
        <f>IF(A1188="","",CHOOSE(WEEKDAY(A1188,2),"Montag","Dienstag","Mittwoch","Donnerstag","Freitag","Samstag","Sonntag"))</f>
        <v/>
      </c>
      <c r="M1188" s="37">
        <f>IF(A1188="","",_xlfn.ISOWEEKNUM(A1188))</f>
        <v/>
      </c>
      <c r="N1188" s="38">
        <f>IF(A1188="","",DATE(YEAR(A1188),MONTH(A1188),1))</f>
        <v/>
      </c>
    </row>
    <row r="1189">
      <c r="A1189" s="31" t="n"/>
      <c r="B1189" s="32" t="n"/>
      <c r="C1189" s="32" t="n"/>
      <c r="D1189" s="33" t="n"/>
      <c r="E1189" s="34" t="n"/>
      <c r="F1189" s="35" t="n"/>
      <c r="G1189" s="35" t="n"/>
      <c r="H1189" s="32" t="n"/>
      <c r="I1189" s="32" t="n"/>
      <c r="J1189" s="32" t="n"/>
      <c r="K1189" s="36">
        <f>IF(E1189&lt;&gt;"",E1189,IF(AND(F1189&lt;&gt;"",G1189&lt;&gt;""),MOD(G1189-F1189,1)*24,""))</f>
        <v/>
      </c>
      <c r="L1189" s="37">
        <f>IF(A1189="","",CHOOSE(WEEKDAY(A1189,2),"Montag","Dienstag","Mittwoch","Donnerstag","Freitag","Samstag","Sonntag"))</f>
        <v/>
      </c>
      <c r="M1189" s="37">
        <f>IF(A1189="","",_xlfn.ISOWEEKNUM(A1189))</f>
        <v/>
      </c>
      <c r="N1189" s="38">
        <f>IF(A1189="","",DATE(YEAR(A1189),MONTH(A1189),1))</f>
        <v/>
      </c>
    </row>
    <row r="1190">
      <c r="A1190" s="31" t="n"/>
      <c r="B1190" s="32" t="n"/>
      <c r="C1190" s="32" t="n"/>
      <c r="D1190" s="33" t="n"/>
      <c r="E1190" s="34" t="n"/>
      <c r="F1190" s="35" t="n"/>
      <c r="G1190" s="35" t="n"/>
      <c r="H1190" s="32" t="n"/>
      <c r="I1190" s="32" t="n"/>
      <c r="J1190" s="32" t="n"/>
      <c r="K1190" s="36">
        <f>IF(E1190&lt;&gt;"",E1190,IF(AND(F1190&lt;&gt;"",G1190&lt;&gt;""),MOD(G1190-F1190,1)*24,""))</f>
        <v/>
      </c>
      <c r="L1190" s="37">
        <f>IF(A1190="","",CHOOSE(WEEKDAY(A1190,2),"Montag","Dienstag","Mittwoch","Donnerstag","Freitag","Samstag","Sonntag"))</f>
        <v/>
      </c>
      <c r="M1190" s="37">
        <f>IF(A1190="","",_xlfn.ISOWEEKNUM(A1190))</f>
        <v/>
      </c>
      <c r="N1190" s="38">
        <f>IF(A1190="","",DATE(YEAR(A1190),MONTH(A1190),1))</f>
        <v/>
      </c>
    </row>
    <row r="1191">
      <c r="A1191" s="31" t="n"/>
      <c r="B1191" s="32" t="n"/>
      <c r="C1191" s="32" t="n"/>
      <c r="D1191" s="33" t="n"/>
      <c r="E1191" s="34" t="n"/>
      <c r="F1191" s="35" t="n"/>
      <c r="G1191" s="35" t="n"/>
      <c r="H1191" s="32" t="n"/>
      <c r="I1191" s="32" t="n"/>
      <c r="J1191" s="32" t="n"/>
      <c r="K1191" s="36">
        <f>IF(E1191&lt;&gt;"",E1191,IF(AND(F1191&lt;&gt;"",G1191&lt;&gt;""),MOD(G1191-F1191,1)*24,""))</f>
        <v/>
      </c>
      <c r="L1191" s="37">
        <f>IF(A1191="","",CHOOSE(WEEKDAY(A1191,2),"Montag","Dienstag","Mittwoch","Donnerstag","Freitag","Samstag","Sonntag"))</f>
        <v/>
      </c>
      <c r="M1191" s="37">
        <f>IF(A1191="","",_xlfn.ISOWEEKNUM(A1191))</f>
        <v/>
      </c>
      <c r="N1191" s="38">
        <f>IF(A1191="","",DATE(YEAR(A1191),MONTH(A1191),1))</f>
        <v/>
      </c>
    </row>
    <row r="1192">
      <c r="A1192" s="31" t="n"/>
      <c r="B1192" s="32" t="n"/>
      <c r="C1192" s="32" t="n"/>
      <c r="D1192" s="33" t="n"/>
      <c r="E1192" s="34" t="n"/>
      <c r="F1192" s="35" t="n"/>
      <c r="G1192" s="35" t="n"/>
      <c r="H1192" s="32" t="n"/>
      <c r="I1192" s="32" t="n"/>
      <c r="J1192" s="32" t="n"/>
      <c r="K1192" s="36">
        <f>IF(E1192&lt;&gt;"",E1192,IF(AND(F1192&lt;&gt;"",G1192&lt;&gt;""),MOD(G1192-F1192,1)*24,""))</f>
        <v/>
      </c>
      <c r="L1192" s="37">
        <f>IF(A1192="","",CHOOSE(WEEKDAY(A1192,2),"Montag","Dienstag","Mittwoch","Donnerstag","Freitag","Samstag","Sonntag"))</f>
        <v/>
      </c>
      <c r="M1192" s="37">
        <f>IF(A1192="","",_xlfn.ISOWEEKNUM(A1192))</f>
        <v/>
      </c>
      <c r="N1192" s="38">
        <f>IF(A1192="","",DATE(YEAR(A1192),MONTH(A1192),1))</f>
        <v/>
      </c>
    </row>
    <row r="1193">
      <c r="A1193" s="31" t="n"/>
      <c r="B1193" s="32" t="n"/>
      <c r="C1193" s="32" t="n"/>
      <c r="D1193" s="33" t="n"/>
      <c r="E1193" s="34" t="n"/>
      <c r="F1193" s="35" t="n"/>
      <c r="G1193" s="35" t="n"/>
      <c r="H1193" s="32" t="n"/>
      <c r="I1193" s="32" t="n"/>
      <c r="J1193" s="32" t="n"/>
      <c r="K1193" s="36">
        <f>IF(E1193&lt;&gt;"",E1193,IF(AND(F1193&lt;&gt;"",G1193&lt;&gt;""),MOD(G1193-F1193,1)*24,""))</f>
        <v/>
      </c>
      <c r="L1193" s="37">
        <f>IF(A1193="","",CHOOSE(WEEKDAY(A1193,2),"Montag","Dienstag","Mittwoch","Donnerstag","Freitag","Samstag","Sonntag"))</f>
        <v/>
      </c>
      <c r="M1193" s="37">
        <f>IF(A1193="","",_xlfn.ISOWEEKNUM(A1193))</f>
        <v/>
      </c>
      <c r="N1193" s="38">
        <f>IF(A1193="","",DATE(YEAR(A1193),MONTH(A1193),1))</f>
        <v/>
      </c>
    </row>
    <row r="1194">
      <c r="A1194" s="31" t="n"/>
      <c r="B1194" s="32" t="n"/>
      <c r="C1194" s="32" t="n"/>
      <c r="D1194" s="33" t="n"/>
      <c r="E1194" s="34" t="n"/>
      <c r="F1194" s="35" t="n"/>
      <c r="G1194" s="35" t="n"/>
      <c r="H1194" s="32" t="n"/>
      <c r="I1194" s="32" t="n"/>
      <c r="J1194" s="32" t="n"/>
      <c r="K1194" s="36">
        <f>IF(E1194&lt;&gt;"",E1194,IF(AND(F1194&lt;&gt;"",G1194&lt;&gt;""),MOD(G1194-F1194,1)*24,""))</f>
        <v/>
      </c>
      <c r="L1194" s="37">
        <f>IF(A1194="","",CHOOSE(WEEKDAY(A1194,2),"Montag","Dienstag","Mittwoch","Donnerstag","Freitag","Samstag","Sonntag"))</f>
        <v/>
      </c>
      <c r="M1194" s="37">
        <f>IF(A1194="","",_xlfn.ISOWEEKNUM(A1194))</f>
        <v/>
      </c>
      <c r="N1194" s="38">
        <f>IF(A1194="","",DATE(YEAR(A1194),MONTH(A1194),1))</f>
        <v/>
      </c>
    </row>
    <row r="1195">
      <c r="A1195" s="31" t="n"/>
      <c r="B1195" s="32" t="n"/>
      <c r="C1195" s="32" t="n"/>
      <c r="D1195" s="33" t="n"/>
      <c r="E1195" s="34" t="n"/>
      <c r="F1195" s="35" t="n"/>
      <c r="G1195" s="35" t="n"/>
      <c r="H1195" s="32" t="n"/>
      <c r="I1195" s="32" t="n"/>
      <c r="J1195" s="32" t="n"/>
      <c r="K1195" s="36">
        <f>IF(E1195&lt;&gt;"",E1195,IF(AND(F1195&lt;&gt;"",G1195&lt;&gt;""),MOD(G1195-F1195,1)*24,""))</f>
        <v/>
      </c>
      <c r="L1195" s="37">
        <f>IF(A1195="","",CHOOSE(WEEKDAY(A1195,2),"Montag","Dienstag","Mittwoch","Donnerstag","Freitag","Samstag","Sonntag"))</f>
        <v/>
      </c>
      <c r="M1195" s="37">
        <f>IF(A1195="","",_xlfn.ISOWEEKNUM(A1195))</f>
        <v/>
      </c>
      <c r="N1195" s="38">
        <f>IF(A1195="","",DATE(YEAR(A1195),MONTH(A1195),1))</f>
        <v/>
      </c>
    </row>
    <row r="1196">
      <c r="A1196" s="31" t="n"/>
      <c r="B1196" s="32" t="n"/>
      <c r="C1196" s="32" t="n"/>
      <c r="D1196" s="33" t="n"/>
      <c r="E1196" s="34" t="n"/>
      <c r="F1196" s="35" t="n"/>
      <c r="G1196" s="35" t="n"/>
      <c r="H1196" s="32" t="n"/>
      <c r="I1196" s="32" t="n"/>
      <c r="J1196" s="32" t="n"/>
      <c r="K1196" s="36">
        <f>IF(E1196&lt;&gt;"",E1196,IF(AND(F1196&lt;&gt;"",G1196&lt;&gt;""),MOD(G1196-F1196,1)*24,""))</f>
        <v/>
      </c>
      <c r="L1196" s="37">
        <f>IF(A1196="","",CHOOSE(WEEKDAY(A1196,2),"Montag","Dienstag","Mittwoch","Donnerstag","Freitag","Samstag","Sonntag"))</f>
        <v/>
      </c>
      <c r="M1196" s="37">
        <f>IF(A1196="","",_xlfn.ISOWEEKNUM(A1196))</f>
        <v/>
      </c>
      <c r="N1196" s="38">
        <f>IF(A1196="","",DATE(YEAR(A1196),MONTH(A1196),1))</f>
        <v/>
      </c>
    </row>
    <row r="1197">
      <c r="A1197" s="31" t="n"/>
      <c r="B1197" s="32" t="n"/>
      <c r="C1197" s="32" t="n"/>
      <c r="D1197" s="33" t="n"/>
      <c r="E1197" s="34" t="n"/>
      <c r="F1197" s="35" t="n"/>
      <c r="G1197" s="35" t="n"/>
      <c r="H1197" s="32" t="n"/>
      <c r="I1197" s="32" t="n"/>
      <c r="J1197" s="32" t="n"/>
      <c r="K1197" s="36">
        <f>IF(E1197&lt;&gt;"",E1197,IF(AND(F1197&lt;&gt;"",G1197&lt;&gt;""),MOD(G1197-F1197,1)*24,""))</f>
        <v/>
      </c>
      <c r="L1197" s="37">
        <f>IF(A1197="","",CHOOSE(WEEKDAY(A1197,2),"Montag","Dienstag","Mittwoch","Donnerstag","Freitag","Samstag","Sonntag"))</f>
        <v/>
      </c>
      <c r="M1197" s="37">
        <f>IF(A1197="","",_xlfn.ISOWEEKNUM(A1197))</f>
        <v/>
      </c>
      <c r="N1197" s="38">
        <f>IF(A1197="","",DATE(YEAR(A1197),MONTH(A1197),1))</f>
        <v/>
      </c>
    </row>
    <row r="1198">
      <c r="A1198" s="31" t="n"/>
      <c r="B1198" s="32" t="n"/>
      <c r="C1198" s="32" t="n"/>
      <c r="D1198" s="33" t="n"/>
      <c r="E1198" s="34" t="n"/>
      <c r="F1198" s="35" t="n"/>
      <c r="G1198" s="35" t="n"/>
      <c r="H1198" s="32" t="n"/>
      <c r="I1198" s="32" t="n"/>
      <c r="J1198" s="32" t="n"/>
      <c r="K1198" s="36">
        <f>IF(E1198&lt;&gt;"",E1198,IF(AND(F1198&lt;&gt;"",G1198&lt;&gt;""),MOD(G1198-F1198,1)*24,""))</f>
        <v/>
      </c>
      <c r="L1198" s="37">
        <f>IF(A1198="","",CHOOSE(WEEKDAY(A1198,2),"Montag","Dienstag","Mittwoch","Donnerstag","Freitag","Samstag","Sonntag"))</f>
        <v/>
      </c>
      <c r="M1198" s="37">
        <f>IF(A1198="","",_xlfn.ISOWEEKNUM(A1198))</f>
        <v/>
      </c>
      <c r="N1198" s="38">
        <f>IF(A1198="","",DATE(YEAR(A1198),MONTH(A1198),1))</f>
        <v/>
      </c>
    </row>
    <row r="1199">
      <c r="A1199" s="31" t="n"/>
      <c r="B1199" s="32" t="n"/>
      <c r="C1199" s="32" t="n"/>
      <c r="D1199" s="33" t="n"/>
      <c r="E1199" s="34" t="n"/>
      <c r="F1199" s="35" t="n"/>
      <c r="G1199" s="35" t="n"/>
      <c r="H1199" s="32" t="n"/>
      <c r="I1199" s="32" t="n"/>
      <c r="J1199" s="32" t="n"/>
      <c r="K1199" s="36">
        <f>IF(E1199&lt;&gt;"",E1199,IF(AND(F1199&lt;&gt;"",G1199&lt;&gt;""),MOD(G1199-F1199,1)*24,""))</f>
        <v/>
      </c>
      <c r="L1199" s="37">
        <f>IF(A1199="","",CHOOSE(WEEKDAY(A1199,2),"Montag","Dienstag","Mittwoch","Donnerstag","Freitag","Samstag","Sonntag"))</f>
        <v/>
      </c>
      <c r="M1199" s="37">
        <f>IF(A1199="","",_xlfn.ISOWEEKNUM(A1199))</f>
        <v/>
      </c>
      <c r="N1199" s="38">
        <f>IF(A1199="","",DATE(YEAR(A1199),MONTH(A1199),1))</f>
        <v/>
      </c>
    </row>
    <row r="1200">
      <c r="A1200" s="31" t="n"/>
      <c r="B1200" s="32" t="n"/>
      <c r="C1200" s="32" t="n"/>
      <c r="D1200" s="33" t="n"/>
      <c r="E1200" s="34" t="n"/>
      <c r="F1200" s="35" t="n"/>
      <c r="G1200" s="35" t="n"/>
      <c r="H1200" s="32" t="n"/>
      <c r="I1200" s="32" t="n"/>
      <c r="J1200" s="32" t="n"/>
      <c r="K1200" s="36">
        <f>IF(E1200&lt;&gt;"",E1200,IF(AND(F1200&lt;&gt;"",G1200&lt;&gt;""),MOD(G1200-F1200,1)*24,""))</f>
        <v/>
      </c>
      <c r="L1200" s="37">
        <f>IF(A1200="","",CHOOSE(WEEKDAY(A1200,2),"Montag","Dienstag","Mittwoch","Donnerstag","Freitag","Samstag","Sonntag"))</f>
        <v/>
      </c>
      <c r="M1200" s="37">
        <f>IF(A1200="","",_xlfn.ISOWEEKNUM(A1200))</f>
        <v/>
      </c>
      <c r="N1200" s="38">
        <f>IF(A1200="","",DATE(YEAR(A1200),MONTH(A1200),1))</f>
        <v/>
      </c>
    </row>
    <row r="1201">
      <c r="A1201" s="31" t="n"/>
      <c r="B1201" s="32" t="n"/>
      <c r="C1201" s="32" t="n"/>
      <c r="D1201" s="33" t="n"/>
      <c r="E1201" s="34" t="n"/>
      <c r="F1201" s="35" t="n"/>
      <c r="G1201" s="35" t="n"/>
      <c r="H1201" s="32" t="n"/>
      <c r="I1201" s="32" t="n"/>
      <c r="J1201" s="32" t="n"/>
      <c r="K1201" s="36">
        <f>IF(E1201&lt;&gt;"",E1201,IF(AND(F1201&lt;&gt;"",G1201&lt;&gt;""),MOD(G1201-F1201,1)*24,""))</f>
        <v/>
      </c>
      <c r="L1201" s="37">
        <f>IF(A1201="","",CHOOSE(WEEKDAY(A1201,2),"Montag","Dienstag","Mittwoch","Donnerstag","Freitag","Samstag","Sonntag"))</f>
        <v/>
      </c>
      <c r="M1201" s="37">
        <f>IF(A1201="","",_xlfn.ISOWEEKNUM(A1201))</f>
        <v/>
      </c>
      <c r="N1201" s="38">
        <f>IF(A1201="","",DATE(YEAR(A1201),MONTH(A1201),1))</f>
        <v/>
      </c>
    </row>
    <row r="1202">
      <c r="A1202" s="31" t="n"/>
      <c r="B1202" s="32" t="n"/>
      <c r="C1202" s="32" t="n"/>
      <c r="D1202" s="33" t="n"/>
      <c r="E1202" s="34" t="n"/>
      <c r="F1202" s="35" t="n"/>
      <c r="G1202" s="35" t="n"/>
      <c r="H1202" s="32" t="n"/>
      <c r="I1202" s="32" t="n"/>
      <c r="J1202" s="32" t="n"/>
      <c r="K1202" s="36">
        <f>IF(E1202&lt;&gt;"",E1202,IF(AND(F1202&lt;&gt;"",G1202&lt;&gt;""),MOD(G1202-F1202,1)*24,""))</f>
        <v/>
      </c>
      <c r="L1202" s="37">
        <f>IF(A1202="","",CHOOSE(WEEKDAY(A1202,2),"Montag","Dienstag","Mittwoch","Donnerstag","Freitag","Samstag","Sonntag"))</f>
        <v/>
      </c>
      <c r="M1202" s="37">
        <f>IF(A1202="","",_xlfn.ISOWEEKNUM(A1202))</f>
        <v/>
      </c>
      <c r="N1202" s="38">
        <f>IF(A1202="","",DATE(YEAR(A1202),MONTH(A1202),1))</f>
        <v/>
      </c>
    </row>
    <row r="1203">
      <c r="A1203" s="31" t="n"/>
      <c r="B1203" s="32" t="n"/>
      <c r="C1203" s="32" t="n"/>
      <c r="D1203" s="33" t="n"/>
      <c r="E1203" s="34" t="n"/>
      <c r="F1203" s="35" t="n"/>
      <c r="G1203" s="35" t="n"/>
      <c r="H1203" s="32" t="n"/>
      <c r="I1203" s="32" t="n"/>
      <c r="J1203" s="32" t="n"/>
      <c r="K1203" s="36">
        <f>IF(E1203&lt;&gt;"",E1203,IF(AND(F1203&lt;&gt;"",G1203&lt;&gt;""),MOD(G1203-F1203,1)*24,""))</f>
        <v/>
      </c>
      <c r="L1203" s="37">
        <f>IF(A1203="","",CHOOSE(WEEKDAY(A1203,2),"Montag","Dienstag","Mittwoch","Donnerstag","Freitag","Samstag","Sonntag"))</f>
        <v/>
      </c>
      <c r="M1203" s="37">
        <f>IF(A1203="","",_xlfn.ISOWEEKNUM(A1203))</f>
        <v/>
      </c>
      <c r="N1203" s="38">
        <f>IF(A1203="","",DATE(YEAR(A1203),MONTH(A1203),1))</f>
        <v/>
      </c>
    </row>
    <row r="1204">
      <c r="A1204" s="31" t="n"/>
      <c r="B1204" s="32" t="n"/>
      <c r="C1204" s="32" t="n"/>
      <c r="D1204" s="33" t="n"/>
      <c r="E1204" s="34" t="n"/>
      <c r="F1204" s="35" t="n"/>
      <c r="G1204" s="35" t="n"/>
      <c r="H1204" s="32" t="n"/>
      <c r="I1204" s="32" t="n"/>
      <c r="J1204" s="32" t="n"/>
      <c r="K1204" s="36">
        <f>IF(E1204&lt;&gt;"",E1204,IF(AND(F1204&lt;&gt;"",G1204&lt;&gt;""),MOD(G1204-F1204,1)*24,""))</f>
        <v/>
      </c>
      <c r="L1204" s="37">
        <f>IF(A1204="","",CHOOSE(WEEKDAY(A1204,2),"Montag","Dienstag","Mittwoch","Donnerstag","Freitag","Samstag","Sonntag"))</f>
        <v/>
      </c>
      <c r="M1204" s="37">
        <f>IF(A1204="","",_xlfn.ISOWEEKNUM(A1204))</f>
        <v/>
      </c>
      <c r="N1204" s="38">
        <f>IF(A1204="","",DATE(YEAR(A1204),MONTH(A1204),1))</f>
        <v/>
      </c>
    </row>
    <row r="1205">
      <c r="A1205" s="31" t="n"/>
      <c r="B1205" s="32" t="n"/>
      <c r="C1205" s="32" t="n"/>
      <c r="D1205" s="33" t="n"/>
      <c r="E1205" s="34" t="n"/>
      <c r="F1205" s="35" t="n"/>
      <c r="G1205" s="35" t="n"/>
      <c r="H1205" s="32" t="n"/>
      <c r="I1205" s="32" t="n"/>
      <c r="J1205" s="32" t="n"/>
      <c r="K1205" s="36">
        <f>IF(E1205&lt;&gt;"",E1205,IF(AND(F1205&lt;&gt;"",G1205&lt;&gt;""),MOD(G1205-F1205,1)*24,""))</f>
        <v/>
      </c>
      <c r="L1205" s="37">
        <f>IF(A1205="","",CHOOSE(WEEKDAY(A1205,2),"Montag","Dienstag","Mittwoch","Donnerstag","Freitag","Samstag","Sonntag"))</f>
        <v/>
      </c>
      <c r="M1205" s="37">
        <f>IF(A1205="","",_xlfn.ISOWEEKNUM(A1205))</f>
        <v/>
      </c>
      <c r="N1205" s="38">
        <f>IF(A1205="","",DATE(YEAR(A1205),MONTH(A1205),1))</f>
        <v/>
      </c>
    </row>
    <row r="1206">
      <c r="A1206" s="31" t="n"/>
      <c r="B1206" s="32" t="n"/>
      <c r="C1206" s="32" t="n"/>
      <c r="D1206" s="33" t="n"/>
      <c r="E1206" s="34" t="n"/>
      <c r="F1206" s="35" t="n"/>
      <c r="G1206" s="35" t="n"/>
      <c r="H1206" s="32" t="n"/>
      <c r="I1206" s="32" t="n"/>
      <c r="J1206" s="32" t="n"/>
      <c r="K1206" s="36">
        <f>IF(E1206&lt;&gt;"",E1206,IF(AND(F1206&lt;&gt;"",G1206&lt;&gt;""),MOD(G1206-F1206,1)*24,""))</f>
        <v/>
      </c>
      <c r="L1206" s="37">
        <f>IF(A1206="","",CHOOSE(WEEKDAY(A1206,2),"Montag","Dienstag","Mittwoch","Donnerstag","Freitag","Samstag","Sonntag"))</f>
        <v/>
      </c>
      <c r="M1206" s="37">
        <f>IF(A1206="","",_xlfn.ISOWEEKNUM(A1206))</f>
        <v/>
      </c>
      <c r="N1206" s="38">
        <f>IF(A1206="","",DATE(YEAR(A1206),MONTH(A1206),1))</f>
        <v/>
      </c>
    </row>
    <row r="1207">
      <c r="A1207" s="31" t="n"/>
      <c r="B1207" s="32" t="n"/>
      <c r="C1207" s="32" t="n"/>
      <c r="D1207" s="33" t="n"/>
      <c r="E1207" s="34" t="n"/>
      <c r="F1207" s="35" t="n"/>
      <c r="G1207" s="35" t="n"/>
      <c r="H1207" s="32" t="n"/>
      <c r="I1207" s="32" t="n"/>
      <c r="J1207" s="32" t="n"/>
      <c r="K1207" s="36">
        <f>IF(E1207&lt;&gt;"",E1207,IF(AND(F1207&lt;&gt;"",G1207&lt;&gt;""),MOD(G1207-F1207,1)*24,""))</f>
        <v/>
      </c>
      <c r="L1207" s="37">
        <f>IF(A1207="","",CHOOSE(WEEKDAY(A1207,2),"Montag","Dienstag","Mittwoch","Donnerstag","Freitag","Samstag","Sonntag"))</f>
        <v/>
      </c>
      <c r="M1207" s="37">
        <f>IF(A1207="","",_xlfn.ISOWEEKNUM(A1207))</f>
        <v/>
      </c>
      <c r="N1207" s="38">
        <f>IF(A1207="","",DATE(YEAR(A1207),MONTH(A1207),1))</f>
        <v/>
      </c>
    </row>
    <row r="1208">
      <c r="A1208" s="31" t="n"/>
      <c r="B1208" s="32" t="n"/>
      <c r="C1208" s="32" t="n"/>
      <c r="D1208" s="33" t="n"/>
      <c r="E1208" s="34" t="n"/>
      <c r="F1208" s="35" t="n"/>
      <c r="G1208" s="35" t="n"/>
      <c r="H1208" s="32" t="n"/>
      <c r="I1208" s="32" t="n"/>
      <c r="J1208" s="32" t="n"/>
      <c r="K1208" s="36">
        <f>IF(E1208&lt;&gt;"",E1208,IF(AND(F1208&lt;&gt;"",G1208&lt;&gt;""),MOD(G1208-F1208,1)*24,""))</f>
        <v/>
      </c>
      <c r="L1208" s="37">
        <f>IF(A1208="","",CHOOSE(WEEKDAY(A1208,2),"Montag","Dienstag","Mittwoch","Donnerstag","Freitag","Samstag","Sonntag"))</f>
        <v/>
      </c>
      <c r="M1208" s="37">
        <f>IF(A1208="","",_xlfn.ISOWEEKNUM(A1208))</f>
        <v/>
      </c>
      <c r="N1208" s="38">
        <f>IF(A1208="","",DATE(YEAR(A1208),MONTH(A1208),1))</f>
        <v/>
      </c>
    </row>
    <row r="1209">
      <c r="A1209" s="31" t="n"/>
      <c r="B1209" s="32" t="n"/>
      <c r="C1209" s="32" t="n"/>
      <c r="D1209" s="33" t="n"/>
      <c r="E1209" s="34" t="n"/>
      <c r="F1209" s="35" t="n"/>
      <c r="G1209" s="35" t="n"/>
      <c r="H1209" s="32" t="n"/>
      <c r="I1209" s="32" t="n"/>
      <c r="J1209" s="32" t="n"/>
      <c r="K1209" s="36">
        <f>IF(E1209&lt;&gt;"",E1209,IF(AND(F1209&lt;&gt;"",G1209&lt;&gt;""),MOD(G1209-F1209,1)*24,""))</f>
        <v/>
      </c>
      <c r="L1209" s="37">
        <f>IF(A1209="","",CHOOSE(WEEKDAY(A1209,2),"Montag","Dienstag","Mittwoch","Donnerstag","Freitag","Samstag","Sonntag"))</f>
        <v/>
      </c>
      <c r="M1209" s="37">
        <f>IF(A1209="","",_xlfn.ISOWEEKNUM(A1209))</f>
        <v/>
      </c>
      <c r="N1209" s="38">
        <f>IF(A1209="","",DATE(YEAR(A1209),MONTH(A1209),1))</f>
        <v/>
      </c>
    </row>
    <row r="1210">
      <c r="A1210" s="31" t="n"/>
      <c r="B1210" s="32" t="n"/>
      <c r="C1210" s="32" t="n"/>
      <c r="D1210" s="33" t="n"/>
      <c r="E1210" s="34" t="n"/>
      <c r="F1210" s="35" t="n"/>
      <c r="G1210" s="35" t="n"/>
      <c r="H1210" s="32" t="n"/>
      <c r="I1210" s="32" t="n"/>
      <c r="J1210" s="32" t="n"/>
      <c r="K1210" s="36">
        <f>IF(E1210&lt;&gt;"",E1210,IF(AND(F1210&lt;&gt;"",G1210&lt;&gt;""),MOD(G1210-F1210,1)*24,""))</f>
        <v/>
      </c>
      <c r="L1210" s="37">
        <f>IF(A1210="","",CHOOSE(WEEKDAY(A1210,2),"Montag","Dienstag","Mittwoch","Donnerstag","Freitag","Samstag","Sonntag"))</f>
        <v/>
      </c>
      <c r="M1210" s="37">
        <f>IF(A1210="","",_xlfn.ISOWEEKNUM(A1210))</f>
        <v/>
      </c>
      <c r="N1210" s="38">
        <f>IF(A1210="","",DATE(YEAR(A1210),MONTH(A1210),1))</f>
        <v/>
      </c>
    </row>
    <row r="1211">
      <c r="A1211" s="31" t="n"/>
      <c r="B1211" s="32" t="n"/>
      <c r="C1211" s="32" t="n"/>
      <c r="D1211" s="33" t="n"/>
      <c r="E1211" s="34" t="n"/>
      <c r="F1211" s="35" t="n"/>
      <c r="G1211" s="35" t="n"/>
      <c r="H1211" s="32" t="n"/>
      <c r="I1211" s="32" t="n"/>
      <c r="J1211" s="32" t="n"/>
      <c r="K1211" s="36">
        <f>IF(E1211&lt;&gt;"",E1211,IF(AND(F1211&lt;&gt;"",G1211&lt;&gt;""),MOD(G1211-F1211,1)*24,""))</f>
        <v/>
      </c>
      <c r="L1211" s="37">
        <f>IF(A1211="","",CHOOSE(WEEKDAY(A1211,2),"Montag","Dienstag","Mittwoch","Donnerstag","Freitag","Samstag","Sonntag"))</f>
        <v/>
      </c>
      <c r="M1211" s="37">
        <f>IF(A1211="","",_xlfn.ISOWEEKNUM(A1211))</f>
        <v/>
      </c>
      <c r="N1211" s="38">
        <f>IF(A1211="","",DATE(YEAR(A1211),MONTH(A1211),1))</f>
        <v/>
      </c>
    </row>
    <row r="1212">
      <c r="A1212" s="31" t="n"/>
      <c r="B1212" s="32" t="n"/>
      <c r="C1212" s="32" t="n"/>
      <c r="D1212" s="33" t="n"/>
      <c r="E1212" s="34" t="n"/>
      <c r="F1212" s="35" t="n"/>
      <c r="G1212" s="35" t="n"/>
      <c r="H1212" s="32" t="n"/>
      <c r="I1212" s="32" t="n"/>
      <c r="J1212" s="32" t="n"/>
      <c r="K1212" s="36">
        <f>IF(E1212&lt;&gt;"",E1212,IF(AND(F1212&lt;&gt;"",G1212&lt;&gt;""),MOD(G1212-F1212,1)*24,""))</f>
        <v/>
      </c>
      <c r="L1212" s="37">
        <f>IF(A1212="","",CHOOSE(WEEKDAY(A1212,2),"Montag","Dienstag","Mittwoch","Donnerstag","Freitag","Samstag","Sonntag"))</f>
        <v/>
      </c>
      <c r="M1212" s="37">
        <f>IF(A1212="","",_xlfn.ISOWEEKNUM(A1212))</f>
        <v/>
      </c>
      <c r="N1212" s="38">
        <f>IF(A1212="","",DATE(YEAR(A1212),MONTH(A1212),1))</f>
        <v/>
      </c>
    </row>
    <row r="1213">
      <c r="A1213" s="31" t="n"/>
      <c r="B1213" s="32" t="n"/>
      <c r="C1213" s="32" t="n"/>
      <c r="D1213" s="33" t="n"/>
      <c r="E1213" s="34" t="n"/>
      <c r="F1213" s="35" t="n"/>
      <c r="G1213" s="35" t="n"/>
      <c r="H1213" s="32" t="n"/>
      <c r="I1213" s="32" t="n"/>
      <c r="J1213" s="32" t="n"/>
      <c r="K1213" s="36">
        <f>IF(E1213&lt;&gt;"",E1213,IF(AND(F1213&lt;&gt;"",G1213&lt;&gt;""),MOD(G1213-F1213,1)*24,""))</f>
        <v/>
      </c>
      <c r="L1213" s="37">
        <f>IF(A1213="","",CHOOSE(WEEKDAY(A1213,2),"Montag","Dienstag","Mittwoch","Donnerstag","Freitag","Samstag","Sonntag"))</f>
        <v/>
      </c>
      <c r="M1213" s="37">
        <f>IF(A1213="","",_xlfn.ISOWEEKNUM(A1213))</f>
        <v/>
      </c>
      <c r="N1213" s="38">
        <f>IF(A1213="","",DATE(YEAR(A1213),MONTH(A1213),1))</f>
        <v/>
      </c>
    </row>
    <row r="1214">
      <c r="A1214" s="31" t="n"/>
      <c r="B1214" s="32" t="n"/>
      <c r="C1214" s="32" t="n"/>
      <c r="D1214" s="33" t="n"/>
      <c r="E1214" s="34" t="n"/>
      <c r="F1214" s="35" t="n"/>
      <c r="G1214" s="35" t="n"/>
      <c r="H1214" s="32" t="n"/>
      <c r="I1214" s="32" t="n"/>
      <c r="J1214" s="32" t="n"/>
      <c r="K1214" s="36">
        <f>IF(E1214&lt;&gt;"",E1214,IF(AND(F1214&lt;&gt;"",G1214&lt;&gt;""),MOD(G1214-F1214,1)*24,""))</f>
        <v/>
      </c>
      <c r="L1214" s="37">
        <f>IF(A1214="","",CHOOSE(WEEKDAY(A1214,2),"Montag","Dienstag","Mittwoch","Donnerstag","Freitag","Samstag","Sonntag"))</f>
        <v/>
      </c>
      <c r="M1214" s="37">
        <f>IF(A1214="","",_xlfn.ISOWEEKNUM(A1214))</f>
        <v/>
      </c>
      <c r="N1214" s="38">
        <f>IF(A1214="","",DATE(YEAR(A1214),MONTH(A1214),1))</f>
        <v/>
      </c>
    </row>
    <row r="1215">
      <c r="A1215" s="31" t="n"/>
      <c r="B1215" s="32" t="n"/>
      <c r="C1215" s="32" t="n"/>
      <c r="D1215" s="33" t="n"/>
      <c r="E1215" s="34" t="n"/>
      <c r="F1215" s="35" t="n"/>
      <c r="G1215" s="35" t="n"/>
      <c r="H1215" s="32" t="n"/>
      <c r="I1215" s="32" t="n"/>
      <c r="J1215" s="32" t="n"/>
      <c r="K1215" s="36">
        <f>IF(E1215&lt;&gt;"",E1215,IF(AND(F1215&lt;&gt;"",G1215&lt;&gt;""),MOD(G1215-F1215,1)*24,""))</f>
        <v/>
      </c>
      <c r="L1215" s="37">
        <f>IF(A1215="","",CHOOSE(WEEKDAY(A1215,2),"Montag","Dienstag","Mittwoch","Donnerstag","Freitag","Samstag","Sonntag"))</f>
        <v/>
      </c>
      <c r="M1215" s="37">
        <f>IF(A1215="","",_xlfn.ISOWEEKNUM(A1215))</f>
        <v/>
      </c>
      <c r="N1215" s="38">
        <f>IF(A1215="","",DATE(YEAR(A1215),MONTH(A1215),1))</f>
        <v/>
      </c>
    </row>
    <row r="1216">
      <c r="A1216" s="31" t="n"/>
      <c r="B1216" s="32" t="n"/>
      <c r="C1216" s="32" t="n"/>
      <c r="D1216" s="33" t="n"/>
      <c r="E1216" s="34" t="n"/>
      <c r="F1216" s="35" t="n"/>
      <c r="G1216" s="35" t="n"/>
      <c r="H1216" s="32" t="n"/>
      <c r="I1216" s="32" t="n"/>
      <c r="J1216" s="32" t="n"/>
      <c r="K1216" s="36">
        <f>IF(E1216&lt;&gt;"",E1216,IF(AND(F1216&lt;&gt;"",G1216&lt;&gt;""),MOD(G1216-F1216,1)*24,""))</f>
        <v/>
      </c>
      <c r="L1216" s="37">
        <f>IF(A1216="","",CHOOSE(WEEKDAY(A1216,2),"Montag","Dienstag","Mittwoch","Donnerstag","Freitag","Samstag","Sonntag"))</f>
        <v/>
      </c>
      <c r="M1216" s="37">
        <f>IF(A1216="","",_xlfn.ISOWEEKNUM(A1216))</f>
        <v/>
      </c>
      <c r="N1216" s="38">
        <f>IF(A1216="","",DATE(YEAR(A1216),MONTH(A1216),1))</f>
        <v/>
      </c>
    </row>
    <row r="1217">
      <c r="A1217" s="31" t="n"/>
      <c r="B1217" s="32" t="n"/>
      <c r="C1217" s="32" t="n"/>
      <c r="D1217" s="33" t="n"/>
      <c r="E1217" s="34" t="n"/>
      <c r="F1217" s="35" t="n"/>
      <c r="G1217" s="35" t="n"/>
      <c r="H1217" s="32" t="n"/>
      <c r="I1217" s="32" t="n"/>
      <c r="J1217" s="32" t="n"/>
      <c r="K1217" s="36">
        <f>IF(E1217&lt;&gt;"",E1217,IF(AND(F1217&lt;&gt;"",G1217&lt;&gt;""),MOD(G1217-F1217,1)*24,""))</f>
        <v/>
      </c>
      <c r="L1217" s="37">
        <f>IF(A1217="","",CHOOSE(WEEKDAY(A1217,2),"Montag","Dienstag","Mittwoch","Donnerstag","Freitag","Samstag","Sonntag"))</f>
        <v/>
      </c>
      <c r="M1217" s="37">
        <f>IF(A1217="","",_xlfn.ISOWEEKNUM(A1217))</f>
        <v/>
      </c>
      <c r="N1217" s="38">
        <f>IF(A1217="","",DATE(YEAR(A1217),MONTH(A1217),1))</f>
        <v/>
      </c>
    </row>
    <row r="1218">
      <c r="A1218" s="31" t="n"/>
      <c r="B1218" s="32" t="n"/>
      <c r="C1218" s="32" t="n"/>
      <c r="D1218" s="33" t="n"/>
      <c r="E1218" s="34" t="n"/>
      <c r="F1218" s="35" t="n"/>
      <c r="G1218" s="35" t="n"/>
      <c r="H1218" s="32" t="n"/>
      <c r="I1218" s="32" t="n"/>
      <c r="J1218" s="32" t="n"/>
      <c r="K1218" s="36">
        <f>IF(E1218&lt;&gt;"",E1218,IF(AND(F1218&lt;&gt;"",G1218&lt;&gt;""),MOD(G1218-F1218,1)*24,""))</f>
        <v/>
      </c>
      <c r="L1218" s="37">
        <f>IF(A1218="","",CHOOSE(WEEKDAY(A1218,2),"Montag","Dienstag","Mittwoch","Donnerstag","Freitag","Samstag","Sonntag"))</f>
        <v/>
      </c>
      <c r="M1218" s="37">
        <f>IF(A1218="","",_xlfn.ISOWEEKNUM(A1218))</f>
        <v/>
      </c>
      <c r="N1218" s="38">
        <f>IF(A1218="","",DATE(YEAR(A1218),MONTH(A1218),1))</f>
        <v/>
      </c>
    </row>
    <row r="1219">
      <c r="A1219" s="31" t="n"/>
      <c r="B1219" s="32" t="n"/>
      <c r="C1219" s="32" t="n"/>
      <c r="D1219" s="33" t="n"/>
      <c r="E1219" s="34" t="n"/>
      <c r="F1219" s="35" t="n"/>
      <c r="G1219" s="35" t="n"/>
      <c r="H1219" s="32" t="n"/>
      <c r="I1219" s="32" t="n"/>
      <c r="J1219" s="32" t="n"/>
      <c r="K1219" s="36">
        <f>IF(E1219&lt;&gt;"",E1219,IF(AND(F1219&lt;&gt;"",G1219&lt;&gt;""),MOD(G1219-F1219,1)*24,""))</f>
        <v/>
      </c>
      <c r="L1219" s="37">
        <f>IF(A1219="","",CHOOSE(WEEKDAY(A1219,2),"Montag","Dienstag","Mittwoch","Donnerstag","Freitag","Samstag","Sonntag"))</f>
        <v/>
      </c>
      <c r="M1219" s="37">
        <f>IF(A1219="","",_xlfn.ISOWEEKNUM(A1219))</f>
        <v/>
      </c>
      <c r="N1219" s="38">
        <f>IF(A1219="","",DATE(YEAR(A1219),MONTH(A1219),1))</f>
        <v/>
      </c>
    </row>
    <row r="1220">
      <c r="A1220" s="31" t="n"/>
      <c r="B1220" s="32" t="n"/>
      <c r="C1220" s="32" t="n"/>
      <c r="D1220" s="33" t="n"/>
      <c r="E1220" s="34" t="n"/>
      <c r="F1220" s="35" t="n"/>
      <c r="G1220" s="35" t="n"/>
      <c r="H1220" s="32" t="n"/>
      <c r="I1220" s="32" t="n"/>
      <c r="J1220" s="32" t="n"/>
      <c r="K1220" s="36">
        <f>IF(E1220&lt;&gt;"",E1220,IF(AND(F1220&lt;&gt;"",G1220&lt;&gt;""),MOD(G1220-F1220,1)*24,""))</f>
        <v/>
      </c>
      <c r="L1220" s="37">
        <f>IF(A1220="","",CHOOSE(WEEKDAY(A1220,2),"Montag","Dienstag","Mittwoch","Donnerstag","Freitag","Samstag","Sonntag"))</f>
        <v/>
      </c>
      <c r="M1220" s="37">
        <f>IF(A1220="","",_xlfn.ISOWEEKNUM(A1220))</f>
        <v/>
      </c>
      <c r="N1220" s="38">
        <f>IF(A1220="","",DATE(YEAR(A1220),MONTH(A1220),1))</f>
        <v/>
      </c>
    </row>
    <row r="1221">
      <c r="A1221" s="31" t="n"/>
      <c r="B1221" s="32" t="n"/>
      <c r="C1221" s="32" t="n"/>
      <c r="D1221" s="33" t="n"/>
      <c r="E1221" s="34" t="n"/>
      <c r="F1221" s="35" t="n"/>
      <c r="G1221" s="35" t="n"/>
      <c r="H1221" s="32" t="n"/>
      <c r="I1221" s="32" t="n"/>
      <c r="J1221" s="32" t="n"/>
      <c r="K1221" s="36">
        <f>IF(E1221&lt;&gt;"",E1221,IF(AND(F1221&lt;&gt;"",G1221&lt;&gt;""),MOD(G1221-F1221,1)*24,""))</f>
        <v/>
      </c>
      <c r="L1221" s="37">
        <f>IF(A1221="","",CHOOSE(WEEKDAY(A1221,2),"Montag","Dienstag","Mittwoch","Donnerstag","Freitag","Samstag","Sonntag"))</f>
        <v/>
      </c>
      <c r="M1221" s="37">
        <f>IF(A1221="","",_xlfn.ISOWEEKNUM(A1221))</f>
        <v/>
      </c>
      <c r="N1221" s="38">
        <f>IF(A1221="","",DATE(YEAR(A1221),MONTH(A1221),1))</f>
        <v/>
      </c>
    </row>
    <row r="1222">
      <c r="A1222" s="31" t="n"/>
      <c r="B1222" s="32" t="n"/>
      <c r="C1222" s="32" t="n"/>
      <c r="D1222" s="33" t="n"/>
      <c r="E1222" s="34" t="n"/>
      <c r="F1222" s="35" t="n"/>
      <c r="G1222" s="35" t="n"/>
      <c r="H1222" s="32" t="n"/>
      <c r="I1222" s="32" t="n"/>
      <c r="J1222" s="32" t="n"/>
      <c r="K1222" s="36">
        <f>IF(E1222&lt;&gt;"",E1222,IF(AND(F1222&lt;&gt;"",G1222&lt;&gt;""),MOD(G1222-F1222,1)*24,""))</f>
        <v/>
      </c>
      <c r="L1222" s="37">
        <f>IF(A1222="","",CHOOSE(WEEKDAY(A1222,2),"Montag","Dienstag","Mittwoch","Donnerstag","Freitag","Samstag","Sonntag"))</f>
        <v/>
      </c>
      <c r="M1222" s="37">
        <f>IF(A1222="","",_xlfn.ISOWEEKNUM(A1222))</f>
        <v/>
      </c>
      <c r="N1222" s="38">
        <f>IF(A1222="","",DATE(YEAR(A1222),MONTH(A1222),1))</f>
        <v/>
      </c>
    </row>
    <row r="1223">
      <c r="A1223" s="31" t="n"/>
      <c r="B1223" s="32" t="n"/>
      <c r="C1223" s="32" t="n"/>
      <c r="D1223" s="33" t="n"/>
      <c r="E1223" s="34" t="n"/>
      <c r="F1223" s="35" t="n"/>
      <c r="G1223" s="35" t="n"/>
      <c r="H1223" s="32" t="n"/>
      <c r="I1223" s="32" t="n"/>
      <c r="J1223" s="32" t="n"/>
      <c r="K1223" s="36">
        <f>IF(E1223&lt;&gt;"",E1223,IF(AND(F1223&lt;&gt;"",G1223&lt;&gt;""),MOD(G1223-F1223,1)*24,""))</f>
        <v/>
      </c>
      <c r="L1223" s="37">
        <f>IF(A1223="","",CHOOSE(WEEKDAY(A1223,2),"Montag","Dienstag","Mittwoch","Donnerstag","Freitag","Samstag","Sonntag"))</f>
        <v/>
      </c>
      <c r="M1223" s="37">
        <f>IF(A1223="","",_xlfn.ISOWEEKNUM(A1223))</f>
        <v/>
      </c>
      <c r="N1223" s="38">
        <f>IF(A1223="","",DATE(YEAR(A1223),MONTH(A1223),1))</f>
        <v/>
      </c>
    </row>
    <row r="1224">
      <c r="A1224" s="31" t="n"/>
      <c r="B1224" s="32" t="n"/>
      <c r="C1224" s="32" t="n"/>
      <c r="D1224" s="33" t="n"/>
      <c r="E1224" s="34" t="n"/>
      <c r="F1224" s="35" t="n"/>
      <c r="G1224" s="35" t="n"/>
      <c r="H1224" s="32" t="n"/>
      <c r="I1224" s="32" t="n"/>
      <c r="J1224" s="32" t="n"/>
      <c r="K1224" s="36">
        <f>IF(E1224&lt;&gt;"",E1224,IF(AND(F1224&lt;&gt;"",G1224&lt;&gt;""),MOD(G1224-F1224,1)*24,""))</f>
        <v/>
      </c>
      <c r="L1224" s="37">
        <f>IF(A1224="","",CHOOSE(WEEKDAY(A1224,2),"Montag","Dienstag","Mittwoch","Donnerstag","Freitag","Samstag","Sonntag"))</f>
        <v/>
      </c>
      <c r="M1224" s="37">
        <f>IF(A1224="","",_xlfn.ISOWEEKNUM(A1224))</f>
        <v/>
      </c>
      <c r="N1224" s="38">
        <f>IF(A1224="","",DATE(YEAR(A1224),MONTH(A1224),1))</f>
        <v/>
      </c>
    </row>
    <row r="1225">
      <c r="A1225" s="31" t="n"/>
      <c r="B1225" s="32" t="n"/>
      <c r="C1225" s="32" t="n"/>
      <c r="D1225" s="33" t="n"/>
      <c r="E1225" s="34" t="n"/>
      <c r="F1225" s="35" t="n"/>
      <c r="G1225" s="35" t="n"/>
      <c r="H1225" s="32" t="n"/>
      <c r="I1225" s="32" t="n"/>
      <c r="J1225" s="32" t="n"/>
      <c r="K1225" s="36">
        <f>IF(E1225&lt;&gt;"",E1225,IF(AND(F1225&lt;&gt;"",G1225&lt;&gt;""),MOD(G1225-F1225,1)*24,""))</f>
        <v/>
      </c>
      <c r="L1225" s="37">
        <f>IF(A1225="","",CHOOSE(WEEKDAY(A1225,2),"Montag","Dienstag","Mittwoch","Donnerstag","Freitag","Samstag","Sonntag"))</f>
        <v/>
      </c>
      <c r="M1225" s="37">
        <f>IF(A1225="","",_xlfn.ISOWEEKNUM(A1225))</f>
        <v/>
      </c>
      <c r="N1225" s="38">
        <f>IF(A1225="","",DATE(YEAR(A1225),MONTH(A1225),1))</f>
        <v/>
      </c>
    </row>
    <row r="1226">
      <c r="A1226" s="31" t="n"/>
      <c r="B1226" s="32" t="n"/>
      <c r="C1226" s="32" t="n"/>
      <c r="D1226" s="33" t="n"/>
      <c r="E1226" s="34" t="n"/>
      <c r="F1226" s="35" t="n"/>
      <c r="G1226" s="35" t="n"/>
      <c r="H1226" s="32" t="n"/>
      <c r="I1226" s="32" t="n"/>
      <c r="J1226" s="32" t="n"/>
      <c r="K1226" s="36">
        <f>IF(E1226&lt;&gt;"",E1226,IF(AND(F1226&lt;&gt;"",G1226&lt;&gt;""),MOD(G1226-F1226,1)*24,""))</f>
        <v/>
      </c>
      <c r="L1226" s="37">
        <f>IF(A1226="","",CHOOSE(WEEKDAY(A1226,2),"Montag","Dienstag","Mittwoch","Donnerstag","Freitag","Samstag","Sonntag"))</f>
        <v/>
      </c>
      <c r="M1226" s="37">
        <f>IF(A1226="","",_xlfn.ISOWEEKNUM(A1226))</f>
        <v/>
      </c>
      <c r="N1226" s="38">
        <f>IF(A1226="","",DATE(YEAR(A1226),MONTH(A1226),1))</f>
        <v/>
      </c>
    </row>
    <row r="1227">
      <c r="A1227" s="31" t="n"/>
      <c r="B1227" s="32" t="n"/>
      <c r="C1227" s="32" t="n"/>
      <c r="D1227" s="33" t="n"/>
      <c r="E1227" s="34" t="n"/>
      <c r="F1227" s="35" t="n"/>
      <c r="G1227" s="35" t="n"/>
      <c r="H1227" s="32" t="n"/>
      <c r="I1227" s="32" t="n"/>
      <c r="J1227" s="32" t="n"/>
      <c r="K1227" s="36">
        <f>IF(E1227&lt;&gt;"",E1227,IF(AND(F1227&lt;&gt;"",G1227&lt;&gt;""),MOD(G1227-F1227,1)*24,""))</f>
        <v/>
      </c>
      <c r="L1227" s="37">
        <f>IF(A1227="","",CHOOSE(WEEKDAY(A1227,2),"Montag","Dienstag","Mittwoch","Donnerstag","Freitag","Samstag","Sonntag"))</f>
        <v/>
      </c>
      <c r="M1227" s="37">
        <f>IF(A1227="","",_xlfn.ISOWEEKNUM(A1227))</f>
        <v/>
      </c>
      <c r="N1227" s="38">
        <f>IF(A1227="","",DATE(YEAR(A1227),MONTH(A1227),1))</f>
        <v/>
      </c>
    </row>
    <row r="1228">
      <c r="A1228" s="31" t="n"/>
      <c r="B1228" s="32" t="n"/>
      <c r="C1228" s="32" t="n"/>
      <c r="D1228" s="33" t="n"/>
      <c r="E1228" s="34" t="n"/>
      <c r="F1228" s="35" t="n"/>
      <c r="G1228" s="35" t="n"/>
      <c r="H1228" s="32" t="n"/>
      <c r="I1228" s="32" t="n"/>
      <c r="J1228" s="32" t="n"/>
      <c r="K1228" s="36">
        <f>IF(E1228&lt;&gt;"",E1228,IF(AND(F1228&lt;&gt;"",G1228&lt;&gt;""),MOD(G1228-F1228,1)*24,""))</f>
        <v/>
      </c>
      <c r="L1228" s="37">
        <f>IF(A1228="","",CHOOSE(WEEKDAY(A1228,2),"Montag","Dienstag","Mittwoch","Donnerstag","Freitag","Samstag","Sonntag"))</f>
        <v/>
      </c>
      <c r="M1228" s="37">
        <f>IF(A1228="","",_xlfn.ISOWEEKNUM(A1228))</f>
        <v/>
      </c>
      <c r="N1228" s="38">
        <f>IF(A1228="","",DATE(YEAR(A1228),MONTH(A1228),1))</f>
        <v/>
      </c>
    </row>
    <row r="1229">
      <c r="A1229" s="31" t="n"/>
      <c r="B1229" s="32" t="n"/>
      <c r="C1229" s="32" t="n"/>
      <c r="D1229" s="33" t="n"/>
      <c r="E1229" s="34" t="n"/>
      <c r="F1229" s="35" t="n"/>
      <c r="G1229" s="35" t="n"/>
      <c r="H1229" s="32" t="n"/>
      <c r="I1229" s="32" t="n"/>
      <c r="J1229" s="32" t="n"/>
      <c r="K1229" s="36">
        <f>IF(E1229&lt;&gt;"",E1229,IF(AND(F1229&lt;&gt;"",G1229&lt;&gt;""),MOD(G1229-F1229,1)*24,""))</f>
        <v/>
      </c>
      <c r="L1229" s="37">
        <f>IF(A1229="","",CHOOSE(WEEKDAY(A1229,2),"Montag","Dienstag","Mittwoch","Donnerstag","Freitag","Samstag","Sonntag"))</f>
        <v/>
      </c>
      <c r="M1229" s="37">
        <f>IF(A1229="","",_xlfn.ISOWEEKNUM(A1229))</f>
        <v/>
      </c>
      <c r="N1229" s="38">
        <f>IF(A1229="","",DATE(YEAR(A1229),MONTH(A1229),1))</f>
        <v/>
      </c>
    </row>
    <row r="1230">
      <c r="A1230" s="31" t="n"/>
      <c r="B1230" s="32" t="n"/>
      <c r="C1230" s="32" t="n"/>
      <c r="D1230" s="33" t="n"/>
      <c r="E1230" s="34" t="n"/>
      <c r="F1230" s="35" t="n"/>
      <c r="G1230" s="35" t="n"/>
      <c r="H1230" s="32" t="n"/>
      <c r="I1230" s="32" t="n"/>
      <c r="J1230" s="32" t="n"/>
      <c r="K1230" s="36">
        <f>IF(E1230&lt;&gt;"",E1230,IF(AND(F1230&lt;&gt;"",G1230&lt;&gt;""),MOD(G1230-F1230,1)*24,""))</f>
        <v/>
      </c>
      <c r="L1230" s="37">
        <f>IF(A1230="","",CHOOSE(WEEKDAY(A1230,2),"Montag","Dienstag","Mittwoch","Donnerstag","Freitag","Samstag","Sonntag"))</f>
        <v/>
      </c>
      <c r="M1230" s="37">
        <f>IF(A1230="","",_xlfn.ISOWEEKNUM(A1230))</f>
        <v/>
      </c>
      <c r="N1230" s="38">
        <f>IF(A1230="","",DATE(YEAR(A1230),MONTH(A1230),1))</f>
        <v/>
      </c>
    </row>
    <row r="1231">
      <c r="A1231" s="31" t="n"/>
      <c r="B1231" s="32" t="n"/>
      <c r="C1231" s="32" t="n"/>
      <c r="D1231" s="33" t="n"/>
      <c r="E1231" s="34" t="n"/>
      <c r="F1231" s="35" t="n"/>
      <c r="G1231" s="35" t="n"/>
      <c r="H1231" s="32" t="n"/>
      <c r="I1231" s="32" t="n"/>
      <c r="J1231" s="32" t="n"/>
      <c r="K1231" s="36">
        <f>IF(E1231&lt;&gt;"",E1231,IF(AND(F1231&lt;&gt;"",G1231&lt;&gt;""),MOD(G1231-F1231,1)*24,""))</f>
        <v/>
      </c>
      <c r="L1231" s="37">
        <f>IF(A1231="","",CHOOSE(WEEKDAY(A1231,2),"Montag","Dienstag","Mittwoch","Donnerstag","Freitag","Samstag","Sonntag"))</f>
        <v/>
      </c>
      <c r="M1231" s="37">
        <f>IF(A1231="","",_xlfn.ISOWEEKNUM(A1231))</f>
        <v/>
      </c>
      <c r="N1231" s="38">
        <f>IF(A1231="","",DATE(YEAR(A1231),MONTH(A1231),1))</f>
        <v/>
      </c>
    </row>
    <row r="1232">
      <c r="A1232" s="31" t="n"/>
      <c r="B1232" s="32" t="n"/>
      <c r="C1232" s="32" t="n"/>
      <c r="D1232" s="33" t="n"/>
      <c r="E1232" s="34" t="n"/>
      <c r="F1232" s="35" t="n"/>
      <c r="G1232" s="35" t="n"/>
      <c r="H1232" s="32" t="n"/>
      <c r="I1232" s="32" t="n"/>
      <c r="J1232" s="32" t="n"/>
      <c r="K1232" s="36">
        <f>IF(E1232&lt;&gt;"",E1232,IF(AND(F1232&lt;&gt;"",G1232&lt;&gt;""),MOD(G1232-F1232,1)*24,""))</f>
        <v/>
      </c>
      <c r="L1232" s="37">
        <f>IF(A1232="","",CHOOSE(WEEKDAY(A1232,2),"Montag","Dienstag","Mittwoch","Donnerstag","Freitag","Samstag","Sonntag"))</f>
        <v/>
      </c>
      <c r="M1232" s="37">
        <f>IF(A1232="","",_xlfn.ISOWEEKNUM(A1232))</f>
        <v/>
      </c>
      <c r="N1232" s="38">
        <f>IF(A1232="","",DATE(YEAR(A1232),MONTH(A1232),1))</f>
        <v/>
      </c>
    </row>
    <row r="1233">
      <c r="A1233" s="31" t="n"/>
      <c r="B1233" s="32" t="n"/>
      <c r="C1233" s="32" t="n"/>
      <c r="D1233" s="33" t="n"/>
      <c r="E1233" s="34" t="n"/>
      <c r="F1233" s="35" t="n"/>
      <c r="G1233" s="35" t="n"/>
      <c r="H1233" s="32" t="n"/>
      <c r="I1233" s="32" t="n"/>
      <c r="J1233" s="32" t="n"/>
      <c r="K1233" s="36">
        <f>IF(E1233&lt;&gt;"",E1233,IF(AND(F1233&lt;&gt;"",G1233&lt;&gt;""),MOD(G1233-F1233,1)*24,""))</f>
        <v/>
      </c>
      <c r="L1233" s="37">
        <f>IF(A1233="","",CHOOSE(WEEKDAY(A1233,2),"Montag","Dienstag","Mittwoch","Donnerstag","Freitag","Samstag","Sonntag"))</f>
        <v/>
      </c>
      <c r="M1233" s="37">
        <f>IF(A1233="","",_xlfn.ISOWEEKNUM(A1233))</f>
        <v/>
      </c>
      <c r="N1233" s="38">
        <f>IF(A1233="","",DATE(YEAR(A1233),MONTH(A1233),1))</f>
        <v/>
      </c>
    </row>
    <row r="1234">
      <c r="A1234" s="31" t="n"/>
      <c r="B1234" s="32" t="n"/>
      <c r="C1234" s="32" t="n"/>
      <c r="D1234" s="33" t="n"/>
      <c r="E1234" s="34" t="n"/>
      <c r="F1234" s="35" t="n"/>
      <c r="G1234" s="35" t="n"/>
      <c r="H1234" s="32" t="n"/>
      <c r="I1234" s="32" t="n"/>
      <c r="J1234" s="32" t="n"/>
      <c r="K1234" s="36">
        <f>IF(E1234&lt;&gt;"",E1234,IF(AND(F1234&lt;&gt;"",G1234&lt;&gt;""),MOD(G1234-F1234,1)*24,""))</f>
        <v/>
      </c>
      <c r="L1234" s="37">
        <f>IF(A1234="","",CHOOSE(WEEKDAY(A1234,2),"Montag","Dienstag","Mittwoch","Donnerstag","Freitag","Samstag","Sonntag"))</f>
        <v/>
      </c>
      <c r="M1234" s="37">
        <f>IF(A1234="","",_xlfn.ISOWEEKNUM(A1234))</f>
        <v/>
      </c>
      <c r="N1234" s="38">
        <f>IF(A1234="","",DATE(YEAR(A1234),MONTH(A1234),1))</f>
        <v/>
      </c>
    </row>
    <row r="1235">
      <c r="A1235" s="31" t="n"/>
      <c r="B1235" s="32" t="n"/>
      <c r="C1235" s="32" t="n"/>
      <c r="D1235" s="33" t="n"/>
      <c r="E1235" s="34" t="n"/>
      <c r="F1235" s="35" t="n"/>
      <c r="G1235" s="35" t="n"/>
      <c r="H1235" s="32" t="n"/>
      <c r="I1235" s="32" t="n"/>
      <c r="J1235" s="32" t="n"/>
      <c r="K1235" s="36">
        <f>IF(E1235&lt;&gt;"",E1235,IF(AND(F1235&lt;&gt;"",G1235&lt;&gt;""),MOD(G1235-F1235,1)*24,""))</f>
        <v/>
      </c>
      <c r="L1235" s="37">
        <f>IF(A1235="","",CHOOSE(WEEKDAY(A1235,2),"Montag","Dienstag","Mittwoch","Donnerstag","Freitag","Samstag","Sonntag"))</f>
        <v/>
      </c>
      <c r="M1235" s="37">
        <f>IF(A1235="","",_xlfn.ISOWEEKNUM(A1235))</f>
        <v/>
      </c>
      <c r="N1235" s="38">
        <f>IF(A1235="","",DATE(YEAR(A1235),MONTH(A1235),1))</f>
        <v/>
      </c>
    </row>
    <row r="1236">
      <c r="A1236" s="31" t="n"/>
      <c r="B1236" s="32" t="n"/>
      <c r="C1236" s="32" t="n"/>
      <c r="D1236" s="33" t="n"/>
      <c r="E1236" s="34" t="n"/>
      <c r="F1236" s="35" t="n"/>
      <c r="G1236" s="35" t="n"/>
      <c r="H1236" s="32" t="n"/>
      <c r="I1236" s="32" t="n"/>
      <c r="J1236" s="32" t="n"/>
      <c r="K1236" s="36">
        <f>IF(E1236&lt;&gt;"",E1236,IF(AND(F1236&lt;&gt;"",G1236&lt;&gt;""),MOD(G1236-F1236,1)*24,""))</f>
        <v/>
      </c>
      <c r="L1236" s="37">
        <f>IF(A1236="","",CHOOSE(WEEKDAY(A1236,2),"Montag","Dienstag","Mittwoch","Donnerstag","Freitag","Samstag","Sonntag"))</f>
        <v/>
      </c>
      <c r="M1236" s="37">
        <f>IF(A1236="","",_xlfn.ISOWEEKNUM(A1236))</f>
        <v/>
      </c>
      <c r="N1236" s="38">
        <f>IF(A1236="","",DATE(YEAR(A1236),MONTH(A1236),1))</f>
        <v/>
      </c>
    </row>
    <row r="1237">
      <c r="A1237" s="31" t="n"/>
      <c r="B1237" s="32" t="n"/>
      <c r="C1237" s="32" t="n"/>
      <c r="D1237" s="33" t="n"/>
      <c r="E1237" s="34" t="n"/>
      <c r="F1237" s="35" t="n"/>
      <c r="G1237" s="35" t="n"/>
      <c r="H1237" s="32" t="n"/>
      <c r="I1237" s="32" t="n"/>
      <c r="J1237" s="32" t="n"/>
      <c r="K1237" s="36">
        <f>IF(E1237&lt;&gt;"",E1237,IF(AND(F1237&lt;&gt;"",G1237&lt;&gt;""),MOD(G1237-F1237,1)*24,""))</f>
        <v/>
      </c>
      <c r="L1237" s="37">
        <f>IF(A1237="","",CHOOSE(WEEKDAY(A1237,2),"Montag","Dienstag","Mittwoch","Donnerstag","Freitag","Samstag","Sonntag"))</f>
        <v/>
      </c>
      <c r="M1237" s="37">
        <f>IF(A1237="","",_xlfn.ISOWEEKNUM(A1237))</f>
        <v/>
      </c>
      <c r="N1237" s="38">
        <f>IF(A1237="","",DATE(YEAR(A1237),MONTH(A1237),1))</f>
        <v/>
      </c>
    </row>
    <row r="1238">
      <c r="A1238" s="31" t="n"/>
      <c r="B1238" s="32" t="n"/>
      <c r="C1238" s="32" t="n"/>
      <c r="D1238" s="33" t="n"/>
      <c r="E1238" s="34" t="n"/>
      <c r="F1238" s="35" t="n"/>
      <c r="G1238" s="35" t="n"/>
      <c r="H1238" s="32" t="n"/>
      <c r="I1238" s="32" t="n"/>
      <c r="J1238" s="32" t="n"/>
      <c r="K1238" s="36">
        <f>IF(E1238&lt;&gt;"",E1238,IF(AND(F1238&lt;&gt;"",G1238&lt;&gt;""),MOD(G1238-F1238,1)*24,""))</f>
        <v/>
      </c>
      <c r="L1238" s="37">
        <f>IF(A1238="","",CHOOSE(WEEKDAY(A1238,2),"Montag","Dienstag","Mittwoch","Donnerstag","Freitag","Samstag","Sonntag"))</f>
        <v/>
      </c>
      <c r="M1238" s="37">
        <f>IF(A1238="","",_xlfn.ISOWEEKNUM(A1238))</f>
        <v/>
      </c>
      <c r="N1238" s="38">
        <f>IF(A1238="","",DATE(YEAR(A1238),MONTH(A1238),1))</f>
        <v/>
      </c>
    </row>
    <row r="1239">
      <c r="A1239" s="31" t="n"/>
      <c r="B1239" s="32" t="n"/>
      <c r="C1239" s="32" t="n"/>
      <c r="D1239" s="33" t="n"/>
      <c r="E1239" s="34" t="n"/>
      <c r="F1239" s="35" t="n"/>
      <c r="G1239" s="35" t="n"/>
      <c r="H1239" s="32" t="n"/>
      <c r="I1239" s="32" t="n"/>
      <c r="J1239" s="32" t="n"/>
      <c r="K1239" s="36">
        <f>IF(E1239&lt;&gt;"",E1239,IF(AND(F1239&lt;&gt;"",G1239&lt;&gt;""),MOD(G1239-F1239,1)*24,""))</f>
        <v/>
      </c>
      <c r="L1239" s="37">
        <f>IF(A1239="","",CHOOSE(WEEKDAY(A1239,2),"Montag","Dienstag","Mittwoch","Donnerstag","Freitag","Samstag","Sonntag"))</f>
        <v/>
      </c>
      <c r="M1239" s="37">
        <f>IF(A1239="","",_xlfn.ISOWEEKNUM(A1239))</f>
        <v/>
      </c>
      <c r="N1239" s="38">
        <f>IF(A1239="","",DATE(YEAR(A1239),MONTH(A1239),1))</f>
        <v/>
      </c>
    </row>
    <row r="1240">
      <c r="A1240" s="31" t="n"/>
      <c r="B1240" s="32" t="n"/>
      <c r="C1240" s="32" t="n"/>
      <c r="D1240" s="33" t="n"/>
      <c r="E1240" s="34" t="n"/>
      <c r="F1240" s="35" t="n"/>
      <c r="G1240" s="35" t="n"/>
      <c r="H1240" s="32" t="n"/>
      <c r="I1240" s="32" t="n"/>
      <c r="J1240" s="32" t="n"/>
      <c r="K1240" s="36">
        <f>IF(E1240&lt;&gt;"",E1240,IF(AND(F1240&lt;&gt;"",G1240&lt;&gt;""),MOD(G1240-F1240,1)*24,""))</f>
        <v/>
      </c>
      <c r="L1240" s="37">
        <f>IF(A1240="","",CHOOSE(WEEKDAY(A1240,2),"Montag","Dienstag","Mittwoch","Donnerstag","Freitag","Samstag","Sonntag"))</f>
        <v/>
      </c>
      <c r="M1240" s="37">
        <f>IF(A1240="","",_xlfn.ISOWEEKNUM(A1240))</f>
        <v/>
      </c>
      <c r="N1240" s="38">
        <f>IF(A1240="","",DATE(YEAR(A1240),MONTH(A1240),1))</f>
        <v/>
      </c>
    </row>
    <row r="1241">
      <c r="A1241" s="31" t="n"/>
      <c r="B1241" s="32" t="n"/>
      <c r="C1241" s="32" t="n"/>
      <c r="D1241" s="33" t="n"/>
      <c r="E1241" s="34" t="n"/>
      <c r="F1241" s="35" t="n"/>
      <c r="G1241" s="35" t="n"/>
      <c r="H1241" s="32" t="n"/>
      <c r="I1241" s="32" t="n"/>
      <c r="J1241" s="32" t="n"/>
      <c r="K1241" s="36">
        <f>IF(E1241&lt;&gt;"",E1241,IF(AND(F1241&lt;&gt;"",G1241&lt;&gt;""),MOD(G1241-F1241,1)*24,""))</f>
        <v/>
      </c>
      <c r="L1241" s="37">
        <f>IF(A1241="","",CHOOSE(WEEKDAY(A1241,2),"Montag","Dienstag","Mittwoch","Donnerstag","Freitag","Samstag","Sonntag"))</f>
        <v/>
      </c>
      <c r="M1241" s="37">
        <f>IF(A1241="","",_xlfn.ISOWEEKNUM(A1241))</f>
        <v/>
      </c>
      <c r="N1241" s="38">
        <f>IF(A1241="","",DATE(YEAR(A1241),MONTH(A1241),1))</f>
        <v/>
      </c>
    </row>
    <row r="1242">
      <c r="A1242" s="31" t="n"/>
      <c r="B1242" s="32" t="n"/>
      <c r="C1242" s="32" t="n"/>
      <c r="D1242" s="33" t="n"/>
      <c r="E1242" s="34" t="n"/>
      <c r="F1242" s="35" t="n"/>
      <c r="G1242" s="35" t="n"/>
      <c r="H1242" s="32" t="n"/>
      <c r="I1242" s="32" t="n"/>
      <c r="J1242" s="32" t="n"/>
      <c r="K1242" s="36">
        <f>IF(E1242&lt;&gt;"",E1242,IF(AND(F1242&lt;&gt;"",G1242&lt;&gt;""),MOD(G1242-F1242,1)*24,""))</f>
        <v/>
      </c>
      <c r="L1242" s="37">
        <f>IF(A1242="","",CHOOSE(WEEKDAY(A1242,2),"Montag","Dienstag","Mittwoch","Donnerstag","Freitag","Samstag","Sonntag"))</f>
        <v/>
      </c>
      <c r="M1242" s="37">
        <f>IF(A1242="","",_xlfn.ISOWEEKNUM(A1242))</f>
        <v/>
      </c>
      <c r="N1242" s="38">
        <f>IF(A1242="","",DATE(YEAR(A1242),MONTH(A1242),1))</f>
        <v/>
      </c>
    </row>
    <row r="1243">
      <c r="A1243" s="31" t="n"/>
      <c r="B1243" s="32" t="n"/>
      <c r="C1243" s="32" t="n"/>
      <c r="D1243" s="33" t="n"/>
      <c r="E1243" s="34" t="n"/>
      <c r="F1243" s="35" t="n"/>
      <c r="G1243" s="35" t="n"/>
      <c r="H1243" s="32" t="n"/>
      <c r="I1243" s="32" t="n"/>
      <c r="J1243" s="32" t="n"/>
      <c r="K1243" s="36">
        <f>IF(E1243&lt;&gt;"",E1243,IF(AND(F1243&lt;&gt;"",G1243&lt;&gt;""),MOD(G1243-F1243,1)*24,""))</f>
        <v/>
      </c>
      <c r="L1243" s="37">
        <f>IF(A1243="","",CHOOSE(WEEKDAY(A1243,2),"Montag","Dienstag","Mittwoch","Donnerstag","Freitag","Samstag","Sonntag"))</f>
        <v/>
      </c>
      <c r="M1243" s="37">
        <f>IF(A1243="","",_xlfn.ISOWEEKNUM(A1243))</f>
        <v/>
      </c>
      <c r="N1243" s="38">
        <f>IF(A1243="","",DATE(YEAR(A1243),MONTH(A1243),1))</f>
        <v/>
      </c>
    </row>
    <row r="1244">
      <c r="A1244" s="31" t="n"/>
      <c r="B1244" s="32" t="n"/>
      <c r="C1244" s="32" t="n"/>
      <c r="D1244" s="33" t="n"/>
      <c r="E1244" s="34" t="n"/>
      <c r="F1244" s="35" t="n"/>
      <c r="G1244" s="35" t="n"/>
      <c r="H1244" s="32" t="n"/>
      <c r="I1244" s="32" t="n"/>
      <c r="J1244" s="32" t="n"/>
      <c r="K1244" s="36">
        <f>IF(E1244&lt;&gt;"",E1244,IF(AND(F1244&lt;&gt;"",G1244&lt;&gt;""),MOD(G1244-F1244,1)*24,""))</f>
        <v/>
      </c>
      <c r="L1244" s="37">
        <f>IF(A1244="","",CHOOSE(WEEKDAY(A1244,2),"Montag","Dienstag","Mittwoch","Donnerstag","Freitag","Samstag","Sonntag"))</f>
        <v/>
      </c>
      <c r="M1244" s="37">
        <f>IF(A1244="","",_xlfn.ISOWEEKNUM(A1244))</f>
        <v/>
      </c>
      <c r="N1244" s="38">
        <f>IF(A1244="","",DATE(YEAR(A1244),MONTH(A1244),1))</f>
        <v/>
      </c>
    </row>
    <row r="1245">
      <c r="A1245" s="31" t="n"/>
      <c r="B1245" s="32" t="n"/>
      <c r="C1245" s="32" t="n"/>
      <c r="D1245" s="33" t="n"/>
      <c r="E1245" s="34" t="n"/>
      <c r="F1245" s="35" t="n"/>
      <c r="G1245" s="35" t="n"/>
      <c r="H1245" s="32" t="n"/>
      <c r="I1245" s="32" t="n"/>
      <c r="J1245" s="32" t="n"/>
      <c r="K1245" s="36">
        <f>IF(E1245&lt;&gt;"",E1245,IF(AND(F1245&lt;&gt;"",G1245&lt;&gt;""),MOD(G1245-F1245,1)*24,""))</f>
        <v/>
      </c>
      <c r="L1245" s="37">
        <f>IF(A1245="","",CHOOSE(WEEKDAY(A1245,2),"Montag","Dienstag","Mittwoch","Donnerstag","Freitag","Samstag","Sonntag"))</f>
        <v/>
      </c>
      <c r="M1245" s="37">
        <f>IF(A1245="","",_xlfn.ISOWEEKNUM(A1245))</f>
        <v/>
      </c>
      <c r="N1245" s="38">
        <f>IF(A1245="","",DATE(YEAR(A1245),MONTH(A1245),1))</f>
        <v/>
      </c>
    </row>
    <row r="1246">
      <c r="A1246" s="31" t="n"/>
      <c r="B1246" s="32" t="n"/>
      <c r="C1246" s="32" t="n"/>
      <c r="D1246" s="33" t="n"/>
      <c r="E1246" s="34" t="n"/>
      <c r="F1246" s="35" t="n"/>
      <c r="G1246" s="35" t="n"/>
      <c r="H1246" s="32" t="n"/>
      <c r="I1246" s="32" t="n"/>
      <c r="J1246" s="32" t="n"/>
      <c r="K1246" s="36">
        <f>IF(E1246&lt;&gt;"",E1246,IF(AND(F1246&lt;&gt;"",G1246&lt;&gt;""),MOD(G1246-F1246,1)*24,""))</f>
        <v/>
      </c>
      <c r="L1246" s="37">
        <f>IF(A1246="","",CHOOSE(WEEKDAY(A1246,2),"Montag","Dienstag","Mittwoch","Donnerstag","Freitag","Samstag","Sonntag"))</f>
        <v/>
      </c>
      <c r="M1246" s="37">
        <f>IF(A1246="","",_xlfn.ISOWEEKNUM(A1246))</f>
        <v/>
      </c>
      <c r="N1246" s="38">
        <f>IF(A1246="","",DATE(YEAR(A1246),MONTH(A1246),1))</f>
        <v/>
      </c>
    </row>
    <row r="1247">
      <c r="A1247" s="31" t="n"/>
      <c r="B1247" s="32" t="n"/>
      <c r="C1247" s="32" t="n"/>
      <c r="D1247" s="33" t="n"/>
      <c r="E1247" s="34" t="n"/>
      <c r="F1247" s="35" t="n"/>
      <c r="G1247" s="35" t="n"/>
      <c r="H1247" s="32" t="n"/>
      <c r="I1247" s="32" t="n"/>
      <c r="J1247" s="32" t="n"/>
      <c r="K1247" s="36">
        <f>IF(E1247&lt;&gt;"",E1247,IF(AND(F1247&lt;&gt;"",G1247&lt;&gt;""),MOD(G1247-F1247,1)*24,""))</f>
        <v/>
      </c>
      <c r="L1247" s="37">
        <f>IF(A1247="","",CHOOSE(WEEKDAY(A1247,2),"Montag","Dienstag","Mittwoch","Donnerstag","Freitag","Samstag","Sonntag"))</f>
        <v/>
      </c>
      <c r="M1247" s="37">
        <f>IF(A1247="","",_xlfn.ISOWEEKNUM(A1247))</f>
        <v/>
      </c>
      <c r="N1247" s="38">
        <f>IF(A1247="","",DATE(YEAR(A1247),MONTH(A1247),1))</f>
        <v/>
      </c>
    </row>
    <row r="1248">
      <c r="A1248" s="31" t="n"/>
      <c r="B1248" s="32" t="n"/>
      <c r="C1248" s="32" t="n"/>
      <c r="D1248" s="33" t="n"/>
      <c r="E1248" s="34" t="n"/>
      <c r="F1248" s="35" t="n"/>
      <c r="G1248" s="35" t="n"/>
      <c r="H1248" s="32" t="n"/>
      <c r="I1248" s="32" t="n"/>
      <c r="J1248" s="32" t="n"/>
      <c r="K1248" s="36">
        <f>IF(E1248&lt;&gt;"",E1248,IF(AND(F1248&lt;&gt;"",G1248&lt;&gt;""),MOD(G1248-F1248,1)*24,""))</f>
        <v/>
      </c>
      <c r="L1248" s="37">
        <f>IF(A1248="","",CHOOSE(WEEKDAY(A1248,2),"Montag","Dienstag","Mittwoch","Donnerstag","Freitag","Samstag","Sonntag"))</f>
        <v/>
      </c>
      <c r="M1248" s="37">
        <f>IF(A1248="","",_xlfn.ISOWEEKNUM(A1248))</f>
        <v/>
      </c>
      <c r="N1248" s="38">
        <f>IF(A1248="","",DATE(YEAR(A1248),MONTH(A1248),1))</f>
        <v/>
      </c>
    </row>
    <row r="1249">
      <c r="A1249" s="31" t="n"/>
      <c r="B1249" s="32" t="n"/>
      <c r="C1249" s="32" t="n"/>
      <c r="D1249" s="33" t="n"/>
      <c r="E1249" s="34" t="n"/>
      <c r="F1249" s="35" t="n"/>
      <c r="G1249" s="35" t="n"/>
      <c r="H1249" s="32" t="n"/>
      <c r="I1249" s="32" t="n"/>
      <c r="J1249" s="32" t="n"/>
      <c r="K1249" s="36">
        <f>IF(E1249&lt;&gt;"",E1249,IF(AND(F1249&lt;&gt;"",G1249&lt;&gt;""),MOD(G1249-F1249,1)*24,""))</f>
        <v/>
      </c>
      <c r="L1249" s="37">
        <f>IF(A1249="","",CHOOSE(WEEKDAY(A1249,2),"Montag","Dienstag","Mittwoch","Donnerstag","Freitag","Samstag","Sonntag"))</f>
        <v/>
      </c>
      <c r="M1249" s="37">
        <f>IF(A1249="","",_xlfn.ISOWEEKNUM(A1249))</f>
        <v/>
      </c>
      <c r="N1249" s="38">
        <f>IF(A1249="","",DATE(YEAR(A1249),MONTH(A1249),1))</f>
        <v/>
      </c>
    </row>
    <row r="1250">
      <c r="A1250" s="31" t="n"/>
      <c r="B1250" s="32" t="n"/>
      <c r="C1250" s="32" t="n"/>
      <c r="D1250" s="33" t="n"/>
      <c r="E1250" s="34" t="n"/>
      <c r="F1250" s="35" t="n"/>
      <c r="G1250" s="35" t="n"/>
      <c r="H1250" s="32" t="n"/>
      <c r="I1250" s="32" t="n"/>
      <c r="J1250" s="32" t="n"/>
      <c r="K1250" s="36">
        <f>IF(E1250&lt;&gt;"",E1250,IF(AND(F1250&lt;&gt;"",G1250&lt;&gt;""),MOD(G1250-F1250,1)*24,""))</f>
        <v/>
      </c>
      <c r="L1250" s="37">
        <f>IF(A1250="","",CHOOSE(WEEKDAY(A1250,2),"Montag","Dienstag","Mittwoch","Donnerstag","Freitag","Samstag","Sonntag"))</f>
        <v/>
      </c>
      <c r="M1250" s="37">
        <f>IF(A1250="","",_xlfn.ISOWEEKNUM(A1250))</f>
        <v/>
      </c>
      <c r="N1250" s="38">
        <f>IF(A1250="","",DATE(YEAR(A1250),MONTH(A1250),1))</f>
        <v/>
      </c>
    </row>
    <row r="1251">
      <c r="A1251" s="31" t="n"/>
      <c r="B1251" s="32" t="n"/>
      <c r="C1251" s="32" t="n"/>
      <c r="D1251" s="33" t="n"/>
      <c r="E1251" s="34" t="n"/>
      <c r="F1251" s="35" t="n"/>
      <c r="G1251" s="35" t="n"/>
      <c r="H1251" s="32" t="n"/>
      <c r="I1251" s="32" t="n"/>
      <c r="J1251" s="32" t="n"/>
      <c r="K1251" s="36">
        <f>IF(E1251&lt;&gt;"",E1251,IF(AND(F1251&lt;&gt;"",G1251&lt;&gt;""),MOD(G1251-F1251,1)*24,""))</f>
        <v/>
      </c>
      <c r="L1251" s="37">
        <f>IF(A1251="","",CHOOSE(WEEKDAY(A1251,2),"Montag","Dienstag","Mittwoch","Donnerstag","Freitag","Samstag","Sonntag"))</f>
        <v/>
      </c>
      <c r="M1251" s="37">
        <f>IF(A1251="","",_xlfn.ISOWEEKNUM(A1251))</f>
        <v/>
      </c>
      <c r="N1251" s="38">
        <f>IF(A1251="","",DATE(YEAR(A1251),MONTH(A1251),1))</f>
        <v/>
      </c>
    </row>
    <row r="1252">
      <c r="A1252" s="31" t="n"/>
      <c r="B1252" s="32" t="n"/>
      <c r="C1252" s="32" t="n"/>
      <c r="D1252" s="33" t="n"/>
      <c r="E1252" s="34" t="n"/>
      <c r="F1252" s="35" t="n"/>
      <c r="G1252" s="35" t="n"/>
      <c r="H1252" s="32" t="n"/>
      <c r="I1252" s="32" t="n"/>
      <c r="J1252" s="32" t="n"/>
      <c r="K1252" s="36">
        <f>IF(E1252&lt;&gt;"",E1252,IF(AND(F1252&lt;&gt;"",G1252&lt;&gt;""),MOD(G1252-F1252,1)*24,""))</f>
        <v/>
      </c>
      <c r="L1252" s="37">
        <f>IF(A1252="","",CHOOSE(WEEKDAY(A1252,2),"Montag","Dienstag","Mittwoch","Donnerstag","Freitag","Samstag","Sonntag"))</f>
        <v/>
      </c>
      <c r="M1252" s="37">
        <f>IF(A1252="","",_xlfn.ISOWEEKNUM(A1252))</f>
        <v/>
      </c>
      <c r="N1252" s="38">
        <f>IF(A1252="","",DATE(YEAR(A1252),MONTH(A1252),1))</f>
        <v/>
      </c>
    </row>
    <row r="1253">
      <c r="A1253" s="31" t="n"/>
      <c r="B1253" s="32" t="n"/>
      <c r="C1253" s="32" t="n"/>
      <c r="D1253" s="33" t="n"/>
      <c r="E1253" s="34" t="n"/>
      <c r="F1253" s="35" t="n"/>
      <c r="G1253" s="35" t="n"/>
      <c r="H1253" s="32" t="n"/>
      <c r="I1253" s="32" t="n"/>
      <c r="J1253" s="32" t="n"/>
      <c r="K1253" s="36">
        <f>IF(E1253&lt;&gt;"",E1253,IF(AND(F1253&lt;&gt;"",G1253&lt;&gt;""),MOD(G1253-F1253,1)*24,""))</f>
        <v/>
      </c>
      <c r="L1253" s="37">
        <f>IF(A1253="","",CHOOSE(WEEKDAY(A1253,2),"Montag","Dienstag","Mittwoch","Donnerstag","Freitag","Samstag","Sonntag"))</f>
        <v/>
      </c>
      <c r="M1253" s="37">
        <f>IF(A1253="","",_xlfn.ISOWEEKNUM(A1253))</f>
        <v/>
      </c>
      <c r="N1253" s="38">
        <f>IF(A1253="","",DATE(YEAR(A1253),MONTH(A1253),1))</f>
        <v/>
      </c>
    </row>
    <row r="1254">
      <c r="A1254" s="31" t="n"/>
      <c r="B1254" s="32" t="n"/>
      <c r="C1254" s="32" t="n"/>
      <c r="D1254" s="33" t="n"/>
      <c r="E1254" s="34" t="n"/>
      <c r="F1254" s="35" t="n"/>
      <c r="G1254" s="35" t="n"/>
      <c r="H1254" s="32" t="n"/>
      <c r="I1254" s="32" t="n"/>
      <c r="J1254" s="32" t="n"/>
      <c r="K1254" s="36">
        <f>IF(E1254&lt;&gt;"",E1254,IF(AND(F1254&lt;&gt;"",G1254&lt;&gt;""),MOD(G1254-F1254,1)*24,""))</f>
        <v/>
      </c>
      <c r="L1254" s="37">
        <f>IF(A1254="","",CHOOSE(WEEKDAY(A1254,2),"Montag","Dienstag","Mittwoch","Donnerstag","Freitag","Samstag","Sonntag"))</f>
        <v/>
      </c>
      <c r="M1254" s="37">
        <f>IF(A1254="","",_xlfn.ISOWEEKNUM(A1254))</f>
        <v/>
      </c>
      <c r="N1254" s="38">
        <f>IF(A1254="","",DATE(YEAR(A1254),MONTH(A1254),1))</f>
        <v/>
      </c>
    </row>
    <row r="1255">
      <c r="A1255" s="31" t="n"/>
      <c r="B1255" s="32" t="n"/>
      <c r="C1255" s="32" t="n"/>
      <c r="D1255" s="33" t="n"/>
      <c r="E1255" s="34" t="n"/>
      <c r="F1255" s="35" t="n"/>
      <c r="G1255" s="35" t="n"/>
      <c r="H1255" s="32" t="n"/>
      <c r="I1255" s="32" t="n"/>
      <c r="J1255" s="32" t="n"/>
      <c r="K1255" s="36">
        <f>IF(E1255&lt;&gt;"",E1255,IF(AND(F1255&lt;&gt;"",G1255&lt;&gt;""),MOD(G1255-F1255,1)*24,""))</f>
        <v/>
      </c>
      <c r="L1255" s="37">
        <f>IF(A1255="","",CHOOSE(WEEKDAY(A1255,2),"Montag","Dienstag","Mittwoch","Donnerstag","Freitag","Samstag","Sonntag"))</f>
        <v/>
      </c>
      <c r="M1255" s="37">
        <f>IF(A1255="","",_xlfn.ISOWEEKNUM(A1255))</f>
        <v/>
      </c>
      <c r="N1255" s="38">
        <f>IF(A1255="","",DATE(YEAR(A1255),MONTH(A1255),1))</f>
        <v/>
      </c>
    </row>
    <row r="1256">
      <c r="A1256" s="31" t="n"/>
      <c r="B1256" s="32" t="n"/>
      <c r="C1256" s="32" t="n"/>
      <c r="D1256" s="33" t="n"/>
      <c r="E1256" s="34" t="n"/>
      <c r="F1256" s="35" t="n"/>
      <c r="G1256" s="35" t="n"/>
      <c r="H1256" s="32" t="n"/>
      <c r="I1256" s="32" t="n"/>
      <c r="J1256" s="32" t="n"/>
      <c r="K1256" s="36">
        <f>IF(E1256&lt;&gt;"",E1256,IF(AND(F1256&lt;&gt;"",G1256&lt;&gt;""),MOD(G1256-F1256,1)*24,""))</f>
        <v/>
      </c>
      <c r="L1256" s="37">
        <f>IF(A1256="","",CHOOSE(WEEKDAY(A1256,2),"Montag","Dienstag","Mittwoch","Donnerstag","Freitag","Samstag","Sonntag"))</f>
        <v/>
      </c>
      <c r="M1256" s="37">
        <f>IF(A1256="","",_xlfn.ISOWEEKNUM(A1256))</f>
        <v/>
      </c>
      <c r="N1256" s="38">
        <f>IF(A1256="","",DATE(YEAR(A1256),MONTH(A1256),1))</f>
        <v/>
      </c>
    </row>
    <row r="1257">
      <c r="A1257" s="31" t="n"/>
      <c r="B1257" s="32" t="n"/>
      <c r="C1257" s="32" t="n"/>
      <c r="D1257" s="33" t="n"/>
      <c r="E1257" s="34" t="n"/>
      <c r="F1257" s="35" t="n"/>
      <c r="G1257" s="35" t="n"/>
      <c r="H1257" s="32" t="n"/>
      <c r="I1257" s="32" t="n"/>
      <c r="J1257" s="32" t="n"/>
      <c r="K1257" s="36">
        <f>IF(E1257&lt;&gt;"",E1257,IF(AND(F1257&lt;&gt;"",G1257&lt;&gt;""),MOD(G1257-F1257,1)*24,""))</f>
        <v/>
      </c>
      <c r="L1257" s="37">
        <f>IF(A1257="","",CHOOSE(WEEKDAY(A1257,2),"Montag","Dienstag","Mittwoch","Donnerstag","Freitag","Samstag","Sonntag"))</f>
        <v/>
      </c>
      <c r="M1257" s="37">
        <f>IF(A1257="","",_xlfn.ISOWEEKNUM(A1257))</f>
        <v/>
      </c>
      <c r="N1257" s="38">
        <f>IF(A1257="","",DATE(YEAR(A1257),MONTH(A1257),1))</f>
        <v/>
      </c>
    </row>
    <row r="1258">
      <c r="A1258" s="31" t="n"/>
      <c r="B1258" s="32" t="n"/>
      <c r="C1258" s="32" t="n"/>
      <c r="D1258" s="33" t="n"/>
      <c r="E1258" s="34" t="n"/>
      <c r="F1258" s="35" t="n"/>
      <c r="G1258" s="35" t="n"/>
      <c r="H1258" s="32" t="n"/>
      <c r="I1258" s="32" t="n"/>
      <c r="J1258" s="32" t="n"/>
      <c r="K1258" s="36">
        <f>IF(E1258&lt;&gt;"",E1258,IF(AND(F1258&lt;&gt;"",G1258&lt;&gt;""),MOD(G1258-F1258,1)*24,""))</f>
        <v/>
      </c>
      <c r="L1258" s="37">
        <f>IF(A1258="","",CHOOSE(WEEKDAY(A1258,2),"Montag","Dienstag","Mittwoch","Donnerstag","Freitag","Samstag","Sonntag"))</f>
        <v/>
      </c>
      <c r="M1258" s="37">
        <f>IF(A1258="","",_xlfn.ISOWEEKNUM(A1258))</f>
        <v/>
      </c>
      <c r="N1258" s="38">
        <f>IF(A1258="","",DATE(YEAR(A1258),MONTH(A1258),1))</f>
        <v/>
      </c>
    </row>
    <row r="1259">
      <c r="A1259" s="31" t="n"/>
      <c r="B1259" s="32" t="n"/>
      <c r="C1259" s="32" t="n"/>
      <c r="D1259" s="33" t="n"/>
      <c r="E1259" s="34" t="n"/>
      <c r="F1259" s="35" t="n"/>
      <c r="G1259" s="35" t="n"/>
      <c r="H1259" s="32" t="n"/>
      <c r="I1259" s="32" t="n"/>
      <c r="J1259" s="32" t="n"/>
      <c r="K1259" s="36">
        <f>IF(E1259&lt;&gt;"",E1259,IF(AND(F1259&lt;&gt;"",G1259&lt;&gt;""),MOD(G1259-F1259,1)*24,""))</f>
        <v/>
      </c>
      <c r="L1259" s="37">
        <f>IF(A1259="","",CHOOSE(WEEKDAY(A1259,2),"Montag","Dienstag","Mittwoch","Donnerstag","Freitag","Samstag","Sonntag"))</f>
        <v/>
      </c>
      <c r="M1259" s="37">
        <f>IF(A1259="","",_xlfn.ISOWEEKNUM(A1259))</f>
        <v/>
      </c>
      <c r="N1259" s="38">
        <f>IF(A1259="","",DATE(YEAR(A1259),MONTH(A1259),1))</f>
        <v/>
      </c>
    </row>
    <row r="1260">
      <c r="A1260" s="31" t="n"/>
      <c r="B1260" s="32" t="n"/>
      <c r="C1260" s="32" t="n"/>
      <c r="D1260" s="33" t="n"/>
      <c r="E1260" s="34" t="n"/>
      <c r="F1260" s="35" t="n"/>
      <c r="G1260" s="35" t="n"/>
      <c r="H1260" s="32" t="n"/>
      <c r="I1260" s="32" t="n"/>
      <c r="J1260" s="32" t="n"/>
      <c r="K1260" s="36">
        <f>IF(E1260&lt;&gt;"",E1260,IF(AND(F1260&lt;&gt;"",G1260&lt;&gt;""),MOD(G1260-F1260,1)*24,""))</f>
        <v/>
      </c>
      <c r="L1260" s="37">
        <f>IF(A1260="","",CHOOSE(WEEKDAY(A1260,2),"Montag","Dienstag","Mittwoch","Donnerstag","Freitag","Samstag","Sonntag"))</f>
        <v/>
      </c>
      <c r="M1260" s="37">
        <f>IF(A1260="","",_xlfn.ISOWEEKNUM(A1260))</f>
        <v/>
      </c>
      <c r="N1260" s="38">
        <f>IF(A1260="","",DATE(YEAR(A1260),MONTH(A1260),1))</f>
        <v/>
      </c>
    </row>
    <row r="1261">
      <c r="A1261" s="31" t="n"/>
      <c r="B1261" s="32" t="n"/>
      <c r="C1261" s="32" t="n"/>
      <c r="D1261" s="33" t="n"/>
      <c r="E1261" s="34" t="n"/>
      <c r="F1261" s="35" t="n"/>
      <c r="G1261" s="35" t="n"/>
      <c r="H1261" s="32" t="n"/>
      <c r="I1261" s="32" t="n"/>
      <c r="J1261" s="32" t="n"/>
      <c r="K1261" s="36">
        <f>IF(E1261&lt;&gt;"",E1261,IF(AND(F1261&lt;&gt;"",G1261&lt;&gt;""),MOD(G1261-F1261,1)*24,""))</f>
        <v/>
      </c>
      <c r="L1261" s="37">
        <f>IF(A1261="","",CHOOSE(WEEKDAY(A1261,2),"Montag","Dienstag","Mittwoch","Donnerstag","Freitag","Samstag","Sonntag"))</f>
        <v/>
      </c>
      <c r="M1261" s="37">
        <f>IF(A1261="","",_xlfn.ISOWEEKNUM(A1261))</f>
        <v/>
      </c>
      <c r="N1261" s="38">
        <f>IF(A1261="","",DATE(YEAR(A1261),MONTH(A1261),1))</f>
        <v/>
      </c>
    </row>
    <row r="1262">
      <c r="A1262" s="31" t="n"/>
      <c r="B1262" s="32" t="n"/>
      <c r="C1262" s="32" t="n"/>
      <c r="D1262" s="33" t="n"/>
      <c r="E1262" s="34" t="n"/>
      <c r="F1262" s="35" t="n"/>
      <c r="G1262" s="35" t="n"/>
      <c r="H1262" s="32" t="n"/>
      <c r="I1262" s="32" t="n"/>
      <c r="J1262" s="32" t="n"/>
      <c r="K1262" s="36">
        <f>IF(E1262&lt;&gt;"",E1262,IF(AND(F1262&lt;&gt;"",G1262&lt;&gt;""),MOD(G1262-F1262,1)*24,""))</f>
        <v/>
      </c>
      <c r="L1262" s="37">
        <f>IF(A1262="","",CHOOSE(WEEKDAY(A1262,2),"Montag","Dienstag","Mittwoch","Donnerstag","Freitag","Samstag","Sonntag"))</f>
        <v/>
      </c>
      <c r="M1262" s="37">
        <f>IF(A1262="","",_xlfn.ISOWEEKNUM(A1262))</f>
        <v/>
      </c>
      <c r="N1262" s="38">
        <f>IF(A1262="","",DATE(YEAR(A1262),MONTH(A1262),1))</f>
        <v/>
      </c>
    </row>
    <row r="1263">
      <c r="A1263" s="31" t="n"/>
      <c r="B1263" s="32" t="n"/>
      <c r="C1263" s="32" t="n"/>
      <c r="D1263" s="33" t="n"/>
      <c r="E1263" s="34" t="n"/>
      <c r="F1263" s="35" t="n"/>
      <c r="G1263" s="35" t="n"/>
      <c r="H1263" s="32" t="n"/>
      <c r="I1263" s="32" t="n"/>
      <c r="J1263" s="32" t="n"/>
      <c r="K1263" s="36">
        <f>IF(E1263&lt;&gt;"",E1263,IF(AND(F1263&lt;&gt;"",G1263&lt;&gt;""),MOD(G1263-F1263,1)*24,""))</f>
        <v/>
      </c>
      <c r="L1263" s="37">
        <f>IF(A1263="","",CHOOSE(WEEKDAY(A1263,2),"Montag","Dienstag","Mittwoch","Donnerstag","Freitag","Samstag","Sonntag"))</f>
        <v/>
      </c>
      <c r="M1263" s="37">
        <f>IF(A1263="","",_xlfn.ISOWEEKNUM(A1263))</f>
        <v/>
      </c>
      <c r="N1263" s="38">
        <f>IF(A1263="","",DATE(YEAR(A1263),MONTH(A1263),1))</f>
        <v/>
      </c>
    </row>
    <row r="1264">
      <c r="A1264" s="31" t="n"/>
      <c r="B1264" s="32" t="n"/>
      <c r="C1264" s="32" t="n"/>
      <c r="D1264" s="33" t="n"/>
      <c r="E1264" s="34" t="n"/>
      <c r="F1264" s="35" t="n"/>
      <c r="G1264" s="35" t="n"/>
      <c r="H1264" s="32" t="n"/>
      <c r="I1264" s="32" t="n"/>
      <c r="J1264" s="32" t="n"/>
      <c r="K1264" s="36">
        <f>IF(E1264&lt;&gt;"",E1264,IF(AND(F1264&lt;&gt;"",G1264&lt;&gt;""),MOD(G1264-F1264,1)*24,""))</f>
        <v/>
      </c>
      <c r="L1264" s="37">
        <f>IF(A1264="","",CHOOSE(WEEKDAY(A1264,2),"Montag","Dienstag","Mittwoch","Donnerstag","Freitag","Samstag","Sonntag"))</f>
        <v/>
      </c>
      <c r="M1264" s="37">
        <f>IF(A1264="","",_xlfn.ISOWEEKNUM(A1264))</f>
        <v/>
      </c>
      <c r="N1264" s="38">
        <f>IF(A1264="","",DATE(YEAR(A1264),MONTH(A1264),1))</f>
        <v/>
      </c>
    </row>
    <row r="1265">
      <c r="A1265" s="31" t="n"/>
      <c r="B1265" s="32" t="n"/>
      <c r="C1265" s="32" t="n"/>
      <c r="D1265" s="33" t="n"/>
      <c r="E1265" s="34" t="n"/>
      <c r="F1265" s="35" t="n"/>
      <c r="G1265" s="35" t="n"/>
      <c r="H1265" s="32" t="n"/>
      <c r="I1265" s="32" t="n"/>
      <c r="J1265" s="32" t="n"/>
      <c r="K1265" s="36">
        <f>IF(E1265&lt;&gt;"",E1265,IF(AND(F1265&lt;&gt;"",G1265&lt;&gt;""),MOD(G1265-F1265,1)*24,""))</f>
        <v/>
      </c>
      <c r="L1265" s="37">
        <f>IF(A1265="","",CHOOSE(WEEKDAY(A1265,2),"Montag","Dienstag","Mittwoch","Donnerstag","Freitag","Samstag","Sonntag"))</f>
        <v/>
      </c>
      <c r="M1265" s="37">
        <f>IF(A1265="","",_xlfn.ISOWEEKNUM(A1265))</f>
        <v/>
      </c>
      <c r="N1265" s="38">
        <f>IF(A1265="","",DATE(YEAR(A1265),MONTH(A1265),1))</f>
        <v/>
      </c>
    </row>
    <row r="1266">
      <c r="A1266" s="31" t="n"/>
      <c r="B1266" s="32" t="n"/>
      <c r="C1266" s="32" t="n"/>
      <c r="D1266" s="33" t="n"/>
      <c r="E1266" s="34" t="n"/>
      <c r="F1266" s="35" t="n"/>
      <c r="G1266" s="35" t="n"/>
      <c r="H1266" s="32" t="n"/>
      <c r="I1266" s="32" t="n"/>
      <c r="J1266" s="32" t="n"/>
      <c r="K1266" s="36">
        <f>IF(E1266&lt;&gt;"",E1266,IF(AND(F1266&lt;&gt;"",G1266&lt;&gt;""),MOD(G1266-F1266,1)*24,""))</f>
        <v/>
      </c>
      <c r="L1266" s="37">
        <f>IF(A1266="","",CHOOSE(WEEKDAY(A1266,2),"Montag","Dienstag","Mittwoch","Donnerstag","Freitag","Samstag","Sonntag"))</f>
        <v/>
      </c>
      <c r="M1266" s="37">
        <f>IF(A1266="","",_xlfn.ISOWEEKNUM(A1266))</f>
        <v/>
      </c>
      <c r="N1266" s="38">
        <f>IF(A1266="","",DATE(YEAR(A1266),MONTH(A1266),1))</f>
        <v/>
      </c>
    </row>
    <row r="1267">
      <c r="A1267" s="31" t="n"/>
      <c r="B1267" s="32" t="n"/>
      <c r="C1267" s="32" t="n"/>
      <c r="D1267" s="33" t="n"/>
      <c r="E1267" s="34" t="n"/>
      <c r="F1267" s="35" t="n"/>
      <c r="G1267" s="35" t="n"/>
      <c r="H1267" s="32" t="n"/>
      <c r="I1267" s="32" t="n"/>
      <c r="J1267" s="32" t="n"/>
      <c r="K1267" s="36">
        <f>IF(E1267&lt;&gt;"",E1267,IF(AND(F1267&lt;&gt;"",G1267&lt;&gt;""),MOD(G1267-F1267,1)*24,""))</f>
        <v/>
      </c>
      <c r="L1267" s="37">
        <f>IF(A1267="","",CHOOSE(WEEKDAY(A1267,2),"Montag","Dienstag","Mittwoch","Donnerstag","Freitag","Samstag","Sonntag"))</f>
        <v/>
      </c>
      <c r="M1267" s="37">
        <f>IF(A1267="","",_xlfn.ISOWEEKNUM(A1267))</f>
        <v/>
      </c>
      <c r="N1267" s="38">
        <f>IF(A1267="","",DATE(YEAR(A1267),MONTH(A1267),1))</f>
        <v/>
      </c>
    </row>
    <row r="1268">
      <c r="A1268" s="31" t="n"/>
      <c r="B1268" s="32" t="n"/>
      <c r="C1268" s="32" t="n"/>
      <c r="D1268" s="33" t="n"/>
      <c r="E1268" s="34" t="n"/>
      <c r="F1268" s="35" t="n"/>
      <c r="G1268" s="35" t="n"/>
      <c r="H1268" s="32" t="n"/>
      <c r="I1268" s="32" t="n"/>
      <c r="J1268" s="32" t="n"/>
      <c r="K1268" s="36">
        <f>IF(E1268&lt;&gt;"",E1268,IF(AND(F1268&lt;&gt;"",G1268&lt;&gt;""),MOD(G1268-F1268,1)*24,""))</f>
        <v/>
      </c>
      <c r="L1268" s="37">
        <f>IF(A1268="","",CHOOSE(WEEKDAY(A1268,2),"Montag","Dienstag","Mittwoch","Donnerstag","Freitag","Samstag","Sonntag"))</f>
        <v/>
      </c>
      <c r="M1268" s="37">
        <f>IF(A1268="","",_xlfn.ISOWEEKNUM(A1268))</f>
        <v/>
      </c>
      <c r="N1268" s="38">
        <f>IF(A1268="","",DATE(YEAR(A1268),MONTH(A1268),1))</f>
        <v/>
      </c>
    </row>
    <row r="1269">
      <c r="A1269" s="31" t="n"/>
      <c r="B1269" s="32" t="n"/>
      <c r="C1269" s="32" t="n"/>
      <c r="D1269" s="33" t="n"/>
      <c r="E1269" s="34" t="n"/>
      <c r="F1269" s="35" t="n"/>
      <c r="G1269" s="35" t="n"/>
      <c r="H1269" s="32" t="n"/>
      <c r="I1269" s="32" t="n"/>
      <c r="J1269" s="32" t="n"/>
      <c r="K1269" s="36">
        <f>IF(E1269&lt;&gt;"",E1269,IF(AND(F1269&lt;&gt;"",G1269&lt;&gt;""),MOD(G1269-F1269,1)*24,""))</f>
        <v/>
      </c>
      <c r="L1269" s="37">
        <f>IF(A1269="","",CHOOSE(WEEKDAY(A1269,2),"Montag","Dienstag","Mittwoch","Donnerstag","Freitag","Samstag","Sonntag"))</f>
        <v/>
      </c>
      <c r="M1269" s="37">
        <f>IF(A1269="","",_xlfn.ISOWEEKNUM(A1269))</f>
        <v/>
      </c>
      <c r="N1269" s="38">
        <f>IF(A1269="","",DATE(YEAR(A1269),MONTH(A1269),1))</f>
        <v/>
      </c>
    </row>
    <row r="1270">
      <c r="A1270" s="31" t="n"/>
      <c r="B1270" s="32" t="n"/>
      <c r="C1270" s="32" t="n"/>
      <c r="D1270" s="33" t="n"/>
      <c r="E1270" s="34" t="n"/>
      <c r="F1270" s="35" t="n"/>
      <c r="G1270" s="35" t="n"/>
      <c r="H1270" s="32" t="n"/>
      <c r="I1270" s="32" t="n"/>
      <c r="J1270" s="32" t="n"/>
      <c r="K1270" s="36">
        <f>IF(E1270&lt;&gt;"",E1270,IF(AND(F1270&lt;&gt;"",G1270&lt;&gt;""),MOD(G1270-F1270,1)*24,""))</f>
        <v/>
      </c>
      <c r="L1270" s="37">
        <f>IF(A1270="","",CHOOSE(WEEKDAY(A1270,2),"Montag","Dienstag","Mittwoch","Donnerstag","Freitag","Samstag","Sonntag"))</f>
        <v/>
      </c>
      <c r="M1270" s="37">
        <f>IF(A1270="","",_xlfn.ISOWEEKNUM(A1270))</f>
        <v/>
      </c>
      <c r="N1270" s="38">
        <f>IF(A1270="","",DATE(YEAR(A1270),MONTH(A1270),1))</f>
        <v/>
      </c>
    </row>
    <row r="1271">
      <c r="A1271" s="31" t="n"/>
      <c r="B1271" s="32" t="n"/>
      <c r="C1271" s="32" t="n"/>
      <c r="D1271" s="33" t="n"/>
      <c r="E1271" s="34" t="n"/>
      <c r="F1271" s="35" t="n"/>
      <c r="G1271" s="35" t="n"/>
      <c r="H1271" s="32" t="n"/>
      <c r="I1271" s="32" t="n"/>
      <c r="J1271" s="32" t="n"/>
      <c r="K1271" s="36">
        <f>IF(E1271&lt;&gt;"",E1271,IF(AND(F1271&lt;&gt;"",G1271&lt;&gt;""),MOD(G1271-F1271,1)*24,""))</f>
        <v/>
      </c>
      <c r="L1271" s="37">
        <f>IF(A1271="","",CHOOSE(WEEKDAY(A1271,2),"Montag","Dienstag","Mittwoch","Donnerstag","Freitag","Samstag","Sonntag"))</f>
        <v/>
      </c>
      <c r="M1271" s="37">
        <f>IF(A1271="","",_xlfn.ISOWEEKNUM(A1271))</f>
        <v/>
      </c>
      <c r="N1271" s="38">
        <f>IF(A1271="","",DATE(YEAR(A1271),MONTH(A1271),1))</f>
        <v/>
      </c>
    </row>
    <row r="1272">
      <c r="A1272" s="31" t="n"/>
      <c r="B1272" s="32" t="n"/>
      <c r="C1272" s="32" t="n"/>
      <c r="D1272" s="33" t="n"/>
      <c r="E1272" s="34" t="n"/>
      <c r="F1272" s="35" t="n"/>
      <c r="G1272" s="35" t="n"/>
      <c r="H1272" s="32" t="n"/>
      <c r="I1272" s="32" t="n"/>
      <c r="J1272" s="32" t="n"/>
      <c r="K1272" s="36">
        <f>IF(E1272&lt;&gt;"",E1272,IF(AND(F1272&lt;&gt;"",G1272&lt;&gt;""),MOD(G1272-F1272,1)*24,""))</f>
        <v/>
      </c>
      <c r="L1272" s="37">
        <f>IF(A1272="","",CHOOSE(WEEKDAY(A1272,2),"Montag","Dienstag","Mittwoch","Donnerstag","Freitag","Samstag","Sonntag"))</f>
        <v/>
      </c>
      <c r="M1272" s="37">
        <f>IF(A1272="","",_xlfn.ISOWEEKNUM(A1272))</f>
        <v/>
      </c>
      <c r="N1272" s="38">
        <f>IF(A1272="","",DATE(YEAR(A1272),MONTH(A1272),1))</f>
        <v/>
      </c>
    </row>
    <row r="1273">
      <c r="A1273" s="31" t="n"/>
      <c r="B1273" s="32" t="n"/>
      <c r="C1273" s="32" t="n"/>
      <c r="D1273" s="33" t="n"/>
      <c r="E1273" s="34" t="n"/>
      <c r="F1273" s="35" t="n"/>
      <c r="G1273" s="35" t="n"/>
      <c r="H1273" s="32" t="n"/>
      <c r="I1273" s="32" t="n"/>
      <c r="J1273" s="32" t="n"/>
      <c r="K1273" s="36">
        <f>IF(E1273&lt;&gt;"",E1273,IF(AND(F1273&lt;&gt;"",G1273&lt;&gt;""),MOD(G1273-F1273,1)*24,""))</f>
        <v/>
      </c>
      <c r="L1273" s="37">
        <f>IF(A1273="","",CHOOSE(WEEKDAY(A1273,2),"Montag","Dienstag","Mittwoch","Donnerstag","Freitag","Samstag","Sonntag"))</f>
        <v/>
      </c>
      <c r="M1273" s="37">
        <f>IF(A1273="","",_xlfn.ISOWEEKNUM(A1273))</f>
        <v/>
      </c>
      <c r="N1273" s="38">
        <f>IF(A1273="","",DATE(YEAR(A1273),MONTH(A1273),1))</f>
        <v/>
      </c>
    </row>
    <row r="1274">
      <c r="A1274" s="31" t="n"/>
      <c r="B1274" s="32" t="n"/>
      <c r="C1274" s="32" t="n"/>
      <c r="D1274" s="33" t="n"/>
      <c r="E1274" s="34" t="n"/>
      <c r="F1274" s="35" t="n"/>
      <c r="G1274" s="35" t="n"/>
      <c r="H1274" s="32" t="n"/>
      <c r="I1274" s="32" t="n"/>
      <c r="J1274" s="32" t="n"/>
      <c r="K1274" s="36">
        <f>IF(E1274&lt;&gt;"",E1274,IF(AND(F1274&lt;&gt;"",G1274&lt;&gt;""),MOD(G1274-F1274,1)*24,""))</f>
        <v/>
      </c>
      <c r="L1274" s="37">
        <f>IF(A1274="","",CHOOSE(WEEKDAY(A1274,2),"Montag","Dienstag","Mittwoch","Donnerstag","Freitag","Samstag","Sonntag"))</f>
        <v/>
      </c>
      <c r="M1274" s="37">
        <f>IF(A1274="","",_xlfn.ISOWEEKNUM(A1274))</f>
        <v/>
      </c>
      <c r="N1274" s="38">
        <f>IF(A1274="","",DATE(YEAR(A1274),MONTH(A1274),1))</f>
        <v/>
      </c>
    </row>
    <row r="1275">
      <c r="A1275" s="31" t="n"/>
      <c r="B1275" s="32" t="n"/>
      <c r="C1275" s="32" t="n"/>
      <c r="D1275" s="33" t="n"/>
      <c r="E1275" s="34" t="n"/>
      <c r="F1275" s="35" t="n"/>
      <c r="G1275" s="35" t="n"/>
      <c r="H1275" s="32" t="n"/>
      <c r="I1275" s="32" t="n"/>
      <c r="J1275" s="32" t="n"/>
      <c r="K1275" s="36">
        <f>IF(E1275&lt;&gt;"",E1275,IF(AND(F1275&lt;&gt;"",G1275&lt;&gt;""),MOD(G1275-F1275,1)*24,""))</f>
        <v/>
      </c>
      <c r="L1275" s="37">
        <f>IF(A1275="","",CHOOSE(WEEKDAY(A1275,2),"Montag","Dienstag","Mittwoch","Donnerstag","Freitag","Samstag","Sonntag"))</f>
        <v/>
      </c>
      <c r="M1275" s="37">
        <f>IF(A1275="","",_xlfn.ISOWEEKNUM(A1275))</f>
        <v/>
      </c>
      <c r="N1275" s="38">
        <f>IF(A1275="","",DATE(YEAR(A1275),MONTH(A1275),1))</f>
        <v/>
      </c>
    </row>
    <row r="1276">
      <c r="A1276" s="31" t="n"/>
      <c r="B1276" s="32" t="n"/>
      <c r="C1276" s="32" t="n"/>
      <c r="D1276" s="33" t="n"/>
      <c r="E1276" s="34" t="n"/>
      <c r="F1276" s="35" t="n"/>
      <c r="G1276" s="35" t="n"/>
      <c r="H1276" s="32" t="n"/>
      <c r="I1276" s="32" t="n"/>
      <c r="J1276" s="32" t="n"/>
      <c r="K1276" s="36">
        <f>IF(E1276&lt;&gt;"",E1276,IF(AND(F1276&lt;&gt;"",G1276&lt;&gt;""),MOD(G1276-F1276,1)*24,""))</f>
        <v/>
      </c>
      <c r="L1276" s="37">
        <f>IF(A1276="","",CHOOSE(WEEKDAY(A1276,2),"Montag","Dienstag","Mittwoch","Donnerstag","Freitag","Samstag","Sonntag"))</f>
        <v/>
      </c>
      <c r="M1276" s="37">
        <f>IF(A1276="","",_xlfn.ISOWEEKNUM(A1276))</f>
        <v/>
      </c>
      <c r="N1276" s="38">
        <f>IF(A1276="","",DATE(YEAR(A1276),MONTH(A1276),1))</f>
        <v/>
      </c>
    </row>
    <row r="1277">
      <c r="A1277" s="31" t="n"/>
      <c r="B1277" s="32" t="n"/>
      <c r="C1277" s="32" t="n"/>
      <c r="D1277" s="33" t="n"/>
      <c r="E1277" s="34" t="n"/>
      <c r="F1277" s="35" t="n"/>
      <c r="G1277" s="35" t="n"/>
      <c r="H1277" s="32" t="n"/>
      <c r="I1277" s="32" t="n"/>
      <c r="J1277" s="32" t="n"/>
      <c r="K1277" s="36">
        <f>IF(E1277&lt;&gt;"",E1277,IF(AND(F1277&lt;&gt;"",G1277&lt;&gt;""),MOD(G1277-F1277,1)*24,""))</f>
        <v/>
      </c>
      <c r="L1277" s="37">
        <f>IF(A1277="","",CHOOSE(WEEKDAY(A1277,2),"Montag","Dienstag","Mittwoch","Donnerstag","Freitag","Samstag","Sonntag"))</f>
        <v/>
      </c>
      <c r="M1277" s="37">
        <f>IF(A1277="","",_xlfn.ISOWEEKNUM(A1277))</f>
        <v/>
      </c>
      <c r="N1277" s="38">
        <f>IF(A1277="","",DATE(YEAR(A1277),MONTH(A1277),1))</f>
        <v/>
      </c>
    </row>
    <row r="1278">
      <c r="A1278" s="31" t="n"/>
      <c r="B1278" s="32" t="n"/>
      <c r="C1278" s="32" t="n"/>
      <c r="D1278" s="33" t="n"/>
      <c r="E1278" s="34" t="n"/>
      <c r="F1278" s="35" t="n"/>
      <c r="G1278" s="35" t="n"/>
      <c r="H1278" s="32" t="n"/>
      <c r="I1278" s="32" t="n"/>
      <c r="J1278" s="32" t="n"/>
      <c r="K1278" s="36">
        <f>IF(E1278&lt;&gt;"",E1278,IF(AND(F1278&lt;&gt;"",G1278&lt;&gt;""),MOD(G1278-F1278,1)*24,""))</f>
        <v/>
      </c>
      <c r="L1278" s="37">
        <f>IF(A1278="","",CHOOSE(WEEKDAY(A1278,2),"Montag","Dienstag","Mittwoch","Donnerstag","Freitag","Samstag","Sonntag"))</f>
        <v/>
      </c>
      <c r="M1278" s="37">
        <f>IF(A1278="","",_xlfn.ISOWEEKNUM(A1278))</f>
        <v/>
      </c>
      <c r="N1278" s="38">
        <f>IF(A1278="","",DATE(YEAR(A1278),MONTH(A1278),1))</f>
        <v/>
      </c>
    </row>
    <row r="1279">
      <c r="A1279" s="31" t="n"/>
      <c r="B1279" s="32" t="n"/>
      <c r="C1279" s="32" t="n"/>
      <c r="D1279" s="33" t="n"/>
      <c r="E1279" s="34" t="n"/>
      <c r="F1279" s="35" t="n"/>
      <c r="G1279" s="35" t="n"/>
      <c r="H1279" s="32" t="n"/>
      <c r="I1279" s="32" t="n"/>
      <c r="J1279" s="32" t="n"/>
      <c r="K1279" s="36">
        <f>IF(E1279&lt;&gt;"",E1279,IF(AND(F1279&lt;&gt;"",G1279&lt;&gt;""),MOD(G1279-F1279,1)*24,""))</f>
        <v/>
      </c>
      <c r="L1279" s="37">
        <f>IF(A1279="","",CHOOSE(WEEKDAY(A1279,2),"Montag","Dienstag","Mittwoch","Donnerstag","Freitag","Samstag","Sonntag"))</f>
        <v/>
      </c>
      <c r="M1279" s="37">
        <f>IF(A1279="","",_xlfn.ISOWEEKNUM(A1279))</f>
        <v/>
      </c>
      <c r="N1279" s="38">
        <f>IF(A1279="","",DATE(YEAR(A1279),MONTH(A1279),1))</f>
        <v/>
      </c>
    </row>
    <row r="1280">
      <c r="A1280" s="31" t="n"/>
      <c r="B1280" s="32" t="n"/>
      <c r="C1280" s="32" t="n"/>
      <c r="D1280" s="33" t="n"/>
      <c r="E1280" s="34" t="n"/>
      <c r="F1280" s="35" t="n"/>
      <c r="G1280" s="35" t="n"/>
      <c r="H1280" s="32" t="n"/>
      <c r="I1280" s="32" t="n"/>
      <c r="J1280" s="32" t="n"/>
      <c r="K1280" s="36">
        <f>IF(E1280&lt;&gt;"",E1280,IF(AND(F1280&lt;&gt;"",G1280&lt;&gt;""),MOD(G1280-F1280,1)*24,""))</f>
        <v/>
      </c>
      <c r="L1280" s="37">
        <f>IF(A1280="","",CHOOSE(WEEKDAY(A1280,2),"Montag","Dienstag","Mittwoch","Donnerstag","Freitag","Samstag","Sonntag"))</f>
        <v/>
      </c>
      <c r="M1280" s="37">
        <f>IF(A1280="","",_xlfn.ISOWEEKNUM(A1280))</f>
        <v/>
      </c>
      <c r="N1280" s="38">
        <f>IF(A1280="","",DATE(YEAR(A1280),MONTH(A1280),1))</f>
        <v/>
      </c>
    </row>
    <row r="1281">
      <c r="A1281" s="31" t="n"/>
      <c r="B1281" s="32" t="n"/>
      <c r="C1281" s="32" t="n"/>
      <c r="D1281" s="33" t="n"/>
      <c r="E1281" s="34" t="n"/>
      <c r="F1281" s="35" t="n"/>
      <c r="G1281" s="35" t="n"/>
      <c r="H1281" s="32" t="n"/>
      <c r="I1281" s="32" t="n"/>
      <c r="J1281" s="32" t="n"/>
      <c r="K1281" s="36">
        <f>IF(E1281&lt;&gt;"",E1281,IF(AND(F1281&lt;&gt;"",G1281&lt;&gt;""),MOD(G1281-F1281,1)*24,""))</f>
        <v/>
      </c>
      <c r="L1281" s="37">
        <f>IF(A1281="","",CHOOSE(WEEKDAY(A1281,2),"Montag","Dienstag","Mittwoch","Donnerstag","Freitag","Samstag","Sonntag"))</f>
        <v/>
      </c>
      <c r="M1281" s="37">
        <f>IF(A1281="","",_xlfn.ISOWEEKNUM(A1281))</f>
        <v/>
      </c>
      <c r="N1281" s="38">
        <f>IF(A1281="","",DATE(YEAR(A1281),MONTH(A1281),1))</f>
        <v/>
      </c>
    </row>
    <row r="1282">
      <c r="A1282" s="31" t="n"/>
      <c r="B1282" s="32" t="n"/>
      <c r="C1282" s="32" t="n"/>
      <c r="D1282" s="33" t="n"/>
      <c r="E1282" s="34" t="n"/>
      <c r="F1282" s="35" t="n"/>
      <c r="G1282" s="35" t="n"/>
      <c r="H1282" s="32" t="n"/>
      <c r="I1282" s="32" t="n"/>
      <c r="J1282" s="32" t="n"/>
      <c r="K1282" s="36">
        <f>IF(E1282&lt;&gt;"",E1282,IF(AND(F1282&lt;&gt;"",G1282&lt;&gt;""),MOD(G1282-F1282,1)*24,""))</f>
        <v/>
      </c>
      <c r="L1282" s="37">
        <f>IF(A1282="","",CHOOSE(WEEKDAY(A1282,2),"Montag","Dienstag","Mittwoch","Donnerstag","Freitag","Samstag","Sonntag"))</f>
        <v/>
      </c>
      <c r="M1282" s="37">
        <f>IF(A1282="","",_xlfn.ISOWEEKNUM(A1282))</f>
        <v/>
      </c>
      <c r="N1282" s="38">
        <f>IF(A1282="","",DATE(YEAR(A1282),MONTH(A1282),1))</f>
        <v/>
      </c>
    </row>
    <row r="1283">
      <c r="A1283" s="31" t="n"/>
      <c r="B1283" s="32" t="n"/>
      <c r="C1283" s="32" t="n"/>
      <c r="D1283" s="33" t="n"/>
      <c r="E1283" s="34" t="n"/>
      <c r="F1283" s="35" t="n"/>
      <c r="G1283" s="35" t="n"/>
      <c r="H1283" s="32" t="n"/>
      <c r="I1283" s="32" t="n"/>
      <c r="J1283" s="32" t="n"/>
      <c r="K1283" s="36">
        <f>IF(E1283&lt;&gt;"",E1283,IF(AND(F1283&lt;&gt;"",G1283&lt;&gt;""),MOD(G1283-F1283,1)*24,""))</f>
        <v/>
      </c>
      <c r="L1283" s="37">
        <f>IF(A1283="","",CHOOSE(WEEKDAY(A1283,2),"Montag","Dienstag","Mittwoch","Donnerstag","Freitag","Samstag","Sonntag"))</f>
        <v/>
      </c>
      <c r="M1283" s="37">
        <f>IF(A1283="","",_xlfn.ISOWEEKNUM(A1283))</f>
        <v/>
      </c>
      <c r="N1283" s="38">
        <f>IF(A1283="","",DATE(YEAR(A1283),MONTH(A1283),1))</f>
        <v/>
      </c>
    </row>
    <row r="1284">
      <c r="A1284" s="31" t="n"/>
      <c r="B1284" s="32" t="n"/>
      <c r="C1284" s="32" t="n"/>
      <c r="D1284" s="33" t="n"/>
      <c r="E1284" s="34" t="n"/>
      <c r="F1284" s="35" t="n"/>
      <c r="G1284" s="35" t="n"/>
      <c r="H1284" s="32" t="n"/>
      <c r="I1284" s="32" t="n"/>
      <c r="J1284" s="32" t="n"/>
      <c r="K1284" s="36">
        <f>IF(E1284&lt;&gt;"",E1284,IF(AND(F1284&lt;&gt;"",G1284&lt;&gt;""),MOD(G1284-F1284,1)*24,""))</f>
        <v/>
      </c>
      <c r="L1284" s="37">
        <f>IF(A1284="","",CHOOSE(WEEKDAY(A1284,2),"Montag","Dienstag","Mittwoch","Donnerstag","Freitag","Samstag","Sonntag"))</f>
        <v/>
      </c>
      <c r="M1284" s="37">
        <f>IF(A1284="","",_xlfn.ISOWEEKNUM(A1284))</f>
        <v/>
      </c>
      <c r="N1284" s="38">
        <f>IF(A1284="","",DATE(YEAR(A1284),MONTH(A1284),1))</f>
        <v/>
      </c>
    </row>
    <row r="1285">
      <c r="A1285" s="31" t="n"/>
      <c r="B1285" s="32" t="n"/>
      <c r="C1285" s="32" t="n"/>
      <c r="D1285" s="33" t="n"/>
      <c r="E1285" s="34" t="n"/>
      <c r="F1285" s="35" t="n"/>
      <c r="G1285" s="35" t="n"/>
      <c r="H1285" s="32" t="n"/>
      <c r="I1285" s="32" t="n"/>
      <c r="J1285" s="32" t="n"/>
      <c r="K1285" s="36">
        <f>IF(E1285&lt;&gt;"",E1285,IF(AND(F1285&lt;&gt;"",G1285&lt;&gt;""),MOD(G1285-F1285,1)*24,""))</f>
        <v/>
      </c>
      <c r="L1285" s="37">
        <f>IF(A1285="","",CHOOSE(WEEKDAY(A1285,2),"Montag","Dienstag","Mittwoch","Donnerstag","Freitag","Samstag","Sonntag"))</f>
        <v/>
      </c>
      <c r="M1285" s="37">
        <f>IF(A1285="","",_xlfn.ISOWEEKNUM(A1285))</f>
        <v/>
      </c>
      <c r="N1285" s="38">
        <f>IF(A1285="","",DATE(YEAR(A1285),MONTH(A1285),1))</f>
        <v/>
      </c>
    </row>
    <row r="1286">
      <c r="A1286" s="31" t="n"/>
      <c r="B1286" s="32" t="n"/>
      <c r="C1286" s="32" t="n"/>
      <c r="D1286" s="33" t="n"/>
      <c r="E1286" s="34" t="n"/>
      <c r="F1286" s="35" t="n"/>
      <c r="G1286" s="35" t="n"/>
      <c r="H1286" s="32" t="n"/>
      <c r="I1286" s="32" t="n"/>
      <c r="J1286" s="32" t="n"/>
      <c r="K1286" s="36">
        <f>IF(E1286&lt;&gt;"",E1286,IF(AND(F1286&lt;&gt;"",G1286&lt;&gt;""),MOD(G1286-F1286,1)*24,""))</f>
        <v/>
      </c>
      <c r="L1286" s="37">
        <f>IF(A1286="","",CHOOSE(WEEKDAY(A1286,2),"Montag","Dienstag","Mittwoch","Donnerstag","Freitag","Samstag","Sonntag"))</f>
        <v/>
      </c>
      <c r="M1286" s="37">
        <f>IF(A1286="","",_xlfn.ISOWEEKNUM(A1286))</f>
        <v/>
      </c>
      <c r="N1286" s="38">
        <f>IF(A1286="","",DATE(YEAR(A1286),MONTH(A1286),1))</f>
        <v/>
      </c>
    </row>
    <row r="1287">
      <c r="A1287" s="31" t="n"/>
      <c r="B1287" s="32" t="n"/>
      <c r="C1287" s="32" t="n"/>
      <c r="D1287" s="33" t="n"/>
      <c r="E1287" s="34" t="n"/>
      <c r="F1287" s="35" t="n"/>
      <c r="G1287" s="35" t="n"/>
      <c r="H1287" s="32" t="n"/>
      <c r="I1287" s="32" t="n"/>
      <c r="J1287" s="32" t="n"/>
      <c r="K1287" s="36">
        <f>IF(E1287&lt;&gt;"",E1287,IF(AND(F1287&lt;&gt;"",G1287&lt;&gt;""),MOD(G1287-F1287,1)*24,""))</f>
        <v/>
      </c>
      <c r="L1287" s="37">
        <f>IF(A1287="","",CHOOSE(WEEKDAY(A1287,2),"Montag","Dienstag","Mittwoch","Donnerstag","Freitag","Samstag","Sonntag"))</f>
        <v/>
      </c>
      <c r="M1287" s="37">
        <f>IF(A1287="","",_xlfn.ISOWEEKNUM(A1287))</f>
        <v/>
      </c>
      <c r="N1287" s="38">
        <f>IF(A1287="","",DATE(YEAR(A1287),MONTH(A1287),1))</f>
        <v/>
      </c>
    </row>
    <row r="1288">
      <c r="A1288" s="31" t="n"/>
      <c r="B1288" s="32" t="n"/>
      <c r="C1288" s="32" t="n"/>
      <c r="D1288" s="33" t="n"/>
      <c r="E1288" s="34" t="n"/>
      <c r="F1288" s="35" t="n"/>
      <c r="G1288" s="35" t="n"/>
      <c r="H1288" s="32" t="n"/>
      <c r="I1288" s="32" t="n"/>
      <c r="J1288" s="32" t="n"/>
      <c r="K1288" s="36">
        <f>IF(E1288&lt;&gt;"",E1288,IF(AND(F1288&lt;&gt;"",G1288&lt;&gt;""),MOD(G1288-F1288,1)*24,""))</f>
        <v/>
      </c>
      <c r="L1288" s="37">
        <f>IF(A1288="","",CHOOSE(WEEKDAY(A1288,2),"Montag","Dienstag","Mittwoch","Donnerstag","Freitag","Samstag","Sonntag"))</f>
        <v/>
      </c>
      <c r="M1288" s="37">
        <f>IF(A1288="","",_xlfn.ISOWEEKNUM(A1288))</f>
        <v/>
      </c>
      <c r="N1288" s="38">
        <f>IF(A1288="","",DATE(YEAR(A1288),MONTH(A1288),1))</f>
        <v/>
      </c>
    </row>
    <row r="1289">
      <c r="A1289" s="31" t="n"/>
      <c r="B1289" s="32" t="n"/>
      <c r="C1289" s="32" t="n"/>
      <c r="D1289" s="33" t="n"/>
      <c r="E1289" s="34" t="n"/>
      <c r="F1289" s="35" t="n"/>
      <c r="G1289" s="35" t="n"/>
      <c r="H1289" s="32" t="n"/>
      <c r="I1289" s="32" t="n"/>
      <c r="J1289" s="32" t="n"/>
      <c r="K1289" s="36">
        <f>IF(E1289&lt;&gt;"",E1289,IF(AND(F1289&lt;&gt;"",G1289&lt;&gt;""),MOD(G1289-F1289,1)*24,""))</f>
        <v/>
      </c>
      <c r="L1289" s="37">
        <f>IF(A1289="","",CHOOSE(WEEKDAY(A1289,2),"Montag","Dienstag","Mittwoch","Donnerstag","Freitag","Samstag","Sonntag"))</f>
        <v/>
      </c>
      <c r="M1289" s="37">
        <f>IF(A1289="","",_xlfn.ISOWEEKNUM(A1289))</f>
        <v/>
      </c>
      <c r="N1289" s="38">
        <f>IF(A1289="","",DATE(YEAR(A1289),MONTH(A1289),1))</f>
        <v/>
      </c>
    </row>
    <row r="1290">
      <c r="A1290" s="31" t="n"/>
      <c r="B1290" s="32" t="n"/>
      <c r="C1290" s="32" t="n"/>
      <c r="D1290" s="33" t="n"/>
      <c r="E1290" s="34" t="n"/>
      <c r="F1290" s="35" t="n"/>
      <c r="G1290" s="35" t="n"/>
      <c r="H1290" s="32" t="n"/>
      <c r="I1290" s="32" t="n"/>
      <c r="J1290" s="32" t="n"/>
      <c r="K1290" s="36">
        <f>IF(E1290&lt;&gt;"",E1290,IF(AND(F1290&lt;&gt;"",G1290&lt;&gt;""),MOD(G1290-F1290,1)*24,""))</f>
        <v/>
      </c>
      <c r="L1290" s="37">
        <f>IF(A1290="","",CHOOSE(WEEKDAY(A1290,2),"Montag","Dienstag","Mittwoch","Donnerstag","Freitag","Samstag","Sonntag"))</f>
        <v/>
      </c>
      <c r="M1290" s="37">
        <f>IF(A1290="","",_xlfn.ISOWEEKNUM(A1290))</f>
        <v/>
      </c>
      <c r="N1290" s="38">
        <f>IF(A1290="","",DATE(YEAR(A1290),MONTH(A1290),1))</f>
        <v/>
      </c>
    </row>
    <row r="1291">
      <c r="A1291" s="31" t="n"/>
      <c r="B1291" s="32" t="n"/>
      <c r="C1291" s="32" t="n"/>
      <c r="D1291" s="33" t="n"/>
      <c r="E1291" s="34" t="n"/>
      <c r="F1291" s="35" t="n"/>
      <c r="G1291" s="35" t="n"/>
      <c r="H1291" s="32" t="n"/>
      <c r="I1291" s="32" t="n"/>
      <c r="J1291" s="32" t="n"/>
      <c r="K1291" s="36">
        <f>IF(E1291&lt;&gt;"",E1291,IF(AND(F1291&lt;&gt;"",G1291&lt;&gt;""),MOD(G1291-F1291,1)*24,""))</f>
        <v/>
      </c>
      <c r="L1291" s="37">
        <f>IF(A1291="","",CHOOSE(WEEKDAY(A1291,2),"Montag","Dienstag","Mittwoch","Donnerstag","Freitag","Samstag","Sonntag"))</f>
        <v/>
      </c>
      <c r="M1291" s="37">
        <f>IF(A1291="","",_xlfn.ISOWEEKNUM(A1291))</f>
        <v/>
      </c>
      <c r="N1291" s="38">
        <f>IF(A1291="","",DATE(YEAR(A1291),MONTH(A1291),1))</f>
        <v/>
      </c>
    </row>
    <row r="1292">
      <c r="A1292" s="31" t="n"/>
      <c r="B1292" s="32" t="n"/>
      <c r="C1292" s="32" t="n"/>
      <c r="D1292" s="33" t="n"/>
      <c r="E1292" s="34" t="n"/>
      <c r="F1292" s="35" t="n"/>
      <c r="G1292" s="35" t="n"/>
      <c r="H1292" s="32" t="n"/>
      <c r="I1292" s="32" t="n"/>
      <c r="J1292" s="32" t="n"/>
      <c r="K1292" s="36">
        <f>IF(E1292&lt;&gt;"",E1292,IF(AND(F1292&lt;&gt;"",G1292&lt;&gt;""),MOD(G1292-F1292,1)*24,""))</f>
        <v/>
      </c>
      <c r="L1292" s="37">
        <f>IF(A1292="","",CHOOSE(WEEKDAY(A1292,2),"Montag","Dienstag","Mittwoch","Donnerstag","Freitag","Samstag","Sonntag"))</f>
        <v/>
      </c>
      <c r="M1292" s="37">
        <f>IF(A1292="","",_xlfn.ISOWEEKNUM(A1292))</f>
        <v/>
      </c>
      <c r="N1292" s="38">
        <f>IF(A1292="","",DATE(YEAR(A1292),MONTH(A1292),1))</f>
        <v/>
      </c>
    </row>
    <row r="1293">
      <c r="A1293" s="31" t="n"/>
      <c r="B1293" s="32" t="n"/>
      <c r="C1293" s="32" t="n"/>
      <c r="D1293" s="33" t="n"/>
      <c r="E1293" s="34" t="n"/>
      <c r="F1293" s="35" t="n"/>
      <c r="G1293" s="35" t="n"/>
      <c r="H1293" s="32" t="n"/>
      <c r="I1293" s="32" t="n"/>
      <c r="J1293" s="32" t="n"/>
      <c r="K1293" s="36">
        <f>IF(E1293&lt;&gt;"",E1293,IF(AND(F1293&lt;&gt;"",G1293&lt;&gt;""),MOD(G1293-F1293,1)*24,""))</f>
        <v/>
      </c>
      <c r="L1293" s="37">
        <f>IF(A1293="","",CHOOSE(WEEKDAY(A1293,2),"Montag","Dienstag","Mittwoch","Donnerstag","Freitag","Samstag","Sonntag"))</f>
        <v/>
      </c>
      <c r="M1293" s="37">
        <f>IF(A1293="","",_xlfn.ISOWEEKNUM(A1293))</f>
        <v/>
      </c>
      <c r="N1293" s="38">
        <f>IF(A1293="","",DATE(YEAR(A1293),MONTH(A1293),1))</f>
        <v/>
      </c>
    </row>
    <row r="1294">
      <c r="A1294" s="31" t="n"/>
      <c r="B1294" s="32" t="n"/>
      <c r="C1294" s="32" t="n"/>
      <c r="D1294" s="33" t="n"/>
      <c r="E1294" s="34" t="n"/>
      <c r="F1294" s="35" t="n"/>
      <c r="G1294" s="35" t="n"/>
      <c r="H1294" s="32" t="n"/>
      <c r="I1294" s="32" t="n"/>
      <c r="J1294" s="32" t="n"/>
      <c r="K1294" s="36">
        <f>IF(E1294&lt;&gt;"",E1294,IF(AND(F1294&lt;&gt;"",G1294&lt;&gt;""),MOD(G1294-F1294,1)*24,""))</f>
        <v/>
      </c>
      <c r="L1294" s="37">
        <f>IF(A1294="","",CHOOSE(WEEKDAY(A1294,2),"Montag","Dienstag","Mittwoch","Donnerstag","Freitag","Samstag","Sonntag"))</f>
        <v/>
      </c>
      <c r="M1294" s="37">
        <f>IF(A1294="","",_xlfn.ISOWEEKNUM(A1294))</f>
        <v/>
      </c>
      <c r="N1294" s="38">
        <f>IF(A1294="","",DATE(YEAR(A1294),MONTH(A1294),1))</f>
        <v/>
      </c>
    </row>
    <row r="1295">
      <c r="A1295" s="31" t="n"/>
      <c r="B1295" s="32" t="n"/>
      <c r="C1295" s="32" t="n"/>
      <c r="D1295" s="33" t="n"/>
      <c r="E1295" s="34" t="n"/>
      <c r="F1295" s="35" t="n"/>
      <c r="G1295" s="35" t="n"/>
      <c r="H1295" s="32" t="n"/>
      <c r="I1295" s="32" t="n"/>
      <c r="J1295" s="32" t="n"/>
      <c r="K1295" s="36">
        <f>IF(E1295&lt;&gt;"",E1295,IF(AND(F1295&lt;&gt;"",G1295&lt;&gt;""),MOD(G1295-F1295,1)*24,""))</f>
        <v/>
      </c>
      <c r="L1295" s="37">
        <f>IF(A1295="","",CHOOSE(WEEKDAY(A1295,2),"Montag","Dienstag","Mittwoch","Donnerstag","Freitag","Samstag","Sonntag"))</f>
        <v/>
      </c>
      <c r="M1295" s="37">
        <f>IF(A1295="","",_xlfn.ISOWEEKNUM(A1295))</f>
        <v/>
      </c>
      <c r="N1295" s="38">
        <f>IF(A1295="","",DATE(YEAR(A1295),MONTH(A1295),1))</f>
        <v/>
      </c>
    </row>
    <row r="1296">
      <c r="A1296" s="31" t="n"/>
      <c r="B1296" s="32" t="n"/>
      <c r="C1296" s="32" t="n"/>
      <c r="D1296" s="33" t="n"/>
      <c r="E1296" s="34" t="n"/>
      <c r="F1296" s="35" t="n"/>
      <c r="G1296" s="35" t="n"/>
      <c r="H1296" s="32" t="n"/>
      <c r="I1296" s="32" t="n"/>
      <c r="J1296" s="32" t="n"/>
      <c r="K1296" s="36">
        <f>IF(E1296&lt;&gt;"",E1296,IF(AND(F1296&lt;&gt;"",G1296&lt;&gt;""),MOD(G1296-F1296,1)*24,""))</f>
        <v/>
      </c>
      <c r="L1296" s="37">
        <f>IF(A1296="","",CHOOSE(WEEKDAY(A1296,2),"Montag","Dienstag","Mittwoch","Donnerstag","Freitag","Samstag","Sonntag"))</f>
        <v/>
      </c>
      <c r="M1296" s="37">
        <f>IF(A1296="","",_xlfn.ISOWEEKNUM(A1296))</f>
        <v/>
      </c>
      <c r="N1296" s="38">
        <f>IF(A1296="","",DATE(YEAR(A1296),MONTH(A1296),1))</f>
        <v/>
      </c>
    </row>
    <row r="1297">
      <c r="A1297" s="31" t="n"/>
      <c r="B1297" s="32" t="n"/>
      <c r="C1297" s="32" t="n"/>
      <c r="D1297" s="33" t="n"/>
      <c r="E1297" s="34" t="n"/>
      <c r="F1297" s="35" t="n"/>
      <c r="G1297" s="35" t="n"/>
      <c r="H1297" s="32" t="n"/>
      <c r="I1297" s="32" t="n"/>
      <c r="J1297" s="32" t="n"/>
      <c r="K1297" s="36">
        <f>IF(E1297&lt;&gt;"",E1297,IF(AND(F1297&lt;&gt;"",G1297&lt;&gt;""),MOD(G1297-F1297,1)*24,""))</f>
        <v/>
      </c>
      <c r="L1297" s="37">
        <f>IF(A1297="","",CHOOSE(WEEKDAY(A1297,2),"Montag","Dienstag","Mittwoch","Donnerstag","Freitag","Samstag","Sonntag"))</f>
        <v/>
      </c>
      <c r="M1297" s="37">
        <f>IF(A1297="","",_xlfn.ISOWEEKNUM(A1297))</f>
        <v/>
      </c>
      <c r="N1297" s="38">
        <f>IF(A1297="","",DATE(YEAR(A1297),MONTH(A1297),1))</f>
        <v/>
      </c>
    </row>
    <row r="1298">
      <c r="A1298" s="31" t="n"/>
      <c r="B1298" s="32" t="n"/>
      <c r="C1298" s="32" t="n"/>
      <c r="D1298" s="33" t="n"/>
      <c r="E1298" s="34" t="n"/>
      <c r="F1298" s="35" t="n"/>
      <c r="G1298" s="35" t="n"/>
      <c r="H1298" s="32" t="n"/>
      <c r="I1298" s="32" t="n"/>
      <c r="J1298" s="32" t="n"/>
      <c r="K1298" s="36">
        <f>IF(E1298&lt;&gt;"",E1298,IF(AND(F1298&lt;&gt;"",G1298&lt;&gt;""),MOD(G1298-F1298,1)*24,""))</f>
        <v/>
      </c>
      <c r="L1298" s="37">
        <f>IF(A1298="","",CHOOSE(WEEKDAY(A1298,2),"Montag","Dienstag","Mittwoch","Donnerstag","Freitag","Samstag","Sonntag"))</f>
        <v/>
      </c>
      <c r="M1298" s="37">
        <f>IF(A1298="","",_xlfn.ISOWEEKNUM(A1298))</f>
        <v/>
      </c>
      <c r="N1298" s="38">
        <f>IF(A1298="","",DATE(YEAR(A1298),MONTH(A1298),1))</f>
        <v/>
      </c>
    </row>
    <row r="1299">
      <c r="A1299" s="31" t="n"/>
      <c r="B1299" s="32" t="n"/>
      <c r="C1299" s="32" t="n"/>
      <c r="D1299" s="33" t="n"/>
      <c r="E1299" s="34" t="n"/>
      <c r="F1299" s="35" t="n"/>
      <c r="G1299" s="35" t="n"/>
      <c r="H1299" s="32" t="n"/>
      <c r="I1299" s="32" t="n"/>
      <c r="J1299" s="32" t="n"/>
      <c r="K1299" s="36">
        <f>IF(E1299&lt;&gt;"",E1299,IF(AND(F1299&lt;&gt;"",G1299&lt;&gt;""),MOD(G1299-F1299,1)*24,""))</f>
        <v/>
      </c>
      <c r="L1299" s="37">
        <f>IF(A1299="","",CHOOSE(WEEKDAY(A1299,2),"Montag","Dienstag","Mittwoch","Donnerstag","Freitag","Samstag","Sonntag"))</f>
        <v/>
      </c>
      <c r="M1299" s="37">
        <f>IF(A1299="","",_xlfn.ISOWEEKNUM(A1299))</f>
        <v/>
      </c>
      <c r="N1299" s="38">
        <f>IF(A1299="","",DATE(YEAR(A1299),MONTH(A1299),1))</f>
        <v/>
      </c>
    </row>
    <row r="1300">
      <c r="A1300" s="31" t="n"/>
      <c r="B1300" s="32" t="n"/>
      <c r="C1300" s="32" t="n"/>
      <c r="D1300" s="33" t="n"/>
      <c r="E1300" s="34" t="n"/>
      <c r="F1300" s="35" t="n"/>
      <c r="G1300" s="35" t="n"/>
      <c r="H1300" s="32" t="n"/>
      <c r="I1300" s="32" t="n"/>
      <c r="J1300" s="32" t="n"/>
      <c r="K1300" s="36">
        <f>IF(E1300&lt;&gt;"",E1300,IF(AND(F1300&lt;&gt;"",G1300&lt;&gt;""),MOD(G1300-F1300,1)*24,""))</f>
        <v/>
      </c>
      <c r="L1300" s="37">
        <f>IF(A1300="","",CHOOSE(WEEKDAY(A1300,2),"Montag","Dienstag","Mittwoch","Donnerstag","Freitag","Samstag","Sonntag"))</f>
        <v/>
      </c>
      <c r="M1300" s="37">
        <f>IF(A1300="","",_xlfn.ISOWEEKNUM(A1300))</f>
        <v/>
      </c>
      <c r="N1300" s="38">
        <f>IF(A1300="","",DATE(YEAR(A1300),MONTH(A1300),1))</f>
        <v/>
      </c>
    </row>
    <row r="1301">
      <c r="A1301" s="31" t="n"/>
      <c r="B1301" s="32" t="n"/>
      <c r="C1301" s="32" t="n"/>
      <c r="D1301" s="33" t="n"/>
      <c r="E1301" s="34" t="n"/>
      <c r="F1301" s="35" t="n"/>
      <c r="G1301" s="35" t="n"/>
      <c r="H1301" s="32" t="n"/>
      <c r="I1301" s="32" t="n"/>
      <c r="J1301" s="32" t="n"/>
      <c r="K1301" s="36">
        <f>IF(E1301&lt;&gt;"",E1301,IF(AND(F1301&lt;&gt;"",G1301&lt;&gt;""),MOD(G1301-F1301,1)*24,""))</f>
        <v/>
      </c>
      <c r="L1301" s="37">
        <f>IF(A1301="","",CHOOSE(WEEKDAY(A1301,2),"Montag","Dienstag","Mittwoch","Donnerstag","Freitag","Samstag","Sonntag"))</f>
        <v/>
      </c>
      <c r="M1301" s="37">
        <f>IF(A1301="","",_xlfn.ISOWEEKNUM(A1301))</f>
        <v/>
      </c>
      <c r="N1301" s="38">
        <f>IF(A1301="","",DATE(YEAR(A1301),MONTH(A1301),1))</f>
        <v/>
      </c>
    </row>
    <row r="1302">
      <c r="A1302" s="31" t="n"/>
      <c r="B1302" s="32" t="n"/>
      <c r="C1302" s="32" t="n"/>
      <c r="D1302" s="33" t="n"/>
      <c r="E1302" s="34" t="n"/>
      <c r="F1302" s="35" t="n"/>
      <c r="G1302" s="35" t="n"/>
      <c r="H1302" s="32" t="n"/>
      <c r="I1302" s="32" t="n"/>
      <c r="J1302" s="32" t="n"/>
      <c r="K1302" s="36">
        <f>IF(E1302&lt;&gt;"",E1302,IF(AND(F1302&lt;&gt;"",G1302&lt;&gt;""),MOD(G1302-F1302,1)*24,""))</f>
        <v/>
      </c>
      <c r="L1302" s="37">
        <f>IF(A1302="","",CHOOSE(WEEKDAY(A1302,2),"Montag","Dienstag","Mittwoch","Donnerstag","Freitag","Samstag","Sonntag"))</f>
        <v/>
      </c>
      <c r="M1302" s="37">
        <f>IF(A1302="","",_xlfn.ISOWEEKNUM(A1302))</f>
        <v/>
      </c>
      <c r="N1302" s="38">
        <f>IF(A1302="","",DATE(YEAR(A1302),MONTH(A1302),1))</f>
        <v/>
      </c>
    </row>
    <row r="1303">
      <c r="A1303" s="31" t="n"/>
      <c r="B1303" s="32" t="n"/>
      <c r="C1303" s="32" t="n"/>
      <c r="D1303" s="33" t="n"/>
      <c r="E1303" s="34" t="n"/>
      <c r="F1303" s="35" t="n"/>
      <c r="G1303" s="35" t="n"/>
      <c r="H1303" s="32" t="n"/>
      <c r="I1303" s="32" t="n"/>
      <c r="J1303" s="32" t="n"/>
      <c r="K1303" s="36">
        <f>IF(E1303&lt;&gt;"",E1303,IF(AND(F1303&lt;&gt;"",G1303&lt;&gt;""),MOD(G1303-F1303,1)*24,""))</f>
        <v/>
      </c>
      <c r="L1303" s="37">
        <f>IF(A1303="","",CHOOSE(WEEKDAY(A1303,2),"Montag","Dienstag","Mittwoch","Donnerstag","Freitag","Samstag","Sonntag"))</f>
        <v/>
      </c>
      <c r="M1303" s="37">
        <f>IF(A1303="","",_xlfn.ISOWEEKNUM(A1303))</f>
        <v/>
      </c>
      <c r="N1303" s="38">
        <f>IF(A1303="","",DATE(YEAR(A1303),MONTH(A1303),1))</f>
        <v/>
      </c>
    </row>
    <row r="1304">
      <c r="A1304" s="31" t="n"/>
      <c r="B1304" s="32" t="n"/>
      <c r="C1304" s="32" t="n"/>
      <c r="D1304" s="33" t="n"/>
      <c r="E1304" s="34" t="n"/>
      <c r="F1304" s="35" t="n"/>
      <c r="G1304" s="35" t="n"/>
      <c r="H1304" s="32" t="n"/>
      <c r="I1304" s="32" t="n"/>
      <c r="J1304" s="32" t="n"/>
      <c r="K1304" s="36">
        <f>IF(E1304&lt;&gt;"",E1304,IF(AND(F1304&lt;&gt;"",G1304&lt;&gt;""),MOD(G1304-F1304,1)*24,""))</f>
        <v/>
      </c>
      <c r="L1304" s="37">
        <f>IF(A1304="","",CHOOSE(WEEKDAY(A1304,2),"Montag","Dienstag","Mittwoch","Donnerstag","Freitag","Samstag","Sonntag"))</f>
        <v/>
      </c>
      <c r="M1304" s="37">
        <f>IF(A1304="","",_xlfn.ISOWEEKNUM(A1304))</f>
        <v/>
      </c>
      <c r="N1304" s="38">
        <f>IF(A1304="","",DATE(YEAR(A1304),MONTH(A1304),1))</f>
        <v/>
      </c>
    </row>
    <row r="1305">
      <c r="A1305" s="31" t="n"/>
      <c r="B1305" s="32" t="n"/>
      <c r="C1305" s="32" t="n"/>
      <c r="D1305" s="33" t="n"/>
      <c r="E1305" s="34" t="n"/>
      <c r="F1305" s="35" t="n"/>
      <c r="G1305" s="35" t="n"/>
      <c r="H1305" s="32" t="n"/>
      <c r="I1305" s="32" t="n"/>
      <c r="J1305" s="32" t="n"/>
      <c r="K1305" s="36">
        <f>IF(E1305&lt;&gt;"",E1305,IF(AND(F1305&lt;&gt;"",G1305&lt;&gt;""),MOD(G1305-F1305,1)*24,""))</f>
        <v/>
      </c>
      <c r="L1305" s="37">
        <f>IF(A1305="","",CHOOSE(WEEKDAY(A1305,2),"Montag","Dienstag","Mittwoch","Donnerstag","Freitag","Samstag","Sonntag"))</f>
        <v/>
      </c>
      <c r="M1305" s="37">
        <f>IF(A1305="","",_xlfn.ISOWEEKNUM(A1305))</f>
        <v/>
      </c>
      <c r="N1305" s="38">
        <f>IF(A1305="","",DATE(YEAR(A1305),MONTH(A1305),1))</f>
        <v/>
      </c>
    </row>
    <row r="1306">
      <c r="A1306" s="31" t="n"/>
      <c r="B1306" s="32" t="n"/>
      <c r="C1306" s="32" t="n"/>
      <c r="D1306" s="33" t="n"/>
      <c r="E1306" s="34" t="n"/>
      <c r="F1306" s="35" t="n"/>
      <c r="G1306" s="35" t="n"/>
      <c r="H1306" s="32" t="n"/>
      <c r="I1306" s="32" t="n"/>
      <c r="J1306" s="32" t="n"/>
      <c r="K1306" s="36">
        <f>IF(E1306&lt;&gt;"",E1306,IF(AND(F1306&lt;&gt;"",G1306&lt;&gt;""),MOD(G1306-F1306,1)*24,""))</f>
        <v/>
      </c>
      <c r="L1306" s="37">
        <f>IF(A1306="","",CHOOSE(WEEKDAY(A1306,2),"Montag","Dienstag","Mittwoch","Donnerstag","Freitag","Samstag","Sonntag"))</f>
        <v/>
      </c>
      <c r="M1306" s="37">
        <f>IF(A1306="","",_xlfn.ISOWEEKNUM(A1306))</f>
        <v/>
      </c>
      <c r="N1306" s="38">
        <f>IF(A1306="","",DATE(YEAR(A1306),MONTH(A1306),1))</f>
        <v/>
      </c>
    </row>
    <row r="1307">
      <c r="A1307" s="31" t="n"/>
      <c r="B1307" s="32" t="n"/>
      <c r="C1307" s="32" t="n"/>
      <c r="D1307" s="33" t="n"/>
      <c r="E1307" s="34" t="n"/>
      <c r="F1307" s="35" t="n"/>
      <c r="G1307" s="35" t="n"/>
      <c r="H1307" s="32" t="n"/>
      <c r="I1307" s="32" t="n"/>
      <c r="J1307" s="32" t="n"/>
      <c r="K1307" s="36">
        <f>IF(E1307&lt;&gt;"",E1307,IF(AND(F1307&lt;&gt;"",G1307&lt;&gt;""),MOD(G1307-F1307,1)*24,""))</f>
        <v/>
      </c>
      <c r="L1307" s="37">
        <f>IF(A1307="","",CHOOSE(WEEKDAY(A1307,2),"Montag","Dienstag","Mittwoch","Donnerstag","Freitag","Samstag","Sonntag"))</f>
        <v/>
      </c>
      <c r="M1307" s="37">
        <f>IF(A1307="","",_xlfn.ISOWEEKNUM(A1307))</f>
        <v/>
      </c>
      <c r="N1307" s="38">
        <f>IF(A1307="","",DATE(YEAR(A1307),MONTH(A1307),1))</f>
        <v/>
      </c>
    </row>
    <row r="1308">
      <c r="A1308" s="31" t="n"/>
      <c r="B1308" s="32" t="n"/>
      <c r="C1308" s="32" t="n"/>
      <c r="D1308" s="33" t="n"/>
      <c r="E1308" s="34" t="n"/>
      <c r="F1308" s="35" t="n"/>
      <c r="G1308" s="35" t="n"/>
      <c r="H1308" s="32" t="n"/>
      <c r="I1308" s="32" t="n"/>
      <c r="J1308" s="32" t="n"/>
      <c r="K1308" s="36">
        <f>IF(E1308&lt;&gt;"",E1308,IF(AND(F1308&lt;&gt;"",G1308&lt;&gt;""),MOD(G1308-F1308,1)*24,""))</f>
        <v/>
      </c>
      <c r="L1308" s="37">
        <f>IF(A1308="","",CHOOSE(WEEKDAY(A1308,2),"Montag","Dienstag","Mittwoch","Donnerstag","Freitag","Samstag","Sonntag"))</f>
        <v/>
      </c>
      <c r="M1308" s="37">
        <f>IF(A1308="","",_xlfn.ISOWEEKNUM(A1308))</f>
        <v/>
      </c>
      <c r="N1308" s="38">
        <f>IF(A1308="","",DATE(YEAR(A1308),MONTH(A1308),1))</f>
        <v/>
      </c>
    </row>
    <row r="1309">
      <c r="A1309" s="31" t="n"/>
      <c r="B1309" s="32" t="n"/>
      <c r="C1309" s="32" t="n"/>
      <c r="D1309" s="33" t="n"/>
      <c r="E1309" s="34" t="n"/>
      <c r="F1309" s="35" t="n"/>
      <c r="G1309" s="35" t="n"/>
      <c r="H1309" s="32" t="n"/>
      <c r="I1309" s="32" t="n"/>
      <c r="J1309" s="32" t="n"/>
      <c r="K1309" s="36">
        <f>IF(E1309&lt;&gt;"",E1309,IF(AND(F1309&lt;&gt;"",G1309&lt;&gt;""),MOD(G1309-F1309,1)*24,""))</f>
        <v/>
      </c>
      <c r="L1309" s="37">
        <f>IF(A1309="","",CHOOSE(WEEKDAY(A1309,2),"Montag","Dienstag","Mittwoch","Donnerstag","Freitag","Samstag","Sonntag"))</f>
        <v/>
      </c>
      <c r="M1309" s="37">
        <f>IF(A1309="","",_xlfn.ISOWEEKNUM(A1309))</f>
        <v/>
      </c>
      <c r="N1309" s="38">
        <f>IF(A1309="","",DATE(YEAR(A1309),MONTH(A1309),1))</f>
        <v/>
      </c>
    </row>
    <row r="1310">
      <c r="A1310" s="31" t="n"/>
      <c r="B1310" s="32" t="n"/>
      <c r="C1310" s="32" t="n"/>
      <c r="D1310" s="33" t="n"/>
      <c r="E1310" s="34" t="n"/>
      <c r="F1310" s="35" t="n"/>
      <c r="G1310" s="35" t="n"/>
      <c r="H1310" s="32" t="n"/>
      <c r="I1310" s="32" t="n"/>
      <c r="J1310" s="32" t="n"/>
      <c r="K1310" s="36">
        <f>IF(E1310&lt;&gt;"",E1310,IF(AND(F1310&lt;&gt;"",G1310&lt;&gt;""),MOD(G1310-F1310,1)*24,""))</f>
        <v/>
      </c>
      <c r="L1310" s="37">
        <f>IF(A1310="","",CHOOSE(WEEKDAY(A1310,2),"Montag","Dienstag","Mittwoch","Donnerstag","Freitag","Samstag","Sonntag"))</f>
        <v/>
      </c>
      <c r="M1310" s="37">
        <f>IF(A1310="","",_xlfn.ISOWEEKNUM(A1310))</f>
        <v/>
      </c>
      <c r="N1310" s="38">
        <f>IF(A1310="","",DATE(YEAR(A1310),MONTH(A1310),1))</f>
        <v/>
      </c>
    </row>
    <row r="1311">
      <c r="A1311" s="31" t="n"/>
      <c r="B1311" s="32" t="n"/>
      <c r="C1311" s="32" t="n"/>
      <c r="D1311" s="33" t="n"/>
      <c r="E1311" s="34" t="n"/>
      <c r="F1311" s="35" t="n"/>
      <c r="G1311" s="35" t="n"/>
      <c r="H1311" s="32" t="n"/>
      <c r="I1311" s="32" t="n"/>
      <c r="J1311" s="32" t="n"/>
      <c r="K1311" s="36">
        <f>IF(E1311&lt;&gt;"",E1311,IF(AND(F1311&lt;&gt;"",G1311&lt;&gt;""),MOD(G1311-F1311,1)*24,""))</f>
        <v/>
      </c>
      <c r="L1311" s="37">
        <f>IF(A1311="","",CHOOSE(WEEKDAY(A1311,2),"Montag","Dienstag","Mittwoch","Donnerstag","Freitag","Samstag","Sonntag"))</f>
        <v/>
      </c>
      <c r="M1311" s="37">
        <f>IF(A1311="","",_xlfn.ISOWEEKNUM(A1311))</f>
        <v/>
      </c>
      <c r="N1311" s="38">
        <f>IF(A1311="","",DATE(YEAR(A1311),MONTH(A1311),1))</f>
        <v/>
      </c>
    </row>
    <row r="1312">
      <c r="A1312" s="31" t="n"/>
      <c r="B1312" s="32" t="n"/>
      <c r="C1312" s="32" t="n"/>
      <c r="D1312" s="33" t="n"/>
      <c r="E1312" s="34" t="n"/>
      <c r="F1312" s="35" t="n"/>
      <c r="G1312" s="35" t="n"/>
      <c r="H1312" s="32" t="n"/>
      <c r="I1312" s="32" t="n"/>
      <c r="J1312" s="32" t="n"/>
      <c r="K1312" s="36">
        <f>IF(E1312&lt;&gt;"",E1312,IF(AND(F1312&lt;&gt;"",G1312&lt;&gt;""),MOD(G1312-F1312,1)*24,""))</f>
        <v/>
      </c>
      <c r="L1312" s="37">
        <f>IF(A1312="","",CHOOSE(WEEKDAY(A1312,2),"Montag","Dienstag","Mittwoch","Donnerstag","Freitag","Samstag","Sonntag"))</f>
        <v/>
      </c>
      <c r="M1312" s="37">
        <f>IF(A1312="","",_xlfn.ISOWEEKNUM(A1312))</f>
        <v/>
      </c>
      <c r="N1312" s="38">
        <f>IF(A1312="","",DATE(YEAR(A1312),MONTH(A1312),1))</f>
        <v/>
      </c>
    </row>
    <row r="1313">
      <c r="A1313" s="31" t="n"/>
      <c r="B1313" s="32" t="n"/>
      <c r="C1313" s="32" t="n"/>
      <c r="D1313" s="33" t="n"/>
      <c r="E1313" s="34" t="n"/>
      <c r="F1313" s="35" t="n"/>
      <c r="G1313" s="35" t="n"/>
      <c r="H1313" s="32" t="n"/>
      <c r="I1313" s="32" t="n"/>
      <c r="J1313" s="32" t="n"/>
      <c r="K1313" s="36">
        <f>IF(E1313&lt;&gt;"",E1313,IF(AND(F1313&lt;&gt;"",G1313&lt;&gt;""),MOD(G1313-F1313,1)*24,""))</f>
        <v/>
      </c>
      <c r="L1313" s="37">
        <f>IF(A1313="","",CHOOSE(WEEKDAY(A1313,2),"Montag","Dienstag","Mittwoch","Donnerstag","Freitag","Samstag","Sonntag"))</f>
        <v/>
      </c>
      <c r="M1313" s="37">
        <f>IF(A1313="","",_xlfn.ISOWEEKNUM(A1313))</f>
        <v/>
      </c>
      <c r="N1313" s="38">
        <f>IF(A1313="","",DATE(YEAR(A1313),MONTH(A1313),1))</f>
        <v/>
      </c>
    </row>
    <row r="1314">
      <c r="A1314" s="31" t="n"/>
      <c r="B1314" s="32" t="n"/>
      <c r="C1314" s="32" t="n"/>
      <c r="D1314" s="33" t="n"/>
      <c r="E1314" s="34" t="n"/>
      <c r="F1314" s="35" t="n"/>
      <c r="G1314" s="35" t="n"/>
      <c r="H1314" s="32" t="n"/>
      <c r="I1314" s="32" t="n"/>
      <c r="J1314" s="32" t="n"/>
      <c r="K1314" s="36">
        <f>IF(E1314&lt;&gt;"",E1314,IF(AND(F1314&lt;&gt;"",G1314&lt;&gt;""),MOD(G1314-F1314,1)*24,""))</f>
        <v/>
      </c>
      <c r="L1314" s="37">
        <f>IF(A1314="","",CHOOSE(WEEKDAY(A1314,2),"Montag","Dienstag","Mittwoch","Donnerstag","Freitag","Samstag","Sonntag"))</f>
        <v/>
      </c>
      <c r="M1314" s="37">
        <f>IF(A1314="","",_xlfn.ISOWEEKNUM(A1314))</f>
        <v/>
      </c>
      <c r="N1314" s="38">
        <f>IF(A1314="","",DATE(YEAR(A1314),MONTH(A1314),1))</f>
        <v/>
      </c>
    </row>
    <row r="1315">
      <c r="A1315" s="31" t="n"/>
      <c r="B1315" s="32" t="n"/>
      <c r="C1315" s="32" t="n"/>
      <c r="D1315" s="33" t="n"/>
      <c r="E1315" s="34" t="n"/>
      <c r="F1315" s="35" t="n"/>
      <c r="G1315" s="35" t="n"/>
      <c r="H1315" s="32" t="n"/>
      <c r="I1315" s="32" t="n"/>
      <c r="J1315" s="32" t="n"/>
      <c r="K1315" s="36">
        <f>IF(E1315&lt;&gt;"",E1315,IF(AND(F1315&lt;&gt;"",G1315&lt;&gt;""),MOD(G1315-F1315,1)*24,""))</f>
        <v/>
      </c>
      <c r="L1315" s="37">
        <f>IF(A1315="","",CHOOSE(WEEKDAY(A1315,2),"Montag","Dienstag","Mittwoch","Donnerstag","Freitag","Samstag","Sonntag"))</f>
        <v/>
      </c>
      <c r="M1315" s="37">
        <f>IF(A1315="","",_xlfn.ISOWEEKNUM(A1315))</f>
        <v/>
      </c>
      <c r="N1315" s="38">
        <f>IF(A1315="","",DATE(YEAR(A1315),MONTH(A1315),1))</f>
        <v/>
      </c>
    </row>
    <row r="1316">
      <c r="A1316" s="31" t="n"/>
      <c r="B1316" s="32" t="n"/>
      <c r="C1316" s="32" t="n"/>
      <c r="D1316" s="33" t="n"/>
      <c r="E1316" s="34" t="n"/>
      <c r="F1316" s="35" t="n"/>
      <c r="G1316" s="35" t="n"/>
      <c r="H1316" s="32" t="n"/>
      <c r="I1316" s="32" t="n"/>
      <c r="J1316" s="32" t="n"/>
      <c r="K1316" s="36">
        <f>IF(E1316&lt;&gt;"",E1316,IF(AND(F1316&lt;&gt;"",G1316&lt;&gt;""),MOD(G1316-F1316,1)*24,""))</f>
        <v/>
      </c>
      <c r="L1316" s="37">
        <f>IF(A1316="","",CHOOSE(WEEKDAY(A1316,2),"Montag","Dienstag","Mittwoch","Donnerstag","Freitag","Samstag","Sonntag"))</f>
        <v/>
      </c>
      <c r="M1316" s="37">
        <f>IF(A1316="","",_xlfn.ISOWEEKNUM(A1316))</f>
        <v/>
      </c>
      <c r="N1316" s="38">
        <f>IF(A1316="","",DATE(YEAR(A1316),MONTH(A1316),1))</f>
        <v/>
      </c>
    </row>
    <row r="1317">
      <c r="A1317" s="31" t="n"/>
      <c r="B1317" s="32" t="n"/>
      <c r="C1317" s="32" t="n"/>
      <c r="D1317" s="33" t="n"/>
      <c r="E1317" s="34" t="n"/>
      <c r="F1317" s="35" t="n"/>
      <c r="G1317" s="35" t="n"/>
      <c r="H1317" s="32" t="n"/>
      <c r="I1317" s="32" t="n"/>
      <c r="J1317" s="32" t="n"/>
      <c r="K1317" s="36">
        <f>IF(E1317&lt;&gt;"",E1317,IF(AND(F1317&lt;&gt;"",G1317&lt;&gt;""),MOD(G1317-F1317,1)*24,""))</f>
        <v/>
      </c>
      <c r="L1317" s="37">
        <f>IF(A1317="","",CHOOSE(WEEKDAY(A1317,2),"Montag","Dienstag","Mittwoch","Donnerstag","Freitag","Samstag","Sonntag"))</f>
        <v/>
      </c>
      <c r="M1317" s="37">
        <f>IF(A1317="","",_xlfn.ISOWEEKNUM(A1317))</f>
        <v/>
      </c>
      <c r="N1317" s="38">
        <f>IF(A1317="","",DATE(YEAR(A1317),MONTH(A1317),1))</f>
        <v/>
      </c>
    </row>
    <row r="1318">
      <c r="A1318" s="31" t="n"/>
      <c r="B1318" s="32" t="n"/>
      <c r="C1318" s="32" t="n"/>
      <c r="D1318" s="33" t="n"/>
      <c r="E1318" s="34" t="n"/>
      <c r="F1318" s="35" t="n"/>
      <c r="G1318" s="35" t="n"/>
      <c r="H1318" s="32" t="n"/>
      <c r="I1318" s="32" t="n"/>
      <c r="J1318" s="32" t="n"/>
      <c r="K1318" s="36">
        <f>IF(E1318&lt;&gt;"",E1318,IF(AND(F1318&lt;&gt;"",G1318&lt;&gt;""),MOD(G1318-F1318,1)*24,""))</f>
        <v/>
      </c>
      <c r="L1318" s="37">
        <f>IF(A1318="","",CHOOSE(WEEKDAY(A1318,2),"Montag","Dienstag","Mittwoch","Donnerstag","Freitag","Samstag","Sonntag"))</f>
        <v/>
      </c>
      <c r="M1318" s="37">
        <f>IF(A1318="","",_xlfn.ISOWEEKNUM(A1318))</f>
        <v/>
      </c>
      <c r="N1318" s="38">
        <f>IF(A1318="","",DATE(YEAR(A1318),MONTH(A1318),1))</f>
        <v/>
      </c>
    </row>
    <row r="1319">
      <c r="A1319" s="31" t="n"/>
      <c r="B1319" s="32" t="n"/>
      <c r="C1319" s="32" t="n"/>
      <c r="D1319" s="33" t="n"/>
      <c r="E1319" s="34" t="n"/>
      <c r="F1319" s="35" t="n"/>
      <c r="G1319" s="35" t="n"/>
      <c r="H1319" s="32" t="n"/>
      <c r="I1319" s="32" t="n"/>
      <c r="J1319" s="32" t="n"/>
      <c r="K1319" s="36">
        <f>IF(E1319&lt;&gt;"",E1319,IF(AND(F1319&lt;&gt;"",G1319&lt;&gt;""),MOD(G1319-F1319,1)*24,""))</f>
        <v/>
      </c>
      <c r="L1319" s="37">
        <f>IF(A1319="","",CHOOSE(WEEKDAY(A1319,2),"Montag","Dienstag","Mittwoch","Donnerstag","Freitag","Samstag","Sonntag"))</f>
        <v/>
      </c>
      <c r="M1319" s="37">
        <f>IF(A1319="","",_xlfn.ISOWEEKNUM(A1319))</f>
        <v/>
      </c>
      <c r="N1319" s="38">
        <f>IF(A1319="","",DATE(YEAR(A1319),MONTH(A1319),1))</f>
        <v/>
      </c>
    </row>
    <row r="1320">
      <c r="A1320" s="31" t="n"/>
      <c r="B1320" s="32" t="n"/>
      <c r="C1320" s="32" t="n"/>
      <c r="D1320" s="33" t="n"/>
      <c r="E1320" s="34" t="n"/>
      <c r="F1320" s="35" t="n"/>
      <c r="G1320" s="35" t="n"/>
      <c r="H1320" s="32" t="n"/>
      <c r="I1320" s="32" t="n"/>
      <c r="J1320" s="32" t="n"/>
      <c r="K1320" s="36">
        <f>IF(E1320&lt;&gt;"",E1320,IF(AND(F1320&lt;&gt;"",G1320&lt;&gt;""),MOD(G1320-F1320,1)*24,""))</f>
        <v/>
      </c>
      <c r="L1320" s="37">
        <f>IF(A1320="","",CHOOSE(WEEKDAY(A1320,2),"Montag","Dienstag","Mittwoch","Donnerstag","Freitag","Samstag","Sonntag"))</f>
        <v/>
      </c>
      <c r="M1320" s="37">
        <f>IF(A1320="","",_xlfn.ISOWEEKNUM(A1320))</f>
        <v/>
      </c>
      <c r="N1320" s="38">
        <f>IF(A1320="","",DATE(YEAR(A1320),MONTH(A1320),1))</f>
        <v/>
      </c>
    </row>
    <row r="1321">
      <c r="A1321" s="31" t="n"/>
      <c r="B1321" s="32" t="n"/>
      <c r="C1321" s="32" t="n"/>
      <c r="D1321" s="33" t="n"/>
      <c r="E1321" s="34" t="n"/>
      <c r="F1321" s="35" t="n"/>
      <c r="G1321" s="35" t="n"/>
      <c r="H1321" s="32" t="n"/>
      <c r="I1321" s="32" t="n"/>
      <c r="J1321" s="32" t="n"/>
      <c r="K1321" s="36">
        <f>IF(E1321&lt;&gt;"",E1321,IF(AND(F1321&lt;&gt;"",G1321&lt;&gt;""),MOD(G1321-F1321,1)*24,""))</f>
        <v/>
      </c>
      <c r="L1321" s="37">
        <f>IF(A1321="","",CHOOSE(WEEKDAY(A1321,2),"Montag","Dienstag","Mittwoch","Donnerstag","Freitag","Samstag","Sonntag"))</f>
        <v/>
      </c>
      <c r="M1321" s="37">
        <f>IF(A1321="","",_xlfn.ISOWEEKNUM(A1321))</f>
        <v/>
      </c>
      <c r="N1321" s="38">
        <f>IF(A1321="","",DATE(YEAR(A1321),MONTH(A1321),1))</f>
        <v/>
      </c>
    </row>
    <row r="1322">
      <c r="A1322" s="31" t="n"/>
      <c r="B1322" s="32" t="n"/>
      <c r="C1322" s="32" t="n"/>
      <c r="D1322" s="33" t="n"/>
      <c r="E1322" s="34" t="n"/>
      <c r="F1322" s="35" t="n"/>
      <c r="G1322" s="35" t="n"/>
      <c r="H1322" s="32" t="n"/>
      <c r="I1322" s="32" t="n"/>
      <c r="J1322" s="32" t="n"/>
      <c r="K1322" s="36">
        <f>IF(E1322&lt;&gt;"",E1322,IF(AND(F1322&lt;&gt;"",G1322&lt;&gt;""),MOD(G1322-F1322,1)*24,""))</f>
        <v/>
      </c>
      <c r="L1322" s="37">
        <f>IF(A1322="","",CHOOSE(WEEKDAY(A1322,2),"Montag","Dienstag","Mittwoch","Donnerstag","Freitag","Samstag","Sonntag"))</f>
        <v/>
      </c>
      <c r="M1322" s="37">
        <f>IF(A1322="","",_xlfn.ISOWEEKNUM(A1322))</f>
        <v/>
      </c>
      <c r="N1322" s="38">
        <f>IF(A1322="","",DATE(YEAR(A1322),MONTH(A1322),1))</f>
        <v/>
      </c>
    </row>
    <row r="1323">
      <c r="A1323" s="31" t="n"/>
      <c r="B1323" s="32" t="n"/>
      <c r="C1323" s="32" t="n"/>
      <c r="D1323" s="33" t="n"/>
      <c r="E1323" s="34" t="n"/>
      <c r="F1323" s="35" t="n"/>
      <c r="G1323" s="35" t="n"/>
      <c r="H1323" s="32" t="n"/>
      <c r="I1323" s="32" t="n"/>
      <c r="J1323" s="32" t="n"/>
      <c r="K1323" s="36">
        <f>IF(E1323&lt;&gt;"",E1323,IF(AND(F1323&lt;&gt;"",G1323&lt;&gt;""),MOD(G1323-F1323,1)*24,""))</f>
        <v/>
      </c>
      <c r="L1323" s="37">
        <f>IF(A1323="","",CHOOSE(WEEKDAY(A1323,2),"Montag","Dienstag","Mittwoch","Donnerstag","Freitag","Samstag","Sonntag"))</f>
        <v/>
      </c>
      <c r="M1323" s="37">
        <f>IF(A1323="","",_xlfn.ISOWEEKNUM(A1323))</f>
        <v/>
      </c>
      <c r="N1323" s="38">
        <f>IF(A1323="","",DATE(YEAR(A1323),MONTH(A1323),1))</f>
        <v/>
      </c>
    </row>
    <row r="1324">
      <c r="A1324" s="31" t="n"/>
      <c r="B1324" s="32" t="n"/>
      <c r="C1324" s="32" t="n"/>
      <c r="D1324" s="33" t="n"/>
      <c r="E1324" s="34" t="n"/>
      <c r="F1324" s="35" t="n"/>
      <c r="G1324" s="35" t="n"/>
      <c r="H1324" s="32" t="n"/>
      <c r="I1324" s="32" t="n"/>
      <c r="J1324" s="32" t="n"/>
      <c r="K1324" s="36">
        <f>IF(E1324&lt;&gt;"",E1324,IF(AND(F1324&lt;&gt;"",G1324&lt;&gt;""),MOD(G1324-F1324,1)*24,""))</f>
        <v/>
      </c>
      <c r="L1324" s="37">
        <f>IF(A1324="","",CHOOSE(WEEKDAY(A1324,2),"Montag","Dienstag","Mittwoch","Donnerstag","Freitag","Samstag","Sonntag"))</f>
        <v/>
      </c>
      <c r="M1324" s="37">
        <f>IF(A1324="","",_xlfn.ISOWEEKNUM(A1324))</f>
        <v/>
      </c>
      <c r="N1324" s="38">
        <f>IF(A1324="","",DATE(YEAR(A1324),MONTH(A1324),1))</f>
        <v/>
      </c>
    </row>
    <row r="1325">
      <c r="A1325" s="31" t="n"/>
      <c r="B1325" s="32" t="n"/>
      <c r="C1325" s="32" t="n"/>
      <c r="D1325" s="33" t="n"/>
      <c r="E1325" s="34" t="n"/>
      <c r="F1325" s="35" t="n"/>
      <c r="G1325" s="35" t="n"/>
      <c r="H1325" s="32" t="n"/>
      <c r="I1325" s="32" t="n"/>
      <c r="J1325" s="32" t="n"/>
      <c r="K1325" s="36">
        <f>IF(E1325&lt;&gt;"",E1325,IF(AND(F1325&lt;&gt;"",G1325&lt;&gt;""),MOD(G1325-F1325,1)*24,""))</f>
        <v/>
      </c>
      <c r="L1325" s="37">
        <f>IF(A1325="","",CHOOSE(WEEKDAY(A1325,2),"Montag","Dienstag","Mittwoch","Donnerstag","Freitag","Samstag","Sonntag"))</f>
        <v/>
      </c>
      <c r="M1325" s="37">
        <f>IF(A1325="","",_xlfn.ISOWEEKNUM(A1325))</f>
        <v/>
      </c>
      <c r="N1325" s="38">
        <f>IF(A1325="","",DATE(YEAR(A1325),MONTH(A1325),1))</f>
        <v/>
      </c>
    </row>
    <row r="1326">
      <c r="A1326" s="31" t="n"/>
      <c r="B1326" s="32" t="n"/>
      <c r="C1326" s="32" t="n"/>
      <c r="D1326" s="33" t="n"/>
      <c r="E1326" s="34" t="n"/>
      <c r="F1326" s="35" t="n"/>
      <c r="G1326" s="35" t="n"/>
      <c r="H1326" s="32" t="n"/>
      <c r="I1326" s="32" t="n"/>
      <c r="J1326" s="32" t="n"/>
      <c r="K1326" s="36">
        <f>IF(E1326&lt;&gt;"",E1326,IF(AND(F1326&lt;&gt;"",G1326&lt;&gt;""),MOD(G1326-F1326,1)*24,""))</f>
        <v/>
      </c>
      <c r="L1326" s="37">
        <f>IF(A1326="","",CHOOSE(WEEKDAY(A1326,2),"Montag","Dienstag","Mittwoch","Donnerstag","Freitag","Samstag","Sonntag"))</f>
        <v/>
      </c>
      <c r="M1326" s="37">
        <f>IF(A1326="","",_xlfn.ISOWEEKNUM(A1326))</f>
        <v/>
      </c>
      <c r="N1326" s="38">
        <f>IF(A1326="","",DATE(YEAR(A1326),MONTH(A1326),1))</f>
        <v/>
      </c>
    </row>
    <row r="1327">
      <c r="A1327" s="31" t="n"/>
      <c r="B1327" s="32" t="n"/>
      <c r="C1327" s="32" t="n"/>
      <c r="D1327" s="33" t="n"/>
      <c r="E1327" s="34" t="n"/>
      <c r="F1327" s="35" t="n"/>
      <c r="G1327" s="35" t="n"/>
      <c r="H1327" s="32" t="n"/>
      <c r="I1327" s="32" t="n"/>
      <c r="J1327" s="32" t="n"/>
      <c r="K1327" s="36">
        <f>IF(E1327&lt;&gt;"",E1327,IF(AND(F1327&lt;&gt;"",G1327&lt;&gt;""),MOD(G1327-F1327,1)*24,""))</f>
        <v/>
      </c>
      <c r="L1327" s="37">
        <f>IF(A1327="","",CHOOSE(WEEKDAY(A1327,2),"Montag","Dienstag","Mittwoch","Donnerstag","Freitag","Samstag","Sonntag"))</f>
        <v/>
      </c>
      <c r="M1327" s="37">
        <f>IF(A1327="","",_xlfn.ISOWEEKNUM(A1327))</f>
        <v/>
      </c>
      <c r="N1327" s="38">
        <f>IF(A1327="","",DATE(YEAR(A1327),MONTH(A1327),1))</f>
        <v/>
      </c>
    </row>
    <row r="1328">
      <c r="A1328" s="31" t="n"/>
      <c r="B1328" s="32" t="n"/>
      <c r="C1328" s="32" t="n"/>
      <c r="D1328" s="33" t="n"/>
      <c r="E1328" s="34" t="n"/>
      <c r="F1328" s="35" t="n"/>
      <c r="G1328" s="35" t="n"/>
      <c r="H1328" s="32" t="n"/>
      <c r="I1328" s="32" t="n"/>
      <c r="J1328" s="32" t="n"/>
      <c r="K1328" s="36">
        <f>IF(E1328&lt;&gt;"",E1328,IF(AND(F1328&lt;&gt;"",G1328&lt;&gt;""),MOD(G1328-F1328,1)*24,""))</f>
        <v/>
      </c>
      <c r="L1328" s="37">
        <f>IF(A1328="","",CHOOSE(WEEKDAY(A1328,2),"Montag","Dienstag","Mittwoch","Donnerstag","Freitag","Samstag","Sonntag"))</f>
        <v/>
      </c>
      <c r="M1328" s="37">
        <f>IF(A1328="","",_xlfn.ISOWEEKNUM(A1328))</f>
        <v/>
      </c>
      <c r="N1328" s="38">
        <f>IF(A1328="","",DATE(YEAR(A1328),MONTH(A1328),1))</f>
        <v/>
      </c>
    </row>
    <row r="1329">
      <c r="A1329" s="31" t="n"/>
      <c r="B1329" s="32" t="n"/>
      <c r="C1329" s="32" t="n"/>
      <c r="D1329" s="33" t="n"/>
      <c r="E1329" s="34" t="n"/>
      <c r="F1329" s="35" t="n"/>
      <c r="G1329" s="35" t="n"/>
      <c r="H1329" s="32" t="n"/>
      <c r="I1329" s="32" t="n"/>
      <c r="J1329" s="32" t="n"/>
      <c r="K1329" s="36">
        <f>IF(E1329&lt;&gt;"",E1329,IF(AND(F1329&lt;&gt;"",G1329&lt;&gt;""),MOD(G1329-F1329,1)*24,""))</f>
        <v/>
      </c>
      <c r="L1329" s="37">
        <f>IF(A1329="","",CHOOSE(WEEKDAY(A1329,2),"Montag","Dienstag","Mittwoch","Donnerstag","Freitag","Samstag","Sonntag"))</f>
        <v/>
      </c>
      <c r="M1329" s="37">
        <f>IF(A1329="","",_xlfn.ISOWEEKNUM(A1329))</f>
        <v/>
      </c>
      <c r="N1329" s="38">
        <f>IF(A1329="","",DATE(YEAR(A1329),MONTH(A1329),1))</f>
        <v/>
      </c>
    </row>
    <row r="1330">
      <c r="A1330" s="31" t="n"/>
      <c r="B1330" s="32" t="n"/>
      <c r="C1330" s="32" t="n"/>
      <c r="D1330" s="33" t="n"/>
      <c r="E1330" s="34" t="n"/>
      <c r="F1330" s="35" t="n"/>
      <c r="G1330" s="35" t="n"/>
      <c r="H1330" s="32" t="n"/>
      <c r="I1330" s="32" t="n"/>
      <c r="J1330" s="32" t="n"/>
      <c r="K1330" s="36">
        <f>IF(E1330&lt;&gt;"",E1330,IF(AND(F1330&lt;&gt;"",G1330&lt;&gt;""),MOD(G1330-F1330,1)*24,""))</f>
        <v/>
      </c>
      <c r="L1330" s="37">
        <f>IF(A1330="","",CHOOSE(WEEKDAY(A1330,2),"Montag","Dienstag","Mittwoch","Donnerstag","Freitag","Samstag","Sonntag"))</f>
        <v/>
      </c>
      <c r="M1330" s="37">
        <f>IF(A1330="","",_xlfn.ISOWEEKNUM(A1330))</f>
        <v/>
      </c>
      <c r="N1330" s="38">
        <f>IF(A1330="","",DATE(YEAR(A1330),MONTH(A1330),1))</f>
        <v/>
      </c>
    </row>
    <row r="1331">
      <c r="A1331" s="31" t="n"/>
      <c r="B1331" s="32" t="n"/>
      <c r="C1331" s="32" t="n"/>
      <c r="D1331" s="33" t="n"/>
      <c r="E1331" s="34" t="n"/>
      <c r="F1331" s="35" t="n"/>
      <c r="G1331" s="35" t="n"/>
      <c r="H1331" s="32" t="n"/>
      <c r="I1331" s="32" t="n"/>
      <c r="J1331" s="32" t="n"/>
      <c r="K1331" s="36">
        <f>IF(E1331&lt;&gt;"",E1331,IF(AND(F1331&lt;&gt;"",G1331&lt;&gt;""),MOD(G1331-F1331,1)*24,""))</f>
        <v/>
      </c>
      <c r="L1331" s="37">
        <f>IF(A1331="","",CHOOSE(WEEKDAY(A1331,2),"Montag","Dienstag","Mittwoch","Donnerstag","Freitag","Samstag","Sonntag"))</f>
        <v/>
      </c>
      <c r="M1331" s="37">
        <f>IF(A1331="","",_xlfn.ISOWEEKNUM(A1331))</f>
        <v/>
      </c>
      <c r="N1331" s="38">
        <f>IF(A1331="","",DATE(YEAR(A1331),MONTH(A1331),1))</f>
        <v/>
      </c>
    </row>
    <row r="1332">
      <c r="A1332" s="31" t="n"/>
      <c r="B1332" s="32" t="n"/>
      <c r="C1332" s="32" t="n"/>
      <c r="D1332" s="33" t="n"/>
      <c r="E1332" s="34" t="n"/>
      <c r="F1332" s="35" t="n"/>
      <c r="G1332" s="35" t="n"/>
      <c r="H1332" s="32" t="n"/>
      <c r="I1332" s="32" t="n"/>
      <c r="J1332" s="32" t="n"/>
      <c r="K1332" s="36">
        <f>IF(E1332&lt;&gt;"",E1332,IF(AND(F1332&lt;&gt;"",G1332&lt;&gt;""),MOD(G1332-F1332,1)*24,""))</f>
        <v/>
      </c>
      <c r="L1332" s="37">
        <f>IF(A1332="","",CHOOSE(WEEKDAY(A1332,2),"Montag","Dienstag","Mittwoch","Donnerstag","Freitag","Samstag","Sonntag"))</f>
        <v/>
      </c>
      <c r="M1332" s="37">
        <f>IF(A1332="","",_xlfn.ISOWEEKNUM(A1332))</f>
        <v/>
      </c>
      <c r="N1332" s="38">
        <f>IF(A1332="","",DATE(YEAR(A1332),MONTH(A1332),1))</f>
        <v/>
      </c>
    </row>
    <row r="1333">
      <c r="A1333" s="31" t="n"/>
      <c r="B1333" s="32" t="n"/>
      <c r="C1333" s="32" t="n"/>
      <c r="D1333" s="33" t="n"/>
      <c r="E1333" s="34" t="n"/>
      <c r="F1333" s="35" t="n"/>
      <c r="G1333" s="35" t="n"/>
      <c r="H1333" s="32" t="n"/>
      <c r="I1333" s="32" t="n"/>
      <c r="J1333" s="32" t="n"/>
      <c r="K1333" s="36">
        <f>IF(E1333&lt;&gt;"",E1333,IF(AND(F1333&lt;&gt;"",G1333&lt;&gt;""),MOD(G1333-F1333,1)*24,""))</f>
        <v/>
      </c>
      <c r="L1333" s="37">
        <f>IF(A1333="","",CHOOSE(WEEKDAY(A1333,2),"Montag","Dienstag","Mittwoch","Donnerstag","Freitag","Samstag","Sonntag"))</f>
        <v/>
      </c>
      <c r="M1333" s="37">
        <f>IF(A1333="","",_xlfn.ISOWEEKNUM(A1333))</f>
        <v/>
      </c>
      <c r="N1333" s="38">
        <f>IF(A1333="","",DATE(YEAR(A1333),MONTH(A1333),1))</f>
        <v/>
      </c>
    </row>
    <row r="1334">
      <c r="A1334" s="31" t="n"/>
      <c r="B1334" s="32" t="n"/>
      <c r="C1334" s="32" t="n"/>
      <c r="D1334" s="33" t="n"/>
      <c r="E1334" s="34" t="n"/>
      <c r="F1334" s="35" t="n"/>
      <c r="G1334" s="35" t="n"/>
      <c r="H1334" s="32" t="n"/>
      <c r="I1334" s="32" t="n"/>
      <c r="J1334" s="32" t="n"/>
      <c r="K1334" s="36">
        <f>IF(E1334&lt;&gt;"",E1334,IF(AND(F1334&lt;&gt;"",G1334&lt;&gt;""),MOD(G1334-F1334,1)*24,""))</f>
        <v/>
      </c>
      <c r="L1334" s="37">
        <f>IF(A1334="","",CHOOSE(WEEKDAY(A1334,2),"Montag","Dienstag","Mittwoch","Donnerstag","Freitag","Samstag","Sonntag"))</f>
        <v/>
      </c>
      <c r="M1334" s="37">
        <f>IF(A1334="","",_xlfn.ISOWEEKNUM(A1334))</f>
        <v/>
      </c>
      <c r="N1334" s="38">
        <f>IF(A1334="","",DATE(YEAR(A1334),MONTH(A1334),1))</f>
        <v/>
      </c>
    </row>
    <row r="1335">
      <c r="A1335" s="31" t="n"/>
      <c r="B1335" s="32" t="n"/>
      <c r="C1335" s="32" t="n"/>
      <c r="D1335" s="33" t="n"/>
      <c r="E1335" s="34" t="n"/>
      <c r="F1335" s="35" t="n"/>
      <c r="G1335" s="35" t="n"/>
      <c r="H1335" s="32" t="n"/>
      <c r="I1335" s="32" t="n"/>
      <c r="J1335" s="32" t="n"/>
      <c r="K1335" s="36">
        <f>IF(E1335&lt;&gt;"",E1335,IF(AND(F1335&lt;&gt;"",G1335&lt;&gt;""),MOD(G1335-F1335,1)*24,""))</f>
        <v/>
      </c>
      <c r="L1335" s="37">
        <f>IF(A1335="","",CHOOSE(WEEKDAY(A1335,2),"Montag","Dienstag","Mittwoch","Donnerstag","Freitag","Samstag","Sonntag"))</f>
        <v/>
      </c>
      <c r="M1335" s="37">
        <f>IF(A1335="","",_xlfn.ISOWEEKNUM(A1335))</f>
        <v/>
      </c>
      <c r="N1335" s="38">
        <f>IF(A1335="","",DATE(YEAR(A1335),MONTH(A1335),1))</f>
        <v/>
      </c>
    </row>
    <row r="1336">
      <c r="A1336" s="31" t="n"/>
      <c r="B1336" s="32" t="n"/>
      <c r="C1336" s="32" t="n"/>
      <c r="D1336" s="33" t="n"/>
      <c r="E1336" s="34" t="n"/>
      <c r="F1336" s="35" t="n"/>
      <c r="G1336" s="35" t="n"/>
      <c r="H1336" s="32" t="n"/>
      <c r="I1336" s="32" t="n"/>
      <c r="J1336" s="32" t="n"/>
      <c r="K1336" s="36">
        <f>IF(E1336&lt;&gt;"",E1336,IF(AND(F1336&lt;&gt;"",G1336&lt;&gt;""),MOD(G1336-F1336,1)*24,""))</f>
        <v/>
      </c>
      <c r="L1336" s="37">
        <f>IF(A1336="","",CHOOSE(WEEKDAY(A1336,2),"Montag","Dienstag","Mittwoch","Donnerstag","Freitag","Samstag","Sonntag"))</f>
        <v/>
      </c>
      <c r="M1336" s="37">
        <f>IF(A1336="","",_xlfn.ISOWEEKNUM(A1336))</f>
        <v/>
      </c>
      <c r="N1336" s="38">
        <f>IF(A1336="","",DATE(YEAR(A1336),MONTH(A1336),1))</f>
        <v/>
      </c>
    </row>
    <row r="1337">
      <c r="A1337" s="31" t="n"/>
      <c r="B1337" s="32" t="n"/>
      <c r="C1337" s="32" t="n"/>
      <c r="D1337" s="33" t="n"/>
      <c r="E1337" s="34" t="n"/>
      <c r="F1337" s="35" t="n"/>
      <c r="G1337" s="35" t="n"/>
      <c r="H1337" s="32" t="n"/>
      <c r="I1337" s="32" t="n"/>
      <c r="J1337" s="32" t="n"/>
      <c r="K1337" s="36">
        <f>IF(E1337&lt;&gt;"",E1337,IF(AND(F1337&lt;&gt;"",G1337&lt;&gt;""),MOD(G1337-F1337,1)*24,""))</f>
        <v/>
      </c>
      <c r="L1337" s="37">
        <f>IF(A1337="","",CHOOSE(WEEKDAY(A1337,2),"Montag","Dienstag","Mittwoch","Donnerstag","Freitag","Samstag","Sonntag"))</f>
        <v/>
      </c>
      <c r="M1337" s="37">
        <f>IF(A1337="","",_xlfn.ISOWEEKNUM(A1337))</f>
        <v/>
      </c>
      <c r="N1337" s="38">
        <f>IF(A1337="","",DATE(YEAR(A1337),MONTH(A1337),1))</f>
        <v/>
      </c>
    </row>
    <row r="1338">
      <c r="A1338" s="31" t="n"/>
      <c r="B1338" s="32" t="n"/>
      <c r="C1338" s="32" t="n"/>
      <c r="D1338" s="33" t="n"/>
      <c r="E1338" s="34" t="n"/>
      <c r="F1338" s="35" t="n"/>
      <c r="G1338" s="35" t="n"/>
      <c r="H1338" s="32" t="n"/>
      <c r="I1338" s="32" t="n"/>
      <c r="J1338" s="32" t="n"/>
      <c r="K1338" s="36">
        <f>IF(E1338&lt;&gt;"",E1338,IF(AND(F1338&lt;&gt;"",G1338&lt;&gt;""),MOD(G1338-F1338,1)*24,""))</f>
        <v/>
      </c>
      <c r="L1338" s="37">
        <f>IF(A1338="","",CHOOSE(WEEKDAY(A1338,2),"Montag","Dienstag","Mittwoch","Donnerstag","Freitag","Samstag","Sonntag"))</f>
        <v/>
      </c>
      <c r="M1338" s="37">
        <f>IF(A1338="","",_xlfn.ISOWEEKNUM(A1338))</f>
        <v/>
      </c>
      <c r="N1338" s="38">
        <f>IF(A1338="","",DATE(YEAR(A1338),MONTH(A1338),1))</f>
        <v/>
      </c>
    </row>
    <row r="1339">
      <c r="A1339" s="31" t="n"/>
      <c r="B1339" s="32" t="n"/>
      <c r="C1339" s="32" t="n"/>
      <c r="D1339" s="33" t="n"/>
      <c r="E1339" s="34" t="n"/>
      <c r="F1339" s="35" t="n"/>
      <c r="G1339" s="35" t="n"/>
      <c r="H1339" s="32" t="n"/>
      <c r="I1339" s="32" t="n"/>
      <c r="J1339" s="32" t="n"/>
      <c r="K1339" s="36">
        <f>IF(E1339&lt;&gt;"",E1339,IF(AND(F1339&lt;&gt;"",G1339&lt;&gt;""),MOD(G1339-F1339,1)*24,""))</f>
        <v/>
      </c>
      <c r="L1339" s="37">
        <f>IF(A1339="","",CHOOSE(WEEKDAY(A1339,2),"Montag","Dienstag","Mittwoch","Donnerstag","Freitag","Samstag","Sonntag"))</f>
        <v/>
      </c>
      <c r="M1339" s="37">
        <f>IF(A1339="","",_xlfn.ISOWEEKNUM(A1339))</f>
        <v/>
      </c>
      <c r="N1339" s="38">
        <f>IF(A1339="","",DATE(YEAR(A1339),MONTH(A1339),1))</f>
        <v/>
      </c>
    </row>
    <row r="1340">
      <c r="A1340" s="31" t="n"/>
      <c r="B1340" s="32" t="n"/>
      <c r="C1340" s="32" t="n"/>
      <c r="D1340" s="33" t="n"/>
      <c r="E1340" s="34" t="n"/>
      <c r="F1340" s="35" t="n"/>
      <c r="G1340" s="35" t="n"/>
      <c r="H1340" s="32" t="n"/>
      <c r="I1340" s="32" t="n"/>
      <c r="J1340" s="32" t="n"/>
      <c r="K1340" s="36">
        <f>IF(E1340&lt;&gt;"",E1340,IF(AND(F1340&lt;&gt;"",G1340&lt;&gt;""),MOD(G1340-F1340,1)*24,""))</f>
        <v/>
      </c>
      <c r="L1340" s="37">
        <f>IF(A1340="","",CHOOSE(WEEKDAY(A1340,2),"Montag","Dienstag","Mittwoch","Donnerstag","Freitag","Samstag","Sonntag"))</f>
        <v/>
      </c>
      <c r="M1340" s="37">
        <f>IF(A1340="","",_xlfn.ISOWEEKNUM(A1340))</f>
        <v/>
      </c>
      <c r="N1340" s="38">
        <f>IF(A1340="","",DATE(YEAR(A1340),MONTH(A1340),1))</f>
        <v/>
      </c>
    </row>
    <row r="1341">
      <c r="A1341" s="31" t="n"/>
      <c r="B1341" s="32" t="n"/>
      <c r="C1341" s="32" t="n"/>
      <c r="D1341" s="33" t="n"/>
      <c r="E1341" s="34" t="n"/>
      <c r="F1341" s="35" t="n"/>
      <c r="G1341" s="35" t="n"/>
      <c r="H1341" s="32" t="n"/>
      <c r="I1341" s="32" t="n"/>
      <c r="J1341" s="32" t="n"/>
      <c r="K1341" s="36">
        <f>IF(E1341&lt;&gt;"",E1341,IF(AND(F1341&lt;&gt;"",G1341&lt;&gt;""),MOD(G1341-F1341,1)*24,""))</f>
        <v/>
      </c>
      <c r="L1341" s="37">
        <f>IF(A1341="","",CHOOSE(WEEKDAY(A1341,2),"Montag","Dienstag","Mittwoch","Donnerstag","Freitag","Samstag","Sonntag"))</f>
        <v/>
      </c>
      <c r="M1341" s="37">
        <f>IF(A1341="","",_xlfn.ISOWEEKNUM(A1341))</f>
        <v/>
      </c>
      <c r="N1341" s="38">
        <f>IF(A1341="","",DATE(YEAR(A1341),MONTH(A1341),1))</f>
        <v/>
      </c>
    </row>
    <row r="1342">
      <c r="A1342" s="31" t="n"/>
      <c r="B1342" s="32" t="n"/>
      <c r="C1342" s="32" t="n"/>
      <c r="D1342" s="33" t="n"/>
      <c r="E1342" s="34" t="n"/>
      <c r="F1342" s="35" t="n"/>
      <c r="G1342" s="35" t="n"/>
      <c r="H1342" s="32" t="n"/>
      <c r="I1342" s="32" t="n"/>
      <c r="J1342" s="32" t="n"/>
      <c r="K1342" s="36">
        <f>IF(E1342&lt;&gt;"",E1342,IF(AND(F1342&lt;&gt;"",G1342&lt;&gt;""),MOD(G1342-F1342,1)*24,""))</f>
        <v/>
      </c>
      <c r="L1342" s="37">
        <f>IF(A1342="","",CHOOSE(WEEKDAY(A1342,2),"Montag","Dienstag","Mittwoch","Donnerstag","Freitag","Samstag","Sonntag"))</f>
        <v/>
      </c>
      <c r="M1342" s="37">
        <f>IF(A1342="","",_xlfn.ISOWEEKNUM(A1342))</f>
        <v/>
      </c>
      <c r="N1342" s="38">
        <f>IF(A1342="","",DATE(YEAR(A1342),MONTH(A1342),1))</f>
        <v/>
      </c>
    </row>
    <row r="1343">
      <c r="A1343" s="31" t="n"/>
      <c r="B1343" s="32" t="n"/>
      <c r="C1343" s="32" t="n"/>
      <c r="D1343" s="33" t="n"/>
      <c r="E1343" s="34" t="n"/>
      <c r="F1343" s="35" t="n"/>
      <c r="G1343" s="35" t="n"/>
      <c r="H1343" s="32" t="n"/>
      <c r="I1343" s="32" t="n"/>
      <c r="J1343" s="32" t="n"/>
      <c r="K1343" s="36">
        <f>IF(E1343&lt;&gt;"",E1343,IF(AND(F1343&lt;&gt;"",G1343&lt;&gt;""),MOD(G1343-F1343,1)*24,""))</f>
        <v/>
      </c>
      <c r="L1343" s="37">
        <f>IF(A1343="","",CHOOSE(WEEKDAY(A1343,2),"Montag","Dienstag","Mittwoch","Donnerstag","Freitag","Samstag","Sonntag"))</f>
        <v/>
      </c>
      <c r="M1343" s="37">
        <f>IF(A1343="","",_xlfn.ISOWEEKNUM(A1343))</f>
        <v/>
      </c>
      <c r="N1343" s="38">
        <f>IF(A1343="","",DATE(YEAR(A1343),MONTH(A1343),1))</f>
        <v/>
      </c>
    </row>
    <row r="1344">
      <c r="A1344" s="31" t="n"/>
      <c r="B1344" s="32" t="n"/>
      <c r="C1344" s="32" t="n"/>
      <c r="D1344" s="33" t="n"/>
      <c r="E1344" s="34" t="n"/>
      <c r="F1344" s="35" t="n"/>
      <c r="G1344" s="35" t="n"/>
      <c r="H1344" s="32" t="n"/>
      <c r="I1344" s="32" t="n"/>
      <c r="J1344" s="32" t="n"/>
      <c r="K1344" s="36">
        <f>IF(E1344&lt;&gt;"",E1344,IF(AND(F1344&lt;&gt;"",G1344&lt;&gt;""),MOD(G1344-F1344,1)*24,""))</f>
        <v/>
      </c>
      <c r="L1344" s="37">
        <f>IF(A1344="","",CHOOSE(WEEKDAY(A1344,2),"Montag","Dienstag","Mittwoch","Donnerstag","Freitag","Samstag","Sonntag"))</f>
        <v/>
      </c>
      <c r="M1344" s="37">
        <f>IF(A1344="","",_xlfn.ISOWEEKNUM(A1344))</f>
        <v/>
      </c>
      <c r="N1344" s="38">
        <f>IF(A1344="","",DATE(YEAR(A1344),MONTH(A1344),1))</f>
        <v/>
      </c>
    </row>
    <row r="1345">
      <c r="A1345" s="31" t="n"/>
      <c r="B1345" s="32" t="n"/>
      <c r="C1345" s="32" t="n"/>
      <c r="D1345" s="33" t="n"/>
      <c r="E1345" s="34" t="n"/>
      <c r="F1345" s="35" t="n"/>
      <c r="G1345" s="35" t="n"/>
      <c r="H1345" s="32" t="n"/>
      <c r="I1345" s="32" t="n"/>
      <c r="J1345" s="32" t="n"/>
      <c r="K1345" s="36">
        <f>IF(E1345&lt;&gt;"",E1345,IF(AND(F1345&lt;&gt;"",G1345&lt;&gt;""),MOD(G1345-F1345,1)*24,""))</f>
        <v/>
      </c>
      <c r="L1345" s="37">
        <f>IF(A1345="","",CHOOSE(WEEKDAY(A1345,2),"Montag","Dienstag","Mittwoch","Donnerstag","Freitag","Samstag","Sonntag"))</f>
        <v/>
      </c>
      <c r="M1345" s="37">
        <f>IF(A1345="","",_xlfn.ISOWEEKNUM(A1345))</f>
        <v/>
      </c>
      <c r="N1345" s="38">
        <f>IF(A1345="","",DATE(YEAR(A1345),MONTH(A1345),1))</f>
        <v/>
      </c>
    </row>
    <row r="1346">
      <c r="A1346" s="31" t="n"/>
      <c r="B1346" s="32" t="n"/>
      <c r="C1346" s="32" t="n"/>
      <c r="D1346" s="33" t="n"/>
      <c r="E1346" s="34" t="n"/>
      <c r="F1346" s="35" t="n"/>
      <c r="G1346" s="35" t="n"/>
      <c r="H1346" s="32" t="n"/>
      <c r="I1346" s="32" t="n"/>
      <c r="J1346" s="32" t="n"/>
      <c r="K1346" s="36">
        <f>IF(E1346&lt;&gt;"",E1346,IF(AND(F1346&lt;&gt;"",G1346&lt;&gt;""),MOD(G1346-F1346,1)*24,""))</f>
        <v/>
      </c>
      <c r="L1346" s="37">
        <f>IF(A1346="","",CHOOSE(WEEKDAY(A1346,2),"Montag","Dienstag","Mittwoch","Donnerstag","Freitag","Samstag","Sonntag"))</f>
        <v/>
      </c>
      <c r="M1346" s="37">
        <f>IF(A1346="","",_xlfn.ISOWEEKNUM(A1346))</f>
        <v/>
      </c>
      <c r="N1346" s="38">
        <f>IF(A1346="","",DATE(YEAR(A1346),MONTH(A1346),1))</f>
        <v/>
      </c>
    </row>
    <row r="1347">
      <c r="A1347" s="31" t="n"/>
      <c r="B1347" s="32" t="n"/>
      <c r="C1347" s="32" t="n"/>
      <c r="D1347" s="33" t="n"/>
      <c r="E1347" s="34" t="n"/>
      <c r="F1347" s="35" t="n"/>
      <c r="G1347" s="35" t="n"/>
      <c r="H1347" s="32" t="n"/>
      <c r="I1347" s="32" t="n"/>
      <c r="J1347" s="32" t="n"/>
      <c r="K1347" s="36">
        <f>IF(E1347&lt;&gt;"",E1347,IF(AND(F1347&lt;&gt;"",G1347&lt;&gt;""),MOD(G1347-F1347,1)*24,""))</f>
        <v/>
      </c>
      <c r="L1347" s="37">
        <f>IF(A1347="","",CHOOSE(WEEKDAY(A1347,2),"Montag","Dienstag","Mittwoch","Donnerstag","Freitag","Samstag","Sonntag"))</f>
        <v/>
      </c>
      <c r="M1347" s="37">
        <f>IF(A1347="","",_xlfn.ISOWEEKNUM(A1347))</f>
        <v/>
      </c>
      <c r="N1347" s="38">
        <f>IF(A1347="","",DATE(YEAR(A1347),MONTH(A1347),1))</f>
        <v/>
      </c>
    </row>
    <row r="1348">
      <c r="A1348" s="31" t="n"/>
      <c r="B1348" s="32" t="n"/>
      <c r="C1348" s="32" t="n"/>
      <c r="D1348" s="33" t="n"/>
      <c r="E1348" s="34" t="n"/>
      <c r="F1348" s="35" t="n"/>
      <c r="G1348" s="35" t="n"/>
      <c r="H1348" s="32" t="n"/>
      <c r="I1348" s="32" t="n"/>
      <c r="J1348" s="32" t="n"/>
      <c r="K1348" s="36">
        <f>IF(E1348&lt;&gt;"",E1348,IF(AND(F1348&lt;&gt;"",G1348&lt;&gt;""),MOD(G1348-F1348,1)*24,""))</f>
        <v/>
      </c>
      <c r="L1348" s="37">
        <f>IF(A1348="","",CHOOSE(WEEKDAY(A1348,2),"Montag","Dienstag","Mittwoch","Donnerstag","Freitag","Samstag","Sonntag"))</f>
        <v/>
      </c>
      <c r="M1348" s="37">
        <f>IF(A1348="","",_xlfn.ISOWEEKNUM(A1348))</f>
        <v/>
      </c>
      <c r="N1348" s="38">
        <f>IF(A1348="","",DATE(YEAR(A1348),MONTH(A1348),1))</f>
        <v/>
      </c>
    </row>
    <row r="1349">
      <c r="A1349" s="31" t="n"/>
      <c r="B1349" s="32" t="n"/>
      <c r="C1349" s="32" t="n"/>
      <c r="D1349" s="33" t="n"/>
      <c r="E1349" s="34" t="n"/>
      <c r="F1349" s="35" t="n"/>
      <c r="G1349" s="35" t="n"/>
      <c r="H1349" s="32" t="n"/>
      <c r="I1349" s="32" t="n"/>
      <c r="J1349" s="32" t="n"/>
      <c r="K1349" s="36">
        <f>IF(E1349&lt;&gt;"",E1349,IF(AND(F1349&lt;&gt;"",G1349&lt;&gt;""),MOD(G1349-F1349,1)*24,""))</f>
        <v/>
      </c>
      <c r="L1349" s="37">
        <f>IF(A1349="","",CHOOSE(WEEKDAY(A1349,2),"Montag","Dienstag","Mittwoch","Donnerstag","Freitag","Samstag","Sonntag"))</f>
        <v/>
      </c>
      <c r="M1349" s="37">
        <f>IF(A1349="","",_xlfn.ISOWEEKNUM(A1349))</f>
        <v/>
      </c>
      <c r="N1349" s="38">
        <f>IF(A1349="","",DATE(YEAR(A1349),MONTH(A1349),1))</f>
        <v/>
      </c>
    </row>
    <row r="1350">
      <c r="A1350" s="31" t="n"/>
      <c r="B1350" s="32" t="n"/>
      <c r="C1350" s="32" t="n"/>
      <c r="D1350" s="33" t="n"/>
      <c r="E1350" s="34" t="n"/>
      <c r="F1350" s="35" t="n"/>
      <c r="G1350" s="35" t="n"/>
      <c r="H1350" s="32" t="n"/>
      <c r="I1350" s="32" t="n"/>
      <c r="J1350" s="32" t="n"/>
      <c r="K1350" s="36">
        <f>IF(E1350&lt;&gt;"",E1350,IF(AND(F1350&lt;&gt;"",G1350&lt;&gt;""),MOD(G1350-F1350,1)*24,""))</f>
        <v/>
      </c>
      <c r="L1350" s="37">
        <f>IF(A1350="","",CHOOSE(WEEKDAY(A1350,2),"Montag","Dienstag","Mittwoch","Donnerstag","Freitag","Samstag","Sonntag"))</f>
        <v/>
      </c>
      <c r="M1350" s="37">
        <f>IF(A1350="","",_xlfn.ISOWEEKNUM(A1350))</f>
        <v/>
      </c>
      <c r="N1350" s="38">
        <f>IF(A1350="","",DATE(YEAR(A1350),MONTH(A1350),1))</f>
        <v/>
      </c>
    </row>
    <row r="1351">
      <c r="A1351" s="31" t="n"/>
      <c r="B1351" s="32" t="n"/>
      <c r="C1351" s="32" t="n"/>
      <c r="D1351" s="33" t="n"/>
      <c r="E1351" s="34" t="n"/>
      <c r="F1351" s="35" t="n"/>
      <c r="G1351" s="35" t="n"/>
      <c r="H1351" s="32" t="n"/>
      <c r="I1351" s="32" t="n"/>
      <c r="J1351" s="32" t="n"/>
      <c r="K1351" s="36">
        <f>IF(E1351&lt;&gt;"",E1351,IF(AND(F1351&lt;&gt;"",G1351&lt;&gt;""),MOD(G1351-F1351,1)*24,""))</f>
        <v/>
      </c>
      <c r="L1351" s="37">
        <f>IF(A1351="","",CHOOSE(WEEKDAY(A1351,2),"Montag","Dienstag","Mittwoch","Donnerstag","Freitag","Samstag","Sonntag"))</f>
        <v/>
      </c>
      <c r="M1351" s="37">
        <f>IF(A1351="","",_xlfn.ISOWEEKNUM(A1351))</f>
        <v/>
      </c>
      <c r="N1351" s="38">
        <f>IF(A1351="","",DATE(YEAR(A1351),MONTH(A1351),1))</f>
        <v/>
      </c>
    </row>
    <row r="1352">
      <c r="A1352" s="31" t="n"/>
      <c r="B1352" s="32" t="n"/>
      <c r="C1352" s="32" t="n"/>
      <c r="D1352" s="33" t="n"/>
      <c r="E1352" s="34" t="n"/>
      <c r="F1352" s="35" t="n"/>
      <c r="G1352" s="35" t="n"/>
      <c r="H1352" s="32" t="n"/>
      <c r="I1352" s="32" t="n"/>
      <c r="J1352" s="32" t="n"/>
      <c r="K1352" s="36">
        <f>IF(E1352&lt;&gt;"",E1352,IF(AND(F1352&lt;&gt;"",G1352&lt;&gt;""),MOD(G1352-F1352,1)*24,""))</f>
        <v/>
      </c>
      <c r="L1352" s="37">
        <f>IF(A1352="","",CHOOSE(WEEKDAY(A1352,2),"Montag","Dienstag","Mittwoch","Donnerstag","Freitag","Samstag","Sonntag"))</f>
        <v/>
      </c>
      <c r="M1352" s="37">
        <f>IF(A1352="","",_xlfn.ISOWEEKNUM(A1352))</f>
        <v/>
      </c>
      <c r="N1352" s="38">
        <f>IF(A1352="","",DATE(YEAR(A1352),MONTH(A1352),1))</f>
        <v/>
      </c>
    </row>
    <row r="1353">
      <c r="A1353" s="31" t="n"/>
      <c r="B1353" s="32" t="n"/>
      <c r="C1353" s="32" t="n"/>
      <c r="D1353" s="33" t="n"/>
      <c r="E1353" s="34" t="n"/>
      <c r="F1353" s="35" t="n"/>
      <c r="G1353" s="35" t="n"/>
      <c r="H1353" s="32" t="n"/>
      <c r="I1353" s="32" t="n"/>
      <c r="J1353" s="32" t="n"/>
      <c r="K1353" s="36">
        <f>IF(E1353&lt;&gt;"",E1353,IF(AND(F1353&lt;&gt;"",G1353&lt;&gt;""),MOD(G1353-F1353,1)*24,""))</f>
        <v/>
      </c>
      <c r="L1353" s="37">
        <f>IF(A1353="","",CHOOSE(WEEKDAY(A1353,2),"Montag","Dienstag","Mittwoch","Donnerstag","Freitag","Samstag","Sonntag"))</f>
        <v/>
      </c>
      <c r="M1353" s="37">
        <f>IF(A1353="","",_xlfn.ISOWEEKNUM(A1353))</f>
        <v/>
      </c>
      <c r="N1353" s="38">
        <f>IF(A1353="","",DATE(YEAR(A1353),MONTH(A1353),1))</f>
        <v/>
      </c>
    </row>
    <row r="1354">
      <c r="A1354" s="31" t="n"/>
      <c r="B1354" s="32" t="n"/>
      <c r="C1354" s="32" t="n"/>
      <c r="D1354" s="33" t="n"/>
      <c r="E1354" s="34" t="n"/>
      <c r="F1354" s="35" t="n"/>
      <c r="G1354" s="35" t="n"/>
      <c r="H1354" s="32" t="n"/>
      <c r="I1354" s="32" t="n"/>
      <c r="J1354" s="32" t="n"/>
      <c r="K1354" s="36">
        <f>IF(E1354&lt;&gt;"",E1354,IF(AND(F1354&lt;&gt;"",G1354&lt;&gt;""),MOD(G1354-F1354,1)*24,""))</f>
        <v/>
      </c>
      <c r="L1354" s="37">
        <f>IF(A1354="","",CHOOSE(WEEKDAY(A1354,2),"Montag","Dienstag","Mittwoch","Donnerstag","Freitag","Samstag","Sonntag"))</f>
        <v/>
      </c>
      <c r="M1354" s="37">
        <f>IF(A1354="","",_xlfn.ISOWEEKNUM(A1354))</f>
        <v/>
      </c>
      <c r="N1354" s="38">
        <f>IF(A1354="","",DATE(YEAR(A1354),MONTH(A1354),1))</f>
        <v/>
      </c>
    </row>
    <row r="1355">
      <c r="A1355" s="31" t="n"/>
      <c r="B1355" s="32" t="n"/>
      <c r="C1355" s="32" t="n"/>
      <c r="D1355" s="33" t="n"/>
      <c r="E1355" s="34" t="n"/>
      <c r="F1355" s="35" t="n"/>
      <c r="G1355" s="35" t="n"/>
      <c r="H1355" s="32" t="n"/>
      <c r="I1355" s="32" t="n"/>
      <c r="J1355" s="32" t="n"/>
      <c r="K1355" s="36">
        <f>IF(E1355&lt;&gt;"",E1355,IF(AND(F1355&lt;&gt;"",G1355&lt;&gt;""),MOD(G1355-F1355,1)*24,""))</f>
        <v/>
      </c>
      <c r="L1355" s="37">
        <f>IF(A1355="","",CHOOSE(WEEKDAY(A1355,2),"Montag","Dienstag","Mittwoch","Donnerstag","Freitag","Samstag","Sonntag"))</f>
        <v/>
      </c>
      <c r="M1355" s="37">
        <f>IF(A1355="","",_xlfn.ISOWEEKNUM(A1355))</f>
        <v/>
      </c>
      <c r="N1355" s="38">
        <f>IF(A1355="","",DATE(YEAR(A1355),MONTH(A1355),1))</f>
        <v/>
      </c>
    </row>
    <row r="1356">
      <c r="A1356" s="31" t="n"/>
      <c r="B1356" s="32" t="n"/>
      <c r="C1356" s="32" t="n"/>
      <c r="D1356" s="33" t="n"/>
      <c r="E1356" s="34" t="n"/>
      <c r="F1356" s="35" t="n"/>
      <c r="G1356" s="35" t="n"/>
      <c r="H1356" s="32" t="n"/>
      <c r="I1356" s="32" t="n"/>
      <c r="J1356" s="32" t="n"/>
      <c r="K1356" s="36">
        <f>IF(E1356&lt;&gt;"",E1356,IF(AND(F1356&lt;&gt;"",G1356&lt;&gt;""),MOD(G1356-F1356,1)*24,""))</f>
        <v/>
      </c>
      <c r="L1356" s="37">
        <f>IF(A1356="","",CHOOSE(WEEKDAY(A1356,2),"Montag","Dienstag","Mittwoch","Donnerstag","Freitag","Samstag","Sonntag"))</f>
        <v/>
      </c>
      <c r="M1356" s="37">
        <f>IF(A1356="","",_xlfn.ISOWEEKNUM(A1356))</f>
        <v/>
      </c>
      <c r="N1356" s="38">
        <f>IF(A1356="","",DATE(YEAR(A1356),MONTH(A1356),1))</f>
        <v/>
      </c>
    </row>
    <row r="1357">
      <c r="A1357" s="31" t="n"/>
      <c r="B1357" s="32" t="n"/>
      <c r="C1357" s="32" t="n"/>
      <c r="D1357" s="33" t="n"/>
      <c r="E1357" s="34" t="n"/>
      <c r="F1357" s="35" t="n"/>
      <c r="G1357" s="35" t="n"/>
      <c r="H1357" s="32" t="n"/>
      <c r="I1357" s="32" t="n"/>
      <c r="J1357" s="32" t="n"/>
      <c r="K1357" s="36">
        <f>IF(E1357&lt;&gt;"",E1357,IF(AND(F1357&lt;&gt;"",G1357&lt;&gt;""),MOD(G1357-F1357,1)*24,""))</f>
        <v/>
      </c>
      <c r="L1357" s="37">
        <f>IF(A1357="","",CHOOSE(WEEKDAY(A1357,2),"Montag","Dienstag","Mittwoch","Donnerstag","Freitag","Samstag","Sonntag"))</f>
        <v/>
      </c>
      <c r="M1357" s="37">
        <f>IF(A1357="","",_xlfn.ISOWEEKNUM(A1357))</f>
        <v/>
      </c>
      <c r="N1357" s="38">
        <f>IF(A1357="","",DATE(YEAR(A1357),MONTH(A1357),1))</f>
        <v/>
      </c>
    </row>
    <row r="1358">
      <c r="A1358" s="31" t="n"/>
      <c r="B1358" s="32" t="n"/>
      <c r="C1358" s="32" t="n"/>
      <c r="D1358" s="33" t="n"/>
      <c r="E1358" s="34" t="n"/>
      <c r="F1358" s="35" t="n"/>
      <c r="G1358" s="35" t="n"/>
      <c r="H1358" s="32" t="n"/>
      <c r="I1358" s="32" t="n"/>
      <c r="J1358" s="32" t="n"/>
      <c r="K1358" s="36">
        <f>IF(E1358&lt;&gt;"",E1358,IF(AND(F1358&lt;&gt;"",G1358&lt;&gt;""),MOD(G1358-F1358,1)*24,""))</f>
        <v/>
      </c>
      <c r="L1358" s="37">
        <f>IF(A1358="","",CHOOSE(WEEKDAY(A1358,2),"Montag","Dienstag","Mittwoch","Donnerstag","Freitag","Samstag","Sonntag"))</f>
        <v/>
      </c>
      <c r="M1358" s="37">
        <f>IF(A1358="","",_xlfn.ISOWEEKNUM(A1358))</f>
        <v/>
      </c>
      <c r="N1358" s="38">
        <f>IF(A1358="","",DATE(YEAR(A1358),MONTH(A1358),1))</f>
        <v/>
      </c>
    </row>
    <row r="1359">
      <c r="A1359" s="31" t="n"/>
      <c r="B1359" s="32" t="n"/>
      <c r="C1359" s="32" t="n"/>
      <c r="D1359" s="33" t="n"/>
      <c r="E1359" s="34" t="n"/>
      <c r="F1359" s="35" t="n"/>
      <c r="G1359" s="35" t="n"/>
      <c r="H1359" s="32" t="n"/>
      <c r="I1359" s="32" t="n"/>
      <c r="J1359" s="32" t="n"/>
      <c r="K1359" s="36">
        <f>IF(E1359&lt;&gt;"",E1359,IF(AND(F1359&lt;&gt;"",G1359&lt;&gt;""),MOD(G1359-F1359,1)*24,""))</f>
        <v/>
      </c>
      <c r="L1359" s="37">
        <f>IF(A1359="","",CHOOSE(WEEKDAY(A1359,2),"Montag","Dienstag","Mittwoch","Donnerstag","Freitag","Samstag","Sonntag"))</f>
        <v/>
      </c>
      <c r="M1359" s="37">
        <f>IF(A1359="","",_xlfn.ISOWEEKNUM(A1359))</f>
        <v/>
      </c>
      <c r="N1359" s="38">
        <f>IF(A1359="","",DATE(YEAR(A1359),MONTH(A1359),1))</f>
        <v/>
      </c>
    </row>
    <row r="1360">
      <c r="A1360" s="31" t="n"/>
      <c r="B1360" s="32" t="n"/>
      <c r="C1360" s="32" t="n"/>
      <c r="D1360" s="33" t="n"/>
      <c r="E1360" s="34" t="n"/>
      <c r="F1360" s="35" t="n"/>
      <c r="G1360" s="35" t="n"/>
      <c r="H1360" s="32" t="n"/>
      <c r="I1360" s="32" t="n"/>
      <c r="J1360" s="32" t="n"/>
      <c r="K1360" s="36">
        <f>IF(E1360&lt;&gt;"",E1360,IF(AND(F1360&lt;&gt;"",G1360&lt;&gt;""),MOD(G1360-F1360,1)*24,""))</f>
        <v/>
      </c>
      <c r="L1360" s="37">
        <f>IF(A1360="","",CHOOSE(WEEKDAY(A1360,2),"Montag","Dienstag","Mittwoch","Donnerstag","Freitag","Samstag","Sonntag"))</f>
        <v/>
      </c>
      <c r="M1360" s="37">
        <f>IF(A1360="","",_xlfn.ISOWEEKNUM(A1360))</f>
        <v/>
      </c>
      <c r="N1360" s="38">
        <f>IF(A1360="","",DATE(YEAR(A1360),MONTH(A1360),1))</f>
        <v/>
      </c>
    </row>
    <row r="1361">
      <c r="A1361" s="31" t="n"/>
      <c r="B1361" s="32" t="n"/>
      <c r="C1361" s="32" t="n"/>
      <c r="D1361" s="33" t="n"/>
      <c r="E1361" s="34" t="n"/>
      <c r="F1361" s="35" t="n"/>
      <c r="G1361" s="35" t="n"/>
      <c r="H1361" s="32" t="n"/>
      <c r="I1361" s="32" t="n"/>
      <c r="J1361" s="32" t="n"/>
      <c r="K1361" s="36">
        <f>IF(E1361&lt;&gt;"",E1361,IF(AND(F1361&lt;&gt;"",G1361&lt;&gt;""),MOD(G1361-F1361,1)*24,""))</f>
        <v/>
      </c>
      <c r="L1361" s="37">
        <f>IF(A1361="","",CHOOSE(WEEKDAY(A1361,2),"Montag","Dienstag","Mittwoch","Donnerstag","Freitag","Samstag","Sonntag"))</f>
        <v/>
      </c>
      <c r="M1361" s="37">
        <f>IF(A1361="","",_xlfn.ISOWEEKNUM(A1361))</f>
        <v/>
      </c>
      <c r="N1361" s="38">
        <f>IF(A1361="","",DATE(YEAR(A1361),MONTH(A1361),1))</f>
        <v/>
      </c>
    </row>
    <row r="1362">
      <c r="A1362" s="31" t="n"/>
      <c r="B1362" s="32" t="n"/>
      <c r="C1362" s="32" t="n"/>
      <c r="D1362" s="33" t="n"/>
      <c r="E1362" s="34" t="n"/>
      <c r="F1362" s="35" t="n"/>
      <c r="G1362" s="35" t="n"/>
      <c r="H1362" s="32" t="n"/>
      <c r="I1362" s="32" t="n"/>
      <c r="J1362" s="32" t="n"/>
      <c r="K1362" s="36">
        <f>IF(E1362&lt;&gt;"",E1362,IF(AND(F1362&lt;&gt;"",G1362&lt;&gt;""),MOD(G1362-F1362,1)*24,""))</f>
        <v/>
      </c>
      <c r="L1362" s="37">
        <f>IF(A1362="","",CHOOSE(WEEKDAY(A1362,2),"Montag","Dienstag","Mittwoch","Donnerstag","Freitag","Samstag","Sonntag"))</f>
        <v/>
      </c>
      <c r="M1362" s="37">
        <f>IF(A1362="","",_xlfn.ISOWEEKNUM(A1362))</f>
        <v/>
      </c>
      <c r="N1362" s="38">
        <f>IF(A1362="","",DATE(YEAR(A1362),MONTH(A1362),1))</f>
        <v/>
      </c>
    </row>
    <row r="1363">
      <c r="A1363" s="31" t="n"/>
      <c r="B1363" s="32" t="n"/>
      <c r="C1363" s="32" t="n"/>
      <c r="D1363" s="33" t="n"/>
      <c r="E1363" s="34" t="n"/>
      <c r="F1363" s="35" t="n"/>
      <c r="G1363" s="35" t="n"/>
      <c r="H1363" s="32" t="n"/>
      <c r="I1363" s="32" t="n"/>
      <c r="J1363" s="32" t="n"/>
      <c r="K1363" s="36">
        <f>IF(E1363&lt;&gt;"",E1363,IF(AND(F1363&lt;&gt;"",G1363&lt;&gt;""),MOD(G1363-F1363,1)*24,""))</f>
        <v/>
      </c>
      <c r="L1363" s="37">
        <f>IF(A1363="","",CHOOSE(WEEKDAY(A1363,2),"Montag","Dienstag","Mittwoch","Donnerstag","Freitag","Samstag","Sonntag"))</f>
        <v/>
      </c>
      <c r="M1363" s="37">
        <f>IF(A1363="","",_xlfn.ISOWEEKNUM(A1363))</f>
        <v/>
      </c>
      <c r="N1363" s="38">
        <f>IF(A1363="","",DATE(YEAR(A1363),MONTH(A1363),1))</f>
        <v/>
      </c>
    </row>
    <row r="1364">
      <c r="A1364" s="31" t="n"/>
      <c r="B1364" s="32" t="n"/>
      <c r="C1364" s="32" t="n"/>
      <c r="D1364" s="33" t="n"/>
      <c r="E1364" s="34" t="n"/>
      <c r="F1364" s="35" t="n"/>
      <c r="G1364" s="35" t="n"/>
      <c r="H1364" s="32" t="n"/>
      <c r="I1364" s="32" t="n"/>
      <c r="J1364" s="32" t="n"/>
      <c r="K1364" s="36">
        <f>IF(E1364&lt;&gt;"",E1364,IF(AND(F1364&lt;&gt;"",G1364&lt;&gt;""),MOD(G1364-F1364,1)*24,""))</f>
        <v/>
      </c>
      <c r="L1364" s="37">
        <f>IF(A1364="","",CHOOSE(WEEKDAY(A1364,2),"Montag","Dienstag","Mittwoch","Donnerstag","Freitag","Samstag","Sonntag"))</f>
        <v/>
      </c>
      <c r="M1364" s="37">
        <f>IF(A1364="","",_xlfn.ISOWEEKNUM(A1364))</f>
        <v/>
      </c>
      <c r="N1364" s="38">
        <f>IF(A1364="","",DATE(YEAR(A1364),MONTH(A1364),1))</f>
        <v/>
      </c>
    </row>
    <row r="1365">
      <c r="A1365" s="31" t="n"/>
      <c r="B1365" s="32" t="n"/>
      <c r="C1365" s="32" t="n"/>
      <c r="D1365" s="33" t="n"/>
      <c r="E1365" s="34" t="n"/>
      <c r="F1365" s="35" t="n"/>
      <c r="G1365" s="35" t="n"/>
      <c r="H1365" s="32" t="n"/>
      <c r="I1365" s="32" t="n"/>
      <c r="J1365" s="32" t="n"/>
      <c r="K1365" s="36">
        <f>IF(E1365&lt;&gt;"",E1365,IF(AND(F1365&lt;&gt;"",G1365&lt;&gt;""),MOD(G1365-F1365,1)*24,""))</f>
        <v/>
      </c>
      <c r="L1365" s="37">
        <f>IF(A1365="","",CHOOSE(WEEKDAY(A1365,2),"Montag","Dienstag","Mittwoch","Donnerstag","Freitag","Samstag","Sonntag"))</f>
        <v/>
      </c>
      <c r="M1365" s="37">
        <f>IF(A1365="","",_xlfn.ISOWEEKNUM(A1365))</f>
        <v/>
      </c>
      <c r="N1365" s="38">
        <f>IF(A1365="","",DATE(YEAR(A1365),MONTH(A1365),1))</f>
        <v/>
      </c>
    </row>
    <row r="1366">
      <c r="A1366" s="31" t="n"/>
      <c r="B1366" s="32" t="n"/>
      <c r="C1366" s="32" t="n"/>
      <c r="D1366" s="33" t="n"/>
      <c r="E1366" s="34" t="n"/>
      <c r="F1366" s="35" t="n"/>
      <c r="G1366" s="35" t="n"/>
      <c r="H1366" s="32" t="n"/>
      <c r="I1366" s="32" t="n"/>
      <c r="J1366" s="32" t="n"/>
      <c r="K1366" s="36">
        <f>IF(E1366&lt;&gt;"",E1366,IF(AND(F1366&lt;&gt;"",G1366&lt;&gt;""),MOD(G1366-F1366,1)*24,""))</f>
        <v/>
      </c>
      <c r="L1366" s="37">
        <f>IF(A1366="","",CHOOSE(WEEKDAY(A1366,2),"Montag","Dienstag","Mittwoch","Donnerstag","Freitag","Samstag","Sonntag"))</f>
        <v/>
      </c>
      <c r="M1366" s="37">
        <f>IF(A1366="","",_xlfn.ISOWEEKNUM(A1366))</f>
        <v/>
      </c>
      <c r="N1366" s="38">
        <f>IF(A1366="","",DATE(YEAR(A1366),MONTH(A1366),1))</f>
        <v/>
      </c>
    </row>
    <row r="1367">
      <c r="A1367" s="31" t="n"/>
      <c r="B1367" s="32" t="n"/>
      <c r="C1367" s="32" t="n"/>
      <c r="D1367" s="33" t="n"/>
      <c r="E1367" s="34" t="n"/>
      <c r="F1367" s="35" t="n"/>
      <c r="G1367" s="35" t="n"/>
      <c r="H1367" s="32" t="n"/>
      <c r="I1367" s="32" t="n"/>
      <c r="J1367" s="32" t="n"/>
      <c r="K1367" s="36">
        <f>IF(E1367&lt;&gt;"",E1367,IF(AND(F1367&lt;&gt;"",G1367&lt;&gt;""),MOD(G1367-F1367,1)*24,""))</f>
        <v/>
      </c>
      <c r="L1367" s="37">
        <f>IF(A1367="","",CHOOSE(WEEKDAY(A1367,2),"Montag","Dienstag","Mittwoch","Donnerstag","Freitag","Samstag","Sonntag"))</f>
        <v/>
      </c>
      <c r="M1367" s="37">
        <f>IF(A1367="","",_xlfn.ISOWEEKNUM(A1367))</f>
        <v/>
      </c>
      <c r="N1367" s="38">
        <f>IF(A1367="","",DATE(YEAR(A1367),MONTH(A1367),1))</f>
        <v/>
      </c>
    </row>
    <row r="1368">
      <c r="A1368" s="31" t="n"/>
      <c r="B1368" s="32" t="n"/>
      <c r="C1368" s="32" t="n"/>
      <c r="D1368" s="33" t="n"/>
      <c r="E1368" s="34" t="n"/>
      <c r="F1368" s="35" t="n"/>
      <c r="G1368" s="35" t="n"/>
      <c r="H1368" s="32" t="n"/>
      <c r="I1368" s="32" t="n"/>
      <c r="J1368" s="32" t="n"/>
      <c r="K1368" s="36">
        <f>IF(E1368&lt;&gt;"",E1368,IF(AND(F1368&lt;&gt;"",G1368&lt;&gt;""),MOD(G1368-F1368,1)*24,""))</f>
        <v/>
      </c>
      <c r="L1368" s="37">
        <f>IF(A1368="","",CHOOSE(WEEKDAY(A1368,2),"Montag","Dienstag","Mittwoch","Donnerstag","Freitag","Samstag","Sonntag"))</f>
        <v/>
      </c>
      <c r="M1368" s="37">
        <f>IF(A1368="","",_xlfn.ISOWEEKNUM(A1368))</f>
        <v/>
      </c>
      <c r="N1368" s="38">
        <f>IF(A1368="","",DATE(YEAR(A1368),MONTH(A1368),1))</f>
        <v/>
      </c>
    </row>
    <row r="1369">
      <c r="A1369" s="31" t="n"/>
      <c r="B1369" s="32" t="n"/>
      <c r="C1369" s="32" t="n"/>
      <c r="D1369" s="33" t="n"/>
      <c r="E1369" s="34" t="n"/>
      <c r="F1369" s="35" t="n"/>
      <c r="G1369" s="35" t="n"/>
      <c r="H1369" s="32" t="n"/>
      <c r="I1369" s="32" t="n"/>
      <c r="J1369" s="32" t="n"/>
      <c r="K1369" s="36">
        <f>IF(E1369&lt;&gt;"",E1369,IF(AND(F1369&lt;&gt;"",G1369&lt;&gt;""),MOD(G1369-F1369,1)*24,""))</f>
        <v/>
      </c>
      <c r="L1369" s="37">
        <f>IF(A1369="","",CHOOSE(WEEKDAY(A1369,2),"Montag","Dienstag","Mittwoch","Donnerstag","Freitag","Samstag","Sonntag"))</f>
        <v/>
      </c>
      <c r="M1369" s="37">
        <f>IF(A1369="","",_xlfn.ISOWEEKNUM(A1369))</f>
        <v/>
      </c>
      <c r="N1369" s="38">
        <f>IF(A1369="","",DATE(YEAR(A1369),MONTH(A1369),1))</f>
        <v/>
      </c>
    </row>
    <row r="1370">
      <c r="A1370" s="31" t="n"/>
      <c r="B1370" s="32" t="n"/>
      <c r="C1370" s="32" t="n"/>
      <c r="D1370" s="33" t="n"/>
      <c r="E1370" s="34" t="n"/>
      <c r="F1370" s="35" t="n"/>
      <c r="G1370" s="35" t="n"/>
      <c r="H1370" s="32" t="n"/>
      <c r="I1370" s="32" t="n"/>
      <c r="J1370" s="32" t="n"/>
      <c r="K1370" s="36">
        <f>IF(E1370&lt;&gt;"",E1370,IF(AND(F1370&lt;&gt;"",G1370&lt;&gt;""),MOD(G1370-F1370,1)*24,""))</f>
        <v/>
      </c>
      <c r="L1370" s="37">
        <f>IF(A1370="","",CHOOSE(WEEKDAY(A1370,2),"Montag","Dienstag","Mittwoch","Donnerstag","Freitag","Samstag","Sonntag"))</f>
        <v/>
      </c>
      <c r="M1370" s="37">
        <f>IF(A1370="","",_xlfn.ISOWEEKNUM(A1370))</f>
        <v/>
      </c>
      <c r="N1370" s="38">
        <f>IF(A1370="","",DATE(YEAR(A1370),MONTH(A1370),1))</f>
        <v/>
      </c>
    </row>
    <row r="1371">
      <c r="A1371" s="31" t="n"/>
      <c r="B1371" s="32" t="n"/>
      <c r="C1371" s="32" t="n"/>
      <c r="D1371" s="33" t="n"/>
      <c r="E1371" s="34" t="n"/>
      <c r="F1371" s="35" t="n"/>
      <c r="G1371" s="35" t="n"/>
      <c r="H1371" s="32" t="n"/>
      <c r="I1371" s="32" t="n"/>
      <c r="J1371" s="32" t="n"/>
      <c r="K1371" s="36">
        <f>IF(E1371&lt;&gt;"",E1371,IF(AND(F1371&lt;&gt;"",G1371&lt;&gt;""),MOD(G1371-F1371,1)*24,""))</f>
        <v/>
      </c>
      <c r="L1371" s="37">
        <f>IF(A1371="","",CHOOSE(WEEKDAY(A1371,2),"Montag","Dienstag","Mittwoch","Donnerstag","Freitag","Samstag","Sonntag"))</f>
        <v/>
      </c>
      <c r="M1371" s="37">
        <f>IF(A1371="","",_xlfn.ISOWEEKNUM(A1371))</f>
        <v/>
      </c>
      <c r="N1371" s="38">
        <f>IF(A1371="","",DATE(YEAR(A1371),MONTH(A1371),1))</f>
        <v/>
      </c>
    </row>
    <row r="1372">
      <c r="A1372" s="31" t="n"/>
      <c r="B1372" s="32" t="n"/>
      <c r="C1372" s="32" t="n"/>
      <c r="D1372" s="33" t="n"/>
      <c r="E1372" s="34" t="n"/>
      <c r="F1372" s="35" t="n"/>
      <c r="G1372" s="35" t="n"/>
      <c r="H1372" s="32" t="n"/>
      <c r="I1372" s="32" t="n"/>
      <c r="J1372" s="32" t="n"/>
      <c r="K1372" s="36">
        <f>IF(E1372&lt;&gt;"",E1372,IF(AND(F1372&lt;&gt;"",G1372&lt;&gt;""),MOD(G1372-F1372,1)*24,""))</f>
        <v/>
      </c>
      <c r="L1372" s="37">
        <f>IF(A1372="","",CHOOSE(WEEKDAY(A1372,2),"Montag","Dienstag","Mittwoch","Donnerstag","Freitag","Samstag","Sonntag"))</f>
        <v/>
      </c>
      <c r="M1372" s="37">
        <f>IF(A1372="","",_xlfn.ISOWEEKNUM(A1372))</f>
        <v/>
      </c>
      <c r="N1372" s="38">
        <f>IF(A1372="","",DATE(YEAR(A1372),MONTH(A1372),1))</f>
        <v/>
      </c>
    </row>
    <row r="1373">
      <c r="A1373" s="31" t="n"/>
      <c r="B1373" s="32" t="n"/>
      <c r="C1373" s="32" t="n"/>
      <c r="D1373" s="33" t="n"/>
      <c r="E1373" s="34" t="n"/>
      <c r="F1373" s="35" t="n"/>
      <c r="G1373" s="35" t="n"/>
      <c r="H1373" s="32" t="n"/>
      <c r="I1373" s="32" t="n"/>
      <c r="J1373" s="32" t="n"/>
      <c r="K1373" s="36">
        <f>IF(E1373&lt;&gt;"",E1373,IF(AND(F1373&lt;&gt;"",G1373&lt;&gt;""),MOD(G1373-F1373,1)*24,""))</f>
        <v/>
      </c>
      <c r="L1373" s="37">
        <f>IF(A1373="","",CHOOSE(WEEKDAY(A1373,2),"Montag","Dienstag","Mittwoch","Donnerstag","Freitag","Samstag","Sonntag"))</f>
        <v/>
      </c>
      <c r="M1373" s="37">
        <f>IF(A1373="","",_xlfn.ISOWEEKNUM(A1373))</f>
        <v/>
      </c>
      <c r="N1373" s="38">
        <f>IF(A1373="","",DATE(YEAR(A1373),MONTH(A1373),1))</f>
        <v/>
      </c>
    </row>
    <row r="1374">
      <c r="A1374" s="31" t="n"/>
      <c r="B1374" s="32" t="n"/>
      <c r="C1374" s="32" t="n"/>
      <c r="D1374" s="33" t="n"/>
      <c r="E1374" s="34" t="n"/>
      <c r="F1374" s="35" t="n"/>
      <c r="G1374" s="35" t="n"/>
      <c r="H1374" s="32" t="n"/>
      <c r="I1374" s="32" t="n"/>
      <c r="J1374" s="32" t="n"/>
      <c r="K1374" s="36">
        <f>IF(E1374&lt;&gt;"",E1374,IF(AND(F1374&lt;&gt;"",G1374&lt;&gt;""),MOD(G1374-F1374,1)*24,""))</f>
        <v/>
      </c>
      <c r="L1374" s="37">
        <f>IF(A1374="","",CHOOSE(WEEKDAY(A1374,2),"Montag","Dienstag","Mittwoch","Donnerstag","Freitag","Samstag","Sonntag"))</f>
        <v/>
      </c>
      <c r="M1374" s="37">
        <f>IF(A1374="","",_xlfn.ISOWEEKNUM(A1374))</f>
        <v/>
      </c>
      <c r="N1374" s="38">
        <f>IF(A1374="","",DATE(YEAR(A1374),MONTH(A1374),1))</f>
        <v/>
      </c>
    </row>
    <row r="1375">
      <c r="A1375" s="31" t="n"/>
      <c r="B1375" s="32" t="n"/>
      <c r="C1375" s="32" t="n"/>
      <c r="D1375" s="33" t="n"/>
      <c r="E1375" s="34" t="n"/>
      <c r="F1375" s="35" t="n"/>
      <c r="G1375" s="35" t="n"/>
      <c r="H1375" s="32" t="n"/>
      <c r="I1375" s="32" t="n"/>
      <c r="J1375" s="32" t="n"/>
      <c r="K1375" s="36">
        <f>IF(E1375&lt;&gt;"",E1375,IF(AND(F1375&lt;&gt;"",G1375&lt;&gt;""),MOD(G1375-F1375,1)*24,""))</f>
        <v/>
      </c>
      <c r="L1375" s="37">
        <f>IF(A1375="","",CHOOSE(WEEKDAY(A1375,2),"Montag","Dienstag","Mittwoch","Donnerstag","Freitag","Samstag","Sonntag"))</f>
        <v/>
      </c>
      <c r="M1375" s="37">
        <f>IF(A1375="","",_xlfn.ISOWEEKNUM(A1375))</f>
        <v/>
      </c>
      <c r="N1375" s="38">
        <f>IF(A1375="","",DATE(YEAR(A1375),MONTH(A1375),1))</f>
        <v/>
      </c>
    </row>
    <row r="1376">
      <c r="A1376" s="31" t="n"/>
      <c r="B1376" s="32" t="n"/>
      <c r="C1376" s="32" t="n"/>
      <c r="D1376" s="33" t="n"/>
      <c r="E1376" s="34" t="n"/>
      <c r="F1376" s="35" t="n"/>
      <c r="G1376" s="35" t="n"/>
      <c r="H1376" s="32" t="n"/>
      <c r="I1376" s="32" t="n"/>
      <c r="J1376" s="32" t="n"/>
      <c r="K1376" s="36">
        <f>IF(E1376&lt;&gt;"",E1376,IF(AND(F1376&lt;&gt;"",G1376&lt;&gt;""),MOD(G1376-F1376,1)*24,""))</f>
        <v/>
      </c>
      <c r="L1376" s="37">
        <f>IF(A1376="","",CHOOSE(WEEKDAY(A1376,2),"Montag","Dienstag","Mittwoch","Donnerstag","Freitag","Samstag","Sonntag"))</f>
        <v/>
      </c>
      <c r="M1376" s="37">
        <f>IF(A1376="","",_xlfn.ISOWEEKNUM(A1376))</f>
        <v/>
      </c>
      <c r="N1376" s="38">
        <f>IF(A1376="","",DATE(YEAR(A1376),MONTH(A1376),1))</f>
        <v/>
      </c>
    </row>
    <row r="1377">
      <c r="A1377" s="31" t="n"/>
      <c r="B1377" s="32" t="n"/>
      <c r="C1377" s="32" t="n"/>
      <c r="D1377" s="33" t="n"/>
      <c r="E1377" s="34" t="n"/>
      <c r="F1377" s="35" t="n"/>
      <c r="G1377" s="35" t="n"/>
      <c r="H1377" s="32" t="n"/>
      <c r="I1377" s="32" t="n"/>
      <c r="J1377" s="32" t="n"/>
      <c r="K1377" s="36">
        <f>IF(E1377&lt;&gt;"",E1377,IF(AND(F1377&lt;&gt;"",G1377&lt;&gt;""),MOD(G1377-F1377,1)*24,""))</f>
        <v/>
      </c>
      <c r="L1377" s="37">
        <f>IF(A1377="","",CHOOSE(WEEKDAY(A1377,2),"Montag","Dienstag","Mittwoch","Donnerstag","Freitag","Samstag","Sonntag"))</f>
        <v/>
      </c>
      <c r="M1377" s="37">
        <f>IF(A1377="","",_xlfn.ISOWEEKNUM(A1377))</f>
        <v/>
      </c>
      <c r="N1377" s="38">
        <f>IF(A1377="","",DATE(YEAR(A1377),MONTH(A1377),1))</f>
        <v/>
      </c>
    </row>
    <row r="1378">
      <c r="A1378" s="31" t="n"/>
      <c r="B1378" s="32" t="n"/>
      <c r="C1378" s="32" t="n"/>
      <c r="D1378" s="33" t="n"/>
      <c r="E1378" s="34" t="n"/>
      <c r="F1378" s="35" t="n"/>
      <c r="G1378" s="35" t="n"/>
      <c r="H1378" s="32" t="n"/>
      <c r="I1378" s="32" t="n"/>
      <c r="J1378" s="32" t="n"/>
      <c r="K1378" s="36">
        <f>IF(E1378&lt;&gt;"",E1378,IF(AND(F1378&lt;&gt;"",G1378&lt;&gt;""),MOD(G1378-F1378,1)*24,""))</f>
        <v/>
      </c>
      <c r="L1378" s="37">
        <f>IF(A1378="","",CHOOSE(WEEKDAY(A1378,2),"Montag","Dienstag","Mittwoch","Donnerstag","Freitag","Samstag","Sonntag"))</f>
        <v/>
      </c>
      <c r="M1378" s="37">
        <f>IF(A1378="","",_xlfn.ISOWEEKNUM(A1378))</f>
        <v/>
      </c>
      <c r="N1378" s="38">
        <f>IF(A1378="","",DATE(YEAR(A1378),MONTH(A1378),1))</f>
        <v/>
      </c>
    </row>
    <row r="1379">
      <c r="A1379" s="31" t="n"/>
      <c r="B1379" s="32" t="n"/>
      <c r="C1379" s="32" t="n"/>
      <c r="D1379" s="33" t="n"/>
      <c r="E1379" s="34" t="n"/>
      <c r="F1379" s="35" t="n"/>
      <c r="G1379" s="35" t="n"/>
      <c r="H1379" s="32" t="n"/>
      <c r="I1379" s="32" t="n"/>
      <c r="J1379" s="32" t="n"/>
      <c r="K1379" s="36">
        <f>IF(E1379&lt;&gt;"",E1379,IF(AND(F1379&lt;&gt;"",G1379&lt;&gt;""),MOD(G1379-F1379,1)*24,""))</f>
        <v/>
      </c>
      <c r="L1379" s="37">
        <f>IF(A1379="","",CHOOSE(WEEKDAY(A1379,2),"Montag","Dienstag","Mittwoch","Donnerstag","Freitag","Samstag","Sonntag"))</f>
        <v/>
      </c>
      <c r="M1379" s="37">
        <f>IF(A1379="","",_xlfn.ISOWEEKNUM(A1379))</f>
        <v/>
      </c>
      <c r="N1379" s="38">
        <f>IF(A1379="","",DATE(YEAR(A1379),MONTH(A1379),1))</f>
        <v/>
      </c>
    </row>
    <row r="1380">
      <c r="A1380" s="31" t="n"/>
      <c r="B1380" s="32" t="n"/>
      <c r="C1380" s="32" t="n"/>
      <c r="D1380" s="33" t="n"/>
      <c r="E1380" s="34" t="n"/>
      <c r="F1380" s="35" t="n"/>
      <c r="G1380" s="35" t="n"/>
      <c r="H1380" s="32" t="n"/>
      <c r="I1380" s="32" t="n"/>
      <c r="J1380" s="32" t="n"/>
      <c r="K1380" s="36">
        <f>IF(E1380&lt;&gt;"",E1380,IF(AND(F1380&lt;&gt;"",G1380&lt;&gt;""),MOD(G1380-F1380,1)*24,""))</f>
        <v/>
      </c>
      <c r="L1380" s="37">
        <f>IF(A1380="","",CHOOSE(WEEKDAY(A1380,2),"Montag","Dienstag","Mittwoch","Donnerstag","Freitag","Samstag","Sonntag"))</f>
        <v/>
      </c>
      <c r="M1380" s="37">
        <f>IF(A1380="","",_xlfn.ISOWEEKNUM(A1380))</f>
        <v/>
      </c>
      <c r="N1380" s="38">
        <f>IF(A1380="","",DATE(YEAR(A1380),MONTH(A1380),1))</f>
        <v/>
      </c>
    </row>
    <row r="1381">
      <c r="A1381" s="31" t="n"/>
      <c r="B1381" s="32" t="n"/>
      <c r="C1381" s="32" t="n"/>
      <c r="D1381" s="33" t="n"/>
      <c r="E1381" s="34" t="n"/>
      <c r="F1381" s="35" t="n"/>
      <c r="G1381" s="35" t="n"/>
      <c r="H1381" s="32" t="n"/>
      <c r="I1381" s="32" t="n"/>
      <c r="J1381" s="32" t="n"/>
      <c r="K1381" s="36">
        <f>IF(E1381&lt;&gt;"",E1381,IF(AND(F1381&lt;&gt;"",G1381&lt;&gt;""),MOD(G1381-F1381,1)*24,""))</f>
        <v/>
      </c>
      <c r="L1381" s="37">
        <f>IF(A1381="","",CHOOSE(WEEKDAY(A1381,2),"Montag","Dienstag","Mittwoch","Donnerstag","Freitag","Samstag","Sonntag"))</f>
        <v/>
      </c>
      <c r="M1381" s="37">
        <f>IF(A1381="","",_xlfn.ISOWEEKNUM(A1381))</f>
        <v/>
      </c>
      <c r="N1381" s="38">
        <f>IF(A1381="","",DATE(YEAR(A1381),MONTH(A1381),1))</f>
        <v/>
      </c>
    </row>
    <row r="1382">
      <c r="A1382" s="31" t="n"/>
      <c r="B1382" s="32" t="n"/>
      <c r="C1382" s="32" t="n"/>
      <c r="D1382" s="33" t="n"/>
      <c r="E1382" s="34" t="n"/>
      <c r="F1382" s="35" t="n"/>
      <c r="G1382" s="35" t="n"/>
      <c r="H1382" s="32" t="n"/>
      <c r="I1382" s="32" t="n"/>
      <c r="J1382" s="32" t="n"/>
      <c r="K1382" s="36">
        <f>IF(E1382&lt;&gt;"",E1382,IF(AND(F1382&lt;&gt;"",G1382&lt;&gt;""),MOD(G1382-F1382,1)*24,""))</f>
        <v/>
      </c>
      <c r="L1382" s="37">
        <f>IF(A1382="","",CHOOSE(WEEKDAY(A1382,2),"Montag","Dienstag","Mittwoch","Donnerstag","Freitag","Samstag","Sonntag"))</f>
        <v/>
      </c>
      <c r="M1382" s="37">
        <f>IF(A1382="","",_xlfn.ISOWEEKNUM(A1382))</f>
        <v/>
      </c>
      <c r="N1382" s="38">
        <f>IF(A1382="","",DATE(YEAR(A1382),MONTH(A1382),1))</f>
        <v/>
      </c>
    </row>
    <row r="1383">
      <c r="A1383" s="31" t="n"/>
      <c r="B1383" s="32" t="n"/>
      <c r="C1383" s="32" t="n"/>
      <c r="D1383" s="33" t="n"/>
      <c r="E1383" s="34" t="n"/>
      <c r="F1383" s="35" t="n"/>
      <c r="G1383" s="35" t="n"/>
      <c r="H1383" s="32" t="n"/>
      <c r="I1383" s="32" t="n"/>
      <c r="J1383" s="32" t="n"/>
      <c r="K1383" s="36">
        <f>IF(E1383&lt;&gt;"",E1383,IF(AND(F1383&lt;&gt;"",G1383&lt;&gt;""),MOD(G1383-F1383,1)*24,""))</f>
        <v/>
      </c>
      <c r="L1383" s="37">
        <f>IF(A1383="","",CHOOSE(WEEKDAY(A1383,2),"Montag","Dienstag","Mittwoch","Donnerstag","Freitag","Samstag","Sonntag"))</f>
        <v/>
      </c>
      <c r="M1383" s="37">
        <f>IF(A1383="","",_xlfn.ISOWEEKNUM(A1383))</f>
        <v/>
      </c>
      <c r="N1383" s="38">
        <f>IF(A1383="","",DATE(YEAR(A1383),MONTH(A1383),1))</f>
        <v/>
      </c>
    </row>
    <row r="1384">
      <c r="A1384" s="31" t="n"/>
      <c r="B1384" s="32" t="n"/>
      <c r="C1384" s="32" t="n"/>
      <c r="D1384" s="33" t="n"/>
      <c r="E1384" s="34" t="n"/>
      <c r="F1384" s="35" t="n"/>
      <c r="G1384" s="35" t="n"/>
      <c r="H1384" s="32" t="n"/>
      <c r="I1384" s="32" t="n"/>
      <c r="J1384" s="32" t="n"/>
      <c r="K1384" s="36">
        <f>IF(E1384&lt;&gt;"",E1384,IF(AND(F1384&lt;&gt;"",G1384&lt;&gt;""),MOD(G1384-F1384,1)*24,""))</f>
        <v/>
      </c>
      <c r="L1384" s="37">
        <f>IF(A1384="","",CHOOSE(WEEKDAY(A1384,2),"Montag","Dienstag","Mittwoch","Donnerstag","Freitag","Samstag","Sonntag"))</f>
        <v/>
      </c>
      <c r="M1384" s="37">
        <f>IF(A1384="","",_xlfn.ISOWEEKNUM(A1384))</f>
        <v/>
      </c>
      <c r="N1384" s="38">
        <f>IF(A1384="","",DATE(YEAR(A1384),MONTH(A1384),1))</f>
        <v/>
      </c>
    </row>
    <row r="1385">
      <c r="A1385" s="31" t="n"/>
      <c r="B1385" s="32" t="n"/>
      <c r="C1385" s="32" t="n"/>
      <c r="D1385" s="33" t="n"/>
      <c r="E1385" s="34" t="n"/>
      <c r="F1385" s="35" t="n"/>
      <c r="G1385" s="35" t="n"/>
      <c r="H1385" s="32" t="n"/>
      <c r="I1385" s="32" t="n"/>
      <c r="J1385" s="32" t="n"/>
      <c r="K1385" s="36">
        <f>IF(E1385&lt;&gt;"",E1385,IF(AND(F1385&lt;&gt;"",G1385&lt;&gt;""),MOD(G1385-F1385,1)*24,""))</f>
        <v/>
      </c>
      <c r="L1385" s="37">
        <f>IF(A1385="","",CHOOSE(WEEKDAY(A1385,2),"Montag","Dienstag","Mittwoch","Donnerstag","Freitag","Samstag","Sonntag"))</f>
        <v/>
      </c>
      <c r="M1385" s="37">
        <f>IF(A1385="","",_xlfn.ISOWEEKNUM(A1385))</f>
        <v/>
      </c>
      <c r="N1385" s="38">
        <f>IF(A1385="","",DATE(YEAR(A1385),MONTH(A1385),1))</f>
        <v/>
      </c>
    </row>
    <row r="1386">
      <c r="A1386" s="31" t="n"/>
      <c r="B1386" s="32" t="n"/>
      <c r="C1386" s="32" t="n"/>
      <c r="D1386" s="33" t="n"/>
      <c r="E1386" s="34" t="n"/>
      <c r="F1386" s="35" t="n"/>
      <c r="G1386" s="35" t="n"/>
      <c r="H1386" s="32" t="n"/>
      <c r="I1386" s="32" t="n"/>
      <c r="J1386" s="32" t="n"/>
      <c r="K1386" s="36">
        <f>IF(E1386&lt;&gt;"",E1386,IF(AND(F1386&lt;&gt;"",G1386&lt;&gt;""),MOD(G1386-F1386,1)*24,""))</f>
        <v/>
      </c>
      <c r="L1386" s="37">
        <f>IF(A1386="","",CHOOSE(WEEKDAY(A1386,2),"Montag","Dienstag","Mittwoch","Donnerstag","Freitag","Samstag","Sonntag"))</f>
        <v/>
      </c>
      <c r="M1386" s="37">
        <f>IF(A1386="","",_xlfn.ISOWEEKNUM(A1386))</f>
        <v/>
      </c>
      <c r="N1386" s="38">
        <f>IF(A1386="","",DATE(YEAR(A1386),MONTH(A1386),1))</f>
        <v/>
      </c>
    </row>
    <row r="1387">
      <c r="A1387" s="31" t="n"/>
      <c r="B1387" s="32" t="n"/>
      <c r="C1387" s="32" t="n"/>
      <c r="D1387" s="33" t="n"/>
      <c r="E1387" s="34" t="n"/>
      <c r="F1387" s="35" t="n"/>
      <c r="G1387" s="35" t="n"/>
      <c r="H1387" s="32" t="n"/>
      <c r="I1387" s="32" t="n"/>
      <c r="J1387" s="32" t="n"/>
      <c r="K1387" s="36">
        <f>IF(E1387&lt;&gt;"",E1387,IF(AND(F1387&lt;&gt;"",G1387&lt;&gt;""),MOD(G1387-F1387,1)*24,""))</f>
        <v/>
      </c>
      <c r="L1387" s="37">
        <f>IF(A1387="","",CHOOSE(WEEKDAY(A1387,2),"Montag","Dienstag","Mittwoch","Donnerstag","Freitag","Samstag","Sonntag"))</f>
        <v/>
      </c>
      <c r="M1387" s="37">
        <f>IF(A1387="","",_xlfn.ISOWEEKNUM(A1387))</f>
        <v/>
      </c>
      <c r="N1387" s="38">
        <f>IF(A1387="","",DATE(YEAR(A1387),MONTH(A1387),1))</f>
        <v/>
      </c>
    </row>
    <row r="1388">
      <c r="A1388" s="31" t="n"/>
      <c r="B1388" s="32" t="n"/>
      <c r="C1388" s="32" t="n"/>
      <c r="D1388" s="33" t="n"/>
      <c r="E1388" s="34" t="n"/>
      <c r="F1388" s="35" t="n"/>
      <c r="G1388" s="35" t="n"/>
      <c r="H1388" s="32" t="n"/>
      <c r="I1388" s="32" t="n"/>
      <c r="J1388" s="32" t="n"/>
      <c r="K1388" s="36">
        <f>IF(E1388&lt;&gt;"",E1388,IF(AND(F1388&lt;&gt;"",G1388&lt;&gt;""),MOD(G1388-F1388,1)*24,""))</f>
        <v/>
      </c>
      <c r="L1388" s="37">
        <f>IF(A1388="","",CHOOSE(WEEKDAY(A1388,2),"Montag","Dienstag","Mittwoch","Donnerstag","Freitag","Samstag","Sonntag"))</f>
        <v/>
      </c>
      <c r="M1388" s="37">
        <f>IF(A1388="","",_xlfn.ISOWEEKNUM(A1388))</f>
        <v/>
      </c>
      <c r="N1388" s="38">
        <f>IF(A1388="","",DATE(YEAR(A1388),MONTH(A1388),1))</f>
        <v/>
      </c>
    </row>
    <row r="1389">
      <c r="A1389" s="31" t="n"/>
      <c r="B1389" s="32" t="n"/>
      <c r="C1389" s="32" t="n"/>
      <c r="D1389" s="33" t="n"/>
      <c r="E1389" s="34" t="n"/>
      <c r="F1389" s="35" t="n"/>
      <c r="G1389" s="35" t="n"/>
      <c r="H1389" s="32" t="n"/>
      <c r="I1389" s="32" t="n"/>
      <c r="J1389" s="32" t="n"/>
      <c r="K1389" s="36">
        <f>IF(E1389&lt;&gt;"",E1389,IF(AND(F1389&lt;&gt;"",G1389&lt;&gt;""),MOD(G1389-F1389,1)*24,""))</f>
        <v/>
      </c>
      <c r="L1389" s="37">
        <f>IF(A1389="","",CHOOSE(WEEKDAY(A1389,2),"Montag","Dienstag","Mittwoch","Donnerstag","Freitag","Samstag","Sonntag"))</f>
        <v/>
      </c>
      <c r="M1389" s="37">
        <f>IF(A1389="","",_xlfn.ISOWEEKNUM(A1389))</f>
        <v/>
      </c>
      <c r="N1389" s="38">
        <f>IF(A1389="","",DATE(YEAR(A1389),MONTH(A1389),1))</f>
        <v/>
      </c>
    </row>
    <row r="1390">
      <c r="A1390" s="31" t="n"/>
      <c r="B1390" s="32" t="n"/>
      <c r="C1390" s="32" t="n"/>
      <c r="D1390" s="33" t="n"/>
      <c r="E1390" s="34" t="n"/>
      <c r="F1390" s="35" t="n"/>
      <c r="G1390" s="35" t="n"/>
      <c r="H1390" s="32" t="n"/>
      <c r="I1390" s="32" t="n"/>
      <c r="J1390" s="32" t="n"/>
      <c r="K1390" s="36">
        <f>IF(E1390&lt;&gt;"",E1390,IF(AND(F1390&lt;&gt;"",G1390&lt;&gt;""),MOD(G1390-F1390,1)*24,""))</f>
        <v/>
      </c>
      <c r="L1390" s="37">
        <f>IF(A1390="","",CHOOSE(WEEKDAY(A1390,2),"Montag","Dienstag","Mittwoch","Donnerstag","Freitag","Samstag","Sonntag"))</f>
        <v/>
      </c>
      <c r="M1390" s="37">
        <f>IF(A1390="","",_xlfn.ISOWEEKNUM(A1390))</f>
        <v/>
      </c>
      <c r="N1390" s="38">
        <f>IF(A1390="","",DATE(YEAR(A1390),MONTH(A1390),1))</f>
        <v/>
      </c>
    </row>
    <row r="1391">
      <c r="A1391" s="31" t="n"/>
      <c r="B1391" s="32" t="n"/>
      <c r="C1391" s="32" t="n"/>
      <c r="D1391" s="33" t="n"/>
      <c r="E1391" s="34" t="n"/>
      <c r="F1391" s="35" t="n"/>
      <c r="G1391" s="35" t="n"/>
      <c r="H1391" s="32" t="n"/>
      <c r="I1391" s="32" t="n"/>
      <c r="J1391" s="32" t="n"/>
      <c r="K1391" s="36">
        <f>IF(E1391&lt;&gt;"",E1391,IF(AND(F1391&lt;&gt;"",G1391&lt;&gt;""),MOD(G1391-F1391,1)*24,""))</f>
        <v/>
      </c>
      <c r="L1391" s="37">
        <f>IF(A1391="","",CHOOSE(WEEKDAY(A1391,2),"Montag","Dienstag","Mittwoch","Donnerstag","Freitag","Samstag","Sonntag"))</f>
        <v/>
      </c>
      <c r="M1391" s="37">
        <f>IF(A1391="","",_xlfn.ISOWEEKNUM(A1391))</f>
        <v/>
      </c>
      <c r="N1391" s="38">
        <f>IF(A1391="","",DATE(YEAR(A1391),MONTH(A1391),1))</f>
        <v/>
      </c>
    </row>
    <row r="1392">
      <c r="A1392" s="31" t="n"/>
      <c r="B1392" s="32" t="n"/>
      <c r="C1392" s="32" t="n"/>
      <c r="D1392" s="33" t="n"/>
      <c r="E1392" s="34" t="n"/>
      <c r="F1392" s="35" t="n"/>
      <c r="G1392" s="35" t="n"/>
      <c r="H1392" s="32" t="n"/>
      <c r="I1392" s="32" t="n"/>
      <c r="J1392" s="32" t="n"/>
      <c r="K1392" s="36">
        <f>IF(E1392&lt;&gt;"",E1392,IF(AND(F1392&lt;&gt;"",G1392&lt;&gt;""),MOD(G1392-F1392,1)*24,""))</f>
        <v/>
      </c>
      <c r="L1392" s="37">
        <f>IF(A1392="","",CHOOSE(WEEKDAY(A1392,2),"Montag","Dienstag","Mittwoch","Donnerstag","Freitag","Samstag","Sonntag"))</f>
        <v/>
      </c>
      <c r="M1392" s="37">
        <f>IF(A1392="","",_xlfn.ISOWEEKNUM(A1392))</f>
        <v/>
      </c>
      <c r="N1392" s="38">
        <f>IF(A1392="","",DATE(YEAR(A1392),MONTH(A1392),1))</f>
        <v/>
      </c>
    </row>
    <row r="1393">
      <c r="A1393" s="31" t="n"/>
      <c r="B1393" s="32" t="n"/>
      <c r="C1393" s="32" t="n"/>
      <c r="D1393" s="33" t="n"/>
      <c r="E1393" s="34" t="n"/>
      <c r="F1393" s="35" t="n"/>
      <c r="G1393" s="35" t="n"/>
      <c r="H1393" s="32" t="n"/>
      <c r="I1393" s="32" t="n"/>
      <c r="J1393" s="32" t="n"/>
      <c r="K1393" s="36">
        <f>IF(E1393&lt;&gt;"",E1393,IF(AND(F1393&lt;&gt;"",G1393&lt;&gt;""),MOD(G1393-F1393,1)*24,""))</f>
        <v/>
      </c>
      <c r="L1393" s="37">
        <f>IF(A1393="","",CHOOSE(WEEKDAY(A1393,2),"Montag","Dienstag","Mittwoch","Donnerstag","Freitag","Samstag","Sonntag"))</f>
        <v/>
      </c>
      <c r="M1393" s="37">
        <f>IF(A1393="","",_xlfn.ISOWEEKNUM(A1393))</f>
        <v/>
      </c>
      <c r="N1393" s="38">
        <f>IF(A1393="","",DATE(YEAR(A1393),MONTH(A1393),1))</f>
        <v/>
      </c>
    </row>
    <row r="1394">
      <c r="A1394" s="31" t="n"/>
      <c r="B1394" s="32" t="n"/>
      <c r="C1394" s="32" t="n"/>
      <c r="D1394" s="33" t="n"/>
      <c r="E1394" s="34" t="n"/>
      <c r="F1394" s="35" t="n"/>
      <c r="G1394" s="35" t="n"/>
      <c r="H1394" s="32" t="n"/>
      <c r="I1394" s="32" t="n"/>
      <c r="J1394" s="32" t="n"/>
      <c r="K1394" s="36">
        <f>IF(E1394&lt;&gt;"",E1394,IF(AND(F1394&lt;&gt;"",G1394&lt;&gt;""),MOD(G1394-F1394,1)*24,""))</f>
        <v/>
      </c>
      <c r="L1394" s="37">
        <f>IF(A1394="","",CHOOSE(WEEKDAY(A1394,2),"Montag","Dienstag","Mittwoch","Donnerstag","Freitag","Samstag","Sonntag"))</f>
        <v/>
      </c>
      <c r="M1394" s="37">
        <f>IF(A1394="","",_xlfn.ISOWEEKNUM(A1394))</f>
        <v/>
      </c>
      <c r="N1394" s="38">
        <f>IF(A1394="","",DATE(YEAR(A1394),MONTH(A1394),1))</f>
        <v/>
      </c>
    </row>
    <row r="1395">
      <c r="A1395" s="31" t="n"/>
      <c r="B1395" s="32" t="n"/>
      <c r="C1395" s="32" t="n"/>
      <c r="D1395" s="33" t="n"/>
      <c r="E1395" s="34" t="n"/>
      <c r="F1395" s="35" t="n"/>
      <c r="G1395" s="35" t="n"/>
      <c r="H1395" s="32" t="n"/>
      <c r="I1395" s="32" t="n"/>
      <c r="J1395" s="32" t="n"/>
      <c r="K1395" s="36">
        <f>IF(E1395&lt;&gt;"",E1395,IF(AND(F1395&lt;&gt;"",G1395&lt;&gt;""),MOD(G1395-F1395,1)*24,""))</f>
        <v/>
      </c>
      <c r="L1395" s="37">
        <f>IF(A1395="","",CHOOSE(WEEKDAY(A1395,2),"Montag","Dienstag","Mittwoch","Donnerstag","Freitag","Samstag","Sonntag"))</f>
        <v/>
      </c>
      <c r="M1395" s="37">
        <f>IF(A1395="","",_xlfn.ISOWEEKNUM(A1395))</f>
        <v/>
      </c>
      <c r="N1395" s="38">
        <f>IF(A1395="","",DATE(YEAR(A1395),MONTH(A1395),1))</f>
        <v/>
      </c>
    </row>
    <row r="1396">
      <c r="A1396" s="31" t="n"/>
      <c r="B1396" s="32" t="n"/>
      <c r="C1396" s="32" t="n"/>
      <c r="D1396" s="33" t="n"/>
      <c r="E1396" s="34" t="n"/>
      <c r="F1396" s="35" t="n"/>
      <c r="G1396" s="35" t="n"/>
      <c r="H1396" s="32" t="n"/>
      <c r="I1396" s="32" t="n"/>
      <c r="J1396" s="32" t="n"/>
      <c r="K1396" s="36">
        <f>IF(E1396&lt;&gt;"",E1396,IF(AND(F1396&lt;&gt;"",G1396&lt;&gt;""),MOD(G1396-F1396,1)*24,""))</f>
        <v/>
      </c>
      <c r="L1396" s="37">
        <f>IF(A1396="","",CHOOSE(WEEKDAY(A1396,2),"Montag","Dienstag","Mittwoch","Donnerstag","Freitag","Samstag","Sonntag"))</f>
        <v/>
      </c>
      <c r="M1396" s="37">
        <f>IF(A1396="","",_xlfn.ISOWEEKNUM(A1396))</f>
        <v/>
      </c>
      <c r="N1396" s="38">
        <f>IF(A1396="","",DATE(YEAR(A1396),MONTH(A1396),1))</f>
        <v/>
      </c>
    </row>
    <row r="1397">
      <c r="A1397" s="31" t="n"/>
      <c r="B1397" s="32" t="n"/>
      <c r="C1397" s="32" t="n"/>
      <c r="D1397" s="33" t="n"/>
      <c r="E1397" s="34" t="n"/>
      <c r="F1397" s="35" t="n"/>
      <c r="G1397" s="35" t="n"/>
      <c r="H1397" s="32" t="n"/>
      <c r="I1397" s="32" t="n"/>
      <c r="J1397" s="32" t="n"/>
      <c r="K1397" s="36">
        <f>IF(E1397&lt;&gt;"",E1397,IF(AND(F1397&lt;&gt;"",G1397&lt;&gt;""),MOD(G1397-F1397,1)*24,""))</f>
        <v/>
      </c>
      <c r="L1397" s="37">
        <f>IF(A1397="","",CHOOSE(WEEKDAY(A1397,2),"Montag","Dienstag","Mittwoch","Donnerstag","Freitag","Samstag","Sonntag"))</f>
        <v/>
      </c>
      <c r="M1397" s="37">
        <f>IF(A1397="","",_xlfn.ISOWEEKNUM(A1397))</f>
        <v/>
      </c>
      <c r="N1397" s="38">
        <f>IF(A1397="","",DATE(YEAR(A1397),MONTH(A1397),1))</f>
        <v/>
      </c>
    </row>
    <row r="1398">
      <c r="A1398" s="31" t="n"/>
      <c r="B1398" s="32" t="n"/>
      <c r="C1398" s="32" t="n"/>
      <c r="D1398" s="33" t="n"/>
      <c r="E1398" s="34" t="n"/>
      <c r="F1398" s="35" t="n"/>
      <c r="G1398" s="35" t="n"/>
      <c r="H1398" s="32" t="n"/>
      <c r="I1398" s="32" t="n"/>
      <c r="J1398" s="32" t="n"/>
      <c r="K1398" s="36">
        <f>IF(E1398&lt;&gt;"",E1398,IF(AND(F1398&lt;&gt;"",G1398&lt;&gt;""),MOD(G1398-F1398,1)*24,""))</f>
        <v/>
      </c>
      <c r="L1398" s="37">
        <f>IF(A1398="","",CHOOSE(WEEKDAY(A1398,2),"Montag","Dienstag","Mittwoch","Donnerstag","Freitag","Samstag","Sonntag"))</f>
        <v/>
      </c>
      <c r="M1398" s="37">
        <f>IF(A1398="","",_xlfn.ISOWEEKNUM(A1398))</f>
        <v/>
      </c>
      <c r="N1398" s="38">
        <f>IF(A1398="","",DATE(YEAR(A1398),MONTH(A1398),1))</f>
        <v/>
      </c>
    </row>
    <row r="1399">
      <c r="A1399" s="31" t="n"/>
      <c r="B1399" s="32" t="n"/>
      <c r="C1399" s="32" t="n"/>
      <c r="D1399" s="33" t="n"/>
      <c r="E1399" s="34" t="n"/>
      <c r="F1399" s="35" t="n"/>
      <c r="G1399" s="35" t="n"/>
      <c r="H1399" s="32" t="n"/>
      <c r="I1399" s="32" t="n"/>
      <c r="J1399" s="32" t="n"/>
      <c r="K1399" s="36">
        <f>IF(E1399&lt;&gt;"",E1399,IF(AND(F1399&lt;&gt;"",G1399&lt;&gt;""),MOD(G1399-F1399,1)*24,""))</f>
        <v/>
      </c>
      <c r="L1399" s="37">
        <f>IF(A1399="","",CHOOSE(WEEKDAY(A1399,2),"Montag","Dienstag","Mittwoch","Donnerstag","Freitag","Samstag","Sonntag"))</f>
        <v/>
      </c>
      <c r="M1399" s="37">
        <f>IF(A1399="","",_xlfn.ISOWEEKNUM(A1399))</f>
        <v/>
      </c>
      <c r="N1399" s="38">
        <f>IF(A1399="","",DATE(YEAR(A1399),MONTH(A1399),1))</f>
        <v/>
      </c>
    </row>
    <row r="1400">
      <c r="A1400" s="31" t="n"/>
      <c r="B1400" s="32" t="n"/>
      <c r="C1400" s="32" t="n"/>
      <c r="D1400" s="33" t="n"/>
      <c r="E1400" s="34" t="n"/>
      <c r="F1400" s="35" t="n"/>
      <c r="G1400" s="35" t="n"/>
      <c r="H1400" s="32" t="n"/>
      <c r="I1400" s="32" t="n"/>
      <c r="J1400" s="32" t="n"/>
      <c r="K1400" s="36">
        <f>IF(E1400&lt;&gt;"",E1400,IF(AND(F1400&lt;&gt;"",G1400&lt;&gt;""),MOD(G1400-F1400,1)*24,""))</f>
        <v/>
      </c>
      <c r="L1400" s="37">
        <f>IF(A1400="","",CHOOSE(WEEKDAY(A1400,2),"Montag","Dienstag","Mittwoch","Donnerstag","Freitag","Samstag","Sonntag"))</f>
        <v/>
      </c>
      <c r="M1400" s="37">
        <f>IF(A1400="","",_xlfn.ISOWEEKNUM(A1400))</f>
        <v/>
      </c>
      <c r="N1400" s="38">
        <f>IF(A1400="","",DATE(YEAR(A1400),MONTH(A1400),1))</f>
        <v/>
      </c>
    </row>
    <row r="1401">
      <c r="A1401" s="31" t="n"/>
      <c r="B1401" s="32" t="n"/>
      <c r="C1401" s="32" t="n"/>
      <c r="D1401" s="33" t="n"/>
      <c r="E1401" s="34" t="n"/>
      <c r="F1401" s="35" t="n"/>
      <c r="G1401" s="35" t="n"/>
      <c r="H1401" s="32" t="n"/>
      <c r="I1401" s="32" t="n"/>
      <c r="J1401" s="32" t="n"/>
      <c r="K1401" s="36">
        <f>IF(E1401&lt;&gt;"",E1401,IF(AND(F1401&lt;&gt;"",G1401&lt;&gt;""),MOD(G1401-F1401,1)*24,""))</f>
        <v/>
      </c>
      <c r="L1401" s="37">
        <f>IF(A1401="","",CHOOSE(WEEKDAY(A1401,2),"Montag","Dienstag","Mittwoch","Donnerstag","Freitag","Samstag","Sonntag"))</f>
        <v/>
      </c>
      <c r="M1401" s="37">
        <f>IF(A1401="","",_xlfn.ISOWEEKNUM(A1401))</f>
        <v/>
      </c>
      <c r="N1401" s="38">
        <f>IF(A1401="","",DATE(YEAR(A1401),MONTH(A1401),1))</f>
        <v/>
      </c>
    </row>
    <row r="1402">
      <c r="A1402" s="31" t="n"/>
      <c r="B1402" s="32" t="n"/>
      <c r="C1402" s="32" t="n"/>
      <c r="D1402" s="33" t="n"/>
      <c r="E1402" s="34" t="n"/>
      <c r="F1402" s="35" t="n"/>
      <c r="G1402" s="35" t="n"/>
      <c r="H1402" s="32" t="n"/>
      <c r="I1402" s="32" t="n"/>
      <c r="J1402" s="32" t="n"/>
      <c r="K1402" s="36">
        <f>IF(E1402&lt;&gt;"",E1402,IF(AND(F1402&lt;&gt;"",G1402&lt;&gt;""),MOD(G1402-F1402,1)*24,""))</f>
        <v/>
      </c>
      <c r="L1402" s="37">
        <f>IF(A1402="","",CHOOSE(WEEKDAY(A1402,2),"Montag","Dienstag","Mittwoch","Donnerstag","Freitag","Samstag","Sonntag"))</f>
        <v/>
      </c>
      <c r="M1402" s="37">
        <f>IF(A1402="","",_xlfn.ISOWEEKNUM(A1402))</f>
        <v/>
      </c>
      <c r="N1402" s="38">
        <f>IF(A1402="","",DATE(YEAR(A1402),MONTH(A1402),1))</f>
        <v/>
      </c>
    </row>
    <row r="1403">
      <c r="A1403" s="31" t="n"/>
      <c r="B1403" s="32" t="n"/>
      <c r="C1403" s="32" t="n"/>
      <c r="D1403" s="33" t="n"/>
      <c r="E1403" s="34" t="n"/>
      <c r="F1403" s="35" t="n"/>
      <c r="G1403" s="35" t="n"/>
      <c r="H1403" s="32" t="n"/>
      <c r="I1403" s="32" t="n"/>
      <c r="J1403" s="32" t="n"/>
      <c r="K1403" s="36">
        <f>IF(E1403&lt;&gt;"",E1403,IF(AND(F1403&lt;&gt;"",G1403&lt;&gt;""),MOD(G1403-F1403,1)*24,""))</f>
        <v/>
      </c>
      <c r="L1403" s="37">
        <f>IF(A1403="","",CHOOSE(WEEKDAY(A1403,2),"Montag","Dienstag","Mittwoch","Donnerstag","Freitag","Samstag","Sonntag"))</f>
        <v/>
      </c>
      <c r="M1403" s="37">
        <f>IF(A1403="","",_xlfn.ISOWEEKNUM(A1403))</f>
        <v/>
      </c>
      <c r="N1403" s="38">
        <f>IF(A1403="","",DATE(YEAR(A1403),MONTH(A1403),1))</f>
        <v/>
      </c>
    </row>
    <row r="1404">
      <c r="A1404" s="31" t="n"/>
      <c r="B1404" s="32" t="n"/>
      <c r="C1404" s="32" t="n"/>
      <c r="D1404" s="33" t="n"/>
      <c r="E1404" s="34" t="n"/>
      <c r="F1404" s="35" t="n"/>
      <c r="G1404" s="35" t="n"/>
      <c r="H1404" s="32" t="n"/>
      <c r="I1404" s="32" t="n"/>
      <c r="J1404" s="32" t="n"/>
      <c r="K1404" s="36">
        <f>IF(E1404&lt;&gt;"",E1404,IF(AND(F1404&lt;&gt;"",G1404&lt;&gt;""),MOD(G1404-F1404,1)*24,""))</f>
        <v/>
      </c>
      <c r="L1404" s="37">
        <f>IF(A1404="","",CHOOSE(WEEKDAY(A1404,2),"Montag","Dienstag","Mittwoch","Donnerstag","Freitag","Samstag","Sonntag"))</f>
        <v/>
      </c>
      <c r="M1404" s="37">
        <f>IF(A1404="","",_xlfn.ISOWEEKNUM(A1404))</f>
        <v/>
      </c>
      <c r="N1404" s="38">
        <f>IF(A1404="","",DATE(YEAR(A1404),MONTH(A1404),1))</f>
        <v/>
      </c>
    </row>
    <row r="1405">
      <c r="A1405" s="31" t="n"/>
      <c r="B1405" s="32" t="n"/>
      <c r="C1405" s="32" t="n"/>
      <c r="D1405" s="33" t="n"/>
      <c r="E1405" s="34" t="n"/>
      <c r="F1405" s="35" t="n"/>
      <c r="G1405" s="35" t="n"/>
      <c r="H1405" s="32" t="n"/>
      <c r="I1405" s="32" t="n"/>
      <c r="J1405" s="32" t="n"/>
      <c r="K1405" s="36">
        <f>IF(E1405&lt;&gt;"",E1405,IF(AND(F1405&lt;&gt;"",G1405&lt;&gt;""),MOD(G1405-F1405,1)*24,""))</f>
        <v/>
      </c>
      <c r="L1405" s="37">
        <f>IF(A1405="","",CHOOSE(WEEKDAY(A1405,2),"Montag","Dienstag","Mittwoch","Donnerstag","Freitag","Samstag","Sonntag"))</f>
        <v/>
      </c>
      <c r="M1405" s="37">
        <f>IF(A1405="","",_xlfn.ISOWEEKNUM(A1405))</f>
        <v/>
      </c>
      <c r="N1405" s="38">
        <f>IF(A1405="","",DATE(YEAR(A1405),MONTH(A1405),1))</f>
        <v/>
      </c>
    </row>
    <row r="1406">
      <c r="A1406" s="31" t="n"/>
      <c r="B1406" s="32" t="n"/>
      <c r="C1406" s="32" t="n"/>
      <c r="D1406" s="33" t="n"/>
      <c r="E1406" s="34" t="n"/>
      <c r="F1406" s="35" t="n"/>
      <c r="G1406" s="35" t="n"/>
      <c r="H1406" s="32" t="n"/>
      <c r="I1406" s="32" t="n"/>
      <c r="J1406" s="32" t="n"/>
      <c r="K1406" s="36">
        <f>IF(E1406&lt;&gt;"",E1406,IF(AND(F1406&lt;&gt;"",G1406&lt;&gt;""),MOD(G1406-F1406,1)*24,""))</f>
        <v/>
      </c>
      <c r="L1406" s="37">
        <f>IF(A1406="","",CHOOSE(WEEKDAY(A1406,2),"Montag","Dienstag","Mittwoch","Donnerstag","Freitag","Samstag","Sonntag"))</f>
        <v/>
      </c>
      <c r="M1406" s="37">
        <f>IF(A1406="","",_xlfn.ISOWEEKNUM(A1406))</f>
        <v/>
      </c>
      <c r="N1406" s="38">
        <f>IF(A1406="","",DATE(YEAR(A1406),MONTH(A1406),1))</f>
        <v/>
      </c>
    </row>
    <row r="1407">
      <c r="A1407" s="31" t="n"/>
      <c r="B1407" s="32" t="n"/>
      <c r="C1407" s="32" t="n"/>
      <c r="D1407" s="33" t="n"/>
      <c r="E1407" s="34" t="n"/>
      <c r="F1407" s="35" t="n"/>
      <c r="G1407" s="35" t="n"/>
      <c r="H1407" s="32" t="n"/>
      <c r="I1407" s="32" t="n"/>
      <c r="J1407" s="32" t="n"/>
      <c r="K1407" s="36">
        <f>IF(E1407&lt;&gt;"",E1407,IF(AND(F1407&lt;&gt;"",G1407&lt;&gt;""),MOD(G1407-F1407,1)*24,""))</f>
        <v/>
      </c>
      <c r="L1407" s="37">
        <f>IF(A1407="","",CHOOSE(WEEKDAY(A1407,2),"Montag","Dienstag","Mittwoch","Donnerstag","Freitag","Samstag","Sonntag"))</f>
        <v/>
      </c>
      <c r="M1407" s="37">
        <f>IF(A1407="","",_xlfn.ISOWEEKNUM(A1407))</f>
        <v/>
      </c>
      <c r="N1407" s="38">
        <f>IF(A1407="","",DATE(YEAR(A1407),MONTH(A1407),1))</f>
        <v/>
      </c>
    </row>
    <row r="1408">
      <c r="A1408" s="31" t="n"/>
      <c r="B1408" s="32" t="n"/>
      <c r="C1408" s="32" t="n"/>
      <c r="D1408" s="33" t="n"/>
      <c r="E1408" s="34" t="n"/>
      <c r="F1408" s="35" t="n"/>
      <c r="G1408" s="35" t="n"/>
      <c r="H1408" s="32" t="n"/>
      <c r="I1408" s="32" t="n"/>
      <c r="J1408" s="32" t="n"/>
      <c r="K1408" s="36">
        <f>IF(E1408&lt;&gt;"",E1408,IF(AND(F1408&lt;&gt;"",G1408&lt;&gt;""),MOD(G1408-F1408,1)*24,""))</f>
        <v/>
      </c>
      <c r="L1408" s="37">
        <f>IF(A1408="","",CHOOSE(WEEKDAY(A1408,2),"Montag","Dienstag","Mittwoch","Donnerstag","Freitag","Samstag","Sonntag"))</f>
        <v/>
      </c>
      <c r="M1408" s="37">
        <f>IF(A1408="","",_xlfn.ISOWEEKNUM(A1408))</f>
        <v/>
      </c>
      <c r="N1408" s="38">
        <f>IF(A1408="","",DATE(YEAR(A1408),MONTH(A1408),1))</f>
        <v/>
      </c>
    </row>
    <row r="1409">
      <c r="A1409" s="31" t="n"/>
      <c r="B1409" s="32" t="n"/>
      <c r="C1409" s="32" t="n"/>
      <c r="D1409" s="33" t="n"/>
      <c r="E1409" s="34" t="n"/>
      <c r="F1409" s="35" t="n"/>
      <c r="G1409" s="35" t="n"/>
      <c r="H1409" s="32" t="n"/>
      <c r="I1409" s="32" t="n"/>
      <c r="J1409" s="32" t="n"/>
      <c r="K1409" s="36">
        <f>IF(E1409&lt;&gt;"",E1409,IF(AND(F1409&lt;&gt;"",G1409&lt;&gt;""),MOD(G1409-F1409,1)*24,""))</f>
        <v/>
      </c>
      <c r="L1409" s="37">
        <f>IF(A1409="","",CHOOSE(WEEKDAY(A1409,2),"Montag","Dienstag","Mittwoch","Donnerstag","Freitag","Samstag","Sonntag"))</f>
        <v/>
      </c>
      <c r="M1409" s="37">
        <f>IF(A1409="","",_xlfn.ISOWEEKNUM(A1409))</f>
        <v/>
      </c>
      <c r="N1409" s="38">
        <f>IF(A1409="","",DATE(YEAR(A1409),MONTH(A1409),1))</f>
        <v/>
      </c>
    </row>
    <row r="1410">
      <c r="A1410" s="31" t="n"/>
      <c r="B1410" s="32" t="n"/>
      <c r="C1410" s="32" t="n"/>
      <c r="D1410" s="33" t="n"/>
      <c r="E1410" s="34" t="n"/>
      <c r="F1410" s="35" t="n"/>
      <c r="G1410" s="35" t="n"/>
      <c r="H1410" s="32" t="n"/>
      <c r="I1410" s="32" t="n"/>
      <c r="J1410" s="32" t="n"/>
      <c r="K1410" s="36">
        <f>IF(E1410&lt;&gt;"",E1410,IF(AND(F1410&lt;&gt;"",G1410&lt;&gt;""),MOD(G1410-F1410,1)*24,""))</f>
        <v/>
      </c>
      <c r="L1410" s="37">
        <f>IF(A1410="","",CHOOSE(WEEKDAY(A1410,2),"Montag","Dienstag","Mittwoch","Donnerstag","Freitag","Samstag","Sonntag"))</f>
        <v/>
      </c>
      <c r="M1410" s="37">
        <f>IF(A1410="","",_xlfn.ISOWEEKNUM(A1410))</f>
        <v/>
      </c>
      <c r="N1410" s="38">
        <f>IF(A1410="","",DATE(YEAR(A1410),MONTH(A1410),1))</f>
        <v/>
      </c>
    </row>
    <row r="1411">
      <c r="A1411" s="31" t="n"/>
      <c r="B1411" s="32" t="n"/>
      <c r="C1411" s="32" t="n"/>
      <c r="D1411" s="33" t="n"/>
      <c r="E1411" s="34" t="n"/>
      <c r="F1411" s="35" t="n"/>
      <c r="G1411" s="35" t="n"/>
      <c r="H1411" s="32" t="n"/>
      <c r="I1411" s="32" t="n"/>
      <c r="J1411" s="32" t="n"/>
      <c r="K1411" s="36">
        <f>IF(E1411&lt;&gt;"",E1411,IF(AND(F1411&lt;&gt;"",G1411&lt;&gt;""),MOD(G1411-F1411,1)*24,""))</f>
        <v/>
      </c>
      <c r="L1411" s="37">
        <f>IF(A1411="","",CHOOSE(WEEKDAY(A1411,2),"Montag","Dienstag","Mittwoch","Donnerstag","Freitag","Samstag","Sonntag"))</f>
        <v/>
      </c>
      <c r="M1411" s="37">
        <f>IF(A1411="","",_xlfn.ISOWEEKNUM(A1411))</f>
        <v/>
      </c>
      <c r="N1411" s="38">
        <f>IF(A1411="","",DATE(YEAR(A1411),MONTH(A1411),1))</f>
        <v/>
      </c>
    </row>
    <row r="1412">
      <c r="A1412" s="31" t="n"/>
      <c r="B1412" s="32" t="n"/>
      <c r="C1412" s="32" t="n"/>
      <c r="D1412" s="33" t="n"/>
      <c r="E1412" s="34" t="n"/>
      <c r="F1412" s="35" t="n"/>
      <c r="G1412" s="35" t="n"/>
      <c r="H1412" s="32" t="n"/>
      <c r="I1412" s="32" t="n"/>
      <c r="J1412" s="32" t="n"/>
      <c r="K1412" s="36">
        <f>IF(E1412&lt;&gt;"",E1412,IF(AND(F1412&lt;&gt;"",G1412&lt;&gt;""),MOD(G1412-F1412,1)*24,""))</f>
        <v/>
      </c>
      <c r="L1412" s="37">
        <f>IF(A1412="","",CHOOSE(WEEKDAY(A1412,2),"Montag","Dienstag","Mittwoch","Donnerstag","Freitag","Samstag","Sonntag"))</f>
        <v/>
      </c>
      <c r="M1412" s="37">
        <f>IF(A1412="","",_xlfn.ISOWEEKNUM(A1412))</f>
        <v/>
      </c>
      <c r="N1412" s="38">
        <f>IF(A1412="","",DATE(YEAR(A1412),MONTH(A1412),1))</f>
        <v/>
      </c>
    </row>
    <row r="1413">
      <c r="A1413" s="31" t="n"/>
      <c r="B1413" s="32" t="n"/>
      <c r="C1413" s="32" t="n"/>
      <c r="D1413" s="33" t="n"/>
      <c r="E1413" s="34" t="n"/>
      <c r="F1413" s="35" t="n"/>
      <c r="G1413" s="35" t="n"/>
      <c r="H1413" s="32" t="n"/>
      <c r="I1413" s="32" t="n"/>
      <c r="J1413" s="32" t="n"/>
      <c r="K1413" s="36">
        <f>IF(E1413&lt;&gt;"",E1413,IF(AND(F1413&lt;&gt;"",G1413&lt;&gt;""),MOD(G1413-F1413,1)*24,""))</f>
        <v/>
      </c>
      <c r="L1413" s="37">
        <f>IF(A1413="","",CHOOSE(WEEKDAY(A1413,2),"Montag","Dienstag","Mittwoch","Donnerstag","Freitag","Samstag","Sonntag"))</f>
        <v/>
      </c>
      <c r="M1413" s="37">
        <f>IF(A1413="","",_xlfn.ISOWEEKNUM(A1413))</f>
        <v/>
      </c>
      <c r="N1413" s="38">
        <f>IF(A1413="","",DATE(YEAR(A1413),MONTH(A1413),1))</f>
        <v/>
      </c>
    </row>
    <row r="1414">
      <c r="A1414" s="31" t="n"/>
      <c r="B1414" s="32" t="n"/>
      <c r="C1414" s="32" t="n"/>
      <c r="D1414" s="33" t="n"/>
      <c r="E1414" s="34" t="n"/>
      <c r="F1414" s="35" t="n"/>
      <c r="G1414" s="35" t="n"/>
      <c r="H1414" s="32" t="n"/>
      <c r="I1414" s="32" t="n"/>
      <c r="J1414" s="32" t="n"/>
      <c r="K1414" s="36">
        <f>IF(E1414&lt;&gt;"",E1414,IF(AND(F1414&lt;&gt;"",G1414&lt;&gt;""),MOD(G1414-F1414,1)*24,""))</f>
        <v/>
      </c>
      <c r="L1414" s="37">
        <f>IF(A1414="","",CHOOSE(WEEKDAY(A1414,2),"Montag","Dienstag","Mittwoch","Donnerstag","Freitag","Samstag","Sonntag"))</f>
        <v/>
      </c>
      <c r="M1414" s="37">
        <f>IF(A1414="","",_xlfn.ISOWEEKNUM(A1414))</f>
        <v/>
      </c>
      <c r="N1414" s="38">
        <f>IF(A1414="","",DATE(YEAR(A1414),MONTH(A1414),1))</f>
        <v/>
      </c>
    </row>
    <row r="1415">
      <c r="A1415" s="31" t="n"/>
      <c r="B1415" s="32" t="n"/>
      <c r="C1415" s="32" t="n"/>
      <c r="D1415" s="33" t="n"/>
      <c r="E1415" s="34" t="n"/>
      <c r="F1415" s="35" t="n"/>
      <c r="G1415" s="35" t="n"/>
      <c r="H1415" s="32" t="n"/>
      <c r="I1415" s="32" t="n"/>
      <c r="J1415" s="32" t="n"/>
      <c r="K1415" s="36">
        <f>IF(E1415&lt;&gt;"",E1415,IF(AND(F1415&lt;&gt;"",G1415&lt;&gt;""),MOD(G1415-F1415,1)*24,""))</f>
        <v/>
      </c>
      <c r="L1415" s="37">
        <f>IF(A1415="","",CHOOSE(WEEKDAY(A1415,2),"Montag","Dienstag","Mittwoch","Donnerstag","Freitag","Samstag","Sonntag"))</f>
        <v/>
      </c>
      <c r="M1415" s="37">
        <f>IF(A1415="","",_xlfn.ISOWEEKNUM(A1415))</f>
        <v/>
      </c>
      <c r="N1415" s="38">
        <f>IF(A1415="","",DATE(YEAR(A1415),MONTH(A1415),1))</f>
        <v/>
      </c>
    </row>
    <row r="1416">
      <c r="A1416" s="31" t="n"/>
      <c r="B1416" s="32" t="n"/>
      <c r="C1416" s="32" t="n"/>
      <c r="D1416" s="33" t="n"/>
      <c r="E1416" s="34" t="n"/>
      <c r="F1416" s="35" t="n"/>
      <c r="G1416" s="35" t="n"/>
      <c r="H1416" s="32" t="n"/>
      <c r="I1416" s="32" t="n"/>
      <c r="J1416" s="32" t="n"/>
      <c r="K1416" s="36">
        <f>IF(E1416&lt;&gt;"",E1416,IF(AND(F1416&lt;&gt;"",G1416&lt;&gt;""),MOD(G1416-F1416,1)*24,""))</f>
        <v/>
      </c>
      <c r="L1416" s="37">
        <f>IF(A1416="","",CHOOSE(WEEKDAY(A1416,2),"Montag","Dienstag","Mittwoch","Donnerstag","Freitag","Samstag","Sonntag"))</f>
        <v/>
      </c>
      <c r="M1416" s="37">
        <f>IF(A1416="","",_xlfn.ISOWEEKNUM(A1416))</f>
        <v/>
      </c>
      <c r="N1416" s="38">
        <f>IF(A1416="","",DATE(YEAR(A1416),MONTH(A1416),1))</f>
        <v/>
      </c>
    </row>
    <row r="1417">
      <c r="A1417" s="31" t="n"/>
      <c r="B1417" s="32" t="n"/>
      <c r="C1417" s="32" t="n"/>
      <c r="D1417" s="33" t="n"/>
      <c r="E1417" s="34" t="n"/>
      <c r="F1417" s="35" t="n"/>
      <c r="G1417" s="35" t="n"/>
      <c r="H1417" s="32" t="n"/>
      <c r="I1417" s="32" t="n"/>
      <c r="J1417" s="32" t="n"/>
      <c r="K1417" s="36">
        <f>IF(E1417&lt;&gt;"",E1417,IF(AND(F1417&lt;&gt;"",G1417&lt;&gt;""),MOD(G1417-F1417,1)*24,""))</f>
        <v/>
      </c>
      <c r="L1417" s="37">
        <f>IF(A1417="","",CHOOSE(WEEKDAY(A1417,2),"Montag","Dienstag","Mittwoch","Donnerstag","Freitag","Samstag","Sonntag"))</f>
        <v/>
      </c>
      <c r="M1417" s="37">
        <f>IF(A1417="","",_xlfn.ISOWEEKNUM(A1417))</f>
        <v/>
      </c>
      <c r="N1417" s="38">
        <f>IF(A1417="","",DATE(YEAR(A1417),MONTH(A1417),1))</f>
        <v/>
      </c>
    </row>
    <row r="1418">
      <c r="A1418" s="31" t="n"/>
      <c r="B1418" s="32" t="n"/>
      <c r="C1418" s="32" t="n"/>
      <c r="D1418" s="33" t="n"/>
      <c r="E1418" s="34" t="n"/>
      <c r="F1418" s="35" t="n"/>
      <c r="G1418" s="35" t="n"/>
      <c r="H1418" s="32" t="n"/>
      <c r="I1418" s="32" t="n"/>
      <c r="J1418" s="32" t="n"/>
      <c r="K1418" s="36">
        <f>IF(E1418&lt;&gt;"",E1418,IF(AND(F1418&lt;&gt;"",G1418&lt;&gt;""),MOD(G1418-F1418,1)*24,""))</f>
        <v/>
      </c>
      <c r="L1418" s="37">
        <f>IF(A1418="","",CHOOSE(WEEKDAY(A1418,2),"Montag","Dienstag","Mittwoch","Donnerstag","Freitag","Samstag","Sonntag"))</f>
        <v/>
      </c>
      <c r="M1418" s="37">
        <f>IF(A1418="","",_xlfn.ISOWEEKNUM(A1418))</f>
        <v/>
      </c>
      <c r="N1418" s="38">
        <f>IF(A1418="","",DATE(YEAR(A1418),MONTH(A1418),1))</f>
        <v/>
      </c>
    </row>
    <row r="1419">
      <c r="A1419" s="31" t="n"/>
      <c r="B1419" s="32" t="n"/>
      <c r="C1419" s="32" t="n"/>
      <c r="D1419" s="33" t="n"/>
      <c r="E1419" s="34" t="n"/>
      <c r="F1419" s="35" t="n"/>
      <c r="G1419" s="35" t="n"/>
      <c r="H1419" s="32" t="n"/>
      <c r="I1419" s="32" t="n"/>
      <c r="J1419" s="32" t="n"/>
      <c r="K1419" s="36">
        <f>IF(E1419&lt;&gt;"",E1419,IF(AND(F1419&lt;&gt;"",G1419&lt;&gt;""),MOD(G1419-F1419,1)*24,""))</f>
        <v/>
      </c>
      <c r="L1419" s="37">
        <f>IF(A1419="","",CHOOSE(WEEKDAY(A1419,2),"Montag","Dienstag","Mittwoch","Donnerstag","Freitag","Samstag","Sonntag"))</f>
        <v/>
      </c>
      <c r="M1419" s="37">
        <f>IF(A1419="","",_xlfn.ISOWEEKNUM(A1419))</f>
        <v/>
      </c>
      <c r="N1419" s="38">
        <f>IF(A1419="","",DATE(YEAR(A1419),MONTH(A1419),1))</f>
        <v/>
      </c>
    </row>
    <row r="1420">
      <c r="A1420" s="31" t="n"/>
      <c r="B1420" s="32" t="n"/>
      <c r="C1420" s="32" t="n"/>
      <c r="D1420" s="33" t="n"/>
      <c r="E1420" s="34" t="n"/>
      <c r="F1420" s="35" t="n"/>
      <c r="G1420" s="35" t="n"/>
      <c r="H1420" s="32" t="n"/>
      <c r="I1420" s="32" t="n"/>
      <c r="J1420" s="32" t="n"/>
      <c r="K1420" s="36">
        <f>IF(E1420&lt;&gt;"",E1420,IF(AND(F1420&lt;&gt;"",G1420&lt;&gt;""),MOD(G1420-F1420,1)*24,""))</f>
        <v/>
      </c>
      <c r="L1420" s="37">
        <f>IF(A1420="","",CHOOSE(WEEKDAY(A1420,2),"Montag","Dienstag","Mittwoch","Donnerstag","Freitag","Samstag","Sonntag"))</f>
        <v/>
      </c>
      <c r="M1420" s="37">
        <f>IF(A1420="","",_xlfn.ISOWEEKNUM(A1420))</f>
        <v/>
      </c>
      <c r="N1420" s="38">
        <f>IF(A1420="","",DATE(YEAR(A1420),MONTH(A1420),1))</f>
        <v/>
      </c>
    </row>
    <row r="1421">
      <c r="A1421" s="31" t="n"/>
      <c r="B1421" s="32" t="n"/>
      <c r="C1421" s="32" t="n"/>
      <c r="D1421" s="33" t="n"/>
      <c r="E1421" s="34" t="n"/>
      <c r="F1421" s="35" t="n"/>
      <c r="G1421" s="35" t="n"/>
      <c r="H1421" s="32" t="n"/>
      <c r="I1421" s="32" t="n"/>
      <c r="J1421" s="32" t="n"/>
      <c r="K1421" s="36">
        <f>IF(E1421&lt;&gt;"",E1421,IF(AND(F1421&lt;&gt;"",G1421&lt;&gt;""),MOD(G1421-F1421,1)*24,""))</f>
        <v/>
      </c>
      <c r="L1421" s="37">
        <f>IF(A1421="","",CHOOSE(WEEKDAY(A1421,2),"Montag","Dienstag","Mittwoch","Donnerstag","Freitag","Samstag","Sonntag"))</f>
        <v/>
      </c>
      <c r="M1421" s="37">
        <f>IF(A1421="","",_xlfn.ISOWEEKNUM(A1421))</f>
        <v/>
      </c>
      <c r="N1421" s="38">
        <f>IF(A1421="","",DATE(YEAR(A1421),MONTH(A1421),1))</f>
        <v/>
      </c>
    </row>
    <row r="1422">
      <c r="A1422" s="31" t="n"/>
      <c r="B1422" s="32" t="n"/>
      <c r="C1422" s="32" t="n"/>
      <c r="D1422" s="33" t="n"/>
      <c r="E1422" s="34" t="n"/>
      <c r="F1422" s="35" t="n"/>
      <c r="G1422" s="35" t="n"/>
      <c r="H1422" s="32" t="n"/>
      <c r="I1422" s="32" t="n"/>
      <c r="J1422" s="32" t="n"/>
      <c r="K1422" s="36">
        <f>IF(E1422&lt;&gt;"",E1422,IF(AND(F1422&lt;&gt;"",G1422&lt;&gt;""),MOD(G1422-F1422,1)*24,""))</f>
        <v/>
      </c>
      <c r="L1422" s="37">
        <f>IF(A1422="","",CHOOSE(WEEKDAY(A1422,2),"Montag","Dienstag","Mittwoch","Donnerstag","Freitag","Samstag","Sonntag"))</f>
        <v/>
      </c>
      <c r="M1422" s="37">
        <f>IF(A1422="","",_xlfn.ISOWEEKNUM(A1422))</f>
        <v/>
      </c>
      <c r="N1422" s="38">
        <f>IF(A1422="","",DATE(YEAR(A1422),MONTH(A1422),1))</f>
        <v/>
      </c>
    </row>
    <row r="1423">
      <c r="A1423" s="31" t="n"/>
      <c r="B1423" s="32" t="n"/>
      <c r="C1423" s="32" t="n"/>
      <c r="D1423" s="33" t="n"/>
      <c r="E1423" s="34" t="n"/>
      <c r="F1423" s="35" t="n"/>
      <c r="G1423" s="35" t="n"/>
      <c r="H1423" s="32" t="n"/>
      <c r="I1423" s="32" t="n"/>
      <c r="J1423" s="32" t="n"/>
      <c r="K1423" s="36">
        <f>IF(E1423&lt;&gt;"",E1423,IF(AND(F1423&lt;&gt;"",G1423&lt;&gt;""),MOD(G1423-F1423,1)*24,""))</f>
        <v/>
      </c>
      <c r="L1423" s="37">
        <f>IF(A1423="","",CHOOSE(WEEKDAY(A1423,2),"Montag","Dienstag","Mittwoch","Donnerstag","Freitag","Samstag","Sonntag"))</f>
        <v/>
      </c>
      <c r="M1423" s="37">
        <f>IF(A1423="","",_xlfn.ISOWEEKNUM(A1423))</f>
        <v/>
      </c>
      <c r="N1423" s="38">
        <f>IF(A1423="","",DATE(YEAR(A1423),MONTH(A1423),1))</f>
        <v/>
      </c>
    </row>
    <row r="1424">
      <c r="A1424" s="31" t="n"/>
      <c r="B1424" s="32" t="n"/>
      <c r="C1424" s="32" t="n"/>
      <c r="D1424" s="33" t="n"/>
      <c r="E1424" s="34" t="n"/>
      <c r="F1424" s="35" t="n"/>
      <c r="G1424" s="35" t="n"/>
      <c r="H1424" s="32" t="n"/>
      <c r="I1424" s="32" t="n"/>
      <c r="J1424" s="32" t="n"/>
      <c r="K1424" s="36">
        <f>IF(E1424&lt;&gt;"",E1424,IF(AND(F1424&lt;&gt;"",G1424&lt;&gt;""),MOD(G1424-F1424,1)*24,""))</f>
        <v/>
      </c>
      <c r="L1424" s="37">
        <f>IF(A1424="","",CHOOSE(WEEKDAY(A1424,2),"Montag","Dienstag","Mittwoch","Donnerstag","Freitag","Samstag","Sonntag"))</f>
        <v/>
      </c>
      <c r="M1424" s="37">
        <f>IF(A1424="","",_xlfn.ISOWEEKNUM(A1424))</f>
        <v/>
      </c>
      <c r="N1424" s="38">
        <f>IF(A1424="","",DATE(YEAR(A1424),MONTH(A1424),1))</f>
        <v/>
      </c>
    </row>
    <row r="1425">
      <c r="A1425" s="31" t="n"/>
      <c r="B1425" s="32" t="n"/>
      <c r="C1425" s="32" t="n"/>
      <c r="D1425" s="33" t="n"/>
      <c r="E1425" s="34" t="n"/>
      <c r="F1425" s="35" t="n"/>
      <c r="G1425" s="35" t="n"/>
      <c r="H1425" s="32" t="n"/>
      <c r="I1425" s="32" t="n"/>
      <c r="J1425" s="32" t="n"/>
      <c r="K1425" s="36">
        <f>IF(E1425&lt;&gt;"",E1425,IF(AND(F1425&lt;&gt;"",G1425&lt;&gt;""),MOD(G1425-F1425,1)*24,""))</f>
        <v/>
      </c>
      <c r="L1425" s="37">
        <f>IF(A1425="","",CHOOSE(WEEKDAY(A1425,2),"Montag","Dienstag","Mittwoch","Donnerstag","Freitag","Samstag","Sonntag"))</f>
        <v/>
      </c>
      <c r="M1425" s="37">
        <f>IF(A1425="","",_xlfn.ISOWEEKNUM(A1425))</f>
        <v/>
      </c>
      <c r="N1425" s="38">
        <f>IF(A1425="","",DATE(YEAR(A1425),MONTH(A1425),1))</f>
        <v/>
      </c>
    </row>
    <row r="1426">
      <c r="A1426" s="31" t="n"/>
      <c r="B1426" s="32" t="n"/>
      <c r="C1426" s="32" t="n"/>
      <c r="D1426" s="33" t="n"/>
      <c r="E1426" s="34" t="n"/>
      <c r="F1426" s="35" t="n"/>
      <c r="G1426" s="35" t="n"/>
      <c r="H1426" s="32" t="n"/>
      <c r="I1426" s="32" t="n"/>
      <c r="J1426" s="32" t="n"/>
      <c r="K1426" s="36">
        <f>IF(E1426&lt;&gt;"",E1426,IF(AND(F1426&lt;&gt;"",G1426&lt;&gt;""),MOD(G1426-F1426,1)*24,""))</f>
        <v/>
      </c>
      <c r="L1426" s="37">
        <f>IF(A1426="","",CHOOSE(WEEKDAY(A1426,2),"Montag","Dienstag","Mittwoch","Donnerstag","Freitag","Samstag","Sonntag"))</f>
        <v/>
      </c>
      <c r="M1426" s="37">
        <f>IF(A1426="","",_xlfn.ISOWEEKNUM(A1426))</f>
        <v/>
      </c>
      <c r="N1426" s="38">
        <f>IF(A1426="","",DATE(YEAR(A1426),MONTH(A1426),1))</f>
        <v/>
      </c>
    </row>
    <row r="1427">
      <c r="A1427" s="31" t="n"/>
      <c r="B1427" s="32" t="n"/>
      <c r="C1427" s="32" t="n"/>
      <c r="D1427" s="33" t="n"/>
      <c r="E1427" s="34" t="n"/>
      <c r="F1427" s="35" t="n"/>
      <c r="G1427" s="35" t="n"/>
      <c r="H1427" s="32" t="n"/>
      <c r="I1427" s="32" t="n"/>
      <c r="J1427" s="32" t="n"/>
      <c r="K1427" s="36">
        <f>IF(E1427&lt;&gt;"",E1427,IF(AND(F1427&lt;&gt;"",G1427&lt;&gt;""),MOD(G1427-F1427,1)*24,""))</f>
        <v/>
      </c>
      <c r="L1427" s="37">
        <f>IF(A1427="","",CHOOSE(WEEKDAY(A1427,2),"Montag","Dienstag","Mittwoch","Donnerstag","Freitag","Samstag","Sonntag"))</f>
        <v/>
      </c>
      <c r="M1427" s="37">
        <f>IF(A1427="","",_xlfn.ISOWEEKNUM(A1427))</f>
        <v/>
      </c>
      <c r="N1427" s="38">
        <f>IF(A1427="","",DATE(YEAR(A1427),MONTH(A1427),1))</f>
        <v/>
      </c>
    </row>
    <row r="1428">
      <c r="A1428" s="31" t="n"/>
      <c r="B1428" s="32" t="n"/>
      <c r="C1428" s="32" t="n"/>
      <c r="D1428" s="33" t="n"/>
      <c r="E1428" s="34" t="n"/>
      <c r="F1428" s="35" t="n"/>
      <c r="G1428" s="35" t="n"/>
      <c r="H1428" s="32" t="n"/>
      <c r="I1428" s="32" t="n"/>
      <c r="J1428" s="32" t="n"/>
      <c r="K1428" s="36">
        <f>IF(E1428&lt;&gt;"",E1428,IF(AND(F1428&lt;&gt;"",G1428&lt;&gt;""),MOD(G1428-F1428,1)*24,""))</f>
        <v/>
      </c>
      <c r="L1428" s="37">
        <f>IF(A1428="","",CHOOSE(WEEKDAY(A1428,2),"Montag","Dienstag","Mittwoch","Donnerstag","Freitag","Samstag","Sonntag"))</f>
        <v/>
      </c>
      <c r="M1428" s="37">
        <f>IF(A1428="","",_xlfn.ISOWEEKNUM(A1428))</f>
        <v/>
      </c>
      <c r="N1428" s="38">
        <f>IF(A1428="","",DATE(YEAR(A1428),MONTH(A1428),1))</f>
        <v/>
      </c>
    </row>
    <row r="1429">
      <c r="A1429" s="31" t="n"/>
      <c r="B1429" s="32" t="n"/>
      <c r="C1429" s="32" t="n"/>
      <c r="D1429" s="33" t="n"/>
      <c r="E1429" s="34" t="n"/>
      <c r="F1429" s="35" t="n"/>
      <c r="G1429" s="35" t="n"/>
      <c r="H1429" s="32" t="n"/>
      <c r="I1429" s="32" t="n"/>
      <c r="J1429" s="32" t="n"/>
      <c r="K1429" s="36">
        <f>IF(E1429&lt;&gt;"",E1429,IF(AND(F1429&lt;&gt;"",G1429&lt;&gt;""),MOD(G1429-F1429,1)*24,""))</f>
        <v/>
      </c>
      <c r="L1429" s="37">
        <f>IF(A1429="","",CHOOSE(WEEKDAY(A1429,2),"Montag","Dienstag","Mittwoch","Donnerstag","Freitag","Samstag","Sonntag"))</f>
        <v/>
      </c>
      <c r="M1429" s="37">
        <f>IF(A1429="","",_xlfn.ISOWEEKNUM(A1429))</f>
        <v/>
      </c>
      <c r="N1429" s="38">
        <f>IF(A1429="","",DATE(YEAR(A1429),MONTH(A1429),1))</f>
        <v/>
      </c>
    </row>
    <row r="1430">
      <c r="A1430" s="31" t="n"/>
      <c r="B1430" s="32" t="n"/>
      <c r="C1430" s="32" t="n"/>
      <c r="D1430" s="33" t="n"/>
      <c r="E1430" s="34" t="n"/>
      <c r="F1430" s="35" t="n"/>
      <c r="G1430" s="35" t="n"/>
      <c r="H1430" s="32" t="n"/>
      <c r="I1430" s="32" t="n"/>
      <c r="J1430" s="32" t="n"/>
      <c r="K1430" s="36">
        <f>IF(E1430&lt;&gt;"",E1430,IF(AND(F1430&lt;&gt;"",G1430&lt;&gt;""),MOD(G1430-F1430,1)*24,""))</f>
        <v/>
      </c>
      <c r="L1430" s="37">
        <f>IF(A1430="","",CHOOSE(WEEKDAY(A1430,2),"Montag","Dienstag","Mittwoch","Donnerstag","Freitag","Samstag","Sonntag"))</f>
        <v/>
      </c>
      <c r="M1430" s="37">
        <f>IF(A1430="","",_xlfn.ISOWEEKNUM(A1430))</f>
        <v/>
      </c>
      <c r="N1430" s="38">
        <f>IF(A1430="","",DATE(YEAR(A1430),MONTH(A1430),1))</f>
        <v/>
      </c>
    </row>
    <row r="1431">
      <c r="A1431" s="31" t="n"/>
      <c r="B1431" s="32" t="n"/>
      <c r="C1431" s="32" t="n"/>
      <c r="D1431" s="33" t="n"/>
      <c r="E1431" s="34" t="n"/>
      <c r="F1431" s="35" t="n"/>
      <c r="G1431" s="35" t="n"/>
      <c r="H1431" s="32" t="n"/>
      <c r="I1431" s="32" t="n"/>
      <c r="J1431" s="32" t="n"/>
      <c r="K1431" s="36">
        <f>IF(E1431&lt;&gt;"",E1431,IF(AND(F1431&lt;&gt;"",G1431&lt;&gt;""),MOD(G1431-F1431,1)*24,""))</f>
        <v/>
      </c>
      <c r="L1431" s="37">
        <f>IF(A1431="","",CHOOSE(WEEKDAY(A1431,2),"Montag","Dienstag","Mittwoch","Donnerstag","Freitag","Samstag","Sonntag"))</f>
        <v/>
      </c>
      <c r="M1431" s="37">
        <f>IF(A1431="","",_xlfn.ISOWEEKNUM(A1431))</f>
        <v/>
      </c>
      <c r="N1431" s="38">
        <f>IF(A1431="","",DATE(YEAR(A1431),MONTH(A1431),1))</f>
        <v/>
      </c>
    </row>
    <row r="1432">
      <c r="A1432" s="31" t="n"/>
      <c r="B1432" s="32" t="n"/>
      <c r="C1432" s="32" t="n"/>
      <c r="D1432" s="33" t="n"/>
      <c r="E1432" s="34" t="n"/>
      <c r="F1432" s="35" t="n"/>
      <c r="G1432" s="35" t="n"/>
      <c r="H1432" s="32" t="n"/>
      <c r="I1432" s="32" t="n"/>
      <c r="J1432" s="32" t="n"/>
      <c r="K1432" s="36">
        <f>IF(E1432&lt;&gt;"",E1432,IF(AND(F1432&lt;&gt;"",G1432&lt;&gt;""),MOD(G1432-F1432,1)*24,""))</f>
        <v/>
      </c>
      <c r="L1432" s="37">
        <f>IF(A1432="","",CHOOSE(WEEKDAY(A1432,2),"Montag","Dienstag","Mittwoch","Donnerstag","Freitag","Samstag","Sonntag"))</f>
        <v/>
      </c>
      <c r="M1432" s="37">
        <f>IF(A1432="","",_xlfn.ISOWEEKNUM(A1432))</f>
        <v/>
      </c>
      <c r="N1432" s="38">
        <f>IF(A1432="","",DATE(YEAR(A1432),MONTH(A1432),1))</f>
        <v/>
      </c>
    </row>
    <row r="1433">
      <c r="A1433" s="31" t="n"/>
      <c r="B1433" s="32" t="n"/>
      <c r="C1433" s="32" t="n"/>
      <c r="D1433" s="33" t="n"/>
      <c r="E1433" s="34" t="n"/>
      <c r="F1433" s="35" t="n"/>
      <c r="G1433" s="35" t="n"/>
      <c r="H1433" s="32" t="n"/>
      <c r="I1433" s="32" t="n"/>
      <c r="J1433" s="32" t="n"/>
      <c r="K1433" s="36">
        <f>IF(E1433&lt;&gt;"",E1433,IF(AND(F1433&lt;&gt;"",G1433&lt;&gt;""),MOD(G1433-F1433,1)*24,""))</f>
        <v/>
      </c>
      <c r="L1433" s="37">
        <f>IF(A1433="","",CHOOSE(WEEKDAY(A1433,2),"Montag","Dienstag","Mittwoch","Donnerstag","Freitag","Samstag","Sonntag"))</f>
        <v/>
      </c>
      <c r="M1433" s="37">
        <f>IF(A1433="","",_xlfn.ISOWEEKNUM(A1433))</f>
        <v/>
      </c>
      <c r="N1433" s="38">
        <f>IF(A1433="","",DATE(YEAR(A1433),MONTH(A1433),1))</f>
        <v/>
      </c>
    </row>
    <row r="1434">
      <c r="A1434" s="31" t="n"/>
      <c r="B1434" s="32" t="n"/>
      <c r="C1434" s="32" t="n"/>
      <c r="D1434" s="33" t="n"/>
      <c r="E1434" s="34" t="n"/>
      <c r="F1434" s="35" t="n"/>
      <c r="G1434" s="35" t="n"/>
      <c r="H1434" s="32" t="n"/>
      <c r="I1434" s="32" t="n"/>
      <c r="J1434" s="32" t="n"/>
      <c r="K1434" s="36">
        <f>IF(E1434&lt;&gt;"",E1434,IF(AND(F1434&lt;&gt;"",G1434&lt;&gt;""),MOD(G1434-F1434,1)*24,""))</f>
        <v/>
      </c>
      <c r="L1434" s="37">
        <f>IF(A1434="","",CHOOSE(WEEKDAY(A1434,2),"Montag","Dienstag","Mittwoch","Donnerstag","Freitag","Samstag","Sonntag"))</f>
        <v/>
      </c>
      <c r="M1434" s="37">
        <f>IF(A1434="","",_xlfn.ISOWEEKNUM(A1434))</f>
        <v/>
      </c>
      <c r="N1434" s="38">
        <f>IF(A1434="","",DATE(YEAR(A1434),MONTH(A1434),1))</f>
        <v/>
      </c>
    </row>
    <row r="1435">
      <c r="A1435" s="31" t="n"/>
      <c r="B1435" s="32" t="n"/>
      <c r="C1435" s="32" t="n"/>
      <c r="D1435" s="33" t="n"/>
      <c r="E1435" s="34" t="n"/>
      <c r="F1435" s="35" t="n"/>
      <c r="G1435" s="35" t="n"/>
      <c r="H1435" s="32" t="n"/>
      <c r="I1435" s="32" t="n"/>
      <c r="J1435" s="32" t="n"/>
      <c r="K1435" s="36">
        <f>IF(E1435&lt;&gt;"",E1435,IF(AND(F1435&lt;&gt;"",G1435&lt;&gt;""),MOD(G1435-F1435,1)*24,""))</f>
        <v/>
      </c>
      <c r="L1435" s="37">
        <f>IF(A1435="","",CHOOSE(WEEKDAY(A1435,2),"Montag","Dienstag","Mittwoch","Donnerstag","Freitag","Samstag","Sonntag"))</f>
        <v/>
      </c>
      <c r="M1435" s="37">
        <f>IF(A1435="","",_xlfn.ISOWEEKNUM(A1435))</f>
        <v/>
      </c>
      <c r="N1435" s="38">
        <f>IF(A1435="","",DATE(YEAR(A1435),MONTH(A1435),1))</f>
        <v/>
      </c>
    </row>
    <row r="1436">
      <c r="A1436" s="31" t="n"/>
      <c r="B1436" s="32" t="n"/>
      <c r="C1436" s="32" t="n"/>
      <c r="D1436" s="33" t="n"/>
      <c r="E1436" s="34" t="n"/>
      <c r="F1436" s="35" t="n"/>
      <c r="G1436" s="35" t="n"/>
      <c r="H1436" s="32" t="n"/>
      <c r="I1436" s="32" t="n"/>
      <c r="J1436" s="32" t="n"/>
      <c r="K1436" s="36">
        <f>IF(E1436&lt;&gt;"",E1436,IF(AND(F1436&lt;&gt;"",G1436&lt;&gt;""),MOD(G1436-F1436,1)*24,""))</f>
        <v/>
      </c>
      <c r="L1436" s="37">
        <f>IF(A1436="","",CHOOSE(WEEKDAY(A1436,2),"Montag","Dienstag","Mittwoch","Donnerstag","Freitag","Samstag","Sonntag"))</f>
        <v/>
      </c>
      <c r="M1436" s="37">
        <f>IF(A1436="","",_xlfn.ISOWEEKNUM(A1436))</f>
        <v/>
      </c>
      <c r="N1436" s="38">
        <f>IF(A1436="","",DATE(YEAR(A1436),MONTH(A1436),1))</f>
        <v/>
      </c>
    </row>
    <row r="1437">
      <c r="A1437" s="31" t="n"/>
      <c r="B1437" s="32" t="n"/>
      <c r="C1437" s="32" t="n"/>
      <c r="D1437" s="33" t="n"/>
      <c r="E1437" s="34" t="n"/>
      <c r="F1437" s="35" t="n"/>
      <c r="G1437" s="35" t="n"/>
      <c r="H1437" s="32" t="n"/>
      <c r="I1437" s="32" t="n"/>
      <c r="J1437" s="32" t="n"/>
      <c r="K1437" s="36">
        <f>IF(E1437&lt;&gt;"",E1437,IF(AND(F1437&lt;&gt;"",G1437&lt;&gt;""),MOD(G1437-F1437,1)*24,""))</f>
        <v/>
      </c>
      <c r="L1437" s="37">
        <f>IF(A1437="","",CHOOSE(WEEKDAY(A1437,2),"Montag","Dienstag","Mittwoch","Donnerstag","Freitag","Samstag","Sonntag"))</f>
        <v/>
      </c>
      <c r="M1437" s="37">
        <f>IF(A1437="","",_xlfn.ISOWEEKNUM(A1437))</f>
        <v/>
      </c>
      <c r="N1437" s="38">
        <f>IF(A1437="","",DATE(YEAR(A1437),MONTH(A1437),1))</f>
        <v/>
      </c>
    </row>
    <row r="1438">
      <c r="A1438" s="31" t="n"/>
      <c r="B1438" s="32" t="n"/>
      <c r="C1438" s="32" t="n"/>
      <c r="D1438" s="33" t="n"/>
      <c r="E1438" s="34" t="n"/>
      <c r="F1438" s="35" t="n"/>
      <c r="G1438" s="35" t="n"/>
      <c r="H1438" s="32" t="n"/>
      <c r="I1438" s="32" t="n"/>
      <c r="J1438" s="32" t="n"/>
      <c r="K1438" s="36">
        <f>IF(E1438&lt;&gt;"",E1438,IF(AND(F1438&lt;&gt;"",G1438&lt;&gt;""),MOD(G1438-F1438,1)*24,""))</f>
        <v/>
      </c>
      <c r="L1438" s="37">
        <f>IF(A1438="","",CHOOSE(WEEKDAY(A1438,2),"Montag","Dienstag","Mittwoch","Donnerstag","Freitag","Samstag","Sonntag"))</f>
        <v/>
      </c>
      <c r="M1438" s="37">
        <f>IF(A1438="","",_xlfn.ISOWEEKNUM(A1438))</f>
        <v/>
      </c>
      <c r="N1438" s="38">
        <f>IF(A1438="","",DATE(YEAR(A1438),MONTH(A1438),1))</f>
        <v/>
      </c>
    </row>
    <row r="1439">
      <c r="A1439" s="31" t="n"/>
      <c r="B1439" s="32" t="n"/>
      <c r="C1439" s="32" t="n"/>
      <c r="D1439" s="33" t="n"/>
      <c r="E1439" s="34" t="n"/>
      <c r="F1439" s="35" t="n"/>
      <c r="G1439" s="35" t="n"/>
      <c r="H1439" s="32" t="n"/>
      <c r="I1439" s="32" t="n"/>
      <c r="J1439" s="32" t="n"/>
      <c r="K1439" s="36">
        <f>IF(E1439&lt;&gt;"",E1439,IF(AND(F1439&lt;&gt;"",G1439&lt;&gt;""),MOD(G1439-F1439,1)*24,""))</f>
        <v/>
      </c>
      <c r="L1439" s="37">
        <f>IF(A1439="","",CHOOSE(WEEKDAY(A1439,2),"Montag","Dienstag","Mittwoch","Donnerstag","Freitag","Samstag","Sonntag"))</f>
        <v/>
      </c>
      <c r="M1439" s="37">
        <f>IF(A1439="","",_xlfn.ISOWEEKNUM(A1439))</f>
        <v/>
      </c>
      <c r="N1439" s="38">
        <f>IF(A1439="","",DATE(YEAR(A1439),MONTH(A1439),1))</f>
        <v/>
      </c>
    </row>
    <row r="1440">
      <c r="A1440" s="31" t="n"/>
      <c r="B1440" s="32" t="n"/>
      <c r="C1440" s="32" t="n"/>
      <c r="D1440" s="33" t="n"/>
      <c r="E1440" s="34" t="n"/>
      <c r="F1440" s="35" t="n"/>
      <c r="G1440" s="35" t="n"/>
      <c r="H1440" s="32" t="n"/>
      <c r="I1440" s="32" t="n"/>
      <c r="J1440" s="32" t="n"/>
      <c r="K1440" s="36">
        <f>IF(E1440&lt;&gt;"",E1440,IF(AND(F1440&lt;&gt;"",G1440&lt;&gt;""),MOD(G1440-F1440,1)*24,""))</f>
        <v/>
      </c>
      <c r="L1440" s="37">
        <f>IF(A1440="","",CHOOSE(WEEKDAY(A1440,2),"Montag","Dienstag","Mittwoch","Donnerstag","Freitag","Samstag","Sonntag"))</f>
        <v/>
      </c>
      <c r="M1440" s="37">
        <f>IF(A1440="","",_xlfn.ISOWEEKNUM(A1440))</f>
        <v/>
      </c>
      <c r="N1440" s="38">
        <f>IF(A1440="","",DATE(YEAR(A1440),MONTH(A1440),1))</f>
        <v/>
      </c>
    </row>
    <row r="1441">
      <c r="A1441" s="31" t="n"/>
      <c r="B1441" s="32" t="n"/>
      <c r="C1441" s="32" t="n"/>
      <c r="D1441" s="33" t="n"/>
      <c r="E1441" s="34" t="n"/>
      <c r="F1441" s="35" t="n"/>
      <c r="G1441" s="35" t="n"/>
      <c r="H1441" s="32" t="n"/>
      <c r="I1441" s="32" t="n"/>
      <c r="J1441" s="32" t="n"/>
      <c r="K1441" s="36">
        <f>IF(E1441&lt;&gt;"",E1441,IF(AND(F1441&lt;&gt;"",G1441&lt;&gt;""),MOD(G1441-F1441,1)*24,""))</f>
        <v/>
      </c>
      <c r="L1441" s="37">
        <f>IF(A1441="","",CHOOSE(WEEKDAY(A1441,2),"Montag","Dienstag","Mittwoch","Donnerstag","Freitag","Samstag","Sonntag"))</f>
        <v/>
      </c>
      <c r="M1441" s="37">
        <f>IF(A1441="","",_xlfn.ISOWEEKNUM(A1441))</f>
        <v/>
      </c>
      <c r="N1441" s="38">
        <f>IF(A1441="","",DATE(YEAR(A1441),MONTH(A1441),1))</f>
        <v/>
      </c>
    </row>
    <row r="1442">
      <c r="A1442" s="31" t="n"/>
      <c r="B1442" s="32" t="n"/>
      <c r="C1442" s="32" t="n"/>
      <c r="D1442" s="33" t="n"/>
      <c r="E1442" s="34" t="n"/>
      <c r="F1442" s="35" t="n"/>
      <c r="G1442" s="35" t="n"/>
      <c r="H1442" s="32" t="n"/>
      <c r="I1442" s="32" t="n"/>
      <c r="J1442" s="32" t="n"/>
      <c r="K1442" s="36">
        <f>IF(E1442&lt;&gt;"",E1442,IF(AND(F1442&lt;&gt;"",G1442&lt;&gt;""),MOD(G1442-F1442,1)*24,""))</f>
        <v/>
      </c>
      <c r="L1442" s="37">
        <f>IF(A1442="","",CHOOSE(WEEKDAY(A1442,2),"Montag","Dienstag","Mittwoch","Donnerstag","Freitag","Samstag","Sonntag"))</f>
        <v/>
      </c>
      <c r="M1442" s="37">
        <f>IF(A1442="","",_xlfn.ISOWEEKNUM(A1442))</f>
        <v/>
      </c>
      <c r="N1442" s="38">
        <f>IF(A1442="","",DATE(YEAR(A1442),MONTH(A1442),1))</f>
        <v/>
      </c>
    </row>
    <row r="1443">
      <c r="A1443" s="31" t="n"/>
      <c r="B1443" s="32" t="n"/>
      <c r="C1443" s="32" t="n"/>
      <c r="D1443" s="33" t="n"/>
      <c r="E1443" s="34" t="n"/>
      <c r="F1443" s="35" t="n"/>
      <c r="G1443" s="35" t="n"/>
      <c r="H1443" s="32" t="n"/>
      <c r="I1443" s="32" t="n"/>
      <c r="J1443" s="32" t="n"/>
      <c r="K1443" s="36">
        <f>IF(E1443&lt;&gt;"",E1443,IF(AND(F1443&lt;&gt;"",G1443&lt;&gt;""),MOD(G1443-F1443,1)*24,""))</f>
        <v/>
      </c>
      <c r="L1443" s="37">
        <f>IF(A1443="","",CHOOSE(WEEKDAY(A1443,2),"Montag","Dienstag","Mittwoch","Donnerstag","Freitag","Samstag","Sonntag"))</f>
        <v/>
      </c>
      <c r="M1443" s="37">
        <f>IF(A1443="","",_xlfn.ISOWEEKNUM(A1443))</f>
        <v/>
      </c>
      <c r="N1443" s="38">
        <f>IF(A1443="","",DATE(YEAR(A1443),MONTH(A1443),1))</f>
        <v/>
      </c>
    </row>
    <row r="1444">
      <c r="A1444" s="31" t="n"/>
      <c r="B1444" s="32" t="n"/>
      <c r="C1444" s="32" t="n"/>
      <c r="D1444" s="33" t="n"/>
      <c r="E1444" s="34" t="n"/>
      <c r="F1444" s="35" t="n"/>
      <c r="G1444" s="35" t="n"/>
      <c r="H1444" s="32" t="n"/>
      <c r="I1444" s="32" t="n"/>
      <c r="J1444" s="32" t="n"/>
      <c r="K1444" s="36">
        <f>IF(E1444&lt;&gt;"",E1444,IF(AND(F1444&lt;&gt;"",G1444&lt;&gt;""),MOD(G1444-F1444,1)*24,""))</f>
        <v/>
      </c>
      <c r="L1444" s="37">
        <f>IF(A1444="","",CHOOSE(WEEKDAY(A1444,2),"Montag","Dienstag","Mittwoch","Donnerstag","Freitag","Samstag","Sonntag"))</f>
        <v/>
      </c>
      <c r="M1444" s="37">
        <f>IF(A1444="","",_xlfn.ISOWEEKNUM(A1444))</f>
        <v/>
      </c>
      <c r="N1444" s="38">
        <f>IF(A1444="","",DATE(YEAR(A1444),MONTH(A1444),1))</f>
        <v/>
      </c>
    </row>
    <row r="1445">
      <c r="A1445" s="31" t="n"/>
      <c r="B1445" s="32" t="n"/>
      <c r="C1445" s="32" t="n"/>
      <c r="D1445" s="33" t="n"/>
      <c r="E1445" s="34" t="n"/>
      <c r="F1445" s="35" t="n"/>
      <c r="G1445" s="35" t="n"/>
      <c r="H1445" s="32" t="n"/>
      <c r="I1445" s="32" t="n"/>
      <c r="J1445" s="32" t="n"/>
      <c r="K1445" s="36">
        <f>IF(E1445&lt;&gt;"",E1445,IF(AND(F1445&lt;&gt;"",G1445&lt;&gt;""),MOD(G1445-F1445,1)*24,""))</f>
        <v/>
      </c>
      <c r="L1445" s="37">
        <f>IF(A1445="","",CHOOSE(WEEKDAY(A1445,2),"Montag","Dienstag","Mittwoch","Donnerstag","Freitag","Samstag","Sonntag"))</f>
        <v/>
      </c>
      <c r="M1445" s="37">
        <f>IF(A1445="","",_xlfn.ISOWEEKNUM(A1445))</f>
        <v/>
      </c>
      <c r="N1445" s="38">
        <f>IF(A1445="","",DATE(YEAR(A1445),MONTH(A1445),1))</f>
        <v/>
      </c>
    </row>
    <row r="1446">
      <c r="A1446" s="31" t="n"/>
      <c r="B1446" s="32" t="n"/>
      <c r="C1446" s="32" t="n"/>
      <c r="D1446" s="33" t="n"/>
      <c r="E1446" s="34" t="n"/>
      <c r="F1446" s="35" t="n"/>
      <c r="G1446" s="35" t="n"/>
      <c r="H1446" s="32" t="n"/>
      <c r="I1446" s="32" t="n"/>
      <c r="J1446" s="32" t="n"/>
      <c r="K1446" s="36">
        <f>IF(E1446&lt;&gt;"",E1446,IF(AND(F1446&lt;&gt;"",G1446&lt;&gt;""),MOD(G1446-F1446,1)*24,""))</f>
        <v/>
      </c>
      <c r="L1446" s="37">
        <f>IF(A1446="","",CHOOSE(WEEKDAY(A1446,2),"Montag","Dienstag","Mittwoch","Donnerstag","Freitag","Samstag","Sonntag"))</f>
        <v/>
      </c>
      <c r="M1446" s="37">
        <f>IF(A1446="","",_xlfn.ISOWEEKNUM(A1446))</f>
        <v/>
      </c>
      <c r="N1446" s="38">
        <f>IF(A1446="","",DATE(YEAR(A1446),MONTH(A1446),1))</f>
        <v/>
      </c>
    </row>
    <row r="1447">
      <c r="A1447" s="31" t="n"/>
      <c r="B1447" s="32" t="n"/>
      <c r="C1447" s="32" t="n"/>
      <c r="D1447" s="33" t="n"/>
      <c r="E1447" s="34" t="n"/>
      <c r="F1447" s="35" t="n"/>
      <c r="G1447" s="35" t="n"/>
      <c r="H1447" s="32" t="n"/>
      <c r="I1447" s="32" t="n"/>
      <c r="J1447" s="32" t="n"/>
      <c r="K1447" s="36">
        <f>IF(E1447&lt;&gt;"",E1447,IF(AND(F1447&lt;&gt;"",G1447&lt;&gt;""),MOD(G1447-F1447,1)*24,""))</f>
        <v/>
      </c>
      <c r="L1447" s="37">
        <f>IF(A1447="","",CHOOSE(WEEKDAY(A1447,2),"Montag","Dienstag","Mittwoch","Donnerstag","Freitag","Samstag","Sonntag"))</f>
        <v/>
      </c>
      <c r="M1447" s="37">
        <f>IF(A1447="","",_xlfn.ISOWEEKNUM(A1447))</f>
        <v/>
      </c>
      <c r="N1447" s="38">
        <f>IF(A1447="","",DATE(YEAR(A1447),MONTH(A1447),1))</f>
        <v/>
      </c>
    </row>
    <row r="1448">
      <c r="A1448" s="31" t="n"/>
      <c r="B1448" s="32" t="n"/>
      <c r="C1448" s="32" t="n"/>
      <c r="D1448" s="33" t="n"/>
      <c r="E1448" s="34" t="n"/>
      <c r="F1448" s="35" t="n"/>
      <c r="G1448" s="35" t="n"/>
      <c r="H1448" s="32" t="n"/>
      <c r="I1448" s="32" t="n"/>
      <c r="J1448" s="32" t="n"/>
      <c r="K1448" s="36">
        <f>IF(E1448&lt;&gt;"",E1448,IF(AND(F1448&lt;&gt;"",G1448&lt;&gt;""),MOD(G1448-F1448,1)*24,""))</f>
        <v/>
      </c>
      <c r="L1448" s="37">
        <f>IF(A1448="","",CHOOSE(WEEKDAY(A1448,2),"Montag","Dienstag","Mittwoch","Donnerstag","Freitag","Samstag","Sonntag"))</f>
        <v/>
      </c>
      <c r="M1448" s="37">
        <f>IF(A1448="","",_xlfn.ISOWEEKNUM(A1448))</f>
        <v/>
      </c>
      <c r="N1448" s="38">
        <f>IF(A1448="","",DATE(YEAR(A1448),MONTH(A1448),1))</f>
        <v/>
      </c>
    </row>
    <row r="1449">
      <c r="A1449" s="31" t="n"/>
      <c r="B1449" s="32" t="n"/>
      <c r="C1449" s="32" t="n"/>
      <c r="D1449" s="33" t="n"/>
      <c r="E1449" s="34" t="n"/>
      <c r="F1449" s="35" t="n"/>
      <c r="G1449" s="35" t="n"/>
      <c r="H1449" s="32" t="n"/>
      <c r="I1449" s="32" t="n"/>
      <c r="J1449" s="32" t="n"/>
      <c r="K1449" s="36">
        <f>IF(E1449&lt;&gt;"",E1449,IF(AND(F1449&lt;&gt;"",G1449&lt;&gt;""),MOD(G1449-F1449,1)*24,""))</f>
        <v/>
      </c>
      <c r="L1449" s="37">
        <f>IF(A1449="","",CHOOSE(WEEKDAY(A1449,2),"Montag","Dienstag","Mittwoch","Donnerstag","Freitag","Samstag","Sonntag"))</f>
        <v/>
      </c>
      <c r="M1449" s="37">
        <f>IF(A1449="","",_xlfn.ISOWEEKNUM(A1449))</f>
        <v/>
      </c>
      <c r="N1449" s="38">
        <f>IF(A1449="","",DATE(YEAR(A1449),MONTH(A1449),1))</f>
        <v/>
      </c>
    </row>
    <row r="1450">
      <c r="A1450" s="31" t="n"/>
      <c r="B1450" s="32" t="n"/>
      <c r="C1450" s="32" t="n"/>
      <c r="D1450" s="33" t="n"/>
      <c r="E1450" s="34" t="n"/>
      <c r="F1450" s="35" t="n"/>
      <c r="G1450" s="35" t="n"/>
      <c r="H1450" s="32" t="n"/>
      <c r="I1450" s="32" t="n"/>
      <c r="J1450" s="32" t="n"/>
      <c r="K1450" s="36">
        <f>IF(E1450&lt;&gt;"",E1450,IF(AND(F1450&lt;&gt;"",G1450&lt;&gt;""),MOD(G1450-F1450,1)*24,""))</f>
        <v/>
      </c>
      <c r="L1450" s="37">
        <f>IF(A1450="","",CHOOSE(WEEKDAY(A1450,2),"Montag","Dienstag","Mittwoch","Donnerstag","Freitag","Samstag","Sonntag"))</f>
        <v/>
      </c>
      <c r="M1450" s="37">
        <f>IF(A1450="","",_xlfn.ISOWEEKNUM(A1450))</f>
        <v/>
      </c>
      <c r="N1450" s="38">
        <f>IF(A1450="","",DATE(YEAR(A1450),MONTH(A1450),1))</f>
        <v/>
      </c>
    </row>
    <row r="1451">
      <c r="A1451" s="31" t="n"/>
      <c r="B1451" s="32" t="n"/>
      <c r="C1451" s="32" t="n"/>
      <c r="D1451" s="33" t="n"/>
      <c r="E1451" s="34" t="n"/>
      <c r="F1451" s="35" t="n"/>
      <c r="G1451" s="35" t="n"/>
      <c r="H1451" s="32" t="n"/>
      <c r="I1451" s="32" t="n"/>
      <c r="J1451" s="32" t="n"/>
      <c r="K1451" s="36">
        <f>IF(E1451&lt;&gt;"",E1451,IF(AND(F1451&lt;&gt;"",G1451&lt;&gt;""),MOD(G1451-F1451,1)*24,""))</f>
        <v/>
      </c>
      <c r="L1451" s="37">
        <f>IF(A1451="","",CHOOSE(WEEKDAY(A1451,2),"Montag","Dienstag","Mittwoch","Donnerstag","Freitag","Samstag","Sonntag"))</f>
        <v/>
      </c>
      <c r="M1451" s="37">
        <f>IF(A1451="","",_xlfn.ISOWEEKNUM(A1451))</f>
        <v/>
      </c>
      <c r="N1451" s="38">
        <f>IF(A1451="","",DATE(YEAR(A1451),MONTH(A1451),1))</f>
        <v/>
      </c>
    </row>
    <row r="1452">
      <c r="A1452" s="31" t="n"/>
      <c r="B1452" s="32" t="n"/>
      <c r="C1452" s="32" t="n"/>
      <c r="D1452" s="33" t="n"/>
      <c r="E1452" s="34" t="n"/>
      <c r="F1452" s="35" t="n"/>
      <c r="G1452" s="35" t="n"/>
      <c r="H1452" s="32" t="n"/>
      <c r="I1452" s="32" t="n"/>
      <c r="J1452" s="32" t="n"/>
      <c r="K1452" s="36">
        <f>IF(E1452&lt;&gt;"",E1452,IF(AND(F1452&lt;&gt;"",G1452&lt;&gt;""),MOD(G1452-F1452,1)*24,""))</f>
        <v/>
      </c>
      <c r="L1452" s="37">
        <f>IF(A1452="","",CHOOSE(WEEKDAY(A1452,2),"Montag","Dienstag","Mittwoch","Donnerstag","Freitag","Samstag","Sonntag"))</f>
        <v/>
      </c>
      <c r="M1452" s="37">
        <f>IF(A1452="","",_xlfn.ISOWEEKNUM(A1452))</f>
        <v/>
      </c>
      <c r="N1452" s="38">
        <f>IF(A1452="","",DATE(YEAR(A1452),MONTH(A1452),1))</f>
        <v/>
      </c>
    </row>
    <row r="1453">
      <c r="A1453" s="31" t="n"/>
      <c r="B1453" s="32" t="n"/>
      <c r="C1453" s="32" t="n"/>
      <c r="D1453" s="33" t="n"/>
      <c r="E1453" s="34" t="n"/>
      <c r="F1453" s="35" t="n"/>
      <c r="G1453" s="35" t="n"/>
      <c r="H1453" s="32" t="n"/>
      <c r="I1453" s="32" t="n"/>
      <c r="J1453" s="32" t="n"/>
      <c r="K1453" s="36">
        <f>IF(E1453&lt;&gt;"",E1453,IF(AND(F1453&lt;&gt;"",G1453&lt;&gt;""),MOD(G1453-F1453,1)*24,""))</f>
        <v/>
      </c>
      <c r="L1453" s="37">
        <f>IF(A1453="","",CHOOSE(WEEKDAY(A1453,2),"Montag","Dienstag","Mittwoch","Donnerstag","Freitag","Samstag","Sonntag"))</f>
        <v/>
      </c>
      <c r="M1453" s="37">
        <f>IF(A1453="","",_xlfn.ISOWEEKNUM(A1453))</f>
        <v/>
      </c>
      <c r="N1453" s="38">
        <f>IF(A1453="","",DATE(YEAR(A1453),MONTH(A1453),1))</f>
        <v/>
      </c>
    </row>
    <row r="1454">
      <c r="A1454" s="31" t="n"/>
      <c r="B1454" s="32" t="n"/>
      <c r="C1454" s="32" t="n"/>
      <c r="D1454" s="33" t="n"/>
      <c r="E1454" s="34" t="n"/>
      <c r="F1454" s="35" t="n"/>
      <c r="G1454" s="35" t="n"/>
      <c r="H1454" s="32" t="n"/>
      <c r="I1454" s="32" t="n"/>
      <c r="J1454" s="32" t="n"/>
      <c r="K1454" s="36">
        <f>IF(E1454&lt;&gt;"",E1454,IF(AND(F1454&lt;&gt;"",G1454&lt;&gt;""),MOD(G1454-F1454,1)*24,""))</f>
        <v/>
      </c>
      <c r="L1454" s="37">
        <f>IF(A1454="","",CHOOSE(WEEKDAY(A1454,2),"Montag","Dienstag","Mittwoch","Donnerstag","Freitag","Samstag","Sonntag"))</f>
        <v/>
      </c>
      <c r="M1454" s="37">
        <f>IF(A1454="","",_xlfn.ISOWEEKNUM(A1454))</f>
        <v/>
      </c>
      <c r="N1454" s="38">
        <f>IF(A1454="","",DATE(YEAR(A1454),MONTH(A1454),1))</f>
        <v/>
      </c>
    </row>
    <row r="1455">
      <c r="A1455" s="31" t="n"/>
      <c r="B1455" s="32" t="n"/>
      <c r="C1455" s="32" t="n"/>
      <c r="D1455" s="33" t="n"/>
      <c r="E1455" s="34" t="n"/>
      <c r="F1455" s="35" t="n"/>
      <c r="G1455" s="35" t="n"/>
      <c r="H1455" s="32" t="n"/>
      <c r="I1455" s="32" t="n"/>
      <c r="J1455" s="32" t="n"/>
      <c r="K1455" s="36">
        <f>IF(E1455&lt;&gt;"",E1455,IF(AND(F1455&lt;&gt;"",G1455&lt;&gt;""),MOD(G1455-F1455,1)*24,""))</f>
        <v/>
      </c>
      <c r="L1455" s="37">
        <f>IF(A1455="","",CHOOSE(WEEKDAY(A1455,2),"Montag","Dienstag","Mittwoch","Donnerstag","Freitag","Samstag","Sonntag"))</f>
        <v/>
      </c>
      <c r="M1455" s="37">
        <f>IF(A1455="","",_xlfn.ISOWEEKNUM(A1455))</f>
        <v/>
      </c>
      <c r="N1455" s="38">
        <f>IF(A1455="","",DATE(YEAR(A1455),MONTH(A1455),1))</f>
        <v/>
      </c>
    </row>
    <row r="1456">
      <c r="A1456" s="31" t="n"/>
      <c r="B1456" s="32" t="n"/>
      <c r="C1456" s="32" t="n"/>
      <c r="D1456" s="33" t="n"/>
      <c r="E1456" s="34" t="n"/>
      <c r="F1456" s="35" t="n"/>
      <c r="G1456" s="35" t="n"/>
      <c r="H1456" s="32" t="n"/>
      <c r="I1456" s="32" t="n"/>
      <c r="J1456" s="32" t="n"/>
      <c r="K1456" s="36">
        <f>IF(E1456&lt;&gt;"",E1456,IF(AND(F1456&lt;&gt;"",G1456&lt;&gt;""),MOD(G1456-F1456,1)*24,""))</f>
        <v/>
      </c>
      <c r="L1456" s="37">
        <f>IF(A1456="","",CHOOSE(WEEKDAY(A1456,2),"Montag","Dienstag","Mittwoch","Donnerstag","Freitag","Samstag","Sonntag"))</f>
        <v/>
      </c>
      <c r="M1456" s="37">
        <f>IF(A1456="","",_xlfn.ISOWEEKNUM(A1456))</f>
        <v/>
      </c>
      <c r="N1456" s="38">
        <f>IF(A1456="","",DATE(YEAR(A1456),MONTH(A1456),1))</f>
        <v/>
      </c>
    </row>
    <row r="1457">
      <c r="A1457" s="31" t="n"/>
      <c r="B1457" s="32" t="n"/>
      <c r="C1457" s="32" t="n"/>
      <c r="D1457" s="33" t="n"/>
      <c r="E1457" s="34" t="n"/>
      <c r="F1457" s="35" t="n"/>
      <c r="G1457" s="35" t="n"/>
      <c r="H1457" s="32" t="n"/>
      <c r="I1457" s="32" t="n"/>
      <c r="J1457" s="32" t="n"/>
      <c r="K1457" s="36">
        <f>IF(E1457&lt;&gt;"",E1457,IF(AND(F1457&lt;&gt;"",G1457&lt;&gt;""),MOD(G1457-F1457,1)*24,""))</f>
        <v/>
      </c>
      <c r="L1457" s="37">
        <f>IF(A1457="","",CHOOSE(WEEKDAY(A1457,2),"Montag","Dienstag","Mittwoch","Donnerstag","Freitag","Samstag","Sonntag"))</f>
        <v/>
      </c>
      <c r="M1457" s="37">
        <f>IF(A1457="","",_xlfn.ISOWEEKNUM(A1457))</f>
        <v/>
      </c>
      <c r="N1457" s="38">
        <f>IF(A1457="","",DATE(YEAR(A1457),MONTH(A1457),1))</f>
        <v/>
      </c>
    </row>
    <row r="1458">
      <c r="A1458" s="31" t="n"/>
      <c r="B1458" s="32" t="n"/>
      <c r="C1458" s="32" t="n"/>
      <c r="D1458" s="33" t="n"/>
      <c r="E1458" s="34" t="n"/>
      <c r="F1458" s="35" t="n"/>
      <c r="G1458" s="35" t="n"/>
      <c r="H1458" s="32" t="n"/>
      <c r="I1458" s="32" t="n"/>
      <c r="J1458" s="32" t="n"/>
      <c r="K1458" s="36">
        <f>IF(E1458&lt;&gt;"",E1458,IF(AND(F1458&lt;&gt;"",G1458&lt;&gt;""),MOD(G1458-F1458,1)*24,""))</f>
        <v/>
      </c>
      <c r="L1458" s="37">
        <f>IF(A1458="","",CHOOSE(WEEKDAY(A1458,2),"Montag","Dienstag","Mittwoch","Donnerstag","Freitag","Samstag","Sonntag"))</f>
        <v/>
      </c>
      <c r="M1458" s="37">
        <f>IF(A1458="","",_xlfn.ISOWEEKNUM(A1458))</f>
        <v/>
      </c>
      <c r="N1458" s="38">
        <f>IF(A1458="","",DATE(YEAR(A1458),MONTH(A1458),1))</f>
        <v/>
      </c>
    </row>
    <row r="1459">
      <c r="A1459" s="31" t="n"/>
      <c r="B1459" s="32" t="n"/>
      <c r="C1459" s="32" t="n"/>
      <c r="D1459" s="33" t="n"/>
      <c r="E1459" s="34" t="n"/>
      <c r="F1459" s="35" t="n"/>
      <c r="G1459" s="35" t="n"/>
      <c r="H1459" s="32" t="n"/>
      <c r="I1459" s="32" t="n"/>
      <c r="J1459" s="32" t="n"/>
      <c r="K1459" s="36">
        <f>IF(E1459&lt;&gt;"",E1459,IF(AND(F1459&lt;&gt;"",G1459&lt;&gt;""),MOD(G1459-F1459,1)*24,""))</f>
        <v/>
      </c>
      <c r="L1459" s="37">
        <f>IF(A1459="","",CHOOSE(WEEKDAY(A1459,2),"Montag","Dienstag","Mittwoch","Donnerstag","Freitag","Samstag","Sonntag"))</f>
        <v/>
      </c>
      <c r="M1459" s="37">
        <f>IF(A1459="","",_xlfn.ISOWEEKNUM(A1459))</f>
        <v/>
      </c>
      <c r="N1459" s="38">
        <f>IF(A1459="","",DATE(YEAR(A1459),MONTH(A1459),1))</f>
        <v/>
      </c>
    </row>
    <row r="1460">
      <c r="A1460" s="31" t="n"/>
      <c r="B1460" s="32" t="n"/>
      <c r="C1460" s="32" t="n"/>
      <c r="D1460" s="33" t="n"/>
      <c r="E1460" s="34" t="n"/>
      <c r="F1460" s="35" t="n"/>
      <c r="G1460" s="35" t="n"/>
      <c r="H1460" s="32" t="n"/>
      <c r="I1460" s="32" t="n"/>
      <c r="J1460" s="32" t="n"/>
      <c r="K1460" s="36">
        <f>IF(E1460&lt;&gt;"",E1460,IF(AND(F1460&lt;&gt;"",G1460&lt;&gt;""),MOD(G1460-F1460,1)*24,""))</f>
        <v/>
      </c>
      <c r="L1460" s="37">
        <f>IF(A1460="","",CHOOSE(WEEKDAY(A1460,2),"Montag","Dienstag","Mittwoch","Donnerstag","Freitag","Samstag","Sonntag"))</f>
        <v/>
      </c>
      <c r="M1460" s="37">
        <f>IF(A1460="","",_xlfn.ISOWEEKNUM(A1460))</f>
        <v/>
      </c>
      <c r="N1460" s="38">
        <f>IF(A1460="","",DATE(YEAR(A1460),MONTH(A1460),1))</f>
        <v/>
      </c>
    </row>
    <row r="1461">
      <c r="A1461" s="31" t="n"/>
      <c r="B1461" s="32" t="n"/>
      <c r="C1461" s="32" t="n"/>
      <c r="D1461" s="33" t="n"/>
      <c r="E1461" s="34" t="n"/>
      <c r="F1461" s="35" t="n"/>
      <c r="G1461" s="35" t="n"/>
      <c r="H1461" s="32" t="n"/>
      <c r="I1461" s="32" t="n"/>
      <c r="J1461" s="32" t="n"/>
      <c r="K1461" s="36">
        <f>IF(E1461&lt;&gt;"",E1461,IF(AND(F1461&lt;&gt;"",G1461&lt;&gt;""),MOD(G1461-F1461,1)*24,""))</f>
        <v/>
      </c>
      <c r="L1461" s="37">
        <f>IF(A1461="","",CHOOSE(WEEKDAY(A1461,2),"Montag","Dienstag","Mittwoch","Donnerstag","Freitag","Samstag","Sonntag"))</f>
        <v/>
      </c>
      <c r="M1461" s="37">
        <f>IF(A1461="","",_xlfn.ISOWEEKNUM(A1461))</f>
        <v/>
      </c>
      <c r="N1461" s="38">
        <f>IF(A1461="","",DATE(YEAR(A1461),MONTH(A1461),1))</f>
        <v/>
      </c>
    </row>
    <row r="1462">
      <c r="A1462" s="31" t="n"/>
      <c r="B1462" s="32" t="n"/>
      <c r="C1462" s="32" t="n"/>
      <c r="D1462" s="33" t="n"/>
      <c r="E1462" s="34" t="n"/>
      <c r="F1462" s="35" t="n"/>
      <c r="G1462" s="35" t="n"/>
      <c r="H1462" s="32" t="n"/>
      <c r="I1462" s="32" t="n"/>
      <c r="J1462" s="32" t="n"/>
      <c r="K1462" s="36">
        <f>IF(E1462&lt;&gt;"",E1462,IF(AND(F1462&lt;&gt;"",G1462&lt;&gt;""),MOD(G1462-F1462,1)*24,""))</f>
        <v/>
      </c>
      <c r="L1462" s="37">
        <f>IF(A1462="","",CHOOSE(WEEKDAY(A1462,2),"Montag","Dienstag","Mittwoch","Donnerstag","Freitag","Samstag","Sonntag"))</f>
        <v/>
      </c>
      <c r="M1462" s="37">
        <f>IF(A1462="","",_xlfn.ISOWEEKNUM(A1462))</f>
        <v/>
      </c>
      <c r="N1462" s="38">
        <f>IF(A1462="","",DATE(YEAR(A1462),MONTH(A1462),1))</f>
        <v/>
      </c>
    </row>
    <row r="1463">
      <c r="A1463" s="31" t="n"/>
      <c r="B1463" s="32" t="n"/>
      <c r="C1463" s="32" t="n"/>
      <c r="D1463" s="33" t="n"/>
      <c r="E1463" s="34" t="n"/>
      <c r="F1463" s="35" t="n"/>
      <c r="G1463" s="35" t="n"/>
      <c r="H1463" s="32" t="n"/>
      <c r="I1463" s="32" t="n"/>
      <c r="J1463" s="32" t="n"/>
      <c r="K1463" s="36">
        <f>IF(E1463&lt;&gt;"",E1463,IF(AND(F1463&lt;&gt;"",G1463&lt;&gt;""),MOD(G1463-F1463,1)*24,""))</f>
        <v/>
      </c>
      <c r="L1463" s="37">
        <f>IF(A1463="","",CHOOSE(WEEKDAY(A1463,2),"Montag","Dienstag","Mittwoch","Donnerstag","Freitag","Samstag","Sonntag"))</f>
        <v/>
      </c>
      <c r="M1463" s="37">
        <f>IF(A1463="","",_xlfn.ISOWEEKNUM(A1463))</f>
        <v/>
      </c>
      <c r="N1463" s="38">
        <f>IF(A1463="","",DATE(YEAR(A1463),MONTH(A1463),1))</f>
        <v/>
      </c>
    </row>
    <row r="1464">
      <c r="A1464" s="31" t="n"/>
      <c r="B1464" s="32" t="n"/>
      <c r="C1464" s="32" t="n"/>
      <c r="D1464" s="33" t="n"/>
      <c r="E1464" s="34" t="n"/>
      <c r="F1464" s="35" t="n"/>
      <c r="G1464" s="35" t="n"/>
      <c r="H1464" s="32" t="n"/>
      <c r="I1464" s="32" t="n"/>
      <c r="J1464" s="32" t="n"/>
      <c r="K1464" s="36">
        <f>IF(E1464&lt;&gt;"",E1464,IF(AND(F1464&lt;&gt;"",G1464&lt;&gt;""),MOD(G1464-F1464,1)*24,""))</f>
        <v/>
      </c>
      <c r="L1464" s="37">
        <f>IF(A1464="","",CHOOSE(WEEKDAY(A1464,2),"Montag","Dienstag","Mittwoch","Donnerstag","Freitag","Samstag","Sonntag"))</f>
        <v/>
      </c>
      <c r="M1464" s="37">
        <f>IF(A1464="","",_xlfn.ISOWEEKNUM(A1464))</f>
        <v/>
      </c>
      <c r="N1464" s="38">
        <f>IF(A1464="","",DATE(YEAR(A1464),MONTH(A1464),1))</f>
        <v/>
      </c>
    </row>
    <row r="1465">
      <c r="A1465" s="31" t="n"/>
      <c r="B1465" s="32" t="n"/>
      <c r="C1465" s="32" t="n"/>
      <c r="D1465" s="33" t="n"/>
      <c r="E1465" s="34" t="n"/>
      <c r="F1465" s="35" t="n"/>
      <c r="G1465" s="35" t="n"/>
      <c r="H1465" s="32" t="n"/>
      <c r="I1465" s="32" t="n"/>
      <c r="J1465" s="32" t="n"/>
      <c r="K1465" s="36">
        <f>IF(E1465&lt;&gt;"",E1465,IF(AND(F1465&lt;&gt;"",G1465&lt;&gt;""),MOD(G1465-F1465,1)*24,""))</f>
        <v/>
      </c>
      <c r="L1465" s="37">
        <f>IF(A1465="","",CHOOSE(WEEKDAY(A1465,2),"Montag","Dienstag","Mittwoch","Donnerstag","Freitag","Samstag","Sonntag"))</f>
        <v/>
      </c>
      <c r="M1465" s="37">
        <f>IF(A1465="","",_xlfn.ISOWEEKNUM(A1465))</f>
        <v/>
      </c>
      <c r="N1465" s="38">
        <f>IF(A1465="","",DATE(YEAR(A1465),MONTH(A1465),1))</f>
        <v/>
      </c>
    </row>
    <row r="1466">
      <c r="A1466" s="31" t="n"/>
      <c r="B1466" s="32" t="n"/>
      <c r="C1466" s="32" t="n"/>
      <c r="D1466" s="33" t="n"/>
      <c r="E1466" s="34" t="n"/>
      <c r="F1466" s="35" t="n"/>
      <c r="G1466" s="35" t="n"/>
      <c r="H1466" s="32" t="n"/>
      <c r="I1466" s="32" t="n"/>
      <c r="J1466" s="32" t="n"/>
      <c r="K1466" s="36">
        <f>IF(E1466&lt;&gt;"",E1466,IF(AND(F1466&lt;&gt;"",G1466&lt;&gt;""),MOD(G1466-F1466,1)*24,""))</f>
        <v/>
      </c>
      <c r="L1466" s="37">
        <f>IF(A1466="","",CHOOSE(WEEKDAY(A1466,2),"Montag","Dienstag","Mittwoch","Donnerstag","Freitag","Samstag","Sonntag"))</f>
        <v/>
      </c>
      <c r="M1466" s="37">
        <f>IF(A1466="","",_xlfn.ISOWEEKNUM(A1466))</f>
        <v/>
      </c>
      <c r="N1466" s="38">
        <f>IF(A1466="","",DATE(YEAR(A1466),MONTH(A1466),1))</f>
        <v/>
      </c>
    </row>
    <row r="1467">
      <c r="A1467" s="31" t="n"/>
      <c r="B1467" s="32" t="n"/>
      <c r="C1467" s="32" t="n"/>
      <c r="D1467" s="33" t="n"/>
      <c r="E1467" s="34" t="n"/>
      <c r="F1467" s="35" t="n"/>
      <c r="G1467" s="35" t="n"/>
      <c r="H1467" s="32" t="n"/>
      <c r="I1467" s="32" t="n"/>
      <c r="J1467" s="32" t="n"/>
      <c r="K1467" s="36">
        <f>IF(E1467&lt;&gt;"",E1467,IF(AND(F1467&lt;&gt;"",G1467&lt;&gt;""),MOD(G1467-F1467,1)*24,""))</f>
        <v/>
      </c>
      <c r="L1467" s="37">
        <f>IF(A1467="","",CHOOSE(WEEKDAY(A1467,2),"Montag","Dienstag","Mittwoch","Donnerstag","Freitag","Samstag","Sonntag"))</f>
        <v/>
      </c>
      <c r="M1467" s="37">
        <f>IF(A1467="","",_xlfn.ISOWEEKNUM(A1467))</f>
        <v/>
      </c>
      <c r="N1467" s="38">
        <f>IF(A1467="","",DATE(YEAR(A1467),MONTH(A1467),1))</f>
        <v/>
      </c>
    </row>
    <row r="1468">
      <c r="A1468" s="31" t="n"/>
      <c r="B1468" s="32" t="n"/>
      <c r="C1468" s="32" t="n"/>
      <c r="D1468" s="33" t="n"/>
      <c r="E1468" s="34" t="n"/>
      <c r="F1468" s="35" t="n"/>
      <c r="G1468" s="35" t="n"/>
      <c r="H1468" s="32" t="n"/>
      <c r="I1468" s="32" t="n"/>
      <c r="J1468" s="32" t="n"/>
      <c r="K1468" s="36">
        <f>IF(E1468&lt;&gt;"",E1468,IF(AND(F1468&lt;&gt;"",G1468&lt;&gt;""),MOD(G1468-F1468,1)*24,""))</f>
        <v/>
      </c>
      <c r="L1468" s="37">
        <f>IF(A1468="","",CHOOSE(WEEKDAY(A1468,2),"Montag","Dienstag","Mittwoch","Donnerstag","Freitag","Samstag","Sonntag"))</f>
        <v/>
      </c>
      <c r="M1468" s="37">
        <f>IF(A1468="","",_xlfn.ISOWEEKNUM(A1468))</f>
        <v/>
      </c>
      <c r="N1468" s="38">
        <f>IF(A1468="","",DATE(YEAR(A1468),MONTH(A1468),1))</f>
        <v/>
      </c>
    </row>
    <row r="1469">
      <c r="A1469" s="31" t="n"/>
      <c r="B1469" s="32" t="n"/>
      <c r="C1469" s="32" t="n"/>
      <c r="D1469" s="33" t="n"/>
      <c r="E1469" s="34" t="n"/>
      <c r="F1469" s="35" t="n"/>
      <c r="G1469" s="35" t="n"/>
      <c r="H1469" s="32" t="n"/>
      <c r="I1469" s="32" t="n"/>
      <c r="J1469" s="32" t="n"/>
      <c r="K1469" s="36">
        <f>IF(E1469&lt;&gt;"",E1469,IF(AND(F1469&lt;&gt;"",G1469&lt;&gt;""),MOD(G1469-F1469,1)*24,""))</f>
        <v/>
      </c>
      <c r="L1469" s="37">
        <f>IF(A1469="","",CHOOSE(WEEKDAY(A1469,2),"Montag","Dienstag","Mittwoch","Donnerstag","Freitag","Samstag","Sonntag"))</f>
        <v/>
      </c>
      <c r="M1469" s="37">
        <f>IF(A1469="","",_xlfn.ISOWEEKNUM(A1469))</f>
        <v/>
      </c>
      <c r="N1469" s="38">
        <f>IF(A1469="","",DATE(YEAR(A1469),MONTH(A1469),1))</f>
        <v/>
      </c>
    </row>
    <row r="1470">
      <c r="A1470" s="31" t="n"/>
      <c r="B1470" s="32" t="n"/>
      <c r="C1470" s="32" t="n"/>
      <c r="D1470" s="33" t="n"/>
      <c r="E1470" s="34" t="n"/>
      <c r="F1470" s="35" t="n"/>
      <c r="G1470" s="35" t="n"/>
      <c r="H1470" s="32" t="n"/>
      <c r="I1470" s="32" t="n"/>
      <c r="J1470" s="32" t="n"/>
      <c r="K1470" s="36">
        <f>IF(E1470&lt;&gt;"",E1470,IF(AND(F1470&lt;&gt;"",G1470&lt;&gt;""),MOD(G1470-F1470,1)*24,""))</f>
        <v/>
      </c>
      <c r="L1470" s="37">
        <f>IF(A1470="","",CHOOSE(WEEKDAY(A1470,2),"Montag","Dienstag","Mittwoch","Donnerstag","Freitag","Samstag","Sonntag"))</f>
        <v/>
      </c>
      <c r="M1470" s="37">
        <f>IF(A1470="","",_xlfn.ISOWEEKNUM(A1470))</f>
        <v/>
      </c>
      <c r="N1470" s="38">
        <f>IF(A1470="","",DATE(YEAR(A1470),MONTH(A1470),1))</f>
        <v/>
      </c>
    </row>
    <row r="1471">
      <c r="A1471" s="31" t="n"/>
      <c r="B1471" s="32" t="n"/>
      <c r="C1471" s="32" t="n"/>
      <c r="D1471" s="33" t="n"/>
      <c r="E1471" s="34" t="n"/>
      <c r="F1471" s="35" t="n"/>
      <c r="G1471" s="35" t="n"/>
      <c r="H1471" s="32" t="n"/>
      <c r="I1471" s="32" t="n"/>
      <c r="J1471" s="32" t="n"/>
      <c r="K1471" s="36">
        <f>IF(E1471&lt;&gt;"",E1471,IF(AND(F1471&lt;&gt;"",G1471&lt;&gt;""),MOD(G1471-F1471,1)*24,""))</f>
        <v/>
      </c>
      <c r="L1471" s="37">
        <f>IF(A1471="","",CHOOSE(WEEKDAY(A1471,2),"Montag","Dienstag","Mittwoch","Donnerstag","Freitag","Samstag","Sonntag"))</f>
        <v/>
      </c>
      <c r="M1471" s="37">
        <f>IF(A1471="","",_xlfn.ISOWEEKNUM(A1471))</f>
        <v/>
      </c>
      <c r="N1471" s="38">
        <f>IF(A1471="","",DATE(YEAR(A1471),MONTH(A1471),1))</f>
        <v/>
      </c>
    </row>
    <row r="1472">
      <c r="A1472" s="31" t="n"/>
      <c r="B1472" s="32" t="n"/>
      <c r="C1472" s="32" t="n"/>
      <c r="D1472" s="33" t="n"/>
      <c r="E1472" s="34" t="n"/>
      <c r="F1472" s="35" t="n"/>
      <c r="G1472" s="35" t="n"/>
      <c r="H1472" s="32" t="n"/>
      <c r="I1472" s="32" t="n"/>
      <c r="J1472" s="32" t="n"/>
      <c r="K1472" s="36">
        <f>IF(E1472&lt;&gt;"",E1472,IF(AND(F1472&lt;&gt;"",G1472&lt;&gt;""),MOD(G1472-F1472,1)*24,""))</f>
        <v/>
      </c>
      <c r="L1472" s="37">
        <f>IF(A1472="","",CHOOSE(WEEKDAY(A1472,2),"Montag","Dienstag","Mittwoch","Donnerstag","Freitag","Samstag","Sonntag"))</f>
        <v/>
      </c>
      <c r="M1472" s="37">
        <f>IF(A1472="","",_xlfn.ISOWEEKNUM(A1472))</f>
        <v/>
      </c>
      <c r="N1472" s="38">
        <f>IF(A1472="","",DATE(YEAR(A1472),MONTH(A1472),1))</f>
        <v/>
      </c>
    </row>
    <row r="1473">
      <c r="A1473" s="31" t="n"/>
      <c r="B1473" s="32" t="n"/>
      <c r="C1473" s="32" t="n"/>
      <c r="D1473" s="33" t="n"/>
      <c r="E1473" s="34" t="n"/>
      <c r="F1473" s="35" t="n"/>
      <c r="G1473" s="35" t="n"/>
      <c r="H1473" s="32" t="n"/>
      <c r="I1473" s="32" t="n"/>
      <c r="J1473" s="32" t="n"/>
      <c r="K1473" s="36">
        <f>IF(E1473&lt;&gt;"",E1473,IF(AND(F1473&lt;&gt;"",G1473&lt;&gt;""),MOD(G1473-F1473,1)*24,""))</f>
        <v/>
      </c>
      <c r="L1473" s="37">
        <f>IF(A1473="","",CHOOSE(WEEKDAY(A1473,2),"Montag","Dienstag","Mittwoch","Donnerstag","Freitag","Samstag","Sonntag"))</f>
        <v/>
      </c>
      <c r="M1473" s="37">
        <f>IF(A1473="","",_xlfn.ISOWEEKNUM(A1473))</f>
        <v/>
      </c>
      <c r="N1473" s="38">
        <f>IF(A1473="","",DATE(YEAR(A1473),MONTH(A1473),1))</f>
        <v/>
      </c>
    </row>
    <row r="1474">
      <c r="A1474" s="31" t="n"/>
      <c r="B1474" s="32" t="n"/>
      <c r="C1474" s="32" t="n"/>
      <c r="D1474" s="33" t="n"/>
      <c r="E1474" s="34" t="n"/>
      <c r="F1474" s="35" t="n"/>
      <c r="G1474" s="35" t="n"/>
      <c r="H1474" s="32" t="n"/>
      <c r="I1474" s="32" t="n"/>
      <c r="J1474" s="32" t="n"/>
      <c r="K1474" s="36">
        <f>IF(E1474&lt;&gt;"",E1474,IF(AND(F1474&lt;&gt;"",G1474&lt;&gt;""),MOD(G1474-F1474,1)*24,""))</f>
        <v/>
      </c>
      <c r="L1474" s="37">
        <f>IF(A1474="","",CHOOSE(WEEKDAY(A1474,2),"Montag","Dienstag","Mittwoch","Donnerstag","Freitag","Samstag","Sonntag"))</f>
        <v/>
      </c>
      <c r="M1474" s="37">
        <f>IF(A1474="","",_xlfn.ISOWEEKNUM(A1474))</f>
        <v/>
      </c>
      <c r="N1474" s="38">
        <f>IF(A1474="","",DATE(YEAR(A1474),MONTH(A1474),1))</f>
        <v/>
      </c>
    </row>
    <row r="1475">
      <c r="A1475" s="31" t="n"/>
      <c r="B1475" s="32" t="n"/>
      <c r="C1475" s="32" t="n"/>
      <c r="D1475" s="33" t="n"/>
      <c r="E1475" s="34" t="n"/>
      <c r="F1475" s="35" t="n"/>
      <c r="G1475" s="35" t="n"/>
      <c r="H1475" s="32" t="n"/>
      <c r="I1475" s="32" t="n"/>
      <c r="J1475" s="32" t="n"/>
      <c r="K1475" s="36">
        <f>IF(E1475&lt;&gt;"",E1475,IF(AND(F1475&lt;&gt;"",G1475&lt;&gt;""),MOD(G1475-F1475,1)*24,""))</f>
        <v/>
      </c>
      <c r="L1475" s="37">
        <f>IF(A1475="","",CHOOSE(WEEKDAY(A1475,2),"Montag","Dienstag","Mittwoch","Donnerstag","Freitag","Samstag","Sonntag"))</f>
        <v/>
      </c>
      <c r="M1475" s="37">
        <f>IF(A1475="","",_xlfn.ISOWEEKNUM(A1475))</f>
        <v/>
      </c>
      <c r="N1475" s="38">
        <f>IF(A1475="","",DATE(YEAR(A1475),MONTH(A1475),1))</f>
        <v/>
      </c>
    </row>
    <row r="1476">
      <c r="A1476" s="31" t="n"/>
      <c r="B1476" s="32" t="n"/>
      <c r="C1476" s="32" t="n"/>
      <c r="D1476" s="33" t="n"/>
      <c r="E1476" s="34" t="n"/>
      <c r="F1476" s="35" t="n"/>
      <c r="G1476" s="35" t="n"/>
      <c r="H1476" s="32" t="n"/>
      <c r="I1476" s="32" t="n"/>
      <c r="J1476" s="32" t="n"/>
      <c r="K1476" s="36">
        <f>IF(E1476&lt;&gt;"",E1476,IF(AND(F1476&lt;&gt;"",G1476&lt;&gt;""),MOD(G1476-F1476,1)*24,""))</f>
        <v/>
      </c>
      <c r="L1476" s="37">
        <f>IF(A1476="","",CHOOSE(WEEKDAY(A1476,2),"Montag","Dienstag","Mittwoch","Donnerstag","Freitag","Samstag","Sonntag"))</f>
        <v/>
      </c>
      <c r="M1476" s="37">
        <f>IF(A1476="","",_xlfn.ISOWEEKNUM(A1476))</f>
        <v/>
      </c>
      <c r="N1476" s="38">
        <f>IF(A1476="","",DATE(YEAR(A1476),MONTH(A1476),1))</f>
        <v/>
      </c>
    </row>
    <row r="1477">
      <c r="A1477" s="31" t="n"/>
      <c r="B1477" s="32" t="n"/>
      <c r="C1477" s="32" t="n"/>
      <c r="D1477" s="33" t="n"/>
      <c r="E1477" s="34" t="n"/>
      <c r="F1477" s="35" t="n"/>
      <c r="G1477" s="35" t="n"/>
      <c r="H1477" s="32" t="n"/>
      <c r="I1477" s="32" t="n"/>
      <c r="J1477" s="32" t="n"/>
      <c r="K1477" s="36">
        <f>IF(E1477&lt;&gt;"",E1477,IF(AND(F1477&lt;&gt;"",G1477&lt;&gt;""),MOD(G1477-F1477,1)*24,""))</f>
        <v/>
      </c>
      <c r="L1477" s="37">
        <f>IF(A1477="","",CHOOSE(WEEKDAY(A1477,2),"Montag","Dienstag","Mittwoch","Donnerstag","Freitag","Samstag","Sonntag"))</f>
        <v/>
      </c>
      <c r="M1477" s="37">
        <f>IF(A1477="","",_xlfn.ISOWEEKNUM(A1477))</f>
        <v/>
      </c>
      <c r="N1477" s="38">
        <f>IF(A1477="","",DATE(YEAR(A1477),MONTH(A1477),1))</f>
        <v/>
      </c>
    </row>
    <row r="1478">
      <c r="A1478" s="31" t="n"/>
      <c r="B1478" s="32" t="n"/>
      <c r="C1478" s="32" t="n"/>
      <c r="D1478" s="33" t="n"/>
      <c r="E1478" s="34" t="n"/>
      <c r="F1478" s="35" t="n"/>
      <c r="G1478" s="35" t="n"/>
      <c r="H1478" s="32" t="n"/>
      <c r="I1478" s="32" t="n"/>
      <c r="J1478" s="32" t="n"/>
      <c r="K1478" s="36">
        <f>IF(E1478&lt;&gt;"",E1478,IF(AND(F1478&lt;&gt;"",G1478&lt;&gt;""),MOD(G1478-F1478,1)*24,""))</f>
        <v/>
      </c>
      <c r="L1478" s="37">
        <f>IF(A1478="","",CHOOSE(WEEKDAY(A1478,2),"Montag","Dienstag","Mittwoch","Donnerstag","Freitag","Samstag","Sonntag"))</f>
        <v/>
      </c>
      <c r="M1478" s="37">
        <f>IF(A1478="","",_xlfn.ISOWEEKNUM(A1478))</f>
        <v/>
      </c>
      <c r="N1478" s="38">
        <f>IF(A1478="","",DATE(YEAR(A1478),MONTH(A1478),1))</f>
        <v/>
      </c>
    </row>
    <row r="1479">
      <c r="A1479" s="31" t="n"/>
      <c r="B1479" s="32" t="n"/>
      <c r="C1479" s="32" t="n"/>
      <c r="D1479" s="33" t="n"/>
      <c r="E1479" s="34" t="n"/>
      <c r="F1479" s="35" t="n"/>
      <c r="G1479" s="35" t="n"/>
      <c r="H1479" s="32" t="n"/>
      <c r="I1479" s="32" t="n"/>
      <c r="J1479" s="32" t="n"/>
      <c r="K1479" s="36">
        <f>IF(E1479&lt;&gt;"",E1479,IF(AND(F1479&lt;&gt;"",G1479&lt;&gt;""),MOD(G1479-F1479,1)*24,""))</f>
        <v/>
      </c>
      <c r="L1479" s="37">
        <f>IF(A1479="","",CHOOSE(WEEKDAY(A1479,2),"Montag","Dienstag","Mittwoch","Donnerstag","Freitag","Samstag","Sonntag"))</f>
        <v/>
      </c>
      <c r="M1479" s="37">
        <f>IF(A1479="","",_xlfn.ISOWEEKNUM(A1479))</f>
        <v/>
      </c>
      <c r="N1479" s="38">
        <f>IF(A1479="","",DATE(YEAR(A1479),MONTH(A1479),1))</f>
        <v/>
      </c>
    </row>
    <row r="1480">
      <c r="A1480" s="31" t="n"/>
      <c r="B1480" s="32" t="n"/>
      <c r="C1480" s="32" t="n"/>
      <c r="D1480" s="33" t="n"/>
      <c r="E1480" s="34" t="n"/>
      <c r="F1480" s="35" t="n"/>
      <c r="G1480" s="35" t="n"/>
      <c r="H1480" s="32" t="n"/>
      <c r="I1480" s="32" t="n"/>
      <c r="J1480" s="32" t="n"/>
      <c r="K1480" s="36">
        <f>IF(E1480&lt;&gt;"",E1480,IF(AND(F1480&lt;&gt;"",G1480&lt;&gt;""),MOD(G1480-F1480,1)*24,""))</f>
        <v/>
      </c>
      <c r="L1480" s="37">
        <f>IF(A1480="","",CHOOSE(WEEKDAY(A1480,2),"Montag","Dienstag","Mittwoch","Donnerstag","Freitag","Samstag","Sonntag"))</f>
        <v/>
      </c>
      <c r="M1480" s="37">
        <f>IF(A1480="","",_xlfn.ISOWEEKNUM(A1480))</f>
        <v/>
      </c>
      <c r="N1480" s="38">
        <f>IF(A1480="","",DATE(YEAR(A1480),MONTH(A1480),1))</f>
        <v/>
      </c>
    </row>
    <row r="1481">
      <c r="A1481" s="31" t="n"/>
      <c r="B1481" s="32" t="n"/>
      <c r="C1481" s="32" t="n"/>
      <c r="D1481" s="33" t="n"/>
      <c r="E1481" s="34" t="n"/>
      <c r="F1481" s="35" t="n"/>
      <c r="G1481" s="35" t="n"/>
      <c r="H1481" s="32" t="n"/>
      <c r="I1481" s="32" t="n"/>
      <c r="J1481" s="32" t="n"/>
      <c r="K1481" s="36">
        <f>IF(E1481&lt;&gt;"",E1481,IF(AND(F1481&lt;&gt;"",G1481&lt;&gt;""),MOD(G1481-F1481,1)*24,""))</f>
        <v/>
      </c>
      <c r="L1481" s="37">
        <f>IF(A1481="","",CHOOSE(WEEKDAY(A1481,2),"Montag","Dienstag","Mittwoch","Donnerstag","Freitag","Samstag","Sonntag"))</f>
        <v/>
      </c>
      <c r="M1481" s="37">
        <f>IF(A1481="","",_xlfn.ISOWEEKNUM(A1481))</f>
        <v/>
      </c>
      <c r="N1481" s="38">
        <f>IF(A1481="","",DATE(YEAR(A1481),MONTH(A1481),1))</f>
        <v/>
      </c>
    </row>
    <row r="1482">
      <c r="A1482" s="31" t="n"/>
      <c r="B1482" s="32" t="n"/>
      <c r="C1482" s="32" t="n"/>
      <c r="D1482" s="33" t="n"/>
      <c r="E1482" s="34" t="n"/>
      <c r="F1482" s="35" t="n"/>
      <c r="G1482" s="35" t="n"/>
      <c r="H1482" s="32" t="n"/>
      <c r="I1482" s="32" t="n"/>
      <c r="J1482" s="32" t="n"/>
      <c r="K1482" s="36">
        <f>IF(E1482&lt;&gt;"",E1482,IF(AND(F1482&lt;&gt;"",G1482&lt;&gt;""),MOD(G1482-F1482,1)*24,""))</f>
        <v/>
      </c>
      <c r="L1482" s="37">
        <f>IF(A1482="","",CHOOSE(WEEKDAY(A1482,2),"Montag","Dienstag","Mittwoch","Donnerstag","Freitag","Samstag","Sonntag"))</f>
        <v/>
      </c>
      <c r="M1482" s="37">
        <f>IF(A1482="","",_xlfn.ISOWEEKNUM(A1482))</f>
        <v/>
      </c>
      <c r="N1482" s="38">
        <f>IF(A1482="","",DATE(YEAR(A1482),MONTH(A1482),1))</f>
        <v/>
      </c>
    </row>
    <row r="1483">
      <c r="A1483" s="31" t="n"/>
      <c r="B1483" s="32" t="n"/>
      <c r="C1483" s="32" t="n"/>
      <c r="D1483" s="33" t="n"/>
      <c r="E1483" s="34" t="n"/>
      <c r="F1483" s="35" t="n"/>
      <c r="G1483" s="35" t="n"/>
      <c r="H1483" s="32" t="n"/>
      <c r="I1483" s="32" t="n"/>
      <c r="J1483" s="32" t="n"/>
      <c r="K1483" s="36">
        <f>IF(E1483&lt;&gt;"",E1483,IF(AND(F1483&lt;&gt;"",G1483&lt;&gt;""),MOD(G1483-F1483,1)*24,""))</f>
        <v/>
      </c>
      <c r="L1483" s="37">
        <f>IF(A1483="","",CHOOSE(WEEKDAY(A1483,2),"Montag","Dienstag","Mittwoch","Donnerstag","Freitag","Samstag","Sonntag"))</f>
        <v/>
      </c>
      <c r="M1483" s="37">
        <f>IF(A1483="","",_xlfn.ISOWEEKNUM(A1483))</f>
        <v/>
      </c>
      <c r="N1483" s="38">
        <f>IF(A1483="","",DATE(YEAR(A1483),MONTH(A1483),1))</f>
        <v/>
      </c>
    </row>
    <row r="1484">
      <c r="A1484" s="31" t="n"/>
      <c r="B1484" s="32" t="n"/>
      <c r="C1484" s="32" t="n"/>
      <c r="D1484" s="33" t="n"/>
      <c r="E1484" s="34" t="n"/>
      <c r="F1484" s="35" t="n"/>
      <c r="G1484" s="35" t="n"/>
      <c r="H1484" s="32" t="n"/>
      <c r="I1484" s="32" t="n"/>
      <c r="J1484" s="32" t="n"/>
      <c r="K1484" s="36">
        <f>IF(E1484&lt;&gt;"",E1484,IF(AND(F1484&lt;&gt;"",G1484&lt;&gt;""),MOD(G1484-F1484,1)*24,""))</f>
        <v/>
      </c>
      <c r="L1484" s="37">
        <f>IF(A1484="","",CHOOSE(WEEKDAY(A1484,2),"Montag","Dienstag","Mittwoch","Donnerstag","Freitag","Samstag","Sonntag"))</f>
        <v/>
      </c>
      <c r="M1484" s="37">
        <f>IF(A1484="","",_xlfn.ISOWEEKNUM(A1484))</f>
        <v/>
      </c>
      <c r="N1484" s="38">
        <f>IF(A1484="","",DATE(YEAR(A1484),MONTH(A1484),1))</f>
        <v/>
      </c>
    </row>
    <row r="1485">
      <c r="A1485" s="31" t="n"/>
      <c r="B1485" s="32" t="n"/>
      <c r="C1485" s="32" t="n"/>
      <c r="D1485" s="33" t="n"/>
      <c r="E1485" s="34" t="n"/>
      <c r="F1485" s="35" t="n"/>
      <c r="G1485" s="35" t="n"/>
      <c r="H1485" s="32" t="n"/>
      <c r="I1485" s="32" t="n"/>
      <c r="J1485" s="32" t="n"/>
      <c r="K1485" s="36">
        <f>IF(E1485&lt;&gt;"",E1485,IF(AND(F1485&lt;&gt;"",G1485&lt;&gt;""),MOD(G1485-F1485,1)*24,""))</f>
        <v/>
      </c>
      <c r="L1485" s="37">
        <f>IF(A1485="","",CHOOSE(WEEKDAY(A1485,2),"Montag","Dienstag","Mittwoch","Donnerstag","Freitag","Samstag","Sonntag"))</f>
        <v/>
      </c>
      <c r="M1485" s="37">
        <f>IF(A1485="","",_xlfn.ISOWEEKNUM(A1485))</f>
        <v/>
      </c>
      <c r="N1485" s="38">
        <f>IF(A1485="","",DATE(YEAR(A1485),MONTH(A1485),1))</f>
        <v/>
      </c>
    </row>
    <row r="1486">
      <c r="A1486" s="31" t="n"/>
      <c r="B1486" s="32" t="n"/>
      <c r="C1486" s="32" t="n"/>
      <c r="D1486" s="33" t="n"/>
      <c r="E1486" s="34" t="n"/>
      <c r="F1486" s="35" t="n"/>
      <c r="G1486" s="35" t="n"/>
      <c r="H1486" s="32" t="n"/>
      <c r="I1486" s="32" t="n"/>
      <c r="J1486" s="32" t="n"/>
      <c r="K1486" s="36">
        <f>IF(E1486&lt;&gt;"",E1486,IF(AND(F1486&lt;&gt;"",G1486&lt;&gt;""),MOD(G1486-F1486,1)*24,""))</f>
        <v/>
      </c>
      <c r="L1486" s="37">
        <f>IF(A1486="","",CHOOSE(WEEKDAY(A1486,2),"Montag","Dienstag","Mittwoch","Donnerstag","Freitag","Samstag","Sonntag"))</f>
        <v/>
      </c>
      <c r="M1486" s="37">
        <f>IF(A1486="","",_xlfn.ISOWEEKNUM(A1486))</f>
        <v/>
      </c>
      <c r="N1486" s="38">
        <f>IF(A1486="","",DATE(YEAR(A1486),MONTH(A1486),1))</f>
        <v/>
      </c>
    </row>
    <row r="1487">
      <c r="A1487" s="31" t="n"/>
      <c r="B1487" s="32" t="n"/>
      <c r="C1487" s="32" t="n"/>
      <c r="D1487" s="33" t="n"/>
      <c r="E1487" s="34" t="n"/>
      <c r="F1487" s="35" t="n"/>
      <c r="G1487" s="35" t="n"/>
      <c r="H1487" s="32" t="n"/>
      <c r="I1487" s="32" t="n"/>
      <c r="J1487" s="32" t="n"/>
      <c r="K1487" s="36">
        <f>IF(E1487&lt;&gt;"",E1487,IF(AND(F1487&lt;&gt;"",G1487&lt;&gt;""),MOD(G1487-F1487,1)*24,""))</f>
        <v/>
      </c>
      <c r="L1487" s="37">
        <f>IF(A1487="","",CHOOSE(WEEKDAY(A1487,2),"Montag","Dienstag","Mittwoch","Donnerstag","Freitag","Samstag","Sonntag"))</f>
        <v/>
      </c>
      <c r="M1487" s="37">
        <f>IF(A1487="","",_xlfn.ISOWEEKNUM(A1487))</f>
        <v/>
      </c>
      <c r="N1487" s="38">
        <f>IF(A1487="","",DATE(YEAR(A1487),MONTH(A1487),1))</f>
        <v/>
      </c>
    </row>
    <row r="1488">
      <c r="A1488" s="31" t="n"/>
      <c r="B1488" s="32" t="n"/>
      <c r="C1488" s="32" t="n"/>
      <c r="D1488" s="33" t="n"/>
      <c r="E1488" s="34" t="n"/>
      <c r="F1488" s="35" t="n"/>
      <c r="G1488" s="35" t="n"/>
      <c r="H1488" s="32" t="n"/>
      <c r="I1488" s="32" t="n"/>
      <c r="J1488" s="32" t="n"/>
      <c r="K1488" s="36">
        <f>IF(E1488&lt;&gt;"",E1488,IF(AND(F1488&lt;&gt;"",G1488&lt;&gt;""),MOD(G1488-F1488,1)*24,""))</f>
        <v/>
      </c>
      <c r="L1488" s="37">
        <f>IF(A1488="","",CHOOSE(WEEKDAY(A1488,2),"Montag","Dienstag","Mittwoch","Donnerstag","Freitag","Samstag","Sonntag"))</f>
        <v/>
      </c>
      <c r="M1488" s="37">
        <f>IF(A1488="","",_xlfn.ISOWEEKNUM(A1488))</f>
        <v/>
      </c>
      <c r="N1488" s="38">
        <f>IF(A1488="","",DATE(YEAR(A1488),MONTH(A1488),1))</f>
        <v/>
      </c>
    </row>
    <row r="1489">
      <c r="A1489" s="31" t="n"/>
      <c r="B1489" s="32" t="n"/>
      <c r="C1489" s="32" t="n"/>
      <c r="D1489" s="33" t="n"/>
      <c r="E1489" s="34" t="n"/>
      <c r="F1489" s="35" t="n"/>
      <c r="G1489" s="35" t="n"/>
      <c r="H1489" s="32" t="n"/>
      <c r="I1489" s="32" t="n"/>
      <c r="J1489" s="32" t="n"/>
      <c r="K1489" s="36">
        <f>IF(E1489&lt;&gt;"",E1489,IF(AND(F1489&lt;&gt;"",G1489&lt;&gt;""),MOD(G1489-F1489,1)*24,""))</f>
        <v/>
      </c>
      <c r="L1489" s="37">
        <f>IF(A1489="","",CHOOSE(WEEKDAY(A1489,2),"Montag","Dienstag","Mittwoch","Donnerstag","Freitag","Samstag","Sonntag"))</f>
        <v/>
      </c>
      <c r="M1489" s="37">
        <f>IF(A1489="","",_xlfn.ISOWEEKNUM(A1489))</f>
        <v/>
      </c>
      <c r="N1489" s="38">
        <f>IF(A1489="","",DATE(YEAR(A1489),MONTH(A1489),1))</f>
        <v/>
      </c>
    </row>
    <row r="1490">
      <c r="A1490" s="31" t="n"/>
      <c r="B1490" s="32" t="n"/>
      <c r="C1490" s="32" t="n"/>
      <c r="D1490" s="33" t="n"/>
      <c r="E1490" s="34" t="n"/>
      <c r="F1490" s="35" t="n"/>
      <c r="G1490" s="35" t="n"/>
      <c r="H1490" s="32" t="n"/>
      <c r="I1490" s="32" t="n"/>
      <c r="J1490" s="32" t="n"/>
      <c r="K1490" s="36">
        <f>IF(E1490&lt;&gt;"",E1490,IF(AND(F1490&lt;&gt;"",G1490&lt;&gt;""),MOD(G1490-F1490,1)*24,""))</f>
        <v/>
      </c>
      <c r="L1490" s="37">
        <f>IF(A1490="","",CHOOSE(WEEKDAY(A1490,2),"Montag","Dienstag","Mittwoch","Donnerstag","Freitag","Samstag","Sonntag"))</f>
        <v/>
      </c>
      <c r="M1490" s="37">
        <f>IF(A1490="","",_xlfn.ISOWEEKNUM(A1490))</f>
        <v/>
      </c>
      <c r="N1490" s="38">
        <f>IF(A1490="","",DATE(YEAR(A1490),MONTH(A1490),1))</f>
        <v/>
      </c>
    </row>
    <row r="1491">
      <c r="A1491" s="31" t="n"/>
      <c r="B1491" s="32" t="n"/>
      <c r="C1491" s="32" t="n"/>
      <c r="D1491" s="33" t="n"/>
      <c r="E1491" s="34" t="n"/>
      <c r="F1491" s="35" t="n"/>
      <c r="G1491" s="35" t="n"/>
      <c r="H1491" s="32" t="n"/>
      <c r="I1491" s="32" t="n"/>
      <c r="J1491" s="32" t="n"/>
      <c r="K1491" s="36">
        <f>IF(E1491&lt;&gt;"",E1491,IF(AND(F1491&lt;&gt;"",G1491&lt;&gt;""),MOD(G1491-F1491,1)*24,""))</f>
        <v/>
      </c>
      <c r="L1491" s="37">
        <f>IF(A1491="","",CHOOSE(WEEKDAY(A1491,2),"Montag","Dienstag","Mittwoch","Donnerstag","Freitag","Samstag","Sonntag"))</f>
        <v/>
      </c>
      <c r="M1491" s="37">
        <f>IF(A1491="","",_xlfn.ISOWEEKNUM(A1491))</f>
        <v/>
      </c>
      <c r="N1491" s="38">
        <f>IF(A1491="","",DATE(YEAR(A1491),MONTH(A1491),1))</f>
        <v/>
      </c>
    </row>
    <row r="1492">
      <c r="A1492" s="31" t="n"/>
      <c r="B1492" s="32" t="n"/>
      <c r="C1492" s="32" t="n"/>
      <c r="D1492" s="33" t="n"/>
      <c r="E1492" s="34" t="n"/>
      <c r="F1492" s="35" t="n"/>
      <c r="G1492" s="35" t="n"/>
      <c r="H1492" s="32" t="n"/>
      <c r="I1492" s="32" t="n"/>
      <c r="J1492" s="32" t="n"/>
      <c r="K1492" s="36">
        <f>IF(E1492&lt;&gt;"",E1492,IF(AND(F1492&lt;&gt;"",G1492&lt;&gt;""),MOD(G1492-F1492,1)*24,""))</f>
        <v/>
      </c>
      <c r="L1492" s="37">
        <f>IF(A1492="","",CHOOSE(WEEKDAY(A1492,2),"Montag","Dienstag","Mittwoch","Donnerstag","Freitag","Samstag","Sonntag"))</f>
        <v/>
      </c>
      <c r="M1492" s="37">
        <f>IF(A1492="","",_xlfn.ISOWEEKNUM(A1492))</f>
        <v/>
      </c>
      <c r="N1492" s="38">
        <f>IF(A1492="","",DATE(YEAR(A1492),MONTH(A1492),1))</f>
        <v/>
      </c>
    </row>
    <row r="1493">
      <c r="A1493" s="31" t="n"/>
      <c r="B1493" s="32" t="n"/>
      <c r="C1493" s="32" t="n"/>
      <c r="D1493" s="33" t="n"/>
      <c r="E1493" s="34" t="n"/>
      <c r="F1493" s="35" t="n"/>
      <c r="G1493" s="35" t="n"/>
      <c r="H1493" s="32" t="n"/>
      <c r="I1493" s="32" t="n"/>
      <c r="J1493" s="32" t="n"/>
      <c r="K1493" s="36">
        <f>IF(E1493&lt;&gt;"",E1493,IF(AND(F1493&lt;&gt;"",G1493&lt;&gt;""),MOD(G1493-F1493,1)*24,""))</f>
        <v/>
      </c>
      <c r="L1493" s="37">
        <f>IF(A1493="","",CHOOSE(WEEKDAY(A1493,2),"Montag","Dienstag","Mittwoch","Donnerstag","Freitag","Samstag","Sonntag"))</f>
        <v/>
      </c>
      <c r="M1493" s="37">
        <f>IF(A1493="","",_xlfn.ISOWEEKNUM(A1493))</f>
        <v/>
      </c>
      <c r="N1493" s="38">
        <f>IF(A1493="","",DATE(YEAR(A1493),MONTH(A1493),1))</f>
        <v/>
      </c>
    </row>
    <row r="1494">
      <c r="A1494" s="31" t="n"/>
      <c r="B1494" s="32" t="n"/>
      <c r="C1494" s="32" t="n"/>
      <c r="D1494" s="33" t="n"/>
      <c r="E1494" s="34" t="n"/>
      <c r="F1494" s="35" t="n"/>
      <c r="G1494" s="35" t="n"/>
      <c r="H1494" s="32" t="n"/>
      <c r="I1494" s="32" t="n"/>
      <c r="J1494" s="32" t="n"/>
      <c r="K1494" s="36">
        <f>IF(E1494&lt;&gt;"",E1494,IF(AND(F1494&lt;&gt;"",G1494&lt;&gt;""),MOD(G1494-F1494,1)*24,""))</f>
        <v/>
      </c>
      <c r="L1494" s="37">
        <f>IF(A1494="","",CHOOSE(WEEKDAY(A1494,2),"Montag","Dienstag","Mittwoch","Donnerstag","Freitag","Samstag","Sonntag"))</f>
        <v/>
      </c>
      <c r="M1494" s="37">
        <f>IF(A1494="","",_xlfn.ISOWEEKNUM(A1494))</f>
        <v/>
      </c>
      <c r="N1494" s="38">
        <f>IF(A1494="","",DATE(YEAR(A1494),MONTH(A1494),1))</f>
        <v/>
      </c>
    </row>
    <row r="1495">
      <c r="A1495" s="31" t="n"/>
      <c r="B1495" s="32" t="n"/>
      <c r="C1495" s="32" t="n"/>
      <c r="D1495" s="33" t="n"/>
      <c r="E1495" s="34" t="n"/>
      <c r="F1495" s="35" t="n"/>
      <c r="G1495" s="35" t="n"/>
      <c r="H1495" s="32" t="n"/>
      <c r="I1495" s="32" t="n"/>
      <c r="J1495" s="32" t="n"/>
      <c r="K1495" s="36">
        <f>IF(E1495&lt;&gt;"",E1495,IF(AND(F1495&lt;&gt;"",G1495&lt;&gt;""),MOD(G1495-F1495,1)*24,""))</f>
        <v/>
      </c>
      <c r="L1495" s="37">
        <f>IF(A1495="","",CHOOSE(WEEKDAY(A1495,2),"Montag","Dienstag","Mittwoch","Donnerstag","Freitag","Samstag","Sonntag"))</f>
        <v/>
      </c>
      <c r="M1495" s="37">
        <f>IF(A1495="","",_xlfn.ISOWEEKNUM(A1495))</f>
        <v/>
      </c>
      <c r="N1495" s="38">
        <f>IF(A1495="","",DATE(YEAR(A1495),MONTH(A1495),1))</f>
        <v/>
      </c>
    </row>
    <row r="1496">
      <c r="A1496" s="31" t="n"/>
      <c r="B1496" s="32" t="n"/>
      <c r="C1496" s="32" t="n"/>
      <c r="D1496" s="33" t="n"/>
      <c r="E1496" s="34" t="n"/>
      <c r="F1496" s="35" t="n"/>
      <c r="G1496" s="35" t="n"/>
      <c r="H1496" s="32" t="n"/>
      <c r="I1496" s="32" t="n"/>
      <c r="J1496" s="32" t="n"/>
      <c r="K1496" s="36">
        <f>IF(E1496&lt;&gt;"",E1496,IF(AND(F1496&lt;&gt;"",G1496&lt;&gt;""),MOD(G1496-F1496,1)*24,""))</f>
        <v/>
      </c>
      <c r="L1496" s="37">
        <f>IF(A1496="","",CHOOSE(WEEKDAY(A1496,2),"Montag","Dienstag","Mittwoch","Donnerstag","Freitag","Samstag","Sonntag"))</f>
        <v/>
      </c>
      <c r="M1496" s="37">
        <f>IF(A1496="","",_xlfn.ISOWEEKNUM(A1496))</f>
        <v/>
      </c>
      <c r="N1496" s="38">
        <f>IF(A1496="","",DATE(YEAR(A1496),MONTH(A1496),1))</f>
        <v/>
      </c>
    </row>
    <row r="1497">
      <c r="A1497" s="31" t="n"/>
      <c r="B1497" s="32" t="n"/>
      <c r="C1497" s="32" t="n"/>
      <c r="D1497" s="33" t="n"/>
      <c r="E1497" s="34" t="n"/>
      <c r="F1497" s="35" t="n"/>
      <c r="G1497" s="35" t="n"/>
      <c r="H1497" s="32" t="n"/>
      <c r="I1497" s="32" t="n"/>
      <c r="J1497" s="32" t="n"/>
      <c r="K1497" s="36">
        <f>IF(E1497&lt;&gt;"",E1497,IF(AND(F1497&lt;&gt;"",G1497&lt;&gt;""),MOD(G1497-F1497,1)*24,""))</f>
        <v/>
      </c>
      <c r="L1497" s="37">
        <f>IF(A1497="","",CHOOSE(WEEKDAY(A1497,2),"Montag","Dienstag","Mittwoch","Donnerstag","Freitag","Samstag","Sonntag"))</f>
        <v/>
      </c>
      <c r="M1497" s="37">
        <f>IF(A1497="","",_xlfn.ISOWEEKNUM(A1497))</f>
        <v/>
      </c>
      <c r="N1497" s="38">
        <f>IF(A1497="","",DATE(YEAR(A1497),MONTH(A1497),1))</f>
        <v/>
      </c>
    </row>
    <row r="1498">
      <c r="A1498" s="31" t="n"/>
      <c r="B1498" s="32" t="n"/>
      <c r="C1498" s="32" t="n"/>
      <c r="D1498" s="33" t="n"/>
      <c r="E1498" s="34" t="n"/>
      <c r="F1498" s="35" t="n"/>
      <c r="G1498" s="35" t="n"/>
      <c r="H1498" s="32" t="n"/>
      <c r="I1498" s="32" t="n"/>
      <c r="J1498" s="32" t="n"/>
      <c r="K1498" s="36">
        <f>IF(E1498&lt;&gt;"",E1498,IF(AND(F1498&lt;&gt;"",G1498&lt;&gt;""),MOD(G1498-F1498,1)*24,""))</f>
        <v/>
      </c>
      <c r="L1498" s="37">
        <f>IF(A1498="","",CHOOSE(WEEKDAY(A1498,2),"Montag","Dienstag","Mittwoch","Donnerstag","Freitag","Samstag","Sonntag"))</f>
        <v/>
      </c>
      <c r="M1498" s="37">
        <f>IF(A1498="","",_xlfn.ISOWEEKNUM(A1498))</f>
        <v/>
      </c>
      <c r="N1498" s="38">
        <f>IF(A1498="","",DATE(YEAR(A1498),MONTH(A1498),1))</f>
        <v/>
      </c>
    </row>
    <row r="1499">
      <c r="A1499" s="31" t="n"/>
      <c r="B1499" s="32" t="n"/>
      <c r="C1499" s="32" t="n"/>
      <c r="D1499" s="33" t="n"/>
      <c r="E1499" s="34" t="n"/>
      <c r="F1499" s="35" t="n"/>
      <c r="G1499" s="35" t="n"/>
      <c r="H1499" s="32" t="n"/>
      <c r="I1499" s="32" t="n"/>
      <c r="J1499" s="32" t="n"/>
      <c r="K1499" s="36">
        <f>IF(E1499&lt;&gt;"",E1499,IF(AND(F1499&lt;&gt;"",G1499&lt;&gt;""),MOD(G1499-F1499,1)*24,""))</f>
        <v/>
      </c>
      <c r="L1499" s="37">
        <f>IF(A1499="","",CHOOSE(WEEKDAY(A1499,2),"Montag","Dienstag","Mittwoch","Donnerstag","Freitag","Samstag","Sonntag"))</f>
        <v/>
      </c>
      <c r="M1499" s="37">
        <f>IF(A1499="","",_xlfn.ISOWEEKNUM(A1499))</f>
        <v/>
      </c>
      <c r="N1499" s="38">
        <f>IF(A1499="","",DATE(YEAR(A1499),MONTH(A1499),1))</f>
        <v/>
      </c>
    </row>
    <row r="1500">
      <c r="A1500" s="31" t="n"/>
      <c r="B1500" s="32" t="n"/>
      <c r="C1500" s="32" t="n"/>
      <c r="D1500" s="33" t="n"/>
      <c r="E1500" s="34" t="n"/>
      <c r="F1500" s="35" t="n"/>
      <c r="G1500" s="35" t="n"/>
      <c r="H1500" s="32" t="n"/>
      <c r="I1500" s="32" t="n"/>
      <c r="J1500" s="32" t="n"/>
      <c r="K1500" s="36">
        <f>IF(E1500&lt;&gt;"",E1500,IF(AND(F1500&lt;&gt;"",G1500&lt;&gt;""),MOD(G1500-F1500,1)*24,""))</f>
        <v/>
      </c>
      <c r="L1500" s="37">
        <f>IF(A1500="","",CHOOSE(WEEKDAY(A1500,2),"Montag","Dienstag","Mittwoch","Donnerstag","Freitag","Samstag","Sonntag"))</f>
        <v/>
      </c>
      <c r="M1500" s="37">
        <f>IF(A1500="","",_xlfn.ISOWEEKNUM(A1500))</f>
        <v/>
      </c>
      <c r="N1500" s="38">
        <f>IF(A1500="","",DATE(YEAR(A1500),MONTH(A1500),1))</f>
        <v/>
      </c>
    </row>
    <row r="1501">
      <c r="A1501" s="31" t="n"/>
      <c r="B1501" s="32" t="n"/>
      <c r="C1501" s="32" t="n"/>
      <c r="D1501" s="33" t="n"/>
      <c r="E1501" s="34" t="n"/>
      <c r="F1501" s="35" t="n"/>
      <c r="G1501" s="35" t="n"/>
      <c r="H1501" s="32" t="n"/>
      <c r="I1501" s="32" t="n"/>
      <c r="J1501" s="32" t="n"/>
      <c r="K1501" s="36">
        <f>IF(E1501&lt;&gt;"",E1501,IF(AND(F1501&lt;&gt;"",G1501&lt;&gt;""),MOD(G1501-F1501,1)*24,""))</f>
        <v/>
      </c>
      <c r="L1501" s="37">
        <f>IF(A1501="","",CHOOSE(WEEKDAY(A1501,2),"Montag","Dienstag","Mittwoch","Donnerstag","Freitag","Samstag","Sonntag"))</f>
        <v/>
      </c>
      <c r="M1501" s="37">
        <f>IF(A1501="","",_xlfn.ISOWEEKNUM(A1501))</f>
        <v/>
      </c>
      <c r="N1501" s="38">
        <f>IF(A1501="","",DATE(YEAR(A1501),MONTH(A1501),1))</f>
        <v/>
      </c>
    </row>
    <row r="1502">
      <c r="A1502" s="31" t="n"/>
      <c r="B1502" s="32" t="n"/>
      <c r="C1502" s="32" t="n"/>
      <c r="D1502" s="33" t="n"/>
      <c r="E1502" s="34" t="n"/>
      <c r="F1502" s="35" t="n"/>
      <c r="G1502" s="35" t="n"/>
      <c r="H1502" s="32" t="n"/>
      <c r="I1502" s="32" t="n"/>
      <c r="J1502" s="32" t="n"/>
      <c r="K1502" s="36">
        <f>IF(E1502&lt;&gt;"",E1502,IF(AND(F1502&lt;&gt;"",G1502&lt;&gt;""),MOD(G1502-F1502,1)*24,""))</f>
        <v/>
      </c>
      <c r="L1502" s="37">
        <f>IF(A1502="","",CHOOSE(WEEKDAY(A1502,2),"Montag","Dienstag","Mittwoch","Donnerstag","Freitag","Samstag","Sonntag"))</f>
        <v/>
      </c>
      <c r="M1502" s="37">
        <f>IF(A1502="","",_xlfn.ISOWEEKNUM(A1502))</f>
        <v/>
      </c>
      <c r="N1502" s="38">
        <f>IF(A1502="","",DATE(YEAR(A1502),MONTH(A1502),1))</f>
        <v/>
      </c>
    </row>
    <row r="1503">
      <c r="A1503" s="31" t="n"/>
      <c r="B1503" s="32" t="n"/>
      <c r="C1503" s="32" t="n"/>
      <c r="D1503" s="33" t="n"/>
      <c r="E1503" s="34" t="n"/>
      <c r="F1503" s="35" t="n"/>
      <c r="G1503" s="35" t="n"/>
      <c r="H1503" s="32" t="n"/>
      <c r="I1503" s="32" t="n"/>
      <c r="J1503" s="32" t="n"/>
      <c r="K1503" s="36">
        <f>IF(E1503&lt;&gt;"",E1503,IF(AND(F1503&lt;&gt;"",G1503&lt;&gt;""),MOD(G1503-F1503,1)*24,""))</f>
        <v/>
      </c>
      <c r="L1503" s="37">
        <f>IF(A1503="","",CHOOSE(WEEKDAY(A1503,2),"Montag","Dienstag","Mittwoch","Donnerstag","Freitag","Samstag","Sonntag"))</f>
        <v/>
      </c>
      <c r="M1503" s="37">
        <f>IF(A1503="","",_xlfn.ISOWEEKNUM(A1503))</f>
        <v/>
      </c>
      <c r="N1503" s="38">
        <f>IF(A1503="","",DATE(YEAR(A1503),MONTH(A1503),1))</f>
        <v/>
      </c>
    </row>
    <row r="1504">
      <c r="A1504" s="31" t="n"/>
      <c r="B1504" s="32" t="n"/>
      <c r="C1504" s="32" t="n"/>
      <c r="D1504" s="33" t="n"/>
      <c r="E1504" s="34" t="n"/>
      <c r="F1504" s="35" t="n"/>
      <c r="G1504" s="35" t="n"/>
      <c r="H1504" s="32" t="n"/>
      <c r="I1504" s="32" t="n"/>
      <c r="J1504" s="32" t="n"/>
      <c r="K1504" s="36">
        <f>IF(E1504&lt;&gt;"",E1504,IF(AND(F1504&lt;&gt;"",G1504&lt;&gt;""),MOD(G1504-F1504,1)*24,""))</f>
        <v/>
      </c>
      <c r="L1504" s="37">
        <f>IF(A1504="","",CHOOSE(WEEKDAY(A1504,2),"Montag","Dienstag","Mittwoch","Donnerstag","Freitag","Samstag","Sonntag"))</f>
        <v/>
      </c>
      <c r="M1504" s="37">
        <f>IF(A1504="","",_xlfn.ISOWEEKNUM(A1504))</f>
        <v/>
      </c>
      <c r="N1504" s="38">
        <f>IF(A1504="","",DATE(YEAR(A1504),MONTH(A1504),1))</f>
        <v/>
      </c>
    </row>
    <row r="1505">
      <c r="A1505" s="31" t="n"/>
      <c r="B1505" s="32" t="n"/>
      <c r="C1505" s="32" t="n"/>
      <c r="D1505" s="33" t="n"/>
      <c r="E1505" s="34" t="n"/>
      <c r="F1505" s="35" t="n"/>
      <c r="G1505" s="35" t="n"/>
      <c r="H1505" s="32" t="n"/>
      <c r="I1505" s="32" t="n"/>
      <c r="J1505" s="32" t="n"/>
      <c r="K1505" s="36">
        <f>IF(E1505&lt;&gt;"",E1505,IF(AND(F1505&lt;&gt;"",G1505&lt;&gt;""),MOD(G1505-F1505,1)*24,""))</f>
        <v/>
      </c>
      <c r="L1505" s="37">
        <f>IF(A1505="","",CHOOSE(WEEKDAY(A1505,2),"Montag","Dienstag","Mittwoch","Donnerstag","Freitag","Samstag","Sonntag"))</f>
        <v/>
      </c>
      <c r="M1505" s="37">
        <f>IF(A1505="","",_xlfn.ISOWEEKNUM(A1505))</f>
        <v/>
      </c>
      <c r="N1505" s="38">
        <f>IF(A1505="","",DATE(YEAR(A1505),MONTH(A1505),1))</f>
        <v/>
      </c>
    </row>
    <row r="1506">
      <c r="A1506" s="31" t="n"/>
      <c r="B1506" s="32" t="n"/>
      <c r="C1506" s="32" t="n"/>
      <c r="D1506" s="33" t="n"/>
      <c r="E1506" s="34" t="n"/>
      <c r="F1506" s="35" t="n"/>
      <c r="G1506" s="35" t="n"/>
      <c r="H1506" s="32" t="n"/>
      <c r="I1506" s="32" t="n"/>
      <c r="J1506" s="32" t="n"/>
      <c r="K1506" s="36">
        <f>IF(E1506&lt;&gt;"",E1506,IF(AND(F1506&lt;&gt;"",G1506&lt;&gt;""),MOD(G1506-F1506,1)*24,""))</f>
        <v/>
      </c>
      <c r="L1506" s="37">
        <f>IF(A1506="","",CHOOSE(WEEKDAY(A1506,2),"Montag","Dienstag","Mittwoch","Donnerstag","Freitag","Samstag","Sonntag"))</f>
        <v/>
      </c>
      <c r="M1506" s="37">
        <f>IF(A1506="","",_xlfn.ISOWEEKNUM(A1506))</f>
        <v/>
      </c>
      <c r="N1506" s="38">
        <f>IF(A1506="","",DATE(YEAR(A1506),MONTH(A1506),1))</f>
        <v/>
      </c>
    </row>
    <row r="1507">
      <c r="A1507" s="31" t="n"/>
      <c r="B1507" s="32" t="n"/>
      <c r="C1507" s="32" t="n"/>
      <c r="D1507" s="33" t="n"/>
      <c r="E1507" s="34" t="n"/>
      <c r="F1507" s="35" t="n"/>
      <c r="G1507" s="35" t="n"/>
      <c r="H1507" s="32" t="n"/>
      <c r="I1507" s="32" t="n"/>
      <c r="J1507" s="32" t="n"/>
      <c r="K1507" s="36">
        <f>IF(E1507&lt;&gt;"",E1507,IF(AND(F1507&lt;&gt;"",G1507&lt;&gt;""),MOD(G1507-F1507,1)*24,""))</f>
        <v/>
      </c>
      <c r="L1507" s="37">
        <f>IF(A1507="","",CHOOSE(WEEKDAY(A1507,2),"Montag","Dienstag","Mittwoch","Donnerstag","Freitag","Samstag","Sonntag"))</f>
        <v/>
      </c>
      <c r="M1507" s="37">
        <f>IF(A1507="","",_xlfn.ISOWEEKNUM(A1507))</f>
        <v/>
      </c>
      <c r="N1507" s="38">
        <f>IF(A1507="","",DATE(YEAR(A1507),MONTH(A1507),1))</f>
        <v/>
      </c>
    </row>
    <row r="1508">
      <c r="A1508" s="31" t="n"/>
      <c r="B1508" s="32" t="n"/>
      <c r="C1508" s="32" t="n"/>
      <c r="D1508" s="33" t="n"/>
      <c r="E1508" s="34" t="n"/>
      <c r="F1508" s="35" t="n"/>
      <c r="G1508" s="35" t="n"/>
      <c r="H1508" s="32" t="n"/>
      <c r="I1508" s="32" t="n"/>
      <c r="J1508" s="32" t="n"/>
      <c r="K1508" s="36">
        <f>IF(E1508&lt;&gt;"",E1508,IF(AND(F1508&lt;&gt;"",G1508&lt;&gt;""),MOD(G1508-F1508,1)*24,""))</f>
        <v/>
      </c>
      <c r="L1508" s="37">
        <f>IF(A1508="","",CHOOSE(WEEKDAY(A1508,2),"Montag","Dienstag","Mittwoch","Donnerstag","Freitag","Samstag","Sonntag"))</f>
        <v/>
      </c>
      <c r="M1508" s="37">
        <f>IF(A1508="","",_xlfn.ISOWEEKNUM(A1508))</f>
        <v/>
      </c>
      <c r="N1508" s="38">
        <f>IF(A1508="","",DATE(YEAR(A1508),MONTH(A1508),1))</f>
        <v/>
      </c>
    </row>
    <row r="1509">
      <c r="A1509" s="31" t="n"/>
      <c r="B1509" s="32" t="n"/>
      <c r="C1509" s="32" t="n"/>
      <c r="D1509" s="33" t="n"/>
      <c r="E1509" s="34" t="n"/>
      <c r="F1509" s="35" t="n"/>
      <c r="G1509" s="35" t="n"/>
      <c r="H1509" s="32" t="n"/>
      <c r="I1509" s="32" t="n"/>
      <c r="J1509" s="32" t="n"/>
      <c r="K1509" s="36">
        <f>IF(E1509&lt;&gt;"",E1509,IF(AND(F1509&lt;&gt;"",G1509&lt;&gt;""),MOD(G1509-F1509,1)*24,""))</f>
        <v/>
      </c>
      <c r="L1509" s="37">
        <f>IF(A1509="","",CHOOSE(WEEKDAY(A1509,2),"Montag","Dienstag","Mittwoch","Donnerstag","Freitag","Samstag","Sonntag"))</f>
        <v/>
      </c>
      <c r="M1509" s="37">
        <f>IF(A1509="","",_xlfn.ISOWEEKNUM(A1509))</f>
        <v/>
      </c>
      <c r="N1509" s="38">
        <f>IF(A1509="","",DATE(YEAR(A1509),MONTH(A1509),1))</f>
        <v/>
      </c>
    </row>
    <row r="1510">
      <c r="A1510" s="31" t="n"/>
      <c r="B1510" s="32" t="n"/>
      <c r="C1510" s="32" t="n"/>
      <c r="D1510" s="33" t="n"/>
      <c r="E1510" s="34" t="n"/>
      <c r="F1510" s="35" t="n"/>
      <c r="G1510" s="35" t="n"/>
      <c r="H1510" s="32" t="n"/>
      <c r="I1510" s="32" t="n"/>
      <c r="J1510" s="32" t="n"/>
      <c r="K1510" s="36">
        <f>IF(E1510&lt;&gt;"",E1510,IF(AND(F1510&lt;&gt;"",G1510&lt;&gt;""),MOD(G1510-F1510,1)*24,""))</f>
        <v/>
      </c>
      <c r="L1510" s="37">
        <f>IF(A1510="","",CHOOSE(WEEKDAY(A1510,2),"Montag","Dienstag","Mittwoch","Donnerstag","Freitag","Samstag","Sonntag"))</f>
        <v/>
      </c>
      <c r="M1510" s="37">
        <f>IF(A1510="","",_xlfn.ISOWEEKNUM(A1510))</f>
        <v/>
      </c>
      <c r="N1510" s="38">
        <f>IF(A1510="","",DATE(YEAR(A1510),MONTH(A1510),1))</f>
        <v/>
      </c>
    </row>
    <row r="1511">
      <c r="A1511" s="31" t="n"/>
      <c r="B1511" s="32" t="n"/>
      <c r="C1511" s="32" t="n"/>
      <c r="D1511" s="33" t="n"/>
      <c r="E1511" s="34" t="n"/>
      <c r="F1511" s="35" t="n"/>
      <c r="G1511" s="35" t="n"/>
      <c r="H1511" s="32" t="n"/>
      <c r="I1511" s="32" t="n"/>
      <c r="J1511" s="32" t="n"/>
      <c r="K1511" s="36">
        <f>IF(E1511&lt;&gt;"",E1511,IF(AND(F1511&lt;&gt;"",G1511&lt;&gt;""),MOD(G1511-F1511,1)*24,""))</f>
        <v/>
      </c>
      <c r="L1511" s="37">
        <f>IF(A1511="","",CHOOSE(WEEKDAY(A1511,2),"Montag","Dienstag","Mittwoch","Donnerstag","Freitag","Samstag","Sonntag"))</f>
        <v/>
      </c>
      <c r="M1511" s="37">
        <f>IF(A1511="","",_xlfn.ISOWEEKNUM(A1511))</f>
        <v/>
      </c>
      <c r="N1511" s="38">
        <f>IF(A1511="","",DATE(YEAR(A1511),MONTH(A1511),1))</f>
        <v/>
      </c>
    </row>
    <row r="1512">
      <c r="A1512" s="31" t="n"/>
      <c r="B1512" s="32" t="n"/>
      <c r="C1512" s="32" t="n"/>
      <c r="D1512" s="33" t="n"/>
      <c r="E1512" s="34" t="n"/>
      <c r="F1512" s="35" t="n"/>
      <c r="G1512" s="35" t="n"/>
      <c r="H1512" s="32" t="n"/>
      <c r="I1512" s="32" t="n"/>
      <c r="J1512" s="32" t="n"/>
      <c r="K1512" s="36">
        <f>IF(E1512&lt;&gt;"",E1512,IF(AND(F1512&lt;&gt;"",G1512&lt;&gt;""),MOD(G1512-F1512,1)*24,""))</f>
        <v/>
      </c>
      <c r="L1512" s="37">
        <f>IF(A1512="","",CHOOSE(WEEKDAY(A1512,2),"Montag","Dienstag","Mittwoch","Donnerstag","Freitag","Samstag","Sonntag"))</f>
        <v/>
      </c>
      <c r="M1512" s="37">
        <f>IF(A1512="","",_xlfn.ISOWEEKNUM(A1512))</f>
        <v/>
      </c>
      <c r="N1512" s="38">
        <f>IF(A1512="","",DATE(YEAR(A1512),MONTH(A1512),1))</f>
        <v/>
      </c>
    </row>
    <row r="1513">
      <c r="A1513" s="31" t="n"/>
      <c r="B1513" s="32" t="n"/>
      <c r="C1513" s="32" t="n"/>
      <c r="D1513" s="33" t="n"/>
      <c r="E1513" s="34" t="n"/>
      <c r="F1513" s="35" t="n"/>
      <c r="G1513" s="35" t="n"/>
      <c r="H1513" s="32" t="n"/>
      <c r="I1513" s="32" t="n"/>
      <c r="J1513" s="32" t="n"/>
      <c r="K1513" s="36">
        <f>IF(E1513&lt;&gt;"",E1513,IF(AND(F1513&lt;&gt;"",G1513&lt;&gt;""),MOD(G1513-F1513,1)*24,""))</f>
        <v/>
      </c>
      <c r="L1513" s="37">
        <f>IF(A1513="","",CHOOSE(WEEKDAY(A1513,2),"Montag","Dienstag","Mittwoch","Donnerstag","Freitag","Samstag","Sonntag"))</f>
        <v/>
      </c>
      <c r="M1513" s="37">
        <f>IF(A1513="","",_xlfn.ISOWEEKNUM(A1513))</f>
        <v/>
      </c>
      <c r="N1513" s="38">
        <f>IF(A1513="","",DATE(YEAR(A1513),MONTH(A1513),1))</f>
        <v/>
      </c>
    </row>
    <row r="1514">
      <c r="A1514" s="31" t="n"/>
      <c r="B1514" s="32" t="n"/>
      <c r="C1514" s="32" t="n"/>
      <c r="D1514" s="33" t="n"/>
      <c r="E1514" s="34" t="n"/>
      <c r="F1514" s="35" t="n"/>
      <c r="G1514" s="35" t="n"/>
      <c r="H1514" s="32" t="n"/>
      <c r="I1514" s="32" t="n"/>
      <c r="J1514" s="32" t="n"/>
      <c r="K1514" s="36">
        <f>IF(E1514&lt;&gt;"",E1514,IF(AND(F1514&lt;&gt;"",G1514&lt;&gt;""),MOD(G1514-F1514,1)*24,""))</f>
        <v/>
      </c>
      <c r="L1514" s="37">
        <f>IF(A1514="","",CHOOSE(WEEKDAY(A1514,2),"Montag","Dienstag","Mittwoch","Donnerstag","Freitag","Samstag","Sonntag"))</f>
        <v/>
      </c>
      <c r="M1514" s="37">
        <f>IF(A1514="","",_xlfn.ISOWEEKNUM(A1514))</f>
        <v/>
      </c>
      <c r="N1514" s="38">
        <f>IF(A1514="","",DATE(YEAR(A1514),MONTH(A1514),1))</f>
        <v/>
      </c>
    </row>
    <row r="1515">
      <c r="A1515" s="31" t="n"/>
      <c r="B1515" s="32" t="n"/>
      <c r="C1515" s="32" t="n"/>
      <c r="D1515" s="33" t="n"/>
      <c r="E1515" s="34" t="n"/>
      <c r="F1515" s="35" t="n"/>
      <c r="G1515" s="35" t="n"/>
      <c r="H1515" s="32" t="n"/>
      <c r="I1515" s="32" t="n"/>
      <c r="J1515" s="32" t="n"/>
      <c r="K1515" s="36">
        <f>IF(E1515&lt;&gt;"",E1515,IF(AND(F1515&lt;&gt;"",G1515&lt;&gt;""),MOD(G1515-F1515,1)*24,""))</f>
        <v/>
      </c>
      <c r="L1515" s="37">
        <f>IF(A1515="","",CHOOSE(WEEKDAY(A1515,2),"Montag","Dienstag","Mittwoch","Donnerstag","Freitag","Samstag","Sonntag"))</f>
        <v/>
      </c>
      <c r="M1515" s="37">
        <f>IF(A1515="","",_xlfn.ISOWEEKNUM(A1515))</f>
        <v/>
      </c>
      <c r="N1515" s="38">
        <f>IF(A1515="","",DATE(YEAR(A1515),MONTH(A1515),1))</f>
        <v/>
      </c>
    </row>
    <row r="1516">
      <c r="A1516" s="31" t="n"/>
      <c r="B1516" s="32" t="n"/>
      <c r="C1516" s="32" t="n"/>
      <c r="D1516" s="33" t="n"/>
      <c r="E1516" s="34" t="n"/>
      <c r="F1516" s="35" t="n"/>
      <c r="G1516" s="35" t="n"/>
      <c r="H1516" s="32" t="n"/>
      <c r="I1516" s="32" t="n"/>
      <c r="J1516" s="32" t="n"/>
      <c r="K1516" s="36">
        <f>IF(E1516&lt;&gt;"",E1516,IF(AND(F1516&lt;&gt;"",G1516&lt;&gt;""),MOD(G1516-F1516,1)*24,""))</f>
        <v/>
      </c>
      <c r="L1516" s="37">
        <f>IF(A1516="","",CHOOSE(WEEKDAY(A1516,2),"Montag","Dienstag","Mittwoch","Donnerstag","Freitag","Samstag","Sonntag"))</f>
        <v/>
      </c>
      <c r="M1516" s="37">
        <f>IF(A1516="","",_xlfn.ISOWEEKNUM(A1516))</f>
        <v/>
      </c>
      <c r="N1516" s="38">
        <f>IF(A1516="","",DATE(YEAR(A1516),MONTH(A1516),1))</f>
        <v/>
      </c>
    </row>
    <row r="1517">
      <c r="A1517" s="31" t="n"/>
      <c r="B1517" s="32" t="n"/>
      <c r="C1517" s="32" t="n"/>
      <c r="D1517" s="33" t="n"/>
      <c r="E1517" s="34" t="n"/>
      <c r="F1517" s="35" t="n"/>
      <c r="G1517" s="35" t="n"/>
      <c r="H1517" s="32" t="n"/>
      <c r="I1517" s="32" t="n"/>
      <c r="J1517" s="32" t="n"/>
      <c r="K1517" s="36">
        <f>IF(E1517&lt;&gt;"",E1517,IF(AND(F1517&lt;&gt;"",G1517&lt;&gt;""),MOD(G1517-F1517,1)*24,""))</f>
        <v/>
      </c>
      <c r="L1517" s="37">
        <f>IF(A1517="","",CHOOSE(WEEKDAY(A1517,2),"Montag","Dienstag","Mittwoch","Donnerstag","Freitag","Samstag","Sonntag"))</f>
        <v/>
      </c>
      <c r="M1517" s="37">
        <f>IF(A1517="","",_xlfn.ISOWEEKNUM(A1517))</f>
        <v/>
      </c>
      <c r="N1517" s="38">
        <f>IF(A1517="","",DATE(YEAR(A1517),MONTH(A1517),1))</f>
        <v/>
      </c>
    </row>
    <row r="1518">
      <c r="A1518" s="31" t="n"/>
      <c r="B1518" s="32" t="n"/>
      <c r="C1518" s="32" t="n"/>
      <c r="D1518" s="33" t="n"/>
      <c r="E1518" s="34" t="n"/>
      <c r="F1518" s="35" t="n"/>
      <c r="G1518" s="35" t="n"/>
      <c r="H1518" s="32" t="n"/>
      <c r="I1518" s="32" t="n"/>
      <c r="J1518" s="32" t="n"/>
      <c r="K1518" s="36">
        <f>IF(E1518&lt;&gt;"",E1518,IF(AND(F1518&lt;&gt;"",G1518&lt;&gt;""),MOD(G1518-F1518,1)*24,""))</f>
        <v/>
      </c>
      <c r="L1518" s="37">
        <f>IF(A1518="","",CHOOSE(WEEKDAY(A1518,2),"Montag","Dienstag","Mittwoch","Donnerstag","Freitag","Samstag","Sonntag"))</f>
        <v/>
      </c>
      <c r="M1518" s="37">
        <f>IF(A1518="","",_xlfn.ISOWEEKNUM(A1518))</f>
        <v/>
      </c>
      <c r="N1518" s="38">
        <f>IF(A1518="","",DATE(YEAR(A1518),MONTH(A1518),1))</f>
        <v/>
      </c>
    </row>
    <row r="1519">
      <c r="A1519" s="31" t="n"/>
      <c r="B1519" s="32" t="n"/>
      <c r="C1519" s="32" t="n"/>
      <c r="D1519" s="33" t="n"/>
      <c r="E1519" s="34" t="n"/>
      <c r="F1519" s="35" t="n"/>
      <c r="G1519" s="35" t="n"/>
      <c r="H1519" s="32" t="n"/>
      <c r="I1519" s="32" t="n"/>
      <c r="J1519" s="32" t="n"/>
      <c r="K1519" s="36">
        <f>IF(E1519&lt;&gt;"",E1519,IF(AND(F1519&lt;&gt;"",G1519&lt;&gt;""),MOD(G1519-F1519,1)*24,""))</f>
        <v/>
      </c>
      <c r="L1519" s="37">
        <f>IF(A1519="","",CHOOSE(WEEKDAY(A1519,2),"Montag","Dienstag","Mittwoch","Donnerstag","Freitag","Samstag","Sonntag"))</f>
        <v/>
      </c>
      <c r="M1519" s="37">
        <f>IF(A1519="","",_xlfn.ISOWEEKNUM(A1519))</f>
        <v/>
      </c>
      <c r="N1519" s="38">
        <f>IF(A1519="","",DATE(YEAR(A1519),MONTH(A1519),1))</f>
        <v/>
      </c>
    </row>
    <row r="1520">
      <c r="A1520" s="31" t="n"/>
      <c r="B1520" s="32" t="n"/>
      <c r="C1520" s="32" t="n"/>
      <c r="D1520" s="33" t="n"/>
      <c r="E1520" s="34" t="n"/>
      <c r="F1520" s="35" t="n"/>
      <c r="G1520" s="35" t="n"/>
      <c r="H1520" s="32" t="n"/>
      <c r="I1520" s="32" t="n"/>
      <c r="J1520" s="32" t="n"/>
      <c r="K1520" s="36">
        <f>IF(E1520&lt;&gt;"",E1520,IF(AND(F1520&lt;&gt;"",G1520&lt;&gt;""),MOD(G1520-F1520,1)*24,""))</f>
        <v/>
      </c>
      <c r="L1520" s="37">
        <f>IF(A1520="","",CHOOSE(WEEKDAY(A1520,2),"Montag","Dienstag","Mittwoch","Donnerstag","Freitag","Samstag","Sonntag"))</f>
        <v/>
      </c>
      <c r="M1520" s="37">
        <f>IF(A1520="","",_xlfn.ISOWEEKNUM(A1520))</f>
        <v/>
      </c>
      <c r="N1520" s="38">
        <f>IF(A1520="","",DATE(YEAR(A1520),MONTH(A1520),1))</f>
        <v/>
      </c>
    </row>
    <row r="1521">
      <c r="A1521" s="31" t="n"/>
      <c r="B1521" s="32" t="n"/>
      <c r="C1521" s="32" t="n"/>
      <c r="D1521" s="33" t="n"/>
      <c r="E1521" s="34" t="n"/>
      <c r="F1521" s="35" t="n"/>
      <c r="G1521" s="35" t="n"/>
      <c r="H1521" s="32" t="n"/>
      <c r="I1521" s="32" t="n"/>
      <c r="J1521" s="32" t="n"/>
      <c r="K1521" s="36">
        <f>IF(E1521&lt;&gt;"",E1521,IF(AND(F1521&lt;&gt;"",G1521&lt;&gt;""),MOD(G1521-F1521,1)*24,""))</f>
        <v/>
      </c>
      <c r="L1521" s="37">
        <f>IF(A1521="","",CHOOSE(WEEKDAY(A1521,2),"Montag","Dienstag","Mittwoch","Donnerstag","Freitag","Samstag","Sonntag"))</f>
        <v/>
      </c>
      <c r="M1521" s="37">
        <f>IF(A1521="","",_xlfn.ISOWEEKNUM(A1521))</f>
        <v/>
      </c>
      <c r="N1521" s="38">
        <f>IF(A1521="","",DATE(YEAR(A1521),MONTH(A1521),1))</f>
        <v/>
      </c>
    </row>
    <row r="1522">
      <c r="A1522" s="31" t="n"/>
      <c r="B1522" s="32" t="n"/>
      <c r="C1522" s="32" t="n"/>
      <c r="D1522" s="33" t="n"/>
      <c r="E1522" s="34" t="n"/>
      <c r="F1522" s="35" t="n"/>
      <c r="G1522" s="35" t="n"/>
      <c r="H1522" s="32" t="n"/>
      <c r="I1522" s="32" t="n"/>
      <c r="J1522" s="32" t="n"/>
      <c r="K1522" s="36">
        <f>IF(E1522&lt;&gt;"",E1522,IF(AND(F1522&lt;&gt;"",G1522&lt;&gt;""),MOD(G1522-F1522,1)*24,""))</f>
        <v/>
      </c>
      <c r="L1522" s="37">
        <f>IF(A1522="","",CHOOSE(WEEKDAY(A1522,2),"Montag","Dienstag","Mittwoch","Donnerstag","Freitag","Samstag","Sonntag"))</f>
        <v/>
      </c>
      <c r="M1522" s="37">
        <f>IF(A1522="","",_xlfn.ISOWEEKNUM(A1522))</f>
        <v/>
      </c>
      <c r="N1522" s="38">
        <f>IF(A1522="","",DATE(YEAR(A1522),MONTH(A1522),1))</f>
        <v/>
      </c>
    </row>
    <row r="1523">
      <c r="A1523" s="31" t="n"/>
      <c r="B1523" s="32" t="n"/>
      <c r="C1523" s="32" t="n"/>
      <c r="D1523" s="33" t="n"/>
      <c r="E1523" s="34" t="n"/>
      <c r="F1523" s="35" t="n"/>
      <c r="G1523" s="35" t="n"/>
      <c r="H1523" s="32" t="n"/>
      <c r="I1523" s="32" t="n"/>
      <c r="J1523" s="32" t="n"/>
      <c r="K1523" s="36">
        <f>IF(E1523&lt;&gt;"",E1523,IF(AND(F1523&lt;&gt;"",G1523&lt;&gt;""),MOD(G1523-F1523,1)*24,""))</f>
        <v/>
      </c>
      <c r="L1523" s="37">
        <f>IF(A1523="","",CHOOSE(WEEKDAY(A1523,2),"Montag","Dienstag","Mittwoch","Donnerstag","Freitag","Samstag","Sonntag"))</f>
        <v/>
      </c>
      <c r="M1523" s="37">
        <f>IF(A1523="","",_xlfn.ISOWEEKNUM(A1523))</f>
        <v/>
      </c>
      <c r="N1523" s="38">
        <f>IF(A1523="","",DATE(YEAR(A1523),MONTH(A1523),1))</f>
        <v/>
      </c>
    </row>
    <row r="1524">
      <c r="A1524" s="31" t="n"/>
      <c r="B1524" s="32" t="n"/>
      <c r="C1524" s="32" t="n"/>
      <c r="D1524" s="33" t="n"/>
      <c r="E1524" s="34" t="n"/>
      <c r="F1524" s="35" t="n"/>
      <c r="G1524" s="35" t="n"/>
      <c r="H1524" s="32" t="n"/>
      <c r="I1524" s="32" t="n"/>
      <c r="J1524" s="32" t="n"/>
      <c r="K1524" s="36">
        <f>IF(E1524&lt;&gt;"",E1524,IF(AND(F1524&lt;&gt;"",G1524&lt;&gt;""),MOD(G1524-F1524,1)*24,""))</f>
        <v/>
      </c>
      <c r="L1524" s="37">
        <f>IF(A1524="","",CHOOSE(WEEKDAY(A1524,2),"Montag","Dienstag","Mittwoch","Donnerstag","Freitag","Samstag","Sonntag"))</f>
        <v/>
      </c>
      <c r="M1524" s="37">
        <f>IF(A1524="","",_xlfn.ISOWEEKNUM(A1524))</f>
        <v/>
      </c>
      <c r="N1524" s="38">
        <f>IF(A1524="","",DATE(YEAR(A1524),MONTH(A1524),1))</f>
        <v/>
      </c>
    </row>
    <row r="1525">
      <c r="A1525" s="31" t="n"/>
      <c r="B1525" s="32" t="n"/>
      <c r="C1525" s="32" t="n"/>
      <c r="D1525" s="33" t="n"/>
      <c r="E1525" s="34" t="n"/>
      <c r="F1525" s="35" t="n"/>
      <c r="G1525" s="35" t="n"/>
      <c r="H1525" s="32" t="n"/>
      <c r="I1525" s="32" t="n"/>
      <c r="J1525" s="32" t="n"/>
      <c r="K1525" s="36">
        <f>IF(E1525&lt;&gt;"",E1525,IF(AND(F1525&lt;&gt;"",G1525&lt;&gt;""),MOD(G1525-F1525,1)*24,""))</f>
        <v/>
      </c>
      <c r="L1525" s="37">
        <f>IF(A1525="","",CHOOSE(WEEKDAY(A1525,2),"Montag","Dienstag","Mittwoch","Donnerstag","Freitag","Samstag","Sonntag"))</f>
        <v/>
      </c>
      <c r="M1525" s="37">
        <f>IF(A1525="","",_xlfn.ISOWEEKNUM(A1525))</f>
        <v/>
      </c>
      <c r="N1525" s="38">
        <f>IF(A1525="","",DATE(YEAR(A1525),MONTH(A1525),1))</f>
        <v/>
      </c>
    </row>
    <row r="1526">
      <c r="A1526" s="31" t="n"/>
      <c r="B1526" s="32" t="n"/>
      <c r="C1526" s="32" t="n"/>
      <c r="D1526" s="33" t="n"/>
      <c r="E1526" s="34" t="n"/>
      <c r="F1526" s="35" t="n"/>
      <c r="G1526" s="35" t="n"/>
      <c r="H1526" s="32" t="n"/>
      <c r="I1526" s="32" t="n"/>
      <c r="J1526" s="32" t="n"/>
      <c r="K1526" s="36">
        <f>IF(E1526&lt;&gt;"",E1526,IF(AND(F1526&lt;&gt;"",G1526&lt;&gt;""),MOD(G1526-F1526,1)*24,""))</f>
        <v/>
      </c>
      <c r="L1526" s="37">
        <f>IF(A1526="","",CHOOSE(WEEKDAY(A1526,2),"Montag","Dienstag","Mittwoch","Donnerstag","Freitag","Samstag","Sonntag"))</f>
        <v/>
      </c>
      <c r="M1526" s="37">
        <f>IF(A1526="","",_xlfn.ISOWEEKNUM(A1526))</f>
        <v/>
      </c>
      <c r="N1526" s="38">
        <f>IF(A1526="","",DATE(YEAR(A1526),MONTH(A1526),1))</f>
        <v/>
      </c>
    </row>
    <row r="1527">
      <c r="A1527" s="31" t="n"/>
      <c r="B1527" s="32" t="n"/>
      <c r="C1527" s="32" t="n"/>
      <c r="D1527" s="33" t="n"/>
      <c r="E1527" s="34" t="n"/>
      <c r="F1527" s="35" t="n"/>
      <c r="G1527" s="35" t="n"/>
      <c r="H1527" s="32" t="n"/>
      <c r="I1527" s="32" t="n"/>
      <c r="J1527" s="32" t="n"/>
      <c r="K1527" s="36">
        <f>IF(E1527&lt;&gt;"",E1527,IF(AND(F1527&lt;&gt;"",G1527&lt;&gt;""),MOD(G1527-F1527,1)*24,""))</f>
        <v/>
      </c>
      <c r="L1527" s="37">
        <f>IF(A1527="","",CHOOSE(WEEKDAY(A1527,2),"Montag","Dienstag","Mittwoch","Donnerstag","Freitag","Samstag","Sonntag"))</f>
        <v/>
      </c>
      <c r="M1527" s="37">
        <f>IF(A1527="","",_xlfn.ISOWEEKNUM(A1527))</f>
        <v/>
      </c>
      <c r="N1527" s="38">
        <f>IF(A1527="","",DATE(YEAR(A1527),MONTH(A1527),1))</f>
        <v/>
      </c>
    </row>
    <row r="1528">
      <c r="A1528" s="31" t="n"/>
      <c r="B1528" s="32" t="n"/>
      <c r="C1528" s="32" t="n"/>
      <c r="D1528" s="33" t="n"/>
      <c r="E1528" s="34" t="n"/>
      <c r="F1528" s="35" t="n"/>
      <c r="G1528" s="35" t="n"/>
      <c r="H1528" s="32" t="n"/>
      <c r="I1528" s="32" t="n"/>
      <c r="J1528" s="32" t="n"/>
      <c r="K1528" s="36">
        <f>IF(E1528&lt;&gt;"",E1528,IF(AND(F1528&lt;&gt;"",G1528&lt;&gt;""),MOD(G1528-F1528,1)*24,""))</f>
        <v/>
      </c>
      <c r="L1528" s="37">
        <f>IF(A1528="","",CHOOSE(WEEKDAY(A1528,2),"Montag","Dienstag","Mittwoch","Donnerstag","Freitag","Samstag","Sonntag"))</f>
        <v/>
      </c>
      <c r="M1528" s="37">
        <f>IF(A1528="","",_xlfn.ISOWEEKNUM(A1528))</f>
        <v/>
      </c>
      <c r="N1528" s="38">
        <f>IF(A1528="","",DATE(YEAR(A1528),MONTH(A1528),1))</f>
        <v/>
      </c>
    </row>
    <row r="1529">
      <c r="A1529" s="31" t="n"/>
      <c r="B1529" s="32" t="n"/>
      <c r="C1529" s="32" t="n"/>
      <c r="D1529" s="33" t="n"/>
      <c r="E1529" s="34" t="n"/>
      <c r="F1529" s="35" t="n"/>
      <c r="G1529" s="35" t="n"/>
      <c r="H1529" s="32" t="n"/>
      <c r="I1529" s="32" t="n"/>
      <c r="J1529" s="32" t="n"/>
      <c r="K1529" s="36">
        <f>IF(E1529&lt;&gt;"",E1529,IF(AND(F1529&lt;&gt;"",G1529&lt;&gt;""),MOD(G1529-F1529,1)*24,""))</f>
        <v/>
      </c>
      <c r="L1529" s="37">
        <f>IF(A1529="","",CHOOSE(WEEKDAY(A1529,2),"Montag","Dienstag","Mittwoch","Donnerstag","Freitag","Samstag","Sonntag"))</f>
        <v/>
      </c>
      <c r="M1529" s="37">
        <f>IF(A1529="","",_xlfn.ISOWEEKNUM(A1529))</f>
        <v/>
      </c>
      <c r="N1529" s="38">
        <f>IF(A1529="","",DATE(YEAR(A1529),MONTH(A1529),1))</f>
        <v/>
      </c>
    </row>
    <row r="1530">
      <c r="A1530" s="31" t="n"/>
      <c r="B1530" s="32" t="n"/>
      <c r="C1530" s="32" t="n"/>
      <c r="D1530" s="33" t="n"/>
      <c r="E1530" s="34" t="n"/>
      <c r="F1530" s="35" t="n"/>
      <c r="G1530" s="35" t="n"/>
      <c r="H1530" s="32" t="n"/>
      <c r="I1530" s="32" t="n"/>
      <c r="J1530" s="32" t="n"/>
      <c r="K1530" s="36">
        <f>IF(E1530&lt;&gt;"",E1530,IF(AND(F1530&lt;&gt;"",G1530&lt;&gt;""),MOD(G1530-F1530,1)*24,""))</f>
        <v/>
      </c>
      <c r="L1530" s="37">
        <f>IF(A1530="","",CHOOSE(WEEKDAY(A1530,2),"Montag","Dienstag","Mittwoch","Donnerstag","Freitag","Samstag","Sonntag"))</f>
        <v/>
      </c>
      <c r="M1530" s="37">
        <f>IF(A1530="","",_xlfn.ISOWEEKNUM(A1530))</f>
        <v/>
      </c>
      <c r="N1530" s="38">
        <f>IF(A1530="","",DATE(YEAR(A1530),MONTH(A1530),1))</f>
        <v/>
      </c>
    </row>
    <row r="1531">
      <c r="A1531" s="31" t="n"/>
      <c r="B1531" s="32" t="n"/>
      <c r="C1531" s="32" t="n"/>
      <c r="D1531" s="33" t="n"/>
      <c r="E1531" s="34" t="n"/>
      <c r="F1531" s="35" t="n"/>
      <c r="G1531" s="35" t="n"/>
      <c r="H1531" s="32" t="n"/>
      <c r="I1531" s="32" t="n"/>
      <c r="J1531" s="32" t="n"/>
      <c r="K1531" s="36">
        <f>IF(E1531&lt;&gt;"",E1531,IF(AND(F1531&lt;&gt;"",G1531&lt;&gt;""),MOD(G1531-F1531,1)*24,""))</f>
        <v/>
      </c>
      <c r="L1531" s="37">
        <f>IF(A1531="","",CHOOSE(WEEKDAY(A1531,2),"Montag","Dienstag","Mittwoch","Donnerstag","Freitag","Samstag","Sonntag"))</f>
        <v/>
      </c>
      <c r="M1531" s="37">
        <f>IF(A1531="","",_xlfn.ISOWEEKNUM(A1531))</f>
        <v/>
      </c>
      <c r="N1531" s="38">
        <f>IF(A1531="","",DATE(YEAR(A1531),MONTH(A1531),1))</f>
        <v/>
      </c>
    </row>
    <row r="1532">
      <c r="A1532" s="31" t="n"/>
      <c r="B1532" s="32" t="n"/>
      <c r="C1532" s="32" t="n"/>
      <c r="D1532" s="33" t="n"/>
      <c r="E1532" s="34" t="n"/>
      <c r="F1532" s="35" t="n"/>
      <c r="G1532" s="35" t="n"/>
      <c r="H1532" s="32" t="n"/>
      <c r="I1532" s="32" t="n"/>
      <c r="J1532" s="32" t="n"/>
      <c r="K1532" s="36">
        <f>IF(E1532&lt;&gt;"",E1532,IF(AND(F1532&lt;&gt;"",G1532&lt;&gt;""),MOD(G1532-F1532,1)*24,""))</f>
        <v/>
      </c>
      <c r="L1532" s="37">
        <f>IF(A1532="","",CHOOSE(WEEKDAY(A1532,2),"Montag","Dienstag","Mittwoch","Donnerstag","Freitag","Samstag","Sonntag"))</f>
        <v/>
      </c>
      <c r="M1532" s="37">
        <f>IF(A1532="","",_xlfn.ISOWEEKNUM(A1532))</f>
        <v/>
      </c>
      <c r="N1532" s="38">
        <f>IF(A1532="","",DATE(YEAR(A1532),MONTH(A1532),1))</f>
        <v/>
      </c>
    </row>
    <row r="1533">
      <c r="A1533" s="31" t="n"/>
      <c r="B1533" s="32" t="n"/>
      <c r="C1533" s="32" t="n"/>
      <c r="D1533" s="33" t="n"/>
      <c r="E1533" s="34" t="n"/>
      <c r="F1533" s="35" t="n"/>
      <c r="G1533" s="35" t="n"/>
      <c r="H1533" s="32" t="n"/>
      <c r="I1533" s="32" t="n"/>
      <c r="J1533" s="32" t="n"/>
      <c r="K1533" s="36">
        <f>IF(E1533&lt;&gt;"",E1533,IF(AND(F1533&lt;&gt;"",G1533&lt;&gt;""),MOD(G1533-F1533,1)*24,""))</f>
        <v/>
      </c>
      <c r="L1533" s="37">
        <f>IF(A1533="","",CHOOSE(WEEKDAY(A1533,2),"Montag","Dienstag","Mittwoch","Donnerstag","Freitag","Samstag","Sonntag"))</f>
        <v/>
      </c>
      <c r="M1533" s="37">
        <f>IF(A1533="","",_xlfn.ISOWEEKNUM(A1533))</f>
        <v/>
      </c>
      <c r="N1533" s="38">
        <f>IF(A1533="","",DATE(YEAR(A1533),MONTH(A1533),1))</f>
        <v/>
      </c>
    </row>
    <row r="1534">
      <c r="A1534" s="31" t="n"/>
      <c r="B1534" s="32" t="n"/>
      <c r="C1534" s="32" t="n"/>
      <c r="D1534" s="33" t="n"/>
      <c r="E1534" s="34" t="n"/>
      <c r="F1534" s="35" t="n"/>
      <c r="G1534" s="35" t="n"/>
      <c r="H1534" s="32" t="n"/>
      <c r="I1534" s="32" t="n"/>
      <c r="J1534" s="32" t="n"/>
      <c r="K1534" s="36">
        <f>IF(E1534&lt;&gt;"",E1534,IF(AND(F1534&lt;&gt;"",G1534&lt;&gt;""),MOD(G1534-F1534,1)*24,""))</f>
        <v/>
      </c>
      <c r="L1534" s="37">
        <f>IF(A1534="","",CHOOSE(WEEKDAY(A1534,2),"Montag","Dienstag","Mittwoch","Donnerstag","Freitag","Samstag","Sonntag"))</f>
        <v/>
      </c>
      <c r="M1534" s="37">
        <f>IF(A1534="","",_xlfn.ISOWEEKNUM(A1534))</f>
        <v/>
      </c>
      <c r="N1534" s="38">
        <f>IF(A1534="","",DATE(YEAR(A1534),MONTH(A1534),1))</f>
        <v/>
      </c>
    </row>
    <row r="1535">
      <c r="A1535" s="31" t="n"/>
      <c r="B1535" s="32" t="n"/>
      <c r="C1535" s="32" t="n"/>
      <c r="D1535" s="33" t="n"/>
      <c r="E1535" s="34" t="n"/>
      <c r="F1535" s="35" t="n"/>
      <c r="G1535" s="35" t="n"/>
      <c r="H1535" s="32" t="n"/>
      <c r="I1535" s="32" t="n"/>
      <c r="J1535" s="32" t="n"/>
      <c r="K1535" s="36">
        <f>IF(E1535&lt;&gt;"",E1535,IF(AND(F1535&lt;&gt;"",G1535&lt;&gt;""),MOD(G1535-F1535,1)*24,""))</f>
        <v/>
      </c>
      <c r="L1535" s="37">
        <f>IF(A1535="","",CHOOSE(WEEKDAY(A1535,2),"Montag","Dienstag","Mittwoch","Donnerstag","Freitag","Samstag","Sonntag"))</f>
        <v/>
      </c>
      <c r="M1535" s="37">
        <f>IF(A1535="","",_xlfn.ISOWEEKNUM(A1535))</f>
        <v/>
      </c>
      <c r="N1535" s="38">
        <f>IF(A1535="","",DATE(YEAR(A1535),MONTH(A1535),1))</f>
        <v/>
      </c>
    </row>
    <row r="1536">
      <c r="A1536" s="31" t="n"/>
      <c r="B1536" s="32" t="n"/>
      <c r="C1536" s="32" t="n"/>
      <c r="D1536" s="33" t="n"/>
      <c r="E1536" s="34" t="n"/>
      <c r="F1536" s="35" t="n"/>
      <c r="G1536" s="35" t="n"/>
      <c r="H1536" s="32" t="n"/>
      <c r="I1536" s="32" t="n"/>
      <c r="J1536" s="32" t="n"/>
      <c r="K1536" s="36">
        <f>IF(E1536&lt;&gt;"",E1536,IF(AND(F1536&lt;&gt;"",G1536&lt;&gt;""),MOD(G1536-F1536,1)*24,""))</f>
        <v/>
      </c>
      <c r="L1536" s="37">
        <f>IF(A1536="","",CHOOSE(WEEKDAY(A1536,2),"Montag","Dienstag","Mittwoch","Donnerstag","Freitag","Samstag","Sonntag"))</f>
        <v/>
      </c>
      <c r="M1536" s="37">
        <f>IF(A1536="","",_xlfn.ISOWEEKNUM(A1536))</f>
        <v/>
      </c>
      <c r="N1536" s="38">
        <f>IF(A1536="","",DATE(YEAR(A1536),MONTH(A1536),1))</f>
        <v/>
      </c>
    </row>
    <row r="1537">
      <c r="A1537" s="31" t="n"/>
      <c r="B1537" s="32" t="n"/>
      <c r="C1537" s="32" t="n"/>
      <c r="D1537" s="33" t="n"/>
      <c r="E1537" s="34" t="n"/>
      <c r="F1537" s="35" t="n"/>
      <c r="G1537" s="35" t="n"/>
      <c r="H1537" s="32" t="n"/>
      <c r="I1537" s="32" t="n"/>
      <c r="J1537" s="32" t="n"/>
      <c r="K1537" s="36">
        <f>IF(E1537&lt;&gt;"",E1537,IF(AND(F1537&lt;&gt;"",G1537&lt;&gt;""),MOD(G1537-F1537,1)*24,""))</f>
        <v/>
      </c>
      <c r="L1537" s="37">
        <f>IF(A1537="","",CHOOSE(WEEKDAY(A1537,2),"Montag","Dienstag","Mittwoch","Donnerstag","Freitag","Samstag","Sonntag"))</f>
        <v/>
      </c>
      <c r="M1537" s="37">
        <f>IF(A1537="","",_xlfn.ISOWEEKNUM(A1537))</f>
        <v/>
      </c>
      <c r="N1537" s="38">
        <f>IF(A1537="","",DATE(YEAR(A1537),MONTH(A1537),1))</f>
        <v/>
      </c>
    </row>
    <row r="1538">
      <c r="A1538" s="31" t="n"/>
      <c r="B1538" s="32" t="n"/>
      <c r="C1538" s="32" t="n"/>
      <c r="D1538" s="33" t="n"/>
      <c r="E1538" s="34" t="n"/>
      <c r="F1538" s="35" t="n"/>
      <c r="G1538" s="35" t="n"/>
      <c r="H1538" s="32" t="n"/>
      <c r="I1538" s="32" t="n"/>
      <c r="J1538" s="32" t="n"/>
      <c r="K1538" s="36">
        <f>IF(E1538&lt;&gt;"",E1538,IF(AND(F1538&lt;&gt;"",G1538&lt;&gt;""),MOD(G1538-F1538,1)*24,""))</f>
        <v/>
      </c>
      <c r="L1538" s="37">
        <f>IF(A1538="","",CHOOSE(WEEKDAY(A1538,2),"Montag","Dienstag","Mittwoch","Donnerstag","Freitag","Samstag","Sonntag"))</f>
        <v/>
      </c>
      <c r="M1538" s="37">
        <f>IF(A1538="","",_xlfn.ISOWEEKNUM(A1538))</f>
        <v/>
      </c>
      <c r="N1538" s="38">
        <f>IF(A1538="","",DATE(YEAR(A1538),MONTH(A1538),1))</f>
        <v/>
      </c>
    </row>
    <row r="1539">
      <c r="A1539" s="31" t="n"/>
      <c r="B1539" s="32" t="n"/>
      <c r="C1539" s="32" t="n"/>
      <c r="D1539" s="33" t="n"/>
      <c r="E1539" s="34" t="n"/>
      <c r="F1539" s="35" t="n"/>
      <c r="G1539" s="35" t="n"/>
      <c r="H1539" s="32" t="n"/>
      <c r="I1539" s="32" t="n"/>
      <c r="J1539" s="32" t="n"/>
      <c r="K1539" s="36">
        <f>IF(E1539&lt;&gt;"",E1539,IF(AND(F1539&lt;&gt;"",G1539&lt;&gt;""),MOD(G1539-F1539,1)*24,""))</f>
        <v/>
      </c>
      <c r="L1539" s="37">
        <f>IF(A1539="","",CHOOSE(WEEKDAY(A1539,2),"Montag","Dienstag","Mittwoch","Donnerstag","Freitag","Samstag","Sonntag"))</f>
        <v/>
      </c>
      <c r="M1539" s="37">
        <f>IF(A1539="","",_xlfn.ISOWEEKNUM(A1539))</f>
        <v/>
      </c>
      <c r="N1539" s="38">
        <f>IF(A1539="","",DATE(YEAR(A1539),MONTH(A1539),1))</f>
        <v/>
      </c>
    </row>
    <row r="1540">
      <c r="A1540" s="31" t="n"/>
      <c r="B1540" s="32" t="n"/>
      <c r="C1540" s="32" t="n"/>
      <c r="D1540" s="33" t="n"/>
      <c r="E1540" s="34" t="n"/>
      <c r="F1540" s="35" t="n"/>
      <c r="G1540" s="35" t="n"/>
      <c r="H1540" s="32" t="n"/>
      <c r="I1540" s="32" t="n"/>
      <c r="J1540" s="32" t="n"/>
      <c r="K1540" s="36">
        <f>IF(E1540&lt;&gt;"",E1540,IF(AND(F1540&lt;&gt;"",G1540&lt;&gt;""),MOD(G1540-F1540,1)*24,""))</f>
        <v/>
      </c>
      <c r="L1540" s="37">
        <f>IF(A1540="","",CHOOSE(WEEKDAY(A1540,2),"Montag","Dienstag","Mittwoch","Donnerstag","Freitag","Samstag","Sonntag"))</f>
        <v/>
      </c>
      <c r="M1540" s="37">
        <f>IF(A1540="","",_xlfn.ISOWEEKNUM(A1540))</f>
        <v/>
      </c>
      <c r="N1540" s="38">
        <f>IF(A1540="","",DATE(YEAR(A1540),MONTH(A1540),1))</f>
        <v/>
      </c>
    </row>
    <row r="1541">
      <c r="A1541" s="31" t="n"/>
      <c r="B1541" s="32" t="n"/>
      <c r="C1541" s="32" t="n"/>
      <c r="D1541" s="33" t="n"/>
      <c r="E1541" s="34" t="n"/>
      <c r="F1541" s="35" t="n"/>
      <c r="G1541" s="35" t="n"/>
      <c r="H1541" s="32" t="n"/>
      <c r="I1541" s="32" t="n"/>
      <c r="J1541" s="32" t="n"/>
      <c r="K1541" s="36">
        <f>IF(E1541&lt;&gt;"",E1541,IF(AND(F1541&lt;&gt;"",G1541&lt;&gt;""),MOD(G1541-F1541,1)*24,""))</f>
        <v/>
      </c>
      <c r="L1541" s="37">
        <f>IF(A1541="","",CHOOSE(WEEKDAY(A1541,2),"Montag","Dienstag","Mittwoch","Donnerstag","Freitag","Samstag","Sonntag"))</f>
        <v/>
      </c>
      <c r="M1541" s="37">
        <f>IF(A1541="","",_xlfn.ISOWEEKNUM(A1541))</f>
        <v/>
      </c>
      <c r="N1541" s="38">
        <f>IF(A1541="","",DATE(YEAR(A1541),MONTH(A1541),1))</f>
        <v/>
      </c>
    </row>
    <row r="1542">
      <c r="A1542" s="31" t="n"/>
      <c r="B1542" s="32" t="n"/>
      <c r="C1542" s="32" t="n"/>
      <c r="D1542" s="33" t="n"/>
      <c r="E1542" s="34" t="n"/>
      <c r="F1542" s="35" t="n"/>
      <c r="G1542" s="35" t="n"/>
      <c r="H1542" s="32" t="n"/>
      <c r="I1542" s="32" t="n"/>
      <c r="J1542" s="32" t="n"/>
      <c r="K1542" s="36">
        <f>IF(E1542&lt;&gt;"",E1542,IF(AND(F1542&lt;&gt;"",G1542&lt;&gt;""),MOD(G1542-F1542,1)*24,""))</f>
        <v/>
      </c>
      <c r="L1542" s="37">
        <f>IF(A1542="","",CHOOSE(WEEKDAY(A1542,2),"Montag","Dienstag","Mittwoch","Donnerstag","Freitag","Samstag","Sonntag"))</f>
        <v/>
      </c>
      <c r="M1542" s="37">
        <f>IF(A1542="","",_xlfn.ISOWEEKNUM(A1542))</f>
        <v/>
      </c>
      <c r="N1542" s="38">
        <f>IF(A1542="","",DATE(YEAR(A1542),MONTH(A1542),1))</f>
        <v/>
      </c>
    </row>
    <row r="1543">
      <c r="A1543" s="31" t="n"/>
      <c r="B1543" s="32" t="n"/>
      <c r="C1543" s="32" t="n"/>
      <c r="D1543" s="33" t="n"/>
      <c r="E1543" s="34" t="n"/>
      <c r="F1543" s="35" t="n"/>
      <c r="G1543" s="35" t="n"/>
      <c r="H1543" s="32" t="n"/>
      <c r="I1543" s="32" t="n"/>
      <c r="J1543" s="32" t="n"/>
      <c r="K1543" s="36">
        <f>IF(E1543&lt;&gt;"",E1543,IF(AND(F1543&lt;&gt;"",G1543&lt;&gt;""),MOD(G1543-F1543,1)*24,""))</f>
        <v/>
      </c>
      <c r="L1543" s="37">
        <f>IF(A1543="","",CHOOSE(WEEKDAY(A1543,2),"Montag","Dienstag","Mittwoch","Donnerstag","Freitag","Samstag","Sonntag"))</f>
        <v/>
      </c>
      <c r="M1543" s="37">
        <f>IF(A1543="","",_xlfn.ISOWEEKNUM(A1543))</f>
        <v/>
      </c>
      <c r="N1543" s="38">
        <f>IF(A1543="","",DATE(YEAR(A1543),MONTH(A1543),1))</f>
        <v/>
      </c>
    </row>
    <row r="1544">
      <c r="A1544" s="31" t="n"/>
      <c r="B1544" s="32" t="n"/>
      <c r="C1544" s="32" t="n"/>
      <c r="D1544" s="33" t="n"/>
      <c r="E1544" s="34" t="n"/>
      <c r="F1544" s="35" t="n"/>
      <c r="G1544" s="35" t="n"/>
      <c r="H1544" s="32" t="n"/>
      <c r="I1544" s="32" t="n"/>
      <c r="J1544" s="32" t="n"/>
      <c r="K1544" s="36">
        <f>IF(E1544&lt;&gt;"",E1544,IF(AND(F1544&lt;&gt;"",G1544&lt;&gt;""),MOD(G1544-F1544,1)*24,""))</f>
        <v/>
      </c>
      <c r="L1544" s="37">
        <f>IF(A1544="","",CHOOSE(WEEKDAY(A1544,2),"Montag","Dienstag","Mittwoch","Donnerstag","Freitag","Samstag","Sonntag"))</f>
        <v/>
      </c>
      <c r="M1544" s="37">
        <f>IF(A1544="","",_xlfn.ISOWEEKNUM(A1544))</f>
        <v/>
      </c>
      <c r="N1544" s="38">
        <f>IF(A1544="","",DATE(YEAR(A1544),MONTH(A1544),1))</f>
        <v/>
      </c>
    </row>
    <row r="1545">
      <c r="A1545" s="31" t="n"/>
      <c r="B1545" s="32" t="n"/>
      <c r="C1545" s="32" t="n"/>
      <c r="D1545" s="33" t="n"/>
      <c r="E1545" s="34" t="n"/>
      <c r="F1545" s="35" t="n"/>
      <c r="G1545" s="35" t="n"/>
      <c r="H1545" s="32" t="n"/>
      <c r="I1545" s="32" t="n"/>
      <c r="J1545" s="32" t="n"/>
      <c r="K1545" s="36">
        <f>IF(E1545&lt;&gt;"",E1545,IF(AND(F1545&lt;&gt;"",G1545&lt;&gt;""),MOD(G1545-F1545,1)*24,""))</f>
        <v/>
      </c>
      <c r="L1545" s="37">
        <f>IF(A1545="","",CHOOSE(WEEKDAY(A1545,2),"Montag","Dienstag","Mittwoch","Donnerstag","Freitag","Samstag","Sonntag"))</f>
        <v/>
      </c>
      <c r="M1545" s="37">
        <f>IF(A1545="","",_xlfn.ISOWEEKNUM(A1545))</f>
        <v/>
      </c>
      <c r="N1545" s="38">
        <f>IF(A1545="","",DATE(YEAR(A1545),MONTH(A1545),1))</f>
        <v/>
      </c>
    </row>
    <row r="1546">
      <c r="A1546" s="31" t="n"/>
      <c r="B1546" s="32" t="n"/>
      <c r="C1546" s="32" t="n"/>
      <c r="D1546" s="33" t="n"/>
      <c r="E1546" s="34" t="n"/>
      <c r="F1546" s="35" t="n"/>
      <c r="G1546" s="35" t="n"/>
      <c r="H1546" s="32" t="n"/>
      <c r="I1546" s="32" t="n"/>
      <c r="J1546" s="32" t="n"/>
      <c r="K1546" s="36">
        <f>IF(E1546&lt;&gt;"",E1546,IF(AND(F1546&lt;&gt;"",G1546&lt;&gt;""),MOD(G1546-F1546,1)*24,""))</f>
        <v/>
      </c>
      <c r="L1546" s="37">
        <f>IF(A1546="","",CHOOSE(WEEKDAY(A1546,2),"Montag","Dienstag","Mittwoch","Donnerstag","Freitag","Samstag","Sonntag"))</f>
        <v/>
      </c>
      <c r="M1546" s="37">
        <f>IF(A1546="","",_xlfn.ISOWEEKNUM(A1546))</f>
        <v/>
      </c>
      <c r="N1546" s="38">
        <f>IF(A1546="","",DATE(YEAR(A1546),MONTH(A1546),1))</f>
        <v/>
      </c>
    </row>
    <row r="1547">
      <c r="A1547" s="31" t="n"/>
      <c r="B1547" s="32" t="n"/>
      <c r="C1547" s="32" t="n"/>
      <c r="D1547" s="33" t="n"/>
      <c r="E1547" s="34" t="n"/>
      <c r="F1547" s="35" t="n"/>
      <c r="G1547" s="35" t="n"/>
      <c r="H1547" s="32" t="n"/>
      <c r="I1547" s="32" t="n"/>
      <c r="J1547" s="32" t="n"/>
      <c r="K1547" s="36">
        <f>IF(E1547&lt;&gt;"",E1547,IF(AND(F1547&lt;&gt;"",G1547&lt;&gt;""),MOD(G1547-F1547,1)*24,""))</f>
        <v/>
      </c>
      <c r="L1547" s="37">
        <f>IF(A1547="","",CHOOSE(WEEKDAY(A1547,2),"Montag","Dienstag","Mittwoch","Donnerstag","Freitag","Samstag","Sonntag"))</f>
        <v/>
      </c>
      <c r="M1547" s="37">
        <f>IF(A1547="","",_xlfn.ISOWEEKNUM(A1547))</f>
        <v/>
      </c>
      <c r="N1547" s="38">
        <f>IF(A1547="","",DATE(YEAR(A1547),MONTH(A1547),1))</f>
        <v/>
      </c>
    </row>
    <row r="1548">
      <c r="A1548" s="31" t="n"/>
      <c r="B1548" s="32" t="n"/>
      <c r="C1548" s="32" t="n"/>
      <c r="D1548" s="33" t="n"/>
      <c r="E1548" s="34" t="n"/>
      <c r="F1548" s="35" t="n"/>
      <c r="G1548" s="35" t="n"/>
      <c r="H1548" s="32" t="n"/>
      <c r="I1548" s="32" t="n"/>
      <c r="J1548" s="32" t="n"/>
      <c r="K1548" s="36">
        <f>IF(E1548&lt;&gt;"",E1548,IF(AND(F1548&lt;&gt;"",G1548&lt;&gt;""),MOD(G1548-F1548,1)*24,""))</f>
        <v/>
      </c>
      <c r="L1548" s="37">
        <f>IF(A1548="","",CHOOSE(WEEKDAY(A1548,2),"Montag","Dienstag","Mittwoch","Donnerstag","Freitag","Samstag","Sonntag"))</f>
        <v/>
      </c>
      <c r="M1548" s="37">
        <f>IF(A1548="","",_xlfn.ISOWEEKNUM(A1548))</f>
        <v/>
      </c>
      <c r="N1548" s="38">
        <f>IF(A1548="","",DATE(YEAR(A1548),MONTH(A1548),1))</f>
        <v/>
      </c>
    </row>
    <row r="1549">
      <c r="A1549" s="31" t="n"/>
      <c r="B1549" s="32" t="n"/>
      <c r="C1549" s="32" t="n"/>
      <c r="D1549" s="33" t="n"/>
      <c r="E1549" s="34" t="n"/>
      <c r="F1549" s="35" t="n"/>
      <c r="G1549" s="35" t="n"/>
      <c r="H1549" s="32" t="n"/>
      <c r="I1549" s="32" t="n"/>
      <c r="J1549" s="32" t="n"/>
      <c r="K1549" s="36">
        <f>IF(E1549&lt;&gt;"",E1549,IF(AND(F1549&lt;&gt;"",G1549&lt;&gt;""),MOD(G1549-F1549,1)*24,""))</f>
        <v/>
      </c>
      <c r="L1549" s="37">
        <f>IF(A1549="","",CHOOSE(WEEKDAY(A1549,2),"Montag","Dienstag","Mittwoch","Donnerstag","Freitag","Samstag","Sonntag"))</f>
        <v/>
      </c>
      <c r="M1549" s="37">
        <f>IF(A1549="","",_xlfn.ISOWEEKNUM(A1549))</f>
        <v/>
      </c>
      <c r="N1549" s="38">
        <f>IF(A1549="","",DATE(YEAR(A1549),MONTH(A1549),1))</f>
        <v/>
      </c>
    </row>
    <row r="1550">
      <c r="A1550" s="31" t="n"/>
      <c r="B1550" s="32" t="n"/>
      <c r="C1550" s="32" t="n"/>
      <c r="D1550" s="33" t="n"/>
      <c r="E1550" s="34" t="n"/>
      <c r="F1550" s="35" t="n"/>
      <c r="G1550" s="35" t="n"/>
      <c r="H1550" s="32" t="n"/>
      <c r="I1550" s="32" t="n"/>
      <c r="J1550" s="32" t="n"/>
      <c r="K1550" s="36">
        <f>IF(E1550&lt;&gt;"",E1550,IF(AND(F1550&lt;&gt;"",G1550&lt;&gt;""),MOD(G1550-F1550,1)*24,""))</f>
        <v/>
      </c>
      <c r="L1550" s="37">
        <f>IF(A1550="","",CHOOSE(WEEKDAY(A1550,2),"Montag","Dienstag","Mittwoch","Donnerstag","Freitag","Samstag","Sonntag"))</f>
        <v/>
      </c>
      <c r="M1550" s="37">
        <f>IF(A1550="","",_xlfn.ISOWEEKNUM(A1550))</f>
        <v/>
      </c>
      <c r="N1550" s="38">
        <f>IF(A1550="","",DATE(YEAR(A1550),MONTH(A1550),1))</f>
        <v/>
      </c>
    </row>
    <row r="1551">
      <c r="A1551" s="31" t="n"/>
      <c r="B1551" s="32" t="n"/>
      <c r="C1551" s="32" t="n"/>
      <c r="D1551" s="33" t="n"/>
      <c r="E1551" s="34" t="n"/>
      <c r="F1551" s="35" t="n"/>
      <c r="G1551" s="35" t="n"/>
      <c r="H1551" s="32" t="n"/>
      <c r="I1551" s="32" t="n"/>
      <c r="J1551" s="32" t="n"/>
      <c r="K1551" s="36">
        <f>IF(E1551&lt;&gt;"",E1551,IF(AND(F1551&lt;&gt;"",G1551&lt;&gt;""),MOD(G1551-F1551,1)*24,""))</f>
        <v/>
      </c>
      <c r="L1551" s="37">
        <f>IF(A1551="","",CHOOSE(WEEKDAY(A1551,2),"Montag","Dienstag","Mittwoch","Donnerstag","Freitag","Samstag","Sonntag"))</f>
        <v/>
      </c>
      <c r="M1551" s="37">
        <f>IF(A1551="","",_xlfn.ISOWEEKNUM(A1551))</f>
        <v/>
      </c>
      <c r="N1551" s="38">
        <f>IF(A1551="","",DATE(YEAR(A1551),MONTH(A1551),1))</f>
        <v/>
      </c>
    </row>
    <row r="1552">
      <c r="A1552" s="31" t="n"/>
      <c r="B1552" s="32" t="n"/>
      <c r="C1552" s="32" t="n"/>
      <c r="D1552" s="33" t="n"/>
      <c r="E1552" s="34" t="n"/>
      <c r="F1552" s="35" t="n"/>
      <c r="G1552" s="35" t="n"/>
      <c r="H1552" s="32" t="n"/>
      <c r="I1552" s="32" t="n"/>
      <c r="J1552" s="32" t="n"/>
      <c r="K1552" s="36">
        <f>IF(E1552&lt;&gt;"",E1552,IF(AND(F1552&lt;&gt;"",G1552&lt;&gt;""),MOD(G1552-F1552,1)*24,""))</f>
        <v/>
      </c>
      <c r="L1552" s="37">
        <f>IF(A1552="","",CHOOSE(WEEKDAY(A1552,2),"Montag","Dienstag","Mittwoch","Donnerstag","Freitag","Samstag","Sonntag"))</f>
        <v/>
      </c>
      <c r="M1552" s="37">
        <f>IF(A1552="","",_xlfn.ISOWEEKNUM(A1552))</f>
        <v/>
      </c>
      <c r="N1552" s="38">
        <f>IF(A1552="","",DATE(YEAR(A1552),MONTH(A1552),1))</f>
        <v/>
      </c>
    </row>
    <row r="1553">
      <c r="A1553" s="31" t="n"/>
      <c r="B1553" s="32" t="n"/>
      <c r="C1553" s="32" t="n"/>
      <c r="D1553" s="33" t="n"/>
      <c r="E1553" s="34" t="n"/>
      <c r="F1553" s="35" t="n"/>
      <c r="G1553" s="35" t="n"/>
      <c r="H1553" s="32" t="n"/>
      <c r="I1553" s="32" t="n"/>
      <c r="J1553" s="32" t="n"/>
      <c r="K1553" s="36">
        <f>IF(E1553&lt;&gt;"",E1553,IF(AND(F1553&lt;&gt;"",G1553&lt;&gt;""),MOD(G1553-F1553,1)*24,""))</f>
        <v/>
      </c>
      <c r="L1553" s="37">
        <f>IF(A1553="","",CHOOSE(WEEKDAY(A1553,2),"Montag","Dienstag","Mittwoch","Donnerstag","Freitag","Samstag","Sonntag"))</f>
        <v/>
      </c>
      <c r="M1553" s="37">
        <f>IF(A1553="","",_xlfn.ISOWEEKNUM(A1553))</f>
        <v/>
      </c>
      <c r="N1553" s="38">
        <f>IF(A1553="","",DATE(YEAR(A1553),MONTH(A1553),1))</f>
        <v/>
      </c>
    </row>
    <row r="1554">
      <c r="A1554" s="31" t="n"/>
      <c r="B1554" s="32" t="n"/>
      <c r="C1554" s="32" t="n"/>
      <c r="D1554" s="33" t="n"/>
      <c r="E1554" s="34" t="n"/>
      <c r="F1554" s="35" t="n"/>
      <c r="G1554" s="35" t="n"/>
      <c r="H1554" s="32" t="n"/>
      <c r="I1554" s="32" t="n"/>
      <c r="J1554" s="32" t="n"/>
      <c r="K1554" s="36">
        <f>IF(E1554&lt;&gt;"",E1554,IF(AND(F1554&lt;&gt;"",G1554&lt;&gt;""),MOD(G1554-F1554,1)*24,""))</f>
        <v/>
      </c>
      <c r="L1554" s="37">
        <f>IF(A1554="","",CHOOSE(WEEKDAY(A1554,2),"Montag","Dienstag","Mittwoch","Donnerstag","Freitag","Samstag","Sonntag"))</f>
        <v/>
      </c>
      <c r="M1554" s="37">
        <f>IF(A1554="","",_xlfn.ISOWEEKNUM(A1554))</f>
        <v/>
      </c>
      <c r="N1554" s="38">
        <f>IF(A1554="","",DATE(YEAR(A1554),MONTH(A1554),1))</f>
        <v/>
      </c>
    </row>
    <row r="1555">
      <c r="A1555" s="31" t="n"/>
      <c r="B1555" s="32" t="n"/>
      <c r="C1555" s="32" t="n"/>
      <c r="D1555" s="33" t="n"/>
      <c r="E1555" s="34" t="n"/>
      <c r="F1555" s="35" t="n"/>
      <c r="G1555" s="35" t="n"/>
      <c r="H1555" s="32" t="n"/>
      <c r="I1555" s="32" t="n"/>
      <c r="J1555" s="32" t="n"/>
      <c r="K1555" s="36">
        <f>IF(E1555&lt;&gt;"",E1555,IF(AND(F1555&lt;&gt;"",G1555&lt;&gt;""),MOD(G1555-F1555,1)*24,""))</f>
        <v/>
      </c>
      <c r="L1555" s="37">
        <f>IF(A1555="","",CHOOSE(WEEKDAY(A1555,2),"Montag","Dienstag","Mittwoch","Donnerstag","Freitag","Samstag","Sonntag"))</f>
        <v/>
      </c>
      <c r="M1555" s="37">
        <f>IF(A1555="","",_xlfn.ISOWEEKNUM(A1555))</f>
        <v/>
      </c>
      <c r="N1555" s="38">
        <f>IF(A1555="","",DATE(YEAR(A1555),MONTH(A1555),1))</f>
        <v/>
      </c>
    </row>
    <row r="1556">
      <c r="A1556" s="31" t="n"/>
      <c r="B1556" s="32" t="n"/>
      <c r="C1556" s="32" t="n"/>
      <c r="D1556" s="33" t="n"/>
      <c r="E1556" s="34" t="n"/>
      <c r="F1556" s="35" t="n"/>
      <c r="G1556" s="35" t="n"/>
      <c r="H1556" s="32" t="n"/>
      <c r="I1556" s="32" t="n"/>
      <c r="J1556" s="32" t="n"/>
      <c r="K1556" s="36">
        <f>IF(E1556&lt;&gt;"",E1556,IF(AND(F1556&lt;&gt;"",G1556&lt;&gt;""),MOD(G1556-F1556,1)*24,""))</f>
        <v/>
      </c>
      <c r="L1556" s="37">
        <f>IF(A1556="","",CHOOSE(WEEKDAY(A1556,2),"Montag","Dienstag","Mittwoch","Donnerstag","Freitag","Samstag","Sonntag"))</f>
        <v/>
      </c>
      <c r="M1556" s="37">
        <f>IF(A1556="","",_xlfn.ISOWEEKNUM(A1556))</f>
        <v/>
      </c>
      <c r="N1556" s="38">
        <f>IF(A1556="","",DATE(YEAR(A1556),MONTH(A1556),1))</f>
        <v/>
      </c>
    </row>
    <row r="1557">
      <c r="A1557" s="31" t="n"/>
      <c r="B1557" s="32" t="n"/>
      <c r="C1557" s="32" t="n"/>
      <c r="D1557" s="33" t="n"/>
      <c r="E1557" s="34" t="n"/>
      <c r="F1557" s="35" t="n"/>
      <c r="G1557" s="35" t="n"/>
      <c r="H1557" s="32" t="n"/>
      <c r="I1557" s="32" t="n"/>
      <c r="J1557" s="32" t="n"/>
      <c r="K1557" s="36">
        <f>IF(E1557&lt;&gt;"",E1557,IF(AND(F1557&lt;&gt;"",G1557&lt;&gt;""),MOD(G1557-F1557,1)*24,""))</f>
        <v/>
      </c>
      <c r="L1557" s="37">
        <f>IF(A1557="","",CHOOSE(WEEKDAY(A1557,2),"Montag","Dienstag","Mittwoch","Donnerstag","Freitag","Samstag","Sonntag"))</f>
        <v/>
      </c>
      <c r="M1557" s="37">
        <f>IF(A1557="","",_xlfn.ISOWEEKNUM(A1557))</f>
        <v/>
      </c>
      <c r="N1557" s="38">
        <f>IF(A1557="","",DATE(YEAR(A1557),MONTH(A1557),1))</f>
        <v/>
      </c>
    </row>
    <row r="1558">
      <c r="A1558" s="31" t="n"/>
      <c r="B1558" s="32" t="n"/>
      <c r="C1558" s="32" t="n"/>
      <c r="D1558" s="33" t="n"/>
      <c r="E1558" s="34" t="n"/>
      <c r="F1558" s="35" t="n"/>
      <c r="G1558" s="35" t="n"/>
      <c r="H1558" s="32" t="n"/>
      <c r="I1558" s="32" t="n"/>
      <c r="J1558" s="32" t="n"/>
      <c r="K1558" s="36">
        <f>IF(E1558&lt;&gt;"",E1558,IF(AND(F1558&lt;&gt;"",G1558&lt;&gt;""),MOD(G1558-F1558,1)*24,""))</f>
        <v/>
      </c>
      <c r="L1558" s="37">
        <f>IF(A1558="","",CHOOSE(WEEKDAY(A1558,2),"Montag","Dienstag","Mittwoch","Donnerstag","Freitag","Samstag","Sonntag"))</f>
        <v/>
      </c>
      <c r="M1558" s="37">
        <f>IF(A1558="","",_xlfn.ISOWEEKNUM(A1558))</f>
        <v/>
      </c>
      <c r="N1558" s="38">
        <f>IF(A1558="","",DATE(YEAR(A1558),MONTH(A1558),1))</f>
        <v/>
      </c>
    </row>
    <row r="1559">
      <c r="A1559" s="31" t="n"/>
      <c r="B1559" s="32" t="n"/>
      <c r="C1559" s="32" t="n"/>
      <c r="D1559" s="33" t="n"/>
      <c r="E1559" s="34" t="n"/>
      <c r="F1559" s="35" t="n"/>
      <c r="G1559" s="35" t="n"/>
      <c r="H1559" s="32" t="n"/>
      <c r="I1559" s="32" t="n"/>
      <c r="J1559" s="32" t="n"/>
      <c r="K1559" s="36">
        <f>IF(E1559&lt;&gt;"",E1559,IF(AND(F1559&lt;&gt;"",G1559&lt;&gt;""),MOD(G1559-F1559,1)*24,""))</f>
        <v/>
      </c>
      <c r="L1559" s="37">
        <f>IF(A1559="","",CHOOSE(WEEKDAY(A1559,2),"Montag","Dienstag","Mittwoch","Donnerstag","Freitag","Samstag","Sonntag"))</f>
        <v/>
      </c>
      <c r="M1559" s="37">
        <f>IF(A1559="","",_xlfn.ISOWEEKNUM(A1559))</f>
        <v/>
      </c>
      <c r="N1559" s="38">
        <f>IF(A1559="","",DATE(YEAR(A1559),MONTH(A1559),1))</f>
        <v/>
      </c>
    </row>
    <row r="1560">
      <c r="A1560" s="31" t="n"/>
      <c r="B1560" s="32" t="n"/>
      <c r="C1560" s="32" t="n"/>
      <c r="D1560" s="33" t="n"/>
      <c r="E1560" s="34" t="n"/>
      <c r="F1560" s="35" t="n"/>
      <c r="G1560" s="35" t="n"/>
      <c r="H1560" s="32" t="n"/>
      <c r="I1560" s="32" t="n"/>
      <c r="J1560" s="32" t="n"/>
      <c r="K1560" s="36">
        <f>IF(E1560&lt;&gt;"",E1560,IF(AND(F1560&lt;&gt;"",G1560&lt;&gt;""),MOD(G1560-F1560,1)*24,""))</f>
        <v/>
      </c>
      <c r="L1560" s="37">
        <f>IF(A1560="","",CHOOSE(WEEKDAY(A1560,2),"Montag","Dienstag","Mittwoch","Donnerstag","Freitag","Samstag","Sonntag"))</f>
        <v/>
      </c>
      <c r="M1560" s="37">
        <f>IF(A1560="","",_xlfn.ISOWEEKNUM(A1560))</f>
        <v/>
      </c>
      <c r="N1560" s="38">
        <f>IF(A1560="","",DATE(YEAR(A1560),MONTH(A1560),1))</f>
        <v/>
      </c>
    </row>
    <row r="1561">
      <c r="A1561" s="31" t="n"/>
      <c r="B1561" s="32" t="n"/>
      <c r="C1561" s="32" t="n"/>
      <c r="D1561" s="33" t="n"/>
      <c r="E1561" s="34" t="n"/>
      <c r="F1561" s="35" t="n"/>
      <c r="G1561" s="35" t="n"/>
      <c r="H1561" s="32" t="n"/>
      <c r="I1561" s="32" t="n"/>
      <c r="J1561" s="32" t="n"/>
      <c r="K1561" s="36">
        <f>IF(E1561&lt;&gt;"",E1561,IF(AND(F1561&lt;&gt;"",G1561&lt;&gt;""),MOD(G1561-F1561,1)*24,""))</f>
        <v/>
      </c>
      <c r="L1561" s="37">
        <f>IF(A1561="","",CHOOSE(WEEKDAY(A1561,2),"Montag","Dienstag","Mittwoch","Donnerstag","Freitag","Samstag","Sonntag"))</f>
        <v/>
      </c>
      <c r="M1561" s="37">
        <f>IF(A1561="","",_xlfn.ISOWEEKNUM(A1561))</f>
        <v/>
      </c>
      <c r="N1561" s="38">
        <f>IF(A1561="","",DATE(YEAR(A1561),MONTH(A1561),1))</f>
        <v/>
      </c>
    </row>
    <row r="1562">
      <c r="A1562" s="31" t="n"/>
      <c r="B1562" s="32" t="n"/>
      <c r="C1562" s="32" t="n"/>
      <c r="D1562" s="33" t="n"/>
      <c r="E1562" s="34" t="n"/>
      <c r="F1562" s="35" t="n"/>
      <c r="G1562" s="35" t="n"/>
      <c r="H1562" s="32" t="n"/>
      <c r="I1562" s="32" t="n"/>
      <c r="J1562" s="32" t="n"/>
      <c r="K1562" s="36">
        <f>IF(E1562&lt;&gt;"",E1562,IF(AND(F1562&lt;&gt;"",G1562&lt;&gt;""),MOD(G1562-F1562,1)*24,""))</f>
        <v/>
      </c>
      <c r="L1562" s="37">
        <f>IF(A1562="","",CHOOSE(WEEKDAY(A1562,2),"Montag","Dienstag","Mittwoch","Donnerstag","Freitag","Samstag","Sonntag"))</f>
        <v/>
      </c>
      <c r="M1562" s="37">
        <f>IF(A1562="","",_xlfn.ISOWEEKNUM(A1562))</f>
        <v/>
      </c>
      <c r="N1562" s="38">
        <f>IF(A1562="","",DATE(YEAR(A1562),MONTH(A1562),1))</f>
        <v/>
      </c>
    </row>
    <row r="1563">
      <c r="A1563" s="31" t="n"/>
      <c r="B1563" s="32" t="n"/>
      <c r="C1563" s="32" t="n"/>
      <c r="D1563" s="33" t="n"/>
      <c r="E1563" s="34" t="n"/>
      <c r="F1563" s="35" t="n"/>
      <c r="G1563" s="35" t="n"/>
      <c r="H1563" s="32" t="n"/>
      <c r="I1563" s="32" t="n"/>
      <c r="J1563" s="32" t="n"/>
      <c r="K1563" s="36">
        <f>IF(E1563&lt;&gt;"",E1563,IF(AND(F1563&lt;&gt;"",G1563&lt;&gt;""),MOD(G1563-F1563,1)*24,""))</f>
        <v/>
      </c>
      <c r="L1563" s="37">
        <f>IF(A1563="","",CHOOSE(WEEKDAY(A1563,2),"Montag","Dienstag","Mittwoch","Donnerstag","Freitag","Samstag","Sonntag"))</f>
        <v/>
      </c>
      <c r="M1563" s="37">
        <f>IF(A1563="","",_xlfn.ISOWEEKNUM(A1563))</f>
        <v/>
      </c>
      <c r="N1563" s="38">
        <f>IF(A1563="","",DATE(YEAR(A1563),MONTH(A1563),1))</f>
        <v/>
      </c>
    </row>
    <row r="1564">
      <c r="A1564" s="31" t="n"/>
      <c r="B1564" s="32" t="n"/>
      <c r="C1564" s="32" t="n"/>
      <c r="D1564" s="33" t="n"/>
      <c r="E1564" s="34" t="n"/>
      <c r="F1564" s="35" t="n"/>
      <c r="G1564" s="35" t="n"/>
      <c r="H1564" s="32" t="n"/>
      <c r="I1564" s="32" t="n"/>
      <c r="J1564" s="32" t="n"/>
      <c r="K1564" s="36">
        <f>IF(E1564&lt;&gt;"",E1564,IF(AND(F1564&lt;&gt;"",G1564&lt;&gt;""),MOD(G1564-F1564,1)*24,""))</f>
        <v/>
      </c>
      <c r="L1564" s="37">
        <f>IF(A1564="","",CHOOSE(WEEKDAY(A1564,2),"Montag","Dienstag","Mittwoch","Donnerstag","Freitag","Samstag","Sonntag"))</f>
        <v/>
      </c>
      <c r="M1564" s="37">
        <f>IF(A1564="","",_xlfn.ISOWEEKNUM(A1564))</f>
        <v/>
      </c>
      <c r="N1564" s="38">
        <f>IF(A1564="","",DATE(YEAR(A1564),MONTH(A1564),1))</f>
        <v/>
      </c>
    </row>
    <row r="1565">
      <c r="A1565" s="31" t="n"/>
      <c r="B1565" s="32" t="n"/>
      <c r="C1565" s="32" t="n"/>
      <c r="D1565" s="33" t="n"/>
      <c r="E1565" s="34" t="n"/>
      <c r="F1565" s="35" t="n"/>
      <c r="G1565" s="35" t="n"/>
      <c r="H1565" s="32" t="n"/>
      <c r="I1565" s="32" t="n"/>
      <c r="J1565" s="32" t="n"/>
      <c r="K1565" s="36">
        <f>IF(E1565&lt;&gt;"",E1565,IF(AND(F1565&lt;&gt;"",G1565&lt;&gt;""),MOD(G1565-F1565,1)*24,""))</f>
        <v/>
      </c>
      <c r="L1565" s="37">
        <f>IF(A1565="","",CHOOSE(WEEKDAY(A1565,2),"Montag","Dienstag","Mittwoch","Donnerstag","Freitag","Samstag","Sonntag"))</f>
        <v/>
      </c>
      <c r="M1565" s="37">
        <f>IF(A1565="","",_xlfn.ISOWEEKNUM(A1565))</f>
        <v/>
      </c>
      <c r="N1565" s="38">
        <f>IF(A1565="","",DATE(YEAR(A1565),MONTH(A1565),1))</f>
        <v/>
      </c>
    </row>
    <row r="1566">
      <c r="A1566" s="31" t="n"/>
      <c r="B1566" s="32" t="n"/>
      <c r="C1566" s="32" t="n"/>
      <c r="D1566" s="33" t="n"/>
      <c r="E1566" s="34" t="n"/>
      <c r="F1566" s="35" t="n"/>
      <c r="G1566" s="35" t="n"/>
      <c r="H1566" s="32" t="n"/>
      <c r="I1566" s="32" t="n"/>
      <c r="J1566" s="32" t="n"/>
      <c r="K1566" s="36">
        <f>IF(E1566&lt;&gt;"",E1566,IF(AND(F1566&lt;&gt;"",G1566&lt;&gt;""),MOD(G1566-F1566,1)*24,""))</f>
        <v/>
      </c>
      <c r="L1566" s="37">
        <f>IF(A1566="","",CHOOSE(WEEKDAY(A1566,2),"Montag","Dienstag","Mittwoch","Donnerstag","Freitag","Samstag","Sonntag"))</f>
        <v/>
      </c>
      <c r="M1566" s="37">
        <f>IF(A1566="","",_xlfn.ISOWEEKNUM(A1566))</f>
        <v/>
      </c>
      <c r="N1566" s="38">
        <f>IF(A1566="","",DATE(YEAR(A1566),MONTH(A1566),1))</f>
        <v/>
      </c>
    </row>
    <row r="1567">
      <c r="A1567" s="31" t="n"/>
      <c r="B1567" s="32" t="n"/>
      <c r="C1567" s="32" t="n"/>
      <c r="D1567" s="33" t="n"/>
      <c r="E1567" s="34" t="n"/>
      <c r="F1567" s="35" t="n"/>
      <c r="G1567" s="35" t="n"/>
      <c r="H1567" s="32" t="n"/>
      <c r="I1567" s="32" t="n"/>
      <c r="J1567" s="32" t="n"/>
      <c r="K1567" s="36">
        <f>IF(E1567&lt;&gt;"",E1567,IF(AND(F1567&lt;&gt;"",G1567&lt;&gt;""),MOD(G1567-F1567,1)*24,""))</f>
        <v/>
      </c>
      <c r="L1567" s="37">
        <f>IF(A1567="","",CHOOSE(WEEKDAY(A1567,2),"Montag","Dienstag","Mittwoch","Donnerstag","Freitag","Samstag","Sonntag"))</f>
        <v/>
      </c>
      <c r="M1567" s="37">
        <f>IF(A1567="","",_xlfn.ISOWEEKNUM(A1567))</f>
        <v/>
      </c>
      <c r="N1567" s="38">
        <f>IF(A1567="","",DATE(YEAR(A1567),MONTH(A1567),1))</f>
        <v/>
      </c>
    </row>
    <row r="1568">
      <c r="A1568" s="31" t="n"/>
      <c r="B1568" s="32" t="n"/>
      <c r="C1568" s="32" t="n"/>
      <c r="D1568" s="33" t="n"/>
      <c r="E1568" s="34" t="n"/>
      <c r="F1568" s="35" t="n"/>
      <c r="G1568" s="35" t="n"/>
      <c r="H1568" s="32" t="n"/>
      <c r="I1568" s="32" t="n"/>
      <c r="J1568" s="32" t="n"/>
      <c r="K1568" s="36">
        <f>IF(E1568&lt;&gt;"",E1568,IF(AND(F1568&lt;&gt;"",G1568&lt;&gt;""),MOD(G1568-F1568,1)*24,""))</f>
        <v/>
      </c>
      <c r="L1568" s="37">
        <f>IF(A1568="","",CHOOSE(WEEKDAY(A1568,2),"Montag","Dienstag","Mittwoch","Donnerstag","Freitag","Samstag","Sonntag"))</f>
        <v/>
      </c>
      <c r="M1568" s="37">
        <f>IF(A1568="","",_xlfn.ISOWEEKNUM(A1568))</f>
        <v/>
      </c>
      <c r="N1568" s="38">
        <f>IF(A1568="","",DATE(YEAR(A1568),MONTH(A1568),1))</f>
        <v/>
      </c>
    </row>
    <row r="1569">
      <c r="A1569" s="31" t="n"/>
      <c r="B1569" s="32" t="n"/>
      <c r="C1569" s="32" t="n"/>
      <c r="D1569" s="33" t="n"/>
      <c r="E1569" s="34" t="n"/>
      <c r="F1569" s="35" t="n"/>
      <c r="G1569" s="35" t="n"/>
      <c r="H1569" s="32" t="n"/>
      <c r="I1569" s="32" t="n"/>
      <c r="J1569" s="32" t="n"/>
      <c r="K1569" s="36">
        <f>IF(E1569&lt;&gt;"",E1569,IF(AND(F1569&lt;&gt;"",G1569&lt;&gt;""),MOD(G1569-F1569,1)*24,""))</f>
        <v/>
      </c>
      <c r="L1569" s="37">
        <f>IF(A1569="","",CHOOSE(WEEKDAY(A1569,2),"Montag","Dienstag","Mittwoch","Donnerstag","Freitag","Samstag","Sonntag"))</f>
        <v/>
      </c>
      <c r="M1569" s="37">
        <f>IF(A1569="","",_xlfn.ISOWEEKNUM(A1569))</f>
        <v/>
      </c>
      <c r="N1569" s="38">
        <f>IF(A1569="","",DATE(YEAR(A1569),MONTH(A1569),1))</f>
        <v/>
      </c>
    </row>
    <row r="1570">
      <c r="A1570" s="31" t="n"/>
      <c r="B1570" s="32" t="n"/>
      <c r="C1570" s="32" t="n"/>
      <c r="D1570" s="33" t="n"/>
      <c r="E1570" s="34" t="n"/>
      <c r="F1570" s="35" t="n"/>
      <c r="G1570" s="35" t="n"/>
      <c r="H1570" s="32" t="n"/>
      <c r="I1570" s="32" t="n"/>
      <c r="J1570" s="32" t="n"/>
      <c r="K1570" s="36">
        <f>IF(E1570&lt;&gt;"",E1570,IF(AND(F1570&lt;&gt;"",G1570&lt;&gt;""),MOD(G1570-F1570,1)*24,""))</f>
        <v/>
      </c>
      <c r="L1570" s="37">
        <f>IF(A1570="","",CHOOSE(WEEKDAY(A1570,2),"Montag","Dienstag","Mittwoch","Donnerstag","Freitag","Samstag","Sonntag"))</f>
        <v/>
      </c>
      <c r="M1570" s="37">
        <f>IF(A1570="","",_xlfn.ISOWEEKNUM(A1570))</f>
        <v/>
      </c>
      <c r="N1570" s="38">
        <f>IF(A1570="","",DATE(YEAR(A1570),MONTH(A1570),1))</f>
        <v/>
      </c>
    </row>
    <row r="1571">
      <c r="A1571" s="31" t="n"/>
      <c r="B1571" s="32" t="n"/>
      <c r="C1571" s="32" t="n"/>
      <c r="D1571" s="33" t="n"/>
      <c r="E1571" s="34" t="n"/>
      <c r="F1571" s="35" t="n"/>
      <c r="G1571" s="35" t="n"/>
      <c r="H1571" s="32" t="n"/>
      <c r="I1571" s="32" t="n"/>
      <c r="J1571" s="32" t="n"/>
      <c r="K1571" s="36">
        <f>IF(E1571&lt;&gt;"",E1571,IF(AND(F1571&lt;&gt;"",G1571&lt;&gt;""),MOD(G1571-F1571,1)*24,""))</f>
        <v/>
      </c>
      <c r="L1571" s="37">
        <f>IF(A1571="","",CHOOSE(WEEKDAY(A1571,2),"Montag","Dienstag","Mittwoch","Donnerstag","Freitag","Samstag","Sonntag"))</f>
        <v/>
      </c>
      <c r="M1571" s="37">
        <f>IF(A1571="","",_xlfn.ISOWEEKNUM(A1571))</f>
        <v/>
      </c>
      <c r="N1571" s="38">
        <f>IF(A1571="","",DATE(YEAR(A1571),MONTH(A1571),1))</f>
        <v/>
      </c>
    </row>
    <row r="1572">
      <c r="A1572" s="31" t="n"/>
      <c r="B1572" s="32" t="n"/>
      <c r="C1572" s="32" t="n"/>
      <c r="D1572" s="33" t="n"/>
      <c r="E1572" s="34" t="n"/>
      <c r="F1572" s="35" t="n"/>
      <c r="G1572" s="35" t="n"/>
      <c r="H1572" s="32" t="n"/>
      <c r="I1572" s="32" t="n"/>
      <c r="J1572" s="32" t="n"/>
      <c r="K1572" s="36">
        <f>IF(E1572&lt;&gt;"",E1572,IF(AND(F1572&lt;&gt;"",G1572&lt;&gt;""),MOD(G1572-F1572,1)*24,""))</f>
        <v/>
      </c>
      <c r="L1572" s="37">
        <f>IF(A1572="","",CHOOSE(WEEKDAY(A1572,2),"Montag","Dienstag","Mittwoch","Donnerstag","Freitag","Samstag","Sonntag"))</f>
        <v/>
      </c>
      <c r="M1572" s="37">
        <f>IF(A1572="","",_xlfn.ISOWEEKNUM(A1572))</f>
        <v/>
      </c>
      <c r="N1572" s="38">
        <f>IF(A1572="","",DATE(YEAR(A1572),MONTH(A1572),1))</f>
        <v/>
      </c>
    </row>
    <row r="1573">
      <c r="A1573" s="31" t="n"/>
      <c r="B1573" s="32" t="n"/>
      <c r="C1573" s="32" t="n"/>
      <c r="D1573" s="33" t="n"/>
      <c r="E1573" s="34" t="n"/>
      <c r="F1573" s="35" t="n"/>
      <c r="G1573" s="35" t="n"/>
      <c r="H1573" s="32" t="n"/>
      <c r="I1573" s="32" t="n"/>
      <c r="J1573" s="32" t="n"/>
      <c r="K1573" s="36">
        <f>IF(E1573&lt;&gt;"",E1573,IF(AND(F1573&lt;&gt;"",G1573&lt;&gt;""),MOD(G1573-F1573,1)*24,""))</f>
        <v/>
      </c>
      <c r="L1573" s="37">
        <f>IF(A1573="","",CHOOSE(WEEKDAY(A1573,2),"Montag","Dienstag","Mittwoch","Donnerstag","Freitag","Samstag","Sonntag"))</f>
        <v/>
      </c>
      <c r="M1573" s="37">
        <f>IF(A1573="","",_xlfn.ISOWEEKNUM(A1573))</f>
        <v/>
      </c>
      <c r="N1573" s="38">
        <f>IF(A1573="","",DATE(YEAR(A1573),MONTH(A1573),1))</f>
        <v/>
      </c>
    </row>
    <row r="1574">
      <c r="A1574" s="31" t="n"/>
      <c r="B1574" s="32" t="n"/>
      <c r="C1574" s="32" t="n"/>
      <c r="D1574" s="33" t="n"/>
      <c r="E1574" s="34" t="n"/>
      <c r="F1574" s="35" t="n"/>
      <c r="G1574" s="35" t="n"/>
      <c r="H1574" s="32" t="n"/>
      <c r="I1574" s="32" t="n"/>
      <c r="J1574" s="32" t="n"/>
      <c r="K1574" s="36">
        <f>IF(E1574&lt;&gt;"",E1574,IF(AND(F1574&lt;&gt;"",G1574&lt;&gt;""),MOD(G1574-F1574,1)*24,""))</f>
        <v/>
      </c>
      <c r="L1574" s="37">
        <f>IF(A1574="","",CHOOSE(WEEKDAY(A1574,2),"Montag","Dienstag","Mittwoch","Donnerstag","Freitag","Samstag","Sonntag"))</f>
        <v/>
      </c>
      <c r="M1574" s="37">
        <f>IF(A1574="","",_xlfn.ISOWEEKNUM(A1574))</f>
        <v/>
      </c>
      <c r="N1574" s="38">
        <f>IF(A1574="","",DATE(YEAR(A1574),MONTH(A1574),1))</f>
        <v/>
      </c>
    </row>
    <row r="1575">
      <c r="A1575" s="31" t="n"/>
      <c r="B1575" s="32" t="n"/>
      <c r="C1575" s="32" t="n"/>
      <c r="D1575" s="33" t="n"/>
      <c r="E1575" s="34" t="n"/>
      <c r="F1575" s="35" t="n"/>
      <c r="G1575" s="35" t="n"/>
      <c r="H1575" s="32" t="n"/>
      <c r="I1575" s="32" t="n"/>
      <c r="J1575" s="32" t="n"/>
      <c r="K1575" s="36">
        <f>IF(E1575&lt;&gt;"",E1575,IF(AND(F1575&lt;&gt;"",G1575&lt;&gt;""),MOD(G1575-F1575,1)*24,""))</f>
        <v/>
      </c>
      <c r="L1575" s="37">
        <f>IF(A1575="","",CHOOSE(WEEKDAY(A1575,2),"Montag","Dienstag","Mittwoch","Donnerstag","Freitag","Samstag","Sonntag"))</f>
        <v/>
      </c>
      <c r="M1575" s="37">
        <f>IF(A1575="","",_xlfn.ISOWEEKNUM(A1575))</f>
        <v/>
      </c>
      <c r="N1575" s="38">
        <f>IF(A1575="","",DATE(YEAR(A1575),MONTH(A1575),1))</f>
        <v/>
      </c>
    </row>
    <row r="1576">
      <c r="A1576" s="31" t="n"/>
      <c r="B1576" s="32" t="n"/>
      <c r="C1576" s="32" t="n"/>
      <c r="D1576" s="33" t="n"/>
      <c r="E1576" s="34" t="n"/>
      <c r="F1576" s="35" t="n"/>
      <c r="G1576" s="35" t="n"/>
      <c r="H1576" s="32" t="n"/>
      <c r="I1576" s="32" t="n"/>
      <c r="J1576" s="32" t="n"/>
      <c r="K1576" s="36">
        <f>IF(E1576&lt;&gt;"",E1576,IF(AND(F1576&lt;&gt;"",G1576&lt;&gt;""),MOD(G1576-F1576,1)*24,""))</f>
        <v/>
      </c>
      <c r="L1576" s="37">
        <f>IF(A1576="","",CHOOSE(WEEKDAY(A1576,2),"Montag","Dienstag","Mittwoch","Donnerstag","Freitag","Samstag","Sonntag"))</f>
        <v/>
      </c>
      <c r="M1576" s="37">
        <f>IF(A1576="","",_xlfn.ISOWEEKNUM(A1576))</f>
        <v/>
      </c>
      <c r="N1576" s="38">
        <f>IF(A1576="","",DATE(YEAR(A1576),MONTH(A1576),1))</f>
        <v/>
      </c>
    </row>
    <row r="1577">
      <c r="A1577" s="31" t="n"/>
      <c r="B1577" s="32" t="n"/>
      <c r="C1577" s="32" t="n"/>
      <c r="D1577" s="33" t="n"/>
      <c r="E1577" s="34" t="n"/>
      <c r="F1577" s="35" t="n"/>
      <c r="G1577" s="35" t="n"/>
      <c r="H1577" s="32" t="n"/>
      <c r="I1577" s="32" t="n"/>
      <c r="J1577" s="32" t="n"/>
      <c r="K1577" s="36">
        <f>IF(E1577&lt;&gt;"",E1577,IF(AND(F1577&lt;&gt;"",G1577&lt;&gt;""),MOD(G1577-F1577,1)*24,""))</f>
        <v/>
      </c>
      <c r="L1577" s="37">
        <f>IF(A1577="","",CHOOSE(WEEKDAY(A1577,2),"Montag","Dienstag","Mittwoch","Donnerstag","Freitag","Samstag","Sonntag"))</f>
        <v/>
      </c>
      <c r="M1577" s="37">
        <f>IF(A1577="","",_xlfn.ISOWEEKNUM(A1577))</f>
        <v/>
      </c>
      <c r="N1577" s="38">
        <f>IF(A1577="","",DATE(YEAR(A1577),MONTH(A1577),1))</f>
        <v/>
      </c>
    </row>
    <row r="1578">
      <c r="A1578" s="31" t="n"/>
      <c r="B1578" s="32" t="n"/>
      <c r="C1578" s="32" t="n"/>
      <c r="D1578" s="33" t="n"/>
      <c r="E1578" s="34" t="n"/>
      <c r="F1578" s="35" t="n"/>
      <c r="G1578" s="35" t="n"/>
      <c r="H1578" s="32" t="n"/>
      <c r="I1578" s="32" t="n"/>
      <c r="J1578" s="32" t="n"/>
      <c r="K1578" s="36">
        <f>IF(E1578&lt;&gt;"",E1578,IF(AND(F1578&lt;&gt;"",G1578&lt;&gt;""),MOD(G1578-F1578,1)*24,""))</f>
        <v/>
      </c>
      <c r="L1578" s="37">
        <f>IF(A1578="","",CHOOSE(WEEKDAY(A1578,2),"Montag","Dienstag","Mittwoch","Donnerstag","Freitag","Samstag","Sonntag"))</f>
        <v/>
      </c>
      <c r="M1578" s="37">
        <f>IF(A1578="","",_xlfn.ISOWEEKNUM(A1578))</f>
        <v/>
      </c>
      <c r="N1578" s="38">
        <f>IF(A1578="","",DATE(YEAR(A1578),MONTH(A1578),1))</f>
        <v/>
      </c>
    </row>
    <row r="1579">
      <c r="A1579" s="31" t="n"/>
      <c r="B1579" s="32" t="n"/>
      <c r="C1579" s="32" t="n"/>
      <c r="D1579" s="33" t="n"/>
      <c r="E1579" s="34" t="n"/>
      <c r="F1579" s="35" t="n"/>
      <c r="G1579" s="35" t="n"/>
      <c r="H1579" s="32" t="n"/>
      <c r="I1579" s="32" t="n"/>
      <c r="J1579" s="32" t="n"/>
      <c r="K1579" s="36">
        <f>IF(E1579&lt;&gt;"",E1579,IF(AND(F1579&lt;&gt;"",G1579&lt;&gt;""),MOD(G1579-F1579,1)*24,""))</f>
        <v/>
      </c>
      <c r="L1579" s="37">
        <f>IF(A1579="","",CHOOSE(WEEKDAY(A1579,2),"Montag","Dienstag","Mittwoch","Donnerstag","Freitag","Samstag","Sonntag"))</f>
        <v/>
      </c>
      <c r="M1579" s="37">
        <f>IF(A1579="","",_xlfn.ISOWEEKNUM(A1579))</f>
        <v/>
      </c>
      <c r="N1579" s="38">
        <f>IF(A1579="","",DATE(YEAR(A1579),MONTH(A1579),1))</f>
        <v/>
      </c>
    </row>
    <row r="1580">
      <c r="A1580" s="31" t="n"/>
      <c r="B1580" s="32" t="n"/>
      <c r="C1580" s="32" t="n"/>
      <c r="D1580" s="33" t="n"/>
      <c r="E1580" s="34" t="n"/>
      <c r="F1580" s="35" t="n"/>
      <c r="G1580" s="35" t="n"/>
      <c r="H1580" s="32" t="n"/>
      <c r="I1580" s="32" t="n"/>
      <c r="J1580" s="32" t="n"/>
      <c r="K1580" s="36">
        <f>IF(E1580&lt;&gt;"",E1580,IF(AND(F1580&lt;&gt;"",G1580&lt;&gt;""),MOD(G1580-F1580,1)*24,""))</f>
        <v/>
      </c>
      <c r="L1580" s="37">
        <f>IF(A1580="","",CHOOSE(WEEKDAY(A1580,2),"Montag","Dienstag","Mittwoch","Donnerstag","Freitag","Samstag","Sonntag"))</f>
        <v/>
      </c>
      <c r="M1580" s="37">
        <f>IF(A1580="","",_xlfn.ISOWEEKNUM(A1580))</f>
        <v/>
      </c>
      <c r="N1580" s="38">
        <f>IF(A1580="","",DATE(YEAR(A1580),MONTH(A1580),1))</f>
        <v/>
      </c>
    </row>
    <row r="1581">
      <c r="A1581" s="31" t="n"/>
      <c r="B1581" s="32" t="n"/>
      <c r="C1581" s="32" t="n"/>
      <c r="D1581" s="33" t="n"/>
      <c r="E1581" s="34" t="n"/>
      <c r="F1581" s="35" t="n"/>
      <c r="G1581" s="35" t="n"/>
      <c r="H1581" s="32" t="n"/>
      <c r="I1581" s="32" t="n"/>
      <c r="J1581" s="32" t="n"/>
      <c r="K1581" s="36">
        <f>IF(E1581&lt;&gt;"",E1581,IF(AND(F1581&lt;&gt;"",G1581&lt;&gt;""),MOD(G1581-F1581,1)*24,""))</f>
        <v/>
      </c>
      <c r="L1581" s="37">
        <f>IF(A1581="","",CHOOSE(WEEKDAY(A1581,2),"Montag","Dienstag","Mittwoch","Donnerstag","Freitag","Samstag","Sonntag"))</f>
        <v/>
      </c>
      <c r="M1581" s="37">
        <f>IF(A1581="","",_xlfn.ISOWEEKNUM(A1581))</f>
        <v/>
      </c>
      <c r="N1581" s="38">
        <f>IF(A1581="","",DATE(YEAR(A1581),MONTH(A1581),1))</f>
        <v/>
      </c>
    </row>
    <row r="1582">
      <c r="A1582" s="31" t="n"/>
      <c r="B1582" s="32" t="n"/>
      <c r="C1582" s="32" t="n"/>
      <c r="D1582" s="33" t="n"/>
      <c r="E1582" s="34" t="n"/>
      <c r="F1582" s="35" t="n"/>
      <c r="G1582" s="35" t="n"/>
      <c r="H1582" s="32" t="n"/>
      <c r="I1582" s="32" t="n"/>
      <c r="J1582" s="32" t="n"/>
      <c r="K1582" s="36">
        <f>IF(E1582&lt;&gt;"",E1582,IF(AND(F1582&lt;&gt;"",G1582&lt;&gt;""),MOD(G1582-F1582,1)*24,""))</f>
        <v/>
      </c>
      <c r="L1582" s="37">
        <f>IF(A1582="","",CHOOSE(WEEKDAY(A1582,2),"Montag","Dienstag","Mittwoch","Donnerstag","Freitag","Samstag","Sonntag"))</f>
        <v/>
      </c>
      <c r="M1582" s="37">
        <f>IF(A1582="","",_xlfn.ISOWEEKNUM(A1582))</f>
        <v/>
      </c>
      <c r="N1582" s="38">
        <f>IF(A1582="","",DATE(YEAR(A1582),MONTH(A1582),1))</f>
        <v/>
      </c>
    </row>
    <row r="1583">
      <c r="A1583" s="31" t="n"/>
      <c r="B1583" s="32" t="n"/>
      <c r="C1583" s="32" t="n"/>
      <c r="D1583" s="33" t="n"/>
      <c r="E1583" s="34" t="n"/>
      <c r="F1583" s="35" t="n"/>
      <c r="G1583" s="35" t="n"/>
      <c r="H1583" s="32" t="n"/>
      <c r="I1583" s="32" t="n"/>
      <c r="J1583" s="32" t="n"/>
      <c r="K1583" s="36">
        <f>IF(E1583&lt;&gt;"",E1583,IF(AND(F1583&lt;&gt;"",G1583&lt;&gt;""),MOD(G1583-F1583,1)*24,""))</f>
        <v/>
      </c>
      <c r="L1583" s="37">
        <f>IF(A1583="","",CHOOSE(WEEKDAY(A1583,2),"Montag","Dienstag","Mittwoch","Donnerstag","Freitag","Samstag","Sonntag"))</f>
        <v/>
      </c>
      <c r="M1583" s="37">
        <f>IF(A1583="","",_xlfn.ISOWEEKNUM(A1583))</f>
        <v/>
      </c>
      <c r="N1583" s="38">
        <f>IF(A1583="","",DATE(YEAR(A1583),MONTH(A1583),1))</f>
        <v/>
      </c>
    </row>
    <row r="1584">
      <c r="A1584" s="31" t="n"/>
      <c r="B1584" s="32" t="n"/>
      <c r="C1584" s="32" t="n"/>
      <c r="D1584" s="33" t="n"/>
      <c r="E1584" s="34" t="n"/>
      <c r="F1584" s="35" t="n"/>
      <c r="G1584" s="35" t="n"/>
      <c r="H1584" s="32" t="n"/>
      <c r="I1584" s="32" t="n"/>
      <c r="J1584" s="32" t="n"/>
      <c r="K1584" s="36">
        <f>IF(E1584&lt;&gt;"",E1584,IF(AND(F1584&lt;&gt;"",G1584&lt;&gt;""),MOD(G1584-F1584,1)*24,""))</f>
        <v/>
      </c>
      <c r="L1584" s="37">
        <f>IF(A1584="","",CHOOSE(WEEKDAY(A1584,2),"Montag","Dienstag","Mittwoch","Donnerstag","Freitag","Samstag","Sonntag"))</f>
        <v/>
      </c>
      <c r="M1584" s="37">
        <f>IF(A1584="","",_xlfn.ISOWEEKNUM(A1584))</f>
        <v/>
      </c>
      <c r="N1584" s="38">
        <f>IF(A1584="","",DATE(YEAR(A1584),MONTH(A1584),1))</f>
        <v/>
      </c>
    </row>
    <row r="1585">
      <c r="A1585" s="31" t="n"/>
      <c r="B1585" s="32" t="n"/>
      <c r="C1585" s="32" t="n"/>
      <c r="D1585" s="33" t="n"/>
      <c r="E1585" s="34" t="n"/>
      <c r="F1585" s="35" t="n"/>
      <c r="G1585" s="35" t="n"/>
      <c r="H1585" s="32" t="n"/>
      <c r="I1585" s="32" t="n"/>
      <c r="J1585" s="32" t="n"/>
      <c r="K1585" s="36">
        <f>IF(E1585&lt;&gt;"",E1585,IF(AND(F1585&lt;&gt;"",G1585&lt;&gt;""),MOD(G1585-F1585,1)*24,""))</f>
        <v/>
      </c>
      <c r="L1585" s="37">
        <f>IF(A1585="","",CHOOSE(WEEKDAY(A1585,2),"Montag","Dienstag","Mittwoch","Donnerstag","Freitag","Samstag","Sonntag"))</f>
        <v/>
      </c>
      <c r="M1585" s="37">
        <f>IF(A1585="","",_xlfn.ISOWEEKNUM(A1585))</f>
        <v/>
      </c>
      <c r="N1585" s="38">
        <f>IF(A1585="","",DATE(YEAR(A1585),MONTH(A1585),1))</f>
        <v/>
      </c>
    </row>
    <row r="1586">
      <c r="A1586" s="31" t="n"/>
      <c r="B1586" s="32" t="n"/>
      <c r="C1586" s="32" t="n"/>
      <c r="D1586" s="33" t="n"/>
      <c r="E1586" s="34" t="n"/>
      <c r="F1586" s="35" t="n"/>
      <c r="G1586" s="35" t="n"/>
      <c r="H1586" s="32" t="n"/>
      <c r="I1586" s="32" t="n"/>
      <c r="J1586" s="32" t="n"/>
      <c r="K1586" s="36">
        <f>IF(E1586&lt;&gt;"",E1586,IF(AND(F1586&lt;&gt;"",G1586&lt;&gt;""),MOD(G1586-F1586,1)*24,""))</f>
        <v/>
      </c>
      <c r="L1586" s="37">
        <f>IF(A1586="","",CHOOSE(WEEKDAY(A1586,2),"Montag","Dienstag","Mittwoch","Donnerstag","Freitag","Samstag","Sonntag"))</f>
        <v/>
      </c>
      <c r="M1586" s="37">
        <f>IF(A1586="","",_xlfn.ISOWEEKNUM(A1586))</f>
        <v/>
      </c>
      <c r="N1586" s="38">
        <f>IF(A1586="","",DATE(YEAR(A1586),MONTH(A1586),1))</f>
        <v/>
      </c>
    </row>
    <row r="1587">
      <c r="A1587" s="31" t="n"/>
      <c r="B1587" s="32" t="n"/>
      <c r="C1587" s="32" t="n"/>
      <c r="D1587" s="33" t="n"/>
      <c r="E1587" s="34" t="n"/>
      <c r="F1587" s="35" t="n"/>
      <c r="G1587" s="35" t="n"/>
      <c r="H1587" s="32" t="n"/>
      <c r="I1587" s="32" t="n"/>
      <c r="J1587" s="32" t="n"/>
      <c r="K1587" s="36">
        <f>IF(E1587&lt;&gt;"",E1587,IF(AND(F1587&lt;&gt;"",G1587&lt;&gt;""),MOD(G1587-F1587,1)*24,""))</f>
        <v/>
      </c>
      <c r="L1587" s="37">
        <f>IF(A1587="","",CHOOSE(WEEKDAY(A1587,2),"Montag","Dienstag","Mittwoch","Donnerstag","Freitag","Samstag","Sonntag"))</f>
        <v/>
      </c>
      <c r="M1587" s="37">
        <f>IF(A1587="","",_xlfn.ISOWEEKNUM(A1587))</f>
        <v/>
      </c>
      <c r="N1587" s="38">
        <f>IF(A1587="","",DATE(YEAR(A1587),MONTH(A1587),1))</f>
        <v/>
      </c>
    </row>
    <row r="1588">
      <c r="A1588" s="31" t="n"/>
      <c r="B1588" s="32" t="n"/>
      <c r="C1588" s="32" t="n"/>
      <c r="D1588" s="33" t="n"/>
      <c r="E1588" s="34" t="n"/>
      <c r="F1588" s="35" t="n"/>
      <c r="G1588" s="35" t="n"/>
      <c r="H1588" s="32" t="n"/>
      <c r="I1588" s="32" t="n"/>
      <c r="J1588" s="32" t="n"/>
      <c r="K1588" s="36">
        <f>IF(E1588&lt;&gt;"",E1588,IF(AND(F1588&lt;&gt;"",G1588&lt;&gt;""),MOD(G1588-F1588,1)*24,""))</f>
        <v/>
      </c>
      <c r="L1588" s="37">
        <f>IF(A1588="","",CHOOSE(WEEKDAY(A1588,2),"Montag","Dienstag","Mittwoch","Donnerstag","Freitag","Samstag","Sonntag"))</f>
        <v/>
      </c>
      <c r="M1588" s="37">
        <f>IF(A1588="","",_xlfn.ISOWEEKNUM(A1588))</f>
        <v/>
      </c>
      <c r="N1588" s="38">
        <f>IF(A1588="","",DATE(YEAR(A1588),MONTH(A1588),1))</f>
        <v/>
      </c>
    </row>
    <row r="1589">
      <c r="A1589" s="31" t="n"/>
      <c r="B1589" s="32" t="n"/>
      <c r="C1589" s="32" t="n"/>
      <c r="D1589" s="33" t="n"/>
      <c r="E1589" s="34" t="n"/>
      <c r="F1589" s="35" t="n"/>
      <c r="G1589" s="35" t="n"/>
      <c r="H1589" s="32" t="n"/>
      <c r="I1589" s="32" t="n"/>
      <c r="J1589" s="32" t="n"/>
      <c r="K1589" s="36">
        <f>IF(E1589&lt;&gt;"",E1589,IF(AND(F1589&lt;&gt;"",G1589&lt;&gt;""),MOD(G1589-F1589,1)*24,""))</f>
        <v/>
      </c>
      <c r="L1589" s="37">
        <f>IF(A1589="","",CHOOSE(WEEKDAY(A1589,2),"Montag","Dienstag","Mittwoch","Donnerstag","Freitag","Samstag","Sonntag"))</f>
        <v/>
      </c>
      <c r="M1589" s="37">
        <f>IF(A1589="","",_xlfn.ISOWEEKNUM(A1589))</f>
        <v/>
      </c>
      <c r="N1589" s="38">
        <f>IF(A1589="","",DATE(YEAR(A1589),MONTH(A1589),1))</f>
        <v/>
      </c>
    </row>
    <row r="1590">
      <c r="A1590" s="31" t="n"/>
      <c r="B1590" s="32" t="n"/>
      <c r="C1590" s="32" t="n"/>
      <c r="D1590" s="33" t="n"/>
      <c r="E1590" s="34" t="n"/>
      <c r="F1590" s="35" t="n"/>
      <c r="G1590" s="35" t="n"/>
      <c r="H1590" s="32" t="n"/>
      <c r="I1590" s="32" t="n"/>
      <c r="J1590" s="32" t="n"/>
      <c r="K1590" s="36">
        <f>IF(E1590&lt;&gt;"",E1590,IF(AND(F1590&lt;&gt;"",G1590&lt;&gt;""),MOD(G1590-F1590,1)*24,""))</f>
        <v/>
      </c>
      <c r="L1590" s="37">
        <f>IF(A1590="","",CHOOSE(WEEKDAY(A1590,2),"Montag","Dienstag","Mittwoch","Donnerstag","Freitag","Samstag","Sonntag"))</f>
        <v/>
      </c>
      <c r="M1590" s="37">
        <f>IF(A1590="","",_xlfn.ISOWEEKNUM(A1590))</f>
        <v/>
      </c>
      <c r="N1590" s="38">
        <f>IF(A1590="","",DATE(YEAR(A1590),MONTH(A1590),1))</f>
        <v/>
      </c>
    </row>
    <row r="1591">
      <c r="A1591" s="31" t="n"/>
      <c r="B1591" s="32" t="n"/>
      <c r="C1591" s="32" t="n"/>
      <c r="D1591" s="33" t="n"/>
      <c r="E1591" s="34" t="n"/>
      <c r="F1591" s="35" t="n"/>
      <c r="G1591" s="35" t="n"/>
      <c r="H1591" s="32" t="n"/>
      <c r="I1591" s="32" t="n"/>
      <c r="J1591" s="32" t="n"/>
      <c r="K1591" s="36">
        <f>IF(E1591&lt;&gt;"",E1591,IF(AND(F1591&lt;&gt;"",G1591&lt;&gt;""),MOD(G1591-F1591,1)*24,""))</f>
        <v/>
      </c>
      <c r="L1591" s="37">
        <f>IF(A1591="","",CHOOSE(WEEKDAY(A1591,2),"Montag","Dienstag","Mittwoch","Donnerstag","Freitag","Samstag","Sonntag"))</f>
        <v/>
      </c>
      <c r="M1591" s="37">
        <f>IF(A1591="","",_xlfn.ISOWEEKNUM(A1591))</f>
        <v/>
      </c>
      <c r="N1591" s="38">
        <f>IF(A1591="","",DATE(YEAR(A1591),MONTH(A1591),1))</f>
        <v/>
      </c>
    </row>
    <row r="1592">
      <c r="A1592" s="31" t="n"/>
      <c r="B1592" s="32" t="n"/>
      <c r="C1592" s="32" t="n"/>
      <c r="D1592" s="33" t="n"/>
      <c r="E1592" s="34" t="n"/>
      <c r="F1592" s="35" t="n"/>
      <c r="G1592" s="35" t="n"/>
      <c r="H1592" s="32" t="n"/>
      <c r="I1592" s="32" t="n"/>
      <c r="J1592" s="32" t="n"/>
      <c r="K1592" s="36">
        <f>IF(E1592&lt;&gt;"",E1592,IF(AND(F1592&lt;&gt;"",G1592&lt;&gt;""),MOD(G1592-F1592,1)*24,""))</f>
        <v/>
      </c>
      <c r="L1592" s="37">
        <f>IF(A1592="","",CHOOSE(WEEKDAY(A1592,2),"Montag","Dienstag","Mittwoch","Donnerstag","Freitag","Samstag","Sonntag"))</f>
        <v/>
      </c>
      <c r="M1592" s="37">
        <f>IF(A1592="","",_xlfn.ISOWEEKNUM(A1592))</f>
        <v/>
      </c>
      <c r="N1592" s="38">
        <f>IF(A1592="","",DATE(YEAR(A1592),MONTH(A1592),1))</f>
        <v/>
      </c>
    </row>
    <row r="1593">
      <c r="A1593" s="31" t="n"/>
      <c r="B1593" s="32" t="n"/>
      <c r="C1593" s="32" t="n"/>
      <c r="D1593" s="33" t="n"/>
      <c r="E1593" s="34" t="n"/>
      <c r="F1593" s="35" t="n"/>
      <c r="G1593" s="35" t="n"/>
      <c r="H1593" s="32" t="n"/>
      <c r="I1593" s="32" t="n"/>
      <c r="J1593" s="32" t="n"/>
      <c r="K1593" s="36">
        <f>IF(E1593&lt;&gt;"",E1593,IF(AND(F1593&lt;&gt;"",G1593&lt;&gt;""),MOD(G1593-F1593,1)*24,""))</f>
        <v/>
      </c>
      <c r="L1593" s="37">
        <f>IF(A1593="","",CHOOSE(WEEKDAY(A1593,2),"Montag","Dienstag","Mittwoch","Donnerstag","Freitag","Samstag","Sonntag"))</f>
        <v/>
      </c>
      <c r="M1593" s="37">
        <f>IF(A1593="","",_xlfn.ISOWEEKNUM(A1593))</f>
        <v/>
      </c>
      <c r="N1593" s="38">
        <f>IF(A1593="","",DATE(YEAR(A1593),MONTH(A1593),1))</f>
        <v/>
      </c>
    </row>
    <row r="1594">
      <c r="A1594" s="31" t="n"/>
      <c r="B1594" s="32" t="n"/>
      <c r="C1594" s="32" t="n"/>
      <c r="D1594" s="33" t="n"/>
      <c r="E1594" s="34" t="n"/>
      <c r="F1594" s="35" t="n"/>
      <c r="G1594" s="35" t="n"/>
      <c r="H1594" s="32" t="n"/>
      <c r="I1594" s="32" t="n"/>
      <c r="J1594" s="32" t="n"/>
      <c r="K1594" s="36">
        <f>IF(E1594&lt;&gt;"",E1594,IF(AND(F1594&lt;&gt;"",G1594&lt;&gt;""),MOD(G1594-F1594,1)*24,""))</f>
        <v/>
      </c>
      <c r="L1594" s="37">
        <f>IF(A1594="","",CHOOSE(WEEKDAY(A1594,2),"Montag","Dienstag","Mittwoch","Donnerstag","Freitag","Samstag","Sonntag"))</f>
        <v/>
      </c>
      <c r="M1594" s="37">
        <f>IF(A1594="","",_xlfn.ISOWEEKNUM(A1594))</f>
        <v/>
      </c>
      <c r="N1594" s="38">
        <f>IF(A1594="","",DATE(YEAR(A1594),MONTH(A1594),1))</f>
        <v/>
      </c>
    </row>
    <row r="1595">
      <c r="A1595" s="31" t="n"/>
      <c r="B1595" s="32" t="n"/>
      <c r="C1595" s="32" t="n"/>
      <c r="D1595" s="33" t="n"/>
      <c r="E1595" s="34" t="n"/>
      <c r="F1595" s="35" t="n"/>
      <c r="G1595" s="35" t="n"/>
      <c r="H1595" s="32" t="n"/>
      <c r="I1595" s="32" t="n"/>
      <c r="J1595" s="32" t="n"/>
      <c r="K1595" s="36">
        <f>IF(E1595&lt;&gt;"",E1595,IF(AND(F1595&lt;&gt;"",G1595&lt;&gt;""),MOD(G1595-F1595,1)*24,""))</f>
        <v/>
      </c>
      <c r="L1595" s="37">
        <f>IF(A1595="","",CHOOSE(WEEKDAY(A1595,2),"Montag","Dienstag","Mittwoch","Donnerstag","Freitag","Samstag","Sonntag"))</f>
        <v/>
      </c>
      <c r="M1595" s="37">
        <f>IF(A1595="","",_xlfn.ISOWEEKNUM(A1595))</f>
        <v/>
      </c>
      <c r="N1595" s="38">
        <f>IF(A1595="","",DATE(YEAR(A1595),MONTH(A1595),1))</f>
        <v/>
      </c>
    </row>
    <row r="1596">
      <c r="A1596" s="31" t="n"/>
      <c r="B1596" s="32" t="n"/>
      <c r="C1596" s="32" t="n"/>
      <c r="D1596" s="33" t="n"/>
      <c r="E1596" s="34" t="n"/>
      <c r="F1596" s="35" t="n"/>
      <c r="G1596" s="35" t="n"/>
      <c r="H1596" s="32" t="n"/>
      <c r="I1596" s="32" t="n"/>
      <c r="J1596" s="32" t="n"/>
      <c r="K1596" s="36">
        <f>IF(E1596&lt;&gt;"",E1596,IF(AND(F1596&lt;&gt;"",G1596&lt;&gt;""),MOD(G1596-F1596,1)*24,""))</f>
        <v/>
      </c>
      <c r="L1596" s="37">
        <f>IF(A1596="","",CHOOSE(WEEKDAY(A1596,2),"Montag","Dienstag","Mittwoch","Donnerstag","Freitag","Samstag","Sonntag"))</f>
        <v/>
      </c>
      <c r="M1596" s="37">
        <f>IF(A1596="","",_xlfn.ISOWEEKNUM(A1596))</f>
        <v/>
      </c>
      <c r="N1596" s="38">
        <f>IF(A1596="","",DATE(YEAR(A1596),MONTH(A1596),1))</f>
        <v/>
      </c>
    </row>
    <row r="1597">
      <c r="A1597" s="31" t="n"/>
      <c r="B1597" s="32" t="n"/>
      <c r="C1597" s="32" t="n"/>
      <c r="D1597" s="33" t="n"/>
      <c r="E1597" s="34" t="n"/>
      <c r="F1597" s="35" t="n"/>
      <c r="G1597" s="35" t="n"/>
      <c r="H1597" s="32" t="n"/>
      <c r="I1597" s="32" t="n"/>
      <c r="J1597" s="32" t="n"/>
      <c r="K1597" s="36">
        <f>IF(E1597&lt;&gt;"",E1597,IF(AND(F1597&lt;&gt;"",G1597&lt;&gt;""),MOD(G1597-F1597,1)*24,""))</f>
        <v/>
      </c>
      <c r="L1597" s="37">
        <f>IF(A1597="","",CHOOSE(WEEKDAY(A1597,2),"Montag","Dienstag","Mittwoch","Donnerstag","Freitag","Samstag","Sonntag"))</f>
        <v/>
      </c>
      <c r="M1597" s="37">
        <f>IF(A1597="","",_xlfn.ISOWEEKNUM(A1597))</f>
        <v/>
      </c>
      <c r="N1597" s="38">
        <f>IF(A1597="","",DATE(YEAR(A1597),MONTH(A1597),1))</f>
        <v/>
      </c>
    </row>
    <row r="1598">
      <c r="A1598" s="31" t="n"/>
      <c r="B1598" s="32" t="n"/>
      <c r="C1598" s="32" t="n"/>
      <c r="D1598" s="33" t="n"/>
      <c r="E1598" s="34" t="n"/>
      <c r="F1598" s="35" t="n"/>
      <c r="G1598" s="35" t="n"/>
      <c r="H1598" s="32" t="n"/>
      <c r="I1598" s="32" t="n"/>
      <c r="J1598" s="32" t="n"/>
      <c r="K1598" s="36">
        <f>IF(E1598&lt;&gt;"",E1598,IF(AND(F1598&lt;&gt;"",G1598&lt;&gt;""),MOD(G1598-F1598,1)*24,""))</f>
        <v/>
      </c>
      <c r="L1598" s="37">
        <f>IF(A1598="","",CHOOSE(WEEKDAY(A1598,2),"Montag","Dienstag","Mittwoch","Donnerstag","Freitag","Samstag","Sonntag"))</f>
        <v/>
      </c>
      <c r="M1598" s="37">
        <f>IF(A1598="","",_xlfn.ISOWEEKNUM(A1598))</f>
        <v/>
      </c>
      <c r="N1598" s="38">
        <f>IF(A1598="","",DATE(YEAR(A1598),MONTH(A1598),1))</f>
        <v/>
      </c>
    </row>
    <row r="1599">
      <c r="A1599" s="31" t="n"/>
      <c r="B1599" s="32" t="n"/>
      <c r="C1599" s="32" t="n"/>
      <c r="D1599" s="33" t="n"/>
      <c r="E1599" s="34" t="n"/>
      <c r="F1599" s="35" t="n"/>
      <c r="G1599" s="35" t="n"/>
      <c r="H1599" s="32" t="n"/>
      <c r="I1599" s="32" t="n"/>
      <c r="J1599" s="32" t="n"/>
      <c r="K1599" s="36">
        <f>IF(E1599&lt;&gt;"",E1599,IF(AND(F1599&lt;&gt;"",G1599&lt;&gt;""),MOD(G1599-F1599,1)*24,""))</f>
        <v/>
      </c>
      <c r="L1599" s="37">
        <f>IF(A1599="","",CHOOSE(WEEKDAY(A1599,2),"Montag","Dienstag","Mittwoch","Donnerstag","Freitag","Samstag","Sonntag"))</f>
        <v/>
      </c>
      <c r="M1599" s="37">
        <f>IF(A1599="","",_xlfn.ISOWEEKNUM(A1599))</f>
        <v/>
      </c>
      <c r="N1599" s="38">
        <f>IF(A1599="","",DATE(YEAR(A1599),MONTH(A1599),1))</f>
        <v/>
      </c>
    </row>
    <row r="1600">
      <c r="A1600" s="31" t="n"/>
      <c r="B1600" s="32" t="n"/>
      <c r="C1600" s="32" t="n"/>
      <c r="D1600" s="33" t="n"/>
      <c r="E1600" s="34" t="n"/>
      <c r="F1600" s="35" t="n"/>
      <c r="G1600" s="35" t="n"/>
      <c r="H1600" s="32" t="n"/>
      <c r="I1600" s="32" t="n"/>
      <c r="J1600" s="32" t="n"/>
      <c r="K1600" s="36">
        <f>IF(E1600&lt;&gt;"",E1600,IF(AND(F1600&lt;&gt;"",G1600&lt;&gt;""),MOD(G1600-F1600,1)*24,""))</f>
        <v/>
      </c>
      <c r="L1600" s="37">
        <f>IF(A1600="","",CHOOSE(WEEKDAY(A1600,2),"Montag","Dienstag","Mittwoch","Donnerstag","Freitag","Samstag","Sonntag"))</f>
        <v/>
      </c>
      <c r="M1600" s="37">
        <f>IF(A1600="","",_xlfn.ISOWEEKNUM(A1600))</f>
        <v/>
      </c>
      <c r="N1600" s="38">
        <f>IF(A1600="","",DATE(YEAR(A1600),MONTH(A1600),1))</f>
        <v/>
      </c>
    </row>
    <row r="1601">
      <c r="A1601" s="31" t="n"/>
      <c r="B1601" s="32" t="n"/>
      <c r="C1601" s="32" t="n"/>
      <c r="D1601" s="33" t="n"/>
      <c r="E1601" s="34" t="n"/>
      <c r="F1601" s="35" t="n"/>
      <c r="G1601" s="35" t="n"/>
      <c r="H1601" s="32" t="n"/>
      <c r="I1601" s="32" t="n"/>
      <c r="J1601" s="32" t="n"/>
      <c r="K1601" s="36">
        <f>IF(E1601&lt;&gt;"",E1601,IF(AND(F1601&lt;&gt;"",G1601&lt;&gt;""),MOD(G1601-F1601,1)*24,""))</f>
        <v/>
      </c>
      <c r="L1601" s="37">
        <f>IF(A1601="","",CHOOSE(WEEKDAY(A1601,2),"Montag","Dienstag","Mittwoch","Donnerstag","Freitag","Samstag","Sonntag"))</f>
        <v/>
      </c>
      <c r="M1601" s="37">
        <f>IF(A1601="","",_xlfn.ISOWEEKNUM(A1601))</f>
        <v/>
      </c>
      <c r="N1601" s="38">
        <f>IF(A1601="","",DATE(YEAR(A1601),MONTH(A1601),1))</f>
        <v/>
      </c>
    </row>
    <row r="1602">
      <c r="A1602" s="31" t="n"/>
      <c r="B1602" s="32" t="n"/>
      <c r="C1602" s="32" t="n"/>
      <c r="D1602" s="33" t="n"/>
      <c r="E1602" s="34" t="n"/>
      <c r="F1602" s="35" t="n"/>
      <c r="G1602" s="35" t="n"/>
      <c r="H1602" s="32" t="n"/>
      <c r="I1602" s="32" t="n"/>
      <c r="J1602" s="32" t="n"/>
      <c r="K1602" s="36">
        <f>IF(E1602&lt;&gt;"",E1602,IF(AND(F1602&lt;&gt;"",G1602&lt;&gt;""),MOD(G1602-F1602,1)*24,""))</f>
        <v/>
      </c>
      <c r="L1602" s="37">
        <f>IF(A1602="","",CHOOSE(WEEKDAY(A1602,2),"Montag","Dienstag","Mittwoch","Donnerstag","Freitag","Samstag","Sonntag"))</f>
        <v/>
      </c>
      <c r="M1602" s="37">
        <f>IF(A1602="","",_xlfn.ISOWEEKNUM(A1602))</f>
        <v/>
      </c>
      <c r="N1602" s="38">
        <f>IF(A1602="","",DATE(YEAR(A1602),MONTH(A1602),1))</f>
        <v/>
      </c>
    </row>
    <row r="1603">
      <c r="A1603" s="31" t="n"/>
      <c r="B1603" s="32" t="n"/>
      <c r="C1603" s="32" t="n"/>
      <c r="D1603" s="33" t="n"/>
      <c r="E1603" s="34" t="n"/>
      <c r="F1603" s="35" t="n"/>
      <c r="G1603" s="35" t="n"/>
      <c r="H1603" s="32" t="n"/>
      <c r="I1603" s="32" t="n"/>
      <c r="J1603" s="32" t="n"/>
      <c r="K1603" s="36">
        <f>IF(E1603&lt;&gt;"",E1603,IF(AND(F1603&lt;&gt;"",G1603&lt;&gt;""),MOD(G1603-F1603,1)*24,""))</f>
        <v/>
      </c>
      <c r="L1603" s="37">
        <f>IF(A1603="","",CHOOSE(WEEKDAY(A1603,2),"Montag","Dienstag","Mittwoch","Donnerstag","Freitag","Samstag","Sonntag"))</f>
        <v/>
      </c>
      <c r="M1603" s="37">
        <f>IF(A1603="","",_xlfn.ISOWEEKNUM(A1603))</f>
        <v/>
      </c>
      <c r="N1603" s="38">
        <f>IF(A1603="","",DATE(YEAR(A1603),MONTH(A1603),1))</f>
        <v/>
      </c>
    </row>
    <row r="1604">
      <c r="A1604" s="31" t="n"/>
      <c r="B1604" s="32" t="n"/>
      <c r="C1604" s="32" t="n"/>
      <c r="D1604" s="33" t="n"/>
      <c r="E1604" s="34" t="n"/>
      <c r="F1604" s="35" t="n"/>
      <c r="G1604" s="35" t="n"/>
      <c r="H1604" s="32" t="n"/>
      <c r="I1604" s="32" t="n"/>
      <c r="J1604" s="32" t="n"/>
      <c r="K1604" s="36">
        <f>IF(E1604&lt;&gt;"",E1604,IF(AND(F1604&lt;&gt;"",G1604&lt;&gt;""),MOD(G1604-F1604,1)*24,""))</f>
        <v/>
      </c>
      <c r="L1604" s="37">
        <f>IF(A1604="","",CHOOSE(WEEKDAY(A1604,2),"Montag","Dienstag","Mittwoch","Donnerstag","Freitag","Samstag","Sonntag"))</f>
        <v/>
      </c>
      <c r="M1604" s="37">
        <f>IF(A1604="","",_xlfn.ISOWEEKNUM(A1604))</f>
        <v/>
      </c>
      <c r="N1604" s="38">
        <f>IF(A1604="","",DATE(YEAR(A1604),MONTH(A1604),1))</f>
        <v/>
      </c>
    </row>
    <row r="1605">
      <c r="A1605" s="31" t="n"/>
      <c r="B1605" s="32" t="n"/>
      <c r="C1605" s="32" t="n"/>
      <c r="D1605" s="33" t="n"/>
      <c r="E1605" s="34" t="n"/>
      <c r="F1605" s="35" t="n"/>
      <c r="G1605" s="35" t="n"/>
      <c r="H1605" s="32" t="n"/>
      <c r="I1605" s="32" t="n"/>
      <c r="J1605" s="32" t="n"/>
      <c r="K1605" s="36">
        <f>IF(E1605&lt;&gt;"",E1605,IF(AND(F1605&lt;&gt;"",G1605&lt;&gt;""),MOD(G1605-F1605,1)*24,""))</f>
        <v/>
      </c>
      <c r="L1605" s="37">
        <f>IF(A1605="","",CHOOSE(WEEKDAY(A1605,2),"Montag","Dienstag","Mittwoch","Donnerstag","Freitag","Samstag","Sonntag"))</f>
        <v/>
      </c>
      <c r="M1605" s="37">
        <f>IF(A1605="","",_xlfn.ISOWEEKNUM(A1605))</f>
        <v/>
      </c>
      <c r="N1605" s="38">
        <f>IF(A1605="","",DATE(YEAR(A1605),MONTH(A1605),1))</f>
        <v/>
      </c>
    </row>
    <row r="1606">
      <c r="A1606" s="31" t="n"/>
      <c r="B1606" s="32" t="n"/>
      <c r="C1606" s="32" t="n"/>
      <c r="D1606" s="33" t="n"/>
      <c r="E1606" s="34" t="n"/>
      <c r="F1606" s="35" t="n"/>
      <c r="G1606" s="35" t="n"/>
      <c r="H1606" s="32" t="n"/>
      <c r="I1606" s="32" t="n"/>
      <c r="J1606" s="32" t="n"/>
      <c r="K1606" s="36">
        <f>IF(E1606&lt;&gt;"",E1606,IF(AND(F1606&lt;&gt;"",G1606&lt;&gt;""),MOD(G1606-F1606,1)*24,""))</f>
        <v/>
      </c>
      <c r="L1606" s="37">
        <f>IF(A1606="","",CHOOSE(WEEKDAY(A1606,2),"Montag","Dienstag","Mittwoch","Donnerstag","Freitag","Samstag","Sonntag"))</f>
        <v/>
      </c>
      <c r="M1606" s="37">
        <f>IF(A1606="","",_xlfn.ISOWEEKNUM(A1606))</f>
        <v/>
      </c>
      <c r="N1606" s="38">
        <f>IF(A1606="","",DATE(YEAR(A1606),MONTH(A1606),1))</f>
        <v/>
      </c>
    </row>
    <row r="1607">
      <c r="A1607" s="31" t="n"/>
      <c r="B1607" s="32" t="n"/>
      <c r="C1607" s="32" t="n"/>
      <c r="D1607" s="33" t="n"/>
      <c r="E1607" s="34" t="n"/>
      <c r="F1607" s="35" t="n"/>
      <c r="G1607" s="35" t="n"/>
      <c r="H1607" s="32" t="n"/>
      <c r="I1607" s="32" t="n"/>
      <c r="J1607" s="32" t="n"/>
      <c r="K1607" s="36">
        <f>IF(E1607&lt;&gt;"",E1607,IF(AND(F1607&lt;&gt;"",G1607&lt;&gt;""),MOD(G1607-F1607,1)*24,""))</f>
        <v/>
      </c>
      <c r="L1607" s="37">
        <f>IF(A1607="","",CHOOSE(WEEKDAY(A1607,2),"Montag","Dienstag","Mittwoch","Donnerstag","Freitag","Samstag","Sonntag"))</f>
        <v/>
      </c>
      <c r="M1607" s="37">
        <f>IF(A1607="","",_xlfn.ISOWEEKNUM(A1607))</f>
        <v/>
      </c>
      <c r="N1607" s="38">
        <f>IF(A1607="","",DATE(YEAR(A1607),MONTH(A1607),1))</f>
        <v/>
      </c>
    </row>
    <row r="1608">
      <c r="A1608" s="31" t="n"/>
      <c r="B1608" s="32" t="n"/>
      <c r="C1608" s="32" t="n"/>
      <c r="D1608" s="33" t="n"/>
      <c r="E1608" s="34" t="n"/>
      <c r="F1608" s="35" t="n"/>
      <c r="G1608" s="35" t="n"/>
      <c r="H1608" s="32" t="n"/>
      <c r="I1608" s="32" t="n"/>
      <c r="J1608" s="32" t="n"/>
      <c r="K1608" s="36">
        <f>IF(E1608&lt;&gt;"",E1608,IF(AND(F1608&lt;&gt;"",G1608&lt;&gt;""),MOD(G1608-F1608,1)*24,""))</f>
        <v/>
      </c>
      <c r="L1608" s="37">
        <f>IF(A1608="","",CHOOSE(WEEKDAY(A1608,2),"Montag","Dienstag","Mittwoch","Donnerstag","Freitag","Samstag","Sonntag"))</f>
        <v/>
      </c>
      <c r="M1608" s="37">
        <f>IF(A1608="","",_xlfn.ISOWEEKNUM(A1608))</f>
        <v/>
      </c>
      <c r="N1608" s="38">
        <f>IF(A1608="","",DATE(YEAR(A1608),MONTH(A1608),1))</f>
        <v/>
      </c>
    </row>
    <row r="1609">
      <c r="A1609" s="31" t="n"/>
      <c r="B1609" s="32" t="n"/>
      <c r="C1609" s="32" t="n"/>
      <c r="D1609" s="33" t="n"/>
      <c r="E1609" s="34" t="n"/>
      <c r="F1609" s="35" t="n"/>
      <c r="G1609" s="35" t="n"/>
      <c r="H1609" s="32" t="n"/>
      <c r="I1609" s="32" t="n"/>
      <c r="J1609" s="32" t="n"/>
      <c r="K1609" s="36">
        <f>IF(E1609&lt;&gt;"",E1609,IF(AND(F1609&lt;&gt;"",G1609&lt;&gt;""),MOD(G1609-F1609,1)*24,""))</f>
        <v/>
      </c>
      <c r="L1609" s="37">
        <f>IF(A1609="","",CHOOSE(WEEKDAY(A1609,2),"Montag","Dienstag","Mittwoch","Donnerstag","Freitag","Samstag","Sonntag"))</f>
        <v/>
      </c>
      <c r="M1609" s="37">
        <f>IF(A1609="","",_xlfn.ISOWEEKNUM(A1609))</f>
        <v/>
      </c>
      <c r="N1609" s="38">
        <f>IF(A1609="","",DATE(YEAR(A1609),MONTH(A1609),1))</f>
        <v/>
      </c>
    </row>
    <row r="1610">
      <c r="A1610" s="31" t="n"/>
      <c r="B1610" s="32" t="n"/>
      <c r="C1610" s="32" t="n"/>
      <c r="D1610" s="33" t="n"/>
      <c r="E1610" s="34" t="n"/>
      <c r="F1610" s="35" t="n"/>
      <c r="G1610" s="35" t="n"/>
      <c r="H1610" s="32" t="n"/>
      <c r="I1610" s="32" t="n"/>
      <c r="J1610" s="32" t="n"/>
      <c r="K1610" s="36">
        <f>IF(E1610&lt;&gt;"",E1610,IF(AND(F1610&lt;&gt;"",G1610&lt;&gt;""),MOD(G1610-F1610,1)*24,""))</f>
        <v/>
      </c>
      <c r="L1610" s="37">
        <f>IF(A1610="","",CHOOSE(WEEKDAY(A1610,2),"Montag","Dienstag","Mittwoch","Donnerstag","Freitag","Samstag","Sonntag"))</f>
        <v/>
      </c>
      <c r="M1610" s="37">
        <f>IF(A1610="","",_xlfn.ISOWEEKNUM(A1610))</f>
        <v/>
      </c>
      <c r="N1610" s="38">
        <f>IF(A1610="","",DATE(YEAR(A1610),MONTH(A1610),1))</f>
        <v/>
      </c>
    </row>
    <row r="1611">
      <c r="A1611" s="31" t="n"/>
      <c r="B1611" s="32" t="n"/>
      <c r="C1611" s="32" t="n"/>
      <c r="D1611" s="33" t="n"/>
      <c r="E1611" s="34" t="n"/>
      <c r="F1611" s="35" t="n"/>
      <c r="G1611" s="35" t="n"/>
      <c r="H1611" s="32" t="n"/>
      <c r="I1611" s="32" t="n"/>
      <c r="J1611" s="32" t="n"/>
      <c r="K1611" s="36">
        <f>IF(E1611&lt;&gt;"",E1611,IF(AND(F1611&lt;&gt;"",G1611&lt;&gt;""),MOD(G1611-F1611,1)*24,""))</f>
        <v/>
      </c>
      <c r="L1611" s="37">
        <f>IF(A1611="","",CHOOSE(WEEKDAY(A1611,2),"Montag","Dienstag","Mittwoch","Donnerstag","Freitag","Samstag","Sonntag"))</f>
        <v/>
      </c>
      <c r="M1611" s="37">
        <f>IF(A1611="","",_xlfn.ISOWEEKNUM(A1611))</f>
        <v/>
      </c>
      <c r="N1611" s="38">
        <f>IF(A1611="","",DATE(YEAR(A1611),MONTH(A1611),1))</f>
        <v/>
      </c>
    </row>
    <row r="1612">
      <c r="A1612" s="31" t="n"/>
      <c r="B1612" s="32" t="n"/>
      <c r="C1612" s="32" t="n"/>
      <c r="D1612" s="33" t="n"/>
      <c r="E1612" s="34" t="n"/>
      <c r="F1612" s="35" t="n"/>
      <c r="G1612" s="35" t="n"/>
      <c r="H1612" s="32" t="n"/>
      <c r="I1612" s="32" t="n"/>
      <c r="J1612" s="32" t="n"/>
      <c r="K1612" s="36">
        <f>IF(E1612&lt;&gt;"",E1612,IF(AND(F1612&lt;&gt;"",G1612&lt;&gt;""),MOD(G1612-F1612,1)*24,""))</f>
        <v/>
      </c>
      <c r="L1612" s="37">
        <f>IF(A1612="","",CHOOSE(WEEKDAY(A1612,2),"Montag","Dienstag","Mittwoch","Donnerstag","Freitag","Samstag","Sonntag"))</f>
        <v/>
      </c>
      <c r="M1612" s="37">
        <f>IF(A1612="","",_xlfn.ISOWEEKNUM(A1612))</f>
        <v/>
      </c>
      <c r="N1612" s="38">
        <f>IF(A1612="","",DATE(YEAR(A1612),MONTH(A1612),1))</f>
        <v/>
      </c>
    </row>
    <row r="1613">
      <c r="A1613" s="31" t="n"/>
      <c r="B1613" s="32" t="n"/>
      <c r="C1613" s="32" t="n"/>
      <c r="D1613" s="33" t="n"/>
      <c r="E1613" s="34" t="n"/>
      <c r="F1613" s="35" t="n"/>
      <c r="G1613" s="35" t="n"/>
      <c r="H1613" s="32" t="n"/>
      <c r="I1613" s="32" t="n"/>
      <c r="J1613" s="32" t="n"/>
      <c r="K1613" s="36">
        <f>IF(E1613&lt;&gt;"",E1613,IF(AND(F1613&lt;&gt;"",G1613&lt;&gt;""),MOD(G1613-F1613,1)*24,""))</f>
        <v/>
      </c>
      <c r="L1613" s="37">
        <f>IF(A1613="","",CHOOSE(WEEKDAY(A1613,2),"Montag","Dienstag","Mittwoch","Donnerstag","Freitag","Samstag","Sonntag"))</f>
        <v/>
      </c>
      <c r="M1613" s="37">
        <f>IF(A1613="","",_xlfn.ISOWEEKNUM(A1613))</f>
        <v/>
      </c>
      <c r="N1613" s="38">
        <f>IF(A1613="","",DATE(YEAR(A1613),MONTH(A1613),1))</f>
        <v/>
      </c>
    </row>
    <row r="1614">
      <c r="A1614" s="31" t="n"/>
      <c r="B1614" s="32" t="n"/>
      <c r="C1614" s="32" t="n"/>
      <c r="D1614" s="33" t="n"/>
      <c r="E1614" s="34" t="n"/>
      <c r="F1614" s="35" t="n"/>
      <c r="G1614" s="35" t="n"/>
      <c r="H1614" s="32" t="n"/>
      <c r="I1614" s="32" t="n"/>
      <c r="J1614" s="32" t="n"/>
      <c r="K1614" s="36">
        <f>IF(E1614&lt;&gt;"",E1614,IF(AND(F1614&lt;&gt;"",G1614&lt;&gt;""),MOD(G1614-F1614,1)*24,""))</f>
        <v/>
      </c>
      <c r="L1614" s="37">
        <f>IF(A1614="","",CHOOSE(WEEKDAY(A1614,2),"Montag","Dienstag","Mittwoch","Donnerstag","Freitag","Samstag","Sonntag"))</f>
        <v/>
      </c>
      <c r="M1614" s="37">
        <f>IF(A1614="","",_xlfn.ISOWEEKNUM(A1614))</f>
        <v/>
      </c>
      <c r="N1614" s="38">
        <f>IF(A1614="","",DATE(YEAR(A1614),MONTH(A1614),1))</f>
        <v/>
      </c>
    </row>
    <row r="1615">
      <c r="A1615" s="31" t="n"/>
      <c r="B1615" s="32" t="n"/>
      <c r="C1615" s="32" t="n"/>
      <c r="D1615" s="33" t="n"/>
      <c r="E1615" s="34" t="n"/>
      <c r="F1615" s="35" t="n"/>
      <c r="G1615" s="35" t="n"/>
      <c r="H1615" s="32" t="n"/>
      <c r="I1615" s="32" t="n"/>
      <c r="J1615" s="32" t="n"/>
      <c r="K1615" s="36">
        <f>IF(E1615&lt;&gt;"",E1615,IF(AND(F1615&lt;&gt;"",G1615&lt;&gt;""),MOD(G1615-F1615,1)*24,""))</f>
        <v/>
      </c>
      <c r="L1615" s="37">
        <f>IF(A1615="","",CHOOSE(WEEKDAY(A1615,2),"Montag","Dienstag","Mittwoch","Donnerstag","Freitag","Samstag","Sonntag"))</f>
        <v/>
      </c>
      <c r="M1615" s="37">
        <f>IF(A1615="","",_xlfn.ISOWEEKNUM(A1615))</f>
        <v/>
      </c>
      <c r="N1615" s="38">
        <f>IF(A1615="","",DATE(YEAR(A1615),MONTH(A1615),1))</f>
        <v/>
      </c>
    </row>
    <row r="1616">
      <c r="A1616" s="31" t="n"/>
      <c r="B1616" s="32" t="n"/>
      <c r="C1616" s="32" t="n"/>
      <c r="D1616" s="33" t="n"/>
      <c r="E1616" s="34" t="n"/>
      <c r="F1616" s="35" t="n"/>
      <c r="G1616" s="35" t="n"/>
      <c r="H1616" s="32" t="n"/>
      <c r="I1616" s="32" t="n"/>
      <c r="J1616" s="32" t="n"/>
      <c r="K1616" s="36">
        <f>IF(E1616&lt;&gt;"",E1616,IF(AND(F1616&lt;&gt;"",G1616&lt;&gt;""),MOD(G1616-F1616,1)*24,""))</f>
        <v/>
      </c>
      <c r="L1616" s="37">
        <f>IF(A1616="","",CHOOSE(WEEKDAY(A1616,2),"Montag","Dienstag","Mittwoch","Donnerstag","Freitag","Samstag","Sonntag"))</f>
        <v/>
      </c>
      <c r="M1616" s="37">
        <f>IF(A1616="","",_xlfn.ISOWEEKNUM(A1616))</f>
        <v/>
      </c>
      <c r="N1616" s="38">
        <f>IF(A1616="","",DATE(YEAR(A1616),MONTH(A1616),1))</f>
        <v/>
      </c>
    </row>
    <row r="1617">
      <c r="A1617" s="31" t="n"/>
      <c r="B1617" s="32" t="n"/>
      <c r="C1617" s="32" t="n"/>
      <c r="D1617" s="33" t="n"/>
      <c r="E1617" s="34" t="n"/>
      <c r="F1617" s="35" t="n"/>
      <c r="G1617" s="35" t="n"/>
      <c r="H1617" s="32" t="n"/>
      <c r="I1617" s="32" t="n"/>
      <c r="J1617" s="32" t="n"/>
      <c r="K1617" s="36">
        <f>IF(E1617&lt;&gt;"",E1617,IF(AND(F1617&lt;&gt;"",G1617&lt;&gt;""),MOD(G1617-F1617,1)*24,""))</f>
        <v/>
      </c>
      <c r="L1617" s="37">
        <f>IF(A1617="","",CHOOSE(WEEKDAY(A1617,2),"Montag","Dienstag","Mittwoch","Donnerstag","Freitag","Samstag","Sonntag"))</f>
        <v/>
      </c>
      <c r="M1617" s="37">
        <f>IF(A1617="","",_xlfn.ISOWEEKNUM(A1617))</f>
        <v/>
      </c>
      <c r="N1617" s="38">
        <f>IF(A1617="","",DATE(YEAR(A1617),MONTH(A1617),1))</f>
        <v/>
      </c>
    </row>
    <row r="1618">
      <c r="A1618" s="31" t="n"/>
      <c r="B1618" s="32" t="n"/>
      <c r="C1618" s="32" t="n"/>
      <c r="D1618" s="33" t="n"/>
      <c r="E1618" s="34" t="n"/>
      <c r="F1618" s="35" t="n"/>
      <c r="G1618" s="35" t="n"/>
      <c r="H1618" s="32" t="n"/>
      <c r="I1618" s="32" t="n"/>
      <c r="J1618" s="32" t="n"/>
      <c r="K1618" s="36">
        <f>IF(E1618&lt;&gt;"",E1618,IF(AND(F1618&lt;&gt;"",G1618&lt;&gt;""),MOD(G1618-F1618,1)*24,""))</f>
        <v/>
      </c>
      <c r="L1618" s="37">
        <f>IF(A1618="","",CHOOSE(WEEKDAY(A1618,2),"Montag","Dienstag","Mittwoch","Donnerstag","Freitag","Samstag","Sonntag"))</f>
        <v/>
      </c>
      <c r="M1618" s="37">
        <f>IF(A1618="","",_xlfn.ISOWEEKNUM(A1618))</f>
        <v/>
      </c>
      <c r="N1618" s="38">
        <f>IF(A1618="","",DATE(YEAR(A1618),MONTH(A1618),1))</f>
        <v/>
      </c>
    </row>
    <row r="1619">
      <c r="A1619" s="31" t="n"/>
      <c r="B1619" s="32" t="n"/>
      <c r="C1619" s="32" t="n"/>
      <c r="D1619" s="33" t="n"/>
      <c r="E1619" s="34" t="n"/>
      <c r="F1619" s="35" t="n"/>
      <c r="G1619" s="35" t="n"/>
      <c r="H1619" s="32" t="n"/>
      <c r="I1619" s="32" t="n"/>
      <c r="J1619" s="32" t="n"/>
      <c r="K1619" s="36">
        <f>IF(E1619&lt;&gt;"",E1619,IF(AND(F1619&lt;&gt;"",G1619&lt;&gt;""),MOD(G1619-F1619,1)*24,""))</f>
        <v/>
      </c>
      <c r="L1619" s="37">
        <f>IF(A1619="","",CHOOSE(WEEKDAY(A1619,2),"Montag","Dienstag","Mittwoch","Donnerstag","Freitag","Samstag","Sonntag"))</f>
        <v/>
      </c>
      <c r="M1619" s="37">
        <f>IF(A1619="","",_xlfn.ISOWEEKNUM(A1619))</f>
        <v/>
      </c>
      <c r="N1619" s="38">
        <f>IF(A1619="","",DATE(YEAR(A1619),MONTH(A1619),1))</f>
        <v/>
      </c>
    </row>
    <row r="1620">
      <c r="A1620" s="31" t="n"/>
      <c r="B1620" s="32" t="n"/>
      <c r="C1620" s="32" t="n"/>
      <c r="D1620" s="33" t="n"/>
      <c r="E1620" s="34" t="n"/>
      <c r="F1620" s="35" t="n"/>
      <c r="G1620" s="35" t="n"/>
      <c r="H1620" s="32" t="n"/>
      <c r="I1620" s="32" t="n"/>
      <c r="J1620" s="32" t="n"/>
      <c r="K1620" s="36">
        <f>IF(E1620&lt;&gt;"",E1620,IF(AND(F1620&lt;&gt;"",G1620&lt;&gt;""),MOD(G1620-F1620,1)*24,""))</f>
        <v/>
      </c>
      <c r="L1620" s="37">
        <f>IF(A1620="","",CHOOSE(WEEKDAY(A1620,2),"Montag","Dienstag","Mittwoch","Donnerstag","Freitag","Samstag","Sonntag"))</f>
        <v/>
      </c>
      <c r="M1620" s="37">
        <f>IF(A1620="","",_xlfn.ISOWEEKNUM(A1620))</f>
        <v/>
      </c>
      <c r="N1620" s="38">
        <f>IF(A1620="","",DATE(YEAR(A1620),MONTH(A1620),1))</f>
        <v/>
      </c>
    </row>
    <row r="1621">
      <c r="A1621" s="31" t="n"/>
      <c r="B1621" s="32" t="n"/>
      <c r="C1621" s="32" t="n"/>
      <c r="D1621" s="33" t="n"/>
      <c r="E1621" s="34" t="n"/>
      <c r="F1621" s="35" t="n"/>
      <c r="G1621" s="35" t="n"/>
      <c r="H1621" s="32" t="n"/>
      <c r="I1621" s="32" t="n"/>
      <c r="J1621" s="32" t="n"/>
      <c r="K1621" s="36">
        <f>IF(E1621&lt;&gt;"",E1621,IF(AND(F1621&lt;&gt;"",G1621&lt;&gt;""),MOD(G1621-F1621,1)*24,""))</f>
        <v/>
      </c>
      <c r="L1621" s="37">
        <f>IF(A1621="","",CHOOSE(WEEKDAY(A1621,2),"Montag","Dienstag","Mittwoch","Donnerstag","Freitag","Samstag","Sonntag"))</f>
        <v/>
      </c>
      <c r="M1621" s="37">
        <f>IF(A1621="","",_xlfn.ISOWEEKNUM(A1621))</f>
        <v/>
      </c>
      <c r="N1621" s="38">
        <f>IF(A1621="","",DATE(YEAR(A1621),MONTH(A1621),1))</f>
        <v/>
      </c>
    </row>
    <row r="1622">
      <c r="A1622" s="31" t="n"/>
      <c r="B1622" s="32" t="n"/>
      <c r="C1622" s="32" t="n"/>
      <c r="D1622" s="33" t="n"/>
      <c r="E1622" s="34" t="n"/>
      <c r="F1622" s="35" t="n"/>
      <c r="G1622" s="35" t="n"/>
      <c r="H1622" s="32" t="n"/>
      <c r="I1622" s="32" t="n"/>
      <c r="J1622" s="32" t="n"/>
      <c r="K1622" s="36">
        <f>IF(E1622&lt;&gt;"",E1622,IF(AND(F1622&lt;&gt;"",G1622&lt;&gt;""),MOD(G1622-F1622,1)*24,""))</f>
        <v/>
      </c>
      <c r="L1622" s="37">
        <f>IF(A1622="","",CHOOSE(WEEKDAY(A1622,2),"Montag","Dienstag","Mittwoch","Donnerstag","Freitag","Samstag","Sonntag"))</f>
        <v/>
      </c>
      <c r="M1622" s="37">
        <f>IF(A1622="","",_xlfn.ISOWEEKNUM(A1622))</f>
        <v/>
      </c>
      <c r="N1622" s="38">
        <f>IF(A1622="","",DATE(YEAR(A1622),MONTH(A1622),1))</f>
        <v/>
      </c>
    </row>
    <row r="1623">
      <c r="A1623" s="31" t="n"/>
      <c r="B1623" s="32" t="n"/>
      <c r="C1623" s="32" t="n"/>
      <c r="D1623" s="33" t="n"/>
      <c r="E1623" s="34" t="n"/>
      <c r="F1623" s="35" t="n"/>
      <c r="G1623" s="35" t="n"/>
      <c r="H1623" s="32" t="n"/>
      <c r="I1623" s="32" t="n"/>
      <c r="J1623" s="32" t="n"/>
      <c r="K1623" s="36">
        <f>IF(E1623&lt;&gt;"",E1623,IF(AND(F1623&lt;&gt;"",G1623&lt;&gt;""),MOD(G1623-F1623,1)*24,""))</f>
        <v/>
      </c>
      <c r="L1623" s="37">
        <f>IF(A1623="","",CHOOSE(WEEKDAY(A1623,2),"Montag","Dienstag","Mittwoch","Donnerstag","Freitag","Samstag","Sonntag"))</f>
        <v/>
      </c>
      <c r="M1623" s="37">
        <f>IF(A1623="","",_xlfn.ISOWEEKNUM(A1623))</f>
        <v/>
      </c>
      <c r="N1623" s="38">
        <f>IF(A1623="","",DATE(YEAR(A1623),MONTH(A1623),1))</f>
        <v/>
      </c>
    </row>
    <row r="1624">
      <c r="A1624" s="31" t="n"/>
      <c r="B1624" s="32" t="n"/>
      <c r="C1624" s="32" t="n"/>
      <c r="D1624" s="33" t="n"/>
      <c r="E1624" s="34" t="n"/>
      <c r="F1624" s="35" t="n"/>
      <c r="G1624" s="35" t="n"/>
      <c r="H1624" s="32" t="n"/>
      <c r="I1624" s="32" t="n"/>
      <c r="J1624" s="32" t="n"/>
      <c r="K1624" s="36">
        <f>IF(E1624&lt;&gt;"",E1624,IF(AND(F1624&lt;&gt;"",G1624&lt;&gt;""),MOD(G1624-F1624,1)*24,""))</f>
        <v/>
      </c>
      <c r="L1624" s="37">
        <f>IF(A1624="","",CHOOSE(WEEKDAY(A1624,2),"Montag","Dienstag","Mittwoch","Donnerstag","Freitag","Samstag","Sonntag"))</f>
        <v/>
      </c>
      <c r="M1624" s="37">
        <f>IF(A1624="","",_xlfn.ISOWEEKNUM(A1624))</f>
        <v/>
      </c>
      <c r="N1624" s="38">
        <f>IF(A1624="","",DATE(YEAR(A1624),MONTH(A1624),1))</f>
        <v/>
      </c>
    </row>
    <row r="1625">
      <c r="A1625" s="31" t="n"/>
      <c r="B1625" s="32" t="n"/>
      <c r="C1625" s="32" t="n"/>
      <c r="D1625" s="33" t="n"/>
      <c r="E1625" s="34" t="n"/>
      <c r="F1625" s="35" t="n"/>
      <c r="G1625" s="35" t="n"/>
      <c r="H1625" s="32" t="n"/>
      <c r="I1625" s="32" t="n"/>
      <c r="J1625" s="32" t="n"/>
      <c r="K1625" s="36">
        <f>IF(E1625&lt;&gt;"",E1625,IF(AND(F1625&lt;&gt;"",G1625&lt;&gt;""),MOD(G1625-F1625,1)*24,""))</f>
        <v/>
      </c>
      <c r="L1625" s="37">
        <f>IF(A1625="","",CHOOSE(WEEKDAY(A1625,2),"Montag","Dienstag","Mittwoch","Donnerstag","Freitag","Samstag","Sonntag"))</f>
        <v/>
      </c>
      <c r="M1625" s="37">
        <f>IF(A1625="","",_xlfn.ISOWEEKNUM(A1625))</f>
        <v/>
      </c>
      <c r="N1625" s="38">
        <f>IF(A1625="","",DATE(YEAR(A1625),MONTH(A1625),1))</f>
        <v/>
      </c>
    </row>
    <row r="1626">
      <c r="A1626" s="31" t="n"/>
      <c r="B1626" s="32" t="n"/>
      <c r="C1626" s="32" t="n"/>
      <c r="D1626" s="33" t="n"/>
      <c r="E1626" s="34" t="n"/>
      <c r="F1626" s="35" t="n"/>
      <c r="G1626" s="35" t="n"/>
      <c r="H1626" s="32" t="n"/>
      <c r="I1626" s="32" t="n"/>
      <c r="J1626" s="32" t="n"/>
      <c r="K1626" s="36">
        <f>IF(E1626&lt;&gt;"",E1626,IF(AND(F1626&lt;&gt;"",G1626&lt;&gt;""),MOD(G1626-F1626,1)*24,""))</f>
        <v/>
      </c>
      <c r="L1626" s="37">
        <f>IF(A1626="","",CHOOSE(WEEKDAY(A1626,2),"Montag","Dienstag","Mittwoch","Donnerstag","Freitag","Samstag","Sonntag"))</f>
        <v/>
      </c>
      <c r="M1626" s="37">
        <f>IF(A1626="","",_xlfn.ISOWEEKNUM(A1626))</f>
        <v/>
      </c>
      <c r="N1626" s="38">
        <f>IF(A1626="","",DATE(YEAR(A1626),MONTH(A1626),1))</f>
        <v/>
      </c>
    </row>
    <row r="1627">
      <c r="A1627" s="31" t="n"/>
      <c r="B1627" s="32" t="n"/>
      <c r="C1627" s="32" t="n"/>
      <c r="D1627" s="33" t="n"/>
      <c r="E1627" s="34" t="n"/>
      <c r="F1627" s="35" t="n"/>
      <c r="G1627" s="35" t="n"/>
      <c r="H1627" s="32" t="n"/>
      <c r="I1627" s="32" t="n"/>
      <c r="J1627" s="32" t="n"/>
      <c r="K1627" s="36">
        <f>IF(E1627&lt;&gt;"",E1627,IF(AND(F1627&lt;&gt;"",G1627&lt;&gt;""),MOD(G1627-F1627,1)*24,""))</f>
        <v/>
      </c>
      <c r="L1627" s="37">
        <f>IF(A1627="","",CHOOSE(WEEKDAY(A1627,2),"Montag","Dienstag","Mittwoch","Donnerstag","Freitag","Samstag","Sonntag"))</f>
        <v/>
      </c>
      <c r="M1627" s="37">
        <f>IF(A1627="","",_xlfn.ISOWEEKNUM(A1627))</f>
        <v/>
      </c>
      <c r="N1627" s="38">
        <f>IF(A1627="","",DATE(YEAR(A1627),MONTH(A1627),1))</f>
        <v/>
      </c>
    </row>
    <row r="1628">
      <c r="A1628" s="31" t="n"/>
      <c r="B1628" s="32" t="n"/>
      <c r="C1628" s="32" t="n"/>
      <c r="D1628" s="33" t="n"/>
      <c r="E1628" s="34" t="n"/>
      <c r="F1628" s="35" t="n"/>
      <c r="G1628" s="35" t="n"/>
      <c r="H1628" s="32" t="n"/>
      <c r="I1628" s="32" t="n"/>
      <c r="J1628" s="32" t="n"/>
      <c r="K1628" s="36">
        <f>IF(E1628&lt;&gt;"",E1628,IF(AND(F1628&lt;&gt;"",G1628&lt;&gt;""),MOD(G1628-F1628,1)*24,""))</f>
        <v/>
      </c>
      <c r="L1628" s="37">
        <f>IF(A1628="","",CHOOSE(WEEKDAY(A1628,2),"Montag","Dienstag","Mittwoch","Donnerstag","Freitag","Samstag","Sonntag"))</f>
        <v/>
      </c>
      <c r="M1628" s="37">
        <f>IF(A1628="","",_xlfn.ISOWEEKNUM(A1628))</f>
        <v/>
      </c>
      <c r="N1628" s="38">
        <f>IF(A1628="","",DATE(YEAR(A1628),MONTH(A1628),1))</f>
        <v/>
      </c>
    </row>
    <row r="1629">
      <c r="A1629" s="31" t="n"/>
      <c r="B1629" s="32" t="n"/>
      <c r="C1629" s="32" t="n"/>
      <c r="D1629" s="33" t="n"/>
      <c r="E1629" s="34" t="n"/>
      <c r="F1629" s="35" t="n"/>
      <c r="G1629" s="35" t="n"/>
      <c r="H1629" s="32" t="n"/>
      <c r="I1629" s="32" t="n"/>
      <c r="J1629" s="32" t="n"/>
      <c r="K1629" s="36">
        <f>IF(E1629&lt;&gt;"",E1629,IF(AND(F1629&lt;&gt;"",G1629&lt;&gt;""),MOD(G1629-F1629,1)*24,""))</f>
        <v/>
      </c>
      <c r="L1629" s="37">
        <f>IF(A1629="","",CHOOSE(WEEKDAY(A1629,2),"Montag","Dienstag","Mittwoch","Donnerstag","Freitag","Samstag","Sonntag"))</f>
        <v/>
      </c>
      <c r="M1629" s="37">
        <f>IF(A1629="","",_xlfn.ISOWEEKNUM(A1629))</f>
        <v/>
      </c>
      <c r="N1629" s="38">
        <f>IF(A1629="","",DATE(YEAR(A1629),MONTH(A1629),1))</f>
        <v/>
      </c>
    </row>
    <row r="1630">
      <c r="A1630" s="31" t="n"/>
      <c r="B1630" s="32" t="n"/>
      <c r="C1630" s="32" t="n"/>
      <c r="D1630" s="33" t="n"/>
      <c r="E1630" s="34" t="n"/>
      <c r="F1630" s="35" t="n"/>
      <c r="G1630" s="35" t="n"/>
      <c r="H1630" s="32" t="n"/>
      <c r="I1630" s="32" t="n"/>
      <c r="J1630" s="32" t="n"/>
      <c r="K1630" s="36">
        <f>IF(E1630&lt;&gt;"",E1630,IF(AND(F1630&lt;&gt;"",G1630&lt;&gt;""),MOD(G1630-F1630,1)*24,""))</f>
        <v/>
      </c>
      <c r="L1630" s="37">
        <f>IF(A1630="","",CHOOSE(WEEKDAY(A1630,2),"Montag","Dienstag","Mittwoch","Donnerstag","Freitag","Samstag","Sonntag"))</f>
        <v/>
      </c>
      <c r="M1630" s="37">
        <f>IF(A1630="","",_xlfn.ISOWEEKNUM(A1630))</f>
        <v/>
      </c>
      <c r="N1630" s="38">
        <f>IF(A1630="","",DATE(YEAR(A1630),MONTH(A1630),1))</f>
        <v/>
      </c>
    </row>
    <row r="1631">
      <c r="A1631" s="31" t="n"/>
      <c r="B1631" s="32" t="n"/>
      <c r="C1631" s="32" t="n"/>
      <c r="D1631" s="33" t="n"/>
      <c r="E1631" s="34" t="n"/>
      <c r="F1631" s="35" t="n"/>
      <c r="G1631" s="35" t="n"/>
      <c r="H1631" s="32" t="n"/>
      <c r="I1631" s="32" t="n"/>
      <c r="J1631" s="32" t="n"/>
      <c r="K1631" s="36">
        <f>IF(E1631&lt;&gt;"",E1631,IF(AND(F1631&lt;&gt;"",G1631&lt;&gt;""),MOD(G1631-F1631,1)*24,""))</f>
        <v/>
      </c>
      <c r="L1631" s="37">
        <f>IF(A1631="","",CHOOSE(WEEKDAY(A1631,2),"Montag","Dienstag","Mittwoch","Donnerstag","Freitag","Samstag","Sonntag"))</f>
        <v/>
      </c>
      <c r="M1631" s="37">
        <f>IF(A1631="","",_xlfn.ISOWEEKNUM(A1631))</f>
        <v/>
      </c>
      <c r="N1631" s="38">
        <f>IF(A1631="","",DATE(YEAR(A1631),MONTH(A1631),1))</f>
        <v/>
      </c>
    </row>
    <row r="1632">
      <c r="A1632" s="31" t="n"/>
      <c r="B1632" s="32" t="n"/>
      <c r="C1632" s="32" t="n"/>
      <c r="D1632" s="33" t="n"/>
      <c r="E1632" s="34" t="n"/>
      <c r="F1632" s="35" t="n"/>
      <c r="G1632" s="35" t="n"/>
      <c r="H1632" s="32" t="n"/>
      <c r="I1632" s="32" t="n"/>
      <c r="J1632" s="32" t="n"/>
      <c r="K1632" s="36">
        <f>IF(E1632&lt;&gt;"",E1632,IF(AND(F1632&lt;&gt;"",G1632&lt;&gt;""),MOD(G1632-F1632,1)*24,""))</f>
        <v/>
      </c>
      <c r="L1632" s="37">
        <f>IF(A1632="","",CHOOSE(WEEKDAY(A1632,2),"Montag","Dienstag","Mittwoch","Donnerstag","Freitag","Samstag","Sonntag"))</f>
        <v/>
      </c>
      <c r="M1632" s="37">
        <f>IF(A1632="","",_xlfn.ISOWEEKNUM(A1632))</f>
        <v/>
      </c>
      <c r="N1632" s="38">
        <f>IF(A1632="","",DATE(YEAR(A1632),MONTH(A1632),1))</f>
        <v/>
      </c>
    </row>
    <row r="1633">
      <c r="A1633" s="31" t="n"/>
      <c r="B1633" s="32" t="n"/>
      <c r="C1633" s="32" t="n"/>
      <c r="D1633" s="33" t="n"/>
      <c r="E1633" s="34" t="n"/>
      <c r="F1633" s="35" t="n"/>
      <c r="G1633" s="35" t="n"/>
      <c r="H1633" s="32" t="n"/>
      <c r="I1633" s="32" t="n"/>
      <c r="J1633" s="32" t="n"/>
      <c r="K1633" s="36">
        <f>IF(E1633&lt;&gt;"",E1633,IF(AND(F1633&lt;&gt;"",G1633&lt;&gt;""),MOD(G1633-F1633,1)*24,""))</f>
        <v/>
      </c>
      <c r="L1633" s="37">
        <f>IF(A1633="","",CHOOSE(WEEKDAY(A1633,2),"Montag","Dienstag","Mittwoch","Donnerstag","Freitag","Samstag","Sonntag"))</f>
        <v/>
      </c>
      <c r="M1633" s="37">
        <f>IF(A1633="","",_xlfn.ISOWEEKNUM(A1633))</f>
        <v/>
      </c>
      <c r="N1633" s="38">
        <f>IF(A1633="","",DATE(YEAR(A1633),MONTH(A1633),1))</f>
        <v/>
      </c>
    </row>
    <row r="1634">
      <c r="A1634" s="31" t="n"/>
      <c r="B1634" s="32" t="n"/>
      <c r="C1634" s="32" t="n"/>
      <c r="D1634" s="33" t="n"/>
      <c r="E1634" s="34" t="n"/>
      <c r="F1634" s="35" t="n"/>
      <c r="G1634" s="35" t="n"/>
      <c r="H1634" s="32" t="n"/>
      <c r="I1634" s="32" t="n"/>
      <c r="J1634" s="32" t="n"/>
      <c r="K1634" s="36">
        <f>IF(E1634&lt;&gt;"",E1634,IF(AND(F1634&lt;&gt;"",G1634&lt;&gt;""),MOD(G1634-F1634,1)*24,""))</f>
        <v/>
      </c>
      <c r="L1634" s="37">
        <f>IF(A1634="","",CHOOSE(WEEKDAY(A1634,2),"Montag","Dienstag","Mittwoch","Donnerstag","Freitag","Samstag","Sonntag"))</f>
        <v/>
      </c>
      <c r="M1634" s="37">
        <f>IF(A1634="","",_xlfn.ISOWEEKNUM(A1634))</f>
        <v/>
      </c>
      <c r="N1634" s="38">
        <f>IF(A1634="","",DATE(YEAR(A1634),MONTH(A1634),1))</f>
        <v/>
      </c>
    </row>
    <row r="1635">
      <c r="A1635" s="31" t="n"/>
      <c r="B1635" s="32" t="n"/>
      <c r="C1635" s="32" t="n"/>
      <c r="D1635" s="33" t="n"/>
      <c r="E1635" s="34" t="n"/>
      <c r="F1635" s="35" t="n"/>
      <c r="G1635" s="35" t="n"/>
      <c r="H1635" s="32" t="n"/>
      <c r="I1635" s="32" t="n"/>
      <c r="J1635" s="32" t="n"/>
      <c r="K1635" s="36">
        <f>IF(E1635&lt;&gt;"",E1635,IF(AND(F1635&lt;&gt;"",G1635&lt;&gt;""),MOD(G1635-F1635,1)*24,""))</f>
        <v/>
      </c>
      <c r="L1635" s="37">
        <f>IF(A1635="","",CHOOSE(WEEKDAY(A1635,2),"Montag","Dienstag","Mittwoch","Donnerstag","Freitag","Samstag","Sonntag"))</f>
        <v/>
      </c>
      <c r="M1635" s="37">
        <f>IF(A1635="","",_xlfn.ISOWEEKNUM(A1635))</f>
        <v/>
      </c>
      <c r="N1635" s="38">
        <f>IF(A1635="","",DATE(YEAR(A1635),MONTH(A1635),1))</f>
        <v/>
      </c>
    </row>
    <row r="1636">
      <c r="A1636" s="31" t="n"/>
      <c r="B1636" s="32" t="n"/>
      <c r="C1636" s="32" t="n"/>
      <c r="D1636" s="33" t="n"/>
      <c r="E1636" s="34" t="n"/>
      <c r="F1636" s="35" t="n"/>
      <c r="G1636" s="35" t="n"/>
      <c r="H1636" s="32" t="n"/>
      <c r="I1636" s="32" t="n"/>
      <c r="J1636" s="32" t="n"/>
      <c r="K1636" s="36">
        <f>IF(E1636&lt;&gt;"",E1636,IF(AND(F1636&lt;&gt;"",G1636&lt;&gt;""),MOD(G1636-F1636,1)*24,""))</f>
        <v/>
      </c>
      <c r="L1636" s="37">
        <f>IF(A1636="","",CHOOSE(WEEKDAY(A1636,2),"Montag","Dienstag","Mittwoch","Donnerstag","Freitag","Samstag","Sonntag"))</f>
        <v/>
      </c>
      <c r="M1636" s="37">
        <f>IF(A1636="","",_xlfn.ISOWEEKNUM(A1636))</f>
        <v/>
      </c>
      <c r="N1636" s="38">
        <f>IF(A1636="","",DATE(YEAR(A1636),MONTH(A1636),1))</f>
        <v/>
      </c>
    </row>
    <row r="1637">
      <c r="A1637" s="31" t="n"/>
      <c r="B1637" s="32" t="n"/>
      <c r="C1637" s="32" t="n"/>
      <c r="D1637" s="33" t="n"/>
      <c r="E1637" s="34" t="n"/>
      <c r="F1637" s="35" t="n"/>
      <c r="G1637" s="35" t="n"/>
      <c r="H1637" s="32" t="n"/>
      <c r="I1637" s="32" t="n"/>
      <c r="J1637" s="32" t="n"/>
      <c r="K1637" s="36">
        <f>IF(E1637&lt;&gt;"",E1637,IF(AND(F1637&lt;&gt;"",G1637&lt;&gt;""),MOD(G1637-F1637,1)*24,""))</f>
        <v/>
      </c>
      <c r="L1637" s="37">
        <f>IF(A1637="","",CHOOSE(WEEKDAY(A1637,2),"Montag","Dienstag","Mittwoch","Donnerstag","Freitag","Samstag","Sonntag"))</f>
        <v/>
      </c>
      <c r="M1637" s="37">
        <f>IF(A1637="","",_xlfn.ISOWEEKNUM(A1637))</f>
        <v/>
      </c>
      <c r="N1637" s="38">
        <f>IF(A1637="","",DATE(YEAR(A1637),MONTH(A1637),1))</f>
        <v/>
      </c>
    </row>
    <row r="1638">
      <c r="A1638" s="31" t="n"/>
      <c r="B1638" s="32" t="n"/>
      <c r="C1638" s="32" t="n"/>
      <c r="D1638" s="33" t="n"/>
      <c r="E1638" s="34" t="n"/>
      <c r="F1638" s="35" t="n"/>
      <c r="G1638" s="35" t="n"/>
      <c r="H1638" s="32" t="n"/>
      <c r="I1638" s="32" t="n"/>
      <c r="J1638" s="32" t="n"/>
      <c r="K1638" s="36">
        <f>IF(E1638&lt;&gt;"",E1638,IF(AND(F1638&lt;&gt;"",G1638&lt;&gt;""),MOD(G1638-F1638,1)*24,""))</f>
        <v/>
      </c>
      <c r="L1638" s="37">
        <f>IF(A1638="","",CHOOSE(WEEKDAY(A1638,2),"Montag","Dienstag","Mittwoch","Donnerstag","Freitag","Samstag","Sonntag"))</f>
        <v/>
      </c>
      <c r="M1638" s="37">
        <f>IF(A1638="","",_xlfn.ISOWEEKNUM(A1638))</f>
        <v/>
      </c>
      <c r="N1638" s="38">
        <f>IF(A1638="","",DATE(YEAR(A1638),MONTH(A1638),1))</f>
        <v/>
      </c>
    </row>
    <row r="1639">
      <c r="A1639" s="31" t="n"/>
      <c r="B1639" s="32" t="n"/>
      <c r="C1639" s="32" t="n"/>
      <c r="D1639" s="33" t="n"/>
      <c r="E1639" s="34" t="n"/>
      <c r="F1639" s="35" t="n"/>
      <c r="G1639" s="35" t="n"/>
      <c r="H1639" s="32" t="n"/>
      <c r="I1639" s="32" t="n"/>
      <c r="J1639" s="32" t="n"/>
      <c r="K1639" s="36">
        <f>IF(E1639&lt;&gt;"",E1639,IF(AND(F1639&lt;&gt;"",G1639&lt;&gt;""),MOD(G1639-F1639,1)*24,""))</f>
        <v/>
      </c>
      <c r="L1639" s="37">
        <f>IF(A1639="","",CHOOSE(WEEKDAY(A1639,2),"Montag","Dienstag","Mittwoch","Donnerstag","Freitag","Samstag","Sonntag"))</f>
        <v/>
      </c>
      <c r="M1639" s="37">
        <f>IF(A1639="","",_xlfn.ISOWEEKNUM(A1639))</f>
        <v/>
      </c>
      <c r="N1639" s="38">
        <f>IF(A1639="","",DATE(YEAR(A1639),MONTH(A1639),1))</f>
        <v/>
      </c>
    </row>
    <row r="1640">
      <c r="A1640" s="31" t="n"/>
      <c r="B1640" s="32" t="n"/>
      <c r="C1640" s="32" t="n"/>
      <c r="D1640" s="33" t="n"/>
      <c r="E1640" s="34" t="n"/>
      <c r="F1640" s="35" t="n"/>
      <c r="G1640" s="35" t="n"/>
      <c r="H1640" s="32" t="n"/>
      <c r="I1640" s="32" t="n"/>
      <c r="J1640" s="32" t="n"/>
      <c r="K1640" s="36">
        <f>IF(E1640&lt;&gt;"",E1640,IF(AND(F1640&lt;&gt;"",G1640&lt;&gt;""),MOD(G1640-F1640,1)*24,""))</f>
        <v/>
      </c>
      <c r="L1640" s="37">
        <f>IF(A1640="","",CHOOSE(WEEKDAY(A1640,2),"Montag","Dienstag","Mittwoch","Donnerstag","Freitag","Samstag","Sonntag"))</f>
        <v/>
      </c>
      <c r="M1640" s="37">
        <f>IF(A1640="","",_xlfn.ISOWEEKNUM(A1640))</f>
        <v/>
      </c>
      <c r="N1640" s="38">
        <f>IF(A1640="","",DATE(YEAR(A1640),MONTH(A1640),1))</f>
        <v/>
      </c>
    </row>
    <row r="1641">
      <c r="A1641" s="31" t="n"/>
      <c r="B1641" s="32" t="n"/>
      <c r="C1641" s="32" t="n"/>
      <c r="D1641" s="33" t="n"/>
      <c r="E1641" s="34" t="n"/>
      <c r="F1641" s="35" t="n"/>
      <c r="G1641" s="35" t="n"/>
      <c r="H1641" s="32" t="n"/>
      <c r="I1641" s="32" t="n"/>
      <c r="J1641" s="32" t="n"/>
      <c r="K1641" s="36">
        <f>IF(E1641&lt;&gt;"",E1641,IF(AND(F1641&lt;&gt;"",G1641&lt;&gt;""),MOD(G1641-F1641,1)*24,""))</f>
        <v/>
      </c>
      <c r="L1641" s="37">
        <f>IF(A1641="","",CHOOSE(WEEKDAY(A1641,2),"Montag","Dienstag","Mittwoch","Donnerstag","Freitag","Samstag","Sonntag"))</f>
        <v/>
      </c>
      <c r="M1641" s="37">
        <f>IF(A1641="","",_xlfn.ISOWEEKNUM(A1641))</f>
        <v/>
      </c>
      <c r="N1641" s="38">
        <f>IF(A1641="","",DATE(YEAR(A1641),MONTH(A1641),1))</f>
        <v/>
      </c>
    </row>
    <row r="1642">
      <c r="A1642" s="31" t="n"/>
      <c r="B1642" s="32" t="n"/>
      <c r="C1642" s="32" t="n"/>
      <c r="D1642" s="33" t="n"/>
      <c r="E1642" s="34" t="n"/>
      <c r="F1642" s="35" t="n"/>
      <c r="G1642" s="35" t="n"/>
      <c r="H1642" s="32" t="n"/>
      <c r="I1642" s="32" t="n"/>
      <c r="J1642" s="32" t="n"/>
      <c r="K1642" s="36">
        <f>IF(E1642&lt;&gt;"",E1642,IF(AND(F1642&lt;&gt;"",G1642&lt;&gt;""),MOD(G1642-F1642,1)*24,""))</f>
        <v/>
      </c>
      <c r="L1642" s="37">
        <f>IF(A1642="","",CHOOSE(WEEKDAY(A1642,2),"Montag","Dienstag","Mittwoch","Donnerstag","Freitag","Samstag","Sonntag"))</f>
        <v/>
      </c>
      <c r="M1642" s="37">
        <f>IF(A1642="","",_xlfn.ISOWEEKNUM(A1642))</f>
        <v/>
      </c>
      <c r="N1642" s="38">
        <f>IF(A1642="","",DATE(YEAR(A1642),MONTH(A1642),1))</f>
        <v/>
      </c>
    </row>
    <row r="1643">
      <c r="A1643" s="31" t="n"/>
      <c r="B1643" s="32" t="n"/>
      <c r="C1643" s="32" t="n"/>
      <c r="D1643" s="33" t="n"/>
      <c r="E1643" s="34" t="n"/>
      <c r="F1643" s="35" t="n"/>
      <c r="G1643" s="35" t="n"/>
      <c r="H1643" s="32" t="n"/>
      <c r="I1643" s="32" t="n"/>
      <c r="J1643" s="32" t="n"/>
      <c r="K1643" s="36">
        <f>IF(E1643&lt;&gt;"",E1643,IF(AND(F1643&lt;&gt;"",G1643&lt;&gt;""),MOD(G1643-F1643,1)*24,""))</f>
        <v/>
      </c>
      <c r="L1643" s="37">
        <f>IF(A1643="","",CHOOSE(WEEKDAY(A1643,2),"Montag","Dienstag","Mittwoch","Donnerstag","Freitag","Samstag","Sonntag"))</f>
        <v/>
      </c>
      <c r="M1643" s="37">
        <f>IF(A1643="","",_xlfn.ISOWEEKNUM(A1643))</f>
        <v/>
      </c>
      <c r="N1643" s="38">
        <f>IF(A1643="","",DATE(YEAR(A1643),MONTH(A1643),1))</f>
        <v/>
      </c>
    </row>
    <row r="1644">
      <c r="A1644" s="31" t="n"/>
      <c r="B1644" s="32" t="n"/>
      <c r="C1644" s="32" t="n"/>
      <c r="D1644" s="33" t="n"/>
      <c r="E1644" s="34" t="n"/>
      <c r="F1644" s="35" t="n"/>
      <c r="G1644" s="35" t="n"/>
      <c r="H1644" s="32" t="n"/>
      <c r="I1644" s="32" t="n"/>
      <c r="J1644" s="32" t="n"/>
      <c r="K1644" s="36">
        <f>IF(E1644&lt;&gt;"",E1644,IF(AND(F1644&lt;&gt;"",G1644&lt;&gt;""),MOD(G1644-F1644,1)*24,""))</f>
        <v/>
      </c>
      <c r="L1644" s="37">
        <f>IF(A1644="","",CHOOSE(WEEKDAY(A1644,2),"Montag","Dienstag","Mittwoch","Donnerstag","Freitag","Samstag","Sonntag"))</f>
        <v/>
      </c>
      <c r="M1644" s="37">
        <f>IF(A1644="","",_xlfn.ISOWEEKNUM(A1644))</f>
        <v/>
      </c>
      <c r="N1644" s="38">
        <f>IF(A1644="","",DATE(YEAR(A1644),MONTH(A1644),1))</f>
        <v/>
      </c>
    </row>
    <row r="1645">
      <c r="A1645" s="31" t="n"/>
      <c r="B1645" s="32" t="n"/>
      <c r="C1645" s="32" t="n"/>
      <c r="D1645" s="33" t="n"/>
      <c r="E1645" s="34" t="n"/>
      <c r="F1645" s="35" t="n"/>
      <c r="G1645" s="35" t="n"/>
      <c r="H1645" s="32" t="n"/>
      <c r="I1645" s="32" t="n"/>
      <c r="J1645" s="32" t="n"/>
      <c r="K1645" s="36">
        <f>IF(E1645&lt;&gt;"",E1645,IF(AND(F1645&lt;&gt;"",G1645&lt;&gt;""),MOD(G1645-F1645,1)*24,""))</f>
        <v/>
      </c>
      <c r="L1645" s="37">
        <f>IF(A1645="","",CHOOSE(WEEKDAY(A1645,2),"Montag","Dienstag","Mittwoch","Donnerstag","Freitag","Samstag","Sonntag"))</f>
        <v/>
      </c>
      <c r="M1645" s="37">
        <f>IF(A1645="","",_xlfn.ISOWEEKNUM(A1645))</f>
        <v/>
      </c>
      <c r="N1645" s="38">
        <f>IF(A1645="","",DATE(YEAR(A1645),MONTH(A1645),1))</f>
        <v/>
      </c>
    </row>
    <row r="1646">
      <c r="A1646" s="31" t="n"/>
      <c r="B1646" s="32" t="n"/>
      <c r="C1646" s="32" t="n"/>
      <c r="D1646" s="33" t="n"/>
      <c r="E1646" s="34" t="n"/>
      <c r="F1646" s="35" t="n"/>
      <c r="G1646" s="35" t="n"/>
      <c r="H1646" s="32" t="n"/>
      <c r="I1646" s="32" t="n"/>
      <c r="J1646" s="32" t="n"/>
      <c r="K1646" s="36">
        <f>IF(E1646&lt;&gt;"",E1646,IF(AND(F1646&lt;&gt;"",G1646&lt;&gt;""),MOD(G1646-F1646,1)*24,""))</f>
        <v/>
      </c>
      <c r="L1646" s="37">
        <f>IF(A1646="","",CHOOSE(WEEKDAY(A1646,2),"Montag","Dienstag","Mittwoch","Donnerstag","Freitag","Samstag","Sonntag"))</f>
        <v/>
      </c>
      <c r="M1646" s="37">
        <f>IF(A1646="","",_xlfn.ISOWEEKNUM(A1646))</f>
        <v/>
      </c>
      <c r="N1646" s="38">
        <f>IF(A1646="","",DATE(YEAR(A1646),MONTH(A1646),1))</f>
        <v/>
      </c>
    </row>
    <row r="1647">
      <c r="A1647" s="31" t="n"/>
      <c r="B1647" s="32" t="n"/>
      <c r="C1647" s="32" t="n"/>
      <c r="D1647" s="33" t="n"/>
      <c r="E1647" s="34" t="n"/>
      <c r="F1647" s="35" t="n"/>
      <c r="G1647" s="35" t="n"/>
      <c r="H1647" s="32" t="n"/>
      <c r="I1647" s="32" t="n"/>
      <c r="J1647" s="32" t="n"/>
      <c r="K1647" s="36">
        <f>IF(E1647&lt;&gt;"",E1647,IF(AND(F1647&lt;&gt;"",G1647&lt;&gt;""),MOD(G1647-F1647,1)*24,""))</f>
        <v/>
      </c>
      <c r="L1647" s="37">
        <f>IF(A1647="","",CHOOSE(WEEKDAY(A1647,2),"Montag","Dienstag","Mittwoch","Donnerstag","Freitag","Samstag","Sonntag"))</f>
        <v/>
      </c>
      <c r="M1647" s="37">
        <f>IF(A1647="","",_xlfn.ISOWEEKNUM(A1647))</f>
        <v/>
      </c>
      <c r="N1647" s="38">
        <f>IF(A1647="","",DATE(YEAR(A1647),MONTH(A1647),1))</f>
        <v/>
      </c>
    </row>
    <row r="1648">
      <c r="A1648" s="31" t="n"/>
      <c r="B1648" s="32" t="n"/>
      <c r="C1648" s="32" t="n"/>
      <c r="D1648" s="33" t="n"/>
      <c r="E1648" s="34" t="n"/>
      <c r="F1648" s="35" t="n"/>
      <c r="G1648" s="35" t="n"/>
      <c r="H1648" s="32" t="n"/>
      <c r="I1648" s="32" t="n"/>
      <c r="J1648" s="32" t="n"/>
      <c r="K1648" s="36">
        <f>IF(E1648&lt;&gt;"",E1648,IF(AND(F1648&lt;&gt;"",G1648&lt;&gt;""),MOD(G1648-F1648,1)*24,""))</f>
        <v/>
      </c>
      <c r="L1648" s="37">
        <f>IF(A1648="","",CHOOSE(WEEKDAY(A1648,2),"Montag","Dienstag","Mittwoch","Donnerstag","Freitag","Samstag","Sonntag"))</f>
        <v/>
      </c>
      <c r="M1648" s="37">
        <f>IF(A1648="","",_xlfn.ISOWEEKNUM(A1648))</f>
        <v/>
      </c>
      <c r="N1648" s="38">
        <f>IF(A1648="","",DATE(YEAR(A1648),MONTH(A1648),1))</f>
        <v/>
      </c>
    </row>
    <row r="1649">
      <c r="A1649" s="31" t="n"/>
      <c r="B1649" s="32" t="n"/>
      <c r="C1649" s="32" t="n"/>
      <c r="D1649" s="33" t="n"/>
      <c r="E1649" s="34" t="n"/>
      <c r="F1649" s="35" t="n"/>
      <c r="G1649" s="35" t="n"/>
      <c r="H1649" s="32" t="n"/>
      <c r="I1649" s="32" t="n"/>
      <c r="J1649" s="32" t="n"/>
      <c r="K1649" s="36">
        <f>IF(E1649&lt;&gt;"",E1649,IF(AND(F1649&lt;&gt;"",G1649&lt;&gt;""),MOD(G1649-F1649,1)*24,""))</f>
        <v/>
      </c>
      <c r="L1649" s="37">
        <f>IF(A1649="","",CHOOSE(WEEKDAY(A1649,2),"Montag","Dienstag","Mittwoch","Donnerstag","Freitag","Samstag","Sonntag"))</f>
        <v/>
      </c>
      <c r="M1649" s="37">
        <f>IF(A1649="","",_xlfn.ISOWEEKNUM(A1649))</f>
        <v/>
      </c>
      <c r="N1649" s="38">
        <f>IF(A1649="","",DATE(YEAR(A1649),MONTH(A1649),1))</f>
        <v/>
      </c>
    </row>
    <row r="1650">
      <c r="A1650" s="31" t="n"/>
      <c r="B1650" s="32" t="n"/>
      <c r="C1650" s="32" t="n"/>
      <c r="D1650" s="33" t="n"/>
      <c r="E1650" s="34" t="n"/>
      <c r="F1650" s="35" t="n"/>
      <c r="G1650" s="35" t="n"/>
      <c r="H1650" s="32" t="n"/>
      <c r="I1650" s="32" t="n"/>
      <c r="J1650" s="32" t="n"/>
      <c r="K1650" s="36">
        <f>IF(E1650&lt;&gt;"",E1650,IF(AND(F1650&lt;&gt;"",G1650&lt;&gt;""),MOD(G1650-F1650,1)*24,""))</f>
        <v/>
      </c>
      <c r="L1650" s="37">
        <f>IF(A1650="","",CHOOSE(WEEKDAY(A1650,2),"Montag","Dienstag","Mittwoch","Donnerstag","Freitag","Samstag","Sonntag"))</f>
        <v/>
      </c>
      <c r="M1650" s="37">
        <f>IF(A1650="","",_xlfn.ISOWEEKNUM(A1650))</f>
        <v/>
      </c>
      <c r="N1650" s="38">
        <f>IF(A1650="","",DATE(YEAR(A1650),MONTH(A1650),1))</f>
        <v/>
      </c>
    </row>
    <row r="1651">
      <c r="A1651" s="31" t="n"/>
      <c r="B1651" s="32" t="n"/>
      <c r="C1651" s="32" t="n"/>
      <c r="D1651" s="33" t="n"/>
      <c r="E1651" s="34" t="n"/>
      <c r="F1651" s="35" t="n"/>
      <c r="G1651" s="35" t="n"/>
      <c r="H1651" s="32" t="n"/>
      <c r="I1651" s="32" t="n"/>
      <c r="J1651" s="32" t="n"/>
      <c r="K1651" s="36">
        <f>IF(E1651&lt;&gt;"",E1651,IF(AND(F1651&lt;&gt;"",G1651&lt;&gt;""),MOD(G1651-F1651,1)*24,""))</f>
        <v/>
      </c>
      <c r="L1651" s="37">
        <f>IF(A1651="","",CHOOSE(WEEKDAY(A1651,2),"Montag","Dienstag","Mittwoch","Donnerstag","Freitag","Samstag","Sonntag"))</f>
        <v/>
      </c>
      <c r="M1651" s="37">
        <f>IF(A1651="","",_xlfn.ISOWEEKNUM(A1651))</f>
        <v/>
      </c>
      <c r="N1651" s="38">
        <f>IF(A1651="","",DATE(YEAR(A1651),MONTH(A1651),1))</f>
        <v/>
      </c>
    </row>
    <row r="1652">
      <c r="A1652" s="31" t="n"/>
      <c r="B1652" s="32" t="n"/>
      <c r="C1652" s="32" t="n"/>
      <c r="D1652" s="33" t="n"/>
      <c r="E1652" s="34" t="n"/>
      <c r="F1652" s="35" t="n"/>
      <c r="G1652" s="35" t="n"/>
      <c r="H1652" s="32" t="n"/>
      <c r="I1652" s="32" t="n"/>
      <c r="J1652" s="32" t="n"/>
      <c r="K1652" s="36">
        <f>IF(E1652&lt;&gt;"",E1652,IF(AND(F1652&lt;&gt;"",G1652&lt;&gt;""),MOD(G1652-F1652,1)*24,""))</f>
        <v/>
      </c>
      <c r="L1652" s="37">
        <f>IF(A1652="","",CHOOSE(WEEKDAY(A1652,2),"Montag","Dienstag","Mittwoch","Donnerstag","Freitag","Samstag","Sonntag"))</f>
        <v/>
      </c>
      <c r="M1652" s="37">
        <f>IF(A1652="","",_xlfn.ISOWEEKNUM(A1652))</f>
        <v/>
      </c>
      <c r="N1652" s="38">
        <f>IF(A1652="","",DATE(YEAR(A1652),MONTH(A1652),1))</f>
        <v/>
      </c>
    </row>
    <row r="1653">
      <c r="A1653" s="31" t="n"/>
      <c r="B1653" s="32" t="n"/>
      <c r="C1653" s="32" t="n"/>
      <c r="D1653" s="33" t="n"/>
      <c r="E1653" s="34" t="n"/>
      <c r="F1653" s="35" t="n"/>
      <c r="G1653" s="35" t="n"/>
      <c r="H1653" s="32" t="n"/>
      <c r="I1653" s="32" t="n"/>
      <c r="J1653" s="32" t="n"/>
      <c r="K1653" s="36">
        <f>IF(E1653&lt;&gt;"",E1653,IF(AND(F1653&lt;&gt;"",G1653&lt;&gt;""),MOD(G1653-F1653,1)*24,""))</f>
        <v/>
      </c>
      <c r="L1653" s="37">
        <f>IF(A1653="","",CHOOSE(WEEKDAY(A1653,2),"Montag","Dienstag","Mittwoch","Donnerstag","Freitag","Samstag","Sonntag"))</f>
        <v/>
      </c>
      <c r="M1653" s="37">
        <f>IF(A1653="","",_xlfn.ISOWEEKNUM(A1653))</f>
        <v/>
      </c>
      <c r="N1653" s="38">
        <f>IF(A1653="","",DATE(YEAR(A1653),MONTH(A1653),1))</f>
        <v/>
      </c>
    </row>
    <row r="1654">
      <c r="A1654" s="31" t="n"/>
      <c r="B1654" s="32" t="n"/>
      <c r="C1654" s="32" t="n"/>
      <c r="D1654" s="33" t="n"/>
      <c r="E1654" s="34" t="n"/>
      <c r="F1654" s="35" t="n"/>
      <c r="G1654" s="35" t="n"/>
      <c r="H1654" s="32" t="n"/>
      <c r="I1654" s="32" t="n"/>
      <c r="J1654" s="32" t="n"/>
      <c r="K1654" s="36">
        <f>IF(E1654&lt;&gt;"",E1654,IF(AND(F1654&lt;&gt;"",G1654&lt;&gt;""),MOD(G1654-F1654,1)*24,""))</f>
        <v/>
      </c>
      <c r="L1654" s="37">
        <f>IF(A1654="","",CHOOSE(WEEKDAY(A1654,2),"Montag","Dienstag","Mittwoch","Donnerstag","Freitag","Samstag","Sonntag"))</f>
        <v/>
      </c>
      <c r="M1654" s="37">
        <f>IF(A1654="","",_xlfn.ISOWEEKNUM(A1654))</f>
        <v/>
      </c>
      <c r="N1654" s="38">
        <f>IF(A1654="","",DATE(YEAR(A1654),MONTH(A1654),1))</f>
        <v/>
      </c>
    </row>
    <row r="1655">
      <c r="A1655" s="31" t="n"/>
      <c r="B1655" s="32" t="n"/>
      <c r="C1655" s="32" t="n"/>
      <c r="D1655" s="33" t="n"/>
      <c r="E1655" s="34" t="n"/>
      <c r="F1655" s="35" t="n"/>
      <c r="G1655" s="35" t="n"/>
      <c r="H1655" s="32" t="n"/>
      <c r="I1655" s="32" t="n"/>
      <c r="J1655" s="32" t="n"/>
      <c r="K1655" s="36">
        <f>IF(E1655&lt;&gt;"",E1655,IF(AND(F1655&lt;&gt;"",G1655&lt;&gt;""),MOD(G1655-F1655,1)*24,""))</f>
        <v/>
      </c>
      <c r="L1655" s="37">
        <f>IF(A1655="","",CHOOSE(WEEKDAY(A1655,2),"Montag","Dienstag","Mittwoch","Donnerstag","Freitag","Samstag","Sonntag"))</f>
        <v/>
      </c>
      <c r="M1655" s="37">
        <f>IF(A1655="","",_xlfn.ISOWEEKNUM(A1655))</f>
        <v/>
      </c>
      <c r="N1655" s="38">
        <f>IF(A1655="","",DATE(YEAR(A1655),MONTH(A1655),1))</f>
        <v/>
      </c>
    </row>
    <row r="1656">
      <c r="A1656" s="31" t="n"/>
      <c r="B1656" s="32" t="n"/>
      <c r="C1656" s="32" t="n"/>
      <c r="D1656" s="33" t="n"/>
      <c r="E1656" s="34" t="n"/>
      <c r="F1656" s="35" t="n"/>
      <c r="G1656" s="35" t="n"/>
      <c r="H1656" s="32" t="n"/>
      <c r="I1656" s="32" t="n"/>
      <c r="J1656" s="32" t="n"/>
      <c r="K1656" s="36">
        <f>IF(E1656&lt;&gt;"",E1656,IF(AND(F1656&lt;&gt;"",G1656&lt;&gt;""),MOD(G1656-F1656,1)*24,""))</f>
        <v/>
      </c>
      <c r="L1656" s="37">
        <f>IF(A1656="","",CHOOSE(WEEKDAY(A1656,2),"Montag","Dienstag","Mittwoch","Donnerstag","Freitag","Samstag","Sonntag"))</f>
        <v/>
      </c>
      <c r="M1656" s="37">
        <f>IF(A1656="","",_xlfn.ISOWEEKNUM(A1656))</f>
        <v/>
      </c>
      <c r="N1656" s="38">
        <f>IF(A1656="","",DATE(YEAR(A1656),MONTH(A1656),1))</f>
        <v/>
      </c>
    </row>
    <row r="1657">
      <c r="A1657" s="31" t="n"/>
      <c r="B1657" s="32" t="n"/>
      <c r="C1657" s="32" t="n"/>
      <c r="D1657" s="33" t="n"/>
      <c r="E1657" s="34" t="n"/>
      <c r="F1657" s="35" t="n"/>
      <c r="G1657" s="35" t="n"/>
      <c r="H1657" s="32" t="n"/>
      <c r="I1657" s="32" t="n"/>
      <c r="J1657" s="32" t="n"/>
      <c r="K1657" s="36">
        <f>IF(E1657&lt;&gt;"",E1657,IF(AND(F1657&lt;&gt;"",G1657&lt;&gt;""),MOD(G1657-F1657,1)*24,""))</f>
        <v/>
      </c>
      <c r="L1657" s="37">
        <f>IF(A1657="","",CHOOSE(WEEKDAY(A1657,2),"Montag","Dienstag","Mittwoch","Donnerstag","Freitag","Samstag","Sonntag"))</f>
        <v/>
      </c>
      <c r="M1657" s="37">
        <f>IF(A1657="","",_xlfn.ISOWEEKNUM(A1657))</f>
        <v/>
      </c>
      <c r="N1657" s="38">
        <f>IF(A1657="","",DATE(YEAR(A1657),MONTH(A1657),1))</f>
        <v/>
      </c>
    </row>
    <row r="1658">
      <c r="A1658" s="31" t="n"/>
      <c r="B1658" s="32" t="n"/>
      <c r="C1658" s="32" t="n"/>
      <c r="D1658" s="33" t="n"/>
      <c r="E1658" s="34" t="n"/>
      <c r="F1658" s="35" t="n"/>
      <c r="G1658" s="35" t="n"/>
      <c r="H1658" s="32" t="n"/>
      <c r="I1658" s="32" t="n"/>
      <c r="J1658" s="32" t="n"/>
      <c r="K1658" s="36">
        <f>IF(E1658&lt;&gt;"",E1658,IF(AND(F1658&lt;&gt;"",G1658&lt;&gt;""),MOD(G1658-F1658,1)*24,""))</f>
        <v/>
      </c>
      <c r="L1658" s="37">
        <f>IF(A1658="","",CHOOSE(WEEKDAY(A1658,2),"Montag","Dienstag","Mittwoch","Donnerstag","Freitag","Samstag","Sonntag"))</f>
        <v/>
      </c>
      <c r="M1658" s="37">
        <f>IF(A1658="","",_xlfn.ISOWEEKNUM(A1658))</f>
        <v/>
      </c>
      <c r="N1658" s="38">
        <f>IF(A1658="","",DATE(YEAR(A1658),MONTH(A1658),1))</f>
        <v/>
      </c>
    </row>
    <row r="1659">
      <c r="A1659" s="31" t="n"/>
      <c r="B1659" s="32" t="n"/>
      <c r="C1659" s="32" t="n"/>
      <c r="D1659" s="33" t="n"/>
      <c r="E1659" s="34" t="n"/>
      <c r="F1659" s="35" t="n"/>
      <c r="G1659" s="35" t="n"/>
      <c r="H1659" s="32" t="n"/>
      <c r="I1659" s="32" t="n"/>
      <c r="J1659" s="32" t="n"/>
      <c r="K1659" s="36">
        <f>IF(E1659&lt;&gt;"",E1659,IF(AND(F1659&lt;&gt;"",G1659&lt;&gt;""),MOD(G1659-F1659,1)*24,""))</f>
        <v/>
      </c>
      <c r="L1659" s="37">
        <f>IF(A1659="","",CHOOSE(WEEKDAY(A1659,2),"Montag","Dienstag","Mittwoch","Donnerstag","Freitag","Samstag","Sonntag"))</f>
        <v/>
      </c>
      <c r="M1659" s="37">
        <f>IF(A1659="","",_xlfn.ISOWEEKNUM(A1659))</f>
        <v/>
      </c>
      <c r="N1659" s="38">
        <f>IF(A1659="","",DATE(YEAR(A1659),MONTH(A1659),1))</f>
        <v/>
      </c>
    </row>
    <row r="1660">
      <c r="A1660" s="31" t="n"/>
      <c r="B1660" s="32" t="n"/>
      <c r="C1660" s="32" t="n"/>
      <c r="D1660" s="33" t="n"/>
      <c r="E1660" s="34" t="n"/>
      <c r="F1660" s="35" t="n"/>
      <c r="G1660" s="35" t="n"/>
      <c r="H1660" s="32" t="n"/>
      <c r="I1660" s="32" t="n"/>
      <c r="J1660" s="32" t="n"/>
      <c r="K1660" s="36">
        <f>IF(E1660&lt;&gt;"",E1660,IF(AND(F1660&lt;&gt;"",G1660&lt;&gt;""),MOD(G1660-F1660,1)*24,""))</f>
        <v/>
      </c>
      <c r="L1660" s="37">
        <f>IF(A1660="","",CHOOSE(WEEKDAY(A1660,2),"Montag","Dienstag","Mittwoch","Donnerstag","Freitag","Samstag","Sonntag"))</f>
        <v/>
      </c>
      <c r="M1660" s="37">
        <f>IF(A1660="","",_xlfn.ISOWEEKNUM(A1660))</f>
        <v/>
      </c>
      <c r="N1660" s="38">
        <f>IF(A1660="","",DATE(YEAR(A1660),MONTH(A1660),1))</f>
        <v/>
      </c>
    </row>
    <row r="1661">
      <c r="A1661" s="31" t="n"/>
      <c r="B1661" s="32" t="n"/>
      <c r="C1661" s="32" t="n"/>
      <c r="D1661" s="33" t="n"/>
      <c r="E1661" s="34" t="n"/>
      <c r="F1661" s="35" t="n"/>
      <c r="G1661" s="35" t="n"/>
      <c r="H1661" s="32" t="n"/>
      <c r="I1661" s="32" t="n"/>
      <c r="J1661" s="32" t="n"/>
      <c r="K1661" s="36">
        <f>IF(E1661&lt;&gt;"",E1661,IF(AND(F1661&lt;&gt;"",G1661&lt;&gt;""),MOD(G1661-F1661,1)*24,""))</f>
        <v/>
      </c>
      <c r="L1661" s="37">
        <f>IF(A1661="","",CHOOSE(WEEKDAY(A1661,2),"Montag","Dienstag","Mittwoch","Donnerstag","Freitag","Samstag","Sonntag"))</f>
        <v/>
      </c>
      <c r="M1661" s="37">
        <f>IF(A1661="","",_xlfn.ISOWEEKNUM(A1661))</f>
        <v/>
      </c>
      <c r="N1661" s="38">
        <f>IF(A1661="","",DATE(YEAR(A1661),MONTH(A1661),1))</f>
        <v/>
      </c>
    </row>
    <row r="1662">
      <c r="A1662" s="31" t="n"/>
      <c r="B1662" s="32" t="n"/>
      <c r="C1662" s="32" t="n"/>
      <c r="D1662" s="33" t="n"/>
      <c r="E1662" s="34" t="n"/>
      <c r="F1662" s="35" t="n"/>
      <c r="G1662" s="35" t="n"/>
      <c r="H1662" s="32" t="n"/>
      <c r="I1662" s="32" t="n"/>
      <c r="J1662" s="32" t="n"/>
      <c r="K1662" s="36">
        <f>IF(E1662&lt;&gt;"",E1662,IF(AND(F1662&lt;&gt;"",G1662&lt;&gt;""),MOD(G1662-F1662,1)*24,""))</f>
        <v/>
      </c>
      <c r="L1662" s="37">
        <f>IF(A1662="","",CHOOSE(WEEKDAY(A1662,2),"Montag","Dienstag","Mittwoch","Donnerstag","Freitag","Samstag","Sonntag"))</f>
        <v/>
      </c>
      <c r="M1662" s="37">
        <f>IF(A1662="","",_xlfn.ISOWEEKNUM(A1662))</f>
        <v/>
      </c>
      <c r="N1662" s="38">
        <f>IF(A1662="","",DATE(YEAR(A1662),MONTH(A1662),1))</f>
        <v/>
      </c>
    </row>
    <row r="1663">
      <c r="A1663" s="31" t="n"/>
      <c r="B1663" s="32" t="n"/>
      <c r="C1663" s="32" t="n"/>
      <c r="D1663" s="33" t="n"/>
      <c r="E1663" s="34" t="n"/>
      <c r="F1663" s="35" t="n"/>
      <c r="G1663" s="35" t="n"/>
      <c r="H1663" s="32" t="n"/>
      <c r="I1663" s="32" t="n"/>
      <c r="J1663" s="32" t="n"/>
      <c r="K1663" s="36">
        <f>IF(E1663&lt;&gt;"",E1663,IF(AND(F1663&lt;&gt;"",G1663&lt;&gt;""),MOD(G1663-F1663,1)*24,""))</f>
        <v/>
      </c>
      <c r="L1663" s="37">
        <f>IF(A1663="","",CHOOSE(WEEKDAY(A1663,2),"Montag","Dienstag","Mittwoch","Donnerstag","Freitag","Samstag","Sonntag"))</f>
        <v/>
      </c>
      <c r="M1663" s="37">
        <f>IF(A1663="","",_xlfn.ISOWEEKNUM(A1663))</f>
        <v/>
      </c>
      <c r="N1663" s="38">
        <f>IF(A1663="","",DATE(YEAR(A1663),MONTH(A1663),1))</f>
        <v/>
      </c>
    </row>
    <row r="1664">
      <c r="A1664" s="31" t="n"/>
      <c r="B1664" s="32" t="n"/>
      <c r="C1664" s="32" t="n"/>
      <c r="D1664" s="33" t="n"/>
      <c r="E1664" s="34" t="n"/>
      <c r="F1664" s="35" t="n"/>
      <c r="G1664" s="35" t="n"/>
      <c r="H1664" s="32" t="n"/>
      <c r="I1664" s="32" t="n"/>
      <c r="J1664" s="32" t="n"/>
      <c r="K1664" s="36">
        <f>IF(E1664&lt;&gt;"",E1664,IF(AND(F1664&lt;&gt;"",G1664&lt;&gt;""),MOD(G1664-F1664,1)*24,""))</f>
        <v/>
      </c>
      <c r="L1664" s="37">
        <f>IF(A1664="","",CHOOSE(WEEKDAY(A1664,2),"Montag","Dienstag","Mittwoch","Donnerstag","Freitag","Samstag","Sonntag"))</f>
        <v/>
      </c>
      <c r="M1664" s="37">
        <f>IF(A1664="","",_xlfn.ISOWEEKNUM(A1664))</f>
        <v/>
      </c>
      <c r="N1664" s="38">
        <f>IF(A1664="","",DATE(YEAR(A1664),MONTH(A1664),1))</f>
        <v/>
      </c>
    </row>
    <row r="1665">
      <c r="A1665" s="31" t="n"/>
      <c r="B1665" s="32" t="n"/>
      <c r="C1665" s="32" t="n"/>
      <c r="D1665" s="33" t="n"/>
      <c r="E1665" s="34" t="n"/>
      <c r="F1665" s="35" t="n"/>
      <c r="G1665" s="35" t="n"/>
      <c r="H1665" s="32" t="n"/>
      <c r="I1665" s="32" t="n"/>
      <c r="J1665" s="32" t="n"/>
      <c r="K1665" s="36">
        <f>IF(E1665&lt;&gt;"",E1665,IF(AND(F1665&lt;&gt;"",G1665&lt;&gt;""),MOD(G1665-F1665,1)*24,""))</f>
        <v/>
      </c>
      <c r="L1665" s="37">
        <f>IF(A1665="","",CHOOSE(WEEKDAY(A1665,2),"Montag","Dienstag","Mittwoch","Donnerstag","Freitag","Samstag","Sonntag"))</f>
        <v/>
      </c>
      <c r="M1665" s="37">
        <f>IF(A1665="","",_xlfn.ISOWEEKNUM(A1665))</f>
        <v/>
      </c>
      <c r="N1665" s="38">
        <f>IF(A1665="","",DATE(YEAR(A1665),MONTH(A1665),1))</f>
        <v/>
      </c>
    </row>
    <row r="1666">
      <c r="A1666" s="31" t="n"/>
      <c r="B1666" s="32" t="n"/>
      <c r="C1666" s="32" t="n"/>
      <c r="D1666" s="33" t="n"/>
      <c r="E1666" s="34" t="n"/>
      <c r="F1666" s="35" t="n"/>
      <c r="G1666" s="35" t="n"/>
      <c r="H1666" s="32" t="n"/>
      <c r="I1666" s="32" t="n"/>
      <c r="J1666" s="32" t="n"/>
      <c r="K1666" s="36">
        <f>IF(E1666&lt;&gt;"",E1666,IF(AND(F1666&lt;&gt;"",G1666&lt;&gt;""),MOD(G1666-F1666,1)*24,""))</f>
        <v/>
      </c>
      <c r="L1666" s="37">
        <f>IF(A1666="","",CHOOSE(WEEKDAY(A1666,2),"Montag","Dienstag","Mittwoch","Donnerstag","Freitag","Samstag","Sonntag"))</f>
        <v/>
      </c>
      <c r="M1666" s="37">
        <f>IF(A1666="","",_xlfn.ISOWEEKNUM(A1666))</f>
        <v/>
      </c>
      <c r="N1666" s="38">
        <f>IF(A1666="","",DATE(YEAR(A1666),MONTH(A1666),1))</f>
        <v/>
      </c>
    </row>
    <row r="1667">
      <c r="A1667" s="31" t="n"/>
      <c r="B1667" s="32" t="n"/>
      <c r="C1667" s="32" t="n"/>
      <c r="D1667" s="33" t="n"/>
      <c r="E1667" s="34" t="n"/>
      <c r="F1667" s="35" t="n"/>
      <c r="G1667" s="35" t="n"/>
      <c r="H1667" s="32" t="n"/>
      <c r="I1667" s="32" t="n"/>
      <c r="J1667" s="32" t="n"/>
      <c r="K1667" s="36">
        <f>IF(E1667&lt;&gt;"",E1667,IF(AND(F1667&lt;&gt;"",G1667&lt;&gt;""),MOD(G1667-F1667,1)*24,""))</f>
        <v/>
      </c>
      <c r="L1667" s="37">
        <f>IF(A1667="","",CHOOSE(WEEKDAY(A1667,2),"Montag","Dienstag","Mittwoch","Donnerstag","Freitag","Samstag","Sonntag"))</f>
        <v/>
      </c>
      <c r="M1667" s="37">
        <f>IF(A1667="","",_xlfn.ISOWEEKNUM(A1667))</f>
        <v/>
      </c>
      <c r="N1667" s="38">
        <f>IF(A1667="","",DATE(YEAR(A1667),MONTH(A1667),1))</f>
        <v/>
      </c>
    </row>
    <row r="1668">
      <c r="A1668" s="31" t="n"/>
      <c r="B1668" s="32" t="n"/>
      <c r="C1668" s="32" t="n"/>
      <c r="D1668" s="33" t="n"/>
      <c r="E1668" s="34" t="n"/>
      <c r="F1668" s="35" t="n"/>
      <c r="G1668" s="35" t="n"/>
      <c r="H1668" s="32" t="n"/>
      <c r="I1668" s="32" t="n"/>
      <c r="J1668" s="32" t="n"/>
      <c r="K1668" s="36">
        <f>IF(E1668&lt;&gt;"",E1668,IF(AND(F1668&lt;&gt;"",G1668&lt;&gt;""),MOD(G1668-F1668,1)*24,""))</f>
        <v/>
      </c>
      <c r="L1668" s="37">
        <f>IF(A1668="","",CHOOSE(WEEKDAY(A1668,2),"Montag","Dienstag","Mittwoch","Donnerstag","Freitag","Samstag","Sonntag"))</f>
        <v/>
      </c>
      <c r="M1668" s="37">
        <f>IF(A1668="","",_xlfn.ISOWEEKNUM(A1668))</f>
        <v/>
      </c>
      <c r="N1668" s="38">
        <f>IF(A1668="","",DATE(YEAR(A1668),MONTH(A1668),1))</f>
        <v/>
      </c>
    </row>
    <row r="1669">
      <c r="A1669" s="31" t="n"/>
      <c r="B1669" s="32" t="n"/>
      <c r="C1669" s="32" t="n"/>
      <c r="D1669" s="33" t="n"/>
      <c r="E1669" s="34" t="n"/>
      <c r="F1669" s="35" t="n"/>
      <c r="G1669" s="35" t="n"/>
      <c r="H1669" s="32" t="n"/>
      <c r="I1669" s="32" t="n"/>
      <c r="J1669" s="32" t="n"/>
      <c r="K1669" s="36">
        <f>IF(E1669&lt;&gt;"",E1669,IF(AND(F1669&lt;&gt;"",G1669&lt;&gt;""),MOD(G1669-F1669,1)*24,""))</f>
        <v/>
      </c>
      <c r="L1669" s="37">
        <f>IF(A1669="","",CHOOSE(WEEKDAY(A1669,2),"Montag","Dienstag","Mittwoch","Donnerstag","Freitag","Samstag","Sonntag"))</f>
        <v/>
      </c>
      <c r="M1669" s="37">
        <f>IF(A1669="","",_xlfn.ISOWEEKNUM(A1669))</f>
        <v/>
      </c>
      <c r="N1669" s="38">
        <f>IF(A1669="","",DATE(YEAR(A1669),MONTH(A1669),1))</f>
        <v/>
      </c>
    </row>
    <row r="1670">
      <c r="A1670" s="31" t="n"/>
      <c r="B1670" s="32" t="n"/>
      <c r="C1670" s="32" t="n"/>
      <c r="D1670" s="33" t="n"/>
      <c r="E1670" s="34" t="n"/>
      <c r="F1670" s="35" t="n"/>
      <c r="G1670" s="35" t="n"/>
      <c r="H1670" s="32" t="n"/>
      <c r="I1670" s="32" t="n"/>
      <c r="J1670" s="32" t="n"/>
      <c r="K1670" s="36">
        <f>IF(E1670&lt;&gt;"",E1670,IF(AND(F1670&lt;&gt;"",G1670&lt;&gt;""),MOD(G1670-F1670,1)*24,""))</f>
        <v/>
      </c>
      <c r="L1670" s="37">
        <f>IF(A1670="","",CHOOSE(WEEKDAY(A1670,2),"Montag","Dienstag","Mittwoch","Donnerstag","Freitag","Samstag","Sonntag"))</f>
        <v/>
      </c>
      <c r="M1670" s="37">
        <f>IF(A1670="","",_xlfn.ISOWEEKNUM(A1670))</f>
        <v/>
      </c>
      <c r="N1670" s="38">
        <f>IF(A1670="","",DATE(YEAR(A1670),MONTH(A1670),1))</f>
        <v/>
      </c>
    </row>
    <row r="1671">
      <c r="A1671" s="31" t="n"/>
      <c r="B1671" s="32" t="n"/>
      <c r="C1671" s="32" t="n"/>
      <c r="D1671" s="33" t="n"/>
      <c r="E1671" s="34" t="n"/>
      <c r="F1671" s="35" t="n"/>
      <c r="G1671" s="35" t="n"/>
      <c r="H1671" s="32" t="n"/>
      <c r="I1671" s="32" t="n"/>
      <c r="J1671" s="32" t="n"/>
      <c r="K1671" s="36">
        <f>IF(E1671&lt;&gt;"",E1671,IF(AND(F1671&lt;&gt;"",G1671&lt;&gt;""),MOD(G1671-F1671,1)*24,""))</f>
        <v/>
      </c>
      <c r="L1671" s="37">
        <f>IF(A1671="","",CHOOSE(WEEKDAY(A1671,2),"Montag","Dienstag","Mittwoch","Donnerstag","Freitag","Samstag","Sonntag"))</f>
        <v/>
      </c>
      <c r="M1671" s="37">
        <f>IF(A1671="","",_xlfn.ISOWEEKNUM(A1671))</f>
        <v/>
      </c>
      <c r="N1671" s="38">
        <f>IF(A1671="","",DATE(YEAR(A1671),MONTH(A1671),1))</f>
        <v/>
      </c>
    </row>
    <row r="1672">
      <c r="A1672" s="31" t="n"/>
      <c r="B1672" s="32" t="n"/>
      <c r="C1672" s="32" t="n"/>
      <c r="D1672" s="33" t="n"/>
      <c r="E1672" s="34" t="n"/>
      <c r="F1672" s="35" t="n"/>
      <c r="G1672" s="35" t="n"/>
      <c r="H1672" s="32" t="n"/>
      <c r="I1672" s="32" t="n"/>
      <c r="J1672" s="32" t="n"/>
      <c r="K1672" s="36">
        <f>IF(E1672&lt;&gt;"",E1672,IF(AND(F1672&lt;&gt;"",G1672&lt;&gt;""),MOD(G1672-F1672,1)*24,""))</f>
        <v/>
      </c>
      <c r="L1672" s="37">
        <f>IF(A1672="","",CHOOSE(WEEKDAY(A1672,2),"Montag","Dienstag","Mittwoch","Donnerstag","Freitag","Samstag","Sonntag"))</f>
        <v/>
      </c>
      <c r="M1672" s="37">
        <f>IF(A1672="","",_xlfn.ISOWEEKNUM(A1672))</f>
        <v/>
      </c>
      <c r="N1672" s="38">
        <f>IF(A1672="","",DATE(YEAR(A1672),MONTH(A1672),1))</f>
        <v/>
      </c>
    </row>
    <row r="1673">
      <c r="A1673" s="31" t="n"/>
      <c r="B1673" s="32" t="n"/>
      <c r="C1673" s="32" t="n"/>
      <c r="D1673" s="33" t="n"/>
      <c r="E1673" s="34" t="n"/>
      <c r="F1673" s="35" t="n"/>
      <c r="G1673" s="35" t="n"/>
      <c r="H1673" s="32" t="n"/>
      <c r="I1673" s="32" t="n"/>
      <c r="J1673" s="32" t="n"/>
      <c r="K1673" s="36">
        <f>IF(E1673&lt;&gt;"",E1673,IF(AND(F1673&lt;&gt;"",G1673&lt;&gt;""),MOD(G1673-F1673,1)*24,""))</f>
        <v/>
      </c>
      <c r="L1673" s="37">
        <f>IF(A1673="","",CHOOSE(WEEKDAY(A1673,2),"Montag","Dienstag","Mittwoch","Donnerstag","Freitag","Samstag","Sonntag"))</f>
        <v/>
      </c>
      <c r="M1673" s="37">
        <f>IF(A1673="","",_xlfn.ISOWEEKNUM(A1673))</f>
        <v/>
      </c>
      <c r="N1673" s="38">
        <f>IF(A1673="","",DATE(YEAR(A1673),MONTH(A1673),1))</f>
        <v/>
      </c>
    </row>
    <row r="1674">
      <c r="A1674" s="31" t="n"/>
      <c r="B1674" s="32" t="n"/>
      <c r="C1674" s="32" t="n"/>
      <c r="D1674" s="33" t="n"/>
      <c r="E1674" s="34" t="n"/>
      <c r="F1674" s="35" t="n"/>
      <c r="G1674" s="35" t="n"/>
      <c r="H1674" s="32" t="n"/>
      <c r="I1674" s="32" t="n"/>
      <c r="J1674" s="32" t="n"/>
      <c r="K1674" s="36">
        <f>IF(E1674&lt;&gt;"",E1674,IF(AND(F1674&lt;&gt;"",G1674&lt;&gt;""),MOD(G1674-F1674,1)*24,""))</f>
        <v/>
      </c>
      <c r="L1674" s="37">
        <f>IF(A1674="","",CHOOSE(WEEKDAY(A1674,2),"Montag","Dienstag","Mittwoch","Donnerstag","Freitag","Samstag","Sonntag"))</f>
        <v/>
      </c>
      <c r="M1674" s="37">
        <f>IF(A1674="","",_xlfn.ISOWEEKNUM(A1674))</f>
        <v/>
      </c>
      <c r="N1674" s="38">
        <f>IF(A1674="","",DATE(YEAR(A1674),MONTH(A1674),1))</f>
        <v/>
      </c>
    </row>
    <row r="1675">
      <c r="A1675" s="31" t="n"/>
      <c r="B1675" s="32" t="n"/>
      <c r="C1675" s="32" t="n"/>
      <c r="D1675" s="33" t="n"/>
      <c r="E1675" s="34" t="n"/>
      <c r="F1675" s="35" t="n"/>
      <c r="G1675" s="35" t="n"/>
      <c r="H1675" s="32" t="n"/>
      <c r="I1675" s="32" t="n"/>
      <c r="J1675" s="32" t="n"/>
      <c r="K1675" s="36">
        <f>IF(E1675&lt;&gt;"",E1675,IF(AND(F1675&lt;&gt;"",G1675&lt;&gt;""),MOD(G1675-F1675,1)*24,""))</f>
        <v/>
      </c>
      <c r="L1675" s="37">
        <f>IF(A1675="","",CHOOSE(WEEKDAY(A1675,2),"Montag","Dienstag","Mittwoch","Donnerstag","Freitag","Samstag","Sonntag"))</f>
        <v/>
      </c>
      <c r="M1675" s="37">
        <f>IF(A1675="","",_xlfn.ISOWEEKNUM(A1675))</f>
        <v/>
      </c>
      <c r="N1675" s="38">
        <f>IF(A1675="","",DATE(YEAR(A1675),MONTH(A1675),1))</f>
        <v/>
      </c>
    </row>
    <row r="1676">
      <c r="A1676" s="31" t="n"/>
      <c r="B1676" s="32" t="n"/>
      <c r="C1676" s="32" t="n"/>
      <c r="D1676" s="33" t="n"/>
      <c r="E1676" s="34" t="n"/>
      <c r="F1676" s="35" t="n"/>
      <c r="G1676" s="35" t="n"/>
      <c r="H1676" s="32" t="n"/>
      <c r="I1676" s="32" t="n"/>
      <c r="J1676" s="32" t="n"/>
      <c r="K1676" s="36">
        <f>IF(E1676&lt;&gt;"",E1676,IF(AND(F1676&lt;&gt;"",G1676&lt;&gt;""),MOD(G1676-F1676,1)*24,""))</f>
        <v/>
      </c>
      <c r="L1676" s="37">
        <f>IF(A1676="","",CHOOSE(WEEKDAY(A1676,2),"Montag","Dienstag","Mittwoch","Donnerstag","Freitag","Samstag","Sonntag"))</f>
        <v/>
      </c>
      <c r="M1676" s="37">
        <f>IF(A1676="","",_xlfn.ISOWEEKNUM(A1676))</f>
        <v/>
      </c>
      <c r="N1676" s="38">
        <f>IF(A1676="","",DATE(YEAR(A1676),MONTH(A1676),1))</f>
        <v/>
      </c>
    </row>
    <row r="1677">
      <c r="A1677" s="31" t="n"/>
      <c r="B1677" s="32" t="n"/>
      <c r="C1677" s="32" t="n"/>
      <c r="D1677" s="33" t="n"/>
      <c r="E1677" s="34" t="n"/>
      <c r="F1677" s="35" t="n"/>
      <c r="G1677" s="35" t="n"/>
      <c r="H1677" s="32" t="n"/>
      <c r="I1677" s="32" t="n"/>
      <c r="J1677" s="32" t="n"/>
      <c r="K1677" s="36">
        <f>IF(E1677&lt;&gt;"",E1677,IF(AND(F1677&lt;&gt;"",G1677&lt;&gt;""),MOD(G1677-F1677,1)*24,""))</f>
        <v/>
      </c>
      <c r="L1677" s="37">
        <f>IF(A1677="","",CHOOSE(WEEKDAY(A1677,2),"Montag","Dienstag","Mittwoch","Donnerstag","Freitag","Samstag","Sonntag"))</f>
        <v/>
      </c>
      <c r="M1677" s="37">
        <f>IF(A1677="","",_xlfn.ISOWEEKNUM(A1677))</f>
        <v/>
      </c>
      <c r="N1677" s="38">
        <f>IF(A1677="","",DATE(YEAR(A1677),MONTH(A1677),1))</f>
        <v/>
      </c>
    </row>
    <row r="1678">
      <c r="A1678" s="31" t="n"/>
      <c r="B1678" s="32" t="n"/>
      <c r="C1678" s="32" t="n"/>
      <c r="D1678" s="33" t="n"/>
      <c r="E1678" s="34" t="n"/>
      <c r="F1678" s="35" t="n"/>
      <c r="G1678" s="35" t="n"/>
      <c r="H1678" s="32" t="n"/>
      <c r="I1678" s="32" t="n"/>
      <c r="J1678" s="32" t="n"/>
      <c r="K1678" s="36">
        <f>IF(E1678&lt;&gt;"",E1678,IF(AND(F1678&lt;&gt;"",G1678&lt;&gt;""),MOD(G1678-F1678,1)*24,""))</f>
        <v/>
      </c>
      <c r="L1678" s="37">
        <f>IF(A1678="","",CHOOSE(WEEKDAY(A1678,2),"Montag","Dienstag","Mittwoch","Donnerstag","Freitag","Samstag","Sonntag"))</f>
        <v/>
      </c>
      <c r="M1678" s="37">
        <f>IF(A1678="","",_xlfn.ISOWEEKNUM(A1678))</f>
        <v/>
      </c>
      <c r="N1678" s="38">
        <f>IF(A1678="","",DATE(YEAR(A1678),MONTH(A1678),1))</f>
        <v/>
      </c>
    </row>
    <row r="1679">
      <c r="A1679" s="31" t="n"/>
      <c r="B1679" s="32" t="n"/>
      <c r="C1679" s="32" t="n"/>
      <c r="D1679" s="33" t="n"/>
      <c r="E1679" s="34" t="n"/>
      <c r="F1679" s="35" t="n"/>
      <c r="G1679" s="35" t="n"/>
      <c r="H1679" s="32" t="n"/>
      <c r="I1679" s="32" t="n"/>
      <c r="J1679" s="32" t="n"/>
      <c r="K1679" s="36">
        <f>IF(E1679&lt;&gt;"",E1679,IF(AND(F1679&lt;&gt;"",G1679&lt;&gt;""),MOD(G1679-F1679,1)*24,""))</f>
        <v/>
      </c>
      <c r="L1679" s="37">
        <f>IF(A1679="","",CHOOSE(WEEKDAY(A1679,2),"Montag","Dienstag","Mittwoch","Donnerstag","Freitag","Samstag","Sonntag"))</f>
        <v/>
      </c>
      <c r="M1679" s="37">
        <f>IF(A1679="","",_xlfn.ISOWEEKNUM(A1679))</f>
        <v/>
      </c>
      <c r="N1679" s="38">
        <f>IF(A1679="","",DATE(YEAR(A1679),MONTH(A1679),1))</f>
        <v/>
      </c>
    </row>
    <row r="1680">
      <c r="A1680" s="31" t="n"/>
      <c r="B1680" s="32" t="n"/>
      <c r="C1680" s="32" t="n"/>
      <c r="D1680" s="33" t="n"/>
      <c r="E1680" s="34" t="n"/>
      <c r="F1680" s="35" t="n"/>
      <c r="G1680" s="35" t="n"/>
      <c r="H1680" s="32" t="n"/>
      <c r="I1680" s="32" t="n"/>
      <c r="J1680" s="32" t="n"/>
      <c r="K1680" s="36">
        <f>IF(E1680&lt;&gt;"",E1680,IF(AND(F1680&lt;&gt;"",G1680&lt;&gt;""),MOD(G1680-F1680,1)*24,""))</f>
        <v/>
      </c>
      <c r="L1680" s="37">
        <f>IF(A1680="","",CHOOSE(WEEKDAY(A1680,2),"Montag","Dienstag","Mittwoch","Donnerstag","Freitag","Samstag","Sonntag"))</f>
        <v/>
      </c>
      <c r="M1680" s="37">
        <f>IF(A1680="","",_xlfn.ISOWEEKNUM(A1680))</f>
        <v/>
      </c>
      <c r="N1680" s="38">
        <f>IF(A1680="","",DATE(YEAR(A1680),MONTH(A1680),1))</f>
        <v/>
      </c>
    </row>
    <row r="1681">
      <c r="A1681" s="31" t="n"/>
      <c r="B1681" s="32" t="n"/>
      <c r="C1681" s="32" t="n"/>
      <c r="D1681" s="33" t="n"/>
      <c r="E1681" s="34" t="n"/>
      <c r="F1681" s="35" t="n"/>
      <c r="G1681" s="35" t="n"/>
      <c r="H1681" s="32" t="n"/>
      <c r="I1681" s="32" t="n"/>
      <c r="J1681" s="32" t="n"/>
      <c r="K1681" s="36">
        <f>IF(E1681&lt;&gt;"",E1681,IF(AND(F1681&lt;&gt;"",G1681&lt;&gt;""),MOD(G1681-F1681,1)*24,""))</f>
        <v/>
      </c>
      <c r="L1681" s="37">
        <f>IF(A1681="","",CHOOSE(WEEKDAY(A1681,2),"Montag","Dienstag","Mittwoch","Donnerstag","Freitag","Samstag","Sonntag"))</f>
        <v/>
      </c>
      <c r="M1681" s="37">
        <f>IF(A1681="","",_xlfn.ISOWEEKNUM(A1681))</f>
        <v/>
      </c>
      <c r="N1681" s="38">
        <f>IF(A1681="","",DATE(YEAR(A1681),MONTH(A1681),1))</f>
        <v/>
      </c>
    </row>
    <row r="1682">
      <c r="A1682" s="31" t="n"/>
      <c r="B1682" s="32" t="n"/>
      <c r="C1682" s="32" t="n"/>
      <c r="D1682" s="33" t="n"/>
      <c r="E1682" s="34" t="n"/>
      <c r="F1682" s="35" t="n"/>
      <c r="G1682" s="35" t="n"/>
      <c r="H1682" s="32" t="n"/>
      <c r="I1682" s="32" t="n"/>
      <c r="J1682" s="32" t="n"/>
      <c r="K1682" s="36">
        <f>IF(E1682&lt;&gt;"",E1682,IF(AND(F1682&lt;&gt;"",G1682&lt;&gt;""),MOD(G1682-F1682,1)*24,""))</f>
        <v/>
      </c>
      <c r="L1682" s="37">
        <f>IF(A1682="","",CHOOSE(WEEKDAY(A1682,2),"Montag","Dienstag","Mittwoch","Donnerstag","Freitag","Samstag","Sonntag"))</f>
        <v/>
      </c>
      <c r="M1682" s="37">
        <f>IF(A1682="","",_xlfn.ISOWEEKNUM(A1682))</f>
        <v/>
      </c>
      <c r="N1682" s="38">
        <f>IF(A1682="","",DATE(YEAR(A1682),MONTH(A1682),1))</f>
        <v/>
      </c>
    </row>
    <row r="1683">
      <c r="A1683" s="31" t="n"/>
      <c r="B1683" s="32" t="n"/>
      <c r="C1683" s="32" t="n"/>
      <c r="D1683" s="33" t="n"/>
      <c r="E1683" s="34" t="n"/>
      <c r="F1683" s="35" t="n"/>
      <c r="G1683" s="35" t="n"/>
      <c r="H1683" s="32" t="n"/>
      <c r="I1683" s="32" t="n"/>
      <c r="J1683" s="32" t="n"/>
      <c r="K1683" s="36">
        <f>IF(E1683&lt;&gt;"",E1683,IF(AND(F1683&lt;&gt;"",G1683&lt;&gt;""),MOD(G1683-F1683,1)*24,""))</f>
        <v/>
      </c>
      <c r="L1683" s="37">
        <f>IF(A1683="","",CHOOSE(WEEKDAY(A1683,2),"Montag","Dienstag","Mittwoch","Donnerstag","Freitag","Samstag","Sonntag"))</f>
        <v/>
      </c>
      <c r="M1683" s="37">
        <f>IF(A1683="","",_xlfn.ISOWEEKNUM(A1683))</f>
        <v/>
      </c>
      <c r="N1683" s="38">
        <f>IF(A1683="","",DATE(YEAR(A1683),MONTH(A1683),1))</f>
        <v/>
      </c>
    </row>
    <row r="1684">
      <c r="A1684" s="31" t="n"/>
      <c r="B1684" s="32" t="n"/>
      <c r="C1684" s="32" t="n"/>
      <c r="D1684" s="33" t="n"/>
      <c r="E1684" s="34" t="n"/>
      <c r="F1684" s="35" t="n"/>
      <c r="G1684" s="35" t="n"/>
      <c r="H1684" s="32" t="n"/>
      <c r="I1684" s="32" t="n"/>
      <c r="J1684" s="32" t="n"/>
      <c r="K1684" s="36">
        <f>IF(E1684&lt;&gt;"",E1684,IF(AND(F1684&lt;&gt;"",G1684&lt;&gt;""),MOD(G1684-F1684,1)*24,""))</f>
        <v/>
      </c>
      <c r="L1684" s="37">
        <f>IF(A1684="","",CHOOSE(WEEKDAY(A1684,2),"Montag","Dienstag","Mittwoch","Donnerstag","Freitag","Samstag","Sonntag"))</f>
        <v/>
      </c>
      <c r="M1684" s="37">
        <f>IF(A1684="","",_xlfn.ISOWEEKNUM(A1684))</f>
        <v/>
      </c>
      <c r="N1684" s="38">
        <f>IF(A1684="","",DATE(YEAR(A1684),MONTH(A1684),1))</f>
        <v/>
      </c>
    </row>
    <row r="1685">
      <c r="A1685" s="31" t="n"/>
      <c r="B1685" s="32" t="n"/>
      <c r="C1685" s="32" t="n"/>
      <c r="D1685" s="33" t="n"/>
      <c r="E1685" s="34" t="n"/>
      <c r="F1685" s="35" t="n"/>
      <c r="G1685" s="35" t="n"/>
      <c r="H1685" s="32" t="n"/>
      <c r="I1685" s="32" t="n"/>
      <c r="J1685" s="32" t="n"/>
      <c r="K1685" s="36">
        <f>IF(E1685&lt;&gt;"",E1685,IF(AND(F1685&lt;&gt;"",G1685&lt;&gt;""),MOD(G1685-F1685,1)*24,""))</f>
        <v/>
      </c>
      <c r="L1685" s="37">
        <f>IF(A1685="","",CHOOSE(WEEKDAY(A1685,2),"Montag","Dienstag","Mittwoch","Donnerstag","Freitag","Samstag","Sonntag"))</f>
        <v/>
      </c>
      <c r="M1685" s="37">
        <f>IF(A1685="","",_xlfn.ISOWEEKNUM(A1685))</f>
        <v/>
      </c>
      <c r="N1685" s="38">
        <f>IF(A1685="","",DATE(YEAR(A1685),MONTH(A1685),1))</f>
        <v/>
      </c>
    </row>
    <row r="1686">
      <c r="A1686" s="31" t="n"/>
      <c r="B1686" s="32" t="n"/>
      <c r="C1686" s="32" t="n"/>
      <c r="D1686" s="33" t="n"/>
      <c r="E1686" s="34" t="n"/>
      <c r="F1686" s="35" t="n"/>
      <c r="G1686" s="35" t="n"/>
      <c r="H1686" s="32" t="n"/>
      <c r="I1686" s="32" t="n"/>
      <c r="J1686" s="32" t="n"/>
      <c r="K1686" s="36">
        <f>IF(E1686&lt;&gt;"",E1686,IF(AND(F1686&lt;&gt;"",G1686&lt;&gt;""),MOD(G1686-F1686,1)*24,""))</f>
        <v/>
      </c>
      <c r="L1686" s="37">
        <f>IF(A1686="","",CHOOSE(WEEKDAY(A1686,2),"Montag","Dienstag","Mittwoch","Donnerstag","Freitag","Samstag","Sonntag"))</f>
        <v/>
      </c>
      <c r="M1686" s="37">
        <f>IF(A1686="","",_xlfn.ISOWEEKNUM(A1686))</f>
        <v/>
      </c>
      <c r="N1686" s="38">
        <f>IF(A1686="","",DATE(YEAR(A1686),MONTH(A1686),1))</f>
        <v/>
      </c>
    </row>
    <row r="1687">
      <c r="A1687" s="31" t="n"/>
      <c r="B1687" s="32" t="n"/>
      <c r="C1687" s="32" t="n"/>
      <c r="D1687" s="33" t="n"/>
      <c r="E1687" s="34" t="n"/>
      <c r="F1687" s="35" t="n"/>
      <c r="G1687" s="35" t="n"/>
      <c r="H1687" s="32" t="n"/>
      <c r="I1687" s="32" t="n"/>
      <c r="J1687" s="32" t="n"/>
      <c r="K1687" s="36">
        <f>IF(E1687&lt;&gt;"",E1687,IF(AND(F1687&lt;&gt;"",G1687&lt;&gt;""),MOD(G1687-F1687,1)*24,""))</f>
        <v/>
      </c>
      <c r="L1687" s="37">
        <f>IF(A1687="","",CHOOSE(WEEKDAY(A1687,2),"Montag","Dienstag","Mittwoch","Donnerstag","Freitag","Samstag","Sonntag"))</f>
        <v/>
      </c>
      <c r="M1687" s="37">
        <f>IF(A1687="","",_xlfn.ISOWEEKNUM(A1687))</f>
        <v/>
      </c>
      <c r="N1687" s="38">
        <f>IF(A1687="","",DATE(YEAR(A1687),MONTH(A1687),1))</f>
        <v/>
      </c>
    </row>
    <row r="1688">
      <c r="A1688" s="31" t="n"/>
      <c r="B1688" s="32" t="n"/>
      <c r="C1688" s="32" t="n"/>
      <c r="D1688" s="33" t="n"/>
      <c r="E1688" s="34" t="n"/>
      <c r="F1688" s="35" t="n"/>
      <c r="G1688" s="35" t="n"/>
      <c r="H1688" s="32" t="n"/>
      <c r="I1688" s="32" t="n"/>
      <c r="J1688" s="32" t="n"/>
      <c r="K1688" s="36">
        <f>IF(E1688&lt;&gt;"",E1688,IF(AND(F1688&lt;&gt;"",G1688&lt;&gt;""),MOD(G1688-F1688,1)*24,""))</f>
        <v/>
      </c>
      <c r="L1688" s="37">
        <f>IF(A1688="","",CHOOSE(WEEKDAY(A1688,2),"Montag","Dienstag","Mittwoch","Donnerstag","Freitag","Samstag","Sonntag"))</f>
        <v/>
      </c>
      <c r="M1688" s="37">
        <f>IF(A1688="","",_xlfn.ISOWEEKNUM(A1688))</f>
        <v/>
      </c>
      <c r="N1688" s="38">
        <f>IF(A1688="","",DATE(YEAR(A1688),MONTH(A1688),1))</f>
        <v/>
      </c>
    </row>
    <row r="1689">
      <c r="A1689" s="31" t="n"/>
      <c r="B1689" s="32" t="n"/>
      <c r="C1689" s="32" t="n"/>
      <c r="D1689" s="33" t="n"/>
      <c r="E1689" s="34" t="n"/>
      <c r="F1689" s="35" t="n"/>
      <c r="G1689" s="35" t="n"/>
      <c r="H1689" s="32" t="n"/>
      <c r="I1689" s="32" t="n"/>
      <c r="J1689" s="32" t="n"/>
      <c r="K1689" s="36">
        <f>IF(E1689&lt;&gt;"",E1689,IF(AND(F1689&lt;&gt;"",G1689&lt;&gt;""),MOD(G1689-F1689,1)*24,""))</f>
        <v/>
      </c>
      <c r="L1689" s="37">
        <f>IF(A1689="","",CHOOSE(WEEKDAY(A1689,2),"Montag","Dienstag","Mittwoch","Donnerstag","Freitag","Samstag","Sonntag"))</f>
        <v/>
      </c>
      <c r="M1689" s="37">
        <f>IF(A1689="","",_xlfn.ISOWEEKNUM(A1689))</f>
        <v/>
      </c>
      <c r="N1689" s="38">
        <f>IF(A1689="","",DATE(YEAR(A1689),MONTH(A1689),1))</f>
        <v/>
      </c>
    </row>
    <row r="1690">
      <c r="A1690" s="31" t="n"/>
      <c r="B1690" s="32" t="n"/>
      <c r="C1690" s="32" t="n"/>
      <c r="D1690" s="33" t="n"/>
      <c r="E1690" s="34" t="n"/>
      <c r="F1690" s="35" t="n"/>
      <c r="G1690" s="35" t="n"/>
      <c r="H1690" s="32" t="n"/>
      <c r="I1690" s="32" t="n"/>
      <c r="J1690" s="32" t="n"/>
      <c r="K1690" s="36">
        <f>IF(E1690&lt;&gt;"",E1690,IF(AND(F1690&lt;&gt;"",G1690&lt;&gt;""),MOD(G1690-F1690,1)*24,""))</f>
        <v/>
      </c>
      <c r="L1690" s="37">
        <f>IF(A1690="","",CHOOSE(WEEKDAY(A1690,2),"Montag","Dienstag","Mittwoch","Donnerstag","Freitag","Samstag","Sonntag"))</f>
        <v/>
      </c>
      <c r="M1690" s="37">
        <f>IF(A1690="","",_xlfn.ISOWEEKNUM(A1690))</f>
        <v/>
      </c>
      <c r="N1690" s="38">
        <f>IF(A1690="","",DATE(YEAR(A1690),MONTH(A1690),1))</f>
        <v/>
      </c>
    </row>
    <row r="1691">
      <c r="A1691" s="31" t="n"/>
      <c r="B1691" s="32" t="n"/>
      <c r="C1691" s="32" t="n"/>
      <c r="D1691" s="33" t="n"/>
      <c r="E1691" s="34" t="n"/>
      <c r="F1691" s="35" t="n"/>
      <c r="G1691" s="35" t="n"/>
      <c r="H1691" s="32" t="n"/>
      <c r="I1691" s="32" t="n"/>
      <c r="J1691" s="32" t="n"/>
      <c r="K1691" s="36">
        <f>IF(E1691&lt;&gt;"",E1691,IF(AND(F1691&lt;&gt;"",G1691&lt;&gt;""),MOD(G1691-F1691,1)*24,""))</f>
        <v/>
      </c>
      <c r="L1691" s="37">
        <f>IF(A1691="","",CHOOSE(WEEKDAY(A1691,2),"Montag","Dienstag","Mittwoch","Donnerstag","Freitag","Samstag","Sonntag"))</f>
        <v/>
      </c>
      <c r="M1691" s="37">
        <f>IF(A1691="","",_xlfn.ISOWEEKNUM(A1691))</f>
        <v/>
      </c>
      <c r="N1691" s="38">
        <f>IF(A1691="","",DATE(YEAR(A1691),MONTH(A1691),1))</f>
        <v/>
      </c>
    </row>
    <row r="1692">
      <c r="A1692" s="31" t="n"/>
      <c r="B1692" s="32" t="n"/>
      <c r="C1692" s="32" t="n"/>
      <c r="D1692" s="33" t="n"/>
      <c r="E1692" s="34" t="n"/>
      <c r="F1692" s="35" t="n"/>
      <c r="G1692" s="35" t="n"/>
      <c r="H1692" s="32" t="n"/>
      <c r="I1692" s="32" t="n"/>
      <c r="J1692" s="32" t="n"/>
      <c r="K1692" s="36">
        <f>IF(E1692&lt;&gt;"",E1692,IF(AND(F1692&lt;&gt;"",G1692&lt;&gt;""),MOD(G1692-F1692,1)*24,""))</f>
        <v/>
      </c>
      <c r="L1692" s="37">
        <f>IF(A1692="","",CHOOSE(WEEKDAY(A1692,2),"Montag","Dienstag","Mittwoch","Donnerstag","Freitag","Samstag","Sonntag"))</f>
        <v/>
      </c>
      <c r="M1692" s="37">
        <f>IF(A1692="","",_xlfn.ISOWEEKNUM(A1692))</f>
        <v/>
      </c>
      <c r="N1692" s="38">
        <f>IF(A1692="","",DATE(YEAR(A1692),MONTH(A1692),1))</f>
        <v/>
      </c>
    </row>
    <row r="1693">
      <c r="A1693" s="31" t="n"/>
      <c r="B1693" s="32" t="n"/>
      <c r="C1693" s="32" t="n"/>
      <c r="D1693" s="33" t="n"/>
      <c r="E1693" s="34" t="n"/>
      <c r="F1693" s="35" t="n"/>
      <c r="G1693" s="35" t="n"/>
      <c r="H1693" s="32" t="n"/>
      <c r="I1693" s="32" t="n"/>
      <c r="J1693" s="32" t="n"/>
      <c r="K1693" s="36">
        <f>IF(E1693&lt;&gt;"",E1693,IF(AND(F1693&lt;&gt;"",G1693&lt;&gt;""),MOD(G1693-F1693,1)*24,""))</f>
        <v/>
      </c>
      <c r="L1693" s="37">
        <f>IF(A1693="","",CHOOSE(WEEKDAY(A1693,2),"Montag","Dienstag","Mittwoch","Donnerstag","Freitag","Samstag","Sonntag"))</f>
        <v/>
      </c>
      <c r="M1693" s="37">
        <f>IF(A1693="","",_xlfn.ISOWEEKNUM(A1693))</f>
        <v/>
      </c>
      <c r="N1693" s="38">
        <f>IF(A1693="","",DATE(YEAR(A1693),MONTH(A1693),1))</f>
        <v/>
      </c>
    </row>
    <row r="1694">
      <c r="A1694" s="31" t="n"/>
      <c r="B1694" s="32" t="n"/>
      <c r="C1694" s="32" t="n"/>
      <c r="D1694" s="33" t="n"/>
      <c r="E1694" s="34" t="n"/>
      <c r="F1694" s="35" t="n"/>
      <c r="G1694" s="35" t="n"/>
      <c r="H1694" s="32" t="n"/>
      <c r="I1694" s="32" t="n"/>
      <c r="J1694" s="32" t="n"/>
      <c r="K1694" s="36">
        <f>IF(E1694&lt;&gt;"",E1694,IF(AND(F1694&lt;&gt;"",G1694&lt;&gt;""),MOD(G1694-F1694,1)*24,""))</f>
        <v/>
      </c>
      <c r="L1694" s="37">
        <f>IF(A1694="","",CHOOSE(WEEKDAY(A1694,2),"Montag","Dienstag","Mittwoch","Donnerstag","Freitag","Samstag","Sonntag"))</f>
        <v/>
      </c>
      <c r="M1694" s="37">
        <f>IF(A1694="","",_xlfn.ISOWEEKNUM(A1694))</f>
        <v/>
      </c>
      <c r="N1694" s="38">
        <f>IF(A1694="","",DATE(YEAR(A1694),MONTH(A1694),1))</f>
        <v/>
      </c>
    </row>
    <row r="1695">
      <c r="A1695" s="31" t="n"/>
      <c r="B1695" s="32" t="n"/>
      <c r="C1695" s="32" t="n"/>
      <c r="D1695" s="33" t="n"/>
      <c r="E1695" s="34" t="n"/>
      <c r="F1695" s="35" t="n"/>
      <c r="G1695" s="35" t="n"/>
      <c r="H1695" s="32" t="n"/>
      <c r="I1695" s="32" t="n"/>
      <c r="J1695" s="32" t="n"/>
      <c r="K1695" s="36">
        <f>IF(E1695&lt;&gt;"",E1695,IF(AND(F1695&lt;&gt;"",G1695&lt;&gt;""),MOD(G1695-F1695,1)*24,""))</f>
        <v/>
      </c>
      <c r="L1695" s="37">
        <f>IF(A1695="","",CHOOSE(WEEKDAY(A1695,2),"Montag","Dienstag","Mittwoch","Donnerstag","Freitag","Samstag","Sonntag"))</f>
        <v/>
      </c>
      <c r="M1695" s="37">
        <f>IF(A1695="","",_xlfn.ISOWEEKNUM(A1695))</f>
        <v/>
      </c>
      <c r="N1695" s="38">
        <f>IF(A1695="","",DATE(YEAR(A1695),MONTH(A1695),1))</f>
        <v/>
      </c>
    </row>
    <row r="1696">
      <c r="A1696" s="31" t="n"/>
      <c r="B1696" s="32" t="n"/>
      <c r="C1696" s="32" t="n"/>
      <c r="D1696" s="33" t="n"/>
      <c r="E1696" s="34" t="n"/>
      <c r="F1696" s="35" t="n"/>
      <c r="G1696" s="35" t="n"/>
      <c r="H1696" s="32" t="n"/>
      <c r="I1696" s="32" t="n"/>
      <c r="J1696" s="32" t="n"/>
      <c r="K1696" s="36">
        <f>IF(E1696&lt;&gt;"",E1696,IF(AND(F1696&lt;&gt;"",G1696&lt;&gt;""),MOD(G1696-F1696,1)*24,""))</f>
        <v/>
      </c>
      <c r="L1696" s="37">
        <f>IF(A1696="","",CHOOSE(WEEKDAY(A1696,2),"Montag","Dienstag","Mittwoch","Donnerstag","Freitag","Samstag","Sonntag"))</f>
        <v/>
      </c>
      <c r="M1696" s="37">
        <f>IF(A1696="","",_xlfn.ISOWEEKNUM(A1696))</f>
        <v/>
      </c>
      <c r="N1696" s="38">
        <f>IF(A1696="","",DATE(YEAR(A1696),MONTH(A1696),1))</f>
        <v/>
      </c>
    </row>
    <row r="1697">
      <c r="A1697" s="31" t="n"/>
      <c r="B1697" s="32" t="n"/>
      <c r="C1697" s="32" t="n"/>
      <c r="D1697" s="33" t="n"/>
      <c r="E1697" s="34" t="n"/>
      <c r="F1697" s="35" t="n"/>
      <c r="G1697" s="35" t="n"/>
      <c r="H1697" s="32" t="n"/>
      <c r="I1697" s="32" t="n"/>
      <c r="J1697" s="32" t="n"/>
      <c r="K1697" s="36">
        <f>IF(E1697&lt;&gt;"",E1697,IF(AND(F1697&lt;&gt;"",G1697&lt;&gt;""),MOD(G1697-F1697,1)*24,""))</f>
        <v/>
      </c>
      <c r="L1697" s="37">
        <f>IF(A1697="","",CHOOSE(WEEKDAY(A1697,2),"Montag","Dienstag","Mittwoch","Donnerstag","Freitag","Samstag","Sonntag"))</f>
        <v/>
      </c>
      <c r="M1697" s="37">
        <f>IF(A1697="","",_xlfn.ISOWEEKNUM(A1697))</f>
        <v/>
      </c>
      <c r="N1697" s="38">
        <f>IF(A1697="","",DATE(YEAR(A1697),MONTH(A1697),1))</f>
        <v/>
      </c>
    </row>
    <row r="1698">
      <c r="A1698" s="31" t="n"/>
      <c r="B1698" s="32" t="n"/>
      <c r="C1698" s="32" t="n"/>
      <c r="D1698" s="33" t="n"/>
      <c r="E1698" s="34" t="n"/>
      <c r="F1698" s="35" t="n"/>
      <c r="G1698" s="35" t="n"/>
      <c r="H1698" s="32" t="n"/>
      <c r="I1698" s="32" t="n"/>
      <c r="J1698" s="32" t="n"/>
      <c r="K1698" s="36">
        <f>IF(E1698&lt;&gt;"",E1698,IF(AND(F1698&lt;&gt;"",G1698&lt;&gt;""),MOD(G1698-F1698,1)*24,""))</f>
        <v/>
      </c>
      <c r="L1698" s="37">
        <f>IF(A1698="","",CHOOSE(WEEKDAY(A1698,2),"Montag","Dienstag","Mittwoch","Donnerstag","Freitag","Samstag","Sonntag"))</f>
        <v/>
      </c>
      <c r="M1698" s="37">
        <f>IF(A1698="","",_xlfn.ISOWEEKNUM(A1698))</f>
        <v/>
      </c>
      <c r="N1698" s="38">
        <f>IF(A1698="","",DATE(YEAR(A1698),MONTH(A1698),1))</f>
        <v/>
      </c>
    </row>
    <row r="1699">
      <c r="A1699" s="31" t="n"/>
      <c r="B1699" s="32" t="n"/>
      <c r="C1699" s="32" t="n"/>
      <c r="D1699" s="33" t="n"/>
      <c r="E1699" s="34" t="n"/>
      <c r="F1699" s="35" t="n"/>
      <c r="G1699" s="35" t="n"/>
      <c r="H1699" s="32" t="n"/>
      <c r="I1699" s="32" t="n"/>
      <c r="J1699" s="32" t="n"/>
      <c r="K1699" s="36">
        <f>IF(E1699&lt;&gt;"",E1699,IF(AND(F1699&lt;&gt;"",G1699&lt;&gt;""),MOD(G1699-F1699,1)*24,""))</f>
        <v/>
      </c>
      <c r="L1699" s="37">
        <f>IF(A1699="","",CHOOSE(WEEKDAY(A1699,2),"Montag","Dienstag","Mittwoch","Donnerstag","Freitag","Samstag","Sonntag"))</f>
        <v/>
      </c>
      <c r="M1699" s="37">
        <f>IF(A1699="","",_xlfn.ISOWEEKNUM(A1699))</f>
        <v/>
      </c>
      <c r="N1699" s="38">
        <f>IF(A1699="","",DATE(YEAR(A1699),MONTH(A1699),1))</f>
        <v/>
      </c>
    </row>
    <row r="1700">
      <c r="A1700" s="31" t="n"/>
      <c r="B1700" s="32" t="n"/>
      <c r="C1700" s="32" t="n"/>
      <c r="D1700" s="33" t="n"/>
      <c r="E1700" s="34" t="n"/>
      <c r="F1700" s="35" t="n"/>
      <c r="G1700" s="35" t="n"/>
      <c r="H1700" s="32" t="n"/>
      <c r="I1700" s="32" t="n"/>
      <c r="J1700" s="32" t="n"/>
      <c r="K1700" s="36">
        <f>IF(E1700&lt;&gt;"",E1700,IF(AND(F1700&lt;&gt;"",G1700&lt;&gt;""),MOD(G1700-F1700,1)*24,""))</f>
        <v/>
      </c>
      <c r="L1700" s="37">
        <f>IF(A1700="","",CHOOSE(WEEKDAY(A1700,2),"Montag","Dienstag","Mittwoch","Donnerstag","Freitag","Samstag","Sonntag"))</f>
        <v/>
      </c>
      <c r="M1700" s="37">
        <f>IF(A1700="","",_xlfn.ISOWEEKNUM(A1700))</f>
        <v/>
      </c>
      <c r="N1700" s="38">
        <f>IF(A1700="","",DATE(YEAR(A1700),MONTH(A1700),1))</f>
        <v/>
      </c>
    </row>
    <row r="1701">
      <c r="A1701" s="31" t="n"/>
      <c r="B1701" s="32" t="n"/>
      <c r="C1701" s="32" t="n"/>
      <c r="D1701" s="33" t="n"/>
      <c r="E1701" s="34" t="n"/>
      <c r="F1701" s="35" t="n"/>
      <c r="G1701" s="35" t="n"/>
      <c r="H1701" s="32" t="n"/>
      <c r="I1701" s="32" t="n"/>
      <c r="J1701" s="32" t="n"/>
      <c r="K1701" s="36">
        <f>IF(E1701&lt;&gt;"",E1701,IF(AND(F1701&lt;&gt;"",G1701&lt;&gt;""),MOD(G1701-F1701,1)*24,""))</f>
        <v/>
      </c>
      <c r="L1701" s="37">
        <f>IF(A1701="","",CHOOSE(WEEKDAY(A1701,2),"Montag","Dienstag","Mittwoch","Donnerstag","Freitag","Samstag","Sonntag"))</f>
        <v/>
      </c>
      <c r="M1701" s="37">
        <f>IF(A1701="","",_xlfn.ISOWEEKNUM(A1701))</f>
        <v/>
      </c>
      <c r="N1701" s="38">
        <f>IF(A1701="","",DATE(YEAR(A1701),MONTH(A1701),1))</f>
        <v/>
      </c>
    </row>
    <row r="1702">
      <c r="A1702" s="31" t="n"/>
      <c r="B1702" s="32" t="n"/>
      <c r="C1702" s="32" t="n"/>
      <c r="D1702" s="33" t="n"/>
      <c r="E1702" s="34" t="n"/>
      <c r="F1702" s="35" t="n"/>
      <c r="G1702" s="35" t="n"/>
      <c r="H1702" s="32" t="n"/>
      <c r="I1702" s="32" t="n"/>
      <c r="J1702" s="32" t="n"/>
      <c r="K1702" s="36">
        <f>IF(E1702&lt;&gt;"",E1702,IF(AND(F1702&lt;&gt;"",G1702&lt;&gt;""),MOD(G1702-F1702,1)*24,""))</f>
        <v/>
      </c>
      <c r="L1702" s="37">
        <f>IF(A1702="","",CHOOSE(WEEKDAY(A1702,2),"Montag","Dienstag","Mittwoch","Donnerstag","Freitag","Samstag","Sonntag"))</f>
        <v/>
      </c>
      <c r="M1702" s="37">
        <f>IF(A1702="","",_xlfn.ISOWEEKNUM(A1702))</f>
        <v/>
      </c>
      <c r="N1702" s="38">
        <f>IF(A1702="","",DATE(YEAR(A1702),MONTH(A1702),1))</f>
        <v/>
      </c>
    </row>
    <row r="1703">
      <c r="A1703" s="31" t="n"/>
      <c r="B1703" s="32" t="n"/>
      <c r="C1703" s="32" t="n"/>
      <c r="D1703" s="33" t="n"/>
      <c r="E1703" s="34" t="n"/>
      <c r="F1703" s="35" t="n"/>
      <c r="G1703" s="35" t="n"/>
      <c r="H1703" s="32" t="n"/>
      <c r="I1703" s="32" t="n"/>
      <c r="J1703" s="32" t="n"/>
      <c r="K1703" s="36">
        <f>IF(E1703&lt;&gt;"",E1703,IF(AND(F1703&lt;&gt;"",G1703&lt;&gt;""),MOD(G1703-F1703,1)*24,""))</f>
        <v/>
      </c>
      <c r="L1703" s="37">
        <f>IF(A1703="","",CHOOSE(WEEKDAY(A1703,2),"Montag","Dienstag","Mittwoch","Donnerstag","Freitag","Samstag","Sonntag"))</f>
        <v/>
      </c>
      <c r="M1703" s="37">
        <f>IF(A1703="","",_xlfn.ISOWEEKNUM(A1703))</f>
        <v/>
      </c>
      <c r="N1703" s="38">
        <f>IF(A1703="","",DATE(YEAR(A1703),MONTH(A1703),1))</f>
        <v/>
      </c>
    </row>
    <row r="1704">
      <c r="A1704" s="31" t="n"/>
      <c r="B1704" s="32" t="n"/>
      <c r="C1704" s="32" t="n"/>
      <c r="D1704" s="33" t="n"/>
      <c r="E1704" s="34" t="n"/>
      <c r="F1704" s="35" t="n"/>
      <c r="G1704" s="35" t="n"/>
      <c r="H1704" s="32" t="n"/>
      <c r="I1704" s="32" t="n"/>
      <c r="J1704" s="32" t="n"/>
      <c r="K1704" s="36">
        <f>IF(E1704&lt;&gt;"",E1704,IF(AND(F1704&lt;&gt;"",G1704&lt;&gt;""),MOD(G1704-F1704,1)*24,""))</f>
        <v/>
      </c>
      <c r="L1704" s="37">
        <f>IF(A1704="","",CHOOSE(WEEKDAY(A1704,2),"Montag","Dienstag","Mittwoch","Donnerstag","Freitag","Samstag","Sonntag"))</f>
        <v/>
      </c>
      <c r="M1704" s="37">
        <f>IF(A1704="","",_xlfn.ISOWEEKNUM(A1704))</f>
        <v/>
      </c>
      <c r="N1704" s="38">
        <f>IF(A1704="","",DATE(YEAR(A1704),MONTH(A1704),1))</f>
        <v/>
      </c>
    </row>
    <row r="1705">
      <c r="A1705" s="31" t="n"/>
      <c r="B1705" s="32" t="n"/>
      <c r="C1705" s="32" t="n"/>
      <c r="D1705" s="33" t="n"/>
      <c r="E1705" s="34" t="n"/>
      <c r="F1705" s="35" t="n"/>
      <c r="G1705" s="35" t="n"/>
      <c r="H1705" s="32" t="n"/>
      <c r="I1705" s="32" t="n"/>
      <c r="J1705" s="32" t="n"/>
      <c r="K1705" s="36">
        <f>IF(E1705&lt;&gt;"",E1705,IF(AND(F1705&lt;&gt;"",G1705&lt;&gt;""),MOD(G1705-F1705,1)*24,""))</f>
        <v/>
      </c>
      <c r="L1705" s="37">
        <f>IF(A1705="","",CHOOSE(WEEKDAY(A1705,2),"Montag","Dienstag","Mittwoch","Donnerstag","Freitag","Samstag","Sonntag"))</f>
        <v/>
      </c>
      <c r="M1705" s="37">
        <f>IF(A1705="","",_xlfn.ISOWEEKNUM(A1705))</f>
        <v/>
      </c>
      <c r="N1705" s="38">
        <f>IF(A1705="","",DATE(YEAR(A1705),MONTH(A1705),1))</f>
        <v/>
      </c>
    </row>
    <row r="1706">
      <c r="A1706" s="31" t="n"/>
      <c r="B1706" s="32" t="n"/>
      <c r="C1706" s="32" t="n"/>
      <c r="D1706" s="33" t="n"/>
      <c r="E1706" s="34" t="n"/>
      <c r="F1706" s="35" t="n"/>
      <c r="G1706" s="35" t="n"/>
      <c r="H1706" s="32" t="n"/>
      <c r="I1706" s="32" t="n"/>
      <c r="J1706" s="32" t="n"/>
      <c r="K1706" s="36">
        <f>IF(E1706&lt;&gt;"",E1706,IF(AND(F1706&lt;&gt;"",G1706&lt;&gt;""),MOD(G1706-F1706,1)*24,""))</f>
        <v/>
      </c>
      <c r="L1706" s="37">
        <f>IF(A1706="","",CHOOSE(WEEKDAY(A1706,2),"Montag","Dienstag","Mittwoch","Donnerstag","Freitag","Samstag","Sonntag"))</f>
        <v/>
      </c>
      <c r="M1706" s="37">
        <f>IF(A1706="","",_xlfn.ISOWEEKNUM(A1706))</f>
        <v/>
      </c>
      <c r="N1706" s="38">
        <f>IF(A1706="","",DATE(YEAR(A1706),MONTH(A1706),1))</f>
        <v/>
      </c>
    </row>
    <row r="1707">
      <c r="A1707" s="31" t="n"/>
      <c r="B1707" s="32" t="n"/>
      <c r="C1707" s="32" t="n"/>
      <c r="D1707" s="33" t="n"/>
      <c r="E1707" s="34" t="n"/>
      <c r="F1707" s="35" t="n"/>
      <c r="G1707" s="35" t="n"/>
      <c r="H1707" s="32" t="n"/>
      <c r="I1707" s="32" t="n"/>
      <c r="J1707" s="32" t="n"/>
      <c r="K1707" s="36">
        <f>IF(E1707&lt;&gt;"",E1707,IF(AND(F1707&lt;&gt;"",G1707&lt;&gt;""),MOD(G1707-F1707,1)*24,""))</f>
        <v/>
      </c>
      <c r="L1707" s="37">
        <f>IF(A1707="","",CHOOSE(WEEKDAY(A1707,2),"Montag","Dienstag","Mittwoch","Donnerstag","Freitag","Samstag","Sonntag"))</f>
        <v/>
      </c>
      <c r="M1707" s="37">
        <f>IF(A1707="","",_xlfn.ISOWEEKNUM(A1707))</f>
        <v/>
      </c>
      <c r="N1707" s="38">
        <f>IF(A1707="","",DATE(YEAR(A1707),MONTH(A1707),1))</f>
        <v/>
      </c>
    </row>
    <row r="1708">
      <c r="A1708" s="31" t="n"/>
      <c r="B1708" s="32" t="n"/>
      <c r="C1708" s="32" t="n"/>
      <c r="D1708" s="33" t="n"/>
      <c r="E1708" s="34" t="n"/>
      <c r="F1708" s="35" t="n"/>
      <c r="G1708" s="35" t="n"/>
      <c r="H1708" s="32" t="n"/>
      <c r="I1708" s="32" t="n"/>
      <c r="J1708" s="32" t="n"/>
      <c r="K1708" s="36">
        <f>IF(E1708&lt;&gt;"",E1708,IF(AND(F1708&lt;&gt;"",G1708&lt;&gt;""),MOD(G1708-F1708,1)*24,""))</f>
        <v/>
      </c>
      <c r="L1708" s="37">
        <f>IF(A1708="","",CHOOSE(WEEKDAY(A1708,2),"Montag","Dienstag","Mittwoch","Donnerstag","Freitag","Samstag","Sonntag"))</f>
        <v/>
      </c>
      <c r="M1708" s="37">
        <f>IF(A1708="","",_xlfn.ISOWEEKNUM(A1708))</f>
        <v/>
      </c>
      <c r="N1708" s="38">
        <f>IF(A1708="","",DATE(YEAR(A1708),MONTH(A1708),1))</f>
        <v/>
      </c>
    </row>
    <row r="1709">
      <c r="A1709" s="31" t="n"/>
      <c r="B1709" s="32" t="n"/>
      <c r="C1709" s="32" t="n"/>
      <c r="D1709" s="33" t="n"/>
      <c r="E1709" s="34" t="n"/>
      <c r="F1709" s="35" t="n"/>
      <c r="G1709" s="35" t="n"/>
      <c r="H1709" s="32" t="n"/>
      <c r="I1709" s="32" t="n"/>
      <c r="J1709" s="32" t="n"/>
      <c r="K1709" s="36">
        <f>IF(E1709&lt;&gt;"",E1709,IF(AND(F1709&lt;&gt;"",G1709&lt;&gt;""),MOD(G1709-F1709,1)*24,""))</f>
        <v/>
      </c>
      <c r="L1709" s="37">
        <f>IF(A1709="","",CHOOSE(WEEKDAY(A1709,2),"Montag","Dienstag","Mittwoch","Donnerstag","Freitag","Samstag","Sonntag"))</f>
        <v/>
      </c>
      <c r="M1709" s="37">
        <f>IF(A1709="","",_xlfn.ISOWEEKNUM(A1709))</f>
        <v/>
      </c>
      <c r="N1709" s="38">
        <f>IF(A1709="","",DATE(YEAR(A1709),MONTH(A1709),1))</f>
        <v/>
      </c>
    </row>
    <row r="1710">
      <c r="A1710" s="31" t="n"/>
      <c r="B1710" s="32" t="n"/>
      <c r="C1710" s="32" t="n"/>
      <c r="D1710" s="33" t="n"/>
      <c r="E1710" s="34" t="n"/>
      <c r="F1710" s="35" t="n"/>
      <c r="G1710" s="35" t="n"/>
      <c r="H1710" s="32" t="n"/>
      <c r="I1710" s="32" t="n"/>
      <c r="J1710" s="32" t="n"/>
      <c r="K1710" s="36">
        <f>IF(E1710&lt;&gt;"",E1710,IF(AND(F1710&lt;&gt;"",G1710&lt;&gt;""),MOD(G1710-F1710,1)*24,""))</f>
        <v/>
      </c>
      <c r="L1710" s="37">
        <f>IF(A1710="","",CHOOSE(WEEKDAY(A1710,2),"Montag","Dienstag","Mittwoch","Donnerstag","Freitag","Samstag","Sonntag"))</f>
        <v/>
      </c>
      <c r="M1710" s="37">
        <f>IF(A1710="","",_xlfn.ISOWEEKNUM(A1710))</f>
        <v/>
      </c>
      <c r="N1710" s="38">
        <f>IF(A1710="","",DATE(YEAR(A1710),MONTH(A1710),1))</f>
        <v/>
      </c>
    </row>
    <row r="1711">
      <c r="A1711" s="31" t="n"/>
      <c r="B1711" s="32" t="n"/>
      <c r="C1711" s="32" t="n"/>
      <c r="D1711" s="33" t="n"/>
      <c r="E1711" s="34" t="n"/>
      <c r="F1711" s="35" t="n"/>
      <c r="G1711" s="35" t="n"/>
      <c r="H1711" s="32" t="n"/>
      <c r="I1711" s="32" t="n"/>
      <c r="J1711" s="32" t="n"/>
      <c r="K1711" s="36">
        <f>IF(E1711&lt;&gt;"",E1711,IF(AND(F1711&lt;&gt;"",G1711&lt;&gt;""),MOD(G1711-F1711,1)*24,""))</f>
        <v/>
      </c>
      <c r="L1711" s="37">
        <f>IF(A1711="","",CHOOSE(WEEKDAY(A1711,2),"Montag","Dienstag","Mittwoch","Donnerstag","Freitag","Samstag","Sonntag"))</f>
        <v/>
      </c>
      <c r="M1711" s="37">
        <f>IF(A1711="","",_xlfn.ISOWEEKNUM(A1711))</f>
        <v/>
      </c>
      <c r="N1711" s="38">
        <f>IF(A1711="","",DATE(YEAR(A1711),MONTH(A1711),1))</f>
        <v/>
      </c>
    </row>
    <row r="1712">
      <c r="A1712" s="31" t="n"/>
      <c r="B1712" s="32" t="n"/>
      <c r="C1712" s="32" t="n"/>
      <c r="D1712" s="33" t="n"/>
      <c r="E1712" s="34" t="n"/>
      <c r="F1712" s="35" t="n"/>
      <c r="G1712" s="35" t="n"/>
      <c r="H1712" s="32" t="n"/>
      <c r="I1712" s="32" t="n"/>
      <c r="J1712" s="32" t="n"/>
      <c r="K1712" s="36">
        <f>IF(E1712&lt;&gt;"",E1712,IF(AND(F1712&lt;&gt;"",G1712&lt;&gt;""),MOD(G1712-F1712,1)*24,""))</f>
        <v/>
      </c>
      <c r="L1712" s="37">
        <f>IF(A1712="","",CHOOSE(WEEKDAY(A1712,2),"Montag","Dienstag","Mittwoch","Donnerstag","Freitag","Samstag","Sonntag"))</f>
        <v/>
      </c>
      <c r="M1712" s="37">
        <f>IF(A1712="","",_xlfn.ISOWEEKNUM(A1712))</f>
        <v/>
      </c>
      <c r="N1712" s="38">
        <f>IF(A1712="","",DATE(YEAR(A1712),MONTH(A1712),1))</f>
        <v/>
      </c>
    </row>
    <row r="1713">
      <c r="A1713" s="31" t="n"/>
      <c r="B1713" s="32" t="n"/>
      <c r="C1713" s="32" t="n"/>
      <c r="D1713" s="33" t="n"/>
      <c r="E1713" s="34" t="n"/>
      <c r="F1713" s="35" t="n"/>
      <c r="G1713" s="35" t="n"/>
      <c r="H1713" s="32" t="n"/>
      <c r="I1713" s="32" t="n"/>
      <c r="J1713" s="32" t="n"/>
      <c r="K1713" s="36">
        <f>IF(E1713&lt;&gt;"",E1713,IF(AND(F1713&lt;&gt;"",G1713&lt;&gt;""),MOD(G1713-F1713,1)*24,""))</f>
        <v/>
      </c>
      <c r="L1713" s="37">
        <f>IF(A1713="","",CHOOSE(WEEKDAY(A1713,2),"Montag","Dienstag","Mittwoch","Donnerstag","Freitag","Samstag","Sonntag"))</f>
        <v/>
      </c>
      <c r="M1713" s="37">
        <f>IF(A1713="","",_xlfn.ISOWEEKNUM(A1713))</f>
        <v/>
      </c>
      <c r="N1713" s="38">
        <f>IF(A1713="","",DATE(YEAR(A1713),MONTH(A1713),1))</f>
        <v/>
      </c>
    </row>
    <row r="1714">
      <c r="A1714" s="31" t="n"/>
      <c r="B1714" s="32" t="n"/>
      <c r="C1714" s="32" t="n"/>
      <c r="D1714" s="33" t="n"/>
      <c r="E1714" s="34" t="n"/>
      <c r="F1714" s="35" t="n"/>
      <c r="G1714" s="35" t="n"/>
      <c r="H1714" s="32" t="n"/>
      <c r="I1714" s="32" t="n"/>
      <c r="J1714" s="32" t="n"/>
      <c r="K1714" s="36">
        <f>IF(E1714&lt;&gt;"",E1714,IF(AND(F1714&lt;&gt;"",G1714&lt;&gt;""),MOD(G1714-F1714,1)*24,""))</f>
        <v/>
      </c>
      <c r="L1714" s="37">
        <f>IF(A1714="","",CHOOSE(WEEKDAY(A1714,2),"Montag","Dienstag","Mittwoch","Donnerstag","Freitag","Samstag","Sonntag"))</f>
        <v/>
      </c>
      <c r="M1714" s="37">
        <f>IF(A1714="","",_xlfn.ISOWEEKNUM(A1714))</f>
        <v/>
      </c>
      <c r="N1714" s="38">
        <f>IF(A1714="","",DATE(YEAR(A1714),MONTH(A1714),1))</f>
        <v/>
      </c>
    </row>
    <row r="1715">
      <c r="A1715" s="31" t="n"/>
      <c r="B1715" s="32" t="n"/>
      <c r="C1715" s="32" t="n"/>
      <c r="D1715" s="33" t="n"/>
      <c r="E1715" s="34" t="n"/>
      <c r="F1715" s="35" t="n"/>
      <c r="G1715" s="35" t="n"/>
      <c r="H1715" s="32" t="n"/>
      <c r="I1715" s="32" t="n"/>
      <c r="J1715" s="32" t="n"/>
      <c r="K1715" s="36">
        <f>IF(E1715&lt;&gt;"",E1715,IF(AND(F1715&lt;&gt;"",G1715&lt;&gt;""),MOD(G1715-F1715,1)*24,""))</f>
        <v/>
      </c>
      <c r="L1715" s="37">
        <f>IF(A1715="","",CHOOSE(WEEKDAY(A1715,2),"Montag","Dienstag","Mittwoch","Donnerstag","Freitag","Samstag","Sonntag"))</f>
        <v/>
      </c>
      <c r="M1715" s="37">
        <f>IF(A1715="","",_xlfn.ISOWEEKNUM(A1715))</f>
        <v/>
      </c>
      <c r="N1715" s="38">
        <f>IF(A1715="","",DATE(YEAR(A1715),MONTH(A1715),1))</f>
        <v/>
      </c>
    </row>
    <row r="1716">
      <c r="A1716" s="31" t="n"/>
      <c r="B1716" s="32" t="n"/>
      <c r="C1716" s="32" t="n"/>
      <c r="D1716" s="33" t="n"/>
      <c r="E1716" s="34" t="n"/>
      <c r="F1716" s="35" t="n"/>
      <c r="G1716" s="35" t="n"/>
      <c r="H1716" s="32" t="n"/>
      <c r="I1716" s="32" t="n"/>
      <c r="J1716" s="32" t="n"/>
      <c r="K1716" s="36">
        <f>IF(E1716&lt;&gt;"",E1716,IF(AND(F1716&lt;&gt;"",G1716&lt;&gt;""),MOD(G1716-F1716,1)*24,""))</f>
        <v/>
      </c>
      <c r="L1716" s="37">
        <f>IF(A1716="","",CHOOSE(WEEKDAY(A1716,2),"Montag","Dienstag","Mittwoch","Donnerstag","Freitag","Samstag","Sonntag"))</f>
        <v/>
      </c>
      <c r="M1716" s="37">
        <f>IF(A1716="","",_xlfn.ISOWEEKNUM(A1716))</f>
        <v/>
      </c>
      <c r="N1716" s="38">
        <f>IF(A1716="","",DATE(YEAR(A1716),MONTH(A1716),1))</f>
        <v/>
      </c>
    </row>
    <row r="1717">
      <c r="A1717" s="31" t="n"/>
      <c r="B1717" s="32" t="n"/>
      <c r="C1717" s="32" t="n"/>
      <c r="D1717" s="33" t="n"/>
      <c r="E1717" s="34" t="n"/>
      <c r="F1717" s="35" t="n"/>
      <c r="G1717" s="35" t="n"/>
      <c r="H1717" s="32" t="n"/>
      <c r="I1717" s="32" t="n"/>
      <c r="J1717" s="32" t="n"/>
      <c r="K1717" s="36">
        <f>IF(E1717&lt;&gt;"",E1717,IF(AND(F1717&lt;&gt;"",G1717&lt;&gt;""),MOD(G1717-F1717,1)*24,""))</f>
        <v/>
      </c>
      <c r="L1717" s="37">
        <f>IF(A1717="","",CHOOSE(WEEKDAY(A1717,2),"Montag","Dienstag","Mittwoch","Donnerstag","Freitag","Samstag","Sonntag"))</f>
        <v/>
      </c>
      <c r="M1717" s="37">
        <f>IF(A1717="","",_xlfn.ISOWEEKNUM(A1717))</f>
        <v/>
      </c>
      <c r="N1717" s="38">
        <f>IF(A1717="","",DATE(YEAR(A1717),MONTH(A1717),1))</f>
        <v/>
      </c>
    </row>
    <row r="1718">
      <c r="A1718" s="31" t="n"/>
      <c r="B1718" s="32" t="n"/>
      <c r="C1718" s="32" t="n"/>
      <c r="D1718" s="33" t="n"/>
      <c r="E1718" s="34" t="n"/>
      <c r="F1718" s="35" t="n"/>
      <c r="G1718" s="35" t="n"/>
      <c r="H1718" s="32" t="n"/>
      <c r="I1718" s="32" t="n"/>
      <c r="J1718" s="32" t="n"/>
      <c r="K1718" s="36">
        <f>IF(E1718&lt;&gt;"",E1718,IF(AND(F1718&lt;&gt;"",G1718&lt;&gt;""),MOD(G1718-F1718,1)*24,""))</f>
        <v/>
      </c>
      <c r="L1718" s="37">
        <f>IF(A1718="","",CHOOSE(WEEKDAY(A1718,2),"Montag","Dienstag","Mittwoch","Donnerstag","Freitag","Samstag","Sonntag"))</f>
        <v/>
      </c>
      <c r="M1718" s="37">
        <f>IF(A1718="","",_xlfn.ISOWEEKNUM(A1718))</f>
        <v/>
      </c>
      <c r="N1718" s="38">
        <f>IF(A1718="","",DATE(YEAR(A1718),MONTH(A1718),1))</f>
        <v/>
      </c>
    </row>
    <row r="1719">
      <c r="A1719" s="31" t="n"/>
      <c r="B1719" s="32" t="n"/>
      <c r="C1719" s="32" t="n"/>
      <c r="D1719" s="33" t="n"/>
      <c r="E1719" s="34" t="n"/>
      <c r="F1719" s="35" t="n"/>
      <c r="G1719" s="35" t="n"/>
      <c r="H1719" s="32" t="n"/>
      <c r="I1719" s="32" t="n"/>
      <c r="J1719" s="32" t="n"/>
      <c r="K1719" s="36">
        <f>IF(E1719&lt;&gt;"",E1719,IF(AND(F1719&lt;&gt;"",G1719&lt;&gt;""),MOD(G1719-F1719,1)*24,""))</f>
        <v/>
      </c>
      <c r="L1719" s="37">
        <f>IF(A1719="","",CHOOSE(WEEKDAY(A1719,2),"Montag","Dienstag","Mittwoch","Donnerstag","Freitag","Samstag","Sonntag"))</f>
        <v/>
      </c>
      <c r="M1719" s="37">
        <f>IF(A1719="","",_xlfn.ISOWEEKNUM(A1719))</f>
        <v/>
      </c>
      <c r="N1719" s="38">
        <f>IF(A1719="","",DATE(YEAR(A1719),MONTH(A1719),1))</f>
        <v/>
      </c>
    </row>
    <row r="1720">
      <c r="A1720" s="31" t="n"/>
      <c r="B1720" s="32" t="n"/>
      <c r="C1720" s="32" t="n"/>
      <c r="D1720" s="33" t="n"/>
      <c r="E1720" s="34" t="n"/>
      <c r="F1720" s="35" t="n"/>
      <c r="G1720" s="35" t="n"/>
      <c r="H1720" s="32" t="n"/>
      <c r="I1720" s="32" t="n"/>
      <c r="J1720" s="32" t="n"/>
      <c r="K1720" s="36">
        <f>IF(E1720&lt;&gt;"",E1720,IF(AND(F1720&lt;&gt;"",G1720&lt;&gt;""),MOD(G1720-F1720,1)*24,""))</f>
        <v/>
      </c>
      <c r="L1720" s="37">
        <f>IF(A1720="","",CHOOSE(WEEKDAY(A1720,2),"Montag","Dienstag","Mittwoch","Donnerstag","Freitag","Samstag","Sonntag"))</f>
        <v/>
      </c>
      <c r="M1720" s="37">
        <f>IF(A1720="","",_xlfn.ISOWEEKNUM(A1720))</f>
        <v/>
      </c>
      <c r="N1720" s="38">
        <f>IF(A1720="","",DATE(YEAR(A1720),MONTH(A1720),1))</f>
        <v/>
      </c>
    </row>
    <row r="1721">
      <c r="A1721" s="31" t="n"/>
      <c r="B1721" s="32" t="n"/>
      <c r="C1721" s="32" t="n"/>
      <c r="D1721" s="33" t="n"/>
      <c r="E1721" s="34" t="n"/>
      <c r="F1721" s="35" t="n"/>
      <c r="G1721" s="35" t="n"/>
      <c r="H1721" s="32" t="n"/>
      <c r="I1721" s="32" t="n"/>
      <c r="J1721" s="32" t="n"/>
      <c r="K1721" s="36">
        <f>IF(E1721&lt;&gt;"",E1721,IF(AND(F1721&lt;&gt;"",G1721&lt;&gt;""),MOD(G1721-F1721,1)*24,""))</f>
        <v/>
      </c>
      <c r="L1721" s="37">
        <f>IF(A1721="","",CHOOSE(WEEKDAY(A1721,2),"Montag","Dienstag","Mittwoch","Donnerstag","Freitag","Samstag","Sonntag"))</f>
        <v/>
      </c>
      <c r="M1721" s="37">
        <f>IF(A1721="","",_xlfn.ISOWEEKNUM(A1721))</f>
        <v/>
      </c>
      <c r="N1721" s="38">
        <f>IF(A1721="","",DATE(YEAR(A1721),MONTH(A1721),1))</f>
        <v/>
      </c>
    </row>
    <row r="1722">
      <c r="A1722" s="31" t="n"/>
      <c r="B1722" s="32" t="n"/>
      <c r="C1722" s="32" t="n"/>
      <c r="D1722" s="33" t="n"/>
      <c r="E1722" s="34" t="n"/>
      <c r="F1722" s="35" t="n"/>
      <c r="G1722" s="35" t="n"/>
      <c r="H1722" s="32" t="n"/>
      <c r="I1722" s="32" t="n"/>
      <c r="J1722" s="32" t="n"/>
      <c r="K1722" s="36">
        <f>IF(E1722&lt;&gt;"",E1722,IF(AND(F1722&lt;&gt;"",G1722&lt;&gt;""),MOD(G1722-F1722,1)*24,""))</f>
        <v/>
      </c>
      <c r="L1722" s="37">
        <f>IF(A1722="","",CHOOSE(WEEKDAY(A1722,2),"Montag","Dienstag","Mittwoch","Donnerstag","Freitag","Samstag","Sonntag"))</f>
        <v/>
      </c>
      <c r="M1722" s="37">
        <f>IF(A1722="","",_xlfn.ISOWEEKNUM(A1722))</f>
        <v/>
      </c>
      <c r="N1722" s="38">
        <f>IF(A1722="","",DATE(YEAR(A1722),MONTH(A1722),1))</f>
        <v/>
      </c>
    </row>
    <row r="1723">
      <c r="A1723" s="31" t="n"/>
      <c r="B1723" s="32" t="n"/>
      <c r="C1723" s="32" t="n"/>
      <c r="D1723" s="33" t="n"/>
      <c r="E1723" s="34" t="n"/>
      <c r="F1723" s="35" t="n"/>
      <c r="G1723" s="35" t="n"/>
      <c r="H1723" s="32" t="n"/>
      <c r="I1723" s="32" t="n"/>
      <c r="J1723" s="32" t="n"/>
      <c r="K1723" s="36">
        <f>IF(E1723&lt;&gt;"",E1723,IF(AND(F1723&lt;&gt;"",G1723&lt;&gt;""),MOD(G1723-F1723,1)*24,""))</f>
        <v/>
      </c>
      <c r="L1723" s="37">
        <f>IF(A1723="","",CHOOSE(WEEKDAY(A1723,2),"Montag","Dienstag","Mittwoch","Donnerstag","Freitag","Samstag","Sonntag"))</f>
        <v/>
      </c>
      <c r="M1723" s="37">
        <f>IF(A1723="","",_xlfn.ISOWEEKNUM(A1723))</f>
        <v/>
      </c>
      <c r="N1723" s="38">
        <f>IF(A1723="","",DATE(YEAR(A1723),MONTH(A1723),1))</f>
        <v/>
      </c>
    </row>
    <row r="1724">
      <c r="A1724" s="31" t="n"/>
      <c r="B1724" s="32" t="n"/>
      <c r="C1724" s="32" t="n"/>
      <c r="D1724" s="33" t="n"/>
      <c r="E1724" s="34" t="n"/>
      <c r="F1724" s="35" t="n"/>
      <c r="G1724" s="35" t="n"/>
      <c r="H1724" s="32" t="n"/>
      <c r="I1724" s="32" t="n"/>
      <c r="J1724" s="32" t="n"/>
      <c r="K1724" s="36">
        <f>IF(E1724&lt;&gt;"",E1724,IF(AND(F1724&lt;&gt;"",G1724&lt;&gt;""),MOD(G1724-F1724,1)*24,""))</f>
        <v/>
      </c>
      <c r="L1724" s="37">
        <f>IF(A1724="","",CHOOSE(WEEKDAY(A1724,2),"Montag","Dienstag","Mittwoch","Donnerstag","Freitag","Samstag","Sonntag"))</f>
        <v/>
      </c>
      <c r="M1724" s="37">
        <f>IF(A1724="","",_xlfn.ISOWEEKNUM(A1724))</f>
        <v/>
      </c>
      <c r="N1724" s="38">
        <f>IF(A1724="","",DATE(YEAR(A1724),MONTH(A1724),1))</f>
        <v/>
      </c>
    </row>
    <row r="1725">
      <c r="A1725" s="31" t="n"/>
      <c r="B1725" s="32" t="n"/>
      <c r="C1725" s="32" t="n"/>
      <c r="D1725" s="33" t="n"/>
      <c r="E1725" s="34" t="n"/>
      <c r="F1725" s="35" t="n"/>
      <c r="G1725" s="35" t="n"/>
      <c r="H1725" s="32" t="n"/>
      <c r="I1725" s="32" t="n"/>
      <c r="J1725" s="32" t="n"/>
      <c r="K1725" s="36">
        <f>IF(E1725&lt;&gt;"",E1725,IF(AND(F1725&lt;&gt;"",G1725&lt;&gt;""),MOD(G1725-F1725,1)*24,""))</f>
        <v/>
      </c>
      <c r="L1725" s="37">
        <f>IF(A1725="","",CHOOSE(WEEKDAY(A1725,2),"Montag","Dienstag","Mittwoch","Donnerstag","Freitag","Samstag","Sonntag"))</f>
        <v/>
      </c>
      <c r="M1725" s="37">
        <f>IF(A1725="","",_xlfn.ISOWEEKNUM(A1725))</f>
        <v/>
      </c>
      <c r="N1725" s="38">
        <f>IF(A1725="","",DATE(YEAR(A1725),MONTH(A1725),1))</f>
        <v/>
      </c>
    </row>
    <row r="1726">
      <c r="A1726" s="31" t="n"/>
      <c r="B1726" s="32" t="n"/>
      <c r="C1726" s="32" t="n"/>
      <c r="D1726" s="33" t="n"/>
      <c r="E1726" s="34" t="n"/>
      <c r="F1726" s="35" t="n"/>
      <c r="G1726" s="35" t="n"/>
      <c r="H1726" s="32" t="n"/>
      <c r="I1726" s="32" t="n"/>
      <c r="J1726" s="32" t="n"/>
      <c r="K1726" s="36">
        <f>IF(E1726&lt;&gt;"",E1726,IF(AND(F1726&lt;&gt;"",G1726&lt;&gt;""),MOD(G1726-F1726,1)*24,""))</f>
        <v/>
      </c>
      <c r="L1726" s="37">
        <f>IF(A1726="","",CHOOSE(WEEKDAY(A1726,2),"Montag","Dienstag","Mittwoch","Donnerstag","Freitag","Samstag","Sonntag"))</f>
        <v/>
      </c>
      <c r="M1726" s="37">
        <f>IF(A1726="","",_xlfn.ISOWEEKNUM(A1726))</f>
        <v/>
      </c>
      <c r="N1726" s="38">
        <f>IF(A1726="","",DATE(YEAR(A1726),MONTH(A1726),1))</f>
        <v/>
      </c>
    </row>
    <row r="1727">
      <c r="A1727" s="31" t="n"/>
      <c r="B1727" s="32" t="n"/>
      <c r="C1727" s="32" t="n"/>
      <c r="D1727" s="33" t="n"/>
      <c r="E1727" s="34" t="n"/>
      <c r="F1727" s="35" t="n"/>
      <c r="G1727" s="35" t="n"/>
      <c r="H1727" s="32" t="n"/>
      <c r="I1727" s="32" t="n"/>
      <c r="J1727" s="32" t="n"/>
      <c r="K1727" s="36">
        <f>IF(E1727&lt;&gt;"",E1727,IF(AND(F1727&lt;&gt;"",G1727&lt;&gt;""),MOD(G1727-F1727,1)*24,""))</f>
        <v/>
      </c>
      <c r="L1727" s="37">
        <f>IF(A1727="","",CHOOSE(WEEKDAY(A1727,2),"Montag","Dienstag","Mittwoch","Donnerstag","Freitag","Samstag","Sonntag"))</f>
        <v/>
      </c>
      <c r="M1727" s="37">
        <f>IF(A1727="","",_xlfn.ISOWEEKNUM(A1727))</f>
        <v/>
      </c>
      <c r="N1727" s="38">
        <f>IF(A1727="","",DATE(YEAR(A1727),MONTH(A1727),1))</f>
        <v/>
      </c>
    </row>
    <row r="1728">
      <c r="A1728" s="31" t="n"/>
      <c r="B1728" s="32" t="n"/>
      <c r="C1728" s="32" t="n"/>
      <c r="D1728" s="33" t="n"/>
      <c r="E1728" s="34" t="n"/>
      <c r="F1728" s="35" t="n"/>
      <c r="G1728" s="35" t="n"/>
      <c r="H1728" s="32" t="n"/>
      <c r="I1728" s="32" t="n"/>
      <c r="J1728" s="32" t="n"/>
      <c r="K1728" s="36">
        <f>IF(E1728&lt;&gt;"",E1728,IF(AND(F1728&lt;&gt;"",G1728&lt;&gt;""),MOD(G1728-F1728,1)*24,""))</f>
        <v/>
      </c>
      <c r="L1728" s="37">
        <f>IF(A1728="","",CHOOSE(WEEKDAY(A1728,2),"Montag","Dienstag","Mittwoch","Donnerstag","Freitag","Samstag","Sonntag"))</f>
        <v/>
      </c>
      <c r="M1728" s="37">
        <f>IF(A1728="","",_xlfn.ISOWEEKNUM(A1728))</f>
        <v/>
      </c>
      <c r="N1728" s="38">
        <f>IF(A1728="","",DATE(YEAR(A1728),MONTH(A1728),1))</f>
        <v/>
      </c>
    </row>
    <row r="1729">
      <c r="A1729" s="31" t="n"/>
      <c r="B1729" s="32" t="n"/>
      <c r="C1729" s="32" t="n"/>
      <c r="D1729" s="33" t="n"/>
      <c r="E1729" s="34" t="n"/>
      <c r="F1729" s="35" t="n"/>
      <c r="G1729" s="35" t="n"/>
      <c r="H1729" s="32" t="n"/>
      <c r="I1729" s="32" t="n"/>
      <c r="J1729" s="32" t="n"/>
      <c r="K1729" s="36">
        <f>IF(E1729&lt;&gt;"",E1729,IF(AND(F1729&lt;&gt;"",G1729&lt;&gt;""),MOD(G1729-F1729,1)*24,""))</f>
        <v/>
      </c>
      <c r="L1729" s="37">
        <f>IF(A1729="","",CHOOSE(WEEKDAY(A1729,2),"Montag","Dienstag","Mittwoch","Donnerstag","Freitag","Samstag","Sonntag"))</f>
        <v/>
      </c>
      <c r="M1729" s="37">
        <f>IF(A1729="","",_xlfn.ISOWEEKNUM(A1729))</f>
        <v/>
      </c>
      <c r="N1729" s="38">
        <f>IF(A1729="","",DATE(YEAR(A1729),MONTH(A1729),1))</f>
        <v/>
      </c>
    </row>
    <row r="1730">
      <c r="A1730" s="31" t="n"/>
      <c r="B1730" s="32" t="n"/>
      <c r="C1730" s="32" t="n"/>
      <c r="D1730" s="33" t="n"/>
      <c r="E1730" s="34" t="n"/>
      <c r="F1730" s="35" t="n"/>
      <c r="G1730" s="35" t="n"/>
      <c r="H1730" s="32" t="n"/>
      <c r="I1730" s="32" t="n"/>
      <c r="J1730" s="32" t="n"/>
      <c r="K1730" s="36">
        <f>IF(E1730&lt;&gt;"",E1730,IF(AND(F1730&lt;&gt;"",G1730&lt;&gt;""),MOD(G1730-F1730,1)*24,""))</f>
        <v/>
      </c>
      <c r="L1730" s="37">
        <f>IF(A1730="","",CHOOSE(WEEKDAY(A1730,2),"Montag","Dienstag","Mittwoch","Donnerstag","Freitag","Samstag","Sonntag"))</f>
        <v/>
      </c>
      <c r="M1730" s="37">
        <f>IF(A1730="","",_xlfn.ISOWEEKNUM(A1730))</f>
        <v/>
      </c>
      <c r="N1730" s="38">
        <f>IF(A1730="","",DATE(YEAR(A1730),MONTH(A1730),1))</f>
        <v/>
      </c>
    </row>
    <row r="1731">
      <c r="A1731" s="31" t="n"/>
      <c r="B1731" s="32" t="n"/>
      <c r="C1731" s="32" t="n"/>
      <c r="D1731" s="33" t="n"/>
      <c r="E1731" s="34" t="n"/>
      <c r="F1731" s="35" t="n"/>
      <c r="G1731" s="35" t="n"/>
      <c r="H1731" s="32" t="n"/>
      <c r="I1731" s="32" t="n"/>
      <c r="J1731" s="32" t="n"/>
      <c r="K1731" s="36">
        <f>IF(E1731&lt;&gt;"",E1731,IF(AND(F1731&lt;&gt;"",G1731&lt;&gt;""),MOD(G1731-F1731,1)*24,""))</f>
        <v/>
      </c>
      <c r="L1731" s="37">
        <f>IF(A1731="","",CHOOSE(WEEKDAY(A1731,2),"Montag","Dienstag","Mittwoch","Donnerstag","Freitag","Samstag","Sonntag"))</f>
        <v/>
      </c>
      <c r="M1731" s="37">
        <f>IF(A1731="","",_xlfn.ISOWEEKNUM(A1731))</f>
        <v/>
      </c>
      <c r="N1731" s="38">
        <f>IF(A1731="","",DATE(YEAR(A1731),MONTH(A1731),1))</f>
        <v/>
      </c>
    </row>
    <row r="1732">
      <c r="A1732" s="31" t="n"/>
      <c r="B1732" s="32" t="n"/>
      <c r="C1732" s="32" t="n"/>
      <c r="D1732" s="33" t="n"/>
      <c r="E1732" s="34" t="n"/>
      <c r="F1732" s="35" t="n"/>
      <c r="G1732" s="35" t="n"/>
      <c r="H1732" s="32" t="n"/>
      <c r="I1732" s="32" t="n"/>
      <c r="J1732" s="32" t="n"/>
      <c r="K1732" s="36">
        <f>IF(E1732&lt;&gt;"",E1732,IF(AND(F1732&lt;&gt;"",G1732&lt;&gt;""),MOD(G1732-F1732,1)*24,""))</f>
        <v/>
      </c>
      <c r="L1732" s="37">
        <f>IF(A1732="","",CHOOSE(WEEKDAY(A1732,2),"Montag","Dienstag","Mittwoch","Donnerstag","Freitag","Samstag","Sonntag"))</f>
        <v/>
      </c>
      <c r="M1732" s="37">
        <f>IF(A1732="","",_xlfn.ISOWEEKNUM(A1732))</f>
        <v/>
      </c>
      <c r="N1732" s="38">
        <f>IF(A1732="","",DATE(YEAR(A1732),MONTH(A1732),1))</f>
        <v/>
      </c>
    </row>
    <row r="1733">
      <c r="A1733" s="31" t="n"/>
      <c r="B1733" s="32" t="n"/>
      <c r="C1733" s="32" t="n"/>
      <c r="D1733" s="33" t="n"/>
      <c r="E1733" s="34" t="n"/>
      <c r="F1733" s="35" t="n"/>
      <c r="G1733" s="35" t="n"/>
      <c r="H1733" s="32" t="n"/>
      <c r="I1733" s="32" t="n"/>
      <c r="J1733" s="32" t="n"/>
      <c r="K1733" s="36">
        <f>IF(E1733&lt;&gt;"",E1733,IF(AND(F1733&lt;&gt;"",G1733&lt;&gt;""),MOD(G1733-F1733,1)*24,""))</f>
        <v/>
      </c>
      <c r="L1733" s="37">
        <f>IF(A1733="","",CHOOSE(WEEKDAY(A1733,2),"Montag","Dienstag","Mittwoch","Donnerstag","Freitag","Samstag","Sonntag"))</f>
        <v/>
      </c>
      <c r="M1733" s="37">
        <f>IF(A1733="","",_xlfn.ISOWEEKNUM(A1733))</f>
        <v/>
      </c>
      <c r="N1733" s="38">
        <f>IF(A1733="","",DATE(YEAR(A1733),MONTH(A1733),1))</f>
        <v/>
      </c>
    </row>
    <row r="1734">
      <c r="A1734" s="31" t="n"/>
      <c r="B1734" s="32" t="n"/>
      <c r="C1734" s="32" t="n"/>
      <c r="D1734" s="33" t="n"/>
      <c r="E1734" s="34" t="n"/>
      <c r="F1734" s="35" t="n"/>
      <c r="G1734" s="35" t="n"/>
      <c r="H1734" s="32" t="n"/>
      <c r="I1734" s="32" t="n"/>
      <c r="J1734" s="32" t="n"/>
      <c r="K1734" s="36">
        <f>IF(E1734&lt;&gt;"",E1734,IF(AND(F1734&lt;&gt;"",G1734&lt;&gt;""),MOD(G1734-F1734,1)*24,""))</f>
        <v/>
      </c>
      <c r="L1734" s="37">
        <f>IF(A1734="","",CHOOSE(WEEKDAY(A1734,2),"Montag","Dienstag","Mittwoch","Donnerstag","Freitag","Samstag","Sonntag"))</f>
        <v/>
      </c>
      <c r="M1734" s="37">
        <f>IF(A1734="","",_xlfn.ISOWEEKNUM(A1734))</f>
        <v/>
      </c>
      <c r="N1734" s="38">
        <f>IF(A1734="","",DATE(YEAR(A1734),MONTH(A1734),1))</f>
        <v/>
      </c>
    </row>
    <row r="1735">
      <c r="A1735" s="31" t="n"/>
      <c r="B1735" s="32" t="n"/>
      <c r="C1735" s="32" t="n"/>
      <c r="D1735" s="33" t="n"/>
      <c r="E1735" s="34" t="n"/>
      <c r="F1735" s="35" t="n"/>
      <c r="G1735" s="35" t="n"/>
      <c r="H1735" s="32" t="n"/>
      <c r="I1735" s="32" t="n"/>
      <c r="J1735" s="32" t="n"/>
      <c r="K1735" s="36">
        <f>IF(E1735&lt;&gt;"",E1735,IF(AND(F1735&lt;&gt;"",G1735&lt;&gt;""),MOD(G1735-F1735,1)*24,""))</f>
        <v/>
      </c>
      <c r="L1735" s="37">
        <f>IF(A1735="","",CHOOSE(WEEKDAY(A1735,2),"Montag","Dienstag","Mittwoch","Donnerstag","Freitag","Samstag","Sonntag"))</f>
        <v/>
      </c>
      <c r="M1735" s="37">
        <f>IF(A1735="","",_xlfn.ISOWEEKNUM(A1735))</f>
        <v/>
      </c>
      <c r="N1735" s="38">
        <f>IF(A1735="","",DATE(YEAR(A1735),MONTH(A1735),1))</f>
        <v/>
      </c>
    </row>
    <row r="1736">
      <c r="A1736" s="31" t="n"/>
      <c r="B1736" s="32" t="n"/>
      <c r="C1736" s="32" t="n"/>
      <c r="D1736" s="33" t="n"/>
      <c r="E1736" s="34" t="n"/>
      <c r="F1736" s="35" t="n"/>
      <c r="G1736" s="35" t="n"/>
      <c r="H1736" s="32" t="n"/>
      <c r="I1736" s="32" t="n"/>
      <c r="J1736" s="32" t="n"/>
      <c r="K1736" s="36">
        <f>IF(E1736&lt;&gt;"",E1736,IF(AND(F1736&lt;&gt;"",G1736&lt;&gt;""),MOD(G1736-F1736,1)*24,""))</f>
        <v/>
      </c>
      <c r="L1736" s="37">
        <f>IF(A1736="","",CHOOSE(WEEKDAY(A1736,2),"Montag","Dienstag","Mittwoch","Donnerstag","Freitag","Samstag","Sonntag"))</f>
        <v/>
      </c>
      <c r="M1736" s="37">
        <f>IF(A1736="","",_xlfn.ISOWEEKNUM(A1736))</f>
        <v/>
      </c>
      <c r="N1736" s="38">
        <f>IF(A1736="","",DATE(YEAR(A1736),MONTH(A1736),1))</f>
        <v/>
      </c>
    </row>
    <row r="1737">
      <c r="A1737" s="31" t="n"/>
      <c r="B1737" s="32" t="n"/>
      <c r="C1737" s="32" t="n"/>
      <c r="D1737" s="33" t="n"/>
      <c r="E1737" s="34" t="n"/>
      <c r="F1737" s="35" t="n"/>
      <c r="G1737" s="35" t="n"/>
      <c r="H1737" s="32" t="n"/>
      <c r="I1737" s="32" t="n"/>
      <c r="J1737" s="32" t="n"/>
      <c r="K1737" s="36">
        <f>IF(E1737&lt;&gt;"",E1737,IF(AND(F1737&lt;&gt;"",G1737&lt;&gt;""),MOD(G1737-F1737,1)*24,""))</f>
        <v/>
      </c>
      <c r="L1737" s="37">
        <f>IF(A1737="","",CHOOSE(WEEKDAY(A1737,2),"Montag","Dienstag","Mittwoch","Donnerstag","Freitag","Samstag","Sonntag"))</f>
        <v/>
      </c>
      <c r="M1737" s="37">
        <f>IF(A1737="","",_xlfn.ISOWEEKNUM(A1737))</f>
        <v/>
      </c>
      <c r="N1737" s="38">
        <f>IF(A1737="","",DATE(YEAR(A1737),MONTH(A1737),1))</f>
        <v/>
      </c>
    </row>
    <row r="1738">
      <c r="A1738" s="31" t="n"/>
      <c r="B1738" s="32" t="n"/>
      <c r="C1738" s="32" t="n"/>
      <c r="D1738" s="33" t="n"/>
      <c r="E1738" s="34" t="n"/>
      <c r="F1738" s="35" t="n"/>
      <c r="G1738" s="35" t="n"/>
      <c r="H1738" s="32" t="n"/>
      <c r="I1738" s="32" t="n"/>
      <c r="J1738" s="32" t="n"/>
      <c r="K1738" s="36">
        <f>IF(E1738&lt;&gt;"",E1738,IF(AND(F1738&lt;&gt;"",G1738&lt;&gt;""),MOD(G1738-F1738,1)*24,""))</f>
        <v/>
      </c>
      <c r="L1738" s="37">
        <f>IF(A1738="","",CHOOSE(WEEKDAY(A1738,2),"Montag","Dienstag","Mittwoch","Donnerstag","Freitag","Samstag","Sonntag"))</f>
        <v/>
      </c>
      <c r="M1738" s="37">
        <f>IF(A1738="","",_xlfn.ISOWEEKNUM(A1738))</f>
        <v/>
      </c>
      <c r="N1738" s="38">
        <f>IF(A1738="","",DATE(YEAR(A1738),MONTH(A1738),1))</f>
        <v/>
      </c>
    </row>
    <row r="1739">
      <c r="A1739" s="31" t="n"/>
      <c r="B1739" s="32" t="n"/>
      <c r="C1739" s="32" t="n"/>
      <c r="D1739" s="33" t="n"/>
      <c r="E1739" s="34" t="n"/>
      <c r="F1739" s="35" t="n"/>
      <c r="G1739" s="35" t="n"/>
      <c r="H1739" s="32" t="n"/>
      <c r="I1739" s="32" t="n"/>
      <c r="J1739" s="32" t="n"/>
      <c r="K1739" s="36">
        <f>IF(E1739&lt;&gt;"",E1739,IF(AND(F1739&lt;&gt;"",G1739&lt;&gt;""),MOD(G1739-F1739,1)*24,""))</f>
        <v/>
      </c>
      <c r="L1739" s="37">
        <f>IF(A1739="","",CHOOSE(WEEKDAY(A1739,2),"Montag","Dienstag","Mittwoch","Donnerstag","Freitag","Samstag","Sonntag"))</f>
        <v/>
      </c>
      <c r="M1739" s="37">
        <f>IF(A1739="","",_xlfn.ISOWEEKNUM(A1739))</f>
        <v/>
      </c>
      <c r="N1739" s="38">
        <f>IF(A1739="","",DATE(YEAR(A1739),MONTH(A1739),1))</f>
        <v/>
      </c>
    </row>
    <row r="1740">
      <c r="A1740" s="31" t="n"/>
      <c r="B1740" s="32" t="n"/>
      <c r="C1740" s="32" t="n"/>
      <c r="D1740" s="33" t="n"/>
      <c r="E1740" s="34" t="n"/>
      <c r="F1740" s="35" t="n"/>
      <c r="G1740" s="35" t="n"/>
      <c r="H1740" s="32" t="n"/>
      <c r="I1740" s="32" t="n"/>
      <c r="J1740" s="32" t="n"/>
      <c r="K1740" s="36">
        <f>IF(E1740&lt;&gt;"",E1740,IF(AND(F1740&lt;&gt;"",G1740&lt;&gt;""),MOD(G1740-F1740,1)*24,""))</f>
        <v/>
      </c>
      <c r="L1740" s="37">
        <f>IF(A1740="","",CHOOSE(WEEKDAY(A1740,2),"Montag","Dienstag","Mittwoch","Donnerstag","Freitag","Samstag","Sonntag"))</f>
        <v/>
      </c>
      <c r="M1740" s="37">
        <f>IF(A1740="","",_xlfn.ISOWEEKNUM(A1740))</f>
        <v/>
      </c>
      <c r="N1740" s="38">
        <f>IF(A1740="","",DATE(YEAR(A1740),MONTH(A1740),1))</f>
        <v/>
      </c>
    </row>
    <row r="1741">
      <c r="A1741" s="31" t="n"/>
      <c r="B1741" s="32" t="n"/>
      <c r="C1741" s="32" t="n"/>
      <c r="D1741" s="33" t="n"/>
      <c r="E1741" s="34" t="n"/>
      <c r="F1741" s="35" t="n"/>
      <c r="G1741" s="35" t="n"/>
      <c r="H1741" s="32" t="n"/>
      <c r="I1741" s="32" t="n"/>
      <c r="J1741" s="32" t="n"/>
      <c r="K1741" s="36">
        <f>IF(E1741&lt;&gt;"",E1741,IF(AND(F1741&lt;&gt;"",G1741&lt;&gt;""),MOD(G1741-F1741,1)*24,""))</f>
        <v/>
      </c>
      <c r="L1741" s="37">
        <f>IF(A1741="","",CHOOSE(WEEKDAY(A1741,2),"Montag","Dienstag","Mittwoch","Donnerstag","Freitag","Samstag","Sonntag"))</f>
        <v/>
      </c>
      <c r="M1741" s="37">
        <f>IF(A1741="","",_xlfn.ISOWEEKNUM(A1741))</f>
        <v/>
      </c>
      <c r="N1741" s="38">
        <f>IF(A1741="","",DATE(YEAR(A1741),MONTH(A1741),1))</f>
        <v/>
      </c>
    </row>
    <row r="1742">
      <c r="A1742" s="31" t="n"/>
      <c r="B1742" s="32" t="n"/>
      <c r="C1742" s="32" t="n"/>
      <c r="D1742" s="33" t="n"/>
      <c r="E1742" s="34" t="n"/>
      <c r="F1742" s="35" t="n"/>
      <c r="G1742" s="35" t="n"/>
      <c r="H1742" s="32" t="n"/>
      <c r="I1742" s="32" t="n"/>
      <c r="J1742" s="32" t="n"/>
      <c r="K1742" s="36">
        <f>IF(E1742&lt;&gt;"",E1742,IF(AND(F1742&lt;&gt;"",G1742&lt;&gt;""),MOD(G1742-F1742,1)*24,""))</f>
        <v/>
      </c>
      <c r="L1742" s="37">
        <f>IF(A1742="","",CHOOSE(WEEKDAY(A1742,2),"Montag","Dienstag","Mittwoch","Donnerstag","Freitag","Samstag","Sonntag"))</f>
        <v/>
      </c>
      <c r="M1742" s="37">
        <f>IF(A1742="","",_xlfn.ISOWEEKNUM(A1742))</f>
        <v/>
      </c>
      <c r="N1742" s="38">
        <f>IF(A1742="","",DATE(YEAR(A1742),MONTH(A1742),1))</f>
        <v/>
      </c>
    </row>
    <row r="1743">
      <c r="A1743" s="31" t="n"/>
      <c r="B1743" s="32" t="n"/>
      <c r="C1743" s="32" t="n"/>
      <c r="D1743" s="33" t="n"/>
      <c r="E1743" s="34" t="n"/>
      <c r="F1743" s="35" t="n"/>
      <c r="G1743" s="35" t="n"/>
      <c r="H1743" s="32" t="n"/>
      <c r="I1743" s="32" t="n"/>
      <c r="J1743" s="32" t="n"/>
      <c r="K1743" s="36">
        <f>IF(E1743&lt;&gt;"",E1743,IF(AND(F1743&lt;&gt;"",G1743&lt;&gt;""),MOD(G1743-F1743,1)*24,""))</f>
        <v/>
      </c>
      <c r="L1743" s="37">
        <f>IF(A1743="","",CHOOSE(WEEKDAY(A1743,2),"Montag","Dienstag","Mittwoch","Donnerstag","Freitag","Samstag","Sonntag"))</f>
        <v/>
      </c>
      <c r="M1743" s="37">
        <f>IF(A1743="","",_xlfn.ISOWEEKNUM(A1743))</f>
        <v/>
      </c>
      <c r="N1743" s="38">
        <f>IF(A1743="","",DATE(YEAR(A1743),MONTH(A1743),1))</f>
        <v/>
      </c>
    </row>
    <row r="1744">
      <c r="A1744" s="31" t="n"/>
      <c r="B1744" s="32" t="n"/>
      <c r="C1744" s="32" t="n"/>
      <c r="D1744" s="33" t="n"/>
      <c r="E1744" s="34" t="n"/>
      <c r="F1744" s="35" t="n"/>
      <c r="G1744" s="35" t="n"/>
      <c r="H1744" s="32" t="n"/>
      <c r="I1744" s="32" t="n"/>
      <c r="J1744" s="32" t="n"/>
      <c r="K1744" s="36">
        <f>IF(E1744&lt;&gt;"",E1744,IF(AND(F1744&lt;&gt;"",G1744&lt;&gt;""),MOD(G1744-F1744,1)*24,""))</f>
        <v/>
      </c>
      <c r="L1744" s="37">
        <f>IF(A1744="","",CHOOSE(WEEKDAY(A1744,2),"Montag","Dienstag","Mittwoch","Donnerstag","Freitag","Samstag","Sonntag"))</f>
        <v/>
      </c>
      <c r="M1744" s="37">
        <f>IF(A1744="","",_xlfn.ISOWEEKNUM(A1744))</f>
        <v/>
      </c>
      <c r="N1744" s="38">
        <f>IF(A1744="","",DATE(YEAR(A1744),MONTH(A1744),1))</f>
        <v/>
      </c>
    </row>
    <row r="1745">
      <c r="A1745" s="31" t="n"/>
      <c r="B1745" s="32" t="n"/>
      <c r="C1745" s="32" t="n"/>
      <c r="D1745" s="33" t="n"/>
      <c r="E1745" s="34" t="n"/>
      <c r="F1745" s="35" t="n"/>
      <c r="G1745" s="35" t="n"/>
      <c r="H1745" s="32" t="n"/>
      <c r="I1745" s="32" t="n"/>
      <c r="J1745" s="32" t="n"/>
      <c r="K1745" s="36">
        <f>IF(E1745&lt;&gt;"",E1745,IF(AND(F1745&lt;&gt;"",G1745&lt;&gt;""),MOD(G1745-F1745,1)*24,""))</f>
        <v/>
      </c>
      <c r="L1745" s="37">
        <f>IF(A1745="","",CHOOSE(WEEKDAY(A1745,2),"Montag","Dienstag","Mittwoch","Donnerstag","Freitag","Samstag","Sonntag"))</f>
        <v/>
      </c>
      <c r="M1745" s="37">
        <f>IF(A1745="","",_xlfn.ISOWEEKNUM(A1745))</f>
        <v/>
      </c>
      <c r="N1745" s="38">
        <f>IF(A1745="","",DATE(YEAR(A1745),MONTH(A1745),1))</f>
        <v/>
      </c>
    </row>
    <row r="1746">
      <c r="A1746" s="31" t="n"/>
      <c r="B1746" s="32" t="n"/>
      <c r="C1746" s="32" t="n"/>
      <c r="D1746" s="33" t="n"/>
      <c r="E1746" s="34" t="n"/>
      <c r="F1746" s="35" t="n"/>
      <c r="G1746" s="35" t="n"/>
      <c r="H1746" s="32" t="n"/>
      <c r="I1746" s="32" t="n"/>
      <c r="J1746" s="32" t="n"/>
      <c r="K1746" s="36">
        <f>IF(E1746&lt;&gt;"",E1746,IF(AND(F1746&lt;&gt;"",G1746&lt;&gt;""),MOD(G1746-F1746,1)*24,""))</f>
        <v/>
      </c>
      <c r="L1746" s="37">
        <f>IF(A1746="","",CHOOSE(WEEKDAY(A1746,2),"Montag","Dienstag","Mittwoch","Donnerstag","Freitag","Samstag","Sonntag"))</f>
        <v/>
      </c>
      <c r="M1746" s="37">
        <f>IF(A1746="","",_xlfn.ISOWEEKNUM(A1746))</f>
        <v/>
      </c>
      <c r="N1746" s="38">
        <f>IF(A1746="","",DATE(YEAR(A1746),MONTH(A1746),1))</f>
        <v/>
      </c>
    </row>
    <row r="1747">
      <c r="A1747" s="31" t="n"/>
      <c r="B1747" s="32" t="n"/>
      <c r="C1747" s="32" t="n"/>
      <c r="D1747" s="33" t="n"/>
      <c r="E1747" s="34" t="n"/>
      <c r="F1747" s="35" t="n"/>
      <c r="G1747" s="35" t="n"/>
      <c r="H1747" s="32" t="n"/>
      <c r="I1747" s="32" t="n"/>
      <c r="J1747" s="32" t="n"/>
      <c r="K1747" s="36">
        <f>IF(E1747&lt;&gt;"",E1747,IF(AND(F1747&lt;&gt;"",G1747&lt;&gt;""),MOD(G1747-F1747,1)*24,""))</f>
        <v/>
      </c>
      <c r="L1747" s="37">
        <f>IF(A1747="","",CHOOSE(WEEKDAY(A1747,2),"Montag","Dienstag","Mittwoch","Donnerstag","Freitag","Samstag","Sonntag"))</f>
        <v/>
      </c>
      <c r="M1747" s="37">
        <f>IF(A1747="","",_xlfn.ISOWEEKNUM(A1747))</f>
        <v/>
      </c>
      <c r="N1747" s="38">
        <f>IF(A1747="","",DATE(YEAR(A1747),MONTH(A1747),1))</f>
        <v/>
      </c>
    </row>
    <row r="1748">
      <c r="A1748" s="31" t="n"/>
      <c r="B1748" s="32" t="n"/>
      <c r="C1748" s="32" t="n"/>
      <c r="D1748" s="33" t="n"/>
      <c r="E1748" s="34" t="n"/>
      <c r="F1748" s="35" t="n"/>
      <c r="G1748" s="35" t="n"/>
      <c r="H1748" s="32" t="n"/>
      <c r="I1748" s="32" t="n"/>
      <c r="J1748" s="32" t="n"/>
      <c r="K1748" s="36">
        <f>IF(E1748&lt;&gt;"",E1748,IF(AND(F1748&lt;&gt;"",G1748&lt;&gt;""),MOD(G1748-F1748,1)*24,""))</f>
        <v/>
      </c>
      <c r="L1748" s="37">
        <f>IF(A1748="","",CHOOSE(WEEKDAY(A1748,2),"Montag","Dienstag","Mittwoch","Donnerstag","Freitag","Samstag","Sonntag"))</f>
        <v/>
      </c>
      <c r="M1748" s="37">
        <f>IF(A1748="","",_xlfn.ISOWEEKNUM(A1748))</f>
        <v/>
      </c>
      <c r="N1748" s="38">
        <f>IF(A1748="","",DATE(YEAR(A1748),MONTH(A1748),1))</f>
        <v/>
      </c>
    </row>
    <row r="1749">
      <c r="A1749" s="31" t="n"/>
      <c r="B1749" s="32" t="n"/>
      <c r="C1749" s="32" t="n"/>
      <c r="D1749" s="33" t="n"/>
      <c r="E1749" s="34" t="n"/>
      <c r="F1749" s="35" t="n"/>
      <c r="G1749" s="35" t="n"/>
      <c r="H1749" s="32" t="n"/>
      <c r="I1749" s="32" t="n"/>
      <c r="J1749" s="32" t="n"/>
      <c r="K1749" s="36">
        <f>IF(E1749&lt;&gt;"",E1749,IF(AND(F1749&lt;&gt;"",G1749&lt;&gt;""),MOD(G1749-F1749,1)*24,""))</f>
        <v/>
      </c>
      <c r="L1749" s="37">
        <f>IF(A1749="","",CHOOSE(WEEKDAY(A1749,2),"Montag","Dienstag","Mittwoch","Donnerstag","Freitag","Samstag","Sonntag"))</f>
        <v/>
      </c>
      <c r="M1749" s="37">
        <f>IF(A1749="","",_xlfn.ISOWEEKNUM(A1749))</f>
        <v/>
      </c>
      <c r="N1749" s="38">
        <f>IF(A1749="","",DATE(YEAR(A1749),MONTH(A1749),1))</f>
        <v/>
      </c>
    </row>
    <row r="1750">
      <c r="A1750" s="31" t="n"/>
      <c r="B1750" s="32" t="n"/>
      <c r="C1750" s="32" t="n"/>
      <c r="D1750" s="33" t="n"/>
      <c r="E1750" s="34" t="n"/>
      <c r="F1750" s="35" t="n"/>
      <c r="G1750" s="35" t="n"/>
      <c r="H1750" s="32" t="n"/>
      <c r="I1750" s="32" t="n"/>
      <c r="J1750" s="32" t="n"/>
      <c r="K1750" s="36">
        <f>IF(E1750&lt;&gt;"",E1750,IF(AND(F1750&lt;&gt;"",G1750&lt;&gt;""),MOD(G1750-F1750,1)*24,""))</f>
        <v/>
      </c>
      <c r="L1750" s="37">
        <f>IF(A1750="","",CHOOSE(WEEKDAY(A1750,2),"Montag","Dienstag","Mittwoch","Donnerstag","Freitag","Samstag","Sonntag"))</f>
        <v/>
      </c>
      <c r="M1750" s="37">
        <f>IF(A1750="","",_xlfn.ISOWEEKNUM(A1750))</f>
        <v/>
      </c>
      <c r="N1750" s="38">
        <f>IF(A1750="","",DATE(YEAR(A1750),MONTH(A1750),1))</f>
        <v/>
      </c>
    </row>
    <row r="1751">
      <c r="A1751" s="31" t="n"/>
      <c r="B1751" s="32" t="n"/>
      <c r="C1751" s="32" t="n"/>
      <c r="D1751" s="33" t="n"/>
      <c r="E1751" s="34" t="n"/>
      <c r="F1751" s="35" t="n"/>
      <c r="G1751" s="35" t="n"/>
      <c r="H1751" s="32" t="n"/>
      <c r="I1751" s="32" t="n"/>
      <c r="J1751" s="32" t="n"/>
      <c r="K1751" s="36">
        <f>IF(E1751&lt;&gt;"",E1751,IF(AND(F1751&lt;&gt;"",G1751&lt;&gt;""),MOD(G1751-F1751,1)*24,""))</f>
        <v/>
      </c>
      <c r="L1751" s="37">
        <f>IF(A1751="","",CHOOSE(WEEKDAY(A1751,2),"Montag","Dienstag","Mittwoch","Donnerstag","Freitag","Samstag","Sonntag"))</f>
        <v/>
      </c>
      <c r="M1751" s="37">
        <f>IF(A1751="","",_xlfn.ISOWEEKNUM(A1751))</f>
        <v/>
      </c>
      <c r="N1751" s="38">
        <f>IF(A1751="","",DATE(YEAR(A1751),MONTH(A1751),1))</f>
        <v/>
      </c>
    </row>
    <row r="1752">
      <c r="A1752" s="31" t="n"/>
      <c r="B1752" s="32" t="n"/>
      <c r="C1752" s="32" t="n"/>
      <c r="D1752" s="33" t="n"/>
      <c r="E1752" s="34" t="n"/>
      <c r="F1752" s="35" t="n"/>
      <c r="G1752" s="35" t="n"/>
      <c r="H1752" s="32" t="n"/>
      <c r="I1752" s="32" t="n"/>
      <c r="J1752" s="32" t="n"/>
      <c r="K1752" s="36">
        <f>IF(E1752&lt;&gt;"",E1752,IF(AND(F1752&lt;&gt;"",G1752&lt;&gt;""),MOD(G1752-F1752,1)*24,""))</f>
        <v/>
      </c>
      <c r="L1752" s="37">
        <f>IF(A1752="","",CHOOSE(WEEKDAY(A1752,2),"Montag","Dienstag","Mittwoch","Donnerstag","Freitag","Samstag","Sonntag"))</f>
        <v/>
      </c>
      <c r="M1752" s="37">
        <f>IF(A1752="","",_xlfn.ISOWEEKNUM(A1752))</f>
        <v/>
      </c>
      <c r="N1752" s="38">
        <f>IF(A1752="","",DATE(YEAR(A1752),MONTH(A1752),1))</f>
        <v/>
      </c>
    </row>
    <row r="1753">
      <c r="A1753" s="31" t="n"/>
      <c r="B1753" s="32" t="n"/>
      <c r="C1753" s="32" t="n"/>
      <c r="D1753" s="33" t="n"/>
      <c r="E1753" s="34" t="n"/>
      <c r="F1753" s="35" t="n"/>
      <c r="G1753" s="35" t="n"/>
      <c r="H1753" s="32" t="n"/>
      <c r="I1753" s="32" t="n"/>
      <c r="J1753" s="32" t="n"/>
      <c r="K1753" s="36">
        <f>IF(E1753&lt;&gt;"",E1753,IF(AND(F1753&lt;&gt;"",G1753&lt;&gt;""),MOD(G1753-F1753,1)*24,""))</f>
        <v/>
      </c>
      <c r="L1753" s="37">
        <f>IF(A1753="","",CHOOSE(WEEKDAY(A1753,2),"Montag","Dienstag","Mittwoch","Donnerstag","Freitag","Samstag","Sonntag"))</f>
        <v/>
      </c>
      <c r="M1753" s="37">
        <f>IF(A1753="","",_xlfn.ISOWEEKNUM(A1753))</f>
        <v/>
      </c>
      <c r="N1753" s="38">
        <f>IF(A1753="","",DATE(YEAR(A1753),MONTH(A1753),1))</f>
        <v/>
      </c>
    </row>
    <row r="1754">
      <c r="A1754" s="31" t="n"/>
      <c r="B1754" s="32" t="n"/>
      <c r="C1754" s="32" t="n"/>
      <c r="D1754" s="33" t="n"/>
      <c r="E1754" s="34" t="n"/>
      <c r="F1754" s="35" t="n"/>
      <c r="G1754" s="35" t="n"/>
      <c r="H1754" s="32" t="n"/>
      <c r="I1754" s="32" t="n"/>
      <c r="J1754" s="32" t="n"/>
      <c r="K1754" s="36">
        <f>IF(E1754&lt;&gt;"",E1754,IF(AND(F1754&lt;&gt;"",G1754&lt;&gt;""),MOD(G1754-F1754,1)*24,""))</f>
        <v/>
      </c>
      <c r="L1754" s="37">
        <f>IF(A1754="","",CHOOSE(WEEKDAY(A1754,2),"Montag","Dienstag","Mittwoch","Donnerstag","Freitag","Samstag","Sonntag"))</f>
        <v/>
      </c>
      <c r="M1754" s="37">
        <f>IF(A1754="","",_xlfn.ISOWEEKNUM(A1754))</f>
        <v/>
      </c>
      <c r="N1754" s="38">
        <f>IF(A1754="","",DATE(YEAR(A1754),MONTH(A1754),1))</f>
        <v/>
      </c>
    </row>
    <row r="1755">
      <c r="A1755" s="31" t="n"/>
      <c r="B1755" s="32" t="n"/>
      <c r="C1755" s="32" t="n"/>
      <c r="D1755" s="33" t="n"/>
      <c r="E1755" s="34" t="n"/>
      <c r="F1755" s="35" t="n"/>
      <c r="G1755" s="35" t="n"/>
      <c r="H1755" s="32" t="n"/>
      <c r="I1755" s="32" t="n"/>
      <c r="J1755" s="32" t="n"/>
      <c r="K1755" s="36">
        <f>IF(E1755&lt;&gt;"",E1755,IF(AND(F1755&lt;&gt;"",G1755&lt;&gt;""),MOD(G1755-F1755,1)*24,""))</f>
        <v/>
      </c>
      <c r="L1755" s="37">
        <f>IF(A1755="","",CHOOSE(WEEKDAY(A1755,2),"Montag","Dienstag","Mittwoch","Donnerstag","Freitag","Samstag","Sonntag"))</f>
        <v/>
      </c>
      <c r="M1755" s="37">
        <f>IF(A1755="","",_xlfn.ISOWEEKNUM(A1755))</f>
        <v/>
      </c>
      <c r="N1755" s="38">
        <f>IF(A1755="","",DATE(YEAR(A1755),MONTH(A1755),1))</f>
        <v/>
      </c>
    </row>
    <row r="1756">
      <c r="A1756" s="31" t="n"/>
      <c r="B1756" s="32" t="n"/>
      <c r="C1756" s="32" t="n"/>
      <c r="D1756" s="33" t="n"/>
      <c r="E1756" s="34" t="n"/>
      <c r="F1756" s="35" t="n"/>
      <c r="G1756" s="35" t="n"/>
      <c r="H1756" s="32" t="n"/>
      <c r="I1756" s="32" t="n"/>
      <c r="J1756" s="32" t="n"/>
      <c r="K1756" s="36">
        <f>IF(E1756&lt;&gt;"",E1756,IF(AND(F1756&lt;&gt;"",G1756&lt;&gt;""),MOD(G1756-F1756,1)*24,""))</f>
        <v/>
      </c>
      <c r="L1756" s="37">
        <f>IF(A1756="","",CHOOSE(WEEKDAY(A1756,2),"Montag","Dienstag","Mittwoch","Donnerstag","Freitag","Samstag","Sonntag"))</f>
        <v/>
      </c>
      <c r="M1756" s="37">
        <f>IF(A1756="","",_xlfn.ISOWEEKNUM(A1756))</f>
        <v/>
      </c>
      <c r="N1756" s="38">
        <f>IF(A1756="","",DATE(YEAR(A1756),MONTH(A1756),1))</f>
        <v/>
      </c>
    </row>
    <row r="1757">
      <c r="A1757" s="31" t="n"/>
      <c r="B1757" s="32" t="n"/>
      <c r="C1757" s="32" t="n"/>
      <c r="D1757" s="33" t="n"/>
      <c r="E1757" s="34" t="n"/>
      <c r="F1757" s="35" t="n"/>
      <c r="G1757" s="35" t="n"/>
      <c r="H1757" s="32" t="n"/>
      <c r="I1757" s="32" t="n"/>
      <c r="J1757" s="32" t="n"/>
      <c r="K1757" s="36">
        <f>IF(E1757&lt;&gt;"",E1757,IF(AND(F1757&lt;&gt;"",G1757&lt;&gt;""),MOD(G1757-F1757,1)*24,""))</f>
        <v/>
      </c>
      <c r="L1757" s="37">
        <f>IF(A1757="","",CHOOSE(WEEKDAY(A1757,2),"Montag","Dienstag","Mittwoch","Donnerstag","Freitag","Samstag","Sonntag"))</f>
        <v/>
      </c>
      <c r="M1757" s="37">
        <f>IF(A1757="","",_xlfn.ISOWEEKNUM(A1757))</f>
        <v/>
      </c>
      <c r="N1757" s="38">
        <f>IF(A1757="","",DATE(YEAR(A1757),MONTH(A1757),1))</f>
        <v/>
      </c>
    </row>
    <row r="1758">
      <c r="A1758" s="31" t="n"/>
      <c r="B1758" s="32" t="n"/>
      <c r="C1758" s="32" t="n"/>
      <c r="D1758" s="33" t="n"/>
      <c r="E1758" s="34" t="n"/>
      <c r="F1758" s="35" t="n"/>
      <c r="G1758" s="35" t="n"/>
      <c r="H1758" s="32" t="n"/>
      <c r="I1758" s="32" t="n"/>
      <c r="J1758" s="32" t="n"/>
      <c r="K1758" s="36">
        <f>IF(E1758&lt;&gt;"",E1758,IF(AND(F1758&lt;&gt;"",G1758&lt;&gt;""),MOD(G1758-F1758,1)*24,""))</f>
        <v/>
      </c>
      <c r="L1758" s="37">
        <f>IF(A1758="","",CHOOSE(WEEKDAY(A1758,2),"Montag","Dienstag","Mittwoch","Donnerstag","Freitag","Samstag","Sonntag"))</f>
        <v/>
      </c>
      <c r="M1758" s="37">
        <f>IF(A1758="","",_xlfn.ISOWEEKNUM(A1758))</f>
        <v/>
      </c>
      <c r="N1758" s="38">
        <f>IF(A1758="","",DATE(YEAR(A1758),MONTH(A1758),1))</f>
        <v/>
      </c>
    </row>
    <row r="1759">
      <c r="A1759" s="31" t="n"/>
      <c r="B1759" s="32" t="n"/>
      <c r="C1759" s="32" t="n"/>
      <c r="D1759" s="33" t="n"/>
      <c r="E1759" s="34" t="n"/>
      <c r="F1759" s="35" t="n"/>
      <c r="G1759" s="35" t="n"/>
      <c r="H1759" s="32" t="n"/>
      <c r="I1759" s="32" t="n"/>
      <c r="J1759" s="32" t="n"/>
      <c r="K1759" s="36">
        <f>IF(E1759&lt;&gt;"",E1759,IF(AND(F1759&lt;&gt;"",G1759&lt;&gt;""),MOD(G1759-F1759,1)*24,""))</f>
        <v/>
      </c>
      <c r="L1759" s="37">
        <f>IF(A1759="","",CHOOSE(WEEKDAY(A1759,2),"Montag","Dienstag","Mittwoch","Donnerstag","Freitag","Samstag","Sonntag"))</f>
        <v/>
      </c>
      <c r="M1759" s="37">
        <f>IF(A1759="","",_xlfn.ISOWEEKNUM(A1759))</f>
        <v/>
      </c>
      <c r="N1759" s="38">
        <f>IF(A1759="","",DATE(YEAR(A1759),MONTH(A1759),1))</f>
        <v/>
      </c>
    </row>
    <row r="1760">
      <c r="A1760" s="31" t="n"/>
      <c r="B1760" s="32" t="n"/>
      <c r="C1760" s="32" t="n"/>
      <c r="D1760" s="33" t="n"/>
      <c r="E1760" s="34" t="n"/>
      <c r="F1760" s="35" t="n"/>
      <c r="G1760" s="35" t="n"/>
      <c r="H1760" s="32" t="n"/>
      <c r="I1760" s="32" t="n"/>
      <c r="J1760" s="32" t="n"/>
      <c r="K1760" s="36">
        <f>IF(E1760&lt;&gt;"",E1760,IF(AND(F1760&lt;&gt;"",G1760&lt;&gt;""),MOD(G1760-F1760,1)*24,""))</f>
        <v/>
      </c>
      <c r="L1760" s="37">
        <f>IF(A1760="","",CHOOSE(WEEKDAY(A1760,2),"Montag","Dienstag","Mittwoch","Donnerstag","Freitag","Samstag","Sonntag"))</f>
        <v/>
      </c>
      <c r="M1760" s="37">
        <f>IF(A1760="","",_xlfn.ISOWEEKNUM(A1760))</f>
        <v/>
      </c>
      <c r="N1760" s="38">
        <f>IF(A1760="","",DATE(YEAR(A1760),MONTH(A1760),1))</f>
        <v/>
      </c>
    </row>
    <row r="1761">
      <c r="A1761" s="31" t="n"/>
      <c r="B1761" s="32" t="n"/>
      <c r="C1761" s="32" t="n"/>
      <c r="D1761" s="33" t="n"/>
      <c r="E1761" s="34" t="n"/>
      <c r="F1761" s="35" t="n"/>
      <c r="G1761" s="35" t="n"/>
      <c r="H1761" s="32" t="n"/>
      <c r="I1761" s="32" t="n"/>
      <c r="J1761" s="32" t="n"/>
      <c r="K1761" s="36">
        <f>IF(E1761&lt;&gt;"",E1761,IF(AND(F1761&lt;&gt;"",G1761&lt;&gt;""),MOD(G1761-F1761,1)*24,""))</f>
        <v/>
      </c>
      <c r="L1761" s="37">
        <f>IF(A1761="","",CHOOSE(WEEKDAY(A1761,2),"Montag","Dienstag","Mittwoch","Donnerstag","Freitag","Samstag","Sonntag"))</f>
        <v/>
      </c>
      <c r="M1761" s="37">
        <f>IF(A1761="","",_xlfn.ISOWEEKNUM(A1761))</f>
        <v/>
      </c>
      <c r="N1761" s="38">
        <f>IF(A1761="","",DATE(YEAR(A1761),MONTH(A1761),1))</f>
        <v/>
      </c>
    </row>
    <row r="1762">
      <c r="A1762" s="31" t="n"/>
      <c r="B1762" s="32" t="n"/>
      <c r="C1762" s="32" t="n"/>
      <c r="D1762" s="33" t="n"/>
      <c r="E1762" s="34" t="n"/>
      <c r="F1762" s="35" t="n"/>
      <c r="G1762" s="35" t="n"/>
      <c r="H1762" s="32" t="n"/>
      <c r="I1762" s="32" t="n"/>
      <c r="J1762" s="32" t="n"/>
      <c r="K1762" s="36">
        <f>IF(E1762&lt;&gt;"",E1762,IF(AND(F1762&lt;&gt;"",G1762&lt;&gt;""),MOD(G1762-F1762,1)*24,""))</f>
        <v/>
      </c>
      <c r="L1762" s="37">
        <f>IF(A1762="","",CHOOSE(WEEKDAY(A1762,2),"Montag","Dienstag","Mittwoch","Donnerstag","Freitag","Samstag","Sonntag"))</f>
        <v/>
      </c>
      <c r="M1762" s="37">
        <f>IF(A1762="","",_xlfn.ISOWEEKNUM(A1762))</f>
        <v/>
      </c>
      <c r="N1762" s="38">
        <f>IF(A1762="","",DATE(YEAR(A1762),MONTH(A1762),1))</f>
        <v/>
      </c>
    </row>
    <row r="1763">
      <c r="A1763" s="31" t="n"/>
      <c r="B1763" s="32" t="n"/>
      <c r="C1763" s="32" t="n"/>
      <c r="D1763" s="33" t="n"/>
      <c r="E1763" s="34" t="n"/>
      <c r="F1763" s="35" t="n"/>
      <c r="G1763" s="35" t="n"/>
      <c r="H1763" s="32" t="n"/>
      <c r="I1763" s="32" t="n"/>
      <c r="J1763" s="32" t="n"/>
      <c r="K1763" s="36">
        <f>IF(E1763&lt;&gt;"",E1763,IF(AND(F1763&lt;&gt;"",G1763&lt;&gt;""),MOD(G1763-F1763,1)*24,""))</f>
        <v/>
      </c>
      <c r="L1763" s="37">
        <f>IF(A1763="","",CHOOSE(WEEKDAY(A1763,2),"Montag","Dienstag","Mittwoch","Donnerstag","Freitag","Samstag","Sonntag"))</f>
        <v/>
      </c>
      <c r="M1763" s="37">
        <f>IF(A1763="","",_xlfn.ISOWEEKNUM(A1763))</f>
        <v/>
      </c>
      <c r="N1763" s="38">
        <f>IF(A1763="","",DATE(YEAR(A1763),MONTH(A1763),1))</f>
        <v/>
      </c>
    </row>
    <row r="1764">
      <c r="A1764" s="31" t="n"/>
      <c r="B1764" s="32" t="n"/>
      <c r="C1764" s="32" t="n"/>
      <c r="D1764" s="33" t="n"/>
      <c r="E1764" s="34" t="n"/>
      <c r="F1764" s="35" t="n"/>
      <c r="G1764" s="35" t="n"/>
      <c r="H1764" s="32" t="n"/>
      <c r="I1764" s="32" t="n"/>
      <c r="J1764" s="32" t="n"/>
      <c r="K1764" s="36">
        <f>IF(E1764&lt;&gt;"",E1764,IF(AND(F1764&lt;&gt;"",G1764&lt;&gt;""),MOD(G1764-F1764,1)*24,""))</f>
        <v/>
      </c>
      <c r="L1764" s="37">
        <f>IF(A1764="","",CHOOSE(WEEKDAY(A1764,2),"Montag","Dienstag","Mittwoch","Donnerstag","Freitag","Samstag","Sonntag"))</f>
        <v/>
      </c>
      <c r="M1764" s="37">
        <f>IF(A1764="","",_xlfn.ISOWEEKNUM(A1764))</f>
        <v/>
      </c>
      <c r="N1764" s="38">
        <f>IF(A1764="","",DATE(YEAR(A1764),MONTH(A1764),1))</f>
        <v/>
      </c>
    </row>
    <row r="1765">
      <c r="A1765" s="31" t="n"/>
      <c r="B1765" s="32" t="n"/>
      <c r="C1765" s="32" t="n"/>
      <c r="D1765" s="33" t="n"/>
      <c r="E1765" s="34" t="n"/>
      <c r="F1765" s="35" t="n"/>
      <c r="G1765" s="35" t="n"/>
      <c r="H1765" s="32" t="n"/>
      <c r="I1765" s="32" t="n"/>
      <c r="J1765" s="32" t="n"/>
      <c r="K1765" s="36">
        <f>IF(E1765&lt;&gt;"",E1765,IF(AND(F1765&lt;&gt;"",G1765&lt;&gt;""),MOD(G1765-F1765,1)*24,""))</f>
        <v/>
      </c>
      <c r="L1765" s="37">
        <f>IF(A1765="","",CHOOSE(WEEKDAY(A1765,2),"Montag","Dienstag","Mittwoch","Donnerstag","Freitag","Samstag","Sonntag"))</f>
        <v/>
      </c>
      <c r="M1765" s="37">
        <f>IF(A1765="","",_xlfn.ISOWEEKNUM(A1765))</f>
        <v/>
      </c>
      <c r="N1765" s="38">
        <f>IF(A1765="","",DATE(YEAR(A1765),MONTH(A1765),1))</f>
        <v/>
      </c>
    </row>
    <row r="1766">
      <c r="A1766" s="31" t="n"/>
      <c r="B1766" s="32" t="n"/>
      <c r="C1766" s="32" t="n"/>
      <c r="D1766" s="33" t="n"/>
      <c r="E1766" s="34" t="n"/>
      <c r="F1766" s="35" t="n"/>
      <c r="G1766" s="35" t="n"/>
      <c r="H1766" s="32" t="n"/>
      <c r="I1766" s="32" t="n"/>
      <c r="J1766" s="32" t="n"/>
      <c r="K1766" s="36">
        <f>IF(E1766&lt;&gt;"",E1766,IF(AND(F1766&lt;&gt;"",G1766&lt;&gt;""),MOD(G1766-F1766,1)*24,""))</f>
        <v/>
      </c>
      <c r="L1766" s="37">
        <f>IF(A1766="","",CHOOSE(WEEKDAY(A1766,2),"Montag","Dienstag","Mittwoch","Donnerstag","Freitag","Samstag","Sonntag"))</f>
        <v/>
      </c>
      <c r="M1766" s="37">
        <f>IF(A1766="","",_xlfn.ISOWEEKNUM(A1766))</f>
        <v/>
      </c>
      <c r="N1766" s="38">
        <f>IF(A1766="","",DATE(YEAR(A1766),MONTH(A1766),1))</f>
        <v/>
      </c>
    </row>
    <row r="1767">
      <c r="A1767" s="31" t="n"/>
      <c r="B1767" s="32" t="n"/>
      <c r="C1767" s="32" t="n"/>
      <c r="D1767" s="33" t="n"/>
      <c r="E1767" s="34" t="n"/>
      <c r="F1767" s="35" t="n"/>
      <c r="G1767" s="35" t="n"/>
      <c r="H1767" s="32" t="n"/>
      <c r="I1767" s="32" t="n"/>
      <c r="J1767" s="32" t="n"/>
      <c r="K1767" s="36">
        <f>IF(E1767&lt;&gt;"",E1767,IF(AND(F1767&lt;&gt;"",G1767&lt;&gt;""),MOD(G1767-F1767,1)*24,""))</f>
        <v/>
      </c>
      <c r="L1767" s="37">
        <f>IF(A1767="","",CHOOSE(WEEKDAY(A1767,2),"Montag","Dienstag","Mittwoch","Donnerstag","Freitag","Samstag","Sonntag"))</f>
        <v/>
      </c>
      <c r="M1767" s="37">
        <f>IF(A1767="","",_xlfn.ISOWEEKNUM(A1767))</f>
        <v/>
      </c>
      <c r="N1767" s="38">
        <f>IF(A1767="","",DATE(YEAR(A1767),MONTH(A1767),1))</f>
        <v/>
      </c>
    </row>
    <row r="1768">
      <c r="A1768" s="31" t="n"/>
      <c r="B1768" s="32" t="n"/>
      <c r="C1768" s="32" t="n"/>
      <c r="D1768" s="33" t="n"/>
      <c r="E1768" s="34" t="n"/>
      <c r="F1768" s="35" t="n"/>
      <c r="G1768" s="35" t="n"/>
      <c r="H1768" s="32" t="n"/>
      <c r="I1768" s="32" t="n"/>
      <c r="J1768" s="32" t="n"/>
      <c r="K1768" s="36">
        <f>IF(E1768&lt;&gt;"",E1768,IF(AND(F1768&lt;&gt;"",G1768&lt;&gt;""),MOD(G1768-F1768,1)*24,""))</f>
        <v/>
      </c>
      <c r="L1768" s="37">
        <f>IF(A1768="","",CHOOSE(WEEKDAY(A1768,2),"Montag","Dienstag","Mittwoch","Donnerstag","Freitag","Samstag","Sonntag"))</f>
        <v/>
      </c>
      <c r="M1768" s="37">
        <f>IF(A1768="","",_xlfn.ISOWEEKNUM(A1768))</f>
        <v/>
      </c>
      <c r="N1768" s="38">
        <f>IF(A1768="","",DATE(YEAR(A1768),MONTH(A1768),1))</f>
        <v/>
      </c>
    </row>
    <row r="1769">
      <c r="A1769" s="31" t="n"/>
      <c r="B1769" s="32" t="n"/>
      <c r="C1769" s="32" t="n"/>
      <c r="D1769" s="33" t="n"/>
      <c r="E1769" s="34" t="n"/>
      <c r="F1769" s="35" t="n"/>
      <c r="G1769" s="35" t="n"/>
      <c r="H1769" s="32" t="n"/>
      <c r="I1769" s="32" t="n"/>
      <c r="J1769" s="32" t="n"/>
      <c r="K1769" s="36">
        <f>IF(E1769&lt;&gt;"",E1769,IF(AND(F1769&lt;&gt;"",G1769&lt;&gt;""),MOD(G1769-F1769,1)*24,""))</f>
        <v/>
      </c>
      <c r="L1769" s="37">
        <f>IF(A1769="","",CHOOSE(WEEKDAY(A1769,2),"Montag","Dienstag","Mittwoch","Donnerstag","Freitag","Samstag","Sonntag"))</f>
        <v/>
      </c>
      <c r="M1769" s="37">
        <f>IF(A1769="","",_xlfn.ISOWEEKNUM(A1769))</f>
        <v/>
      </c>
      <c r="N1769" s="38">
        <f>IF(A1769="","",DATE(YEAR(A1769),MONTH(A1769),1))</f>
        <v/>
      </c>
    </row>
    <row r="1770">
      <c r="A1770" s="31" t="n"/>
      <c r="B1770" s="32" t="n"/>
      <c r="C1770" s="32" t="n"/>
      <c r="D1770" s="33" t="n"/>
      <c r="E1770" s="34" t="n"/>
      <c r="F1770" s="35" t="n"/>
      <c r="G1770" s="35" t="n"/>
      <c r="H1770" s="32" t="n"/>
      <c r="I1770" s="32" t="n"/>
      <c r="J1770" s="32" t="n"/>
      <c r="K1770" s="36">
        <f>IF(E1770&lt;&gt;"",E1770,IF(AND(F1770&lt;&gt;"",G1770&lt;&gt;""),MOD(G1770-F1770,1)*24,""))</f>
        <v/>
      </c>
      <c r="L1770" s="37">
        <f>IF(A1770="","",CHOOSE(WEEKDAY(A1770,2),"Montag","Dienstag","Mittwoch","Donnerstag","Freitag","Samstag","Sonntag"))</f>
        <v/>
      </c>
      <c r="M1770" s="37">
        <f>IF(A1770="","",_xlfn.ISOWEEKNUM(A1770))</f>
        <v/>
      </c>
      <c r="N1770" s="38">
        <f>IF(A1770="","",DATE(YEAR(A1770),MONTH(A1770),1))</f>
        <v/>
      </c>
    </row>
    <row r="1771">
      <c r="A1771" s="31" t="n"/>
      <c r="B1771" s="32" t="n"/>
      <c r="C1771" s="32" t="n"/>
      <c r="D1771" s="33" t="n"/>
      <c r="E1771" s="34" t="n"/>
      <c r="F1771" s="35" t="n"/>
      <c r="G1771" s="35" t="n"/>
      <c r="H1771" s="32" t="n"/>
      <c r="I1771" s="32" t="n"/>
      <c r="J1771" s="32" t="n"/>
      <c r="K1771" s="36">
        <f>IF(E1771&lt;&gt;"",E1771,IF(AND(F1771&lt;&gt;"",G1771&lt;&gt;""),MOD(G1771-F1771,1)*24,""))</f>
        <v/>
      </c>
      <c r="L1771" s="37">
        <f>IF(A1771="","",CHOOSE(WEEKDAY(A1771,2),"Montag","Dienstag","Mittwoch","Donnerstag","Freitag","Samstag","Sonntag"))</f>
        <v/>
      </c>
      <c r="M1771" s="37">
        <f>IF(A1771="","",_xlfn.ISOWEEKNUM(A1771))</f>
        <v/>
      </c>
      <c r="N1771" s="38">
        <f>IF(A1771="","",DATE(YEAR(A1771),MONTH(A1771),1))</f>
        <v/>
      </c>
    </row>
    <row r="1772">
      <c r="A1772" s="31" t="n"/>
      <c r="B1772" s="32" t="n"/>
      <c r="C1772" s="32" t="n"/>
      <c r="D1772" s="33" t="n"/>
      <c r="E1772" s="34" t="n"/>
      <c r="F1772" s="35" t="n"/>
      <c r="G1772" s="35" t="n"/>
      <c r="H1772" s="32" t="n"/>
      <c r="I1772" s="32" t="n"/>
      <c r="J1772" s="32" t="n"/>
      <c r="K1772" s="36">
        <f>IF(E1772&lt;&gt;"",E1772,IF(AND(F1772&lt;&gt;"",G1772&lt;&gt;""),MOD(G1772-F1772,1)*24,""))</f>
        <v/>
      </c>
      <c r="L1772" s="37">
        <f>IF(A1772="","",CHOOSE(WEEKDAY(A1772,2),"Montag","Dienstag","Mittwoch","Donnerstag","Freitag","Samstag","Sonntag"))</f>
        <v/>
      </c>
      <c r="M1772" s="37">
        <f>IF(A1772="","",_xlfn.ISOWEEKNUM(A1772))</f>
        <v/>
      </c>
      <c r="N1772" s="38">
        <f>IF(A1772="","",DATE(YEAR(A1772),MONTH(A1772),1))</f>
        <v/>
      </c>
    </row>
    <row r="1773">
      <c r="A1773" s="31" t="n"/>
      <c r="B1773" s="32" t="n"/>
      <c r="C1773" s="32" t="n"/>
      <c r="D1773" s="33" t="n"/>
      <c r="E1773" s="34" t="n"/>
      <c r="F1773" s="35" t="n"/>
      <c r="G1773" s="35" t="n"/>
      <c r="H1773" s="32" t="n"/>
      <c r="I1773" s="32" t="n"/>
      <c r="J1773" s="32" t="n"/>
      <c r="K1773" s="36">
        <f>IF(E1773&lt;&gt;"",E1773,IF(AND(F1773&lt;&gt;"",G1773&lt;&gt;""),MOD(G1773-F1773,1)*24,""))</f>
        <v/>
      </c>
      <c r="L1773" s="37">
        <f>IF(A1773="","",CHOOSE(WEEKDAY(A1773,2),"Montag","Dienstag","Mittwoch","Donnerstag","Freitag","Samstag","Sonntag"))</f>
        <v/>
      </c>
      <c r="M1773" s="37">
        <f>IF(A1773="","",_xlfn.ISOWEEKNUM(A1773))</f>
        <v/>
      </c>
      <c r="N1773" s="38">
        <f>IF(A1773="","",DATE(YEAR(A1773),MONTH(A1773),1))</f>
        <v/>
      </c>
    </row>
    <row r="1774">
      <c r="A1774" s="31" t="n"/>
      <c r="B1774" s="32" t="n"/>
      <c r="C1774" s="32" t="n"/>
      <c r="D1774" s="33" t="n"/>
      <c r="E1774" s="34" t="n"/>
      <c r="F1774" s="35" t="n"/>
      <c r="G1774" s="35" t="n"/>
      <c r="H1774" s="32" t="n"/>
      <c r="I1774" s="32" t="n"/>
      <c r="J1774" s="32" t="n"/>
      <c r="K1774" s="36">
        <f>IF(E1774&lt;&gt;"",E1774,IF(AND(F1774&lt;&gt;"",G1774&lt;&gt;""),MOD(G1774-F1774,1)*24,""))</f>
        <v/>
      </c>
      <c r="L1774" s="37">
        <f>IF(A1774="","",CHOOSE(WEEKDAY(A1774,2),"Montag","Dienstag","Mittwoch","Donnerstag","Freitag","Samstag","Sonntag"))</f>
        <v/>
      </c>
      <c r="M1774" s="37">
        <f>IF(A1774="","",_xlfn.ISOWEEKNUM(A1774))</f>
        <v/>
      </c>
      <c r="N1774" s="38">
        <f>IF(A1774="","",DATE(YEAR(A1774),MONTH(A1774),1))</f>
        <v/>
      </c>
    </row>
    <row r="1775">
      <c r="A1775" s="31" t="n"/>
      <c r="B1775" s="32" t="n"/>
      <c r="C1775" s="32" t="n"/>
      <c r="D1775" s="33" t="n"/>
      <c r="E1775" s="34" t="n"/>
      <c r="F1775" s="35" t="n"/>
      <c r="G1775" s="35" t="n"/>
      <c r="H1775" s="32" t="n"/>
      <c r="I1775" s="32" t="n"/>
      <c r="J1775" s="32" t="n"/>
      <c r="K1775" s="36">
        <f>IF(E1775&lt;&gt;"",E1775,IF(AND(F1775&lt;&gt;"",G1775&lt;&gt;""),MOD(G1775-F1775,1)*24,""))</f>
        <v/>
      </c>
      <c r="L1775" s="37">
        <f>IF(A1775="","",CHOOSE(WEEKDAY(A1775,2),"Montag","Dienstag","Mittwoch","Donnerstag","Freitag","Samstag","Sonntag"))</f>
        <v/>
      </c>
      <c r="M1775" s="37">
        <f>IF(A1775="","",_xlfn.ISOWEEKNUM(A1775))</f>
        <v/>
      </c>
      <c r="N1775" s="38">
        <f>IF(A1775="","",DATE(YEAR(A1775),MONTH(A1775),1))</f>
        <v/>
      </c>
    </row>
    <row r="1776">
      <c r="A1776" s="31" t="n"/>
      <c r="B1776" s="32" t="n"/>
      <c r="C1776" s="32" t="n"/>
      <c r="D1776" s="33" t="n"/>
      <c r="E1776" s="34" t="n"/>
      <c r="F1776" s="35" t="n"/>
      <c r="G1776" s="35" t="n"/>
      <c r="H1776" s="32" t="n"/>
      <c r="I1776" s="32" t="n"/>
      <c r="J1776" s="32" t="n"/>
      <c r="K1776" s="36">
        <f>IF(E1776&lt;&gt;"",E1776,IF(AND(F1776&lt;&gt;"",G1776&lt;&gt;""),MOD(G1776-F1776,1)*24,""))</f>
        <v/>
      </c>
      <c r="L1776" s="37">
        <f>IF(A1776="","",CHOOSE(WEEKDAY(A1776,2),"Montag","Dienstag","Mittwoch","Donnerstag","Freitag","Samstag","Sonntag"))</f>
        <v/>
      </c>
      <c r="M1776" s="37">
        <f>IF(A1776="","",_xlfn.ISOWEEKNUM(A1776))</f>
        <v/>
      </c>
      <c r="N1776" s="38">
        <f>IF(A1776="","",DATE(YEAR(A1776),MONTH(A1776),1))</f>
        <v/>
      </c>
    </row>
    <row r="1777">
      <c r="A1777" s="31" t="n"/>
      <c r="B1777" s="32" t="n"/>
      <c r="C1777" s="32" t="n"/>
      <c r="D1777" s="33" t="n"/>
      <c r="E1777" s="34" t="n"/>
      <c r="F1777" s="35" t="n"/>
      <c r="G1777" s="35" t="n"/>
      <c r="H1777" s="32" t="n"/>
      <c r="I1777" s="32" t="n"/>
      <c r="J1777" s="32" t="n"/>
      <c r="K1777" s="36">
        <f>IF(E1777&lt;&gt;"",E1777,IF(AND(F1777&lt;&gt;"",G1777&lt;&gt;""),MOD(G1777-F1777,1)*24,""))</f>
        <v/>
      </c>
      <c r="L1777" s="37">
        <f>IF(A1777="","",CHOOSE(WEEKDAY(A1777,2),"Montag","Dienstag","Mittwoch","Donnerstag","Freitag","Samstag","Sonntag"))</f>
        <v/>
      </c>
      <c r="M1777" s="37">
        <f>IF(A1777="","",_xlfn.ISOWEEKNUM(A1777))</f>
        <v/>
      </c>
      <c r="N1777" s="38">
        <f>IF(A1777="","",DATE(YEAR(A1777),MONTH(A1777),1))</f>
        <v/>
      </c>
    </row>
    <row r="1778">
      <c r="A1778" s="31" t="n"/>
      <c r="B1778" s="32" t="n"/>
      <c r="C1778" s="32" t="n"/>
      <c r="D1778" s="33" t="n"/>
      <c r="E1778" s="34" t="n"/>
      <c r="F1778" s="35" t="n"/>
      <c r="G1778" s="35" t="n"/>
      <c r="H1778" s="32" t="n"/>
      <c r="I1778" s="32" t="n"/>
      <c r="J1778" s="32" t="n"/>
      <c r="K1778" s="36">
        <f>IF(E1778&lt;&gt;"",E1778,IF(AND(F1778&lt;&gt;"",G1778&lt;&gt;""),MOD(G1778-F1778,1)*24,""))</f>
        <v/>
      </c>
      <c r="L1778" s="37">
        <f>IF(A1778="","",CHOOSE(WEEKDAY(A1778,2),"Montag","Dienstag","Mittwoch","Donnerstag","Freitag","Samstag","Sonntag"))</f>
        <v/>
      </c>
      <c r="M1778" s="37">
        <f>IF(A1778="","",_xlfn.ISOWEEKNUM(A1778))</f>
        <v/>
      </c>
      <c r="N1778" s="38">
        <f>IF(A1778="","",DATE(YEAR(A1778),MONTH(A1778),1))</f>
        <v/>
      </c>
    </row>
    <row r="1779">
      <c r="A1779" s="31" t="n"/>
      <c r="B1779" s="32" t="n"/>
      <c r="C1779" s="32" t="n"/>
      <c r="D1779" s="33" t="n"/>
      <c r="E1779" s="34" t="n"/>
      <c r="F1779" s="35" t="n"/>
      <c r="G1779" s="35" t="n"/>
      <c r="H1779" s="32" t="n"/>
      <c r="I1779" s="32" t="n"/>
      <c r="J1779" s="32" t="n"/>
      <c r="K1779" s="36">
        <f>IF(E1779&lt;&gt;"",E1779,IF(AND(F1779&lt;&gt;"",G1779&lt;&gt;""),MOD(G1779-F1779,1)*24,""))</f>
        <v/>
      </c>
      <c r="L1779" s="37">
        <f>IF(A1779="","",CHOOSE(WEEKDAY(A1779,2),"Montag","Dienstag","Mittwoch","Donnerstag","Freitag","Samstag","Sonntag"))</f>
        <v/>
      </c>
      <c r="M1779" s="37">
        <f>IF(A1779="","",_xlfn.ISOWEEKNUM(A1779))</f>
        <v/>
      </c>
      <c r="N1779" s="38">
        <f>IF(A1779="","",DATE(YEAR(A1779),MONTH(A1779),1))</f>
        <v/>
      </c>
    </row>
    <row r="1780">
      <c r="A1780" s="31" t="n"/>
      <c r="B1780" s="32" t="n"/>
      <c r="C1780" s="32" t="n"/>
      <c r="D1780" s="33" t="n"/>
      <c r="E1780" s="34" t="n"/>
      <c r="F1780" s="35" t="n"/>
      <c r="G1780" s="35" t="n"/>
      <c r="H1780" s="32" t="n"/>
      <c r="I1780" s="32" t="n"/>
      <c r="J1780" s="32" t="n"/>
      <c r="K1780" s="36">
        <f>IF(E1780&lt;&gt;"",E1780,IF(AND(F1780&lt;&gt;"",G1780&lt;&gt;""),MOD(G1780-F1780,1)*24,""))</f>
        <v/>
      </c>
      <c r="L1780" s="37">
        <f>IF(A1780="","",CHOOSE(WEEKDAY(A1780,2),"Montag","Dienstag","Mittwoch","Donnerstag","Freitag","Samstag","Sonntag"))</f>
        <v/>
      </c>
      <c r="M1780" s="37">
        <f>IF(A1780="","",_xlfn.ISOWEEKNUM(A1780))</f>
        <v/>
      </c>
      <c r="N1780" s="38">
        <f>IF(A1780="","",DATE(YEAR(A1780),MONTH(A1780),1))</f>
        <v/>
      </c>
    </row>
    <row r="1781">
      <c r="A1781" s="31" t="n"/>
      <c r="B1781" s="32" t="n"/>
      <c r="C1781" s="32" t="n"/>
      <c r="D1781" s="33" t="n"/>
      <c r="E1781" s="34" t="n"/>
      <c r="F1781" s="35" t="n"/>
      <c r="G1781" s="35" t="n"/>
      <c r="H1781" s="32" t="n"/>
      <c r="I1781" s="32" t="n"/>
      <c r="J1781" s="32" t="n"/>
      <c r="K1781" s="36">
        <f>IF(E1781&lt;&gt;"",E1781,IF(AND(F1781&lt;&gt;"",G1781&lt;&gt;""),MOD(G1781-F1781,1)*24,""))</f>
        <v/>
      </c>
      <c r="L1781" s="37">
        <f>IF(A1781="","",CHOOSE(WEEKDAY(A1781,2),"Montag","Dienstag","Mittwoch","Donnerstag","Freitag","Samstag","Sonntag"))</f>
        <v/>
      </c>
      <c r="M1781" s="37">
        <f>IF(A1781="","",_xlfn.ISOWEEKNUM(A1781))</f>
        <v/>
      </c>
      <c r="N1781" s="38">
        <f>IF(A1781="","",DATE(YEAR(A1781),MONTH(A1781),1))</f>
        <v/>
      </c>
    </row>
    <row r="1782">
      <c r="A1782" s="31" t="n"/>
      <c r="B1782" s="32" t="n"/>
      <c r="C1782" s="32" t="n"/>
      <c r="D1782" s="33" t="n"/>
      <c r="E1782" s="34" t="n"/>
      <c r="F1782" s="35" t="n"/>
      <c r="G1782" s="35" t="n"/>
      <c r="H1782" s="32" t="n"/>
      <c r="I1782" s="32" t="n"/>
      <c r="J1782" s="32" t="n"/>
      <c r="K1782" s="36">
        <f>IF(E1782&lt;&gt;"",E1782,IF(AND(F1782&lt;&gt;"",G1782&lt;&gt;""),MOD(G1782-F1782,1)*24,""))</f>
        <v/>
      </c>
      <c r="L1782" s="37">
        <f>IF(A1782="","",CHOOSE(WEEKDAY(A1782,2),"Montag","Dienstag","Mittwoch","Donnerstag","Freitag","Samstag","Sonntag"))</f>
        <v/>
      </c>
      <c r="M1782" s="37">
        <f>IF(A1782="","",_xlfn.ISOWEEKNUM(A1782))</f>
        <v/>
      </c>
      <c r="N1782" s="38">
        <f>IF(A1782="","",DATE(YEAR(A1782),MONTH(A1782),1))</f>
        <v/>
      </c>
    </row>
    <row r="1783">
      <c r="A1783" s="31" t="n"/>
      <c r="B1783" s="32" t="n"/>
      <c r="C1783" s="32" t="n"/>
      <c r="D1783" s="33" t="n"/>
      <c r="E1783" s="34" t="n"/>
      <c r="F1783" s="35" t="n"/>
      <c r="G1783" s="35" t="n"/>
      <c r="H1783" s="32" t="n"/>
      <c r="I1783" s="32" t="n"/>
      <c r="J1783" s="32" t="n"/>
      <c r="K1783" s="36">
        <f>IF(E1783&lt;&gt;"",E1783,IF(AND(F1783&lt;&gt;"",G1783&lt;&gt;""),MOD(G1783-F1783,1)*24,""))</f>
        <v/>
      </c>
      <c r="L1783" s="37">
        <f>IF(A1783="","",CHOOSE(WEEKDAY(A1783,2),"Montag","Dienstag","Mittwoch","Donnerstag","Freitag","Samstag","Sonntag"))</f>
        <v/>
      </c>
      <c r="M1783" s="37">
        <f>IF(A1783="","",_xlfn.ISOWEEKNUM(A1783))</f>
        <v/>
      </c>
      <c r="N1783" s="38">
        <f>IF(A1783="","",DATE(YEAR(A1783),MONTH(A1783),1))</f>
        <v/>
      </c>
    </row>
    <row r="1784">
      <c r="A1784" s="31" t="n"/>
      <c r="B1784" s="32" t="n"/>
      <c r="C1784" s="32" t="n"/>
      <c r="D1784" s="33" t="n"/>
      <c r="E1784" s="34" t="n"/>
      <c r="F1784" s="35" t="n"/>
      <c r="G1784" s="35" t="n"/>
      <c r="H1784" s="32" t="n"/>
      <c r="I1784" s="32" t="n"/>
      <c r="J1784" s="32" t="n"/>
      <c r="K1784" s="36">
        <f>IF(E1784&lt;&gt;"",E1784,IF(AND(F1784&lt;&gt;"",G1784&lt;&gt;""),MOD(G1784-F1784,1)*24,""))</f>
        <v/>
      </c>
      <c r="L1784" s="37">
        <f>IF(A1784="","",CHOOSE(WEEKDAY(A1784,2),"Montag","Dienstag","Mittwoch","Donnerstag","Freitag","Samstag","Sonntag"))</f>
        <v/>
      </c>
      <c r="M1784" s="37">
        <f>IF(A1784="","",_xlfn.ISOWEEKNUM(A1784))</f>
        <v/>
      </c>
      <c r="N1784" s="38">
        <f>IF(A1784="","",DATE(YEAR(A1784),MONTH(A1784),1))</f>
        <v/>
      </c>
    </row>
    <row r="1785">
      <c r="A1785" s="31" t="n"/>
      <c r="B1785" s="32" t="n"/>
      <c r="C1785" s="32" t="n"/>
      <c r="D1785" s="33" t="n"/>
      <c r="E1785" s="34" t="n"/>
      <c r="F1785" s="35" t="n"/>
      <c r="G1785" s="35" t="n"/>
      <c r="H1785" s="32" t="n"/>
      <c r="I1785" s="32" t="n"/>
      <c r="J1785" s="32" t="n"/>
      <c r="K1785" s="36">
        <f>IF(E1785&lt;&gt;"",E1785,IF(AND(F1785&lt;&gt;"",G1785&lt;&gt;""),MOD(G1785-F1785,1)*24,""))</f>
        <v/>
      </c>
      <c r="L1785" s="37">
        <f>IF(A1785="","",CHOOSE(WEEKDAY(A1785,2),"Montag","Dienstag","Mittwoch","Donnerstag","Freitag","Samstag","Sonntag"))</f>
        <v/>
      </c>
      <c r="M1785" s="37">
        <f>IF(A1785="","",_xlfn.ISOWEEKNUM(A1785))</f>
        <v/>
      </c>
      <c r="N1785" s="38">
        <f>IF(A1785="","",DATE(YEAR(A1785),MONTH(A1785),1))</f>
        <v/>
      </c>
    </row>
    <row r="1786">
      <c r="A1786" s="31" t="n"/>
      <c r="B1786" s="32" t="n"/>
      <c r="C1786" s="32" t="n"/>
      <c r="D1786" s="33" t="n"/>
      <c r="E1786" s="34" t="n"/>
      <c r="F1786" s="35" t="n"/>
      <c r="G1786" s="35" t="n"/>
      <c r="H1786" s="32" t="n"/>
      <c r="I1786" s="32" t="n"/>
      <c r="J1786" s="32" t="n"/>
      <c r="K1786" s="36">
        <f>IF(E1786&lt;&gt;"",E1786,IF(AND(F1786&lt;&gt;"",G1786&lt;&gt;""),MOD(G1786-F1786,1)*24,""))</f>
        <v/>
      </c>
      <c r="L1786" s="37">
        <f>IF(A1786="","",CHOOSE(WEEKDAY(A1786,2),"Montag","Dienstag","Mittwoch","Donnerstag","Freitag","Samstag","Sonntag"))</f>
        <v/>
      </c>
      <c r="M1786" s="37">
        <f>IF(A1786="","",_xlfn.ISOWEEKNUM(A1786))</f>
        <v/>
      </c>
      <c r="N1786" s="38">
        <f>IF(A1786="","",DATE(YEAR(A1786),MONTH(A1786),1))</f>
        <v/>
      </c>
    </row>
    <row r="1787">
      <c r="A1787" s="31" t="n"/>
      <c r="B1787" s="32" t="n"/>
      <c r="C1787" s="32" t="n"/>
      <c r="D1787" s="33" t="n"/>
      <c r="E1787" s="34" t="n"/>
      <c r="F1787" s="35" t="n"/>
      <c r="G1787" s="35" t="n"/>
      <c r="H1787" s="32" t="n"/>
      <c r="I1787" s="32" t="n"/>
      <c r="J1787" s="32" t="n"/>
      <c r="K1787" s="36">
        <f>IF(E1787&lt;&gt;"",E1787,IF(AND(F1787&lt;&gt;"",G1787&lt;&gt;""),MOD(G1787-F1787,1)*24,""))</f>
        <v/>
      </c>
      <c r="L1787" s="37">
        <f>IF(A1787="","",CHOOSE(WEEKDAY(A1787,2),"Montag","Dienstag","Mittwoch","Donnerstag","Freitag","Samstag","Sonntag"))</f>
        <v/>
      </c>
      <c r="M1787" s="37">
        <f>IF(A1787="","",_xlfn.ISOWEEKNUM(A1787))</f>
        <v/>
      </c>
      <c r="N1787" s="38">
        <f>IF(A1787="","",DATE(YEAR(A1787),MONTH(A1787),1))</f>
        <v/>
      </c>
    </row>
    <row r="1788">
      <c r="A1788" s="31" t="n"/>
      <c r="B1788" s="32" t="n"/>
      <c r="C1788" s="32" t="n"/>
      <c r="D1788" s="33" t="n"/>
      <c r="E1788" s="34" t="n"/>
      <c r="F1788" s="35" t="n"/>
      <c r="G1788" s="35" t="n"/>
      <c r="H1788" s="32" t="n"/>
      <c r="I1788" s="32" t="n"/>
      <c r="J1788" s="32" t="n"/>
      <c r="K1788" s="36">
        <f>IF(E1788&lt;&gt;"",E1788,IF(AND(F1788&lt;&gt;"",G1788&lt;&gt;""),MOD(G1788-F1788,1)*24,""))</f>
        <v/>
      </c>
      <c r="L1788" s="37">
        <f>IF(A1788="","",CHOOSE(WEEKDAY(A1788,2),"Montag","Dienstag","Mittwoch","Donnerstag","Freitag","Samstag","Sonntag"))</f>
        <v/>
      </c>
      <c r="M1788" s="37">
        <f>IF(A1788="","",_xlfn.ISOWEEKNUM(A1788))</f>
        <v/>
      </c>
      <c r="N1788" s="38">
        <f>IF(A1788="","",DATE(YEAR(A1788),MONTH(A1788),1))</f>
        <v/>
      </c>
    </row>
    <row r="1789">
      <c r="A1789" s="31" t="n"/>
      <c r="B1789" s="32" t="n"/>
      <c r="C1789" s="32" t="n"/>
      <c r="D1789" s="33" t="n"/>
      <c r="E1789" s="34" t="n"/>
      <c r="F1789" s="35" t="n"/>
      <c r="G1789" s="35" t="n"/>
      <c r="H1789" s="32" t="n"/>
      <c r="I1789" s="32" t="n"/>
      <c r="J1789" s="32" t="n"/>
      <c r="K1789" s="36">
        <f>IF(E1789&lt;&gt;"",E1789,IF(AND(F1789&lt;&gt;"",G1789&lt;&gt;""),MOD(G1789-F1789,1)*24,""))</f>
        <v/>
      </c>
      <c r="L1789" s="37">
        <f>IF(A1789="","",CHOOSE(WEEKDAY(A1789,2),"Montag","Dienstag","Mittwoch","Donnerstag","Freitag","Samstag","Sonntag"))</f>
        <v/>
      </c>
      <c r="M1789" s="37">
        <f>IF(A1789="","",_xlfn.ISOWEEKNUM(A1789))</f>
        <v/>
      </c>
      <c r="N1789" s="38">
        <f>IF(A1789="","",DATE(YEAR(A1789),MONTH(A1789),1))</f>
        <v/>
      </c>
    </row>
    <row r="1790">
      <c r="A1790" s="31" t="n"/>
      <c r="B1790" s="32" t="n"/>
      <c r="C1790" s="32" t="n"/>
      <c r="D1790" s="33" t="n"/>
      <c r="E1790" s="34" t="n"/>
      <c r="F1790" s="35" t="n"/>
      <c r="G1790" s="35" t="n"/>
      <c r="H1790" s="32" t="n"/>
      <c r="I1790" s="32" t="n"/>
      <c r="J1790" s="32" t="n"/>
      <c r="K1790" s="36">
        <f>IF(E1790&lt;&gt;"",E1790,IF(AND(F1790&lt;&gt;"",G1790&lt;&gt;""),MOD(G1790-F1790,1)*24,""))</f>
        <v/>
      </c>
      <c r="L1790" s="37">
        <f>IF(A1790="","",CHOOSE(WEEKDAY(A1790,2),"Montag","Dienstag","Mittwoch","Donnerstag","Freitag","Samstag","Sonntag"))</f>
        <v/>
      </c>
      <c r="M1790" s="37">
        <f>IF(A1790="","",_xlfn.ISOWEEKNUM(A1790))</f>
        <v/>
      </c>
      <c r="N1790" s="38">
        <f>IF(A1790="","",DATE(YEAR(A1790),MONTH(A1790),1))</f>
        <v/>
      </c>
    </row>
    <row r="1791">
      <c r="A1791" s="31" t="n"/>
      <c r="B1791" s="32" t="n"/>
      <c r="C1791" s="32" t="n"/>
      <c r="D1791" s="33" t="n"/>
      <c r="E1791" s="34" t="n"/>
      <c r="F1791" s="35" t="n"/>
      <c r="G1791" s="35" t="n"/>
      <c r="H1791" s="32" t="n"/>
      <c r="I1791" s="32" t="n"/>
      <c r="J1791" s="32" t="n"/>
      <c r="K1791" s="36">
        <f>IF(E1791&lt;&gt;"",E1791,IF(AND(F1791&lt;&gt;"",G1791&lt;&gt;""),MOD(G1791-F1791,1)*24,""))</f>
        <v/>
      </c>
      <c r="L1791" s="37">
        <f>IF(A1791="","",CHOOSE(WEEKDAY(A1791,2),"Montag","Dienstag","Mittwoch","Donnerstag","Freitag","Samstag","Sonntag"))</f>
        <v/>
      </c>
      <c r="M1791" s="37">
        <f>IF(A1791="","",_xlfn.ISOWEEKNUM(A1791))</f>
        <v/>
      </c>
      <c r="N1791" s="38">
        <f>IF(A1791="","",DATE(YEAR(A1791),MONTH(A1791),1))</f>
        <v/>
      </c>
    </row>
    <row r="1792">
      <c r="A1792" s="31" t="n"/>
      <c r="B1792" s="32" t="n"/>
      <c r="C1792" s="32" t="n"/>
      <c r="D1792" s="33" t="n"/>
      <c r="E1792" s="34" t="n"/>
      <c r="F1792" s="35" t="n"/>
      <c r="G1792" s="35" t="n"/>
      <c r="H1792" s="32" t="n"/>
      <c r="I1792" s="32" t="n"/>
      <c r="J1792" s="32" t="n"/>
      <c r="K1792" s="36">
        <f>IF(E1792&lt;&gt;"",E1792,IF(AND(F1792&lt;&gt;"",G1792&lt;&gt;""),MOD(G1792-F1792,1)*24,""))</f>
        <v/>
      </c>
      <c r="L1792" s="37">
        <f>IF(A1792="","",CHOOSE(WEEKDAY(A1792,2),"Montag","Dienstag","Mittwoch","Donnerstag","Freitag","Samstag","Sonntag"))</f>
        <v/>
      </c>
      <c r="M1792" s="37">
        <f>IF(A1792="","",_xlfn.ISOWEEKNUM(A1792))</f>
        <v/>
      </c>
      <c r="N1792" s="38">
        <f>IF(A1792="","",DATE(YEAR(A1792),MONTH(A1792),1))</f>
        <v/>
      </c>
    </row>
    <row r="1793">
      <c r="A1793" s="31" t="n"/>
      <c r="B1793" s="32" t="n"/>
      <c r="C1793" s="32" t="n"/>
      <c r="D1793" s="33" t="n"/>
      <c r="E1793" s="34" t="n"/>
      <c r="F1793" s="35" t="n"/>
      <c r="G1793" s="35" t="n"/>
      <c r="H1793" s="32" t="n"/>
      <c r="I1793" s="32" t="n"/>
      <c r="J1793" s="32" t="n"/>
      <c r="K1793" s="36">
        <f>IF(E1793&lt;&gt;"",E1793,IF(AND(F1793&lt;&gt;"",G1793&lt;&gt;""),MOD(G1793-F1793,1)*24,""))</f>
        <v/>
      </c>
      <c r="L1793" s="37">
        <f>IF(A1793="","",CHOOSE(WEEKDAY(A1793,2),"Montag","Dienstag","Mittwoch","Donnerstag","Freitag","Samstag","Sonntag"))</f>
        <v/>
      </c>
      <c r="M1793" s="37">
        <f>IF(A1793="","",_xlfn.ISOWEEKNUM(A1793))</f>
        <v/>
      </c>
      <c r="N1793" s="38">
        <f>IF(A1793="","",DATE(YEAR(A1793),MONTH(A1793),1))</f>
        <v/>
      </c>
    </row>
    <row r="1794">
      <c r="A1794" s="31" t="n"/>
      <c r="B1794" s="32" t="n"/>
      <c r="C1794" s="32" t="n"/>
      <c r="D1794" s="33" t="n"/>
      <c r="E1794" s="34" t="n"/>
      <c r="F1794" s="35" t="n"/>
      <c r="G1794" s="35" t="n"/>
      <c r="H1794" s="32" t="n"/>
      <c r="I1794" s="32" t="n"/>
      <c r="J1794" s="32" t="n"/>
      <c r="K1794" s="36">
        <f>IF(E1794&lt;&gt;"",E1794,IF(AND(F1794&lt;&gt;"",G1794&lt;&gt;""),MOD(G1794-F1794,1)*24,""))</f>
        <v/>
      </c>
      <c r="L1794" s="37">
        <f>IF(A1794="","",CHOOSE(WEEKDAY(A1794,2),"Montag","Dienstag","Mittwoch","Donnerstag","Freitag","Samstag","Sonntag"))</f>
        <v/>
      </c>
      <c r="M1794" s="37">
        <f>IF(A1794="","",_xlfn.ISOWEEKNUM(A1794))</f>
        <v/>
      </c>
      <c r="N1794" s="38">
        <f>IF(A1794="","",DATE(YEAR(A1794),MONTH(A1794),1))</f>
        <v/>
      </c>
    </row>
    <row r="1795">
      <c r="A1795" s="31" t="n"/>
      <c r="B1795" s="32" t="n"/>
      <c r="C1795" s="32" t="n"/>
      <c r="D1795" s="33" t="n"/>
      <c r="E1795" s="34" t="n"/>
      <c r="F1795" s="35" t="n"/>
      <c r="G1795" s="35" t="n"/>
      <c r="H1795" s="32" t="n"/>
      <c r="I1795" s="32" t="n"/>
      <c r="J1795" s="32" t="n"/>
      <c r="K1795" s="36">
        <f>IF(E1795&lt;&gt;"",E1795,IF(AND(F1795&lt;&gt;"",G1795&lt;&gt;""),MOD(G1795-F1795,1)*24,""))</f>
        <v/>
      </c>
      <c r="L1795" s="37">
        <f>IF(A1795="","",CHOOSE(WEEKDAY(A1795,2),"Montag","Dienstag","Mittwoch","Donnerstag","Freitag","Samstag","Sonntag"))</f>
        <v/>
      </c>
      <c r="M1795" s="37">
        <f>IF(A1795="","",_xlfn.ISOWEEKNUM(A1795))</f>
        <v/>
      </c>
      <c r="N1795" s="38">
        <f>IF(A1795="","",DATE(YEAR(A1795),MONTH(A1795),1))</f>
        <v/>
      </c>
    </row>
    <row r="1796">
      <c r="A1796" s="31" t="n"/>
      <c r="B1796" s="32" t="n"/>
      <c r="C1796" s="32" t="n"/>
      <c r="D1796" s="33" t="n"/>
      <c r="E1796" s="34" t="n"/>
      <c r="F1796" s="35" t="n"/>
      <c r="G1796" s="35" t="n"/>
      <c r="H1796" s="32" t="n"/>
      <c r="I1796" s="32" t="n"/>
      <c r="J1796" s="32" t="n"/>
      <c r="K1796" s="36">
        <f>IF(E1796&lt;&gt;"",E1796,IF(AND(F1796&lt;&gt;"",G1796&lt;&gt;""),MOD(G1796-F1796,1)*24,""))</f>
        <v/>
      </c>
      <c r="L1796" s="37">
        <f>IF(A1796="","",CHOOSE(WEEKDAY(A1796,2),"Montag","Dienstag","Mittwoch","Donnerstag","Freitag","Samstag","Sonntag"))</f>
        <v/>
      </c>
      <c r="M1796" s="37">
        <f>IF(A1796="","",_xlfn.ISOWEEKNUM(A1796))</f>
        <v/>
      </c>
      <c r="N1796" s="38">
        <f>IF(A1796="","",DATE(YEAR(A1796),MONTH(A1796),1))</f>
        <v/>
      </c>
    </row>
    <row r="1797">
      <c r="A1797" s="31" t="n"/>
      <c r="B1797" s="32" t="n"/>
      <c r="C1797" s="32" t="n"/>
      <c r="D1797" s="33" t="n"/>
      <c r="E1797" s="34" t="n"/>
      <c r="F1797" s="35" t="n"/>
      <c r="G1797" s="35" t="n"/>
      <c r="H1797" s="32" t="n"/>
      <c r="I1797" s="32" t="n"/>
      <c r="J1797" s="32" t="n"/>
      <c r="K1797" s="36">
        <f>IF(E1797&lt;&gt;"",E1797,IF(AND(F1797&lt;&gt;"",G1797&lt;&gt;""),MOD(G1797-F1797,1)*24,""))</f>
        <v/>
      </c>
      <c r="L1797" s="37">
        <f>IF(A1797="","",CHOOSE(WEEKDAY(A1797,2),"Montag","Dienstag","Mittwoch","Donnerstag","Freitag","Samstag","Sonntag"))</f>
        <v/>
      </c>
      <c r="M1797" s="37">
        <f>IF(A1797="","",_xlfn.ISOWEEKNUM(A1797))</f>
        <v/>
      </c>
      <c r="N1797" s="38">
        <f>IF(A1797="","",DATE(YEAR(A1797),MONTH(A1797),1))</f>
        <v/>
      </c>
    </row>
    <row r="1798">
      <c r="A1798" s="31" t="n"/>
      <c r="B1798" s="32" t="n"/>
      <c r="C1798" s="32" t="n"/>
      <c r="D1798" s="33" t="n"/>
      <c r="E1798" s="34" t="n"/>
      <c r="F1798" s="35" t="n"/>
      <c r="G1798" s="35" t="n"/>
      <c r="H1798" s="32" t="n"/>
      <c r="I1798" s="32" t="n"/>
      <c r="J1798" s="32" t="n"/>
      <c r="K1798" s="36">
        <f>IF(E1798&lt;&gt;"",E1798,IF(AND(F1798&lt;&gt;"",G1798&lt;&gt;""),MOD(G1798-F1798,1)*24,""))</f>
        <v/>
      </c>
      <c r="L1798" s="37">
        <f>IF(A1798="","",CHOOSE(WEEKDAY(A1798,2),"Montag","Dienstag","Mittwoch","Donnerstag","Freitag","Samstag","Sonntag"))</f>
        <v/>
      </c>
      <c r="M1798" s="37">
        <f>IF(A1798="","",_xlfn.ISOWEEKNUM(A1798))</f>
        <v/>
      </c>
      <c r="N1798" s="38">
        <f>IF(A1798="","",DATE(YEAR(A1798),MONTH(A1798),1))</f>
        <v/>
      </c>
    </row>
    <row r="1799">
      <c r="A1799" s="31" t="n"/>
      <c r="B1799" s="32" t="n"/>
      <c r="C1799" s="32" t="n"/>
      <c r="D1799" s="33" t="n"/>
      <c r="E1799" s="34" t="n"/>
      <c r="F1799" s="35" t="n"/>
      <c r="G1799" s="35" t="n"/>
      <c r="H1799" s="32" t="n"/>
      <c r="I1799" s="32" t="n"/>
      <c r="J1799" s="32" t="n"/>
      <c r="K1799" s="36">
        <f>IF(E1799&lt;&gt;"",E1799,IF(AND(F1799&lt;&gt;"",G1799&lt;&gt;""),MOD(G1799-F1799,1)*24,""))</f>
        <v/>
      </c>
      <c r="L1799" s="37">
        <f>IF(A1799="","",CHOOSE(WEEKDAY(A1799,2),"Montag","Dienstag","Mittwoch","Donnerstag","Freitag","Samstag","Sonntag"))</f>
        <v/>
      </c>
      <c r="M1799" s="37">
        <f>IF(A1799="","",_xlfn.ISOWEEKNUM(A1799))</f>
        <v/>
      </c>
      <c r="N1799" s="38">
        <f>IF(A1799="","",DATE(YEAR(A1799),MONTH(A1799),1))</f>
        <v/>
      </c>
    </row>
    <row r="1800">
      <c r="A1800" s="31" t="n"/>
      <c r="B1800" s="32" t="n"/>
      <c r="C1800" s="32" t="n"/>
      <c r="D1800" s="33" t="n"/>
      <c r="E1800" s="34" t="n"/>
      <c r="F1800" s="35" t="n"/>
      <c r="G1800" s="35" t="n"/>
      <c r="H1800" s="32" t="n"/>
      <c r="I1800" s="32" t="n"/>
      <c r="J1800" s="32" t="n"/>
      <c r="K1800" s="36">
        <f>IF(E1800&lt;&gt;"",E1800,IF(AND(F1800&lt;&gt;"",G1800&lt;&gt;""),MOD(G1800-F1800,1)*24,""))</f>
        <v/>
      </c>
      <c r="L1800" s="37">
        <f>IF(A1800="","",CHOOSE(WEEKDAY(A1800,2),"Montag","Dienstag","Mittwoch","Donnerstag","Freitag","Samstag","Sonntag"))</f>
        <v/>
      </c>
      <c r="M1800" s="37">
        <f>IF(A1800="","",_xlfn.ISOWEEKNUM(A1800))</f>
        <v/>
      </c>
      <c r="N1800" s="38">
        <f>IF(A1800="","",DATE(YEAR(A1800),MONTH(A1800),1))</f>
        <v/>
      </c>
    </row>
    <row r="1801">
      <c r="A1801" s="31" t="n"/>
      <c r="B1801" s="32" t="n"/>
      <c r="C1801" s="32" t="n"/>
      <c r="D1801" s="33" t="n"/>
      <c r="E1801" s="34" t="n"/>
      <c r="F1801" s="35" t="n"/>
      <c r="G1801" s="35" t="n"/>
      <c r="H1801" s="32" t="n"/>
      <c r="I1801" s="32" t="n"/>
      <c r="J1801" s="32" t="n"/>
      <c r="K1801" s="36">
        <f>IF(E1801&lt;&gt;"",E1801,IF(AND(F1801&lt;&gt;"",G1801&lt;&gt;""),MOD(G1801-F1801,1)*24,""))</f>
        <v/>
      </c>
      <c r="L1801" s="37">
        <f>IF(A1801="","",CHOOSE(WEEKDAY(A1801,2),"Montag","Dienstag","Mittwoch","Donnerstag","Freitag","Samstag","Sonntag"))</f>
        <v/>
      </c>
      <c r="M1801" s="37">
        <f>IF(A1801="","",_xlfn.ISOWEEKNUM(A1801))</f>
        <v/>
      </c>
      <c r="N1801" s="38">
        <f>IF(A1801="","",DATE(YEAR(A1801),MONTH(A1801),1))</f>
        <v/>
      </c>
    </row>
    <row r="1802">
      <c r="A1802" s="31" t="n"/>
      <c r="B1802" s="32" t="n"/>
      <c r="C1802" s="32" t="n"/>
      <c r="D1802" s="33" t="n"/>
      <c r="E1802" s="34" t="n"/>
      <c r="F1802" s="35" t="n"/>
      <c r="G1802" s="35" t="n"/>
      <c r="H1802" s="32" t="n"/>
      <c r="I1802" s="32" t="n"/>
      <c r="J1802" s="32" t="n"/>
      <c r="K1802" s="36">
        <f>IF(E1802&lt;&gt;"",E1802,IF(AND(F1802&lt;&gt;"",G1802&lt;&gt;""),MOD(G1802-F1802,1)*24,""))</f>
        <v/>
      </c>
      <c r="L1802" s="37">
        <f>IF(A1802="","",CHOOSE(WEEKDAY(A1802,2),"Montag","Dienstag","Mittwoch","Donnerstag","Freitag","Samstag","Sonntag"))</f>
        <v/>
      </c>
      <c r="M1802" s="37">
        <f>IF(A1802="","",_xlfn.ISOWEEKNUM(A1802))</f>
        <v/>
      </c>
      <c r="N1802" s="38">
        <f>IF(A1802="","",DATE(YEAR(A1802),MONTH(A1802),1))</f>
        <v/>
      </c>
    </row>
    <row r="1803">
      <c r="A1803" s="31" t="n"/>
      <c r="B1803" s="32" t="n"/>
      <c r="C1803" s="32" t="n"/>
      <c r="D1803" s="33" t="n"/>
      <c r="E1803" s="34" t="n"/>
      <c r="F1803" s="35" t="n"/>
      <c r="G1803" s="35" t="n"/>
      <c r="H1803" s="32" t="n"/>
      <c r="I1803" s="32" t="n"/>
      <c r="J1803" s="32" t="n"/>
      <c r="K1803" s="36">
        <f>IF(E1803&lt;&gt;"",E1803,IF(AND(F1803&lt;&gt;"",G1803&lt;&gt;""),MOD(G1803-F1803,1)*24,""))</f>
        <v/>
      </c>
      <c r="L1803" s="37">
        <f>IF(A1803="","",CHOOSE(WEEKDAY(A1803,2),"Montag","Dienstag","Mittwoch","Donnerstag","Freitag","Samstag","Sonntag"))</f>
        <v/>
      </c>
      <c r="M1803" s="37">
        <f>IF(A1803="","",_xlfn.ISOWEEKNUM(A1803))</f>
        <v/>
      </c>
      <c r="N1803" s="38">
        <f>IF(A1803="","",DATE(YEAR(A1803),MONTH(A1803),1))</f>
        <v/>
      </c>
    </row>
    <row r="1804">
      <c r="A1804" s="31" t="n"/>
      <c r="B1804" s="32" t="n"/>
      <c r="C1804" s="32" t="n"/>
      <c r="D1804" s="33" t="n"/>
      <c r="E1804" s="34" t="n"/>
      <c r="F1804" s="35" t="n"/>
      <c r="G1804" s="35" t="n"/>
      <c r="H1804" s="32" t="n"/>
      <c r="I1804" s="32" t="n"/>
      <c r="J1804" s="32" t="n"/>
      <c r="K1804" s="36">
        <f>IF(E1804&lt;&gt;"",E1804,IF(AND(F1804&lt;&gt;"",G1804&lt;&gt;""),MOD(G1804-F1804,1)*24,""))</f>
        <v/>
      </c>
      <c r="L1804" s="37">
        <f>IF(A1804="","",CHOOSE(WEEKDAY(A1804,2),"Montag","Dienstag","Mittwoch","Donnerstag","Freitag","Samstag","Sonntag"))</f>
        <v/>
      </c>
      <c r="M1804" s="37">
        <f>IF(A1804="","",_xlfn.ISOWEEKNUM(A1804))</f>
        <v/>
      </c>
      <c r="N1804" s="38">
        <f>IF(A1804="","",DATE(YEAR(A1804),MONTH(A1804),1))</f>
        <v/>
      </c>
    </row>
    <row r="1805">
      <c r="A1805" s="31" t="n"/>
      <c r="B1805" s="32" t="n"/>
      <c r="C1805" s="32" t="n"/>
      <c r="D1805" s="33" t="n"/>
      <c r="E1805" s="34" t="n"/>
      <c r="F1805" s="35" t="n"/>
      <c r="G1805" s="35" t="n"/>
      <c r="H1805" s="32" t="n"/>
      <c r="I1805" s="32" t="n"/>
      <c r="J1805" s="32" t="n"/>
      <c r="K1805" s="36">
        <f>IF(E1805&lt;&gt;"",E1805,IF(AND(F1805&lt;&gt;"",G1805&lt;&gt;""),MOD(G1805-F1805,1)*24,""))</f>
        <v/>
      </c>
      <c r="L1805" s="37">
        <f>IF(A1805="","",CHOOSE(WEEKDAY(A1805,2),"Montag","Dienstag","Mittwoch","Donnerstag","Freitag","Samstag","Sonntag"))</f>
        <v/>
      </c>
      <c r="M1805" s="37">
        <f>IF(A1805="","",_xlfn.ISOWEEKNUM(A1805))</f>
        <v/>
      </c>
      <c r="N1805" s="38">
        <f>IF(A1805="","",DATE(YEAR(A1805),MONTH(A1805),1))</f>
        <v/>
      </c>
    </row>
    <row r="1806">
      <c r="A1806" s="31" t="n"/>
      <c r="B1806" s="32" t="n"/>
      <c r="C1806" s="32" t="n"/>
      <c r="D1806" s="33" t="n"/>
      <c r="E1806" s="34" t="n"/>
      <c r="F1806" s="35" t="n"/>
      <c r="G1806" s="35" t="n"/>
      <c r="H1806" s="32" t="n"/>
      <c r="I1806" s="32" t="n"/>
      <c r="J1806" s="32" t="n"/>
      <c r="K1806" s="36">
        <f>IF(E1806&lt;&gt;"",E1806,IF(AND(F1806&lt;&gt;"",G1806&lt;&gt;""),MOD(G1806-F1806,1)*24,""))</f>
        <v/>
      </c>
      <c r="L1806" s="37">
        <f>IF(A1806="","",CHOOSE(WEEKDAY(A1806,2),"Montag","Dienstag","Mittwoch","Donnerstag","Freitag","Samstag","Sonntag"))</f>
        <v/>
      </c>
      <c r="M1806" s="37">
        <f>IF(A1806="","",_xlfn.ISOWEEKNUM(A1806))</f>
        <v/>
      </c>
      <c r="N1806" s="38">
        <f>IF(A1806="","",DATE(YEAR(A1806),MONTH(A1806),1))</f>
        <v/>
      </c>
    </row>
    <row r="1807">
      <c r="A1807" s="31" t="n"/>
      <c r="B1807" s="32" t="n"/>
      <c r="C1807" s="32" t="n"/>
      <c r="D1807" s="33" t="n"/>
      <c r="E1807" s="34" t="n"/>
      <c r="F1807" s="35" t="n"/>
      <c r="G1807" s="35" t="n"/>
      <c r="H1807" s="32" t="n"/>
      <c r="I1807" s="32" t="n"/>
      <c r="J1807" s="32" t="n"/>
      <c r="K1807" s="36">
        <f>IF(E1807&lt;&gt;"",E1807,IF(AND(F1807&lt;&gt;"",G1807&lt;&gt;""),MOD(G1807-F1807,1)*24,""))</f>
        <v/>
      </c>
      <c r="L1807" s="37">
        <f>IF(A1807="","",CHOOSE(WEEKDAY(A1807,2),"Montag","Dienstag","Mittwoch","Donnerstag","Freitag","Samstag","Sonntag"))</f>
        <v/>
      </c>
      <c r="M1807" s="37">
        <f>IF(A1807="","",_xlfn.ISOWEEKNUM(A1807))</f>
        <v/>
      </c>
      <c r="N1807" s="38">
        <f>IF(A1807="","",DATE(YEAR(A1807),MONTH(A1807),1))</f>
        <v/>
      </c>
    </row>
    <row r="1808">
      <c r="A1808" s="31" t="n"/>
      <c r="B1808" s="32" t="n"/>
      <c r="C1808" s="32" t="n"/>
      <c r="D1808" s="33" t="n"/>
      <c r="E1808" s="34" t="n"/>
      <c r="F1808" s="35" t="n"/>
      <c r="G1808" s="35" t="n"/>
      <c r="H1808" s="32" t="n"/>
      <c r="I1808" s="32" t="n"/>
      <c r="J1808" s="32" t="n"/>
      <c r="K1808" s="36">
        <f>IF(E1808&lt;&gt;"",E1808,IF(AND(F1808&lt;&gt;"",G1808&lt;&gt;""),MOD(G1808-F1808,1)*24,""))</f>
        <v/>
      </c>
      <c r="L1808" s="37">
        <f>IF(A1808="","",CHOOSE(WEEKDAY(A1808,2),"Montag","Dienstag","Mittwoch","Donnerstag","Freitag","Samstag","Sonntag"))</f>
        <v/>
      </c>
      <c r="M1808" s="37">
        <f>IF(A1808="","",_xlfn.ISOWEEKNUM(A1808))</f>
        <v/>
      </c>
      <c r="N1808" s="38">
        <f>IF(A1808="","",DATE(YEAR(A1808),MONTH(A1808),1))</f>
        <v/>
      </c>
    </row>
    <row r="1809">
      <c r="A1809" s="31" t="n"/>
      <c r="B1809" s="32" t="n"/>
      <c r="C1809" s="32" t="n"/>
      <c r="D1809" s="33" t="n"/>
      <c r="E1809" s="34" t="n"/>
      <c r="F1809" s="35" t="n"/>
      <c r="G1809" s="35" t="n"/>
      <c r="H1809" s="32" t="n"/>
      <c r="I1809" s="32" t="n"/>
      <c r="J1809" s="32" t="n"/>
      <c r="K1809" s="36">
        <f>IF(E1809&lt;&gt;"",E1809,IF(AND(F1809&lt;&gt;"",G1809&lt;&gt;""),MOD(G1809-F1809,1)*24,""))</f>
        <v/>
      </c>
      <c r="L1809" s="37">
        <f>IF(A1809="","",CHOOSE(WEEKDAY(A1809,2),"Montag","Dienstag","Mittwoch","Donnerstag","Freitag","Samstag","Sonntag"))</f>
        <v/>
      </c>
      <c r="M1809" s="37">
        <f>IF(A1809="","",_xlfn.ISOWEEKNUM(A1809))</f>
        <v/>
      </c>
      <c r="N1809" s="38">
        <f>IF(A1809="","",DATE(YEAR(A1809),MONTH(A1809),1))</f>
        <v/>
      </c>
    </row>
    <row r="1810">
      <c r="A1810" s="31" t="n"/>
      <c r="B1810" s="32" t="n"/>
      <c r="C1810" s="32" t="n"/>
      <c r="D1810" s="33" t="n"/>
      <c r="E1810" s="34" t="n"/>
      <c r="F1810" s="35" t="n"/>
      <c r="G1810" s="35" t="n"/>
      <c r="H1810" s="32" t="n"/>
      <c r="I1810" s="32" t="n"/>
      <c r="J1810" s="32" t="n"/>
      <c r="K1810" s="36">
        <f>IF(E1810&lt;&gt;"",E1810,IF(AND(F1810&lt;&gt;"",G1810&lt;&gt;""),MOD(G1810-F1810,1)*24,""))</f>
        <v/>
      </c>
      <c r="L1810" s="37">
        <f>IF(A1810="","",CHOOSE(WEEKDAY(A1810,2),"Montag","Dienstag","Mittwoch","Donnerstag","Freitag","Samstag","Sonntag"))</f>
        <v/>
      </c>
      <c r="M1810" s="37">
        <f>IF(A1810="","",_xlfn.ISOWEEKNUM(A1810))</f>
        <v/>
      </c>
      <c r="N1810" s="38">
        <f>IF(A1810="","",DATE(YEAR(A1810),MONTH(A1810),1))</f>
        <v/>
      </c>
    </row>
    <row r="1811">
      <c r="A1811" s="31" t="n"/>
      <c r="B1811" s="32" t="n"/>
      <c r="C1811" s="32" t="n"/>
      <c r="D1811" s="33" t="n"/>
      <c r="E1811" s="34" t="n"/>
      <c r="F1811" s="35" t="n"/>
      <c r="G1811" s="35" t="n"/>
      <c r="H1811" s="32" t="n"/>
      <c r="I1811" s="32" t="n"/>
      <c r="J1811" s="32" t="n"/>
      <c r="K1811" s="36">
        <f>IF(E1811&lt;&gt;"",E1811,IF(AND(F1811&lt;&gt;"",G1811&lt;&gt;""),MOD(G1811-F1811,1)*24,""))</f>
        <v/>
      </c>
      <c r="L1811" s="37">
        <f>IF(A1811="","",CHOOSE(WEEKDAY(A1811,2),"Montag","Dienstag","Mittwoch","Donnerstag","Freitag","Samstag","Sonntag"))</f>
        <v/>
      </c>
      <c r="M1811" s="37">
        <f>IF(A1811="","",_xlfn.ISOWEEKNUM(A1811))</f>
        <v/>
      </c>
      <c r="N1811" s="38">
        <f>IF(A1811="","",DATE(YEAR(A1811),MONTH(A1811),1))</f>
        <v/>
      </c>
    </row>
    <row r="1812">
      <c r="A1812" s="31" t="n"/>
      <c r="B1812" s="32" t="n"/>
      <c r="C1812" s="32" t="n"/>
      <c r="D1812" s="33" t="n"/>
      <c r="E1812" s="34" t="n"/>
      <c r="F1812" s="35" t="n"/>
      <c r="G1812" s="35" t="n"/>
      <c r="H1812" s="32" t="n"/>
      <c r="I1812" s="32" t="n"/>
      <c r="J1812" s="32" t="n"/>
      <c r="K1812" s="36">
        <f>IF(E1812&lt;&gt;"",E1812,IF(AND(F1812&lt;&gt;"",G1812&lt;&gt;""),MOD(G1812-F1812,1)*24,""))</f>
        <v/>
      </c>
      <c r="L1812" s="37">
        <f>IF(A1812="","",CHOOSE(WEEKDAY(A1812,2),"Montag","Dienstag","Mittwoch","Donnerstag","Freitag","Samstag","Sonntag"))</f>
        <v/>
      </c>
      <c r="M1812" s="37">
        <f>IF(A1812="","",_xlfn.ISOWEEKNUM(A1812))</f>
        <v/>
      </c>
      <c r="N1812" s="38">
        <f>IF(A1812="","",DATE(YEAR(A1812),MONTH(A1812),1))</f>
        <v/>
      </c>
    </row>
    <row r="1813">
      <c r="A1813" s="31" t="n"/>
      <c r="B1813" s="32" t="n"/>
      <c r="C1813" s="32" t="n"/>
      <c r="D1813" s="33" t="n"/>
      <c r="E1813" s="34" t="n"/>
      <c r="F1813" s="35" t="n"/>
      <c r="G1813" s="35" t="n"/>
      <c r="H1813" s="32" t="n"/>
      <c r="I1813" s="32" t="n"/>
      <c r="J1813" s="32" t="n"/>
      <c r="K1813" s="36">
        <f>IF(E1813&lt;&gt;"",E1813,IF(AND(F1813&lt;&gt;"",G1813&lt;&gt;""),MOD(G1813-F1813,1)*24,""))</f>
        <v/>
      </c>
      <c r="L1813" s="37">
        <f>IF(A1813="","",CHOOSE(WEEKDAY(A1813,2),"Montag","Dienstag","Mittwoch","Donnerstag","Freitag","Samstag","Sonntag"))</f>
        <v/>
      </c>
      <c r="M1813" s="37">
        <f>IF(A1813="","",_xlfn.ISOWEEKNUM(A1813))</f>
        <v/>
      </c>
      <c r="N1813" s="38">
        <f>IF(A1813="","",DATE(YEAR(A1813),MONTH(A1813),1))</f>
        <v/>
      </c>
    </row>
    <row r="1814">
      <c r="A1814" s="31" t="n"/>
      <c r="B1814" s="32" t="n"/>
      <c r="C1814" s="32" t="n"/>
      <c r="D1814" s="33" t="n"/>
      <c r="E1814" s="34" t="n"/>
      <c r="F1814" s="35" t="n"/>
      <c r="G1814" s="35" t="n"/>
      <c r="H1814" s="32" t="n"/>
      <c r="I1814" s="32" t="n"/>
      <c r="J1814" s="32" t="n"/>
      <c r="K1814" s="36">
        <f>IF(E1814&lt;&gt;"",E1814,IF(AND(F1814&lt;&gt;"",G1814&lt;&gt;""),MOD(G1814-F1814,1)*24,""))</f>
        <v/>
      </c>
      <c r="L1814" s="37">
        <f>IF(A1814="","",CHOOSE(WEEKDAY(A1814,2),"Montag","Dienstag","Mittwoch","Donnerstag","Freitag","Samstag","Sonntag"))</f>
        <v/>
      </c>
      <c r="M1814" s="37">
        <f>IF(A1814="","",_xlfn.ISOWEEKNUM(A1814))</f>
        <v/>
      </c>
      <c r="N1814" s="38">
        <f>IF(A1814="","",DATE(YEAR(A1814),MONTH(A1814),1))</f>
        <v/>
      </c>
    </row>
    <row r="1815">
      <c r="A1815" s="31" t="n"/>
      <c r="B1815" s="32" t="n"/>
      <c r="C1815" s="32" t="n"/>
      <c r="D1815" s="33" t="n"/>
      <c r="E1815" s="34" t="n"/>
      <c r="F1815" s="35" t="n"/>
      <c r="G1815" s="35" t="n"/>
      <c r="H1815" s="32" t="n"/>
      <c r="I1815" s="32" t="n"/>
      <c r="J1815" s="32" t="n"/>
      <c r="K1815" s="36">
        <f>IF(E1815&lt;&gt;"",E1815,IF(AND(F1815&lt;&gt;"",G1815&lt;&gt;""),MOD(G1815-F1815,1)*24,""))</f>
        <v/>
      </c>
      <c r="L1815" s="37">
        <f>IF(A1815="","",CHOOSE(WEEKDAY(A1815,2),"Montag","Dienstag","Mittwoch","Donnerstag","Freitag","Samstag","Sonntag"))</f>
        <v/>
      </c>
      <c r="M1815" s="37">
        <f>IF(A1815="","",_xlfn.ISOWEEKNUM(A1815))</f>
        <v/>
      </c>
      <c r="N1815" s="38">
        <f>IF(A1815="","",DATE(YEAR(A1815),MONTH(A1815),1))</f>
        <v/>
      </c>
    </row>
    <row r="1816">
      <c r="A1816" s="31" t="n"/>
      <c r="B1816" s="32" t="n"/>
      <c r="C1816" s="32" t="n"/>
      <c r="D1816" s="33" t="n"/>
      <c r="E1816" s="34" t="n"/>
      <c r="F1816" s="35" t="n"/>
      <c r="G1816" s="35" t="n"/>
      <c r="H1816" s="32" t="n"/>
      <c r="I1816" s="32" t="n"/>
      <c r="J1816" s="32" t="n"/>
      <c r="K1816" s="36">
        <f>IF(E1816&lt;&gt;"",E1816,IF(AND(F1816&lt;&gt;"",G1816&lt;&gt;""),MOD(G1816-F1816,1)*24,""))</f>
        <v/>
      </c>
      <c r="L1816" s="37">
        <f>IF(A1816="","",CHOOSE(WEEKDAY(A1816,2),"Montag","Dienstag","Mittwoch","Donnerstag","Freitag","Samstag","Sonntag"))</f>
        <v/>
      </c>
      <c r="M1816" s="37">
        <f>IF(A1816="","",_xlfn.ISOWEEKNUM(A1816))</f>
        <v/>
      </c>
      <c r="N1816" s="38">
        <f>IF(A1816="","",DATE(YEAR(A1816),MONTH(A1816),1))</f>
        <v/>
      </c>
    </row>
    <row r="1817">
      <c r="A1817" s="31" t="n"/>
      <c r="B1817" s="32" t="n"/>
      <c r="C1817" s="32" t="n"/>
      <c r="D1817" s="33" t="n"/>
      <c r="E1817" s="34" t="n"/>
      <c r="F1817" s="35" t="n"/>
      <c r="G1817" s="35" t="n"/>
      <c r="H1817" s="32" t="n"/>
      <c r="I1817" s="32" t="n"/>
      <c r="J1817" s="32" t="n"/>
      <c r="K1817" s="36">
        <f>IF(E1817&lt;&gt;"",E1817,IF(AND(F1817&lt;&gt;"",G1817&lt;&gt;""),MOD(G1817-F1817,1)*24,""))</f>
        <v/>
      </c>
      <c r="L1817" s="37">
        <f>IF(A1817="","",CHOOSE(WEEKDAY(A1817,2),"Montag","Dienstag","Mittwoch","Donnerstag","Freitag","Samstag","Sonntag"))</f>
        <v/>
      </c>
      <c r="M1817" s="37">
        <f>IF(A1817="","",_xlfn.ISOWEEKNUM(A1817))</f>
        <v/>
      </c>
      <c r="N1817" s="38">
        <f>IF(A1817="","",DATE(YEAR(A1817),MONTH(A1817),1))</f>
        <v/>
      </c>
    </row>
    <row r="1818">
      <c r="A1818" s="31" t="n"/>
      <c r="B1818" s="32" t="n"/>
      <c r="C1818" s="32" t="n"/>
      <c r="D1818" s="33" t="n"/>
      <c r="E1818" s="34" t="n"/>
      <c r="F1818" s="35" t="n"/>
      <c r="G1818" s="35" t="n"/>
      <c r="H1818" s="32" t="n"/>
      <c r="I1818" s="32" t="n"/>
      <c r="J1818" s="32" t="n"/>
      <c r="K1818" s="36">
        <f>IF(E1818&lt;&gt;"",E1818,IF(AND(F1818&lt;&gt;"",G1818&lt;&gt;""),MOD(G1818-F1818,1)*24,""))</f>
        <v/>
      </c>
      <c r="L1818" s="37">
        <f>IF(A1818="","",CHOOSE(WEEKDAY(A1818,2),"Montag","Dienstag","Mittwoch","Donnerstag","Freitag","Samstag","Sonntag"))</f>
        <v/>
      </c>
      <c r="M1818" s="37">
        <f>IF(A1818="","",_xlfn.ISOWEEKNUM(A1818))</f>
        <v/>
      </c>
      <c r="N1818" s="38">
        <f>IF(A1818="","",DATE(YEAR(A1818),MONTH(A1818),1))</f>
        <v/>
      </c>
    </row>
    <row r="1819">
      <c r="A1819" s="31" t="n"/>
      <c r="B1819" s="32" t="n"/>
      <c r="C1819" s="32" t="n"/>
      <c r="D1819" s="33" t="n"/>
      <c r="E1819" s="34" t="n"/>
      <c r="F1819" s="35" t="n"/>
      <c r="G1819" s="35" t="n"/>
      <c r="H1819" s="32" t="n"/>
      <c r="I1819" s="32" t="n"/>
      <c r="J1819" s="32" t="n"/>
      <c r="K1819" s="36">
        <f>IF(E1819&lt;&gt;"",E1819,IF(AND(F1819&lt;&gt;"",G1819&lt;&gt;""),MOD(G1819-F1819,1)*24,""))</f>
        <v/>
      </c>
      <c r="L1819" s="37">
        <f>IF(A1819="","",CHOOSE(WEEKDAY(A1819,2),"Montag","Dienstag","Mittwoch","Donnerstag","Freitag","Samstag","Sonntag"))</f>
        <v/>
      </c>
      <c r="M1819" s="37">
        <f>IF(A1819="","",_xlfn.ISOWEEKNUM(A1819))</f>
        <v/>
      </c>
      <c r="N1819" s="38">
        <f>IF(A1819="","",DATE(YEAR(A1819),MONTH(A1819),1))</f>
        <v/>
      </c>
    </row>
    <row r="1820">
      <c r="A1820" s="31" t="n"/>
      <c r="B1820" s="32" t="n"/>
      <c r="C1820" s="32" t="n"/>
      <c r="D1820" s="33" t="n"/>
      <c r="E1820" s="34" t="n"/>
      <c r="F1820" s="35" t="n"/>
      <c r="G1820" s="35" t="n"/>
      <c r="H1820" s="32" t="n"/>
      <c r="I1820" s="32" t="n"/>
      <c r="J1820" s="32" t="n"/>
      <c r="K1820" s="36">
        <f>IF(E1820&lt;&gt;"",E1820,IF(AND(F1820&lt;&gt;"",G1820&lt;&gt;""),MOD(G1820-F1820,1)*24,""))</f>
        <v/>
      </c>
      <c r="L1820" s="37">
        <f>IF(A1820="","",CHOOSE(WEEKDAY(A1820,2),"Montag","Dienstag","Mittwoch","Donnerstag","Freitag","Samstag","Sonntag"))</f>
        <v/>
      </c>
      <c r="M1820" s="37">
        <f>IF(A1820="","",_xlfn.ISOWEEKNUM(A1820))</f>
        <v/>
      </c>
      <c r="N1820" s="38">
        <f>IF(A1820="","",DATE(YEAR(A1820),MONTH(A1820),1))</f>
        <v/>
      </c>
    </row>
    <row r="1821">
      <c r="A1821" s="31" t="n"/>
      <c r="B1821" s="32" t="n"/>
      <c r="C1821" s="32" t="n"/>
      <c r="D1821" s="33" t="n"/>
      <c r="E1821" s="34" t="n"/>
      <c r="F1821" s="35" t="n"/>
      <c r="G1821" s="35" t="n"/>
      <c r="H1821" s="32" t="n"/>
      <c r="I1821" s="32" t="n"/>
      <c r="J1821" s="32" t="n"/>
      <c r="K1821" s="36">
        <f>IF(E1821&lt;&gt;"",E1821,IF(AND(F1821&lt;&gt;"",G1821&lt;&gt;""),MOD(G1821-F1821,1)*24,""))</f>
        <v/>
      </c>
      <c r="L1821" s="37">
        <f>IF(A1821="","",CHOOSE(WEEKDAY(A1821,2),"Montag","Dienstag","Mittwoch","Donnerstag","Freitag","Samstag","Sonntag"))</f>
        <v/>
      </c>
      <c r="M1821" s="37">
        <f>IF(A1821="","",_xlfn.ISOWEEKNUM(A1821))</f>
        <v/>
      </c>
      <c r="N1821" s="38">
        <f>IF(A1821="","",DATE(YEAR(A1821),MONTH(A1821),1))</f>
        <v/>
      </c>
    </row>
    <row r="1822">
      <c r="A1822" s="31" t="n"/>
      <c r="B1822" s="32" t="n"/>
      <c r="C1822" s="32" t="n"/>
      <c r="D1822" s="33" t="n"/>
      <c r="E1822" s="34" t="n"/>
      <c r="F1822" s="35" t="n"/>
      <c r="G1822" s="35" t="n"/>
      <c r="H1822" s="32" t="n"/>
      <c r="I1822" s="32" t="n"/>
      <c r="J1822" s="32" t="n"/>
      <c r="K1822" s="36">
        <f>IF(E1822&lt;&gt;"",E1822,IF(AND(F1822&lt;&gt;"",G1822&lt;&gt;""),MOD(G1822-F1822,1)*24,""))</f>
        <v/>
      </c>
      <c r="L1822" s="37">
        <f>IF(A1822="","",CHOOSE(WEEKDAY(A1822,2),"Montag","Dienstag","Mittwoch","Donnerstag","Freitag","Samstag","Sonntag"))</f>
        <v/>
      </c>
      <c r="M1822" s="37">
        <f>IF(A1822="","",_xlfn.ISOWEEKNUM(A1822))</f>
        <v/>
      </c>
      <c r="N1822" s="38">
        <f>IF(A1822="","",DATE(YEAR(A1822),MONTH(A1822),1))</f>
        <v/>
      </c>
    </row>
    <row r="1823">
      <c r="A1823" s="31" t="n"/>
      <c r="B1823" s="32" t="n"/>
      <c r="C1823" s="32" t="n"/>
      <c r="D1823" s="33" t="n"/>
      <c r="E1823" s="34" t="n"/>
      <c r="F1823" s="35" t="n"/>
      <c r="G1823" s="35" t="n"/>
      <c r="H1823" s="32" t="n"/>
      <c r="I1823" s="32" t="n"/>
      <c r="J1823" s="32" t="n"/>
      <c r="K1823" s="36">
        <f>IF(E1823&lt;&gt;"",E1823,IF(AND(F1823&lt;&gt;"",G1823&lt;&gt;""),MOD(G1823-F1823,1)*24,""))</f>
        <v/>
      </c>
      <c r="L1823" s="37">
        <f>IF(A1823="","",CHOOSE(WEEKDAY(A1823,2),"Montag","Dienstag","Mittwoch","Donnerstag","Freitag","Samstag","Sonntag"))</f>
        <v/>
      </c>
      <c r="M1823" s="37">
        <f>IF(A1823="","",_xlfn.ISOWEEKNUM(A1823))</f>
        <v/>
      </c>
      <c r="N1823" s="38">
        <f>IF(A1823="","",DATE(YEAR(A1823),MONTH(A1823),1))</f>
        <v/>
      </c>
    </row>
    <row r="1824">
      <c r="A1824" s="31" t="n"/>
      <c r="B1824" s="32" t="n"/>
      <c r="C1824" s="32" t="n"/>
      <c r="D1824" s="33" t="n"/>
      <c r="E1824" s="34" t="n"/>
      <c r="F1824" s="35" t="n"/>
      <c r="G1824" s="35" t="n"/>
      <c r="H1824" s="32" t="n"/>
      <c r="I1824" s="32" t="n"/>
      <c r="J1824" s="32" t="n"/>
      <c r="K1824" s="36">
        <f>IF(E1824&lt;&gt;"",E1824,IF(AND(F1824&lt;&gt;"",G1824&lt;&gt;""),MOD(G1824-F1824,1)*24,""))</f>
        <v/>
      </c>
      <c r="L1824" s="37">
        <f>IF(A1824="","",CHOOSE(WEEKDAY(A1824,2),"Montag","Dienstag","Mittwoch","Donnerstag","Freitag","Samstag","Sonntag"))</f>
        <v/>
      </c>
      <c r="M1824" s="37">
        <f>IF(A1824="","",_xlfn.ISOWEEKNUM(A1824))</f>
        <v/>
      </c>
      <c r="N1824" s="38">
        <f>IF(A1824="","",DATE(YEAR(A1824),MONTH(A1824),1))</f>
        <v/>
      </c>
    </row>
    <row r="1825">
      <c r="A1825" s="31" t="n"/>
      <c r="B1825" s="32" t="n"/>
      <c r="C1825" s="32" t="n"/>
      <c r="D1825" s="33" t="n"/>
      <c r="E1825" s="34" t="n"/>
      <c r="F1825" s="35" t="n"/>
      <c r="G1825" s="35" t="n"/>
      <c r="H1825" s="32" t="n"/>
      <c r="I1825" s="32" t="n"/>
      <c r="J1825" s="32" t="n"/>
      <c r="K1825" s="36">
        <f>IF(E1825&lt;&gt;"",E1825,IF(AND(F1825&lt;&gt;"",G1825&lt;&gt;""),MOD(G1825-F1825,1)*24,""))</f>
        <v/>
      </c>
      <c r="L1825" s="37">
        <f>IF(A1825="","",CHOOSE(WEEKDAY(A1825,2),"Montag","Dienstag","Mittwoch","Donnerstag","Freitag","Samstag","Sonntag"))</f>
        <v/>
      </c>
      <c r="M1825" s="37">
        <f>IF(A1825="","",_xlfn.ISOWEEKNUM(A1825))</f>
        <v/>
      </c>
      <c r="N1825" s="38">
        <f>IF(A1825="","",DATE(YEAR(A1825),MONTH(A1825),1))</f>
        <v/>
      </c>
    </row>
    <row r="1826">
      <c r="A1826" s="31" t="n"/>
      <c r="B1826" s="32" t="n"/>
      <c r="C1826" s="32" t="n"/>
      <c r="D1826" s="33" t="n"/>
      <c r="E1826" s="34" t="n"/>
      <c r="F1826" s="35" t="n"/>
      <c r="G1826" s="35" t="n"/>
      <c r="H1826" s="32" t="n"/>
      <c r="I1826" s="32" t="n"/>
      <c r="J1826" s="32" t="n"/>
      <c r="K1826" s="36">
        <f>IF(E1826&lt;&gt;"",E1826,IF(AND(F1826&lt;&gt;"",G1826&lt;&gt;""),MOD(G1826-F1826,1)*24,""))</f>
        <v/>
      </c>
      <c r="L1826" s="37">
        <f>IF(A1826="","",CHOOSE(WEEKDAY(A1826,2),"Montag","Dienstag","Mittwoch","Donnerstag","Freitag","Samstag","Sonntag"))</f>
        <v/>
      </c>
      <c r="M1826" s="37">
        <f>IF(A1826="","",_xlfn.ISOWEEKNUM(A1826))</f>
        <v/>
      </c>
      <c r="N1826" s="38">
        <f>IF(A1826="","",DATE(YEAR(A1826),MONTH(A1826),1))</f>
        <v/>
      </c>
    </row>
    <row r="1827">
      <c r="A1827" s="31" t="n"/>
      <c r="B1827" s="32" t="n"/>
      <c r="C1827" s="32" t="n"/>
      <c r="D1827" s="33" t="n"/>
      <c r="E1827" s="34" t="n"/>
      <c r="F1827" s="35" t="n"/>
      <c r="G1827" s="35" t="n"/>
      <c r="H1827" s="32" t="n"/>
      <c r="I1827" s="32" t="n"/>
      <c r="J1827" s="32" t="n"/>
      <c r="K1827" s="36">
        <f>IF(E1827&lt;&gt;"",E1827,IF(AND(F1827&lt;&gt;"",G1827&lt;&gt;""),MOD(G1827-F1827,1)*24,""))</f>
        <v/>
      </c>
      <c r="L1827" s="37">
        <f>IF(A1827="","",CHOOSE(WEEKDAY(A1827,2),"Montag","Dienstag","Mittwoch","Donnerstag","Freitag","Samstag","Sonntag"))</f>
        <v/>
      </c>
      <c r="M1827" s="37">
        <f>IF(A1827="","",_xlfn.ISOWEEKNUM(A1827))</f>
        <v/>
      </c>
      <c r="N1827" s="38">
        <f>IF(A1827="","",DATE(YEAR(A1827),MONTH(A1827),1))</f>
        <v/>
      </c>
    </row>
    <row r="1828">
      <c r="A1828" s="31" t="n"/>
      <c r="B1828" s="32" t="n"/>
      <c r="C1828" s="32" t="n"/>
      <c r="D1828" s="33" t="n"/>
      <c r="E1828" s="34" t="n"/>
      <c r="F1828" s="35" t="n"/>
      <c r="G1828" s="35" t="n"/>
      <c r="H1828" s="32" t="n"/>
      <c r="I1828" s="32" t="n"/>
      <c r="J1828" s="32" t="n"/>
      <c r="K1828" s="36">
        <f>IF(E1828&lt;&gt;"",E1828,IF(AND(F1828&lt;&gt;"",G1828&lt;&gt;""),MOD(G1828-F1828,1)*24,""))</f>
        <v/>
      </c>
      <c r="L1828" s="37">
        <f>IF(A1828="","",CHOOSE(WEEKDAY(A1828,2),"Montag","Dienstag","Mittwoch","Donnerstag","Freitag","Samstag","Sonntag"))</f>
        <v/>
      </c>
      <c r="M1828" s="37">
        <f>IF(A1828="","",_xlfn.ISOWEEKNUM(A1828))</f>
        <v/>
      </c>
      <c r="N1828" s="38">
        <f>IF(A1828="","",DATE(YEAR(A1828),MONTH(A1828),1))</f>
        <v/>
      </c>
    </row>
    <row r="1829">
      <c r="A1829" s="31" t="n"/>
      <c r="B1829" s="32" t="n"/>
      <c r="C1829" s="32" t="n"/>
      <c r="D1829" s="33" t="n"/>
      <c r="E1829" s="34" t="n"/>
      <c r="F1829" s="35" t="n"/>
      <c r="G1829" s="35" t="n"/>
      <c r="H1829" s="32" t="n"/>
      <c r="I1829" s="32" t="n"/>
      <c r="J1829" s="32" t="n"/>
      <c r="K1829" s="36">
        <f>IF(E1829&lt;&gt;"",E1829,IF(AND(F1829&lt;&gt;"",G1829&lt;&gt;""),MOD(G1829-F1829,1)*24,""))</f>
        <v/>
      </c>
      <c r="L1829" s="37">
        <f>IF(A1829="","",CHOOSE(WEEKDAY(A1829,2),"Montag","Dienstag","Mittwoch","Donnerstag","Freitag","Samstag","Sonntag"))</f>
        <v/>
      </c>
      <c r="M1829" s="37">
        <f>IF(A1829="","",_xlfn.ISOWEEKNUM(A1829))</f>
        <v/>
      </c>
      <c r="N1829" s="38">
        <f>IF(A1829="","",DATE(YEAR(A1829),MONTH(A1829),1))</f>
        <v/>
      </c>
    </row>
    <row r="1830">
      <c r="A1830" s="31" t="n"/>
      <c r="B1830" s="32" t="n"/>
      <c r="C1830" s="32" t="n"/>
      <c r="D1830" s="33" t="n"/>
      <c r="E1830" s="34" t="n"/>
      <c r="F1830" s="35" t="n"/>
      <c r="G1830" s="35" t="n"/>
      <c r="H1830" s="32" t="n"/>
      <c r="I1830" s="32" t="n"/>
      <c r="J1830" s="32" t="n"/>
      <c r="K1830" s="36">
        <f>IF(E1830&lt;&gt;"",E1830,IF(AND(F1830&lt;&gt;"",G1830&lt;&gt;""),MOD(G1830-F1830,1)*24,""))</f>
        <v/>
      </c>
      <c r="L1830" s="37">
        <f>IF(A1830="","",CHOOSE(WEEKDAY(A1830,2),"Montag","Dienstag","Mittwoch","Donnerstag","Freitag","Samstag","Sonntag"))</f>
        <v/>
      </c>
      <c r="M1830" s="37">
        <f>IF(A1830="","",_xlfn.ISOWEEKNUM(A1830))</f>
        <v/>
      </c>
      <c r="N1830" s="38">
        <f>IF(A1830="","",DATE(YEAR(A1830),MONTH(A1830),1))</f>
        <v/>
      </c>
    </row>
    <row r="1831">
      <c r="A1831" s="31" t="n"/>
      <c r="B1831" s="32" t="n"/>
      <c r="C1831" s="32" t="n"/>
      <c r="D1831" s="33" t="n"/>
      <c r="E1831" s="34" t="n"/>
      <c r="F1831" s="35" t="n"/>
      <c r="G1831" s="35" t="n"/>
      <c r="H1831" s="32" t="n"/>
      <c r="I1831" s="32" t="n"/>
      <c r="J1831" s="32" t="n"/>
      <c r="K1831" s="36">
        <f>IF(E1831&lt;&gt;"",E1831,IF(AND(F1831&lt;&gt;"",G1831&lt;&gt;""),MOD(G1831-F1831,1)*24,""))</f>
        <v/>
      </c>
      <c r="L1831" s="37">
        <f>IF(A1831="","",CHOOSE(WEEKDAY(A1831,2),"Montag","Dienstag","Mittwoch","Donnerstag","Freitag","Samstag","Sonntag"))</f>
        <v/>
      </c>
      <c r="M1831" s="37">
        <f>IF(A1831="","",_xlfn.ISOWEEKNUM(A1831))</f>
        <v/>
      </c>
      <c r="N1831" s="38">
        <f>IF(A1831="","",DATE(YEAR(A1831),MONTH(A1831),1))</f>
        <v/>
      </c>
    </row>
    <row r="1832">
      <c r="A1832" s="31" t="n"/>
      <c r="B1832" s="32" t="n"/>
      <c r="C1832" s="32" t="n"/>
      <c r="D1832" s="33" t="n"/>
      <c r="E1832" s="34" t="n"/>
      <c r="F1832" s="35" t="n"/>
      <c r="G1832" s="35" t="n"/>
      <c r="H1832" s="32" t="n"/>
      <c r="I1832" s="32" t="n"/>
      <c r="J1832" s="32" t="n"/>
      <c r="K1832" s="36">
        <f>IF(E1832&lt;&gt;"",E1832,IF(AND(F1832&lt;&gt;"",G1832&lt;&gt;""),MOD(G1832-F1832,1)*24,""))</f>
        <v/>
      </c>
      <c r="L1832" s="37">
        <f>IF(A1832="","",CHOOSE(WEEKDAY(A1832,2),"Montag","Dienstag","Mittwoch","Donnerstag","Freitag","Samstag","Sonntag"))</f>
        <v/>
      </c>
      <c r="M1832" s="37">
        <f>IF(A1832="","",_xlfn.ISOWEEKNUM(A1832))</f>
        <v/>
      </c>
      <c r="N1832" s="38">
        <f>IF(A1832="","",DATE(YEAR(A1832),MONTH(A1832),1))</f>
        <v/>
      </c>
    </row>
    <row r="1833">
      <c r="A1833" s="31" t="n"/>
      <c r="B1833" s="32" t="n"/>
      <c r="C1833" s="32" t="n"/>
      <c r="D1833" s="33" t="n"/>
      <c r="E1833" s="34" t="n"/>
      <c r="F1833" s="35" t="n"/>
      <c r="G1833" s="35" t="n"/>
      <c r="H1833" s="32" t="n"/>
      <c r="I1833" s="32" t="n"/>
      <c r="J1833" s="32" t="n"/>
      <c r="K1833" s="36">
        <f>IF(E1833&lt;&gt;"",E1833,IF(AND(F1833&lt;&gt;"",G1833&lt;&gt;""),MOD(G1833-F1833,1)*24,""))</f>
        <v/>
      </c>
      <c r="L1833" s="37">
        <f>IF(A1833="","",CHOOSE(WEEKDAY(A1833,2),"Montag","Dienstag","Mittwoch","Donnerstag","Freitag","Samstag","Sonntag"))</f>
        <v/>
      </c>
      <c r="M1833" s="37">
        <f>IF(A1833="","",_xlfn.ISOWEEKNUM(A1833))</f>
        <v/>
      </c>
      <c r="N1833" s="38">
        <f>IF(A1833="","",DATE(YEAR(A1833),MONTH(A1833),1))</f>
        <v/>
      </c>
    </row>
    <row r="1834">
      <c r="A1834" s="31" t="n"/>
      <c r="B1834" s="32" t="n"/>
      <c r="C1834" s="32" t="n"/>
      <c r="D1834" s="33" t="n"/>
      <c r="E1834" s="34" t="n"/>
      <c r="F1834" s="35" t="n"/>
      <c r="G1834" s="35" t="n"/>
      <c r="H1834" s="32" t="n"/>
      <c r="I1834" s="32" t="n"/>
      <c r="J1834" s="32" t="n"/>
      <c r="K1834" s="36">
        <f>IF(E1834&lt;&gt;"",E1834,IF(AND(F1834&lt;&gt;"",G1834&lt;&gt;""),MOD(G1834-F1834,1)*24,""))</f>
        <v/>
      </c>
      <c r="L1834" s="37">
        <f>IF(A1834="","",CHOOSE(WEEKDAY(A1834,2),"Montag","Dienstag","Mittwoch","Donnerstag","Freitag","Samstag","Sonntag"))</f>
        <v/>
      </c>
      <c r="M1834" s="37">
        <f>IF(A1834="","",_xlfn.ISOWEEKNUM(A1834))</f>
        <v/>
      </c>
      <c r="N1834" s="38">
        <f>IF(A1834="","",DATE(YEAR(A1834),MONTH(A1834),1))</f>
        <v/>
      </c>
    </row>
    <row r="1835">
      <c r="A1835" s="31" t="n"/>
      <c r="B1835" s="32" t="n"/>
      <c r="C1835" s="32" t="n"/>
      <c r="D1835" s="33" t="n"/>
      <c r="E1835" s="34" t="n"/>
      <c r="F1835" s="35" t="n"/>
      <c r="G1835" s="35" t="n"/>
      <c r="H1835" s="32" t="n"/>
      <c r="I1835" s="32" t="n"/>
      <c r="J1835" s="32" t="n"/>
      <c r="K1835" s="36">
        <f>IF(E1835&lt;&gt;"",E1835,IF(AND(F1835&lt;&gt;"",G1835&lt;&gt;""),MOD(G1835-F1835,1)*24,""))</f>
        <v/>
      </c>
      <c r="L1835" s="37">
        <f>IF(A1835="","",CHOOSE(WEEKDAY(A1835,2),"Montag","Dienstag","Mittwoch","Donnerstag","Freitag","Samstag","Sonntag"))</f>
        <v/>
      </c>
      <c r="M1835" s="37">
        <f>IF(A1835="","",_xlfn.ISOWEEKNUM(A1835))</f>
        <v/>
      </c>
      <c r="N1835" s="38">
        <f>IF(A1835="","",DATE(YEAR(A1835),MONTH(A1835),1))</f>
        <v/>
      </c>
    </row>
    <row r="1836">
      <c r="A1836" s="31" t="n"/>
      <c r="B1836" s="32" t="n"/>
      <c r="C1836" s="32" t="n"/>
      <c r="D1836" s="33" t="n"/>
      <c r="E1836" s="34" t="n"/>
      <c r="F1836" s="35" t="n"/>
      <c r="G1836" s="35" t="n"/>
      <c r="H1836" s="32" t="n"/>
      <c r="I1836" s="32" t="n"/>
      <c r="J1836" s="32" t="n"/>
      <c r="K1836" s="36">
        <f>IF(E1836&lt;&gt;"",E1836,IF(AND(F1836&lt;&gt;"",G1836&lt;&gt;""),MOD(G1836-F1836,1)*24,""))</f>
        <v/>
      </c>
      <c r="L1836" s="37">
        <f>IF(A1836="","",CHOOSE(WEEKDAY(A1836,2),"Montag","Dienstag","Mittwoch","Donnerstag","Freitag","Samstag","Sonntag"))</f>
        <v/>
      </c>
      <c r="M1836" s="37">
        <f>IF(A1836="","",_xlfn.ISOWEEKNUM(A1836))</f>
        <v/>
      </c>
      <c r="N1836" s="38">
        <f>IF(A1836="","",DATE(YEAR(A1836),MONTH(A1836),1))</f>
        <v/>
      </c>
    </row>
    <row r="1837">
      <c r="A1837" s="31" t="n"/>
      <c r="B1837" s="32" t="n"/>
      <c r="C1837" s="32" t="n"/>
      <c r="D1837" s="33" t="n"/>
      <c r="E1837" s="34" t="n"/>
      <c r="F1837" s="35" t="n"/>
      <c r="G1837" s="35" t="n"/>
      <c r="H1837" s="32" t="n"/>
      <c r="I1837" s="32" t="n"/>
      <c r="J1837" s="32" t="n"/>
      <c r="K1837" s="36">
        <f>IF(E1837&lt;&gt;"",E1837,IF(AND(F1837&lt;&gt;"",G1837&lt;&gt;""),MOD(G1837-F1837,1)*24,""))</f>
        <v/>
      </c>
      <c r="L1837" s="37">
        <f>IF(A1837="","",CHOOSE(WEEKDAY(A1837,2),"Montag","Dienstag","Mittwoch","Donnerstag","Freitag","Samstag","Sonntag"))</f>
        <v/>
      </c>
      <c r="M1837" s="37">
        <f>IF(A1837="","",_xlfn.ISOWEEKNUM(A1837))</f>
        <v/>
      </c>
      <c r="N1837" s="38">
        <f>IF(A1837="","",DATE(YEAR(A1837),MONTH(A1837),1))</f>
        <v/>
      </c>
    </row>
    <row r="1838">
      <c r="A1838" s="31" t="n"/>
      <c r="B1838" s="32" t="n"/>
      <c r="C1838" s="32" t="n"/>
      <c r="D1838" s="33" t="n"/>
      <c r="E1838" s="34" t="n"/>
      <c r="F1838" s="35" t="n"/>
      <c r="G1838" s="35" t="n"/>
      <c r="H1838" s="32" t="n"/>
      <c r="I1838" s="32" t="n"/>
      <c r="J1838" s="32" t="n"/>
      <c r="K1838" s="36">
        <f>IF(E1838&lt;&gt;"",E1838,IF(AND(F1838&lt;&gt;"",G1838&lt;&gt;""),MOD(G1838-F1838,1)*24,""))</f>
        <v/>
      </c>
      <c r="L1838" s="37">
        <f>IF(A1838="","",CHOOSE(WEEKDAY(A1838,2),"Montag","Dienstag","Mittwoch","Donnerstag","Freitag","Samstag","Sonntag"))</f>
        <v/>
      </c>
      <c r="M1838" s="37">
        <f>IF(A1838="","",_xlfn.ISOWEEKNUM(A1838))</f>
        <v/>
      </c>
      <c r="N1838" s="38">
        <f>IF(A1838="","",DATE(YEAR(A1838),MONTH(A1838),1))</f>
        <v/>
      </c>
    </row>
    <row r="1839">
      <c r="A1839" s="31" t="n"/>
      <c r="B1839" s="32" t="n"/>
      <c r="C1839" s="32" t="n"/>
      <c r="D1839" s="33" t="n"/>
      <c r="E1839" s="34" t="n"/>
      <c r="F1839" s="35" t="n"/>
      <c r="G1839" s="35" t="n"/>
      <c r="H1839" s="32" t="n"/>
      <c r="I1839" s="32" t="n"/>
      <c r="J1839" s="32" t="n"/>
      <c r="K1839" s="36">
        <f>IF(E1839&lt;&gt;"",E1839,IF(AND(F1839&lt;&gt;"",G1839&lt;&gt;""),MOD(G1839-F1839,1)*24,""))</f>
        <v/>
      </c>
      <c r="L1839" s="37">
        <f>IF(A1839="","",CHOOSE(WEEKDAY(A1839,2),"Montag","Dienstag","Mittwoch","Donnerstag","Freitag","Samstag","Sonntag"))</f>
        <v/>
      </c>
      <c r="M1839" s="37">
        <f>IF(A1839="","",_xlfn.ISOWEEKNUM(A1839))</f>
        <v/>
      </c>
      <c r="N1839" s="38">
        <f>IF(A1839="","",DATE(YEAR(A1839),MONTH(A1839),1))</f>
        <v/>
      </c>
    </row>
    <row r="1840">
      <c r="A1840" s="31" t="n"/>
      <c r="B1840" s="32" t="n"/>
      <c r="C1840" s="32" t="n"/>
      <c r="D1840" s="33" t="n"/>
      <c r="E1840" s="34" t="n"/>
      <c r="F1840" s="35" t="n"/>
      <c r="G1840" s="35" t="n"/>
      <c r="H1840" s="32" t="n"/>
      <c r="I1840" s="32" t="n"/>
      <c r="J1840" s="32" t="n"/>
      <c r="K1840" s="36">
        <f>IF(E1840&lt;&gt;"",E1840,IF(AND(F1840&lt;&gt;"",G1840&lt;&gt;""),MOD(G1840-F1840,1)*24,""))</f>
        <v/>
      </c>
      <c r="L1840" s="37">
        <f>IF(A1840="","",CHOOSE(WEEKDAY(A1840,2),"Montag","Dienstag","Mittwoch","Donnerstag","Freitag","Samstag","Sonntag"))</f>
        <v/>
      </c>
      <c r="M1840" s="37">
        <f>IF(A1840="","",_xlfn.ISOWEEKNUM(A1840))</f>
        <v/>
      </c>
      <c r="N1840" s="38">
        <f>IF(A1840="","",DATE(YEAR(A1840),MONTH(A1840),1))</f>
        <v/>
      </c>
    </row>
    <row r="1841">
      <c r="A1841" s="31" t="n"/>
      <c r="B1841" s="32" t="n"/>
      <c r="C1841" s="32" t="n"/>
      <c r="D1841" s="33" t="n"/>
      <c r="E1841" s="34" t="n"/>
      <c r="F1841" s="35" t="n"/>
      <c r="G1841" s="35" t="n"/>
      <c r="H1841" s="32" t="n"/>
      <c r="I1841" s="32" t="n"/>
      <c r="J1841" s="32" t="n"/>
      <c r="K1841" s="36">
        <f>IF(E1841&lt;&gt;"",E1841,IF(AND(F1841&lt;&gt;"",G1841&lt;&gt;""),MOD(G1841-F1841,1)*24,""))</f>
        <v/>
      </c>
      <c r="L1841" s="37">
        <f>IF(A1841="","",CHOOSE(WEEKDAY(A1841,2),"Montag","Dienstag","Mittwoch","Donnerstag","Freitag","Samstag","Sonntag"))</f>
        <v/>
      </c>
      <c r="M1841" s="37">
        <f>IF(A1841="","",_xlfn.ISOWEEKNUM(A1841))</f>
        <v/>
      </c>
      <c r="N1841" s="38">
        <f>IF(A1841="","",DATE(YEAR(A1841),MONTH(A1841),1))</f>
        <v/>
      </c>
    </row>
    <row r="1842">
      <c r="A1842" s="31" t="n"/>
      <c r="B1842" s="32" t="n"/>
      <c r="C1842" s="32" t="n"/>
      <c r="D1842" s="33" t="n"/>
      <c r="E1842" s="34" t="n"/>
      <c r="F1842" s="35" t="n"/>
      <c r="G1842" s="35" t="n"/>
      <c r="H1842" s="32" t="n"/>
      <c r="I1842" s="32" t="n"/>
      <c r="J1842" s="32" t="n"/>
      <c r="K1842" s="36">
        <f>IF(E1842&lt;&gt;"",E1842,IF(AND(F1842&lt;&gt;"",G1842&lt;&gt;""),MOD(G1842-F1842,1)*24,""))</f>
        <v/>
      </c>
      <c r="L1842" s="37">
        <f>IF(A1842="","",CHOOSE(WEEKDAY(A1842,2),"Montag","Dienstag","Mittwoch","Donnerstag","Freitag","Samstag","Sonntag"))</f>
        <v/>
      </c>
      <c r="M1842" s="37">
        <f>IF(A1842="","",_xlfn.ISOWEEKNUM(A1842))</f>
        <v/>
      </c>
      <c r="N1842" s="38">
        <f>IF(A1842="","",DATE(YEAR(A1842),MONTH(A1842),1))</f>
        <v/>
      </c>
    </row>
    <row r="1843">
      <c r="A1843" s="31" t="n"/>
      <c r="B1843" s="32" t="n"/>
      <c r="C1843" s="32" t="n"/>
      <c r="D1843" s="33" t="n"/>
      <c r="E1843" s="34" t="n"/>
      <c r="F1843" s="35" t="n"/>
      <c r="G1843" s="35" t="n"/>
      <c r="H1843" s="32" t="n"/>
      <c r="I1843" s="32" t="n"/>
      <c r="J1843" s="32" t="n"/>
      <c r="K1843" s="36">
        <f>IF(E1843&lt;&gt;"",E1843,IF(AND(F1843&lt;&gt;"",G1843&lt;&gt;""),MOD(G1843-F1843,1)*24,""))</f>
        <v/>
      </c>
      <c r="L1843" s="37">
        <f>IF(A1843="","",CHOOSE(WEEKDAY(A1843,2),"Montag","Dienstag","Mittwoch","Donnerstag","Freitag","Samstag","Sonntag"))</f>
        <v/>
      </c>
      <c r="M1843" s="37">
        <f>IF(A1843="","",_xlfn.ISOWEEKNUM(A1843))</f>
        <v/>
      </c>
      <c r="N1843" s="38">
        <f>IF(A1843="","",DATE(YEAR(A1843),MONTH(A1843),1))</f>
        <v/>
      </c>
    </row>
    <row r="1844">
      <c r="A1844" s="31" t="n"/>
      <c r="B1844" s="32" t="n"/>
      <c r="C1844" s="32" t="n"/>
      <c r="D1844" s="33" t="n"/>
      <c r="E1844" s="34" t="n"/>
      <c r="F1844" s="35" t="n"/>
      <c r="G1844" s="35" t="n"/>
      <c r="H1844" s="32" t="n"/>
      <c r="I1844" s="32" t="n"/>
      <c r="J1844" s="32" t="n"/>
      <c r="K1844" s="36">
        <f>IF(E1844&lt;&gt;"",E1844,IF(AND(F1844&lt;&gt;"",G1844&lt;&gt;""),MOD(G1844-F1844,1)*24,""))</f>
        <v/>
      </c>
      <c r="L1844" s="37">
        <f>IF(A1844="","",CHOOSE(WEEKDAY(A1844,2),"Montag","Dienstag","Mittwoch","Donnerstag","Freitag","Samstag","Sonntag"))</f>
        <v/>
      </c>
      <c r="M1844" s="37">
        <f>IF(A1844="","",_xlfn.ISOWEEKNUM(A1844))</f>
        <v/>
      </c>
      <c r="N1844" s="38">
        <f>IF(A1844="","",DATE(YEAR(A1844),MONTH(A1844),1))</f>
        <v/>
      </c>
    </row>
    <row r="1845">
      <c r="A1845" s="31" t="n"/>
      <c r="B1845" s="32" t="n"/>
      <c r="C1845" s="32" t="n"/>
      <c r="D1845" s="33" t="n"/>
      <c r="E1845" s="34" t="n"/>
      <c r="F1845" s="35" t="n"/>
      <c r="G1845" s="35" t="n"/>
      <c r="H1845" s="32" t="n"/>
      <c r="I1845" s="32" t="n"/>
      <c r="J1845" s="32" t="n"/>
      <c r="K1845" s="36">
        <f>IF(E1845&lt;&gt;"",E1845,IF(AND(F1845&lt;&gt;"",G1845&lt;&gt;""),MOD(G1845-F1845,1)*24,""))</f>
        <v/>
      </c>
      <c r="L1845" s="37">
        <f>IF(A1845="","",CHOOSE(WEEKDAY(A1845,2),"Montag","Dienstag","Mittwoch","Donnerstag","Freitag","Samstag","Sonntag"))</f>
        <v/>
      </c>
      <c r="M1845" s="37">
        <f>IF(A1845="","",_xlfn.ISOWEEKNUM(A1845))</f>
        <v/>
      </c>
      <c r="N1845" s="38">
        <f>IF(A1845="","",DATE(YEAR(A1845),MONTH(A1845),1))</f>
        <v/>
      </c>
    </row>
    <row r="1846">
      <c r="A1846" s="31" t="n"/>
      <c r="B1846" s="32" t="n"/>
      <c r="C1846" s="32" t="n"/>
      <c r="D1846" s="33" t="n"/>
      <c r="E1846" s="34" t="n"/>
      <c r="F1846" s="35" t="n"/>
      <c r="G1846" s="35" t="n"/>
      <c r="H1846" s="32" t="n"/>
      <c r="I1846" s="32" t="n"/>
      <c r="J1846" s="32" t="n"/>
      <c r="K1846" s="36">
        <f>IF(E1846&lt;&gt;"",E1846,IF(AND(F1846&lt;&gt;"",G1846&lt;&gt;""),MOD(G1846-F1846,1)*24,""))</f>
        <v/>
      </c>
      <c r="L1846" s="37">
        <f>IF(A1846="","",CHOOSE(WEEKDAY(A1846,2),"Montag","Dienstag","Mittwoch","Donnerstag","Freitag","Samstag","Sonntag"))</f>
        <v/>
      </c>
      <c r="M1846" s="37">
        <f>IF(A1846="","",_xlfn.ISOWEEKNUM(A1846))</f>
        <v/>
      </c>
      <c r="N1846" s="38">
        <f>IF(A1846="","",DATE(YEAR(A1846),MONTH(A1846),1))</f>
        <v/>
      </c>
    </row>
    <row r="1847">
      <c r="A1847" s="31" t="n"/>
      <c r="B1847" s="32" t="n"/>
      <c r="C1847" s="32" t="n"/>
      <c r="D1847" s="33" t="n"/>
      <c r="E1847" s="34" t="n"/>
      <c r="F1847" s="35" t="n"/>
      <c r="G1847" s="35" t="n"/>
      <c r="H1847" s="32" t="n"/>
      <c r="I1847" s="32" t="n"/>
      <c r="J1847" s="32" t="n"/>
      <c r="K1847" s="36">
        <f>IF(E1847&lt;&gt;"",E1847,IF(AND(F1847&lt;&gt;"",G1847&lt;&gt;""),MOD(G1847-F1847,1)*24,""))</f>
        <v/>
      </c>
      <c r="L1847" s="37">
        <f>IF(A1847="","",CHOOSE(WEEKDAY(A1847,2),"Montag","Dienstag","Mittwoch","Donnerstag","Freitag","Samstag","Sonntag"))</f>
        <v/>
      </c>
      <c r="M1847" s="37">
        <f>IF(A1847="","",_xlfn.ISOWEEKNUM(A1847))</f>
        <v/>
      </c>
      <c r="N1847" s="38">
        <f>IF(A1847="","",DATE(YEAR(A1847),MONTH(A1847),1))</f>
        <v/>
      </c>
    </row>
    <row r="1848">
      <c r="A1848" s="31" t="n"/>
      <c r="B1848" s="32" t="n"/>
      <c r="C1848" s="32" t="n"/>
      <c r="D1848" s="33" t="n"/>
      <c r="E1848" s="34" t="n"/>
      <c r="F1848" s="35" t="n"/>
      <c r="G1848" s="35" t="n"/>
      <c r="H1848" s="32" t="n"/>
      <c r="I1848" s="32" t="n"/>
      <c r="J1848" s="32" t="n"/>
      <c r="K1848" s="36">
        <f>IF(E1848&lt;&gt;"",E1848,IF(AND(F1848&lt;&gt;"",G1848&lt;&gt;""),MOD(G1848-F1848,1)*24,""))</f>
        <v/>
      </c>
      <c r="L1848" s="37">
        <f>IF(A1848="","",CHOOSE(WEEKDAY(A1848,2),"Montag","Dienstag","Mittwoch","Donnerstag","Freitag","Samstag","Sonntag"))</f>
        <v/>
      </c>
      <c r="M1848" s="37">
        <f>IF(A1848="","",_xlfn.ISOWEEKNUM(A1848))</f>
        <v/>
      </c>
      <c r="N1848" s="38">
        <f>IF(A1848="","",DATE(YEAR(A1848),MONTH(A1848),1))</f>
        <v/>
      </c>
    </row>
    <row r="1849">
      <c r="A1849" s="31" t="n"/>
      <c r="B1849" s="32" t="n"/>
      <c r="C1849" s="32" t="n"/>
      <c r="D1849" s="33" t="n"/>
      <c r="E1849" s="34" t="n"/>
      <c r="F1849" s="35" t="n"/>
      <c r="G1849" s="35" t="n"/>
      <c r="H1849" s="32" t="n"/>
      <c r="I1849" s="32" t="n"/>
      <c r="J1849" s="32" t="n"/>
      <c r="K1849" s="36">
        <f>IF(E1849&lt;&gt;"",E1849,IF(AND(F1849&lt;&gt;"",G1849&lt;&gt;""),MOD(G1849-F1849,1)*24,""))</f>
        <v/>
      </c>
      <c r="L1849" s="37">
        <f>IF(A1849="","",CHOOSE(WEEKDAY(A1849,2),"Montag","Dienstag","Mittwoch","Donnerstag","Freitag","Samstag","Sonntag"))</f>
        <v/>
      </c>
      <c r="M1849" s="37">
        <f>IF(A1849="","",_xlfn.ISOWEEKNUM(A1849))</f>
        <v/>
      </c>
      <c r="N1849" s="38">
        <f>IF(A1849="","",DATE(YEAR(A1849),MONTH(A1849),1))</f>
        <v/>
      </c>
    </row>
    <row r="1850">
      <c r="A1850" s="31" t="n"/>
      <c r="B1850" s="32" t="n"/>
      <c r="C1850" s="32" t="n"/>
      <c r="D1850" s="33" t="n"/>
      <c r="E1850" s="34" t="n"/>
      <c r="F1850" s="35" t="n"/>
      <c r="G1850" s="35" t="n"/>
      <c r="H1850" s="32" t="n"/>
      <c r="I1850" s="32" t="n"/>
      <c r="J1850" s="32" t="n"/>
      <c r="K1850" s="36">
        <f>IF(E1850&lt;&gt;"",E1850,IF(AND(F1850&lt;&gt;"",G1850&lt;&gt;""),MOD(G1850-F1850,1)*24,""))</f>
        <v/>
      </c>
      <c r="L1850" s="37">
        <f>IF(A1850="","",CHOOSE(WEEKDAY(A1850,2),"Montag","Dienstag","Mittwoch","Donnerstag","Freitag","Samstag","Sonntag"))</f>
        <v/>
      </c>
      <c r="M1850" s="37">
        <f>IF(A1850="","",_xlfn.ISOWEEKNUM(A1850))</f>
        <v/>
      </c>
      <c r="N1850" s="38">
        <f>IF(A1850="","",DATE(YEAR(A1850),MONTH(A1850),1))</f>
        <v/>
      </c>
    </row>
    <row r="1851">
      <c r="A1851" s="31" t="n"/>
      <c r="B1851" s="32" t="n"/>
      <c r="C1851" s="32" t="n"/>
      <c r="D1851" s="33" t="n"/>
      <c r="E1851" s="34" t="n"/>
      <c r="F1851" s="35" t="n"/>
      <c r="G1851" s="35" t="n"/>
      <c r="H1851" s="32" t="n"/>
      <c r="I1851" s="32" t="n"/>
      <c r="J1851" s="32" t="n"/>
      <c r="K1851" s="36">
        <f>IF(E1851&lt;&gt;"",E1851,IF(AND(F1851&lt;&gt;"",G1851&lt;&gt;""),MOD(G1851-F1851,1)*24,""))</f>
        <v/>
      </c>
      <c r="L1851" s="37">
        <f>IF(A1851="","",CHOOSE(WEEKDAY(A1851,2),"Montag","Dienstag","Mittwoch","Donnerstag","Freitag","Samstag","Sonntag"))</f>
        <v/>
      </c>
      <c r="M1851" s="37">
        <f>IF(A1851="","",_xlfn.ISOWEEKNUM(A1851))</f>
        <v/>
      </c>
      <c r="N1851" s="38">
        <f>IF(A1851="","",DATE(YEAR(A1851),MONTH(A1851),1))</f>
        <v/>
      </c>
    </row>
    <row r="1852">
      <c r="A1852" s="31" t="n"/>
      <c r="B1852" s="32" t="n"/>
      <c r="C1852" s="32" t="n"/>
      <c r="D1852" s="33" t="n"/>
      <c r="E1852" s="34" t="n"/>
      <c r="F1852" s="35" t="n"/>
      <c r="G1852" s="35" t="n"/>
      <c r="H1852" s="32" t="n"/>
      <c r="I1852" s="32" t="n"/>
      <c r="J1852" s="32" t="n"/>
      <c r="K1852" s="36">
        <f>IF(E1852&lt;&gt;"",E1852,IF(AND(F1852&lt;&gt;"",G1852&lt;&gt;""),MOD(G1852-F1852,1)*24,""))</f>
        <v/>
      </c>
      <c r="L1852" s="37">
        <f>IF(A1852="","",CHOOSE(WEEKDAY(A1852,2),"Montag","Dienstag","Mittwoch","Donnerstag","Freitag","Samstag","Sonntag"))</f>
        <v/>
      </c>
      <c r="M1852" s="37">
        <f>IF(A1852="","",_xlfn.ISOWEEKNUM(A1852))</f>
        <v/>
      </c>
      <c r="N1852" s="38">
        <f>IF(A1852="","",DATE(YEAR(A1852),MONTH(A1852),1))</f>
        <v/>
      </c>
    </row>
    <row r="1853">
      <c r="A1853" s="31" t="n"/>
      <c r="B1853" s="32" t="n"/>
      <c r="C1853" s="32" t="n"/>
      <c r="D1853" s="33" t="n"/>
      <c r="E1853" s="34" t="n"/>
      <c r="F1853" s="35" t="n"/>
      <c r="G1853" s="35" t="n"/>
      <c r="H1853" s="32" t="n"/>
      <c r="I1853" s="32" t="n"/>
      <c r="J1853" s="32" t="n"/>
      <c r="K1853" s="36">
        <f>IF(E1853&lt;&gt;"",E1853,IF(AND(F1853&lt;&gt;"",G1853&lt;&gt;""),MOD(G1853-F1853,1)*24,""))</f>
        <v/>
      </c>
      <c r="L1853" s="37">
        <f>IF(A1853="","",CHOOSE(WEEKDAY(A1853,2),"Montag","Dienstag","Mittwoch","Donnerstag","Freitag","Samstag","Sonntag"))</f>
        <v/>
      </c>
      <c r="M1853" s="37">
        <f>IF(A1853="","",_xlfn.ISOWEEKNUM(A1853))</f>
        <v/>
      </c>
      <c r="N1853" s="38">
        <f>IF(A1853="","",DATE(YEAR(A1853),MONTH(A1853),1))</f>
        <v/>
      </c>
    </row>
    <row r="1854">
      <c r="A1854" s="31" t="n"/>
      <c r="B1854" s="32" t="n"/>
      <c r="C1854" s="32" t="n"/>
      <c r="D1854" s="33" t="n"/>
      <c r="E1854" s="34" t="n"/>
      <c r="F1854" s="35" t="n"/>
      <c r="G1854" s="35" t="n"/>
      <c r="H1854" s="32" t="n"/>
      <c r="I1854" s="32" t="n"/>
      <c r="J1854" s="32" t="n"/>
      <c r="K1854" s="36">
        <f>IF(E1854&lt;&gt;"",E1854,IF(AND(F1854&lt;&gt;"",G1854&lt;&gt;""),MOD(G1854-F1854,1)*24,""))</f>
        <v/>
      </c>
      <c r="L1854" s="37">
        <f>IF(A1854="","",CHOOSE(WEEKDAY(A1854,2),"Montag","Dienstag","Mittwoch","Donnerstag","Freitag","Samstag","Sonntag"))</f>
        <v/>
      </c>
      <c r="M1854" s="37">
        <f>IF(A1854="","",_xlfn.ISOWEEKNUM(A1854))</f>
        <v/>
      </c>
      <c r="N1854" s="38">
        <f>IF(A1854="","",DATE(YEAR(A1854),MONTH(A1854),1))</f>
        <v/>
      </c>
    </row>
    <row r="1855">
      <c r="A1855" s="31" t="n"/>
      <c r="B1855" s="32" t="n"/>
      <c r="C1855" s="32" t="n"/>
      <c r="D1855" s="33" t="n"/>
      <c r="E1855" s="34" t="n"/>
      <c r="F1855" s="35" t="n"/>
      <c r="G1855" s="35" t="n"/>
      <c r="H1855" s="32" t="n"/>
      <c r="I1855" s="32" t="n"/>
      <c r="J1855" s="32" t="n"/>
      <c r="K1855" s="36">
        <f>IF(E1855&lt;&gt;"",E1855,IF(AND(F1855&lt;&gt;"",G1855&lt;&gt;""),MOD(G1855-F1855,1)*24,""))</f>
        <v/>
      </c>
      <c r="L1855" s="37">
        <f>IF(A1855="","",CHOOSE(WEEKDAY(A1855,2),"Montag","Dienstag","Mittwoch","Donnerstag","Freitag","Samstag","Sonntag"))</f>
        <v/>
      </c>
      <c r="M1855" s="37">
        <f>IF(A1855="","",_xlfn.ISOWEEKNUM(A1855))</f>
        <v/>
      </c>
      <c r="N1855" s="38">
        <f>IF(A1855="","",DATE(YEAR(A1855),MONTH(A1855),1))</f>
        <v/>
      </c>
    </row>
    <row r="1856">
      <c r="A1856" s="31" t="n"/>
      <c r="B1856" s="32" t="n"/>
      <c r="C1856" s="32" t="n"/>
      <c r="D1856" s="33" t="n"/>
      <c r="E1856" s="34" t="n"/>
      <c r="F1856" s="35" t="n"/>
      <c r="G1856" s="35" t="n"/>
      <c r="H1856" s="32" t="n"/>
      <c r="I1856" s="32" t="n"/>
      <c r="J1856" s="32" t="n"/>
      <c r="K1856" s="36">
        <f>IF(E1856&lt;&gt;"",E1856,IF(AND(F1856&lt;&gt;"",G1856&lt;&gt;""),MOD(G1856-F1856,1)*24,""))</f>
        <v/>
      </c>
      <c r="L1856" s="37">
        <f>IF(A1856="","",CHOOSE(WEEKDAY(A1856,2),"Montag","Dienstag","Mittwoch","Donnerstag","Freitag","Samstag","Sonntag"))</f>
        <v/>
      </c>
      <c r="M1856" s="37">
        <f>IF(A1856="","",_xlfn.ISOWEEKNUM(A1856))</f>
        <v/>
      </c>
      <c r="N1856" s="38">
        <f>IF(A1856="","",DATE(YEAR(A1856),MONTH(A1856),1))</f>
        <v/>
      </c>
    </row>
    <row r="1857">
      <c r="A1857" s="31" t="n"/>
      <c r="B1857" s="32" t="n"/>
      <c r="C1857" s="32" t="n"/>
      <c r="D1857" s="33" t="n"/>
      <c r="E1857" s="34" t="n"/>
      <c r="F1857" s="35" t="n"/>
      <c r="G1857" s="35" t="n"/>
      <c r="H1857" s="32" t="n"/>
      <c r="I1857" s="32" t="n"/>
      <c r="J1857" s="32" t="n"/>
      <c r="K1857" s="36">
        <f>IF(E1857&lt;&gt;"",E1857,IF(AND(F1857&lt;&gt;"",G1857&lt;&gt;""),MOD(G1857-F1857,1)*24,""))</f>
        <v/>
      </c>
      <c r="L1857" s="37">
        <f>IF(A1857="","",CHOOSE(WEEKDAY(A1857,2),"Montag","Dienstag","Mittwoch","Donnerstag","Freitag","Samstag","Sonntag"))</f>
        <v/>
      </c>
      <c r="M1857" s="37">
        <f>IF(A1857="","",_xlfn.ISOWEEKNUM(A1857))</f>
        <v/>
      </c>
      <c r="N1857" s="38">
        <f>IF(A1857="","",DATE(YEAR(A1857),MONTH(A1857),1))</f>
        <v/>
      </c>
    </row>
    <row r="1858">
      <c r="A1858" s="31" t="n"/>
      <c r="B1858" s="32" t="n"/>
      <c r="C1858" s="32" t="n"/>
      <c r="D1858" s="33" t="n"/>
      <c r="E1858" s="34" t="n"/>
      <c r="F1858" s="35" t="n"/>
      <c r="G1858" s="35" t="n"/>
      <c r="H1858" s="32" t="n"/>
      <c r="I1858" s="32" t="n"/>
      <c r="J1858" s="32" t="n"/>
      <c r="K1858" s="36">
        <f>IF(E1858&lt;&gt;"",E1858,IF(AND(F1858&lt;&gt;"",G1858&lt;&gt;""),MOD(G1858-F1858,1)*24,""))</f>
        <v/>
      </c>
      <c r="L1858" s="37">
        <f>IF(A1858="","",CHOOSE(WEEKDAY(A1858,2),"Montag","Dienstag","Mittwoch","Donnerstag","Freitag","Samstag","Sonntag"))</f>
        <v/>
      </c>
      <c r="M1858" s="37">
        <f>IF(A1858="","",_xlfn.ISOWEEKNUM(A1858))</f>
        <v/>
      </c>
      <c r="N1858" s="38">
        <f>IF(A1858="","",DATE(YEAR(A1858),MONTH(A1858),1))</f>
        <v/>
      </c>
    </row>
    <row r="1859">
      <c r="A1859" s="31" t="n"/>
      <c r="B1859" s="32" t="n"/>
      <c r="C1859" s="32" t="n"/>
      <c r="D1859" s="33" t="n"/>
      <c r="E1859" s="34" t="n"/>
      <c r="F1859" s="35" t="n"/>
      <c r="G1859" s="35" t="n"/>
      <c r="H1859" s="32" t="n"/>
      <c r="I1859" s="32" t="n"/>
      <c r="J1859" s="32" t="n"/>
      <c r="K1859" s="36">
        <f>IF(E1859&lt;&gt;"",E1859,IF(AND(F1859&lt;&gt;"",G1859&lt;&gt;""),MOD(G1859-F1859,1)*24,""))</f>
        <v/>
      </c>
      <c r="L1859" s="37">
        <f>IF(A1859="","",CHOOSE(WEEKDAY(A1859,2),"Montag","Dienstag","Mittwoch","Donnerstag","Freitag","Samstag","Sonntag"))</f>
        <v/>
      </c>
      <c r="M1859" s="37">
        <f>IF(A1859="","",_xlfn.ISOWEEKNUM(A1859))</f>
        <v/>
      </c>
      <c r="N1859" s="38">
        <f>IF(A1859="","",DATE(YEAR(A1859),MONTH(A1859),1))</f>
        <v/>
      </c>
    </row>
    <row r="1860">
      <c r="A1860" s="31" t="n"/>
      <c r="B1860" s="32" t="n"/>
      <c r="C1860" s="32" t="n"/>
      <c r="D1860" s="33" t="n"/>
      <c r="E1860" s="34" t="n"/>
      <c r="F1860" s="35" t="n"/>
      <c r="G1860" s="35" t="n"/>
      <c r="H1860" s="32" t="n"/>
      <c r="I1860" s="32" t="n"/>
      <c r="J1860" s="32" t="n"/>
      <c r="K1860" s="36">
        <f>IF(E1860&lt;&gt;"",E1860,IF(AND(F1860&lt;&gt;"",G1860&lt;&gt;""),MOD(G1860-F1860,1)*24,""))</f>
        <v/>
      </c>
      <c r="L1860" s="37">
        <f>IF(A1860="","",CHOOSE(WEEKDAY(A1860,2),"Montag","Dienstag","Mittwoch","Donnerstag","Freitag","Samstag","Sonntag"))</f>
        <v/>
      </c>
      <c r="M1860" s="37">
        <f>IF(A1860="","",_xlfn.ISOWEEKNUM(A1860))</f>
        <v/>
      </c>
      <c r="N1860" s="38">
        <f>IF(A1860="","",DATE(YEAR(A1860),MONTH(A1860),1))</f>
        <v/>
      </c>
    </row>
    <row r="1861">
      <c r="A1861" s="31" t="n"/>
      <c r="B1861" s="32" t="n"/>
      <c r="C1861" s="32" t="n"/>
      <c r="D1861" s="33" t="n"/>
      <c r="E1861" s="34" t="n"/>
      <c r="F1861" s="35" t="n"/>
      <c r="G1861" s="35" t="n"/>
      <c r="H1861" s="32" t="n"/>
      <c r="I1861" s="32" t="n"/>
      <c r="J1861" s="32" t="n"/>
      <c r="K1861" s="36">
        <f>IF(E1861&lt;&gt;"",E1861,IF(AND(F1861&lt;&gt;"",G1861&lt;&gt;""),MOD(G1861-F1861,1)*24,""))</f>
        <v/>
      </c>
      <c r="L1861" s="37">
        <f>IF(A1861="","",CHOOSE(WEEKDAY(A1861,2),"Montag","Dienstag","Mittwoch","Donnerstag","Freitag","Samstag","Sonntag"))</f>
        <v/>
      </c>
      <c r="M1861" s="37">
        <f>IF(A1861="","",_xlfn.ISOWEEKNUM(A1861))</f>
        <v/>
      </c>
      <c r="N1861" s="38">
        <f>IF(A1861="","",DATE(YEAR(A1861),MONTH(A1861),1))</f>
        <v/>
      </c>
    </row>
    <row r="1862">
      <c r="A1862" s="31" t="n"/>
      <c r="B1862" s="32" t="n"/>
      <c r="C1862" s="32" t="n"/>
      <c r="D1862" s="33" t="n"/>
      <c r="E1862" s="34" t="n"/>
      <c r="F1862" s="35" t="n"/>
      <c r="G1862" s="35" t="n"/>
      <c r="H1862" s="32" t="n"/>
      <c r="I1862" s="32" t="n"/>
      <c r="J1862" s="32" t="n"/>
      <c r="K1862" s="36">
        <f>IF(E1862&lt;&gt;"",E1862,IF(AND(F1862&lt;&gt;"",G1862&lt;&gt;""),MOD(G1862-F1862,1)*24,""))</f>
        <v/>
      </c>
      <c r="L1862" s="37">
        <f>IF(A1862="","",CHOOSE(WEEKDAY(A1862,2),"Montag","Dienstag","Mittwoch","Donnerstag","Freitag","Samstag","Sonntag"))</f>
        <v/>
      </c>
      <c r="M1862" s="37">
        <f>IF(A1862="","",_xlfn.ISOWEEKNUM(A1862))</f>
        <v/>
      </c>
      <c r="N1862" s="38">
        <f>IF(A1862="","",DATE(YEAR(A1862),MONTH(A1862),1))</f>
        <v/>
      </c>
    </row>
    <row r="1863">
      <c r="A1863" s="31" t="n"/>
      <c r="B1863" s="32" t="n"/>
      <c r="C1863" s="32" t="n"/>
      <c r="D1863" s="33" t="n"/>
      <c r="E1863" s="34" t="n"/>
      <c r="F1863" s="35" t="n"/>
      <c r="G1863" s="35" t="n"/>
      <c r="H1863" s="32" t="n"/>
      <c r="I1863" s="32" t="n"/>
      <c r="J1863" s="32" t="n"/>
      <c r="K1863" s="36">
        <f>IF(E1863&lt;&gt;"",E1863,IF(AND(F1863&lt;&gt;"",G1863&lt;&gt;""),MOD(G1863-F1863,1)*24,""))</f>
        <v/>
      </c>
      <c r="L1863" s="37">
        <f>IF(A1863="","",CHOOSE(WEEKDAY(A1863,2),"Montag","Dienstag","Mittwoch","Donnerstag","Freitag","Samstag","Sonntag"))</f>
        <v/>
      </c>
      <c r="M1863" s="37">
        <f>IF(A1863="","",_xlfn.ISOWEEKNUM(A1863))</f>
        <v/>
      </c>
      <c r="N1863" s="38">
        <f>IF(A1863="","",DATE(YEAR(A1863),MONTH(A1863),1))</f>
        <v/>
      </c>
    </row>
    <row r="1864">
      <c r="A1864" s="31" t="n"/>
      <c r="B1864" s="32" t="n"/>
      <c r="C1864" s="32" t="n"/>
      <c r="D1864" s="33" t="n"/>
      <c r="E1864" s="34" t="n"/>
      <c r="F1864" s="35" t="n"/>
      <c r="G1864" s="35" t="n"/>
      <c r="H1864" s="32" t="n"/>
      <c r="I1864" s="32" t="n"/>
      <c r="J1864" s="32" t="n"/>
      <c r="K1864" s="36">
        <f>IF(E1864&lt;&gt;"",E1864,IF(AND(F1864&lt;&gt;"",G1864&lt;&gt;""),MOD(G1864-F1864,1)*24,""))</f>
        <v/>
      </c>
      <c r="L1864" s="37">
        <f>IF(A1864="","",CHOOSE(WEEKDAY(A1864,2),"Montag","Dienstag","Mittwoch","Donnerstag","Freitag","Samstag","Sonntag"))</f>
        <v/>
      </c>
      <c r="M1864" s="37">
        <f>IF(A1864="","",_xlfn.ISOWEEKNUM(A1864))</f>
        <v/>
      </c>
      <c r="N1864" s="38">
        <f>IF(A1864="","",DATE(YEAR(A1864),MONTH(A1864),1))</f>
        <v/>
      </c>
    </row>
    <row r="1865">
      <c r="A1865" s="31" t="n"/>
      <c r="B1865" s="32" t="n"/>
      <c r="C1865" s="32" t="n"/>
      <c r="D1865" s="33" t="n"/>
      <c r="E1865" s="34" t="n"/>
      <c r="F1865" s="35" t="n"/>
      <c r="G1865" s="35" t="n"/>
      <c r="H1865" s="32" t="n"/>
      <c r="I1865" s="32" t="n"/>
      <c r="J1865" s="32" t="n"/>
      <c r="K1865" s="36">
        <f>IF(E1865&lt;&gt;"",E1865,IF(AND(F1865&lt;&gt;"",G1865&lt;&gt;""),MOD(G1865-F1865,1)*24,""))</f>
        <v/>
      </c>
      <c r="L1865" s="37">
        <f>IF(A1865="","",CHOOSE(WEEKDAY(A1865,2),"Montag","Dienstag","Mittwoch","Donnerstag","Freitag","Samstag","Sonntag"))</f>
        <v/>
      </c>
      <c r="M1865" s="37">
        <f>IF(A1865="","",_xlfn.ISOWEEKNUM(A1865))</f>
        <v/>
      </c>
      <c r="N1865" s="38">
        <f>IF(A1865="","",DATE(YEAR(A1865),MONTH(A1865),1))</f>
        <v/>
      </c>
    </row>
    <row r="1866">
      <c r="A1866" s="31" t="n"/>
      <c r="B1866" s="32" t="n"/>
      <c r="C1866" s="32" t="n"/>
      <c r="D1866" s="33" t="n"/>
      <c r="E1866" s="34" t="n"/>
      <c r="F1866" s="35" t="n"/>
      <c r="G1866" s="35" t="n"/>
      <c r="H1866" s="32" t="n"/>
      <c r="I1866" s="32" t="n"/>
      <c r="J1866" s="32" t="n"/>
      <c r="K1866" s="36">
        <f>IF(E1866&lt;&gt;"",E1866,IF(AND(F1866&lt;&gt;"",G1866&lt;&gt;""),MOD(G1866-F1866,1)*24,""))</f>
        <v/>
      </c>
      <c r="L1866" s="37">
        <f>IF(A1866="","",CHOOSE(WEEKDAY(A1866,2),"Montag","Dienstag","Mittwoch","Donnerstag","Freitag","Samstag","Sonntag"))</f>
        <v/>
      </c>
      <c r="M1866" s="37">
        <f>IF(A1866="","",_xlfn.ISOWEEKNUM(A1866))</f>
        <v/>
      </c>
      <c r="N1866" s="38">
        <f>IF(A1866="","",DATE(YEAR(A1866),MONTH(A1866),1))</f>
        <v/>
      </c>
    </row>
    <row r="1867">
      <c r="A1867" s="31" t="n"/>
      <c r="B1867" s="32" t="n"/>
      <c r="C1867" s="32" t="n"/>
      <c r="D1867" s="33" t="n"/>
      <c r="E1867" s="34" t="n"/>
      <c r="F1867" s="35" t="n"/>
      <c r="G1867" s="35" t="n"/>
      <c r="H1867" s="32" t="n"/>
      <c r="I1867" s="32" t="n"/>
      <c r="J1867" s="32" t="n"/>
      <c r="K1867" s="36">
        <f>IF(E1867&lt;&gt;"",E1867,IF(AND(F1867&lt;&gt;"",G1867&lt;&gt;""),MOD(G1867-F1867,1)*24,""))</f>
        <v/>
      </c>
      <c r="L1867" s="37">
        <f>IF(A1867="","",CHOOSE(WEEKDAY(A1867,2),"Montag","Dienstag","Mittwoch","Donnerstag","Freitag","Samstag","Sonntag"))</f>
        <v/>
      </c>
      <c r="M1867" s="37">
        <f>IF(A1867="","",_xlfn.ISOWEEKNUM(A1867))</f>
        <v/>
      </c>
      <c r="N1867" s="38">
        <f>IF(A1867="","",DATE(YEAR(A1867),MONTH(A1867),1))</f>
        <v/>
      </c>
    </row>
    <row r="1868">
      <c r="A1868" s="31" t="n"/>
      <c r="B1868" s="32" t="n"/>
      <c r="C1868" s="32" t="n"/>
      <c r="D1868" s="33" t="n"/>
      <c r="E1868" s="34" t="n"/>
      <c r="F1868" s="35" t="n"/>
      <c r="G1868" s="35" t="n"/>
      <c r="H1868" s="32" t="n"/>
      <c r="I1868" s="32" t="n"/>
      <c r="J1868" s="32" t="n"/>
      <c r="K1868" s="36">
        <f>IF(E1868&lt;&gt;"",E1868,IF(AND(F1868&lt;&gt;"",G1868&lt;&gt;""),MOD(G1868-F1868,1)*24,""))</f>
        <v/>
      </c>
      <c r="L1868" s="37">
        <f>IF(A1868="","",CHOOSE(WEEKDAY(A1868,2),"Montag","Dienstag","Mittwoch","Donnerstag","Freitag","Samstag","Sonntag"))</f>
        <v/>
      </c>
      <c r="M1868" s="37">
        <f>IF(A1868="","",_xlfn.ISOWEEKNUM(A1868))</f>
        <v/>
      </c>
      <c r="N1868" s="38">
        <f>IF(A1868="","",DATE(YEAR(A1868),MONTH(A1868),1))</f>
        <v/>
      </c>
    </row>
    <row r="1869">
      <c r="A1869" s="31" t="n"/>
      <c r="B1869" s="32" t="n"/>
      <c r="C1869" s="32" t="n"/>
      <c r="D1869" s="33" t="n"/>
      <c r="E1869" s="34" t="n"/>
      <c r="F1869" s="35" t="n"/>
      <c r="G1869" s="35" t="n"/>
      <c r="H1869" s="32" t="n"/>
      <c r="I1869" s="32" t="n"/>
      <c r="J1869" s="32" t="n"/>
      <c r="K1869" s="36">
        <f>IF(E1869&lt;&gt;"",E1869,IF(AND(F1869&lt;&gt;"",G1869&lt;&gt;""),MOD(G1869-F1869,1)*24,""))</f>
        <v/>
      </c>
      <c r="L1869" s="37">
        <f>IF(A1869="","",CHOOSE(WEEKDAY(A1869,2),"Montag","Dienstag","Mittwoch","Donnerstag","Freitag","Samstag","Sonntag"))</f>
        <v/>
      </c>
      <c r="M1869" s="37">
        <f>IF(A1869="","",_xlfn.ISOWEEKNUM(A1869))</f>
        <v/>
      </c>
      <c r="N1869" s="38">
        <f>IF(A1869="","",DATE(YEAR(A1869),MONTH(A1869),1))</f>
        <v/>
      </c>
    </row>
    <row r="1870">
      <c r="A1870" s="31" t="n"/>
      <c r="B1870" s="32" t="n"/>
      <c r="C1870" s="32" t="n"/>
      <c r="D1870" s="33" t="n"/>
      <c r="E1870" s="34" t="n"/>
      <c r="F1870" s="35" t="n"/>
      <c r="G1870" s="35" t="n"/>
      <c r="H1870" s="32" t="n"/>
      <c r="I1870" s="32" t="n"/>
      <c r="J1870" s="32" t="n"/>
      <c r="K1870" s="36">
        <f>IF(E1870&lt;&gt;"",E1870,IF(AND(F1870&lt;&gt;"",G1870&lt;&gt;""),MOD(G1870-F1870,1)*24,""))</f>
        <v/>
      </c>
      <c r="L1870" s="37">
        <f>IF(A1870="","",CHOOSE(WEEKDAY(A1870,2),"Montag","Dienstag","Mittwoch","Donnerstag","Freitag","Samstag","Sonntag"))</f>
        <v/>
      </c>
      <c r="M1870" s="37">
        <f>IF(A1870="","",_xlfn.ISOWEEKNUM(A1870))</f>
        <v/>
      </c>
      <c r="N1870" s="38">
        <f>IF(A1870="","",DATE(YEAR(A1870),MONTH(A1870),1))</f>
        <v/>
      </c>
    </row>
    <row r="1871">
      <c r="A1871" s="31" t="n"/>
      <c r="B1871" s="32" t="n"/>
      <c r="C1871" s="32" t="n"/>
      <c r="D1871" s="33" t="n"/>
      <c r="E1871" s="34" t="n"/>
      <c r="F1871" s="35" t="n"/>
      <c r="G1871" s="35" t="n"/>
      <c r="H1871" s="32" t="n"/>
      <c r="I1871" s="32" t="n"/>
      <c r="J1871" s="32" t="n"/>
      <c r="K1871" s="36">
        <f>IF(E1871&lt;&gt;"",E1871,IF(AND(F1871&lt;&gt;"",G1871&lt;&gt;""),MOD(G1871-F1871,1)*24,""))</f>
        <v/>
      </c>
      <c r="L1871" s="37">
        <f>IF(A1871="","",CHOOSE(WEEKDAY(A1871,2),"Montag","Dienstag","Mittwoch","Donnerstag","Freitag","Samstag","Sonntag"))</f>
        <v/>
      </c>
      <c r="M1871" s="37">
        <f>IF(A1871="","",_xlfn.ISOWEEKNUM(A1871))</f>
        <v/>
      </c>
      <c r="N1871" s="38">
        <f>IF(A1871="","",DATE(YEAR(A1871),MONTH(A1871),1))</f>
        <v/>
      </c>
    </row>
    <row r="1872">
      <c r="A1872" s="31" t="n"/>
      <c r="B1872" s="32" t="n"/>
      <c r="C1872" s="32" t="n"/>
      <c r="D1872" s="33" t="n"/>
      <c r="E1872" s="34" t="n"/>
      <c r="F1872" s="35" t="n"/>
      <c r="G1872" s="35" t="n"/>
      <c r="H1872" s="32" t="n"/>
      <c r="I1872" s="32" t="n"/>
      <c r="J1872" s="32" t="n"/>
      <c r="K1872" s="36">
        <f>IF(E1872&lt;&gt;"",E1872,IF(AND(F1872&lt;&gt;"",G1872&lt;&gt;""),MOD(G1872-F1872,1)*24,""))</f>
        <v/>
      </c>
      <c r="L1872" s="37">
        <f>IF(A1872="","",CHOOSE(WEEKDAY(A1872,2),"Montag","Dienstag","Mittwoch","Donnerstag","Freitag","Samstag","Sonntag"))</f>
        <v/>
      </c>
      <c r="M1872" s="37">
        <f>IF(A1872="","",_xlfn.ISOWEEKNUM(A1872))</f>
        <v/>
      </c>
      <c r="N1872" s="38">
        <f>IF(A1872="","",DATE(YEAR(A1872),MONTH(A1872),1))</f>
        <v/>
      </c>
    </row>
    <row r="1873">
      <c r="A1873" s="31" t="n"/>
      <c r="B1873" s="32" t="n"/>
      <c r="C1873" s="32" t="n"/>
      <c r="D1873" s="33" t="n"/>
      <c r="E1873" s="34" t="n"/>
      <c r="F1873" s="35" t="n"/>
      <c r="G1873" s="35" t="n"/>
      <c r="H1873" s="32" t="n"/>
      <c r="I1873" s="32" t="n"/>
      <c r="J1873" s="32" t="n"/>
      <c r="K1873" s="36">
        <f>IF(E1873&lt;&gt;"",E1873,IF(AND(F1873&lt;&gt;"",G1873&lt;&gt;""),MOD(G1873-F1873,1)*24,""))</f>
        <v/>
      </c>
      <c r="L1873" s="37">
        <f>IF(A1873="","",CHOOSE(WEEKDAY(A1873,2),"Montag","Dienstag","Mittwoch","Donnerstag","Freitag","Samstag","Sonntag"))</f>
        <v/>
      </c>
      <c r="M1873" s="37">
        <f>IF(A1873="","",_xlfn.ISOWEEKNUM(A1873))</f>
        <v/>
      </c>
      <c r="N1873" s="38">
        <f>IF(A1873="","",DATE(YEAR(A1873),MONTH(A1873),1))</f>
        <v/>
      </c>
    </row>
    <row r="1874">
      <c r="A1874" s="31" t="n"/>
      <c r="B1874" s="32" t="n"/>
      <c r="C1874" s="32" t="n"/>
      <c r="D1874" s="33" t="n"/>
      <c r="E1874" s="34" t="n"/>
      <c r="F1874" s="35" t="n"/>
      <c r="G1874" s="35" t="n"/>
      <c r="H1874" s="32" t="n"/>
      <c r="I1874" s="32" t="n"/>
      <c r="J1874" s="32" t="n"/>
      <c r="K1874" s="36">
        <f>IF(E1874&lt;&gt;"",E1874,IF(AND(F1874&lt;&gt;"",G1874&lt;&gt;""),MOD(G1874-F1874,1)*24,""))</f>
        <v/>
      </c>
      <c r="L1874" s="37">
        <f>IF(A1874="","",CHOOSE(WEEKDAY(A1874,2),"Montag","Dienstag","Mittwoch","Donnerstag","Freitag","Samstag","Sonntag"))</f>
        <v/>
      </c>
      <c r="M1874" s="37">
        <f>IF(A1874="","",_xlfn.ISOWEEKNUM(A1874))</f>
        <v/>
      </c>
      <c r="N1874" s="38">
        <f>IF(A1874="","",DATE(YEAR(A1874),MONTH(A1874),1))</f>
        <v/>
      </c>
    </row>
    <row r="1875">
      <c r="A1875" s="31" t="n"/>
      <c r="B1875" s="32" t="n"/>
      <c r="C1875" s="32" t="n"/>
      <c r="D1875" s="33" t="n"/>
      <c r="E1875" s="34" t="n"/>
      <c r="F1875" s="35" t="n"/>
      <c r="G1875" s="35" t="n"/>
      <c r="H1875" s="32" t="n"/>
      <c r="I1875" s="32" t="n"/>
      <c r="J1875" s="32" t="n"/>
      <c r="K1875" s="36">
        <f>IF(E1875&lt;&gt;"",E1875,IF(AND(F1875&lt;&gt;"",G1875&lt;&gt;""),MOD(G1875-F1875,1)*24,""))</f>
        <v/>
      </c>
      <c r="L1875" s="37">
        <f>IF(A1875="","",CHOOSE(WEEKDAY(A1875,2),"Montag","Dienstag","Mittwoch","Donnerstag","Freitag","Samstag","Sonntag"))</f>
        <v/>
      </c>
      <c r="M1875" s="37">
        <f>IF(A1875="","",_xlfn.ISOWEEKNUM(A1875))</f>
        <v/>
      </c>
      <c r="N1875" s="38">
        <f>IF(A1875="","",DATE(YEAR(A1875),MONTH(A1875),1))</f>
        <v/>
      </c>
    </row>
    <row r="1876">
      <c r="A1876" s="31" t="n"/>
      <c r="B1876" s="32" t="n"/>
      <c r="C1876" s="32" t="n"/>
      <c r="D1876" s="33" t="n"/>
      <c r="E1876" s="34" t="n"/>
      <c r="F1876" s="35" t="n"/>
      <c r="G1876" s="35" t="n"/>
      <c r="H1876" s="32" t="n"/>
      <c r="I1876" s="32" t="n"/>
      <c r="J1876" s="32" t="n"/>
      <c r="K1876" s="36">
        <f>IF(E1876&lt;&gt;"",E1876,IF(AND(F1876&lt;&gt;"",G1876&lt;&gt;""),MOD(G1876-F1876,1)*24,""))</f>
        <v/>
      </c>
      <c r="L1876" s="37">
        <f>IF(A1876="","",CHOOSE(WEEKDAY(A1876,2),"Montag","Dienstag","Mittwoch","Donnerstag","Freitag","Samstag","Sonntag"))</f>
        <v/>
      </c>
      <c r="M1876" s="37">
        <f>IF(A1876="","",_xlfn.ISOWEEKNUM(A1876))</f>
        <v/>
      </c>
      <c r="N1876" s="38">
        <f>IF(A1876="","",DATE(YEAR(A1876),MONTH(A1876),1))</f>
        <v/>
      </c>
    </row>
    <row r="1877">
      <c r="A1877" s="31" t="n"/>
      <c r="B1877" s="32" t="n"/>
      <c r="C1877" s="32" t="n"/>
      <c r="D1877" s="33" t="n"/>
      <c r="E1877" s="34" t="n"/>
      <c r="F1877" s="35" t="n"/>
      <c r="G1877" s="35" t="n"/>
      <c r="H1877" s="32" t="n"/>
      <c r="I1877" s="32" t="n"/>
      <c r="J1877" s="32" t="n"/>
      <c r="K1877" s="36">
        <f>IF(E1877&lt;&gt;"",E1877,IF(AND(F1877&lt;&gt;"",G1877&lt;&gt;""),MOD(G1877-F1877,1)*24,""))</f>
        <v/>
      </c>
      <c r="L1877" s="37">
        <f>IF(A1877="","",CHOOSE(WEEKDAY(A1877,2),"Montag","Dienstag","Mittwoch","Donnerstag","Freitag","Samstag","Sonntag"))</f>
        <v/>
      </c>
      <c r="M1877" s="37">
        <f>IF(A1877="","",_xlfn.ISOWEEKNUM(A1877))</f>
        <v/>
      </c>
      <c r="N1877" s="38">
        <f>IF(A1877="","",DATE(YEAR(A1877),MONTH(A1877),1))</f>
        <v/>
      </c>
    </row>
    <row r="1878">
      <c r="A1878" s="31" t="n"/>
      <c r="B1878" s="32" t="n"/>
      <c r="C1878" s="32" t="n"/>
      <c r="D1878" s="33" t="n"/>
      <c r="E1878" s="34" t="n"/>
      <c r="F1878" s="35" t="n"/>
      <c r="G1878" s="35" t="n"/>
      <c r="H1878" s="32" t="n"/>
      <c r="I1878" s="32" t="n"/>
      <c r="J1878" s="32" t="n"/>
      <c r="K1878" s="36">
        <f>IF(E1878&lt;&gt;"",E1878,IF(AND(F1878&lt;&gt;"",G1878&lt;&gt;""),MOD(G1878-F1878,1)*24,""))</f>
        <v/>
      </c>
      <c r="L1878" s="37">
        <f>IF(A1878="","",CHOOSE(WEEKDAY(A1878,2),"Montag","Dienstag","Mittwoch","Donnerstag","Freitag","Samstag","Sonntag"))</f>
        <v/>
      </c>
      <c r="M1878" s="37">
        <f>IF(A1878="","",_xlfn.ISOWEEKNUM(A1878))</f>
        <v/>
      </c>
      <c r="N1878" s="38">
        <f>IF(A1878="","",DATE(YEAR(A1878),MONTH(A1878),1))</f>
        <v/>
      </c>
    </row>
    <row r="1879">
      <c r="A1879" s="31" t="n"/>
      <c r="B1879" s="32" t="n"/>
      <c r="C1879" s="32" t="n"/>
      <c r="D1879" s="33" t="n"/>
      <c r="E1879" s="34" t="n"/>
      <c r="F1879" s="35" t="n"/>
      <c r="G1879" s="35" t="n"/>
      <c r="H1879" s="32" t="n"/>
      <c r="I1879" s="32" t="n"/>
      <c r="J1879" s="32" t="n"/>
      <c r="K1879" s="36">
        <f>IF(E1879&lt;&gt;"",E1879,IF(AND(F1879&lt;&gt;"",G1879&lt;&gt;""),MOD(G1879-F1879,1)*24,""))</f>
        <v/>
      </c>
      <c r="L1879" s="37">
        <f>IF(A1879="","",CHOOSE(WEEKDAY(A1879,2),"Montag","Dienstag","Mittwoch","Donnerstag","Freitag","Samstag","Sonntag"))</f>
        <v/>
      </c>
      <c r="M1879" s="37">
        <f>IF(A1879="","",_xlfn.ISOWEEKNUM(A1879))</f>
        <v/>
      </c>
      <c r="N1879" s="38">
        <f>IF(A1879="","",DATE(YEAR(A1879),MONTH(A1879),1))</f>
        <v/>
      </c>
    </row>
    <row r="1880">
      <c r="A1880" s="31" t="n"/>
      <c r="B1880" s="32" t="n"/>
      <c r="C1880" s="32" t="n"/>
      <c r="D1880" s="33" t="n"/>
      <c r="E1880" s="34" t="n"/>
      <c r="F1880" s="35" t="n"/>
      <c r="G1880" s="35" t="n"/>
      <c r="H1880" s="32" t="n"/>
      <c r="I1880" s="32" t="n"/>
      <c r="J1880" s="32" t="n"/>
      <c r="K1880" s="36">
        <f>IF(E1880&lt;&gt;"",E1880,IF(AND(F1880&lt;&gt;"",G1880&lt;&gt;""),MOD(G1880-F1880,1)*24,""))</f>
        <v/>
      </c>
      <c r="L1880" s="37">
        <f>IF(A1880="","",CHOOSE(WEEKDAY(A1880,2),"Montag","Dienstag","Mittwoch","Donnerstag","Freitag","Samstag","Sonntag"))</f>
        <v/>
      </c>
      <c r="M1880" s="37">
        <f>IF(A1880="","",_xlfn.ISOWEEKNUM(A1880))</f>
        <v/>
      </c>
      <c r="N1880" s="38">
        <f>IF(A1880="","",DATE(YEAR(A1880),MONTH(A1880),1))</f>
        <v/>
      </c>
    </row>
    <row r="1881">
      <c r="A1881" s="31" t="n"/>
      <c r="B1881" s="32" t="n"/>
      <c r="C1881" s="32" t="n"/>
      <c r="D1881" s="33" t="n"/>
      <c r="E1881" s="34" t="n"/>
      <c r="F1881" s="35" t="n"/>
      <c r="G1881" s="35" t="n"/>
      <c r="H1881" s="32" t="n"/>
      <c r="I1881" s="32" t="n"/>
      <c r="J1881" s="32" t="n"/>
      <c r="K1881" s="36">
        <f>IF(E1881&lt;&gt;"",E1881,IF(AND(F1881&lt;&gt;"",G1881&lt;&gt;""),MOD(G1881-F1881,1)*24,""))</f>
        <v/>
      </c>
      <c r="L1881" s="37">
        <f>IF(A1881="","",CHOOSE(WEEKDAY(A1881,2),"Montag","Dienstag","Mittwoch","Donnerstag","Freitag","Samstag","Sonntag"))</f>
        <v/>
      </c>
      <c r="M1881" s="37">
        <f>IF(A1881="","",_xlfn.ISOWEEKNUM(A1881))</f>
        <v/>
      </c>
      <c r="N1881" s="38">
        <f>IF(A1881="","",DATE(YEAR(A1881),MONTH(A1881),1))</f>
        <v/>
      </c>
    </row>
    <row r="1882">
      <c r="A1882" s="31" t="n"/>
      <c r="B1882" s="32" t="n"/>
      <c r="C1882" s="32" t="n"/>
      <c r="D1882" s="33" t="n"/>
      <c r="E1882" s="34" t="n"/>
      <c r="F1882" s="35" t="n"/>
      <c r="G1882" s="35" t="n"/>
      <c r="H1882" s="32" t="n"/>
      <c r="I1882" s="32" t="n"/>
      <c r="J1882" s="32" t="n"/>
      <c r="K1882" s="36">
        <f>IF(E1882&lt;&gt;"",E1882,IF(AND(F1882&lt;&gt;"",G1882&lt;&gt;""),MOD(G1882-F1882,1)*24,""))</f>
        <v/>
      </c>
      <c r="L1882" s="37">
        <f>IF(A1882="","",CHOOSE(WEEKDAY(A1882,2),"Montag","Dienstag","Mittwoch","Donnerstag","Freitag","Samstag","Sonntag"))</f>
        <v/>
      </c>
      <c r="M1882" s="37">
        <f>IF(A1882="","",_xlfn.ISOWEEKNUM(A1882))</f>
        <v/>
      </c>
      <c r="N1882" s="38">
        <f>IF(A1882="","",DATE(YEAR(A1882),MONTH(A1882),1))</f>
        <v/>
      </c>
    </row>
    <row r="1883">
      <c r="A1883" s="31" t="n"/>
      <c r="B1883" s="32" t="n"/>
      <c r="C1883" s="32" t="n"/>
      <c r="D1883" s="33" t="n"/>
      <c r="E1883" s="34" t="n"/>
      <c r="F1883" s="35" t="n"/>
      <c r="G1883" s="35" t="n"/>
      <c r="H1883" s="32" t="n"/>
      <c r="I1883" s="32" t="n"/>
      <c r="J1883" s="32" t="n"/>
      <c r="K1883" s="36">
        <f>IF(E1883&lt;&gt;"",E1883,IF(AND(F1883&lt;&gt;"",G1883&lt;&gt;""),MOD(G1883-F1883,1)*24,""))</f>
        <v/>
      </c>
      <c r="L1883" s="37">
        <f>IF(A1883="","",CHOOSE(WEEKDAY(A1883,2),"Montag","Dienstag","Mittwoch","Donnerstag","Freitag","Samstag","Sonntag"))</f>
        <v/>
      </c>
      <c r="M1883" s="37">
        <f>IF(A1883="","",_xlfn.ISOWEEKNUM(A1883))</f>
        <v/>
      </c>
      <c r="N1883" s="38">
        <f>IF(A1883="","",DATE(YEAR(A1883),MONTH(A1883),1))</f>
        <v/>
      </c>
    </row>
    <row r="1884">
      <c r="A1884" s="31" t="n"/>
      <c r="B1884" s="32" t="n"/>
      <c r="C1884" s="32" t="n"/>
      <c r="D1884" s="33" t="n"/>
      <c r="E1884" s="34" t="n"/>
      <c r="F1884" s="35" t="n"/>
      <c r="G1884" s="35" t="n"/>
      <c r="H1884" s="32" t="n"/>
      <c r="I1884" s="32" t="n"/>
      <c r="J1884" s="32" t="n"/>
      <c r="K1884" s="36">
        <f>IF(E1884&lt;&gt;"",E1884,IF(AND(F1884&lt;&gt;"",G1884&lt;&gt;""),MOD(G1884-F1884,1)*24,""))</f>
        <v/>
      </c>
      <c r="L1884" s="37">
        <f>IF(A1884="","",CHOOSE(WEEKDAY(A1884,2),"Montag","Dienstag","Mittwoch","Donnerstag","Freitag","Samstag","Sonntag"))</f>
        <v/>
      </c>
      <c r="M1884" s="37">
        <f>IF(A1884="","",_xlfn.ISOWEEKNUM(A1884))</f>
        <v/>
      </c>
      <c r="N1884" s="38">
        <f>IF(A1884="","",DATE(YEAR(A1884),MONTH(A1884),1))</f>
        <v/>
      </c>
    </row>
    <row r="1885">
      <c r="A1885" s="31" t="n"/>
      <c r="B1885" s="32" t="n"/>
      <c r="C1885" s="32" t="n"/>
      <c r="D1885" s="33" t="n"/>
      <c r="E1885" s="34" t="n"/>
      <c r="F1885" s="35" t="n"/>
      <c r="G1885" s="35" t="n"/>
      <c r="H1885" s="32" t="n"/>
      <c r="I1885" s="32" t="n"/>
      <c r="J1885" s="32" t="n"/>
      <c r="K1885" s="36">
        <f>IF(E1885&lt;&gt;"",E1885,IF(AND(F1885&lt;&gt;"",G1885&lt;&gt;""),MOD(G1885-F1885,1)*24,""))</f>
        <v/>
      </c>
      <c r="L1885" s="37">
        <f>IF(A1885="","",CHOOSE(WEEKDAY(A1885,2),"Montag","Dienstag","Mittwoch","Donnerstag","Freitag","Samstag","Sonntag"))</f>
        <v/>
      </c>
      <c r="M1885" s="37">
        <f>IF(A1885="","",_xlfn.ISOWEEKNUM(A1885))</f>
        <v/>
      </c>
      <c r="N1885" s="38">
        <f>IF(A1885="","",DATE(YEAR(A1885),MONTH(A1885),1))</f>
        <v/>
      </c>
    </row>
    <row r="1886">
      <c r="A1886" s="31" t="n"/>
      <c r="B1886" s="32" t="n"/>
      <c r="C1886" s="32" t="n"/>
      <c r="D1886" s="33" t="n"/>
      <c r="E1886" s="34" t="n"/>
      <c r="F1886" s="35" t="n"/>
      <c r="G1886" s="35" t="n"/>
      <c r="H1886" s="32" t="n"/>
      <c r="I1886" s="32" t="n"/>
      <c r="J1886" s="32" t="n"/>
      <c r="K1886" s="36">
        <f>IF(E1886&lt;&gt;"",E1886,IF(AND(F1886&lt;&gt;"",G1886&lt;&gt;""),MOD(G1886-F1886,1)*24,""))</f>
        <v/>
      </c>
      <c r="L1886" s="37">
        <f>IF(A1886="","",CHOOSE(WEEKDAY(A1886,2),"Montag","Dienstag","Mittwoch","Donnerstag","Freitag","Samstag","Sonntag"))</f>
        <v/>
      </c>
      <c r="M1886" s="37">
        <f>IF(A1886="","",_xlfn.ISOWEEKNUM(A1886))</f>
        <v/>
      </c>
      <c r="N1886" s="38">
        <f>IF(A1886="","",DATE(YEAR(A1886),MONTH(A1886),1))</f>
        <v/>
      </c>
    </row>
    <row r="1887">
      <c r="A1887" s="31" t="n"/>
      <c r="B1887" s="32" t="n"/>
      <c r="C1887" s="32" t="n"/>
      <c r="D1887" s="33" t="n"/>
      <c r="E1887" s="34" t="n"/>
      <c r="F1887" s="35" t="n"/>
      <c r="G1887" s="35" t="n"/>
      <c r="H1887" s="32" t="n"/>
      <c r="I1887" s="32" t="n"/>
      <c r="J1887" s="32" t="n"/>
      <c r="K1887" s="36">
        <f>IF(E1887&lt;&gt;"",E1887,IF(AND(F1887&lt;&gt;"",G1887&lt;&gt;""),MOD(G1887-F1887,1)*24,""))</f>
        <v/>
      </c>
      <c r="L1887" s="37">
        <f>IF(A1887="","",CHOOSE(WEEKDAY(A1887,2),"Montag","Dienstag","Mittwoch","Donnerstag","Freitag","Samstag","Sonntag"))</f>
        <v/>
      </c>
      <c r="M1887" s="37">
        <f>IF(A1887="","",_xlfn.ISOWEEKNUM(A1887))</f>
        <v/>
      </c>
      <c r="N1887" s="38">
        <f>IF(A1887="","",DATE(YEAR(A1887),MONTH(A1887),1))</f>
        <v/>
      </c>
    </row>
    <row r="1888">
      <c r="A1888" s="31" t="n"/>
      <c r="B1888" s="32" t="n"/>
      <c r="C1888" s="32" t="n"/>
      <c r="D1888" s="33" t="n"/>
      <c r="E1888" s="34" t="n"/>
      <c r="F1888" s="35" t="n"/>
      <c r="G1888" s="35" t="n"/>
      <c r="H1888" s="32" t="n"/>
      <c r="I1888" s="32" t="n"/>
      <c r="J1888" s="32" t="n"/>
      <c r="K1888" s="36">
        <f>IF(E1888&lt;&gt;"",E1888,IF(AND(F1888&lt;&gt;"",G1888&lt;&gt;""),MOD(G1888-F1888,1)*24,""))</f>
        <v/>
      </c>
      <c r="L1888" s="37">
        <f>IF(A1888="","",CHOOSE(WEEKDAY(A1888,2),"Montag","Dienstag","Mittwoch","Donnerstag","Freitag","Samstag","Sonntag"))</f>
        <v/>
      </c>
      <c r="M1888" s="37">
        <f>IF(A1888="","",_xlfn.ISOWEEKNUM(A1888))</f>
        <v/>
      </c>
      <c r="N1888" s="38">
        <f>IF(A1888="","",DATE(YEAR(A1888),MONTH(A1888),1))</f>
        <v/>
      </c>
    </row>
    <row r="1889">
      <c r="A1889" s="31" t="n"/>
      <c r="B1889" s="32" t="n"/>
      <c r="C1889" s="32" t="n"/>
      <c r="D1889" s="33" t="n"/>
      <c r="E1889" s="34" t="n"/>
      <c r="F1889" s="35" t="n"/>
      <c r="G1889" s="35" t="n"/>
      <c r="H1889" s="32" t="n"/>
      <c r="I1889" s="32" t="n"/>
      <c r="J1889" s="32" t="n"/>
      <c r="K1889" s="36">
        <f>IF(E1889&lt;&gt;"",E1889,IF(AND(F1889&lt;&gt;"",G1889&lt;&gt;""),MOD(G1889-F1889,1)*24,""))</f>
        <v/>
      </c>
      <c r="L1889" s="37">
        <f>IF(A1889="","",CHOOSE(WEEKDAY(A1889,2),"Montag","Dienstag","Mittwoch","Donnerstag","Freitag","Samstag","Sonntag"))</f>
        <v/>
      </c>
      <c r="M1889" s="37">
        <f>IF(A1889="","",_xlfn.ISOWEEKNUM(A1889))</f>
        <v/>
      </c>
      <c r="N1889" s="38">
        <f>IF(A1889="","",DATE(YEAR(A1889),MONTH(A1889),1))</f>
        <v/>
      </c>
    </row>
    <row r="1890">
      <c r="A1890" s="31" t="n"/>
      <c r="B1890" s="32" t="n"/>
      <c r="C1890" s="32" t="n"/>
      <c r="D1890" s="33" t="n"/>
      <c r="E1890" s="34" t="n"/>
      <c r="F1890" s="35" t="n"/>
      <c r="G1890" s="35" t="n"/>
      <c r="H1890" s="32" t="n"/>
      <c r="I1890" s="32" t="n"/>
      <c r="J1890" s="32" t="n"/>
      <c r="K1890" s="36">
        <f>IF(E1890&lt;&gt;"",E1890,IF(AND(F1890&lt;&gt;"",G1890&lt;&gt;""),MOD(G1890-F1890,1)*24,""))</f>
        <v/>
      </c>
      <c r="L1890" s="37">
        <f>IF(A1890="","",CHOOSE(WEEKDAY(A1890,2),"Montag","Dienstag","Mittwoch","Donnerstag","Freitag","Samstag","Sonntag"))</f>
        <v/>
      </c>
      <c r="M1890" s="37">
        <f>IF(A1890="","",_xlfn.ISOWEEKNUM(A1890))</f>
        <v/>
      </c>
      <c r="N1890" s="38">
        <f>IF(A1890="","",DATE(YEAR(A1890),MONTH(A1890),1))</f>
        <v/>
      </c>
    </row>
    <row r="1891">
      <c r="A1891" s="31" t="n"/>
      <c r="B1891" s="32" t="n"/>
      <c r="C1891" s="32" t="n"/>
      <c r="D1891" s="33" t="n"/>
      <c r="E1891" s="34" t="n"/>
      <c r="F1891" s="35" t="n"/>
      <c r="G1891" s="35" t="n"/>
      <c r="H1891" s="32" t="n"/>
      <c r="I1891" s="32" t="n"/>
      <c r="J1891" s="32" t="n"/>
      <c r="K1891" s="36">
        <f>IF(E1891&lt;&gt;"",E1891,IF(AND(F1891&lt;&gt;"",G1891&lt;&gt;""),MOD(G1891-F1891,1)*24,""))</f>
        <v/>
      </c>
      <c r="L1891" s="37">
        <f>IF(A1891="","",CHOOSE(WEEKDAY(A1891,2),"Montag","Dienstag","Mittwoch","Donnerstag","Freitag","Samstag","Sonntag"))</f>
        <v/>
      </c>
      <c r="M1891" s="37">
        <f>IF(A1891="","",_xlfn.ISOWEEKNUM(A1891))</f>
        <v/>
      </c>
      <c r="N1891" s="38">
        <f>IF(A1891="","",DATE(YEAR(A1891),MONTH(A1891),1))</f>
        <v/>
      </c>
    </row>
    <row r="1892">
      <c r="A1892" s="31" t="n"/>
      <c r="B1892" s="32" t="n"/>
      <c r="C1892" s="32" t="n"/>
      <c r="D1892" s="33" t="n"/>
      <c r="E1892" s="34" t="n"/>
      <c r="F1892" s="35" t="n"/>
      <c r="G1892" s="35" t="n"/>
      <c r="H1892" s="32" t="n"/>
      <c r="I1892" s="32" t="n"/>
      <c r="J1892" s="32" t="n"/>
      <c r="K1892" s="36">
        <f>IF(E1892&lt;&gt;"",E1892,IF(AND(F1892&lt;&gt;"",G1892&lt;&gt;""),MOD(G1892-F1892,1)*24,""))</f>
        <v/>
      </c>
      <c r="L1892" s="37">
        <f>IF(A1892="","",CHOOSE(WEEKDAY(A1892,2),"Montag","Dienstag","Mittwoch","Donnerstag","Freitag","Samstag","Sonntag"))</f>
        <v/>
      </c>
      <c r="M1892" s="37">
        <f>IF(A1892="","",_xlfn.ISOWEEKNUM(A1892))</f>
        <v/>
      </c>
      <c r="N1892" s="38">
        <f>IF(A1892="","",DATE(YEAR(A1892),MONTH(A1892),1))</f>
        <v/>
      </c>
    </row>
    <row r="1893">
      <c r="A1893" s="31" t="n"/>
      <c r="B1893" s="32" t="n"/>
      <c r="C1893" s="32" t="n"/>
      <c r="D1893" s="33" t="n"/>
      <c r="E1893" s="34" t="n"/>
      <c r="F1893" s="35" t="n"/>
      <c r="G1893" s="35" t="n"/>
      <c r="H1893" s="32" t="n"/>
      <c r="I1893" s="32" t="n"/>
      <c r="J1893" s="32" t="n"/>
      <c r="K1893" s="36">
        <f>IF(E1893&lt;&gt;"",E1893,IF(AND(F1893&lt;&gt;"",G1893&lt;&gt;""),MOD(G1893-F1893,1)*24,""))</f>
        <v/>
      </c>
      <c r="L1893" s="37">
        <f>IF(A1893="","",CHOOSE(WEEKDAY(A1893,2),"Montag","Dienstag","Mittwoch","Donnerstag","Freitag","Samstag","Sonntag"))</f>
        <v/>
      </c>
      <c r="M1893" s="37">
        <f>IF(A1893="","",_xlfn.ISOWEEKNUM(A1893))</f>
        <v/>
      </c>
      <c r="N1893" s="38">
        <f>IF(A1893="","",DATE(YEAR(A1893),MONTH(A1893),1))</f>
        <v/>
      </c>
    </row>
    <row r="1894">
      <c r="A1894" s="31" t="n"/>
      <c r="B1894" s="32" t="n"/>
      <c r="C1894" s="32" t="n"/>
      <c r="D1894" s="33" t="n"/>
      <c r="E1894" s="34" t="n"/>
      <c r="F1894" s="35" t="n"/>
      <c r="G1894" s="35" t="n"/>
      <c r="H1894" s="32" t="n"/>
      <c r="I1894" s="32" t="n"/>
      <c r="J1894" s="32" t="n"/>
      <c r="K1894" s="36">
        <f>IF(E1894&lt;&gt;"",E1894,IF(AND(F1894&lt;&gt;"",G1894&lt;&gt;""),MOD(G1894-F1894,1)*24,""))</f>
        <v/>
      </c>
      <c r="L1894" s="37">
        <f>IF(A1894="","",CHOOSE(WEEKDAY(A1894,2),"Montag","Dienstag","Mittwoch","Donnerstag","Freitag","Samstag","Sonntag"))</f>
        <v/>
      </c>
      <c r="M1894" s="37">
        <f>IF(A1894="","",_xlfn.ISOWEEKNUM(A1894))</f>
        <v/>
      </c>
      <c r="N1894" s="38">
        <f>IF(A1894="","",DATE(YEAR(A1894),MONTH(A1894),1))</f>
        <v/>
      </c>
    </row>
    <row r="1895">
      <c r="A1895" s="31" t="n"/>
      <c r="B1895" s="32" t="n"/>
      <c r="C1895" s="32" t="n"/>
      <c r="D1895" s="33" t="n"/>
      <c r="E1895" s="34" t="n"/>
      <c r="F1895" s="35" t="n"/>
      <c r="G1895" s="35" t="n"/>
      <c r="H1895" s="32" t="n"/>
      <c r="I1895" s="32" t="n"/>
      <c r="J1895" s="32" t="n"/>
      <c r="K1895" s="36">
        <f>IF(E1895&lt;&gt;"",E1895,IF(AND(F1895&lt;&gt;"",G1895&lt;&gt;""),MOD(G1895-F1895,1)*24,""))</f>
        <v/>
      </c>
      <c r="L1895" s="37">
        <f>IF(A1895="","",CHOOSE(WEEKDAY(A1895,2),"Montag","Dienstag","Mittwoch","Donnerstag","Freitag","Samstag","Sonntag"))</f>
        <v/>
      </c>
      <c r="M1895" s="37">
        <f>IF(A1895="","",_xlfn.ISOWEEKNUM(A1895))</f>
        <v/>
      </c>
      <c r="N1895" s="38">
        <f>IF(A1895="","",DATE(YEAR(A1895),MONTH(A1895),1))</f>
        <v/>
      </c>
    </row>
    <row r="1896">
      <c r="A1896" s="31" t="n"/>
      <c r="B1896" s="32" t="n"/>
      <c r="C1896" s="32" t="n"/>
      <c r="D1896" s="33" t="n"/>
      <c r="E1896" s="34" t="n"/>
      <c r="F1896" s="35" t="n"/>
      <c r="G1896" s="35" t="n"/>
      <c r="H1896" s="32" t="n"/>
      <c r="I1896" s="32" t="n"/>
      <c r="J1896" s="32" t="n"/>
      <c r="K1896" s="36">
        <f>IF(E1896&lt;&gt;"",E1896,IF(AND(F1896&lt;&gt;"",G1896&lt;&gt;""),MOD(G1896-F1896,1)*24,""))</f>
        <v/>
      </c>
      <c r="L1896" s="37">
        <f>IF(A1896="","",CHOOSE(WEEKDAY(A1896,2),"Montag","Dienstag","Mittwoch","Donnerstag","Freitag","Samstag","Sonntag"))</f>
        <v/>
      </c>
      <c r="M1896" s="37">
        <f>IF(A1896="","",_xlfn.ISOWEEKNUM(A1896))</f>
        <v/>
      </c>
      <c r="N1896" s="38">
        <f>IF(A1896="","",DATE(YEAR(A1896),MONTH(A1896),1))</f>
        <v/>
      </c>
    </row>
    <row r="1897">
      <c r="A1897" s="31" t="n"/>
      <c r="B1897" s="32" t="n"/>
      <c r="C1897" s="32" t="n"/>
      <c r="D1897" s="33" t="n"/>
      <c r="E1897" s="34" t="n"/>
      <c r="F1897" s="35" t="n"/>
      <c r="G1897" s="35" t="n"/>
      <c r="H1897" s="32" t="n"/>
      <c r="I1897" s="32" t="n"/>
      <c r="J1897" s="32" t="n"/>
      <c r="K1897" s="36">
        <f>IF(E1897&lt;&gt;"",E1897,IF(AND(F1897&lt;&gt;"",G1897&lt;&gt;""),MOD(G1897-F1897,1)*24,""))</f>
        <v/>
      </c>
      <c r="L1897" s="37">
        <f>IF(A1897="","",CHOOSE(WEEKDAY(A1897,2),"Montag","Dienstag","Mittwoch","Donnerstag","Freitag","Samstag","Sonntag"))</f>
        <v/>
      </c>
      <c r="M1897" s="37">
        <f>IF(A1897="","",_xlfn.ISOWEEKNUM(A1897))</f>
        <v/>
      </c>
      <c r="N1897" s="38">
        <f>IF(A1897="","",DATE(YEAR(A1897),MONTH(A1897),1))</f>
        <v/>
      </c>
    </row>
    <row r="1898">
      <c r="A1898" s="31" t="n"/>
      <c r="B1898" s="32" t="n"/>
      <c r="C1898" s="32" t="n"/>
      <c r="D1898" s="33" t="n"/>
      <c r="E1898" s="34" t="n"/>
      <c r="F1898" s="35" t="n"/>
      <c r="G1898" s="35" t="n"/>
      <c r="H1898" s="32" t="n"/>
      <c r="I1898" s="32" t="n"/>
      <c r="J1898" s="32" t="n"/>
      <c r="K1898" s="36">
        <f>IF(E1898&lt;&gt;"",E1898,IF(AND(F1898&lt;&gt;"",G1898&lt;&gt;""),MOD(G1898-F1898,1)*24,""))</f>
        <v/>
      </c>
      <c r="L1898" s="37">
        <f>IF(A1898="","",CHOOSE(WEEKDAY(A1898,2),"Montag","Dienstag","Mittwoch","Donnerstag","Freitag","Samstag","Sonntag"))</f>
        <v/>
      </c>
      <c r="M1898" s="37">
        <f>IF(A1898="","",_xlfn.ISOWEEKNUM(A1898))</f>
        <v/>
      </c>
      <c r="N1898" s="38">
        <f>IF(A1898="","",DATE(YEAR(A1898),MONTH(A1898),1))</f>
        <v/>
      </c>
    </row>
    <row r="1899">
      <c r="A1899" s="31" t="n"/>
      <c r="B1899" s="32" t="n"/>
      <c r="C1899" s="32" t="n"/>
      <c r="D1899" s="33" t="n"/>
      <c r="E1899" s="34" t="n"/>
      <c r="F1899" s="35" t="n"/>
      <c r="G1899" s="35" t="n"/>
      <c r="H1899" s="32" t="n"/>
      <c r="I1899" s="32" t="n"/>
      <c r="J1899" s="32" t="n"/>
      <c r="K1899" s="36">
        <f>IF(E1899&lt;&gt;"",E1899,IF(AND(F1899&lt;&gt;"",G1899&lt;&gt;""),MOD(G1899-F1899,1)*24,""))</f>
        <v/>
      </c>
      <c r="L1899" s="37">
        <f>IF(A1899="","",CHOOSE(WEEKDAY(A1899,2),"Montag","Dienstag","Mittwoch","Donnerstag","Freitag","Samstag","Sonntag"))</f>
        <v/>
      </c>
      <c r="M1899" s="37">
        <f>IF(A1899="","",_xlfn.ISOWEEKNUM(A1899))</f>
        <v/>
      </c>
      <c r="N1899" s="38">
        <f>IF(A1899="","",DATE(YEAR(A1899),MONTH(A1899),1))</f>
        <v/>
      </c>
    </row>
    <row r="1900">
      <c r="A1900" s="31" t="n"/>
      <c r="B1900" s="32" t="n"/>
      <c r="C1900" s="32" t="n"/>
      <c r="D1900" s="33" t="n"/>
      <c r="E1900" s="34" t="n"/>
      <c r="F1900" s="35" t="n"/>
      <c r="G1900" s="35" t="n"/>
      <c r="H1900" s="32" t="n"/>
      <c r="I1900" s="32" t="n"/>
      <c r="J1900" s="32" t="n"/>
      <c r="K1900" s="36">
        <f>IF(E1900&lt;&gt;"",E1900,IF(AND(F1900&lt;&gt;"",G1900&lt;&gt;""),MOD(G1900-F1900,1)*24,""))</f>
        <v/>
      </c>
      <c r="L1900" s="37">
        <f>IF(A1900="","",CHOOSE(WEEKDAY(A1900,2),"Montag","Dienstag","Mittwoch","Donnerstag","Freitag","Samstag","Sonntag"))</f>
        <v/>
      </c>
      <c r="M1900" s="37">
        <f>IF(A1900="","",_xlfn.ISOWEEKNUM(A1900))</f>
        <v/>
      </c>
      <c r="N1900" s="38">
        <f>IF(A1900="","",DATE(YEAR(A1900),MONTH(A1900),1))</f>
        <v/>
      </c>
    </row>
    <row r="1901">
      <c r="A1901" s="31" t="n"/>
      <c r="B1901" s="32" t="n"/>
      <c r="C1901" s="32" t="n"/>
      <c r="D1901" s="33" t="n"/>
      <c r="E1901" s="34" t="n"/>
      <c r="F1901" s="35" t="n"/>
      <c r="G1901" s="35" t="n"/>
      <c r="H1901" s="32" t="n"/>
      <c r="I1901" s="32" t="n"/>
      <c r="J1901" s="32" t="n"/>
      <c r="K1901" s="36">
        <f>IF(E1901&lt;&gt;"",E1901,IF(AND(F1901&lt;&gt;"",G1901&lt;&gt;""),MOD(G1901-F1901,1)*24,""))</f>
        <v/>
      </c>
      <c r="L1901" s="37">
        <f>IF(A1901="","",CHOOSE(WEEKDAY(A1901,2),"Montag","Dienstag","Mittwoch","Donnerstag","Freitag","Samstag","Sonntag"))</f>
        <v/>
      </c>
      <c r="M1901" s="37">
        <f>IF(A1901="","",_xlfn.ISOWEEKNUM(A1901))</f>
        <v/>
      </c>
      <c r="N1901" s="38">
        <f>IF(A1901="","",DATE(YEAR(A1901),MONTH(A1901),1))</f>
        <v/>
      </c>
    </row>
    <row r="1902">
      <c r="A1902" s="31" t="n"/>
      <c r="B1902" s="32" t="n"/>
      <c r="C1902" s="32" t="n"/>
      <c r="D1902" s="33" t="n"/>
      <c r="E1902" s="34" t="n"/>
      <c r="F1902" s="35" t="n"/>
      <c r="G1902" s="35" t="n"/>
      <c r="H1902" s="32" t="n"/>
      <c r="I1902" s="32" t="n"/>
      <c r="J1902" s="32" t="n"/>
      <c r="K1902" s="36">
        <f>IF(E1902&lt;&gt;"",E1902,IF(AND(F1902&lt;&gt;"",G1902&lt;&gt;""),MOD(G1902-F1902,1)*24,""))</f>
        <v/>
      </c>
      <c r="L1902" s="37">
        <f>IF(A1902="","",CHOOSE(WEEKDAY(A1902,2),"Montag","Dienstag","Mittwoch","Donnerstag","Freitag","Samstag","Sonntag"))</f>
        <v/>
      </c>
      <c r="M1902" s="37">
        <f>IF(A1902="","",_xlfn.ISOWEEKNUM(A1902))</f>
        <v/>
      </c>
      <c r="N1902" s="38">
        <f>IF(A1902="","",DATE(YEAR(A1902),MONTH(A1902),1))</f>
        <v/>
      </c>
    </row>
    <row r="1903">
      <c r="A1903" s="31" t="n"/>
      <c r="B1903" s="32" t="n"/>
      <c r="C1903" s="32" t="n"/>
      <c r="D1903" s="33" t="n"/>
      <c r="E1903" s="34" t="n"/>
      <c r="F1903" s="35" t="n"/>
      <c r="G1903" s="35" t="n"/>
      <c r="H1903" s="32" t="n"/>
      <c r="I1903" s="32" t="n"/>
      <c r="J1903" s="32" t="n"/>
      <c r="K1903" s="36">
        <f>IF(E1903&lt;&gt;"",E1903,IF(AND(F1903&lt;&gt;"",G1903&lt;&gt;""),MOD(G1903-F1903,1)*24,""))</f>
        <v/>
      </c>
      <c r="L1903" s="37">
        <f>IF(A1903="","",CHOOSE(WEEKDAY(A1903,2),"Montag","Dienstag","Mittwoch","Donnerstag","Freitag","Samstag","Sonntag"))</f>
        <v/>
      </c>
      <c r="M1903" s="37">
        <f>IF(A1903="","",_xlfn.ISOWEEKNUM(A1903))</f>
        <v/>
      </c>
      <c r="N1903" s="38">
        <f>IF(A1903="","",DATE(YEAR(A1903),MONTH(A1903),1))</f>
        <v/>
      </c>
    </row>
    <row r="1904">
      <c r="A1904" s="31" t="n"/>
      <c r="B1904" s="32" t="n"/>
      <c r="C1904" s="32" t="n"/>
      <c r="D1904" s="33" t="n"/>
      <c r="E1904" s="34" t="n"/>
      <c r="F1904" s="35" t="n"/>
      <c r="G1904" s="35" t="n"/>
      <c r="H1904" s="32" t="n"/>
      <c r="I1904" s="32" t="n"/>
      <c r="J1904" s="32" t="n"/>
      <c r="K1904" s="36">
        <f>IF(E1904&lt;&gt;"",E1904,IF(AND(F1904&lt;&gt;"",G1904&lt;&gt;""),MOD(G1904-F1904,1)*24,""))</f>
        <v/>
      </c>
      <c r="L1904" s="37">
        <f>IF(A1904="","",CHOOSE(WEEKDAY(A1904,2),"Montag","Dienstag","Mittwoch","Donnerstag","Freitag","Samstag","Sonntag"))</f>
        <v/>
      </c>
      <c r="M1904" s="37">
        <f>IF(A1904="","",_xlfn.ISOWEEKNUM(A1904))</f>
        <v/>
      </c>
      <c r="N1904" s="38">
        <f>IF(A1904="","",DATE(YEAR(A1904),MONTH(A1904),1))</f>
        <v/>
      </c>
    </row>
    <row r="1905">
      <c r="A1905" s="31" t="n"/>
      <c r="B1905" s="32" t="n"/>
      <c r="C1905" s="32" t="n"/>
      <c r="D1905" s="33" t="n"/>
      <c r="E1905" s="34" t="n"/>
      <c r="F1905" s="35" t="n"/>
      <c r="G1905" s="35" t="n"/>
      <c r="H1905" s="32" t="n"/>
      <c r="I1905" s="32" t="n"/>
      <c r="J1905" s="32" t="n"/>
      <c r="K1905" s="36">
        <f>IF(E1905&lt;&gt;"",E1905,IF(AND(F1905&lt;&gt;"",G1905&lt;&gt;""),MOD(G1905-F1905,1)*24,""))</f>
        <v/>
      </c>
      <c r="L1905" s="37">
        <f>IF(A1905="","",CHOOSE(WEEKDAY(A1905,2),"Montag","Dienstag","Mittwoch","Donnerstag","Freitag","Samstag","Sonntag"))</f>
        <v/>
      </c>
      <c r="M1905" s="37">
        <f>IF(A1905="","",_xlfn.ISOWEEKNUM(A1905))</f>
        <v/>
      </c>
      <c r="N1905" s="38">
        <f>IF(A1905="","",DATE(YEAR(A1905),MONTH(A1905),1))</f>
        <v/>
      </c>
    </row>
    <row r="1906">
      <c r="A1906" s="31" t="n"/>
      <c r="B1906" s="32" t="n"/>
      <c r="C1906" s="32" t="n"/>
      <c r="D1906" s="33" t="n"/>
      <c r="E1906" s="34" t="n"/>
      <c r="F1906" s="35" t="n"/>
      <c r="G1906" s="35" t="n"/>
      <c r="H1906" s="32" t="n"/>
      <c r="I1906" s="32" t="n"/>
      <c r="J1906" s="32" t="n"/>
      <c r="K1906" s="36">
        <f>IF(E1906&lt;&gt;"",E1906,IF(AND(F1906&lt;&gt;"",G1906&lt;&gt;""),MOD(G1906-F1906,1)*24,""))</f>
        <v/>
      </c>
      <c r="L1906" s="37">
        <f>IF(A1906="","",CHOOSE(WEEKDAY(A1906,2),"Montag","Dienstag","Mittwoch","Donnerstag","Freitag","Samstag","Sonntag"))</f>
        <v/>
      </c>
      <c r="M1906" s="37">
        <f>IF(A1906="","",_xlfn.ISOWEEKNUM(A1906))</f>
        <v/>
      </c>
      <c r="N1906" s="38">
        <f>IF(A1906="","",DATE(YEAR(A1906),MONTH(A1906),1))</f>
        <v/>
      </c>
    </row>
    <row r="1907">
      <c r="A1907" s="31" t="n"/>
      <c r="B1907" s="32" t="n"/>
      <c r="C1907" s="32" t="n"/>
      <c r="D1907" s="33" t="n"/>
      <c r="E1907" s="34" t="n"/>
      <c r="F1907" s="35" t="n"/>
      <c r="G1907" s="35" t="n"/>
      <c r="H1907" s="32" t="n"/>
      <c r="I1907" s="32" t="n"/>
      <c r="J1907" s="32" t="n"/>
      <c r="K1907" s="36">
        <f>IF(E1907&lt;&gt;"",E1907,IF(AND(F1907&lt;&gt;"",G1907&lt;&gt;""),MOD(G1907-F1907,1)*24,""))</f>
        <v/>
      </c>
      <c r="L1907" s="37">
        <f>IF(A1907="","",CHOOSE(WEEKDAY(A1907,2),"Montag","Dienstag","Mittwoch","Donnerstag","Freitag","Samstag","Sonntag"))</f>
        <v/>
      </c>
      <c r="M1907" s="37">
        <f>IF(A1907="","",_xlfn.ISOWEEKNUM(A1907))</f>
        <v/>
      </c>
      <c r="N1907" s="38">
        <f>IF(A1907="","",DATE(YEAR(A1907),MONTH(A1907),1))</f>
        <v/>
      </c>
    </row>
    <row r="1908">
      <c r="A1908" s="31" t="n"/>
      <c r="B1908" s="32" t="n"/>
      <c r="C1908" s="32" t="n"/>
      <c r="D1908" s="33" t="n"/>
      <c r="E1908" s="34" t="n"/>
      <c r="F1908" s="35" t="n"/>
      <c r="G1908" s="35" t="n"/>
      <c r="H1908" s="32" t="n"/>
      <c r="I1908" s="32" t="n"/>
      <c r="J1908" s="32" t="n"/>
      <c r="K1908" s="36">
        <f>IF(E1908&lt;&gt;"",E1908,IF(AND(F1908&lt;&gt;"",G1908&lt;&gt;""),MOD(G1908-F1908,1)*24,""))</f>
        <v/>
      </c>
      <c r="L1908" s="37">
        <f>IF(A1908="","",CHOOSE(WEEKDAY(A1908,2),"Montag","Dienstag","Mittwoch","Donnerstag","Freitag","Samstag","Sonntag"))</f>
        <v/>
      </c>
      <c r="M1908" s="37">
        <f>IF(A1908="","",_xlfn.ISOWEEKNUM(A1908))</f>
        <v/>
      </c>
      <c r="N1908" s="38">
        <f>IF(A1908="","",DATE(YEAR(A1908),MONTH(A1908),1))</f>
        <v/>
      </c>
    </row>
    <row r="1909">
      <c r="A1909" s="31" t="n"/>
      <c r="B1909" s="32" t="n"/>
      <c r="C1909" s="32" t="n"/>
      <c r="D1909" s="33" t="n"/>
      <c r="E1909" s="34" t="n"/>
      <c r="F1909" s="35" t="n"/>
      <c r="G1909" s="35" t="n"/>
      <c r="H1909" s="32" t="n"/>
      <c r="I1909" s="32" t="n"/>
      <c r="J1909" s="32" t="n"/>
      <c r="K1909" s="36">
        <f>IF(E1909&lt;&gt;"",E1909,IF(AND(F1909&lt;&gt;"",G1909&lt;&gt;""),MOD(G1909-F1909,1)*24,""))</f>
        <v/>
      </c>
      <c r="L1909" s="37">
        <f>IF(A1909="","",CHOOSE(WEEKDAY(A1909,2),"Montag","Dienstag","Mittwoch","Donnerstag","Freitag","Samstag","Sonntag"))</f>
        <v/>
      </c>
      <c r="M1909" s="37">
        <f>IF(A1909="","",_xlfn.ISOWEEKNUM(A1909))</f>
        <v/>
      </c>
      <c r="N1909" s="38">
        <f>IF(A1909="","",DATE(YEAR(A1909),MONTH(A1909),1))</f>
        <v/>
      </c>
    </row>
    <row r="1910">
      <c r="A1910" s="31" t="n"/>
      <c r="B1910" s="32" t="n"/>
      <c r="C1910" s="32" t="n"/>
      <c r="D1910" s="33" t="n"/>
      <c r="E1910" s="34" t="n"/>
      <c r="F1910" s="35" t="n"/>
      <c r="G1910" s="35" t="n"/>
      <c r="H1910" s="32" t="n"/>
      <c r="I1910" s="32" t="n"/>
      <c r="J1910" s="32" t="n"/>
      <c r="K1910" s="36">
        <f>IF(E1910&lt;&gt;"",E1910,IF(AND(F1910&lt;&gt;"",G1910&lt;&gt;""),MOD(G1910-F1910,1)*24,""))</f>
        <v/>
      </c>
      <c r="L1910" s="37">
        <f>IF(A1910="","",CHOOSE(WEEKDAY(A1910,2),"Montag","Dienstag","Mittwoch","Donnerstag","Freitag","Samstag","Sonntag"))</f>
        <v/>
      </c>
      <c r="M1910" s="37">
        <f>IF(A1910="","",_xlfn.ISOWEEKNUM(A1910))</f>
        <v/>
      </c>
      <c r="N1910" s="38">
        <f>IF(A1910="","",DATE(YEAR(A1910),MONTH(A1910),1))</f>
        <v/>
      </c>
    </row>
    <row r="1911">
      <c r="A1911" s="31" t="n"/>
      <c r="B1911" s="32" t="n"/>
      <c r="C1911" s="32" t="n"/>
      <c r="D1911" s="33" t="n"/>
      <c r="E1911" s="34" t="n"/>
      <c r="F1911" s="35" t="n"/>
      <c r="G1911" s="35" t="n"/>
      <c r="H1911" s="32" t="n"/>
      <c r="I1911" s="32" t="n"/>
      <c r="J1911" s="32" t="n"/>
      <c r="K1911" s="36">
        <f>IF(E1911&lt;&gt;"",E1911,IF(AND(F1911&lt;&gt;"",G1911&lt;&gt;""),MOD(G1911-F1911,1)*24,""))</f>
        <v/>
      </c>
      <c r="L1911" s="37">
        <f>IF(A1911="","",CHOOSE(WEEKDAY(A1911,2),"Montag","Dienstag","Mittwoch","Donnerstag","Freitag","Samstag","Sonntag"))</f>
        <v/>
      </c>
      <c r="M1911" s="37">
        <f>IF(A1911="","",_xlfn.ISOWEEKNUM(A1911))</f>
        <v/>
      </c>
      <c r="N1911" s="38">
        <f>IF(A1911="","",DATE(YEAR(A1911),MONTH(A1911),1))</f>
        <v/>
      </c>
    </row>
    <row r="1912">
      <c r="A1912" s="31" t="n"/>
      <c r="B1912" s="32" t="n"/>
      <c r="C1912" s="32" t="n"/>
      <c r="D1912" s="33" t="n"/>
      <c r="E1912" s="34" t="n"/>
      <c r="F1912" s="35" t="n"/>
      <c r="G1912" s="35" t="n"/>
      <c r="H1912" s="32" t="n"/>
      <c r="I1912" s="32" t="n"/>
      <c r="J1912" s="32" t="n"/>
      <c r="K1912" s="36">
        <f>IF(E1912&lt;&gt;"",E1912,IF(AND(F1912&lt;&gt;"",G1912&lt;&gt;""),MOD(G1912-F1912,1)*24,""))</f>
        <v/>
      </c>
      <c r="L1912" s="37">
        <f>IF(A1912="","",CHOOSE(WEEKDAY(A1912,2),"Montag","Dienstag","Mittwoch","Donnerstag","Freitag","Samstag","Sonntag"))</f>
        <v/>
      </c>
      <c r="M1912" s="37">
        <f>IF(A1912="","",_xlfn.ISOWEEKNUM(A1912))</f>
        <v/>
      </c>
      <c r="N1912" s="38">
        <f>IF(A1912="","",DATE(YEAR(A1912),MONTH(A1912),1))</f>
        <v/>
      </c>
    </row>
    <row r="1913">
      <c r="A1913" s="31" t="n"/>
      <c r="B1913" s="32" t="n"/>
      <c r="C1913" s="32" t="n"/>
      <c r="D1913" s="33" t="n"/>
      <c r="E1913" s="34" t="n"/>
      <c r="F1913" s="35" t="n"/>
      <c r="G1913" s="35" t="n"/>
      <c r="H1913" s="32" t="n"/>
      <c r="I1913" s="32" t="n"/>
      <c r="J1913" s="32" t="n"/>
      <c r="K1913" s="36">
        <f>IF(E1913&lt;&gt;"",E1913,IF(AND(F1913&lt;&gt;"",G1913&lt;&gt;""),MOD(G1913-F1913,1)*24,""))</f>
        <v/>
      </c>
      <c r="L1913" s="37">
        <f>IF(A1913="","",CHOOSE(WEEKDAY(A1913,2),"Montag","Dienstag","Mittwoch","Donnerstag","Freitag","Samstag","Sonntag"))</f>
        <v/>
      </c>
      <c r="M1913" s="37">
        <f>IF(A1913="","",_xlfn.ISOWEEKNUM(A1913))</f>
        <v/>
      </c>
      <c r="N1913" s="38">
        <f>IF(A1913="","",DATE(YEAR(A1913),MONTH(A1913),1))</f>
        <v/>
      </c>
    </row>
    <row r="1914">
      <c r="A1914" s="31" t="n"/>
      <c r="B1914" s="32" t="n"/>
      <c r="C1914" s="32" t="n"/>
      <c r="D1914" s="33" t="n"/>
      <c r="E1914" s="34" t="n"/>
      <c r="F1914" s="35" t="n"/>
      <c r="G1914" s="35" t="n"/>
      <c r="H1914" s="32" t="n"/>
      <c r="I1914" s="32" t="n"/>
      <c r="J1914" s="32" t="n"/>
      <c r="K1914" s="36">
        <f>IF(E1914&lt;&gt;"",E1914,IF(AND(F1914&lt;&gt;"",G1914&lt;&gt;""),MOD(G1914-F1914,1)*24,""))</f>
        <v/>
      </c>
      <c r="L1914" s="37">
        <f>IF(A1914="","",CHOOSE(WEEKDAY(A1914,2),"Montag","Dienstag","Mittwoch","Donnerstag","Freitag","Samstag","Sonntag"))</f>
        <v/>
      </c>
      <c r="M1914" s="37">
        <f>IF(A1914="","",_xlfn.ISOWEEKNUM(A1914))</f>
        <v/>
      </c>
      <c r="N1914" s="38">
        <f>IF(A1914="","",DATE(YEAR(A1914),MONTH(A1914),1))</f>
        <v/>
      </c>
    </row>
    <row r="1915">
      <c r="A1915" s="31" t="n"/>
      <c r="B1915" s="32" t="n"/>
      <c r="C1915" s="32" t="n"/>
      <c r="D1915" s="33" t="n"/>
      <c r="E1915" s="34" t="n"/>
      <c r="F1915" s="35" t="n"/>
      <c r="G1915" s="35" t="n"/>
      <c r="H1915" s="32" t="n"/>
      <c r="I1915" s="32" t="n"/>
      <c r="J1915" s="32" t="n"/>
      <c r="K1915" s="36">
        <f>IF(E1915&lt;&gt;"",E1915,IF(AND(F1915&lt;&gt;"",G1915&lt;&gt;""),MOD(G1915-F1915,1)*24,""))</f>
        <v/>
      </c>
      <c r="L1915" s="37">
        <f>IF(A1915="","",CHOOSE(WEEKDAY(A1915,2),"Montag","Dienstag","Mittwoch","Donnerstag","Freitag","Samstag","Sonntag"))</f>
        <v/>
      </c>
      <c r="M1915" s="37">
        <f>IF(A1915="","",_xlfn.ISOWEEKNUM(A1915))</f>
        <v/>
      </c>
      <c r="N1915" s="38">
        <f>IF(A1915="","",DATE(YEAR(A1915),MONTH(A1915),1))</f>
        <v/>
      </c>
    </row>
    <row r="1916">
      <c r="A1916" s="31" t="n"/>
      <c r="B1916" s="32" t="n"/>
      <c r="C1916" s="32" t="n"/>
      <c r="D1916" s="33" t="n"/>
      <c r="E1916" s="34" t="n"/>
      <c r="F1916" s="35" t="n"/>
      <c r="G1916" s="35" t="n"/>
      <c r="H1916" s="32" t="n"/>
      <c r="I1916" s="32" t="n"/>
      <c r="J1916" s="32" t="n"/>
      <c r="K1916" s="36">
        <f>IF(E1916&lt;&gt;"",E1916,IF(AND(F1916&lt;&gt;"",G1916&lt;&gt;""),MOD(G1916-F1916,1)*24,""))</f>
        <v/>
      </c>
      <c r="L1916" s="37">
        <f>IF(A1916="","",CHOOSE(WEEKDAY(A1916,2),"Montag","Dienstag","Mittwoch","Donnerstag","Freitag","Samstag","Sonntag"))</f>
        <v/>
      </c>
      <c r="M1916" s="37">
        <f>IF(A1916="","",_xlfn.ISOWEEKNUM(A1916))</f>
        <v/>
      </c>
      <c r="N1916" s="38">
        <f>IF(A1916="","",DATE(YEAR(A1916),MONTH(A1916),1))</f>
        <v/>
      </c>
    </row>
    <row r="1917">
      <c r="A1917" s="31" t="n"/>
      <c r="B1917" s="32" t="n"/>
      <c r="C1917" s="32" t="n"/>
      <c r="D1917" s="33" t="n"/>
      <c r="E1917" s="34" t="n"/>
      <c r="F1917" s="35" t="n"/>
      <c r="G1917" s="35" t="n"/>
      <c r="H1917" s="32" t="n"/>
      <c r="I1917" s="32" t="n"/>
      <c r="J1917" s="32" t="n"/>
      <c r="K1917" s="36">
        <f>IF(E1917&lt;&gt;"",E1917,IF(AND(F1917&lt;&gt;"",G1917&lt;&gt;""),MOD(G1917-F1917,1)*24,""))</f>
        <v/>
      </c>
      <c r="L1917" s="37">
        <f>IF(A1917="","",CHOOSE(WEEKDAY(A1917,2),"Montag","Dienstag","Mittwoch","Donnerstag","Freitag","Samstag","Sonntag"))</f>
        <v/>
      </c>
      <c r="M1917" s="37">
        <f>IF(A1917="","",_xlfn.ISOWEEKNUM(A1917))</f>
        <v/>
      </c>
      <c r="N1917" s="38">
        <f>IF(A1917="","",DATE(YEAR(A1917),MONTH(A1917),1))</f>
        <v/>
      </c>
    </row>
    <row r="1918">
      <c r="A1918" s="31" t="n"/>
      <c r="B1918" s="32" t="n"/>
      <c r="C1918" s="32" t="n"/>
      <c r="D1918" s="33" t="n"/>
      <c r="E1918" s="34" t="n"/>
      <c r="F1918" s="35" t="n"/>
      <c r="G1918" s="35" t="n"/>
      <c r="H1918" s="32" t="n"/>
      <c r="I1918" s="32" t="n"/>
      <c r="J1918" s="32" t="n"/>
      <c r="K1918" s="36">
        <f>IF(E1918&lt;&gt;"",E1918,IF(AND(F1918&lt;&gt;"",G1918&lt;&gt;""),MOD(G1918-F1918,1)*24,""))</f>
        <v/>
      </c>
      <c r="L1918" s="37">
        <f>IF(A1918="","",CHOOSE(WEEKDAY(A1918,2),"Montag","Dienstag","Mittwoch","Donnerstag","Freitag","Samstag","Sonntag"))</f>
        <v/>
      </c>
      <c r="M1918" s="37">
        <f>IF(A1918="","",_xlfn.ISOWEEKNUM(A1918))</f>
        <v/>
      </c>
      <c r="N1918" s="38">
        <f>IF(A1918="","",DATE(YEAR(A1918),MONTH(A1918),1))</f>
        <v/>
      </c>
    </row>
    <row r="1919">
      <c r="A1919" s="31" t="n"/>
      <c r="B1919" s="32" t="n"/>
      <c r="C1919" s="32" t="n"/>
      <c r="D1919" s="33" t="n"/>
      <c r="E1919" s="34" t="n"/>
      <c r="F1919" s="35" t="n"/>
      <c r="G1919" s="35" t="n"/>
      <c r="H1919" s="32" t="n"/>
      <c r="I1919" s="32" t="n"/>
      <c r="J1919" s="32" t="n"/>
      <c r="K1919" s="36">
        <f>IF(E1919&lt;&gt;"",E1919,IF(AND(F1919&lt;&gt;"",G1919&lt;&gt;""),MOD(G1919-F1919,1)*24,""))</f>
        <v/>
      </c>
      <c r="L1919" s="37">
        <f>IF(A1919="","",CHOOSE(WEEKDAY(A1919,2),"Montag","Dienstag","Mittwoch","Donnerstag","Freitag","Samstag","Sonntag"))</f>
        <v/>
      </c>
      <c r="M1919" s="37">
        <f>IF(A1919="","",_xlfn.ISOWEEKNUM(A1919))</f>
        <v/>
      </c>
      <c r="N1919" s="38">
        <f>IF(A1919="","",DATE(YEAR(A1919),MONTH(A1919),1))</f>
        <v/>
      </c>
    </row>
    <row r="1920">
      <c r="A1920" s="31" t="n"/>
      <c r="B1920" s="32" t="n"/>
      <c r="C1920" s="32" t="n"/>
      <c r="D1920" s="33" t="n"/>
      <c r="E1920" s="34" t="n"/>
      <c r="F1920" s="35" t="n"/>
      <c r="G1920" s="35" t="n"/>
      <c r="H1920" s="32" t="n"/>
      <c r="I1920" s="32" t="n"/>
      <c r="J1920" s="32" t="n"/>
      <c r="K1920" s="36">
        <f>IF(E1920&lt;&gt;"",E1920,IF(AND(F1920&lt;&gt;"",G1920&lt;&gt;""),MOD(G1920-F1920,1)*24,""))</f>
        <v/>
      </c>
      <c r="L1920" s="37">
        <f>IF(A1920="","",CHOOSE(WEEKDAY(A1920,2),"Montag","Dienstag","Mittwoch","Donnerstag","Freitag","Samstag","Sonntag"))</f>
        <v/>
      </c>
      <c r="M1920" s="37">
        <f>IF(A1920="","",_xlfn.ISOWEEKNUM(A1920))</f>
        <v/>
      </c>
      <c r="N1920" s="38">
        <f>IF(A1920="","",DATE(YEAR(A1920),MONTH(A1920),1))</f>
        <v/>
      </c>
    </row>
    <row r="1921">
      <c r="A1921" s="31" t="n"/>
      <c r="B1921" s="32" t="n"/>
      <c r="C1921" s="32" t="n"/>
      <c r="D1921" s="33" t="n"/>
      <c r="E1921" s="34" t="n"/>
      <c r="F1921" s="35" t="n"/>
      <c r="G1921" s="35" t="n"/>
      <c r="H1921" s="32" t="n"/>
      <c r="I1921" s="32" t="n"/>
      <c r="J1921" s="32" t="n"/>
      <c r="K1921" s="36">
        <f>IF(E1921&lt;&gt;"",E1921,IF(AND(F1921&lt;&gt;"",G1921&lt;&gt;""),MOD(G1921-F1921,1)*24,""))</f>
        <v/>
      </c>
      <c r="L1921" s="37">
        <f>IF(A1921="","",CHOOSE(WEEKDAY(A1921,2),"Montag","Dienstag","Mittwoch","Donnerstag","Freitag","Samstag","Sonntag"))</f>
        <v/>
      </c>
      <c r="M1921" s="37">
        <f>IF(A1921="","",_xlfn.ISOWEEKNUM(A1921))</f>
        <v/>
      </c>
      <c r="N1921" s="38">
        <f>IF(A1921="","",DATE(YEAR(A1921),MONTH(A1921),1))</f>
        <v/>
      </c>
    </row>
    <row r="1922">
      <c r="A1922" s="31" t="n"/>
      <c r="B1922" s="32" t="n"/>
      <c r="C1922" s="32" t="n"/>
      <c r="D1922" s="33" t="n"/>
      <c r="E1922" s="34" t="n"/>
      <c r="F1922" s="35" t="n"/>
      <c r="G1922" s="35" t="n"/>
      <c r="H1922" s="32" t="n"/>
      <c r="I1922" s="32" t="n"/>
      <c r="J1922" s="32" t="n"/>
      <c r="K1922" s="36">
        <f>IF(E1922&lt;&gt;"",E1922,IF(AND(F1922&lt;&gt;"",G1922&lt;&gt;""),MOD(G1922-F1922,1)*24,""))</f>
        <v/>
      </c>
      <c r="L1922" s="37">
        <f>IF(A1922="","",CHOOSE(WEEKDAY(A1922,2),"Montag","Dienstag","Mittwoch","Donnerstag","Freitag","Samstag","Sonntag"))</f>
        <v/>
      </c>
      <c r="M1922" s="37">
        <f>IF(A1922="","",_xlfn.ISOWEEKNUM(A1922))</f>
        <v/>
      </c>
      <c r="N1922" s="38">
        <f>IF(A1922="","",DATE(YEAR(A1922),MONTH(A1922),1))</f>
        <v/>
      </c>
    </row>
    <row r="1923">
      <c r="A1923" s="31" t="n"/>
      <c r="B1923" s="32" t="n"/>
      <c r="C1923" s="32" t="n"/>
      <c r="D1923" s="33" t="n"/>
      <c r="E1923" s="34" t="n"/>
      <c r="F1923" s="35" t="n"/>
      <c r="G1923" s="35" t="n"/>
      <c r="H1923" s="32" t="n"/>
      <c r="I1923" s="32" t="n"/>
      <c r="J1923" s="32" t="n"/>
      <c r="K1923" s="36">
        <f>IF(E1923&lt;&gt;"",E1923,IF(AND(F1923&lt;&gt;"",G1923&lt;&gt;""),MOD(G1923-F1923,1)*24,""))</f>
        <v/>
      </c>
      <c r="L1923" s="37">
        <f>IF(A1923="","",CHOOSE(WEEKDAY(A1923,2),"Montag","Dienstag","Mittwoch","Donnerstag","Freitag","Samstag","Sonntag"))</f>
        <v/>
      </c>
      <c r="M1923" s="37">
        <f>IF(A1923="","",_xlfn.ISOWEEKNUM(A1923))</f>
        <v/>
      </c>
      <c r="N1923" s="38">
        <f>IF(A1923="","",DATE(YEAR(A1923),MONTH(A1923),1))</f>
        <v/>
      </c>
    </row>
    <row r="1924">
      <c r="A1924" s="31" t="n"/>
      <c r="B1924" s="32" t="n"/>
      <c r="C1924" s="32" t="n"/>
      <c r="D1924" s="33" t="n"/>
      <c r="E1924" s="34" t="n"/>
      <c r="F1924" s="35" t="n"/>
      <c r="G1924" s="35" t="n"/>
      <c r="H1924" s="32" t="n"/>
      <c r="I1924" s="32" t="n"/>
      <c r="J1924" s="32" t="n"/>
      <c r="K1924" s="36">
        <f>IF(E1924&lt;&gt;"",E1924,IF(AND(F1924&lt;&gt;"",G1924&lt;&gt;""),MOD(G1924-F1924,1)*24,""))</f>
        <v/>
      </c>
      <c r="L1924" s="37">
        <f>IF(A1924="","",CHOOSE(WEEKDAY(A1924,2),"Montag","Dienstag","Mittwoch","Donnerstag","Freitag","Samstag","Sonntag"))</f>
        <v/>
      </c>
      <c r="M1924" s="37">
        <f>IF(A1924="","",_xlfn.ISOWEEKNUM(A1924))</f>
        <v/>
      </c>
      <c r="N1924" s="38">
        <f>IF(A1924="","",DATE(YEAR(A1924),MONTH(A1924),1))</f>
        <v/>
      </c>
    </row>
    <row r="1925">
      <c r="A1925" s="31" t="n"/>
      <c r="B1925" s="32" t="n"/>
      <c r="C1925" s="32" t="n"/>
      <c r="D1925" s="33" t="n"/>
      <c r="E1925" s="34" t="n"/>
      <c r="F1925" s="35" t="n"/>
      <c r="G1925" s="35" t="n"/>
      <c r="H1925" s="32" t="n"/>
      <c r="I1925" s="32" t="n"/>
      <c r="J1925" s="32" t="n"/>
      <c r="K1925" s="36">
        <f>IF(E1925&lt;&gt;"",E1925,IF(AND(F1925&lt;&gt;"",G1925&lt;&gt;""),MOD(G1925-F1925,1)*24,""))</f>
        <v/>
      </c>
      <c r="L1925" s="37">
        <f>IF(A1925="","",CHOOSE(WEEKDAY(A1925,2),"Montag","Dienstag","Mittwoch","Donnerstag","Freitag","Samstag","Sonntag"))</f>
        <v/>
      </c>
      <c r="M1925" s="37">
        <f>IF(A1925="","",_xlfn.ISOWEEKNUM(A1925))</f>
        <v/>
      </c>
      <c r="N1925" s="38">
        <f>IF(A1925="","",DATE(YEAR(A1925),MONTH(A1925),1))</f>
        <v/>
      </c>
    </row>
    <row r="1926">
      <c r="A1926" s="31" t="n"/>
      <c r="B1926" s="32" t="n"/>
      <c r="C1926" s="32" t="n"/>
      <c r="D1926" s="33" t="n"/>
      <c r="E1926" s="34" t="n"/>
      <c r="F1926" s="35" t="n"/>
      <c r="G1926" s="35" t="n"/>
      <c r="H1926" s="32" t="n"/>
      <c r="I1926" s="32" t="n"/>
      <c r="J1926" s="32" t="n"/>
      <c r="K1926" s="36">
        <f>IF(E1926&lt;&gt;"",E1926,IF(AND(F1926&lt;&gt;"",G1926&lt;&gt;""),MOD(G1926-F1926,1)*24,""))</f>
        <v/>
      </c>
      <c r="L1926" s="37">
        <f>IF(A1926="","",CHOOSE(WEEKDAY(A1926,2),"Montag","Dienstag","Mittwoch","Donnerstag","Freitag","Samstag","Sonntag"))</f>
        <v/>
      </c>
      <c r="M1926" s="37">
        <f>IF(A1926="","",_xlfn.ISOWEEKNUM(A1926))</f>
        <v/>
      </c>
      <c r="N1926" s="38">
        <f>IF(A1926="","",DATE(YEAR(A1926),MONTH(A1926),1))</f>
        <v/>
      </c>
    </row>
    <row r="1927">
      <c r="A1927" s="31" t="n"/>
      <c r="B1927" s="32" t="n"/>
      <c r="C1927" s="32" t="n"/>
      <c r="D1927" s="33" t="n"/>
      <c r="E1927" s="34" t="n"/>
      <c r="F1927" s="35" t="n"/>
      <c r="G1927" s="35" t="n"/>
      <c r="H1927" s="32" t="n"/>
      <c r="I1927" s="32" t="n"/>
      <c r="J1927" s="32" t="n"/>
      <c r="K1927" s="36">
        <f>IF(E1927&lt;&gt;"",E1927,IF(AND(F1927&lt;&gt;"",G1927&lt;&gt;""),MOD(G1927-F1927,1)*24,""))</f>
        <v/>
      </c>
      <c r="L1927" s="37">
        <f>IF(A1927="","",CHOOSE(WEEKDAY(A1927,2),"Montag","Dienstag","Mittwoch","Donnerstag","Freitag","Samstag","Sonntag"))</f>
        <v/>
      </c>
      <c r="M1927" s="37">
        <f>IF(A1927="","",_xlfn.ISOWEEKNUM(A1927))</f>
        <v/>
      </c>
      <c r="N1927" s="38">
        <f>IF(A1927="","",DATE(YEAR(A1927),MONTH(A1927),1))</f>
        <v/>
      </c>
    </row>
    <row r="1928">
      <c r="A1928" s="31" t="n"/>
      <c r="B1928" s="32" t="n"/>
      <c r="C1928" s="32" t="n"/>
      <c r="D1928" s="33" t="n"/>
      <c r="E1928" s="34" t="n"/>
      <c r="F1928" s="35" t="n"/>
      <c r="G1928" s="35" t="n"/>
      <c r="H1928" s="32" t="n"/>
      <c r="I1928" s="32" t="n"/>
      <c r="J1928" s="32" t="n"/>
      <c r="K1928" s="36">
        <f>IF(E1928&lt;&gt;"",E1928,IF(AND(F1928&lt;&gt;"",G1928&lt;&gt;""),MOD(G1928-F1928,1)*24,""))</f>
        <v/>
      </c>
      <c r="L1928" s="37">
        <f>IF(A1928="","",CHOOSE(WEEKDAY(A1928,2),"Montag","Dienstag","Mittwoch","Donnerstag","Freitag","Samstag","Sonntag"))</f>
        <v/>
      </c>
      <c r="M1928" s="37">
        <f>IF(A1928="","",_xlfn.ISOWEEKNUM(A1928))</f>
        <v/>
      </c>
      <c r="N1928" s="38">
        <f>IF(A1928="","",DATE(YEAR(A1928),MONTH(A1928),1))</f>
        <v/>
      </c>
    </row>
    <row r="1929">
      <c r="A1929" s="31" t="n"/>
      <c r="B1929" s="32" t="n"/>
      <c r="C1929" s="32" t="n"/>
      <c r="D1929" s="33" t="n"/>
      <c r="E1929" s="34" t="n"/>
      <c r="F1929" s="35" t="n"/>
      <c r="G1929" s="35" t="n"/>
      <c r="H1929" s="32" t="n"/>
      <c r="I1929" s="32" t="n"/>
      <c r="J1929" s="32" t="n"/>
      <c r="K1929" s="36">
        <f>IF(E1929&lt;&gt;"",E1929,IF(AND(F1929&lt;&gt;"",G1929&lt;&gt;""),MOD(G1929-F1929,1)*24,""))</f>
        <v/>
      </c>
      <c r="L1929" s="37">
        <f>IF(A1929="","",CHOOSE(WEEKDAY(A1929,2),"Montag","Dienstag","Mittwoch","Donnerstag","Freitag","Samstag","Sonntag"))</f>
        <v/>
      </c>
      <c r="M1929" s="37">
        <f>IF(A1929="","",_xlfn.ISOWEEKNUM(A1929))</f>
        <v/>
      </c>
      <c r="N1929" s="38">
        <f>IF(A1929="","",DATE(YEAR(A1929),MONTH(A1929),1))</f>
        <v/>
      </c>
    </row>
    <row r="1930">
      <c r="A1930" s="31" t="n"/>
      <c r="B1930" s="32" t="n"/>
      <c r="C1930" s="32" t="n"/>
      <c r="D1930" s="33" t="n"/>
      <c r="E1930" s="34" t="n"/>
      <c r="F1930" s="35" t="n"/>
      <c r="G1930" s="35" t="n"/>
      <c r="H1930" s="32" t="n"/>
      <c r="I1930" s="32" t="n"/>
      <c r="J1930" s="32" t="n"/>
      <c r="K1930" s="36">
        <f>IF(E1930&lt;&gt;"",E1930,IF(AND(F1930&lt;&gt;"",G1930&lt;&gt;""),MOD(G1930-F1930,1)*24,""))</f>
        <v/>
      </c>
      <c r="L1930" s="37">
        <f>IF(A1930="","",CHOOSE(WEEKDAY(A1930,2),"Montag","Dienstag","Mittwoch","Donnerstag","Freitag","Samstag","Sonntag"))</f>
        <v/>
      </c>
      <c r="M1930" s="37">
        <f>IF(A1930="","",_xlfn.ISOWEEKNUM(A1930))</f>
        <v/>
      </c>
      <c r="N1930" s="38">
        <f>IF(A1930="","",DATE(YEAR(A1930),MONTH(A1930),1))</f>
        <v/>
      </c>
    </row>
    <row r="1931">
      <c r="A1931" s="31" t="n"/>
      <c r="B1931" s="32" t="n"/>
      <c r="C1931" s="32" t="n"/>
      <c r="D1931" s="33" t="n"/>
      <c r="E1931" s="34" t="n"/>
      <c r="F1931" s="35" t="n"/>
      <c r="G1931" s="35" t="n"/>
      <c r="H1931" s="32" t="n"/>
      <c r="I1931" s="32" t="n"/>
      <c r="J1931" s="32" t="n"/>
      <c r="K1931" s="36">
        <f>IF(E1931&lt;&gt;"",E1931,IF(AND(F1931&lt;&gt;"",G1931&lt;&gt;""),MOD(G1931-F1931,1)*24,""))</f>
        <v/>
      </c>
      <c r="L1931" s="37">
        <f>IF(A1931="","",CHOOSE(WEEKDAY(A1931,2),"Montag","Dienstag","Mittwoch","Donnerstag","Freitag","Samstag","Sonntag"))</f>
        <v/>
      </c>
      <c r="M1931" s="37">
        <f>IF(A1931="","",_xlfn.ISOWEEKNUM(A1931))</f>
        <v/>
      </c>
      <c r="N1931" s="38">
        <f>IF(A1931="","",DATE(YEAR(A1931),MONTH(A1931),1))</f>
        <v/>
      </c>
    </row>
    <row r="1932">
      <c r="A1932" s="31" t="n"/>
      <c r="B1932" s="32" t="n"/>
      <c r="C1932" s="32" t="n"/>
      <c r="D1932" s="33" t="n"/>
      <c r="E1932" s="34" t="n"/>
      <c r="F1932" s="35" t="n"/>
      <c r="G1932" s="35" t="n"/>
      <c r="H1932" s="32" t="n"/>
      <c r="I1932" s="32" t="n"/>
      <c r="J1932" s="32" t="n"/>
      <c r="K1932" s="36">
        <f>IF(E1932&lt;&gt;"",E1932,IF(AND(F1932&lt;&gt;"",G1932&lt;&gt;""),MOD(G1932-F1932,1)*24,""))</f>
        <v/>
      </c>
      <c r="L1932" s="37">
        <f>IF(A1932="","",CHOOSE(WEEKDAY(A1932,2),"Montag","Dienstag","Mittwoch","Donnerstag","Freitag","Samstag","Sonntag"))</f>
        <v/>
      </c>
      <c r="M1932" s="37">
        <f>IF(A1932="","",_xlfn.ISOWEEKNUM(A1932))</f>
        <v/>
      </c>
      <c r="N1932" s="38">
        <f>IF(A1932="","",DATE(YEAR(A1932),MONTH(A1932),1))</f>
        <v/>
      </c>
    </row>
    <row r="1933">
      <c r="A1933" s="31" t="n"/>
      <c r="B1933" s="32" t="n"/>
      <c r="C1933" s="32" t="n"/>
      <c r="D1933" s="33" t="n"/>
      <c r="E1933" s="34" t="n"/>
      <c r="F1933" s="35" t="n"/>
      <c r="G1933" s="35" t="n"/>
      <c r="H1933" s="32" t="n"/>
      <c r="I1933" s="32" t="n"/>
      <c r="J1933" s="32" t="n"/>
      <c r="K1933" s="36">
        <f>IF(E1933&lt;&gt;"",E1933,IF(AND(F1933&lt;&gt;"",G1933&lt;&gt;""),MOD(G1933-F1933,1)*24,""))</f>
        <v/>
      </c>
      <c r="L1933" s="37">
        <f>IF(A1933="","",CHOOSE(WEEKDAY(A1933,2),"Montag","Dienstag","Mittwoch","Donnerstag","Freitag","Samstag","Sonntag"))</f>
        <v/>
      </c>
      <c r="M1933" s="37">
        <f>IF(A1933="","",_xlfn.ISOWEEKNUM(A1933))</f>
        <v/>
      </c>
      <c r="N1933" s="38">
        <f>IF(A1933="","",DATE(YEAR(A1933),MONTH(A1933),1))</f>
        <v/>
      </c>
    </row>
    <row r="1934">
      <c r="A1934" s="31" t="n"/>
      <c r="B1934" s="32" t="n"/>
      <c r="C1934" s="32" t="n"/>
      <c r="D1934" s="33" t="n"/>
      <c r="E1934" s="34" t="n"/>
      <c r="F1934" s="35" t="n"/>
      <c r="G1934" s="35" t="n"/>
      <c r="H1934" s="32" t="n"/>
      <c r="I1934" s="32" t="n"/>
      <c r="J1934" s="32" t="n"/>
      <c r="K1934" s="36">
        <f>IF(E1934&lt;&gt;"",E1934,IF(AND(F1934&lt;&gt;"",G1934&lt;&gt;""),MOD(G1934-F1934,1)*24,""))</f>
        <v/>
      </c>
      <c r="L1934" s="37">
        <f>IF(A1934="","",CHOOSE(WEEKDAY(A1934,2),"Montag","Dienstag","Mittwoch","Donnerstag","Freitag","Samstag","Sonntag"))</f>
        <v/>
      </c>
      <c r="M1934" s="37">
        <f>IF(A1934="","",_xlfn.ISOWEEKNUM(A1934))</f>
        <v/>
      </c>
      <c r="N1934" s="38">
        <f>IF(A1934="","",DATE(YEAR(A1934),MONTH(A1934),1))</f>
        <v/>
      </c>
    </row>
    <row r="1935">
      <c r="A1935" s="31" t="n"/>
      <c r="B1935" s="32" t="n"/>
      <c r="C1935" s="32" t="n"/>
      <c r="D1935" s="33" t="n"/>
      <c r="E1935" s="34" t="n"/>
      <c r="F1935" s="35" t="n"/>
      <c r="G1935" s="35" t="n"/>
      <c r="H1935" s="32" t="n"/>
      <c r="I1935" s="32" t="n"/>
      <c r="J1935" s="32" t="n"/>
      <c r="K1935" s="36">
        <f>IF(E1935&lt;&gt;"",E1935,IF(AND(F1935&lt;&gt;"",G1935&lt;&gt;""),MOD(G1935-F1935,1)*24,""))</f>
        <v/>
      </c>
      <c r="L1935" s="37">
        <f>IF(A1935="","",CHOOSE(WEEKDAY(A1935,2),"Montag","Dienstag","Mittwoch","Donnerstag","Freitag","Samstag","Sonntag"))</f>
        <v/>
      </c>
      <c r="M1935" s="37">
        <f>IF(A1935="","",_xlfn.ISOWEEKNUM(A1935))</f>
        <v/>
      </c>
      <c r="N1935" s="38">
        <f>IF(A1935="","",DATE(YEAR(A1935),MONTH(A1935),1))</f>
        <v/>
      </c>
    </row>
    <row r="1936">
      <c r="A1936" s="31" t="n"/>
      <c r="B1936" s="32" t="n"/>
      <c r="C1936" s="32" t="n"/>
      <c r="D1936" s="33" t="n"/>
      <c r="E1936" s="34" t="n"/>
      <c r="F1936" s="35" t="n"/>
      <c r="G1936" s="35" t="n"/>
      <c r="H1936" s="32" t="n"/>
      <c r="I1936" s="32" t="n"/>
      <c r="J1936" s="32" t="n"/>
      <c r="K1936" s="36">
        <f>IF(E1936&lt;&gt;"",E1936,IF(AND(F1936&lt;&gt;"",G1936&lt;&gt;""),MOD(G1936-F1936,1)*24,""))</f>
        <v/>
      </c>
      <c r="L1936" s="37">
        <f>IF(A1936="","",CHOOSE(WEEKDAY(A1936,2),"Montag","Dienstag","Mittwoch","Donnerstag","Freitag","Samstag","Sonntag"))</f>
        <v/>
      </c>
      <c r="M1936" s="37">
        <f>IF(A1936="","",_xlfn.ISOWEEKNUM(A1936))</f>
        <v/>
      </c>
      <c r="N1936" s="38">
        <f>IF(A1936="","",DATE(YEAR(A1936),MONTH(A1936),1))</f>
        <v/>
      </c>
    </row>
    <row r="1937">
      <c r="A1937" s="31" t="n"/>
      <c r="B1937" s="32" t="n"/>
      <c r="C1937" s="32" t="n"/>
      <c r="D1937" s="33" t="n"/>
      <c r="E1937" s="34" t="n"/>
      <c r="F1937" s="35" t="n"/>
      <c r="G1937" s="35" t="n"/>
      <c r="H1937" s="32" t="n"/>
      <c r="I1937" s="32" t="n"/>
      <c r="J1937" s="32" t="n"/>
      <c r="K1937" s="36">
        <f>IF(E1937&lt;&gt;"",E1937,IF(AND(F1937&lt;&gt;"",G1937&lt;&gt;""),MOD(G1937-F1937,1)*24,""))</f>
        <v/>
      </c>
      <c r="L1937" s="37">
        <f>IF(A1937="","",CHOOSE(WEEKDAY(A1937,2),"Montag","Dienstag","Mittwoch","Donnerstag","Freitag","Samstag","Sonntag"))</f>
        <v/>
      </c>
      <c r="M1937" s="37">
        <f>IF(A1937="","",_xlfn.ISOWEEKNUM(A1937))</f>
        <v/>
      </c>
      <c r="N1937" s="38">
        <f>IF(A1937="","",DATE(YEAR(A1937),MONTH(A1937),1))</f>
        <v/>
      </c>
    </row>
    <row r="1938">
      <c r="A1938" s="31" t="n"/>
      <c r="B1938" s="32" t="n"/>
      <c r="C1938" s="32" t="n"/>
      <c r="D1938" s="33" t="n"/>
      <c r="E1938" s="34" t="n"/>
      <c r="F1938" s="35" t="n"/>
      <c r="G1938" s="35" t="n"/>
      <c r="H1938" s="32" t="n"/>
      <c r="I1938" s="32" t="n"/>
      <c r="J1938" s="32" t="n"/>
      <c r="K1938" s="36">
        <f>IF(E1938&lt;&gt;"",E1938,IF(AND(F1938&lt;&gt;"",G1938&lt;&gt;""),MOD(G1938-F1938,1)*24,""))</f>
        <v/>
      </c>
      <c r="L1938" s="37">
        <f>IF(A1938="","",CHOOSE(WEEKDAY(A1938,2),"Montag","Dienstag","Mittwoch","Donnerstag","Freitag","Samstag","Sonntag"))</f>
        <v/>
      </c>
      <c r="M1938" s="37">
        <f>IF(A1938="","",_xlfn.ISOWEEKNUM(A1938))</f>
        <v/>
      </c>
      <c r="N1938" s="38">
        <f>IF(A1938="","",DATE(YEAR(A1938),MONTH(A1938),1))</f>
        <v/>
      </c>
    </row>
    <row r="1939">
      <c r="A1939" s="31" t="n"/>
      <c r="B1939" s="32" t="n"/>
      <c r="C1939" s="32" t="n"/>
      <c r="D1939" s="33" t="n"/>
      <c r="E1939" s="34" t="n"/>
      <c r="F1939" s="35" t="n"/>
      <c r="G1939" s="35" t="n"/>
      <c r="H1939" s="32" t="n"/>
      <c r="I1939" s="32" t="n"/>
      <c r="J1939" s="32" t="n"/>
      <c r="K1939" s="36">
        <f>IF(E1939&lt;&gt;"",E1939,IF(AND(F1939&lt;&gt;"",G1939&lt;&gt;""),MOD(G1939-F1939,1)*24,""))</f>
        <v/>
      </c>
      <c r="L1939" s="37">
        <f>IF(A1939="","",CHOOSE(WEEKDAY(A1939,2),"Montag","Dienstag","Mittwoch","Donnerstag","Freitag","Samstag","Sonntag"))</f>
        <v/>
      </c>
      <c r="M1939" s="37">
        <f>IF(A1939="","",_xlfn.ISOWEEKNUM(A1939))</f>
        <v/>
      </c>
      <c r="N1939" s="38">
        <f>IF(A1939="","",DATE(YEAR(A1939),MONTH(A1939),1))</f>
        <v/>
      </c>
    </row>
    <row r="1940">
      <c r="A1940" s="31" t="n"/>
      <c r="B1940" s="32" t="n"/>
      <c r="C1940" s="32" t="n"/>
      <c r="D1940" s="33" t="n"/>
      <c r="E1940" s="34" t="n"/>
      <c r="F1940" s="35" t="n"/>
      <c r="G1940" s="35" t="n"/>
      <c r="H1940" s="32" t="n"/>
      <c r="I1940" s="32" t="n"/>
      <c r="J1940" s="32" t="n"/>
      <c r="K1940" s="36">
        <f>IF(E1940&lt;&gt;"",E1940,IF(AND(F1940&lt;&gt;"",G1940&lt;&gt;""),MOD(G1940-F1940,1)*24,""))</f>
        <v/>
      </c>
      <c r="L1940" s="37">
        <f>IF(A1940="","",CHOOSE(WEEKDAY(A1940,2),"Montag","Dienstag","Mittwoch","Donnerstag","Freitag","Samstag","Sonntag"))</f>
        <v/>
      </c>
      <c r="M1940" s="37">
        <f>IF(A1940="","",_xlfn.ISOWEEKNUM(A1940))</f>
        <v/>
      </c>
      <c r="N1940" s="38">
        <f>IF(A1940="","",DATE(YEAR(A1940),MONTH(A1940),1))</f>
        <v/>
      </c>
    </row>
    <row r="1941">
      <c r="A1941" s="31" t="n"/>
      <c r="B1941" s="32" t="n"/>
      <c r="C1941" s="32" t="n"/>
      <c r="D1941" s="33" t="n"/>
      <c r="E1941" s="34" t="n"/>
      <c r="F1941" s="35" t="n"/>
      <c r="G1941" s="35" t="n"/>
      <c r="H1941" s="32" t="n"/>
      <c r="I1941" s="32" t="n"/>
      <c r="J1941" s="32" t="n"/>
      <c r="K1941" s="36">
        <f>IF(E1941&lt;&gt;"",E1941,IF(AND(F1941&lt;&gt;"",G1941&lt;&gt;""),MOD(G1941-F1941,1)*24,""))</f>
        <v/>
      </c>
      <c r="L1941" s="37">
        <f>IF(A1941="","",CHOOSE(WEEKDAY(A1941,2),"Montag","Dienstag","Mittwoch","Donnerstag","Freitag","Samstag","Sonntag"))</f>
        <v/>
      </c>
      <c r="M1941" s="37">
        <f>IF(A1941="","",_xlfn.ISOWEEKNUM(A1941))</f>
        <v/>
      </c>
      <c r="N1941" s="38">
        <f>IF(A1941="","",DATE(YEAR(A1941),MONTH(A1941),1))</f>
        <v/>
      </c>
    </row>
    <row r="1942">
      <c r="A1942" s="31" t="n"/>
      <c r="B1942" s="32" t="n"/>
      <c r="C1942" s="32" t="n"/>
      <c r="D1942" s="33" t="n"/>
      <c r="E1942" s="34" t="n"/>
      <c r="F1942" s="35" t="n"/>
      <c r="G1942" s="35" t="n"/>
      <c r="H1942" s="32" t="n"/>
      <c r="I1942" s="32" t="n"/>
      <c r="J1942" s="32" t="n"/>
      <c r="K1942" s="36">
        <f>IF(E1942&lt;&gt;"",E1942,IF(AND(F1942&lt;&gt;"",G1942&lt;&gt;""),MOD(G1942-F1942,1)*24,""))</f>
        <v/>
      </c>
      <c r="L1942" s="37">
        <f>IF(A1942="","",CHOOSE(WEEKDAY(A1942,2),"Montag","Dienstag","Mittwoch","Donnerstag","Freitag","Samstag","Sonntag"))</f>
        <v/>
      </c>
      <c r="M1942" s="37">
        <f>IF(A1942="","",_xlfn.ISOWEEKNUM(A1942))</f>
        <v/>
      </c>
      <c r="N1942" s="38">
        <f>IF(A1942="","",DATE(YEAR(A1942),MONTH(A1942),1))</f>
        <v/>
      </c>
    </row>
    <row r="1943">
      <c r="A1943" s="31" t="n"/>
      <c r="B1943" s="32" t="n"/>
      <c r="C1943" s="32" t="n"/>
      <c r="D1943" s="33" t="n"/>
      <c r="E1943" s="34" t="n"/>
      <c r="F1943" s="35" t="n"/>
      <c r="G1943" s="35" t="n"/>
      <c r="H1943" s="32" t="n"/>
      <c r="I1943" s="32" t="n"/>
      <c r="J1943" s="32" t="n"/>
      <c r="K1943" s="36">
        <f>IF(E1943&lt;&gt;"",E1943,IF(AND(F1943&lt;&gt;"",G1943&lt;&gt;""),MOD(G1943-F1943,1)*24,""))</f>
        <v/>
      </c>
      <c r="L1943" s="37">
        <f>IF(A1943="","",CHOOSE(WEEKDAY(A1943,2),"Montag","Dienstag","Mittwoch","Donnerstag","Freitag","Samstag","Sonntag"))</f>
        <v/>
      </c>
      <c r="M1943" s="37">
        <f>IF(A1943="","",_xlfn.ISOWEEKNUM(A1943))</f>
        <v/>
      </c>
      <c r="N1943" s="38">
        <f>IF(A1943="","",DATE(YEAR(A1943),MONTH(A1943),1))</f>
        <v/>
      </c>
    </row>
    <row r="1944">
      <c r="A1944" s="31" t="n"/>
      <c r="B1944" s="32" t="n"/>
      <c r="C1944" s="32" t="n"/>
      <c r="D1944" s="33" t="n"/>
      <c r="E1944" s="34" t="n"/>
      <c r="F1944" s="35" t="n"/>
      <c r="G1944" s="35" t="n"/>
      <c r="H1944" s="32" t="n"/>
      <c r="I1944" s="32" t="n"/>
      <c r="J1944" s="32" t="n"/>
      <c r="K1944" s="36">
        <f>IF(E1944&lt;&gt;"",E1944,IF(AND(F1944&lt;&gt;"",G1944&lt;&gt;""),MOD(G1944-F1944,1)*24,""))</f>
        <v/>
      </c>
      <c r="L1944" s="37">
        <f>IF(A1944="","",CHOOSE(WEEKDAY(A1944,2),"Montag","Dienstag","Mittwoch","Donnerstag","Freitag","Samstag","Sonntag"))</f>
        <v/>
      </c>
      <c r="M1944" s="37">
        <f>IF(A1944="","",_xlfn.ISOWEEKNUM(A1944))</f>
        <v/>
      </c>
      <c r="N1944" s="38">
        <f>IF(A1944="","",DATE(YEAR(A1944),MONTH(A1944),1))</f>
        <v/>
      </c>
    </row>
    <row r="1945">
      <c r="A1945" s="31" t="n"/>
      <c r="B1945" s="32" t="n"/>
      <c r="C1945" s="32" t="n"/>
      <c r="D1945" s="33" t="n"/>
      <c r="E1945" s="34" t="n"/>
      <c r="F1945" s="35" t="n"/>
      <c r="G1945" s="35" t="n"/>
      <c r="H1945" s="32" t="n"/>
      <c r="I1945" s="32" t="n"/>
      <c r="J1945" s="32" t="n"/>
      <c r="K1945" s="36">
        <f>IF(E1945&lt;&gt;"",E1945,IF(AND(F1945&lt;&gt;"",G1945&lt;&gt;""),MOD(G1945-F1945,1)*24,""))</f>
        <v/>
      </c>
      <c r="L1945" s="37">
        <f>IF(A1945="","",CHOOSE(WEEKDAY(A1945,2),"Montag","Dienstag","Mittwoch","Donnerstag","Freitag","Samstag","Sonntag"))</f>
        <v/>
      </c>
      <c r="M1945" s="37">
        <f>IF(A1945="","",_xlfn.ISOWEEKNUM(A1945))</f>
        <v/>
      </c>
      <c r="N1945" s="38">
        <f>IF(A1945="","",DATE(YEAR(A1945),MONTH(A1945),1))</f>
        <v/>
      </c>
    </row>
    <row r="1946">
      <c r="A1946" s="31" t="n"/>
      <c r="B1946" s="32" t="n"/>
      <c r="C1946" s="32" t="n"/>
      <c r="D1946" s="33" t="n"/>
      <c r="E1946" s="34" t="n"/>
      <c r="F1946" s="35" t="n"/>
      <c r="G1946" s="35" t="n"/>
      <c r="H1946" s="32" t="n"/>
      <c r="I1946" s="32" t="n"/>
      <c r="J1946" s="32" t="n"/>
      <c r="K1946" s="36">
        <f>IF(E1946&lt;&gt;"",E1946,IF(AND(F1946&lt;&gt;"",G1946&lt;&gt;""),MOD(G1946-F1946,1)*24,""))</f>
        <v/>
      </c>
      <c r="L1946" s="37">
        <f>IF(A1946="","",CHOOSE(WEEKDAY(A1946,2),"Montag","Dienstag","Mittwoch","Donnerstag","Freitag","Samstag","Sonntag"))</f>
        <v/>
      </c>
      <c r="M1946" s="37">
        <f>IF(A1946="","",_xlfn.ISOWEEKNUM(A1946))</f>
        <v/>
      </c>
      <c r="N1946" s="38">
        <f>IF(A1946="","",DATE(YEAR(A1946),MONTH(A1946),1))</f>
        <v/>
      </c>
    </row>
    <row r="1947">
      <c r="A1947" s="31" t="n"/>
      <c r="B1947" s="32" t="n"/>
      <c r="C1947" s="32" t="n"/>
      <c r="D1947" s="33" t="n"/>
      <c r="E1947" s="34" t="n"/>
      <c r="F1947" s="35" t="n"/>
      <c r="G1947" s="35" t="n"/>
      <c r="H1947" s="32" t="n"/>
      <c r="I1947" s="32" t="n"/>
      <c r="J1947" s="32" t="n"/>
      <c r="K1947" s="36">
        <f>IF(E1947&lt;&gt;"",E1947,IF(AND(F1947&lt;&gt;"",G1947&lt;&gt;""),MOD(G1947-F1947,1)*24,""))</f>
        <v/>
      </c>
      <c r="L1947" s="37">
        <f>IF(A1947="","",CHOOSE(WEEKDAY(A1947,2),"Montag","Dienstag","Mittwoch","Donnerstag","Freitag","Samstag","Sonntag"))</f>
        <v/>
      </c>
      <c r="M1947" s="37">
        <f>IF(A1947="","",_xlfn.ISOWEEKNUM(A1947))</f>
        <v/>
      </c>
      <c r="N1947" s="38">
        <f>IF(A1947="","",DATE(YEAR(A1947),MONTH(A1947),1))</f>
        <v/>
      </c>
    </row>
    <row r="1948">
      <c r="A1948" s="31" t="n"/>
      <c r="B1948" s="32" t="n"/>
      <c r="C1948" s="32" t="n"/>
      <c r="D1948" s="33" t="n"/>
      <c r="E1948" s="34" t="n"/>
      <c r="F1948" s="35" t="n"/>
      <c r="G1948" s="35" t="n"/>
      <c r="H1948" s="32" t="n"/>
      <c r="I1948" s="32" t="n"/>
      <c r="J1948" s="32" t="n"/>
      <c r="K1948" s="36">
        <f>IF(E1948&lt;&gt;"",E1948,IF(AND(F1948&lt;&gt;"",G1948&lt;&gt;""),MOD(G1948-F1948,1)*24,""))</f>
        <v/>
      </c>
      <c r="L1948" s="37">
        <f>IF(A1948="","",CHOOSE(WEEKDAY(A1948,2),"Montag","Dienstag","Mittwoch","Donnerstag","Freitag","Samstag","Sonntag"))</f>
        <v/>
      </c>
      <c r="M1948" s="37">
        <f>IF(A1948="","",_xlfn.ISOWEEKNUM(A1948))</f>
        <v/>
      </c>
      <c r="N1948" s="38">
        <f>IF(A1948="","",DATE(YEAR(A1948),MONTH(A1948),1))</f>
        <v/>
      </c>
    </row>
    <row r="1949">
      <c r="A1949" s="31" t="n"/>
      <c r="B1949" s="32" t="n"/>
      <c r="C1949" s="32" t="n"/>
      <c r="D1949" s="33" t="n"/>
      <c r="E1949" s="34" t="n"/>
      <c r="F1949" s="35" t="n"/>
      <c r="G1949" s="35" t="n"/>
      <c r="H1949" s="32" t="n"/>
      <c r="I1949" s="32" t="n"/>
      <c r="J1949" s="32" t="n"/>
      <c r="K1949" s="36">
        <f>IF(E1949&lt;&gt;"",E1949,IF(AND(F1949&lt;&gt;"",G1949&lt;&gt;""),MOD(G1949-F1949,1)*24,""))</f>
        <v/>
      </c>
      <c r="L1949" s="37">
        <f>IF(A1949="","",CHOOSE(WEEKDAY(A1949,2),"Montag","Dienstag","Mittwoch","Donnerstag","Freitag","Samstag","Sonntag"))</f>
        <v/>
      </c>
      <c r="M1949" s="37">
        <f>IF(A1949="","",_xlfn.ISOWEEKNUM(A1949))</f>
        <v/>
      </c>
      <c r="N1949" s="38">
        <f>IF(A1949="","",DATE(YEAR(A1949),MONTH(A1949),1))</f>
        <v/>
      </c>
    </row>
    <row r="1950">
      <c r="A1950" s="31" t="n"/>
      <c r="B1950" s="32" t="n"/>
      <c r="C1950" s="32" t="n"/>
      <c r="D1950" s="33" t="n"/>
      <c r="E1950" s="34" t="n"/>
      <c r="F1950" s="35" t="n"/>
      <c r="G1950" s="35" t="n"/>
      <c r="H1950" s="32" t="n"/>
      <c r="I1950" s="32" t="n"/>
      <c r="J1950" s="32" t="n"/>
      <c r="K1950" s="36">
        <f>IF(E1950&lt;&gt;"",E1950,IF(AND(F1950&lt;&gt;"",G1950&lt;&gt;""),MOD(G1950-F1950,1)*24,""))</f>
        <v/>
      </c>
      <c r="L1950" s="37">
        <f>IF(A1950="","",CHOOSE(WEEKDAY(A1950,2),"Montag","Dienstag","Mittwoch","Donnerstag","Freitag","Samstag","Sonntag"))</f>
        <v/>
      </c>
      <c r="M1950" s="37">
        <f>IF(A1950="","",_xlfn.ISOWEEKNUM(A1950))</f>
        <v/>
      </c>
      <c r="N1950" s="38">
        <f>IF(A1950="","",DATE(YEAR(A1950),MONTH(A1950),1))</f>
        <v/>
      </c>
    </row>
    <row r="1951">
      <c r="A1951" s="31" t="n"/>
      <c r="B1951" s="32" t="n"/>
      <c r="C1951" s="32" t="n"/>
      <c r="D1951" s="33" t="n"/>
      <c r="E1951" s="34" t="n"/>
      <c r="F1951" s="35" t="n"/>
      <c r="G1951" s="35" t="n"/>
      <c r="H1951" s="32" t="n"/>
      <c r="I1951" s="32" t="n"/>
      <c r="J1951" s="32" t="n"/>
      <c r="K1951" s="36">
        <f>IF(E1951&lt;&gt;"",E1951,IF(AND(F1951&lt;&gt;"",G1951&lt;&gt;""),MOD(G1951-F1951,1)*24,""))</f>
        <v/>
      </c>
      <c r="L1951" s="37">
        <f>IF(A1951="","",CHOOSE(WEEKDAY(A1951,2),"Montag","Dienstag","Mittwoch","Donnerstag","Freitag","Samstag","Sonntag"))</f>
        <v/>
      </c>
      <c r="M1951" s="37">
        <f>IF(A1951="","",_xlfn.ISOWEEKNUM(A1951))</f>
        <v/>
      </c>
      <c r="N1951" s="38">
        <f>IF(A1951="","",DATE(YEAR(A1951),MONTH(A1951),1))</f>
        <v/>
      </c>
    </row>
    <row r="1952">
      <c r="A1952" s="31" t="n"/>
      <c r="B1952" s="32" t="n"/>
      <c r="C1952" s="32" t="n"/>
      <c r="D1952" s="33" t="n"/>
      <c r="E1952" s="34" t="n"/>
      <c r="F1952" s="35" t="n"/>
      <c r="G1952" s="35" t="n"/>
      <c r="H1952" s="32" t="n"/>
      <c r="I1952" s="32" t="n"/>
      <c r="J1952" s="32" t="n"/>
      <c r="K1952" s="36">
        <f>IF(E1952&lt;&gt;"",E1952,IF(AND(F1952&lt;&gt;"",G1952&lt;&gt;""),MOD(G1952-F1952,1)*24,""))</f>
        <v/>
      </c>
      <c r="L1952" s="37">
        <f>IF(A1952="","",CHOOSE(WEEKDAY(A1952,2),"Montag","Dienstag","Mittwoch","Donnerstag","Freitag","Samstag","Sonntag"))</f>
        <v/>
      </c>
      <c r="M1952" s="37">
        <f>IF(A1952="","",_xlfn.ISOWEEKNUM(A1952))</f>
        <v/>
      </c>
      <c r="N1952" s="38">
        <f>IF(A1952="","",DATE(YEAR(A1952),MONTH(A1952),1))</f>
        <v/>
      </c>
    </row>
    <row r="1953">
      <c r="A1953" s="31" t="n"/>
      <c r="B1953" s="32" t="n"/>
      <c r="C1953" s="32" t="n"/>
      <c r="D1953" s="33" t="n"/>
      <c r="E1953" s="34" t="n"/>
      <c r="F1953" s="35" t="n"/>
      <c r="G1953" s="35" t="n"/>
      <c r="H1953" s="32" t="n"/>
      <c r="I1953" s="32" t="n"/>
      <c r="J1953" s="32" t="n"/>
      <c r="K1953" s="36">
        <f>IF(E1953&lt;&gt;"",E1953,IF(AND(F1953&lt;&gt;"",G1953&lt;&gt;""),MOD(G1953-F1953,1)*24,""))</f>
        <v/>
      </c>
      <c r="L1953" s="37">
        <f>IF(A1953="","",CHOOSE(WEEKDAY(A1953,2),"Montag","Dienstag","Mittwoch","Donnerstag","Freitag","Samstag","Sonntag"))</f>
        <v/>
      </c>
      <c r="M1953" s="37">
        <f>IF(A1953="","",_xlfn.ISOWEEKNUM(A1953))</f>
        <v/>
      </c>
      <c r="N1953" s="38">
        <f>IF(A1953="","",DATE(YEAR(A1953),MONTH(A1953),1))</f>
        <v/>
      </c>
    </row>
    <row r="1954">
      <c r="A1954" s="31" t="n"/>
      <c r="B1954" s="32" t="n"/>
      <c r="C1954" s="32" t="n"/>
      <c r="D1954" s="33" t="n"/>
      <c r="E1954" s="34" t="n"/>
      <c r="F1954" s="35" t="n"/>
      <c r="G1954" s="35" t="n"/>
      <c r="H1954" s="32" t="n"/>
      <c r="I1954" s="32" t="n"/>
      <c r="J1954" s="32" t="n"/>
      <c r="K1954" s="36">
        <f>IF(E1954&lt;&gt;"",E1954,IF(AND(F1954&lt;&gt;"",G1954&lt;&gt;""),MOD(G1954-F1954,1)*24,""))</f>
        <v/>
      </c>
      <c r="L1954" s="37">
        <f>IF(A1954="","",CHOOSE(WEEKDAY(A1954,2),"Montag","Dienstag","Mittwoch","Donnerstag","Freitag","Samstag","Sonntag"))</f>
        <v/>
      </c>
      <c r="M1954" s="37">
        <f>IF(A1954="","",_xlfn.ISOWEEKNUM(A1954))</f>
        <v/>
      </c>
      <c r="N1954" s="38">
        <f>IF(A1954="","",DATE(YEAR(A1954),MONTH(A1954),1))</f>
        <v/>
      </c>
    </row>
    <row r="1955">
      <c r="A1955" s="31" t="n"/>
      <c r="B1955" s="32" t="n"/>
      <c r="C1955" s="32" t="n"/>
      <c r="D1955" s="33" t="n"/>
      <c r="E1955" s="34" t="n"/>
      <c r="F1955" s="35" t="n"/>
      <c r="G1955" s="35" t="n"/>
      <c r="H1955" s="32" t="n"/>
      <c r="I1955" s="32" t="n"/>
      <c r="J1955" s="32" t="n"/>
      <c r="K1955" s="36">
        <f>IF(E1955&lt;&gt;"",E1955,IF(AND(F1955&lt;&gt;"",G1955&lt;&gt;""),MOD(G1955-F1955,1)*24,""))</f>
        <v/>
      </c>
      <c r="L1955" s="37">
        <f>IF(A1955="","",CHOOSE(WEEKDAY(A1955,2),"Montag","Dienstag","Mittwoch","Donnerstag","Freitag","Samstag","Sonntag"))</f>
        <v/>
      </c>
      <c r="M1955" s="37">
        <f>IF(A1955="","",_xlfn.ISOWEEKNUM(A1955))</f>
        <v/>
      </c>
      <c r="N1955" s="38">
        <f>IF(A1955="","",DATE(YEAR(A1955),MONTH(A1955),1))</f>
        <v/>
      </c>
    </row>
    <row r="1956">
      <c r="A1956" s="31" t="n"/>
      <c r="B1956" s="32" t="n"/>
      <c r="C1956" s="32" t="n"/>
      <c r="D1956" s="33" t="n"/>
      <c r="E1956" s="34" t="n"/>
      <c r="F1956" s="35" t="n"/>
      <c r="G1956" s="35" t="n"/>
      <c r="H1956" s="32" t="n"/>
      <c r="I1956" s="32" t="n"/>
      <c r="J1956" s="32" t="n"/>
      <c r="K1956" s="36">
        <f>IF(E1956&lt;&gt;"",E1956,IF(AND(F1956&lt;&gt;"",G1956&lt;&gt;""),MOD(G1956-F1956,1)*24,""))</f>
        <v/>
      </c>
      <c r="L1956" s="37">
        <f>IF(A1956="","",CHOOSE(WEEKDAY(A1956,2),"Montag","Dienstag","Mittwoch","Donnerstag","Freitag","Samstag","Sonntag"))</f>
        <v/>
      </c>
      <c r="M1956" s="37">
        <f>IF(A1956="","",_xlfn.ISOWEEKNUM(A1956))</f>
        <v/>
      </c>
      <c r="N1956" s="38">
        <f>IF(A1956="","",DATE(YEAR(A1956),MONTH(A1956),1))</f>
        <v/>
      </c>
    </row>
    <row r="1957">
      <c r="A1957" s="31" t="n"/>
      <c r="B1957" s="32" t="n"/>
      <c r="C1957" s="32" t="n"/>
      <c r="D1957" s="33" t="n"/>
      <c r="E1957" s="34" t="n"/>
      <c r="F1957" s="35" t="n"/>
      <c r="G1957" s="35" t="n"/>
      <c r="H1957" s="32" t="n"/>
      <c r="I1957" s="32" t="n"/>
      <c r="J1957" s="32" t="n"/>
      <c r="K1957" s="36">
        <f>IF(E1957&lt;&gt;"",E1957,IF(AND(F1957&lt;&gt;"",G1957&lt;&gt;""),MOD(G1957-F1957,1)*24,""))</f>
        <v/>
      </c>
      <c r="L1957" s="37">
        <f>IF(A1957="","",CHOOSE(WEEKDAY(A1957,2),"Montag","Dienstag","Mittwoch","Donnerstag","Freitag","Samstag","Sonntag"))</f>
        <v/>
      </c>
      <c r="M1957" s="37">
        <f>IF(A1957="","",_xlfn.ISOWEEKNUM(A1957))</f>
        <v/>
      </c>
      <c r="N1957" s="38">
        <f>IF(A1957="","",DATE(YEAR(A1957),MONTH(A1957),1))</f>
        <v/>
      </c>
    </row>
    <row r="1958">
      <c r="A1958" s="31" t="n"/>
      <c r="B1958" s="32" t="n"/>
      <c r="C1958" s="32" t="n"/>
      <c r="D1958" s="33" t="n"/>
      <c r="E1958" s="34" t="n"/>
      <c r="F1958" s="35" t="n"/>
      <c r="G1958" s="35" t="n"/>
      <c r="H1958" s="32" t="n"/>
      <c r="I1958" s="32" t="n"/>
      <c r="J1958" s="32" t="n"/>
      <c r="K1958" s="36">
        <f>IF(E1958&lt;&gt;"",E1958,IF(AND(F1958&lt;&gt;"",G1958&lt;&gt;""),MOD(G1958-F1958,1)*24,""))</f>
        <v/>
      </c>
      <c r="L1958" s="37">
        <f>IF(A1958="","",CHOOSE(WEEKDAY(A1958,2),"Montag","Dienstag","Mittwoch","Donnerstag","Freitag","Samstag","Sonntag"))</f>
        <v/>
      </c>
      <c r="M1958" s="37">
        <f>IF(A1958="","",_xlfn.ISOWEEKNUM(A1958))</f>
        <v/>
      </c>
      <c r="N1958" s="38">
        <f>IF(A1958="","",DATE(YEAR(A1958),MONTH(A1958),1))</f>
        <v/>
      </c>
    </row>
    <row r="1959">
      <c r="A1959" s="31" t="n"/>
      <c r="B1959" s="32" t="n"/>
      <c r="C1959" s="32" t="n"/>
      <c r="D1959" s="33" t="n"/>
      <c r="E1959" s="34" t="n"/>
      <c r="F1959" s="35" t="n"/>
      <c r="G1959" s="35" t="n"/>
      <c r="H1959" s="32" t="n"/>
      <c r="I1959" s="32" t="n"/>
      <c r="J1959" s="32" t="n"/>
      <c r="K1959" s="36">
        <f>IF(E1959&lt;&gt;"",E1959,IF(AND(F1959&lt;&gt;"",G1959&lt;&gt;""),MOD(G1959-F1959,1)*24,""))</f>
        <v/>
      </c>
      <c r="L1959" s="37">
        <f>IF(A1959="","",CHOOSE(WEEKDAY(A1959,2),"Montag","Dienstag","Mittwoch","Donnerstag","Freitag","Samstag","Sonntag"))</f>
        <v/>
      </c>
      <c r="M1959" s="37">
        <f>IF(A1959="","",_xlfn.ISOWEEKNUM(A1959))</f>
        <v/>
      </c>
      <c r="N1959" s="38">
        <f>IF(A1959="","",DATE(YEAR(A1959),MONTH(A1959),1))</f>
        <v/>
      </c>
    </row>
    <row r="1960">
      <c r="A1960" s="31" t="n"/>
      <c r="B1960" s="32" t="n"/>
      <c r="C1960" s="32" t="n"/>
      <c r="D1960" s="33" t="n"/>
      <c r="E1960" s="34" t="n"/>
      <c r="F1960" s="35" t="n"/>
      <c r="G1960" s="35" t="n"/>
      <c r="H1960" s="32" t="n"/>
      <c r="I1960" s="32" t="n"/>
      <c r="J1960" s="32" t="n"/>
      <c r="K1960" s="36">
        <f>IF(E1960&lt;&gt;"",E1960,IF(AND(F1960&lt;&gt;"",G1960&lt;&gt;""),MOD(G1960-F1960,1)*24,""))</f>
        <v/>
      </c>
      <c r="L1960" s="37">
        <f>IF(A1960="","",CHOOSE(WEEKDAY(A1960,2),"Montag","Dienstag","Mittwoch","Donnerstag","Freitag","Samstag","Sonntag"))</f>
        <v/>
      </c>
      <c r="M1960" s="37">
        <f>IF(A1960="","",_xlfn.ISOWEEKNUM(A1960))</f>
        <v/>
      </c>
      <c r="N1960" s="38">
        <f>IF(A1960="","",DATE(YEAR(A1960),MONTH(A1960),1))</f>
        <v/>
      </c>
    </row>
    <row r="1961">
      <c r="A1961" s="31" t="n"/>
      <c r="B1961" s="32" t="n"/>
      <c r="C1961" s="32" t="n"/>
      <c r="D1961" s="33" t="n"/>
      <c r="E1961" s="34" t="n"/>
      <c r="F1961" s="35" t="n"/>
      <c r="G1961" s="35" t="n"/>
      <c r="H1961" s="32" t="n"/>
      <c r="I1961" s="32" t="n"/>
      <c r="J1961" s="32" t="n"/>
      <c r="K1961" s="36">
        <f>IF(E1961&lt;&gt;"",E1961,IF(AND(F1961&lt;&gt;"",G1961&lt;&gt;""),MOD(G1961-F1961,1)*24,""))</f>
        <v/>
      </c>
      <c r="L1961" s="37">
        <f>IF(A1961="","",CHOOSE(WEEKDAY(A1961,2),"Montag","Dienstag","Mittwoch","Donnerstag","Freitag","Samstag","Sonntag"))</f>
        <v/>
      </c>
      <c r="M1961" s="37">
        <f>IF(A1961="","",_xlfn.ISOWEEKNUM(A1961))</f>
        <v/>
      </c>
      <c r="N1961" s="38">
        <f>IF(A1961="","",DATE(YEAR(A1961),MONTH(A1961),1))</f>
        <v/>
      </c>
    </row>
    <row r="1962">
      <c r="A1962" s="31" t="n"/>
      <c r="B1962" s="32" t="n"/>
      <c r="C1962" s="32" t="n"/>
      <c r="D1962" s="33" t="n"/>
      <c r="E1962" s="34" t="n"/>
      <c r="F1962" s="35" t="n"/>
      <c r="G1962" s="35" t="n"/>
      <c r="H1962" s="32" t="n"/>
      <c r="I1962" s="32" t="n"/>
      <c r="J1962" s="32" t="n"/>
      <c r="K1962" s="36">
        <f>IF(E1962&lt;&gt;"",E1962,IF(AND(F1962&lt;&gt;"",G1962&lt;&gt;""),MOD(G1962-F1962,1)*24,""))</f>
        <v/>
      </c>
      <c r="L1962" s="37">
        <f>IF(A1962="","",CHOOSE(WEEKDAY(A1962,2),"Montag","Dienstag","Mittwoch","Donnerstag","Freitag","Samstag","Sonntag"))</f>
        <v/>
      </c>
      <c r="M1962" s="37">
        <f>IF(A1962="","",_xlfn.ISOWEEKNUM(A1962))</f>
        <v/>
      </c>
      <c r="N1962" s="38">
        <f>IF(A1962="","",DATE(YEAR(A1962),MONTH(A1962),1))</f>
        <v/>
      </c>
    </row>
    <row r="1963">
      <c r="A1963" s="31" t="n"/>
      <c r="B1963" s="32" t="n"/>
      <c r="C1963" s="32" t="n"/>
      <c r="D1963" s="33" t="n"/>
      <c r="E1963" s="34" t="n"/>
      <c r="F1963" s="35" t="n"/>
      <c r="G1963" s="35" t="n"/>
      <c r="H1963" s="32" t="n"/>
      <c r="I1963" s="32" t="n"/>
      <c r="J1963" s="32" t="n"/>
      <c r="K1963" s="36">
        <f>IF(E1963&lt;&gt;"",E1963,IF(AND(F1963&lt;&gt;"",G1963&lt;&gt;""),MOD(G1963-F1963,1)*24,""))</f>
        <v/>
      </c>
      <c r="L1963" s="37">
        <f>IF(A1963="","",CHOOSE(WEEKDAY(A1963,2),"Montag","Dienstag","Mittwoch","Donnerstag","Freitag","Samstag","Sonntag"))</f>
        <v/>
      </c>
      <c r="M1963" s="37">
        <f>IF(A1963="","",_xlfn.ISOWEEKNUM(A1963))</f>
        <v/>
      </c>
      <c r="N1963" s="38">
        <f>IF(A1963="","",DATE(YEAR(A1963),MONTH(A1963),1))</f>
        <v/>
      </c>
    </row>
    <row r="1964">
      <c r="A1964" s="31" t="n"/>
      <c r="B1964" s="32" t="n"/>
      <c r="C1964" s="32" t="n"/>
      <c r="D1964" s="33" t="n"/>
      <c r="E1964" s="34" t="n"/>
      <c r="F1964" s="35" t="n"/>
      <c r="G1964" s="35" t="n"/>
      <c r="H1964" s="32" t="n"/>
      <c r="I1964" s="32" t="n"/>
      <c r="J1964" s="32" t="n"/>
      <c r="K1964" s="36">
        <f>IF(E1964&lt;&gt;"",E1964,IF(AND(F1964&lt;&gt;"",G1964&lt;&gt;""),MOD(G1964-F1964,1)*24,""))</f>
        <v/>
      </c>
      <c r="L1964" s="37">
        <f>IF(A1964="","",CHOOSE(WEEKDAY(A1964,2),"Montag","Dienstag","Mittwoch","Donnerstag","Freitag","Samstag","Sonntag"))</f>
        <v/>
      </c>
      <c r="M1964" s="37">
        <f>IF(A1964="","",_xlfn.ISOWEEKNUM(A1964))</f>
        <v/>
      </c>
      <c r="N1964" s="38">
        <f>IF(A1964="","",DATE(YEAR(A1964),MONTH(A1964),1))</f>
        <v/>
      </c>
    </row>
    <row r="1965">
      <c r="A1965" s="31" t="n"/>
      <c r="B1965" s="32" t="n"/>
      <c r="C1965" s="32" t="n"/>
      <c r="D1965" s="33" t="n"/>
      <c r="E1965" s="34" t="n"/>
      <c r="F1965" s="35" t="n"/>
      <c r="G1965" s="35" t="n"/>
      <c r="H1965" s="32" t="n"/>
      <c r="I1965" s="32" t="n"/>
      <c r="J1965" s="32" t="n"/>
      <c r="K1965" s="36">
        <f>IF(E1965&lt;&gt;"",E1965,IF(AND(F1965&lt;&gt;"",G1965&lt;&gt;""),MOD(G1965-F1965,1)*24,""))</f>
        <v/>
      </c>
      <c r="L1965" s="37">
        <f>IF(A1965="","",CHOOSE(WEEKDAY(A1965,2),"Montag","Dienstag","Mittwoch","Donnerstag","Freitag","Samstag","Sonntag"))</f>
        <v/>
      </c>
      <c r="M1965" s="37">
        <f>IF(A1965="","",_xlfn.ISOWEEKNUM(A1965))</f>
        <v/>
      </c>
      <c r="N1965" s="38">
        <f>IF(A1965="","",DATE(YEAR(A1965),MONTH(A1965),1))</f>
        <v/>
      </c>
    </row>
    <row r="1966">
      <c r="A1966" s="31" t="n"/>
      <c r="B1966" s="32" t="n"/>
      <c r="C1966" s="32" t="n"/>
      <c r="D1966" s="33" t="n"/>
      <c r="E1966" s="34" t="n"/>
      <c r="F1966" s="35" t="n"/>
      <c r="G1966" s="35" t="n"/>
      <c r="H1966" s="32" t="n"/>
      <c r="I1966" s="32" t="n"/>
      <c r="J1966" s="32" t="n"/>
      <c r="K1966" s="36">
        <f>IF(E1966&lt;&gt;"",E1966,IF(AND(F1966&lt;&gt;"",G1966&lt;&gt;""),MOD(G1966-F1966,1)*24,""))</f>
        <v/>
      </c>
      <c r="L1966" s="37">
        <f>IF(A1966="","",CHOOSE(WEEKDAY(A1966,2),"Montag","Dienstag","Mittwoch","Donnerstag","Freitag","Samstag","Sonntag"))</f>
        <v/>
      </c>
      <c r="M1966" s="37">
        <f>IF(A1966="","",_xlfn.ISOWEEKNUM(A1966))</f>
        <v/>
      </c>
      <c r="N1966" s="38">
        <f>IF(A1966="","",DATE(YEAR(A1966),MONTH(A1966),1))</f>
        <v/>
      </c>
    </row>
    <row r="1967">
      <c r="A1967" s="31" t="n"/>
      <c r="B1967" s="32" t="n"/>
      <c r="C1967" s="32" t="n"/>
      <c r="D1967" s="33" t="n"/>
      <c r="E1967" s="34" t="n"/>
      <c r="F1967" s="35" t="n"/>
      <c r="G1967" s="35" t="n"/>
      <c r="H1967" s="32" t="n"/>
      <c r="I1967" s="32" t="n"/>
      <c r="J1967" s="32" t="n"/>
      <c r="K1967" s="36">
        <f>IF(E1967&lt;&gt;"",E1967,IF(AND(F1967&lt;&gt;"",G1967&lt;&gt;""),MOD(G1967-F1967,1)*24,""))</f>
        <v/>
      </c>
      <c r="L1967" s="37">
        <f>IF(A1967="","",CHOOSE(WEEKDAY(A1967,2),"Montag","Dienstag","Mittwoch","Donnerstag","Freitag","Samstag","Sonntag"))</f>
        <v/>
      </c>
      <c r="M1967" s="37">
        <f>IF(A1967="","",_xlfn.ISOWEEKNUM(A1967))</f>
        <v/>
      </c>
      <c r="N1967" s="38">
        <f>IF(A1967="","",DATE(YEAR(A1967),MONTH(A1967),1))</f>
        <v/>
      </c>
    </row>
    <row r="1968">
      <c r="A1968" s="31" t="n"/>
      <c r="B1968" s="32" t="n"/>
      <c r="C1968" s="32" t="n"/>
      <c r="D1968" s="33" t="n"/>
      <c r="E1968" s="34" t="n"/>
      <c r="F1968" s="35" t="n"/>
      <c r="G1968" s="35" t="n"/>
      <c r="H1968" s="32" t="n"/>
      <c r="I1968" s="32" t="n"/>
      <c r="J1968" s="32" t="n"/>
      <c r="K1968" s="36">
        <f>IF(E1968&lt;&gt;"",E1968,IF(AND(F1968&lt;&gt;"",G1968&lt;&gt;""),MOD(G1968-F1968,1)*24,""))</f>
        <v/>
      </c>
      <c r="L1968" s="37">
        <f>IF(A1968="","",CHOOSE(WEEKDAY(A1968,2),"Montag","Dienstag","Mittwoch","Donnerstag","Freitag","Samstag","Sonntag"))</f>
        <v/>
      </c>
      <c r="M1968" s="37">
        <f>IF(A1968="","",_xlfn.ISOWEEKNUM(A1968))</f>
        <v/>
      </c>
      <c r="N1968" s="38">
        <f>IF(A1968="","",DATE(YEAR(A1968),MONTH(A1968),1))</f>
        <v/>
      </c>
    </row>
    <row r="1969">
      <c r="A1969" s="31" t="n"/>
      <c r="B1969" s="32" t="n"/>
      <c r="C1969" s="32" t="n"/>
      <c r="D1969" s="33" t="n"/>
      <c r="E1969" s="34" t="n"/>
      <c r="F1969" s="35" t="n"/>
      <c r="G1969" s="35" t="n"/>
      <c r="H1969" s="32" t="n"/>
      <c r="I1969" s="32" t="n"/>
      <c r="J1969" s="32" t="n"/>
      <c r="K1969" s="36">
        <f>IF(E1969&lt;&gt;"",E1969,IF(AND(F1969&lt;&gt;"",G1969&lt;&gt;""),MOD(G1969-F1969,1)*24,""))</f>
        <v/>
      </c>
      <c r="L1969" s="37">
        <f>IF(A1969="","",CHOOSE(WEEKDAY(A1969,2),"Montag","Dienstag","Mittwoch","Donnerstag","Freitag","Samstag","Sonntag"))</f>
        <v/>
      </c>
      <c r="M1969" s="37">
        <f>IF(A1969="","",_xlfn.ISOWEEKNUM(A1969))</f>
        <v/>
      </c>
      <c r="N1969" s="38">
        <f>IF(A1969="","",DATE(YEAR(A1969),MONTH(A1969),1))</f>
        <v/>
      </c>
    </row>
    <row r="1970">
      <c r="A1970" s="31" t="n"/>
      <c r="B1970" s="32" t="n"/>
      <c r="C1970" s="32" t="n"/>
      <c r="D1970" s="33" t="n"/>
      <c r="E1970" s="34" t="n"/>
      <c r="F1970" s="35" t="n"/>
      <c r="G1970" s="35" t="n"/>
      <c r="H1970" s="32" t="n"/>
      <c r="I1970" s="32" t="n"/>
      <c r="J1970" s="32" t="n"/>
      <c r="K1970" s="36">
        <f>IF(E1970&lt;&gt;"",E1970,IF(AND(F1970&lt;&gt;"",G1970&lt;&gt;""),MOD(G1970-F1970,1)*24,""))</f>
        <v/>
      </c>
      <c r="L1970" s="37">
        <f>IF(A1970="","",CHOOSE(WEEKDAY(A1970,2),"Montag","Dienstag","Mittwoch","Donnerstag","Freitag","Samstag","Sonntag"))</f>
        <v/>
      </c>
      <c r="M1970" s="37">
        <f>IF(A1970="","",_xlfn.ISOWEEKNUM(A1970))</f>
        <v/>
      </c>
      <c r="N1970" s="38">
        <f>IF(A1970="","",DATE(YEAR(A1970),MONTH(A1970),1))</f>
        <v/>
      </c>
    </row>
    <row r="1971">
      <c r="A1971" s="31" t="n"/>
      <c r="B1971" s="32" t="n"/>
      <c r="C1971" s="32" t="n"/>
      <c r="D1971" s="33" t="n"/>
      <c r="E1971" s="34" t="n"/>
      <c r="F1971" s="35" t="n"/>
      <c r="G1971" s="35" t="n"/>
      <c r="H1971" s="32" t="n"/>
      <c r="I1971" s="32" t="n"/>
      <c r="J1971" s="32" t="n"/>
      <c r="K1971" s="36">
        <f>IF(E1971&lt;&gt;"",E1971,IF(AND(F1971&lt;&gt;"",G1971&lt;&gt;""),MOD(G1971-F1971,1)*24,""))</f>
        <v/>
      </c>
      <c r="L1971" s="37">
        <f>IF(A1971="","",CHOOSE(WEEKDAY(A1971,2),"Montag","Dienstag","Mittwoch","Donnerstag","Freitag","Samstag","Sonntag"))</f>
        <v/>
      </c>
      <c r="M1971" s="37">
        <f>IF(A1971="","",_xlfn.ISOWEEKNUM(A1971))</f>
        <v/>
      </c>
      <c r="N1971" s="38">
        <f>IF(A1971="","",DATE(YEAR(A1971),MONTH(A1971),1))</f>
        <v/>
      </c>
    </row>
    <row r="1972">
      <c r="A1972" s="31" t="n"/>
      <c r="B1972" s="32" t="n"/>
      <c r="C1972" s="32" t="n"/>
      <c r="D1972" s="33" t="n"/>
      <c r="E1972" s="34" t="n"/>
      <c r="F1972" s="35" t="n"/>
      <c r="G1972" s="35" t="n"/>
      <c r="H1972" s="32" t="n"/>
      <c r="I1972" s="32" t="n"/>
      <c r="J1972" s="32" t="n"/>
      <c r="K1972" s="36">
        <f>IF(E1972&lt;&gt;"",E1972,IF(AND(F1972&lt;&gt;"",G1972&lt;&gt;""),MOD(G1972-F1972,1)*24,""))</f>
        <v/>
      </c>
      <c r="L1972" s="37">
        <f>IF(A1972="","",CHOOSE(WEEKDAY(A1972,2),"Montag","Dienstag","Mittwoch","Donnerstag","Freitag","Samstag","Sonntag"))</f>
        <v/>
      </c>
      <c r="M1972" s="37">
        <f>IF(A1972="","",_xlfn.ISOWEEKNUM(A1972))</f>
        <v/>
      </c>
      <c r="N1972" s="38">
        <f>IF(A1972="","",DATE(YEAR(A1972),MONTH(A1972),1))</f>
        <v/>
      </c>
    </row>
    <row r="1973">
      <c r="A1973" s="31" t="n"/>
      <c r="B1973" s="32" t="n"/>
      <c r="C1973" s="32" t="n"/>
      <c r="D1973" s="33" t="n"/>
      <c r="E1973" s="34" t="n"/>
      <c r="F1973" s="35" t="n"/>
      <c r="G1973" s="35" t="n"/>
      <c r="H1973" s="32" t="n"/>
      <c r="I1973" s="32" t="n"/>
      <c r="J1973" s="32" t="n"/>
      <c r="K1973" s="36">
        <f>IF(E1973&lt;&gt;"",E1973,IF(AND(F1973&lt;&gt;"",G1973&lt;&gt;""),MOD(G1973-F1973,1)*24,""))</f>
        <v/>
      </c>
      <c r="L1973" s="37">
        <f>IF(A1973="","",CHOOSE(WEEKDAY(A1973,2),"Montag","Dienstag","Mittwoch","Donnerstag","Freitag","Samstag","Sonntag"))</f>
        <v/>
      </c>
      <c r="M1973" s="37">
        <f>IF(A1973="","",_xlfn.ISOWEEKNUM(A1973))</f>
        <v/>
      </c>
      <c r="N1973" s="38">
        <f>IF(A1973="","",DATE(YEAR(A1973),MONTH(A1973),1))</f>
        <v/>
      </c>
    </row>
    <row r="1974">
      <c r="A1974" s="31" t="n"/>
      <c r="B1974" s="32" t="n"/>
      <c r="C1974" s="32" t="n"/>
      <c r="D1974" s="33" t="n"/>
      <c r="E1974" s="34" t="n"/>
      <c r="F1974" s="35" t="n"/>
      <c r="G1974" s="35" t="n"/>
      <c r="H1974" s="32" t="n"/>
      <c r="I1974" s="32" t="n"/>
      <c r="J1974" s="32" t="n"/>
      <c r="K1974" s="36">
        <f>IF(E1974&lt;&gt;"",E1974,IF(AND(F1974&lt;&gt;"",G1974&lt;&gt;""),MOD(G1974-F1974,1)*24,""))</f>
        <v/>
      </c>
      <c r="L1974" s="37">
        <f>IF(A1974="","",CHOOSE(WEEKDAY(A1974,2),"Montag","Dienstag","Mittwoch","Donnerstag","Freitag","Samstag","Sonntag"))</f>
        <v/>
      </c>
      <c r="M1974" s="37">
        <f>IF(A1974="","",_xlfn.ISOWEEKNUM(A1974))</f>
        <v/>
      </c>
      <c r="N1974" s="38">
        <f>IF(A1974="","",DATE(YEAR(A1974),MONTH(A1974),1))</f>
        <v/>
      </c>
    </row>
    <row r="1975">
      <c r="A1975" s="31" t="n"/>
      <c r="B1975" s="32" t="n"/>
      <c r="C1975" s="32" t="n"/>
      <c r="D1975" s="33" t="n"/>
      <c r="E1975" s="34" t="n"/>
      <c r="F1975" s="35" t="n"/>
      <c r="G1975" s="35" t="n"/>
      <c r="H1975" s="32" t="n"/>
      <c r="I1975" s="32" t="n"/>
      <c r="J1975" s="32" t="n"/>
      <c r="K1975" s="36">
        <f>IF(E1975&lt;&gt;"",E1975,IF(AND(F1975&lt;&gt;"",G1975&lt;&gt;""),MOD(G1975-F1975,1)*24,""))</f>
        <v/>
      </c>
      <c r="L1975" s="37">
        <f>IF(A1975="","",CHOOSE(WEEKDAY(A1975,2),"Montag","Dienstag","Mittwoch","Donnerstag","Freitag","Samstag","Sonntag"))</f>
        <v/>
      </c>
      <c r="M1975" s="37">
        <f>IF(A1975="","",_xlfn.ISOWEEKNUM(A1975))</f>
        <v/>
      </c>
      <c r="N1975" s="38">
        <f>IF(A1975="","",DATE(YEAR(A1975),MONTH(A1975),1))</f>
        <v/>
      </c>
    </row>
    <row r="1976">
      <c r="A1976" s="31" t="n"/>
      <c r="B1976" s="32" t="n"/>
      <c r="C1976" s="32" t="n"/>
      <c r="D1976" s="33" t="n"/>
      <c r="E1976" s="34" t="n"/>
      <c r="F1976" s="35" t="n"/>
      <c r="G1976" s="35" t="n"/>
      <c r="H1976" s="32" t="n"/>
      <c r="I1976" s="32" t="n"/>
      <c r="J1976" s="32" t="n"/>
      <c r="K1976" s="36">
        <f>IF(E1976&lt;&gt;"",E1976,IF(AND(F1976&lt;&gt;"",G1976&lt;&gt;""),MOD(G1976-F1976,1)*24,""))</f>
        <v/>
      </c>
      <c r="L1976" s="37">
        <f>IF(A1976="","",CHOOSE(WEEKDAY(A1976,2),"Montag","Dienstag","Mittwoch","Donnerstag","Freitag","Samstag","Sonntag"))</f>
        <v/>
      </c>
      <c r="M1976" s="37">
        <f>IF(A1976="","",_xlfn.ISOWEEKNUM(A1976))</f>
        <v/>
      </c>
      <c r="N1976" s="38">
        <f>IF(A1976="","",DATE(YEAR(A1976),MONTH(A1976),1))</f>
        <v/>
      </c>
    </row>
    <row r="1977">
      <c r="A1977" s="31" t="n"/>
      <c r="B1977" s="32" t="n"/>
      <c r="C1977" s="32" t="n"/>
      <c r="D1977" s="33" t="n"/>
      <c r="E1977" s="34" t="n"/>
      <c r="F1977" s="35" t="n"/>
      <c r="G1977" s="35" t="n"/>
      <c r="H1977" s="32" t="n"/>
      <c r="I1977" s="32" t="n"/>
      <c r="J1977" s="32" t="n"/>
      <c r="K1977" s="36">
        <f>IF(E1977&lt;&gt;"",E1977,IF(AND(F1977&lt;&gt;"",G1977&lt;&gt;""),MOD(G1977-F1977,1)*24,""))</f>
        <v/>
      </c>
      <c r="L1977" s="37">
        <f>IF(A1977="","",CHOOSE(WEEKDAY(A1977,2),"Montag","Dienstag","Mittwoch","Donnerstag","Freitag","Samstag","Sonntag"))</f>
        <v/>
      </c>
      <c r="M1977" s="37">
        <f>IF(A1977="","",_xlfn.ISOWEEKNUM(A1977))</f>
        <v/>
      </c>
      <c r="N1977" s="38">
        <f>IF(A1977="","",DATE(YEAR(A1977),MONTH(A1977),1))</f>
        <v/>
      </c>
    </row>
    <row r="1978">
      <c r="A1978" s="31" t="n"/>
      <c r="B1978" s="32" t="n"/>
      <c r="C1978" s="32" t="n"/>
      <c r="D1978" s="33" t="n"/>
      <c r="E1978" s="34" t="n"/>
      <c r="F1978" s="35" t="n"/>
      <c r="G1978" s="35" t="n"/>
      <c r="H1978" s="32" t="n"/>
      <c r="I1978" s="32" t="n"/>
      <c r="J1978" s="32" t="n"/>
      <c r="K1978" s="36">
        <f>IF(E1978&lt;&gt;"",E1978,IF(AND(F1978&lt;&gt;"",G1978&lt;&gt;""),MOD(G1978-F1978,1)*24,""))</f>
        <v/>
      </c>
      <c r="L1978" s="37">
        <f>IF(A1978="","",CHOOSE(WEEKDAY(A1978,2),"Montag","Dienstag","Mittwoch","Donnerstag","Freitag","Samstag","Sonntag"))</f>
        <v/>
      </c>
      <c r="M1978" s="37">
        <f>IF(A1978="","",_xlfn.ISOWEEKNUM(A1978))</f>
        <v/>
      </c>
      <c r="N1978" s="38">
        <f>IF(A1978="","",DATE(YEAR(A1978),MONTH(A1978),1))</f>
        <v/>
      </c>
    </row>
    <row r="1979">
      <c r="A1979" s="31" t="n"/>
      <c r="B1979" s="32" t="n"/>
      <c r="C1979" s="32" t="n"/>
      <c r="D1979" s="33" t="n"/>
      <c r="E1979" s="34" t="n"/>
      <c r="F1979" s="35" t="n"/>
      <c r="G1979" s="35" t="n"/>
      <c r="H1979" s="32" t="n"/>
      <c r="I1979" s="32" t="n"/>
      <c r="J1979" s="32" t="n"/>
      <c r="K1979" s="36">
        <f>IF(E1979&lt;&gt;"",E1979,IF(AND(F1979&lt;&gt;"",G1979&lt;&gt;""),MOD(G1979-F1979,1)*24,""))</f>
        <v/>
      </c>
      <c r="L1979" s="37">
        <f>IF(A1979="","",CHOOSE(WEEKDAY(A1979,2),"Montag","Dienstag","Mittwoch","Donnerstag","Freitag","Samstag","Sonntag"))</f>
        <v/>
      </c>
      <c r="M1979" s="37">
        <f>IF(A1979="","",_xlfn.ISOWEEKNUM(A1979))</f>
        <v/>
      </c>
      <c r="N1979" s="38">
        <f>IF(A1979="","",DATE(YEAR(A1979),MONTH(A1979),1))</f>
        <v/>
      </c>
    </row>
    <row r="1980">
      <c r="A1980" s="31" t="n"/>
      <c r="B1980" s="32" t="n"/>
      <c r="C1980" s="32" t="n"/>
      <c r="D1980" s="33" t="n"/>
      <c r="E1980" s="34" t="n"/>
      <c r="F1980" s="35" t="n"/>
      <c r="G1980" s="35" t="n"/>
      <c r="H1980" s="32" t="n"/>
      <c r="I1980" s="32" t="n"/>
      <c r="J1980" s="32" t="n"/>
      <c r="K1980" s="36">
        <f>IF(E1980&lt;&gt;"",E1980,IF(AND(F1980&lt;&gt;"",G1980&lt;&gt;""),MOD(G1980-F1980,1)*24,""))</f>
        <v/>
      </c>
      <c r="L1980" s="37">
        <f>IF(A1980="","",CHOOSE(WEEKDAY(A1980,2),"Montag","Dienstag","Mittwoch","Donnerstag","Freitag","Samstag","Sonntag"))</f>
        <v/>
      </c>
      <c r="M1980" s="37">
        <f>IF(A1980="","",_xlfn.ISOWEEKNUM(A1980))</f>
        <v/>
      </c>
      <c r="N1980" s="38">
        <f>IF(A1980="","",DATE(YEAR(A1980),MONTH(A1980),1))</f>
        <v/>
      </c>
    </row>
    <row r="1981">
      <c r="A1981" s="31" t="n"/>
      <c r="B1981" s="32" t="n"/>
      <c r="C1981" s="32" t="n"/>
      <c r="D1981" s="33" t="n"/>
      <c r="E1981" s="34" t="n"/>
      <c r="F1981" s="35" t="n"/>
      <c r="G1981" s="35" t="n"/>
      <c r="H1981" s="32" t="n"/>
      <c r="I1981" s="32" t="n"/>
      <c r="J1981" s="32" t="n"/>
      <c r="K1981" s="36">
        <f>IF(E1981&lt;&gt;"",E1981,IF(AND(F1981&lt;&gt;"",G1981&lt;&gt;""),MOD(G1981-F1981,1)*24,""))</f>
        <v/>
      </c>
      <c r="L1981" s="37">
        <f>IF(A1981="","",CHOOSE(WEEKDAY(A1981,2),"Montag","Dienstag","Mittwoch","Donnerstag","Freitag","Samstag","Sonntag"))</f>
        <v/>
      </c>
      <c r="M1981" s="37">
        <f>IF(A1981="","",_xlfn.ISOWEEKNUM(A1981))</f>
        <v/>
      </c>
      <c r="N1981" s="38">
        <f>IF(A1981="","",DATE(YEAR(A1981),MONTH(A1981),1))</f>
        <v/>
      </c>
    </row>
    <row r="1982">
      <c r="A1982" s="31" t="n"/>
      <c r="B1982" s="32" t="n"/>
      <c r="C1982" s="32" t="n"/>
      <c r="D1982" s="33" t="n"/>
      <c r="E1982" s="34" t="n"/>
      <c r="F1982" s="35" t="n"/>
      <c r="G1982" s="35" t="n"/>
      <c r="H1982" s="32" t="n"/>
      <c r="I1982" s="32" t="n"/>
      <c r="J1982" s="32" t="n"/>
      <c r="K1982" s="36">
        <f>IF(E1982&lt;&gt;"",E1982,IF(AND(F1982&lt;&gt;"",G1982&lt;&gt;""),MOD(G1982-F1982,1)*24,""))</f>
        <v/>
      </c>
      <c r="L1982" s="37">
        <f>IF(A1982="","",CHOOSE(WEEKDAY(A1982,2),"Montag","Dienstag","Mittwoch","Donnerstag","Freitag","Samstag","Sonntag"))</f>
        <v/>
      </c>
      <c r="M1982" s="37">
        <f>IF(A1982="","",_xlfn.ISOWEEKNUM(A1982))</f>
        <v/>
      </c>
      <c r="N1982" s="38">
        <f>IF(A1982="","",DATE(YEAR(A1982),MONTH(A1982),1))</f>
        <v/>
      </c>
    </row>
    <row r="1983">
      <c r="A1983" s="31" t="n"/>
      <c r="B1983" s="32" t="n"/>
      <c r="C1983" s="32" t="n"/>
      <c r="D1983" s="33" t="n"/>
      <c r="E1983" s="34" t="n"/>
      <c r="F1983" s="35" t="n"/>
      <c r="G1983" s="35" t="n"/>
      <c r="H1983" s="32" t="n"/>
      <c r="I1983" s="32" t="n"/>
      <c r="J1983" s="32" t="n"/>
      <c r="K1983" s="36">
        <f>IF(E1983&lt;&gt;"",E1983,IF(AND(F1983&lt;&gt;"",G1983&lt;&gt;""),MOD(G1983-F1983,1)*24,""))</f>
        <v/>
      </c>
      <c r="L1983" s="37">
        <f>IF(A1983="","",CHOOSE(WEEKDAY(A1983,2),"Montag","Dienstag","Mittwoch","Donnerstag","Freitag","Samstag","Sonntag"))</f>
        <v/>
      </c>
      <c r="M1983" s="37">
        <f>IF(A1983="","",_xlfn.ISOWEEKNUM(A1983))</f>
        <v/>
      </c>
      <c r="N1983" s="38">
        <f>IF(A1983="","",DATE(YEAR(A1983),MONTH(A1983),1))</f>
        <v/>
      </c>
    </row>
    <row r="1984">
      <c r="A1984" s="31" t="n"/>
      <c r="B1984" s="32" t="n"/>
      <c r="C1984" s="32" t="n"/>
      <c r="D1984" s="33" t="n"/>
      <c r="E1984" s="34" t="n"/>
      <c r="F1984" s="35" t="n"/>
      <c r="G1984" s="35" t="n"/>
      <c r="H1984" s="32" t="n"/>
      <c r="I1984" s="32" t="n"/>
      <c r="J1984" s="32" t="n"/>
      <c r="K1984" s="36">
        <f>IF(E1984&lt;&gt;"",E1984,IF(AND(F1984&lt;&gt;"",G1984&lt;&gt;""),MOD(G1984-F1984,1)*24,""))</f>
        <v/>
      </c>
      <c r="L1984" s="37">
        <f>IF(A1984="","",CHOOSE(WEEKDAY(A1984,2),"Montag","Dienstag","Mittwoch","Donnerstag","Freitag","Samstag","Sonntag"))</f>
        <v/>
      </c>
      <c r="M1984" s="37">
        <f>IF(A1984="","",_xlfn.ISOWEEKNUM(A1984))</f>
        <v/>
      </c>
      <c r="N1984" s="38">
        <f>IF(A1984="","",DATE(YEAR(A1984),MONTH(A1984),1))</f>
        <v/>
      </c>
    </row>
    <row r="1985">
      <c r="A1985" s="31" t="n"/>
      <c r="B1985" s="32" t="n"/>
      <c r="C1985" s="32" t="n"/>
      <c r="D1985" s="33" t="n"/>
      <c r="E1985" s="34" t="n"/>
      <c r="F1985" s="35" t="n"/>
      <c r="G1985" s="35" t="n"/>
      <c r="H1985" s="32" t="n"/>
      <c r="I1985" s="32" t="n"/>
      <c r="J1985" s="32" t="n"/>
      <c r="K1985" s="36">
        <f>IF(E1985&lt;&gt;"",E1985,IF(AND(F1985&lt;&gt;"",G1985&lt;&gt;""),MOD(G1985-F1985,1)*24,""))</f>
        <v/>
      </c>
      <c r="L1985" s="37">
        <f>IF(A1985="","",CHOOSE(WEEKDAY(A1985,2),"Montag","Dienstag","Mittwoch","Donnerstag","Freitag","Samstag","Sonntag"))</f>
        <v/>
      </c>
      <c r="M1985" s="37">
        <f>IF(A1985="","",_xlfn.ISOWEEKNUM(A1985))</f>
        <v/>
      </c>
      <c r="N1985" s="38">
        <f>IF(A1985="","",DATE(YEAR(A1985),MONTH(A1985),1))</f>
        <v/>
      </c>
    </row>
    <row r="1986">
      <c r="A1986" s="31" t="n"/>
      <c r="B1986" s="32" t="n"/>
      <c r="C1986" s="32" t="n"/>
      <c r="D1986" s="33" t="n"/>
      <c r="E1986" s="34" t="n"/>
      <c r="F1986" s="35" t="n"/>
      <c r="G1986" s="35" t="n"/>
      <c r="H1986" s="32" t="n"/>
      <c r="I1986" s="32" t="n"/>
      <c r="J1986" s="32" t="n"/>
      <c r="K1986" s="36">
        <f>IF(E1986&lt;&gt;"",E1986,IF(AND(F1986&lt;&gt;"",G1986&lt;&gt;""),MOD(G1986-F1986,1)*24,""))</f>
        <v/>
      </c>
      <c r="L1986" s="37">
        <f>IF(A1986="","",CHOOSE(WEEKDAY(A1986,2),"Montag","Dienstag","Mittwoch","Donnerstag","Freitag","Samstag","Sonntag"))</f>
        <v/>
      </c>
      <c r="M1986" s="37">
        <f>IF(A1986="","",_xlfn.ISOWEEKNUM(A1986))</f>
        <v/>
      </c>
      <c r="N1986" s="38">
        <f>IF(A1986="","",DATE(YEAR(A1986),MONTH(A1986),1))</f>
        <v/>
      </c>
    </row>
    <row r="1987">
      <c r="A1987" s="31" t="n"/>
      <c r="B1987" s="32" t="n"/>
      <c r="C1987" s="32" t="n"/>
      <c r="D1987" s="33" t="n"/>
      <c r="E1987" s="34" t="n"/>
      <c r="F1987" s="35" t="n"/>
      <c r="G1987" s="35" t="n"/>
      <c r="H1987" s="32" t="n"/>
      <c r="I1987" s="32" t="n"/>
      <c r="J1987" s="32" t="n"/>
      <c r="K1987" s="36">
        <f>IF(E1987&lt;&gt;"",E1987,IF(AND(F1987&lt;&gt;"",G1987&lt;&gt;""),MOD(G1987-F1987,1)*24,""))</f>
        <v/>
      </c>
      <c r="L1987" s="37">
        <f>IF(A1987="","",CHOOSE(WEEKDAY(A1987,2),"Montag","Dienstag","Mittwoch","Donnerstag","Freitag","Samstag","Sonntag"))</f>
        <v/>
      </c>
      <c r="M1987" s="37">
        <f>IF(A1987="","",_xlfn.ISOWEEKNUM(A1987))</f>
        <v/>
      </c>
      <c r="N1987" s="38">
        <f>IF(A1987="","",DATE(YEAR(A1987),MONTH(A1987),1))</f>
        <v/>
      </c>
    </row>
    <row r="1988">
      <c r="A1988" s="31" t="n"/>
      <c r="B1988" s="32" t="n"/>
      <c r="C1988" s="32" t="n"/>
      <c r="D1988" s="33" t="n"/>
      <c r="E1988" s="34" t="n"/>
      <c r="F1988" s="35" t="n"/>
      <c r="G1988" s="35" t="n"/>
      <c r="H1988" s="32" t="n"/>
      <c r="I1988" s="32" t="n"/>
      <c r="J1988" s="32" t="n"/>
      <c r="K1988" s="36">
        <f>IF(E1988&lt;&gt;"",E1988,IF(AND(F1988&lt;&gt;"",G1988&lt;&gt;""),MOD(G1988-F1988,1)*24,""))</f>
        <v/>
      </c>
      <c r="L1988" s="37">
        <f>IF(A1988="","",CHOOSE(WEEKDAY(A1988,2),"Montag","Dienstag","Mittwoch","Donnerstag","Freitag","Samstag","Sonntag"))</f>
        <v/>
      </c>
      <c r="M1988" s="37">
        <f>IF(A1988="","",_xlfn.ISOWEEKNUM(A1988))</f>
        <v/>
      </c>
      <c r="N1988" s="38">
        <f>IF(A1988="","",DATE(YEAR(A1988),MONTH(A1988),1))</f>
        <v/>
      </c>
    </row>
    <row r="1989">
      <c r="A1989" s="31" t="n"/>
      <c r="B1989" s="32" t="n"/>
      <c r="C1989" s="32" t="n"/>
      <c r="D1989" s="33" t="n"/>
      <c r="E1989" s="34" t="n"/>
      <c r="F1989" s="35" t="n"/>
      <c r="G1989" s="35" t="n"/>
      <c r="H1989" s="32" t="n"/>
      <c r="I1989" s="32" t="n"/>
      <c r="J1989" s="32" t="n"/>
      <c r="K1989" s="36">
        <f>IF(E1989&lt;&gt;"",E1989,IF(AND(F1989&lt;&gt;"",G1989&lt;&gt;""),MOD(G1989-F1989,1)*24,""))</f>
        <v/>
      </c>
      <c r="L1989" s="37">
        <f>IF(A1989="","",CHOOSE(WEEKDAY(A1989,2),"Montag","Dienstag","Mittwoch","Donnerstag","Freitag","Samstag","Sonntag"))</f>
        <v/>
      </c>
      <c r="M1989" s="37">
        <f>IF(A1989="","",_xlfn.ISOWEEKNUM(A1989))</f>
        <v/>
      </c>
      <c r="N1989" s="38">
        <f>IF(A1989="","",DATE(YEAR(A1989),MONTH(A1989),1))</f>
        <v/>
      </c>
    </row>
    <row r="1990">
      <c r="A1990" s="31" t="n"/>
      <c r="B1990" s="32" t="n"/>
      <c r="C1990" s="32" t="n"/>
      <c r="D1990" s="33" t="n"/>
      <c r="E1990" s="34" t="n"/>
      <c r="F1990" s="35" t="n"/>
      <c r="G1990" s="35" t="n"/>
      <c r="H1990" s="32" t="n"/>
      <c r="I1990" s="32" t="n"/>
      <c r="J1990" s="32" t="n"/>
      <c r="K1990" s="36">
        <f>IF(E1990&lt;&gt;"",E1990,IF(AND(F1990&lt;&gt;"",G1990&lt;&gt;""),MOD(G1990-F1990,1)*24,""))</f>
        <v/>
      </c>
      <c r="L1990" s="37">
        <f>IF(A1990="","",CHOOSE(WEEKDAY(A1990,2),"Montag","Dienstag","Mittwoch","Donnerstag","Freitag","Samstag","Sonntag"))</f>
        <v/>
      </c>
      <c r="M1990" s="37">
        <f>IF(A1990="","",_xlfn.ISOWEEKNUM(A1990))</f>
        <v/>
      </c>
      <c r="N1990" s="38">
        <f>IF(A1990="","",DATE(YEAR(A1990),MONTH(A1990),1))</f>
        <v/>
      </c>
    </row>
    <row r="1991">
      <c r="A1991" s="31" t="n"/>
      <c r="B1991" s="32" t="n"/>
      <c r="C1991" s="32" t="n"/>
      <c r="D1991" s="33" t="n"/>
      <c r="E1991" s="34" t="n"/>
      <c r="F1991" s="35" t="n"/>
      <c r="G1991" s="35" t="n"/>
      <c r="H1991" s="32" t="n"/>
      <c r="I1991" s="32" t="n"/>
      <c r="J1991" s="32" t="n"/>
      <c r="K1991" s="36">
        <f>IF(E1991&lt;&gt;"",E1991,IF(AND(F1991&lt;&gt;"",G1991&lt;&gt;""),MOD(G1991-F1991,1)*24,""))</f>
        <v/>
      </c>
      <c r="L1991" s="37">
        <f>IF(A1991="","",CHOOSE(WEEKDAY(A1991,2),"Montag","Dienstag","Mittwoch","Donnerstag","Freitag","Samstag","Sonntag"))</f>
        <v/>
      </c>
      <c r="M1991" s="37">
        <f>IF(A1991="","",_xlfn.ISOWEEKNUM(A1991))</f>
        <v/>
      </c>
      <c r="N1991" s="38">
        <f>IF(A1991="","",DATE(YEAR(A1991),MONTH(A1991),1))</f>
        <v/>
      </c>
    </row>
    <row r="1992">
      <c r="A1992" s="31" t="n"/>
      <c r="B1992" s="32" t="n"/>
      <c r="C1992" s="32" t="n"/>
      <c r="D1992" s="33" t="n"/>
      <c r="E1992" s="34" t="n"/>
      <c r="F1992" s="35" t="n"/>
      <c r="G1992" s="35" t="n"/>
      <c r="H1992" s="32" t="n"/>
      <c r="I1992" s="32" t="n"/>
      <c r="J1992" s="32" t="n"/>
      <c r="K1992" s="36">
        <f>IF(E1992&lt;&gt;"",E1992,IF(AND(F1992&lt;&gt;"",G1992&lt;&gt;""),MOD(G1992-F1992,1)*24,""))</f>
        <v/>
      </c>
      <c r="L1992" s="37">
        <f>IF(A1992="","",CHOOSE(WEEKDAY(A1992,2),"Montag","Dienstag","Mittwoch","Donnerstag","Freitag","Samstag","Sonntag"))</f>
        <v/>
      </c>
      <c r="M1992" s="37">
        <f>IF(A1992="","",_xlfn.ISOWEEKNUM(A1992))</f>
        <v/>
      </c>
      <c r="N1992" s="38">
        <f>IF(A1992="","",DATE(YEAR(A1992),MONTH(A1992),1))</f>
        <v/>
      </c>
    </row>
    <row r="1993">
      <c r="A1993" s="31" t="n"/>
      <c r="B1993" s="32" t="n"/>
      <c r="C1993" s="32" t="n"/>
      <c r="D1993" s="33" t="n"/>
      <c r="E1993" s="34" t="n"/>
      <c r="F1993" s="35" t="n"/>
      <c r="G1993" s="35" t="n"/>
      <c r="H1993" s="32" t="n"/>
      <c r="I1993" s="32" t="n"/>
      <c r="J1993" s="32" t="n"/>
      <c r="K1993" s="36">
        <f>IF(E1993&lt;&gt;"",E1993,IF(AND(F1993&lt;&gt;"",G1993&lt;&gt;""),MOD(G1993-F1993,1)*24,""))</f>
        <v/>
      </c>
      <c r="L1993" s="37">
        <f>IF(A1993="","",CHOOSE(WEEKDAY(A1993,2),"Montag","Dienstag","Mittwoch","Donnerstag","Freitag","Samstag","Sonntag"))</f>
        <v/>
      </c>
      <c r="M1993" s="37">
        <f>IF(A1993="","",_xlfn.ISOWEEKNUM(A1993))</f>
        <v/>
      </c>
      <c r="N1993" s="38">
        <f>IF(A1993="","",DATE(YEAR(A1993),MONTH(A1993),1))</f>
        <v/>
      </c>
    </row>
    <row r="1994">
      <c r="A1994" s="31" t="n"/>
      <c r="B1994" s="32" t="n"/>
      <c r="C1994" s="32" t="n"/>
      <c r="D1994" s="33" t="n"/>
      <c r="E1994" s="34" t="n"/>
      <c r="F1994" s="35" t="n"/>
      <c r="G1994" s="35" t="n"/>
      <c r="H1994" s="32" t="n"/>
      <c r="I1994" s="32" t="n"/>
      <c r="J1994" s="32" t="n"/>
      <c r="K1994" s="36">
        <f>IF(E1994&lt;&gt;"",E1994,IF(AND(F1994&lt;&gt;"",G1994&lt;&gt;""),MOD(G1994-F1994,1)*24,""))</f>
        <v/>
      </c>
      <c r="L1994" s="37">
        <f>IF(A1994="","",CHOOSE(WEEKDAY(A1994,2),"Montag","Dienstag","Mittwoch","Donnerstag","Freitag","Samstag","Sonntag"))</f>
        <v/>
      </c>
      <c r="M1994" s="37">
        <f>IF(A1994="","",_xlfn.ISOWEEKNUM(A1994))</f>
        <v/>
      </c>
      <c r="N1994" s="38">
        <f>IF(A1994="","",DATE(YEAR(A1994),MONTH(A1994),1))</f>
        <v/>
      </c>
    </row>
    <row r="1995">
      <c r="A1995" s="31" t="n"/>
      <c r="B1995" s="32" t="n"/>
      <c r="C1995" s="32" t="n"/>
      <c r="D1995" s="33" t="n"/>
      <c r="E1995" s="34" t="n"/>
      <c r="F1995" s="35" t="n"/>
      <c r="G1995" s="35" t="n"/>
      <c r="H1995" s="32" t="n"/>
      <c r="I1995" s="32" t="n"/>
      <c r="J1995" s="32" t="n"/>
      <c r="K1995" s="36">
        <f>IF(E1995&lt;&gt;"",E1995,IF(AND(F1995&lt;&gt;"",G1995&lt;&gt;""),MOD(G1995-F1995,1)*24,""))</f>
        <v/>
      </c>
      <c r="L1995" s="37">
        <f>IF(A1995="","",CHOOSE(WEEKDAY(A1995,2),"Montag","Dienstag","Mittwoch","Donnerstag","Freitag","Samstag","Sonntag"))</f>
        <v/>
      </c>
      <c r="M1995" s="37">
        <f>IF(A1995="","",_xlfn.ISOWEEKNUM(A1995))</f>
        <v/>
      </c>
      <c r="N1995" s="38">
        <f>IF(A1995="","",DATE(YEAR(A1995),MONTH(A1995),1))</f>
        <v/>
      </c>
    </row>
    <row r="1996">
      <c r="A1996" s="31" t="n"/>
      <c r="B1996" s="32" t="n"/>
      <c r="C1996" s="32" t="n"/>
      <c r="D1996" s="33" t="n"/>
      <c r="E1996" s="34" t="n"/>
      <c r="F1996" s="35" t="n"/>
      <c r="G1996" s="35" t="n"/>
      <c r="H1996" s="32" t="n"/>
      <c r="I1996" s="32" t="n"/>
      <c r="J1996" s="32" t="n"/>
      <c r="K1996" s="36">
        <f>IF(E1996&lt;&gt;"",E1996,IF(AND(F1996&lt;&gt;"",G1996&lt;&gt;""),MOD(G1996-F1996,1)*24,""))</f>
        <v/>
      </c>
      <c r="L1996" s="37">
        <f>IF(A1996="","",CHOOSE(WEEKDAY(A1996,2),"Montag","Dienstag","Mittwoch","Donnerstag","Freitag","Samstag","Sonntag"))</f>
        <v/>
      </c>
      <c r="M1996" s="37">
        <f>IF(A1996="","",_xlfn.ISOWEEKNUM(A1996))</f>
        <v/>
      </c>
      <c r="N1996" s="38">
        <f>IF(A1996="","",DATE(YEAR(A1996),MONTH(A1996),1))</f>
        <v/>
      </c>
    </row>
    <row r="1997">
      <c r="A1997" s="31" t="n"/>
      <c r="B1997" s="32" t="n"/>
      <c r="C1997" s="32" t="n"/>
      <c r="D1997" s="33" t="n"/>
      <c r="E1997" s="34" t="n"/>
      <c r="F1997" s="35" t="n"/>
      <c r="G1997" s="35" t="n"/>
      <c r="H1997" s="32" t="n"/>
      <c r="I1997" s="32" t="n"/>
      <c r="J1997" s="32" t="n"/>
      <c r="K1997" s="36">
        <f>IF(E1997&lt;&gt;"",E1997,IF(AND(F1997&lt;&gt;"",G1997&lt;&gt;""),MOD(G1997-F1997,1)*24,""))</f>
        <v/>
      </c>
      <c r="L1997" s="37">
        <f>IF(A1997="","",CHOOSE(WEEKDAY(A1997,2),"Montag","Dienstag","Mittwoch","Donnerstag","Freitag","Samstag","Sonntag"))</f>
        <v/>
      </c>
      <c r="M1997" s="37">
        <f>IF(A1997="","",_xlfn.ISOWEEKNUM(A1997))</f>
        <v/>
      </c>
      <c r="N1997" s="38">
        <f>IF(A1997="","",DATE(YEAR(A1997),MONTH(A1997),1))</f>
        <v/>
      </c>
    </row>
    <row r="1998">
      <c r="A1998" s="31" t="n"/>
      <c r="B1998" s="32" t="n"/>
      <c r="C1998" s="32" t="n"/>
      <c r="D1998" s="33" t="n"/>
      <c r="E1998" s="34" t="n"/>
      <c r="F1998" s="35" t="n"/>
      <c r="G1998" s="35" t="n"/>
      <c r="H1998" s="32" t="n"/>
      <c r="I1998" s="32" t="n"/>
      <c r="J1998" s="32" t="n"/>
      <c r="K1998" s="36">
        <f>IF(E1998&lt;&gt;"",E1998,IF(AND(F1998&lt;&gt;"",G1998&lt;&gt;""),MOD(G1998-F1998,1)*24,""))</f>
        <v/>
      </c>
      <c r="L1998" s="37">
        <f>IF(A1998="","",CHOOSE(WEEKDAY(A1998,2),"Montag","Dienstag","Mittwoch","Donnerstag","Freitag","Samstag","Sonntag"))</f>
        <v/>
      </c>
      <c r="M1998" s="37">
        <f>IF(A1998="","",_xlfn.ISOWEEKNUM(A1998))</f>
        <v/>
      </c>
      <c r="N1998" s="38">
        <f>IF(A1998="","",DATE(YEAR(A1998),MONTH(A1998),1))</f>
        <v/>
      </c>
    </row>
    <row r="1999">
      <c r="A1999" s="31" t="n"/>
      <c r="B1999" s="32" t="n"/>
      <c r="C1999" s="32" t="n"/>
      <c r="D1999" s="33" t="n"/>
      <c r="E1999" s="34" t="n"/>
      <c r="F1999" s="35" t="n"/>
      <c r="G1999" s="35" t="n"/>
      <c r="H1999" s="32" t="n"/>
      <c r="I1999" s="32" t="n"/>
      <c r="J1999" s="32" t="n"/>
      <c r="K1999" s="36">
        <f>IF(E1999&lt;&gt;"",E1999,IF(AND(F1999&lt;&gt;"",G1999&lt;&gt;""),MOD(G1999-F1999,1)*24,""))</f>
        <v/>
      </c>
      <c r="L1999" s="37">
        <f>IF(A1999="","",CHOOSE(WEEKDAY(A1999,2),"Montag","Dienstag","Mittwoch","Donnerstag","Freitag","Samstag","Sonntag"))</f>
        <v/>
      </c>
      <c r="M1999" s="37">
        <f>IF(A1999="","",_xlfn.ISOWEEKNUM(A1999))</f>
        <v/>
      </c>
      <c r="N1999" s="38">
        <f>IF(A1999="","",DATE(YEAR(A1999),MONTH(A1999),1))</f>
        <v/>
      </c>
    </row>
    <row r="2000">
      <c r="A2000" s="31" t="n"/>
      <c r="B2000" s="32" t="n"/>
      <c r="C2000" s="32" t="n"/>
      <c r="D2000" s="33" t="n"/>
      <c r="E2000" s="34" t="n"/>
      <c r="F2000" s="35" t="n"/>
      <c r="G2000" s="35" t="n"/>
      <c r="H2000" s="32" t="n"/>
      <c r="I2000" s="32" t="n"/>
      <c r="J2000" s="32" t="n"/>
      <c r="K2000" s="36">
        <f>IF(E2000&lt;&gt;"",E2000,IF(AND(F2000&lt;&gt;"",G2000&lt;&gt;""),MOD(G2000-F2000,1)*24,""))</f>
        <v/>
      </c>
      <c r="L2000" s="37">
        <f>IF(A2000="","",CHOOSE(WEEKDAY(A2000,2),"Montag","Dienstag","Mittwoch","Donnerstag","Freitag","Samstag","Sonntag"))</f>
        <v/>
      </c>
      <c r="M2000" s="37">
        <f>IF(A2000="","",_xlfn.ISOWEEKNUM(A2000))</f>
        <v/>
      </c>
      <c r="N2000" s="38">
        <f>IF(A2000="","",DATE(YEAR(A2000),MONTH(A2000),1))</f>
        <v/>
      </c>
    </row>
    <row r="2001">
      <c r="A2001" s="31" t="n"/>
      <c r="B2001" s="32" t="n"/>
      <c r="C2001" s="32" t="n"/>
      <c r="D2001" s="33" t="n"/>
      <c r="E2001" s="34" t="n"/>
      <c r="F2001" s="35" t="n"/>
      <c r="G2001" s="35" t="n"/>
      <c r="H2001" s="32" t="n"/>
      <c r="I2001" s="32" t="n"/>
      <c r="J2001" s="32" t="n"/>
      <c r="K2001" s="36">
        <f>IF(E2001&lt;&gt;"",E2001,IF(AND(F2001&lt;&gt;"",G2001&lt;&gt;""),MOD(G2001-F2001,1)*24,""))</f>
        <v/>
      </c>
      <c r="L2001" s="37">
        <f>IF(A2001="","",CHOOSE(WEEKDAY(A2001,2),"Montag","Dienstag","Mittwoch","Donnerstag","Freitag","Samstag","Sonntag"))</f>
        <v/>
      </c>
      <c r="M2001" s="37">
        <f>IF(A2001="","",_xlfn.ISOWEEKNUM(A2001))</f>
        <v/>
      </c>
      <c r="N2001" s="38">
        <f>IF(A2001="","",DATE(YEAR(A2001),MONTH(A2001),1))</f>
        <v/>
      </c>
    </row>
    <row r="2002">
      <c r="A2002" s="31" t="n"/>
      <c r="B2002" s="32" t="n"/>
      <c r="C2002" s="32" t="n"/>
      <c r="D2002" s="33" t="n"/>
      <c r="E2002" s="34" t="n"/>
      <c r="F2002" s="35" t="n"/>
      <c r="G2002" s="35" t="n"/>
      <c r="H2002" s="32" t="n"/>
      <c r="I2002" s="32" t="n"/>
      <c r="J2002" s="32" t="n"/>
      <c r="K2002" s="36">
        <f>IF(E2002&lt;&gt;"",E2002,IF(AND(F2002&lt;&gt;"",G2002&lt;&gt;""),MOD(G2002-F2002,1)*24,""))</f>
        <v/>
      </c>
      <c r="L2002" s="37">
        <f>IF(A2002="","",CHOOSE(WEEKDAY(A2002,2),"Montag","Dienstag","Mittwoch","Donnerstag","Freitag","Samstag","Sonntag"))</f>
        <v/>
      </c>
      <c r="M2002" s="37">
        <f>IF(A2002="","",_xlfn.ISOWEEKNUM(A2002))</f>
        <v/>
      </c>
      <c r="N2002" s="38">
        <f>IF(A2002="","",DATE(YEAR(A2002),MONTH(A2002),1))</f>
        <v/>
      </c>
    </row>
    <row r="2003">
      <c r="A2003" s="31" t="n"/>
      <c r="B2003" s="32" t="n"/>
      <c r="C2003" s="32" t="n"/>
      <c r="D2003" s="33" t="n"/>
      <c r="E2003" s="34" t="n"/>
      <c r="F2003" s="35" t="n"/>
      <c r="G2003" s="35" t="n"/>
      <c r="H2003" s="32" t="n"/>
      <c r="I2003" s="32" t="n"/>
      <c r="J2003" s="32" t="n"/>
      <c r="K2003" s="36">
        <f>IF(E2003&lt;&gt;"",E2003,IF(AND(F2003&lt;&gt;"",G2003&lt;&gt;""),MOD(G2003-F2003,1)*24,""))</f>
        <v/>
      </c>
      <c r="L2003" s="37">
        <f>IF(A2003="","",CHOOSE(WEEKDAY(A2003,2),"Montag","Dienstag","Mittwoch","Donnerstag","Freitag","Samstag","Sonntag"))</f>
        <v/>
      </c>
      <c r="M2003" s="37">
        <f>IF(A2003="","",_xlfn.ISOWEEKNUM(A2003))</f>
        <v/>
      </c>
      <c r="N2003" s="38">
        <f>IF(A2003="","",DATE(YEAR(A2003),MONTH(A2003),1))</f>
        <v/>
      </c>
    </row>
    <row r="2004">
      <c r="A2004" s="31" t="n"/>
      <c r="B2004" s="32" t="n"/>
      <c r="C2004" s="32" t="n"/>
      <c r="D2004" s="33" t="n"/>
      <c r="E2004" s="34" t="n"/>
      <c r="F2004" s="35" t="n"/>
      <c r="G2004" s="35" t="n"/>
      <c r="H2004" s="32" t="n"/>
      <c r="I2004" s="32" t="n"/>
      <c r="J2004" s="32" t="n"/>
      <c r="K2004" s="36">
        <f>IF(E2004&lt;&gt;"",E2004,IF(AND(F2004&lt;&gt;"",G2004&lt;&gt;""),MOD(G2004-F2004,1)*24,""))</f>
        <v/>
      </c>
      <c r="L2004" s="37">
        <f>IF(A2004="","",CHOOSE(WEEKDAY(A2004,2),"Montag","Dienstag","Mittwoch","Donnerstag","Freitag","Samstag","Sonntag"))</f>
        <v/>
      </c>
      <c r="M2004" s="37">
        <f>IF(A2004="","",_xlfn.ISOWEEKNUM(A2004))</f>
        <v/>
      </c>
      <c r="N2004" s="38">
        <f>IF(A2004="","",DATE(YEAR(A2004),MONTH(A2004),1))</f>
        <v/>
      </c>
    </row>
  </sheetData>
  <autoFilter ref="A4:N2004"/>
  <conditionalFormatting sqref="A5:A2004">
    <cfRule type="expression" priority="1" dxfId="7">
      <formula>$A5=TODAY()</formula>
    </cfRule>
  </conditionalFormatting>
  <conditionalFormatting sqref="H5:H2004">
    <cfRule type="cellIs" priority="2" operator="equal" dxfId="8">
      <formula>"Erledigt"</formula>
    </cfRule>
    <cfRule type="cellIs" priority="3" operator="equal" dxfId="1">
      <formula>"Offen"</formula>
    </cfRule>
  </conditionalFormatting>
  <conditionalFormatting sqref="I5:I2004">
    <cfRule type="cellIs" priority="4" operator="equal" dxfId="1">
      <formula>"Hoch"</formula>
    </cfRule>
  </conditionalFormatting>
  <dataValidations count="6">
    <dataValidation sqref="B5:B2004" showDropDown="0" showInputMessage="0" showErrorMessage="0" allowBlank="1" type="list">
      <formula1>=ListeProjekte</formula1>
    </dataValidation>
    <dataValidation sqref="C5:C2004" showDropDown="0" showInputMessage="0" showErrorMessage="0" allowBlank="1" type="list">
      <formula1>=ListeKategorie</formula1>
    </dataValidation>
    <dataValidation sqref="H5:H2004" showDropDown="0" showInputMessage="0" showErrorMessage="0" allowBlank="1" type="list">
      <formula1>=ListeStatus</formula1>
    </dataValidation>
    <dataValidation sqref="I5:I2004" showDropDown="0" showInputMessage="0" showErrorMessage="0" allowBlank="1" type="list">
      <formula1>=ListePrio</formula1>
    </dataValidation>
    <dataValidation sqref="A5:A2004" showDropDown="0" showInputMessage="0" showErrorMessage="1" allowBlank="0" errorTitle="Datum" error="Bitte ein gültiges Datum eingeben (z. B. Strg + .)" type="date" operator="between">
      <formula1>DATE(2020,1,1)</formula1>
      <formula2>DATE(2040,12,31)</formula2>
    </dataValidation>
    <dataValidation sqref="E5:E2004" showDropDown="0" showInputMessage="0" showErrorMessage="1" allowBlank="0" errorTitle="Dauer" error="Dauer in Stunden zwischen 0 und 24, z. B. 1,5" type="decimal" operator="between">
      <formula1>0</formula1>
      <formula2>24</formula2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J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30" customWidth="1" min="4" max="4"/>
    <col width="3" customWidth="1" min="5" max="5"/>
    <col width="18" customWidth="1" min="6" max="6"/>
    <col width="3" customWidth="1" min="7" max="7"/>
    <col width="12" customWidth="1" min="8" max="8"/>
    <col width="3" customWidth="1" min="9" max="9"/>
    <col width="12" customWidth="1" min="10" max="10"/>
  </cols>
  <sheetData>
    <row r="1">
      <c r="A1" s="29" t="inlineStr">
        <is>
          <t>Projekte &amp; Auswahllisten</t>
        </is>
      </c>
    </row>
    <row r="2">
      <c r="A2" s="30" t="inlineStr">
        <is>
          <t>Hier eigene Projekte eintragen (gelbe Felder). Sie erscheinen sofort in der Auswahl auf 'Eingabe' und im Dashboard.</t>
        </is>
      </c>
    </row>
    <row r="4" ht="30" customHeight="1">
      <c r="A4" s="14" t="inlineStr">
        <is>
          <t>Projekt</t>
        </is>
      </c>
      <c r="B4" s="14" t="inlineStr">
        <is>
          <t>Budget
(Std.)</t>
        </is>
      </c>
      <c r="C4" s="14" t="inlineStr">
        <is>
          <t>Deadline</t>
        </is>
      </c>
      <c r="D4" s="14" t="inlineStr">
        <is>
          <t>Bemerkung</t>
        </is>
      </c>
      <c r="F4" s="14" t="inlineStr">
        <is>
          <t>Kategorie</t>
        </is>
      </c>
      <c r="H4" s="14" t="inlineStr">
        <is>
          <t>Status</t>
        </is>
      </c>
      <c r="J4" s="14" t="inlineStr">
        <is>
          <t>Priorität</t>
        </is>
      </c>
    </row>
    <row r="5">
      <c r="A5" s="32" t="inlineStr">
        <is>
          <t>Projekt Alpha</t>
        </is>
      </c>
      <c r="B5" s="39" t="n">
        <v>80</v>
      </c>
      <c r="C5" s="31" t="n">
        <v>46374</v>
      </c>
      <c r="D5" s="32" t="inlineStr">
        <is>
          <t>Beispiel</t>
        </is>
      </c>
      <c r="F5" s="32" t="inlineStr">
        <is>
          <t>Planung</t>
        </is>
      </c>
      <c r="H5" s="32" t="inlineStr">
        <is>
          <t>Offen</t>
        </is>
      </c>
      <c r="J5" s="32" t="inlineStr">
        <is>
          <t>Hoch</t>
        </is>
      </c>
    </row>
    <row r="6">
      <c r="A6" s="32" t="inlineStr">
        <is>
          <t>Kunde Müller</t>
        </is>
      </c>
      <c r="B6" s="39" t="n">
        <v>20</v>
      </c>
      <c r="C6" s="31" t="n">
        <v>46325</v>
      </c>
      <c r="D6" s="32" t="inlineStr">
        <is>
          <t>Beispiel</t>
        </is>
      </c>
      <c r="F6" s="32" t="inlineStr">
        <is>
          <t>Umsetzung</t>
        </is>
      </c>
      <c r="H6" s="32" t="inlineStr">
        <is>
          <t>In Arbeit</t>
        </is>
      </c>
      <c r="J6" s="32" t="inlineStr">
        <is>
          <t>Mittel</t>
        </is>
      </c>
    </row>
    <row r="7">
      <c r="A7" s="32" t="inlineStr">
        <is>
          <t>Verwaltung</t>
        </is>
      </c>
      <c r="B7" s="39" t="n"/>
      <c r="C7" s="31" t="n"/>
      <c r="D7" s="32" t="inlineStr">
        <is>
          <t>laufend</t>
        </is>
      </c>
      <c r="F7" s="32" t="inlineStr">
        <is>
          <t>Besprechung</t>
        </is>
      </c>
      <c r="H7" s="32" t="inlineStr">
        <is>
          <t>Erledigt</t>
        </is>
      </c>
      <c r="J7" s="32" t="inlineStr">
        <is>
          <t>Niedrig</t>
        </is>
      </c>
    </row>
    <row r="8">
      <c r="A8" s="32" t="inlineStr">
        <is>
          <t>Weiterbildung</t>
        </is>
      </c>
      <c r="B8" s="39" t="n">
        <v>24</v>
      </c>
      <c r="C8" s="31" t="n">
        <v>46387</v>
      </c>
      <c r="D8" s="32" t="inlineStr"/>
      <c r="F8" s="32" t="inlineStr">
        <is>
          <t>Telefon</t>
        </is>
      </c>
      <c r="H8" s="32" t="inlineStr">
        <is>
          <t>Wartet</t>
        </is>
      </c>
      <c r="J8" s="32" t="n"/>
    </row>
    <row r="9">
      <c r="A9" s="32" t="n"/>
      <c r="B9" s="39" t="n"/>
      <c r="C9" s="31" t="n"/>
      <c r="D9" s="32" t="n"/>
      <c r="F9" s="32" t="inlineStr">
        <is>
          <t>E-Mail / Orga</t>
        </is>
      </c>
      <c r="H9" s="32" t="n"/>
      <c r="J9" s="32" t="n"/>
    </row>
    <row r="10">
      <c r="A10" s="32" t="n"/>
      <c r="B10" s="39" t="n"/>
      <c r="C10" s="31" t="n"/>
      <c r="D10" s="32" t="n"/>
      <c r="F10" s="32" t="inlineStr">
        <is>
          <t>Recherche</t>
        </is>
      </c>
      <c r="H10" s="32" t="n"/>
      <c r="J10" s="32" t="n"/>
    </row>
    <row r="11">
      <c r="A11" s="32" t="n"/>
      <c r="B11" s="39" t="n"/>
      <c r="C11" s="31" t="n"/>
      <c r="D11" s="32" t="n"/>
      <c r="F11" s="32" t="inlineStr">
        <is>
          <t>Dokumentation</t>
        </is>
      </c>
      <c r="H11" s="32" t="n"/>
      <c r="J11" s="32" t="n"/>
    </row>
    <row r="12">
      <c r="A12" s="32" t="n"/>
      <c r="B12" s="39" t="n"/>
      <c r="C12" s="31" t="n"/>
      <c r="D12" s="32" t="n"/>
      <c r="F12" s="32" t="inlineStr">
        <is>
          <t>Fahrt</t>
        </is>
      </c>
      <c r="H12" s="32" t="n"/>
      <c r="J12" s="32" t="n"/>
    </row>
    <row r="13">
      <c r="A13" s="32" t="n"/>
      <c r="B13" s="39" t="n"/>
      <c r="C13" s="31" t="n"/>
      <c r="D13" s="32" t="n"/>
      <c r="F13" s="32" t="inlineStr">
        <is>
          <t>Lernen</t>
        </is>
      </c>
      <c r="H13" s="32" t="n"/>
      <c r="J13" s="32" t="n"/>
    </row>
    <row r="14">
      <c r="A14" s="32" t="n"/>
      <c r="B14" s="39" t="n"/>
      <c r="C14" s="31" t="n"/>
      <c r="D14" s="32" t="n"/>
      <c r="F14" s="32" t="inlineStr">
        <is>
          <t>Pause</t>
        </is>
      </c>
      <c r="H14" s="32" t="n"/>
      <c r="J14" s="32" t="n"/>
    </row>
    <row r="15">
      <c r="A15" s="32" t="n"/>
      <c r="B15" s="39" t="n"/>
      <c r="C15" s="31" t="n"/>
      <c r="D15" s="32" t="n"/>
      <c r="F15" s="32" t="n"/>
      <c r="H15" s="32" t="n"/>
      <c r="J15" s="32" t="n"/>
    </row>
    <row r="16">
      <c r="A16" s="32" t="n"/>
      <c r="B16" s="39" t="n"/>
      <c r="C16" s="31" t="n"/>
      <c r="D16" s="32" t="n"/>
      <c r="F16" s="32" t="n"/>
      <c r="H16" s="32" t="n"/>
      <c r="J16" s="32" t="n"/>
    </row>
    <row r="17">
      <c r="A17" s="32" t="n"/>
      <c r="B17" s="39" t="n"/>
      <c r="C17" s="31" t="n"/>
      <c r="D17" s="32" t="n"/>
      <c r="F17" s="32" t="n"/>
      <c r="H17" s="32" t="n"/>
      <c r="J17" s="32" t="n"/>
    </row>
    <row r="18">
      <c r="A18" s="32" t="n"/>
      <c r="B18" s="39" t="n"/>
      <c r="C18" s="31" t="n"/>
      <c r="D18" s="32" t="n"/>
      <c r="F18" s="32" t="n"/>
      <c r="H18" s="32" t="n"/>
      <c r="J18" s="32" t="n"/>
    </row>
    <row r="19">
      <c r="A19" s="32" t="n"/>
      <c r="B19" s="39" t="n"/>
      <c r="C19" s="31" t="n"/>
      <c r="D19" s="32" t="n"/>
      <c r="F19" s="32" t="n"/>
      <c r="H19" s="32" t="n"/>
      <c r="J19" s="32" t="n"/>
    </row>
    <row r="20">
      <c r="A20" s="32" t="n"/>
      <c r="B20" s="39" t="n"/>
      <c r="C20" s="31" t="n"/>
      <c r="D20" s="32" t="n"/>
    </row>
    <row r="21">
      <c r="A21" s="32" t="n"/>
      <c r="B21" s="39" t="n"/>
      <c r="C21" s="31" t="n"/>
      <c r="D21" s="32" t="n"/>
    </row>
    <row r="22">
      <c r="A22" s="32" t="n"/>
      <c r="B22" s="39" t="n"/>
      <c r="C22" s="31" t="n"/>
      <c r="D22" s="32" t="n"/>
    </row>
    <row r="23">
      <c r="A23" s="32" t="n"/>
      <c r="B23" s="39" t="n"/>
      <c r="C23" s="31" t="n"/>
      <c r="D23" s="32" t="n"/>
    </row>
    <row r="24">
      <c r="A24" s="32" t="n"/>
      <c r="B24" s="39" t="n"/>
      <c r="C24" s="31" t="n"/>
      <c r="D24" s="32" t="n"/>
    </row>
    <row r="25">
      <c r="A25" s="32" t="n"/>
      <c r="B25" s="39" t="n"/>
      <c r="C25" s="31" t="n"/>
      <c r="D25" s="32" t="n"/>
    </row>
    <row r="26">
      <c r="A26" s="32" t="n"/>
      <c r="B26" s="39" t="n"/>
      <c r="C26" s="31" t="n"/>
      <c r="D26" s="32" t="n"/>
    </row>
    <row r="27">
      <c r="A27" s="32" t="n"/>
      <c r="B27" s="39" t="n"/>
      <c r="C27" s="31" t="n"/>
      <c r="D27" s="32" t="n"/>
    </row>
    <row r="28">
      <c r="A28" s="32" t="n"/>
      <c r="B28" s="39" t="n"/>
      <c r="C28" s="31" t="n"/>
      <c r="D28" s="32" t="n"/>
    </row>
    <row r="29">
      <c r="A29" s="32" t="n"/>
      <c r="B29" s="39" t="n"/>
      <c r="C29" s="31" t="n"/>
      <c r="D29" s="32" t="n"/>
    </row>
    <row r="30">
      <c r="A30" s="32" t="n"/>
      <c r="B30" s="39" t="n"/>
      <c r="C30" s="31" t="n"/>
      <c r="D30" s="32" t="n"/>
    </row>
    <row r="31">
      <c r="A31" s="32" t="n"/>
      <c r="B31" s="39" t="n"/>
      <c r="C31" s="31" t="n"/>
      <c r="D31" s="32" t="n"/>
    </row>
    <row r="32">
      <c r="A32" s="32" t="n"/>
      <c r="B32" s="39" t="n"/>
      <c r="C32" s="31" t="n"/>
      <c r="D32" s="32" t="n"/>
    </row>
    <row r="33">
      <c r="A33" s="32" t="n"/>
      <c r="B33" s="39" t="n"/>
      <c r="C33" s="31" t="n"/>
      <c r="D33" s="32" t="n"/>
    </row>
    <row r="34">
      <c r="A34" s="32" t="n"/>
      <c r="B34" s="39" t="n"/>
      <c r="C34" s="31" t="n"/>
      <c r="D34" s="3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6A6A6"/>
    <outlinePr summaryBelow="1" summaryRight="1"/>
    <pageSetUpPr/>
  </sheetPr>
  <dimension ref="B1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40" t="inlineStr">
        <is>
          <t>Arbeitstagebuch – so geht's</t>
        </is>
      </c>
    </row>
    <row r="2">
      <c r="B2" s="41" t="inlineStr"/>
    </row>
    <row r="3">
      <c r="B3" s="42" t="inlineStr">
        <is>
          <t>1. Einmalig: Projekte anlegen</t>
        </is>
      </c>
    </row>
    <row r="4">
      <c r="B4" s="41" t="inlineStr">
        <is>
          <t>Im Blatt 'Projekte' Ihre Projekte eintragen – optional mit Stunden-Budget und Deadline. Kategorien, Status und Prioritäten sind dort ebenfalls frei änderbar.</t>
        </is>
      </c>
    </row>
    <row r="5">
      <c r="B5" s="42" t="inlineStr">
        <is>
          <t>2. Täglich erfassen (ca. 10 Sekunden pro Aufgabe)</t>
        </is>
      </c>
    </row>
    <row r="6">
      <c r="B6" s="41" t="inlineStr">
        <is>
          <t>Blatt 'Eingabe', nächste leere Zeile:  Strg + .  (Datum)  →  Tab  →  Projekt aus Liste  →  Tab  →  Kategorie  →  Tab  →  Aufgabe  →  Tab  →  Dauer, z. B. 1,5</t>
        </is>
      </c>
    </row>
    <row r="7">
      <c r="B7" s="41" t="inlineStr">
        <is>
          <t>Alternativ statt Dauer: Start und Ende als Uhrzeit (z. B. 8:00 und 11:15) – die Stunden werden automatisch berechnet (auch über Mitternacht).</t>
        </is>
      </c>
    </row>
    <row r="8">
      <c r="B8" s="41" t="inlineStr">
        <is>
          <t>Tipp: In der Auswahlliste den Anfangsbuchstaben tippen, oder mit Alt + ↓ die Liste öffnen.</t>
        </is>
      </c>
    </row>
    <row r="9">
      <c r="B9" s="41" t="inlineStr">
        <is>
          <t>Tipp: Strg + D kopiert die Zelle von oben (z. B. gleiches Datum oder gleiches Projekt).</t>
        </is>
      </c>
    </row>
    <row r="10">
      <c r="B10" s="42" t="inlineStr">
        <is>
          <t>3. Dashboard ansehen</t>
        </is>
      </c>
    </row>
    <row r="11">
      <c r="B11" s="41" t="inlineStr">
        <is>
          <t>Zeigt Stunden heute / Woche / Monat, Wochenziel, Stunden je Projekt inkl. Budget-Verbrauch, Deadlines mit Ampel, Kategorien und die letzten 14 Tage.</t>
        </is>
      </c>
    </row>
    <row r="12">
      <c r="B12" s="41" t="inlineStr">
        <is>
          <t>Der Stichtag ist automatisch 'heute'. Für einen Rückblick einfach ein anderes Datum in C3 eintragen; mit =HEUTE() wieder zurücksetzen.</t>
        </is>
      </c>
    </row>
    <row r="13">
      <c r="B13" s="41" t="inlineStr">
        <is>
          <t>Mehr als 15 Projekte? Links neben den Zeilennummern auf [+] klicken, dann werden alle 30 Projektzeilen sichtbar.</t>
        </is>
      </c>
    </row>
    <row r="14">
      <c r="B14" s="41" t="inlineStr"/>
    </row>
    <row r="15">
      <c r="B15" s="42" t="inlineStr">
        <is>
          <t>Farben</t>
        </is>
      </c>
    </row>
    <row r="16">
      <c r="B16" s="41" t="inlineStr">
        <is>
          <t>Gelb = Eingabefelder   ·   Grau = wird berechnet, nicht überschreiben   ·   Grün = heutiges Datum</t>
        </is>
      </c>
    </row>
    <row r="17">
      <c r="B17" s="41" t="inlineStr">
        <is>
          <t>Deadline: Rot = überfällig, Orange = in den nächsten 14 Tagen   ·   Budget: Orange ab 80 %, Rot über 100 %</t>
        </is>
      </c>
    </row>
    <row r="18">
      <c r="B18" s="41" t="inlineStr"/>
    </row>
    <row r="19">
      <c r="B19" s="42" t="inlineStr">
        <is>
          <t>Vorschläge für eine gute Zeitplanung</t>
        </is>
      </c>
    </row>
    <row r="20">
      <c r="B20" s="41" t="inlineStr">
        <is>
          <t>• Morgens 2 Minuten: offene Aufgaben (Filter Status = 'Offen') ansehen und die 1–3 wichtigsten mit Priorität 'Hoch' markieren.</t>
        </is>
      </c>
    </row>
    <row r="21">
      <c r="B21" s="41" t="inlineStr">
        <is>
          <t>• Abends 2 Minuten: Tag eintragen. Lieber grob (auf 15 Min. = 0,25 gerundet) als gar nicht.</t>
        </is>
      </c>
    </row>
    <row r="22">
      <c r="B22" s="41" t="inlineStr">
        <is>
          <t>• Freitags: Dashboard prüfen – Wochenziel erreicht? Welches Projekt läuft über Budget? Welche Deadline kommt?</t>
        </is>
      </c>
    </row>
    <row r="23">
      <c r="B23" s="41" t="inlineStr">
        <is>
          <t>• Kategorie 'E-Mail / Orga' und 'Besprechung' beobachten – wenn diese über 30 % liegen, feste Blöcke dafür einplanen.</t>
        </is>
      </c>
    </row>
    <row r="24">
      <c r="B24" s="41" t="inlineStr">
        <is>
          <t>• Aufgaben vorab mit Status 'Offen' und ohne Dauer eintragen = einfache To-do-Liste. Erledigt? Dauer eintragen, Status ändern.</t>
        </is>
      </c>
    </row>
    <row r="25">
      <c r="B25" s="41" t="inlineStr">
        <is>
          <t>• Filter in der Kopfzeile von 'Eingabe' nutzen (z. B. nach Projekt oder KW), um Stundennachweise für Kunden zu erstellen.</t>
        </is>
      </c>
    </row>
    <row r="26">
      <c r="B26" s="41" t="inlineStr"/>
    </row>
    <row r="27">
      <c r="B27" s="43" t="inlineStr">
        <is>
          <t>Die Beispielzeilen in 'Eingabe' und die Beispielprojekte können einfach gelöscht werden (Inhalte löschen mit Entf – nicht die Zeilen löschen, damit die grauen Formeln erhalten bleiben).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2026-10-05T18:01:51Z</dcterms:created>
  <dcterms:modified xsi:type="dcterms:W3CDTF">2026-10-05T18:01:52Z</dcterms:modified>
</cp:coreProperties>
</file>