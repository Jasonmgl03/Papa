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Wartungsplan" sheetId="3" state="visible" r:id="rId3"/>
    <sheet xmlns:r="http://schemas.openxmlformats.org/officeDocument/2006/relationships" name="Bewertung &amp; Methodik" sheetId="4" state="visible" r:id="rId4"/>
    <sheet xmlns:r="http://schemas.openxmlformats.org/officeDocument/2006/relationships" name="Anlagenübersicht" sheetId="5" state="visible" r:id="rId5"/>
    <sheet xmlns:r="http://schemas.openxmlformats.org/officeDocument/2006/relationships" name="Einstellungen" sheetId="6" state="visible" r:id="rId6"/>
    <sheet xmlns:r="http://schemas.openxmlformats.org/officeDocument/2006/relationships" name="Dokumentation" sheetId="7" state="visible" r:id="rId7"/>
  </sheets>
  <definedNames>
    <definedName name="Iv_Name">Einstellungen!$B$7:$B$26</definedName>
    <definedName name="Iv_Anzahl">Einstellungen!$C$7:$C$26</definedName>
    <definedName name="Iv_Einheit">Einstellungen!$D$7:$D$26</definedName>
    <definedName name="Iv_Liste">OFFSET(Einstellungen!$B$7,0,0,MAX(1,COUNTA(Einstellungen!$B$7:$B$26)),1)</definedName>
    <definedName name="P_Grenze_mittel">Einstellungen!$C$32</definedName>
    <definedName name="P_Grenze_hoch">Einstellungen!$C$33</definedName>
    <definedName name="P_Grenze_kritisch">Einstellungen!$C$34</definedName>
    <definedName name="Kl_Name">Einstellungen!$B$37:$B$40</definedName>
    <definedName name="Kl_Intervall">Einstellungen!$E$37:$E$40</definedName>
    <definedName name="P_Vorwarn">Einstellungen!$C$46</definedName>
    <definedName name="P_Krit">Einstellungen!$C$47</definedName>
    <definedName name="SF_Modell">Einstellungen!$B$51:$B$53</definedName>
    <definedName name="SF_Wert">Einstellungen!$C$51:$C$53</definedName>
    <definedName name="IH_Text">Einstellungen!$C$57:$C$61</definedName>
    <definedName name="L_Art">Einstellungen!$B$65:$B$71</definedName>
    <definedName name="L_Ausfuehrung">Einstellungen!$D$65:$D$69</definedName>
    <definedName name="L_Befund">Einstellungen!$F$65:$F$67</definedName>
    <definedName name="P_SF">Start!$C$28</definedName>
    <definedName name="M_Name">Start!$C$23</definedName>
    <definedName name="M_Equipment">Start!$C$24</definedName>
    <definedName name="_xlnm.Print_Area" localSheetId="0">'Start'!$A$1:$H$56</definedName>
    <definedName name="_xlnm.Print_Area" localSheetId="1">'Dashboard'!$A$1:$N$119</definedName>
    <definedName name="_xlnm.Print_Titles" localSheetId="2">'Wartungsplan'!$4:$5</definedName>
    <definedName name="_xlnm.Print_Area" localSheetId="2">'Wartungsplan'!$A$1:$P$123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0.0"/>
  </numFmts>
  <fonts count="50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color rgb="007F7F7F"/>
      <sz val="10"/>
    </font>
    <font>
      <name val="Arial"/>
      <b val="1"/>
      <color rgb="001F3864"/>
      <sz val="11"/>
    </font>
    <font>
      <name val="Arial"/>
      <b val="1"/>
      <color rgb="00FFFFFF"/>
      <sz val="9"/>
    </font>
    <font>
      <name val="Arial"/>
      <color rgb="000000FF"/>
      <sz val="9"/>
    </font>
    <font>
      <name val="Arial"/>
      <color rgb="007F7F7F"/>
      <sz val="8"/>
    </font>
    <font>
      <name val="Arial"/>
      <color rgb="00000000"/>
      <sz val="9"/>
    </font>
    <font>
      <name val="Arial"/>
      <b val="1"/>
      <color rgb="00006100"/>
      <sz val="9"/>
    </font>
    <font>
      <name val="Arial"/>
      <b val="1"/>
      <color rgb="000000FF"/>
      <sz val="9"/>
    </font>
    <font>
      <name val="Arial"/>
      <b val="1"/>
      <color rgb="009C5700"/>
      <sz val="9"/>
    </font>
    <font>
      <name val="Arial"/>
      <b val="1"/>
      <color rgb="009C0006"/>
      <sz val="9"/>
    </font>
    <font>
      <name val="Arial"/>
      <b val="1"/>
      <color rgb="001F3864"/>
      <sz val="18"/>
    </font>
    <font>
      <name val="Arial"/>
      <b val="1"/>
      <color rgb="00FFFFFF"/>
      <sz val="11"/>
    </font>
    <font>
      <name val="Arial"/>
      <b val="1"/>
      <color rgb="00000000"/>
      <sz val="9"/>
    </font>
    <font>
      <name val="Arial"/>
      <b val="1"/>
      <i val="1"/>
      <color rgb="007F7F7F"/>
      <sz val="9"/>
    </font>
    <font>
      <name val="Arial"/>
      <b val="1"/>
      <color rgb="00595959"/>
      <sz val="9"/>
    </font>
    <font>
      <name val="Arial"/>
      <b val="1"/>
      <color rgb="00C00000"/>
      <sz val="9"/>
    </font>
    <font>
      <name val="Arial"/>
      <b val="1"/>
      <color rgb="002F5597"/>
      <sz val="9"/>
    </font>
    <font>
      <name val="Arial"/>
      <b val="1"/>
      <color rgb="001F3864"/>
      <sz val="14"/>
    </font>
    <font>
      <name val="Arial"/>
      <color rgb="007F7F7F"/>
      <sz val="9"/>
    </font>
    <font>
      <name val="Arial"/>
      <b val="1"/>
      <color rgb="00FFFFFF"/>
      <sz val="8"/>
    </font>
    <font>
      <name val="Arial"/>
      <b val="1"/>
      <color rgb="001F3864"/>
      <sz val="10"/>
    </font>
    <font>
      <name val="Arial"/>
      <i val="1"/>
      <color rgb="007F7F7F"/>
      <sz val="8"/>
    </font>
    <font>
      <name val="Arial"/>
      <b val="1"/>
      <color rgb="00C00000"/>
      <sz val="8"/>
    </font>
    <font>
      <name val="Arial"/>
      <i val="1"/>
      <color rgb="007F7F7F"/>
      <sz val="9"/>
    </font>
    <font>
      <name val="Arial"/>
      <b val="1"/>
      <i val="1"/>
      <color rgb="002F5597"/>
      <sz val="9"/>
    </font>
    <font>
      <name val="Arial"/>
      <color rgb="00008000"/>
      <sz val="9"/>
    </font>
    <font>
      <name val="Arial"/>
      <b val="1"/>
      <color rgb="009C0006"/>
      <sz val="26"/>
    </font>
    <font>
      <name val="Arial"/>
      <color rgb="009C0006"/>
      <sz val="8"/>
    </font>
    <font>
      <name val="Arial"/>
      <b val="1"/>
      <color rgb="009C5700"/>
      <sz val="26"/>
    </font>
    <font>
      <name val="Arial"/>
      <color rgb="009C5700"/>
      <sz val="8"/>
    </font>
    <font>
      <name val="Arial"/>
      <b val="1"/>
      <color rgb="00006100"/>
      <sz val="26"/>
    </font>
    <font>
      <name val="Arial"/>
      <color rgb="00006100"/>
      <sz val="8"/>
    </font>
    <font>
      <name val="Arial"/>
      <b val="1"/>
      <color rgb="001F3864"/>
      <sz val="9"/>
    </font>
    <font>
      <name val="Arial"/>
      <b val="1"/>
      <color rgb="001F3864"/>
      <sz val="26"/>
    </font>
    <font>
      <name val="Arial"/>
      <color rgb="001F3864"/>
      <sz val="8"/>
    </font>
    <font>
      <name val="Arial"/>
      <b val="1"/>
      <color rgb="00595959"/>
      <sz val="26"/>
    </font>
    <font>
      <name val="Arial"/>
      <color rgb="00595959"/>
      <sz val="8"/>
    </font>
    <font>
      <name val="Arial"/>
      <b val="1"/>
      <color rgb="00C00000"/>
      <sz val="26"/>
    </font>
    <font>
      <name val="Arial"/>
      <color rgb="00C00000"/>
      <sz val="8"/>
    </font>
    <font>
      <name val="Arial"/>
      <color rgb="001F3864"/>
      <sz val="9"/>
    </font>
    <font>
      <name val="Arial"/>
      <color rgb="00000000"/>
      <sz val="8"/>
    </font>
    <font>
      <name val="Arial"/>
      <color rgb="007F7F7F"/>
      <sz val="7"/>
    </font>
    <font>
      <name val="Arial"/>
      <b val="1"/>
      <color rgb="00404040"/>
      <sz val="9"/>
    </font>
    <font>
      <name val="Arial"/>
      <b val="1"/>
      <color rgb="00C00000"/>
      <sz val="18"/>
    </font>
    <font>
      <name val="Arial"/>
      <b val="1"/>
      <color rgb="00C00000"/>
      <sz val="11"/>
    </font>
    <font>
      <name val="Arial"/>
      <b val="1"/>
      <color rgb="00C00000"/>
      <sz val="12"/>
    </font>
    <font>
      <name val="Arial"/>
      <color rgb="00006100"/>
      <sz val="9"/>
    </font>
    <font>
      <name val="Arial"/>
      <color rgb="009C0006"/>
      <sz val="9"/>
    </font>
  </fonts>
  <fills count="25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FF2CC"/>
        <bgColor rgb="00FFF2CC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7B0000"/>
        <bgColor rgb="007B0000"/>
      </patternFill>
    </fill>
    <fill>
      <patternFill patternType="solid">
        <fgColor rgb="002F5597"/>
        <bgColor rgb="002F5597"/>
      </patternFill>
    </fill>
    <fill>
      <patternFill patternType="solid">
        <fgColor rgb="00FFFFFF"/>
        <bgColor rgb="00FFFFFF"/>
      </patternFill>
    </fill>
    <fill>
      <patternFill patternType="solid">
        <fgColor rgb="00EDEDED"/>
        <bgColor rgb="00EDEDED"/>
      </patternFill>
    </fill>
    <fill>
      <patternFill patternType="solid">
        <fgColor rgb="00D9D9D9"/>
        <bgColor rgb="00D9D9D9"/>
      </patternFill>
    </fill>
    <fill>
      <patternFill patternType="solid">
        <fgColor rgb="00D9E2F3"/>
        <bgColor rgb="00D9E2F3"/>
      </patternFill>
    </fill>
    <fill>
      <patternFill patternType="solid">
        <fgColor rgb="00375623"/>
        <bgColor rgb="00375623"/>
      </patternFill>
    </fill>
    <fill>
      <patternFill patternType="solid">
        <fgColor rgb="00806000"/>
        <bgColor rgb="00806000"/>
      </patternFill>
    </fill>
    <fill>
      <patternFill patternType="solid">
        <fgColor rgb="007030A0"/>
        <bgColor rgb="007030A0"/>
      </patternFill>
    </fill>
    <fill>
      <patternFill patternType="solid">
        <fgColor rgb="00595959"/>
        <bgColor rgb="00595959"/>
      </patternFill>
    </fill>
    <fill>
      <patternFill patternType="solid">
        <fgColor rgb="00D6DCE5"/>
        <bgColor rgb="00D6DCE5"/>
      </patternFill>
    </fill>
    <fill>
      <patternFill patternType="solid">
        <fgColor rgb="00EEF2F8"/>
        <bgColor rgb="00EEF2F8"/>
      </patternFill>
    </fill>
    <fill>
      <patternFill patternType="solid">
        <fgColor rgb="00F2F2F2"/>
        <bgColor rgb="00F2F2F2"/>
      </patternFill>
    </fill>
    <fill>
      <patternFill patternType="solid">
        <fgColor rgb="00E2EFDA"/>
        <bgColor rgb="00E2EFDA"/>
      </patternFill>
    </fill>
    <fill>
      <patternFill patternType="solid">
        <fgColor rgb="00F2F7EC"/>
        <bgColor rgb="00F2F7EC"/>
      </patternFill>
    </fill>
    <fill>
      <patternFill patternType="solid">
        <fgColor rgb="00FFF9E5"/>
        <bgColor rgb="00FFF9E5"/>
      </patternFill>
    </fill>
    <fill>
      <patternFill patternType="solid">
        <fgColor rgb="00FCE4D6"/>
        <bgColor rgb="00FCE4D6"/>
      </patternFill>
    </fill>
    <fill>
      <patternFill patternType="solid">
        <fgColor rgb="00F8CBAD"/>
        <bgColor rgb="00F8CBAD"/>
      </patternFill>
    </fill>
  </fills>
  <borders count="7">
    <border>
      <left/>
      <right/>
      <top/>
      <bottom/>
      <diagonal/>
    </border>
    <border>
      <top style="medium">
        <color rgb="001F3864"/>
      </top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>
      <left/>
      <right/>
      <top style="thin">
        <color rgb="00A6A6A6"/>
      </top>
      <bottom/>
      <diagonal/>
    </border>
    <border>
      <left/>
      <right style="thin">
        <color rgb="00A6A6A6"/>
      </right>
      <top style="thin">
        <color rgb="00A6A6A6"/>
      </top>
      <bottom/>
      <diagonal/>
    </border>
    <border>
      <left/>
      <right style="thin">
        <color rgb="00A6A6A6"/>
      </right>
      <top style="thin">
        <color rgb="00A6A6A6"/>
      </top>
      <bottom style="thin">
        <color rgb="00A6A6A6"/>
      </bottom>
      <diagonal/>
    </border>
    <border>
      <left/>
      <right/>
      <top style="thin">
        <color rgb="00A6A6A6"/>
      </top>
      <bottom style="thin">
        <color rgb="00A6A6A6"/>
      </bottom>
      <diagonal/>
    </border>
  </borders>
  <cellStyleXfs count="1">
    <xf numFmtId="0" fontId="0" fillId="0" borderId="0"/>
  </cellStyleXfs>
  <cellXfs count="148">
    <xf numFmtId="0" fontId="0" fillId="0" borderId="0" pivotButton="0" quotePrefix="0" xfId="0"/>
    <xf numFmtId="0" fontId="12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0" fontId="3" fillId="0" borderId="0" pivotButton="0" quotePrefix="0" xfId="0"/>
    <xf numFmtId="0" fontId="13" fillId="8" borderId="2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left" vertical="center" wrapText="1"/>
    </xf>
    <xf numFmtId="0" fontId="0" fillId="0" borderId="2" pivotButton="0" quotePrefix="0" xfId="0"/>
    <xf numFmtId="0" fontId="9" fillId="3" borderId="2" applyAlignment="1" pivotButton="0" quotePrefix="0" xfId="0">
      <alignment horizontal="center" vertical="center" wrapText="1"/>
    </xf>
    <xf numFmtId="0" fontId="14" fillId="9" borderId="2" applyAlignment="1" pivotButton="0" quotePrefix="0" xfId="0">
      <alignment horizontal="center" vertical="center" wrapText="1"/>
    </xf>
    <xf numFmtId="0" fontId="15" fillId="9" borderId="2" applyAlignment="1" pivotButton="0" quotePrefix="0" xfId="0">
      <alignment horizontal="center" vertical="center" wrapText="1"/>
    </xf>
    <xf numFmtId="0" fontId="11" fillId="6" borderId="2" applyAlignment="1" pivotButton="0" quotePrefix="0" xfId="0">
      <alignment horizontal="center" vertical="center" wrapText="1"/>
    </xf>
    <xf numFmtId="0" fontId="10" fillId="5" borderId="2" applyAlignment="1" pivotButton="0" quotePrefix="0" xfId="0">
      <alignment horizontal="center" vertical="center" wrapText="1"/>
    </xf>
    <xf numFmtId="0" fontId="8" fillId="4" borderId="2" applyAlignment="1" pivotButton="0" quotePrefix="0" xfId="0">
      <alignment horizontal="center" vertical="center" wrapText="1"/>
    </xf>
    <xf numFmtId="0" fontId="16" fillId="10" borderId="2" applyAlignment="1" pivotButton="0" quotePrefix="0" xfId="0">
      <alignment horizontal="center" vertical="center" wrapText="1"/>
    </xf>
    <xf numFmtId="0" fontId="17" fillId="11" borderId="2" applyAlignment="1" pivotButton="0" quotePrefix="0" xfId="0">
      <alignment horizontal="center" vertical="center" wrapText="1"/>
    </xf>
    <xf numFmtId="0" fontId="14" fillId="12" borderId="2" applyAlignment="1" pivotButton="0" quotePrefix="0" xfId="0">
      <alignment horizontal="left" vertical="center" wrapText="1"/>
    </xf>
    <xf numFmtId="0" fontId="5" fillId="3" borderId="2" applyAlignment="1" pivotButton="0" quotePrefix="0" xfId="0">
      <alignment horizontal="left" vertical="center" wrapText="1"/>
    </xf>
    <xf numFmtId="0" fontId="0" fillId="3" borderId="2" pivotButton="0" quotePrefix="0" xfId="0"/>
    <xf numFmtId="2" fontId="7" fillId="0" borderId="2" applyAlignment="1" pivotButton="0" quotePrefix="0" xfId="0">
      <alignment horizontal="left" vertical="center" wrapText="1"/>
    </xf>
    <xf numFmtId="164" fontId="5" fillId="3" borderId="2" applyAlignment="1" pivotButton="0" quotePrefix="0" xfId="0">
      <alignment horizontal="left" vertical="center" wrapText="1"/>
    </xf>
    <xf numFmtId="164" fontId="7" fillId="0" borderId="2" applyAlignment="1" pivotButton="0" quotePrefix="0" xfId="0">
      <alignment horizontal="left" vertical="center" wrapText="1"/>
    </xf>
    <xf numFmtId="0" fontId="4" fillId="2" borderId="2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5" pivotButton="0" quotePrefix="0" xfId="0"/>
    <xf numFmtId="0" fontId="7" fillId="3" borderId="2" pivotButton="0" quotePrefix="0" xfId="0"/>
    <xf numFmtId="164" fontId="7" fillId="3" borderId="2" pivotButton="0" quotePrefix="0" xfId="0"/>
    <xf numFmtId="0" fontId="7" fillId="3" borderId="2" applyAlignment="1" pivotButton="0" quotePrefix="0" xfId="0">
      <alignment horizontal="left" vertical="center" wrapText="1"/>
    </xf>
    <xf numFmtId="0" fontId="18" fillId="0" borderId="2" applyAlignment="1" pivotButton="0" quotePrefix="0" xfId="0">
      <alignment horizontal="left" vertical="center" wrapText="1"/>
    </xf>
    <xf numFmtId="0" fontId="1" fillId="0" borderId="0" pivotButton="0" quotePrefix="0" xfId="0"/>
    <xf numFmtId="0" fontId="20" fillId="0" borderId="0" pivotButton="0" quotePrefix="0" xfId="0"/>
    <xf numFmtId="0" fontId="0" fillId="6" borderId="2" pivotButton="0" quotePrefix="0" xfId="0"/>
    <xf numFmtId="0" fontId="0" fillId="5" borderId="2" pivotButton="0" quotePrefix="0" xfId="0"/>
    <xf numFmtId="0" fontId="0" fillId="4" borderId="2" pivotButton="0" quotePrefix="0" xfId="0"/>
    <xf numFmtId="0" fontId="34" fillId="12" borderId="2" applyAlignment="1" pivotButton="0" quotePrefix="0" xfId="0">
      <alignment horizontal="center" vertical="center" wrapText="1"/>
    </xf>
    <xf numFmtId="0" fontId="0" fillId="12" borderId="2" pivotButton="0" quotePrefix="0" xfId="0"/>
    <xf numFmtId="1" fontId="28" fillId="6" borderId="2" applyAlignment="1" pivotButton="0" quotePrefix="0" xfId="0">
      <alignment horizontal="center" vertical="center" wrapText="1"/>
    </xf>
    <xf numFmtId="1" fontId="30" fillId="5" borderId="2" applyAlignment="1" pivotButton="0" quotePrefix="0" xfId="0">
      <alignment horizontal="center" vertical="center" wrapText="1"/>
    </xf>
    <xf numFmtId="1" fontId="32" fillId="4" borderId="2" applyAlignment="1" pivotButton="0" quotePrefix="0" xfId="0">
      <alignment horizontal="center" vertical="center" wrapText="1"/>
    </xf>
    <xf numFmtId="9" fontId="35" fillId="12" borderId="2" applyAlignment="1" pivotButton="0" quotePrefix="0" xfId="0">
      <alignment horizontal="center" vertical="center" wrapText="1"/>
    </xf>
    <xf numFmtId="0" fontId="29" fillId="6" borderId="2" applyAlignment="1" pivotButton="0" quotePrefix="0" xfId="0">
      <alignment horizontal="center" vertical="center" wrapText="1"/>
    </xf>
    <xf numFmtId="0" fontId="31" fillId="5" borderId="2" applyAlignment="1" pivotButton="0" quotePrefix="0" xfId="0">
      <alignment horizontal="center" vertical="center" wrapText="1"/>
    </xf>
    <xf numFmtId="0" fontId="33" fillId="4" borderId="2" applyAlignment="1" pivotButton="0" quotePrefix="0" xfId="0">
      <alignment horizontal="center" vertical="center" wrapText="1"/>
    </xf>
    <xf numFmtId="0" fontId="36" fillId="12" borderId="2" applyAlignment="1" pivotButton="0" quotePrefix="0" xfId="0">
      <alignment horizontal="center" vertical="center" wrapText="1"/>
    </xf>
    <xf numFmtId="0" fontId="34" fillId="19" borderId="2" applyAlignment="1" pivotButton="0" quotePrefix="0" xfId="0">
      <alignment horizontal="center" vertical="center" wrapText="1"/>
    </xf>
    <xf numFmtId="0" fontId="0" fillId="19" borderId="2" pivotButton="0" quotePrefix="0" xfId="0"/>
    <xf numFmtId="0" fontId="16" fillId="19" borderId="2" applyAlignment="1" pivotButton="0" quotePrefix="0" xfId="0">
      <alignment horizontal="center" vertical="center" wrapText="1"/>
    </xf>
    <xf numFmtId="0" fontId="17" fillId="19" borderId="2" applyAlignment="1" pivotButton="0" quotePrefix="0" xfId="0">
      <alignment horizontal="center" vertical="center" wrapText="1"/>
    </xf>
    <xf numFmtId="1" fontId="35" fillId="19" borderId="2" applyAlignment="1" pivotButton="0" quotePrefix="0" xfId="0">
      <alignment horizontal="center" vertical="center" wrapText="1"/>
    </xf>
    <xf numFmtId="1" fontId="37" fillId="19" borderId="2" applyAlignment="1" pivotButton="0" quotePrefix="0" xfId="0">
      <alignment horizontal="center" vertical="center" wrapText="1"/>
    </xf>
    <xf numFmtId="1" fontId="39" fillId="19" borderId="2" applyAlignment="1" pivotButton="0" quotePrefix="0" xfId="0">
      <alignment horizontal="center" vertical="center" wrapText="1"/>
    </xf>
    <xf numFmtId="9" fontId="35" fillId="19" borderId="2" applyAlignment="1" pivotButton="0" quotePrefix="0" xfId="0">
      <alignment horizontal="center" vertical="center" wrapText="1"/>
    </xf>
    <xf numFmtId="0" fontId="36" fillId="19" borderId="2" applyAlignment="1" pivotButton="0" quotePrefix="0" xfId="0">
      <alignment horizontal="center" vertical="center" wrapText="1"/>
    </xf>
    <xf numFmtId="0" fontId="38" fillId="19" borderId="2" applyAlignment="1" pivotButton="0" quotePrefix="0" xfId="0">
      <alignment horizontal="center" vertical="center" wrapText="1"/>
    </xf>
    <xf numFmtId="0" fontId="40" fillId="19" borderId="2" applyAlignment="1" pivotButton="0" quotePrefix="0" xfId="0">
      <alignment horizontal="center" vertical="center" wrapText="1"/>
    </xf>
    <xf numFmtId="0" fontId="41" fillId="19" borderId="2" applyAlignment="1" pivotButton="0" quotePrefix="0" xfId="0">
      <alignment horizontal="left" vertical="center" wrapText="1"/>
    </xf>
    <xf numFmtId="0" fontId="0" fillId="2" borderId="2" pivotButton="0" quotePrefix="0" xfId="0"/>
    <xf numFmtId="0" fontId="14" fillId="0" borderId="2" applyAlignment="1" pivotButton="0" quotePrefix="0" xfId="0">
      <alignment horizontal="center" vertical="center" wrapText="1"/>
    </xf>
    <xf numFmtId="0" fontId="42" fillId="0" borderId="2" applyAlignment="1" pivotButton="0" quotePrefix="0" xfId="0">
      <alignment horizontal="left" vertical="center" wrapText="1"/>
    </xf>
    <xf numFmtId="0" fontId="43" fillId="0" borderId="2" applyAlignment="1" pivotButton="0" quotePrefix="0" xfId="0">
      <alignment horizontal="left" vertical="center" wrapText="1"/>
    </xf>
    <xf numFmtId="164" fontId="7" fillId="0" borderId="2" applyAlignment="1" pivotButton="0" quotePrefix="0" xfId="0">
      <alignment horizontal="center" vertical="center" wrapText="1"/>
    </xf>
    <xf numFmtId="1" fontId="14" fillId="0" borderId="2" applyAlignment="1" pivotButton="0" quotePrefix="0" xfId="0">
      <alignment horizontal="center" vertical="center" wrapText="1"/>
    </xf>
    <xf numFmtId="0" fontId="42" fillId="0" borderId="2" applyAlignment="1" pivotButton="0" quotePrefix="0" xfId="0">
      <alignment horizontal="center" vertical="center" wrapText="1"/>
    </xf>
    <xf numFmtId="0" fontId="23" fillId="0" borderId="0" pivotButton="0" quotePrefix="0" xfId="0"/>
    <xf numFmtId="0" fontId="6" fillId="0" borderId="2" applyAlignment="1" pivotButton="0" quotePrefix="0" xfId="0">
      <alignment horizontal="center" vertical="center" wrapText="1"/>
    </xf>
    <xf numFmtId="9" fontId="7" fillId="0" borderId="2" applyAlignment="1" pivotButton="0" quotePrefix="0" xfId="0">
      <alignment horizontal="center" vertical="center" wrapText="1"/>
    </xf>
    <xf numFmtId="0" fontId="14" fillId="0" borderId="2" applyAlignment="1" pivotButton="0" quotePrefix="0" xfId="0">
      <alignment horizontal="left" vertical="center" wrapText="1"/>
    </xf>
    <xf numFmtId="0" fontId="17" fillId="0" borderId="2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center" vertical="center" wrapText="1"/>
    </xf>
    <xf numFmtId="0" fontId="17" fillId="0" borderId="2" applyAlignment="1" pivotButton="0" quotePrefix="0" xfId="0">
      <alignment horizontal="center" vertical="center" wrapText="1"/>
    </xf>
    <xf numFmtId="0" fontId="7" fillId="12" borderId="2" pivotButton="0" quotePrefix="0" xfId="0"/>
    <xf numFmtId="0" fontId="14" fillId="12" borderId="2" applyAlignment="1" pivotButton="0" quotePrefix="0" xfId="0">
      <alignment horizontal="center" vertical="center" wrapText="1"/>
    </xf>
    <xf numFmtId="9" fontId="14" fillId="12" borderId="2" applyAlignment="1" pivotButton="0" quotePrefix="0" xfId="0">
      <alignment horizontal="center" vertical="center" wrapText="1"/>
    </xf>
    <xf numFmtId="165" fontId="7" fillId="0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0" fillId="7" borderId="2" pivotButton="0" quotePrefix="0" xfId="0"/>
    <xf numFmtId="0" fontId="44" fillId="11" borderId="2" applyAlignment="1" pivotButton="0" quotePrefix="0" xfId="0">
      <alignment horizontal="center" vertical="center" wrapText="1"/>
    </xf>
    <xf numFmtId="0" fontId="0" fillId="11" borderId="2" pivotButton="0" quotePrefix="0" xfId="0"/>
    <xf numFmtId="165" fontId="3" fillId="0" borderId="2" applyAlignment="1" pivotButton="0" quotePrefix="0" xfId="0">
      <alignment horizontal="center" vertical="center" wrapText="1"/>
    </xf>
    <xf numFmtId="1" fontId="3" fillId="0" borderId="2" applyAlignment="1" pivotButton="0" quotePrefix="0" xfId="0">
      <alignment horizontal="center" vertical="center" wrapText="1"/>
    </xf>
    <xf numFmtId="165" fontId="14" fillId="0" borderId="2" applyAlignment="1" pivotButton="0" quotePrefix="0" xfId="0">
      <alignment horizontal="center" vertical="center" wrapText="1"/>
    </xf>
    <xf numFmtId="0" fontId="6" fillId="0" borderId="0" pivotButton="0" quotePrefix="0" xfId="0"/>
    <xf numFmtId="0" fontId="19" fillId="0" borderId="0" pivotButton="0" quotePrefix="0" xfId="0"/>
    <xf numFmtId="0" fontId="4" fillId="13" borderId="2" applyAlignment="1" pivotButton="0" quotePrefix="0" xfId="0">
      <alignment horizontal="center" vertical="center" wrapText="1"/>
    </xf>
    <xf numFmtId="0" fontId="0" fillId="13" borderId="2" pivotButton="0" quotePrefix="0" xfId="0"/>
    <xf numFmtId="0" fontId="4" fillId="14" borderId="2" applyAlignment="1" pivotButton="0" quotePrefix="0" xfId="0">
      <alignment horizontal="center" vertical="center" wrapText="1"/>
    </xf>
    <xf numFmtId="0" fontId="0" fillId="14" borderId="2" pivotButton="0" quotePrefix="0" xfId="0"/>
    <xf numFmtId="0" fontId="4" fillId="15" borderId="2" applyAlignment="1" pivotButton="0" quotePrefix="0" xfId="0">
      <alignment horizontal="center" vertical="center" wrapText="1"/>
    </xf>
    <xf numFmtId="0" fontId="0" fillId="15" borderId="2" pivotButton="0" quotePrefix="0" xfId="0"/>
    <xf numFmtId="0" fontId="4" fillId="16" borderId="2" applyAlignment="1" pivotButton="0" quotePrefix="0" xfId="0">
      <alignment horizontal="center" vertical="center" wrapText="1"/>
    </xf>
    <xf numFmtId="0" fontId="0" fillId="16" borderId="2" pivotButton="0" quotePrefix="0" xfId="0"/>
    <xf numFmtId="0" fontId="21" fillId="2" borderId="2" applyAlignment="1" pivotButton="0" quotePrefix="0" xfId="0">
      <alignment horizontal="center" vertical="center" wrapText="1"/>
    </xf>
    <xf numFmtId="0" fontId="21" fillId="13" borderId="2" applyAlignment="1" pivotButton="0" quotePrefix="0" xfId="0">
      <alignment horizontal="center" vertical="center" wrapText="1"/>
    </xf>
    <xf numFmtId="0" fontId="21" fillId="14" borderId="2" applyAlignment="1" pivotButton="0" quotePrefix="0" xfId="0">
      <alignment horizontal="center" vertical="center" wrapText="1"/>
    </xf>
    <xf numFmtId="0" fontId="21" fillId="15" borderId="2" applyAlignment="1" pivotButton="0" quotePrefix="0" xfId="0">
      <alignment horizontal="center" vertical="center" wrapText="1"/>
    </xf>
    <xf numFmtId="0" fontId="21" fillId="16" borderId="2" applyAlignment="1" pivotButton="0" quotePrefix="0" xfId="0">
      <alignment horizontal="center" vertical="center" wrapText="1"/>
    </xf>
    <xf numFmtId="49" fontId="22" fillId="17" borderId="2" applyAlignment="1" pivotButton="0" quotePrefix="0" xfId="0">
      <alignment horizontal="left" vertical="center" wrapText="1"/>
    </xf>
    <xf numFmtId="0" fontId="22" fillId="17" borderId="2" applyAlignment="1" pivotButton="0" quotePrefix="0" xfId="0">
      <alignment horizontal="left" vertical="center" wrapText="1"/>
    </xf>
    <xf numFmtId="0" fontId="6" fillId="17" borderId="2" applyAlignment="1" pivotButton="0" quotePrefix="0" xfId="0">
      <alignment vertical="top" wrapText="1"/>
    </xf>
    <xf numFmtId="49" fontId="6" fillId="17" borderId="2" applyAlignment="1" pivotButton="0" quotePrefix="0" xfId="0">
      <alignment vertical="top" wrapText="1"/>
    </xf>
    <xf numFmtId="0" fontId="23" fillId="17" borderId="2" applyAlignment="1" pivotButton="0" quotePrefix="0" xfId="0">
      <alignment vertical="top" wrapText="1"/>
    </xf>
    <xf numFmtId="49" fontId="7" fillId="0" borderId="2" applyAlignment="1" pivotButton="0" quotePrefix="0" xfId="0">
      <alignment vertical="top" wrapText="1"/>
    </xf>
    <xf numFmtId="0" fontId="7" fillId="0" borderId="2" applyAlignment="1" pivotButton="0" quotePrefix="0" xfId="0">
      <alignment vertical="top" wrapText="1"/>
    </xf>
    <xf numFmtId="0" fontId="5" fillId="3" borderId="2" applyAlignment="1" pivotButton="0" quotePrefix="0" xfId="0">
      <alignment vertical="top" wrapText="1"/>
    </xf>
    <xf numFmtId="0" fontId="24" fillId="0" borderId="2" applyAlignment="1" pivotButton="0" quotePrefix="0" xfId="0">
      <alignment vertical="top" wrapText="1"/>
    </xf>
    <xf numFmtId="164" fontId="5" fillId="3" borderId="2" applyAlignment="1" pivotButton="0" quotePrefix="0" xfId="0">
      <alignment horizontal="center" vertical="center" wrapText="1"/>
    </xf>
    <xf numFmtId="164" fontId="14" fillId="0" borderId="2" applyAlignment="1" pivotButton="0" quotePrefix="0" xfId="0">
      <alignment horizontal="center" vertical="center" wrapText="1"/>
    </xf>
    <xf numFmtId="1" fontId="7" fillId="0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2" fontId="7" fillId="0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vertical="top" wrapText="1"/>
    </xf>
    <xf numFmtId="165" fontId="7" fillId="0" borderId="2" applyAlignment="1" pivotButton="0" quotePrefix="0" xfId="0">
      <alignment vertical="top" wrapText="1"/>
    </xf>
    <xf numFmtId="49" fontId="6" fillId="0" borderId="2" applyAlignment="1" pivotButton="0" quotePrefix="0" xfId="0">
      <alignment vertical="top" wrapText="1"/>
    </xf>
    <xf numFmtId="0" fontId="23" fillId="0" borderId="2" applyAlignment="1" pivotButton="0" quotePrefix="0" xfId="0">
      <alignment vertical="top" wrapText="1"/>
    </xf>
    <xf numFmtId="0" fontId="25" fillId="0" borderId="2" applyAlignment="1" pivotButton="0" quotePrefix="0" xfId="0">
      <alignment vertical="top" wrapText="1"/>
    </xf>
    <xf numFmtId="49" fontId="26" fillId="18" borderId="2" applyAlignment="1" pivotButton="0" quotePrefix="0" xfId="0">
      <alignment horizontal="left" vertical="center" wrapText="1"/>
    </xf>
    <xf numFmtId="0" fontId="26" fillId="18" borderId="2" applyAlignment="1" pivotButton="0" quotePrefix="0" xfId="0">
      <alignment horizontal="left" vertical="center" wrapText="1"/>
    </xf>
    <xf numFmtId="0" fontId="6" fillId="18" borderId="2" applyAlignment="1" pivotButton="0" quotePrefix="0" xfId="0">
      <alignment vertical="top" wrapText="1"/>
    </xf>
    <xf numFmtId="49" fontId="6" fillId="18" borderId="2" applyAlignment="1" pivotButton="0" quotePrefix="0" xfId="0">
      <alignment vertical="top" wrapText="1"/>
    </xf>
    <xf numFmtId="0" fontId="23" fillId="18" borderId="2" applyAlignment="1" pivotButton="0" quotePrefix="0" xfId="0">
      <alignment vertical="top" wrapText="1"/>
    </xf>
    <xf numFmtId="0" fontId="27" fillId="0" borderId="2" applyAlignment="1" pivotButton="0" quotePrefix="0" xfId="0">
      <alignment horizontal="center" vertical="center" wrapText="1"/>
    </xf>
    <xf numFmtId="0" fontId="24" fillId="17" borderId="2" applyAlignment="1" pivotButton="0" quotePrefix="0" xfId="0">
      <alignment horizontal="left" vertical="center" wrapText="1"/>
    </xf>
    <xf numFmtId="0" fontId="24" fillId="18" borderId="2" applyAlignment="1" pivotButton="0" quotePrefix="0" xfId="0">
      <alignment horizontal="left" vertical="center" wrapText="1"/>
    </xf>
    <xf numFmtId="0" fontId="45" fillId="0" borderId="0" pivotButton="0" quotePrefix="0" xfId="0"/>
    <xf numFmtId="0" fontId="46" fillId="0" borderId="2" applyAlignment="1" pivotButton="0" quotePrefix="0" xfId="0">
      <alignment horizontal="center" vertical="center" wrapText="1"/>
    </xf>
    <xf numFmtId="2" fontId="14" fillId="0" borderId="2" applyAlignment="1" pivotButton="0" quotePrefix="0" xfId="0">
      <alignment horizontal="center" vertical="center" wrapText="1"/>
    </xf>
    <xf numFmtId="0" fontId="6" fillId="12" borderId="2" applyAlignment="1" pivotButton="0" quotePrefix="0" xfId="0">
      <alignment horizontal="left" vertical="center" wrapText="1"/>
    </xf>
    <xf numFmtId="0" fontId="6" fillId="12" borderId="2" applyAlignment="1" pivotButton="0" quotePrefix="0" xfId="0">
      <alignment horizontal="center" vertical="center" wrapText="1"/>
    </xf>
    <xf numFmtId="0" fontId="4" fillId="8" borderId="0" applyAlignment="1" pivotButton="0" quotePrefix="0" xfId="0">
      <alignment horizontal="left" vertical="center" wrapText="1"/>
    </xf>
    <xf numFmtId="0" fontId="0" fillId="8" borderId="0" pivotButton="0" quotePrefix="0" xfId="0"/>
    <xf numFmtId="0" fontId="47" fillId="0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horizontal="left" vertical="center" wrapText="1"/>
    </xf>
    <xf numFmtId="0" fontId="7" fillId="20" borderId="2" applyAlignment="1" pivotButton="0" quotePrefix="0" xfId="0">
      <alignment horizontal="center" vertical="center" wrapText="1"/>
    </xf>
    <xf numFmtId="0" fontId="7" fillId="21" borderId="2" applyAlignment="1" pivotButton="0" quotePrefix="0" xfId="0">
      <alignment horizontal="center" vertical="center" wrapText="1"/>
    </xf>
    <xf numFmtId="0" fontId="7" fillId="22" borderId="2" applyAlignment="1" pivotButton="0" quotePrefix="0" xfId="0">
      <alignment horizontal="center" vertical="center" wrapText="1"/>
    </xf>
    <xf numFmtId="0" fontId="7" fillId="23" borderId="2" applyAlignment="1" pivotButton="0" quotePrefix="0" xfId="0">
      <alignment horizontal="center" vertical="center" wrapText="1"/>
    </xf>
    <xf numFmtId="0" fontId="7" fillId="24" borderId="2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top" wrapText="1"/>
    </xf>
    <xf numFmtId="0" fontId="48" fillId="0" borderId="2" applyAlignment="1" pivotButton="0" quotePrefix="0" xfId="0">
      <alignment horizontal="left" vertical="center" wrapText="1"/>
    </xf>
    <xf numFmtId="0" fontId="20" fillId="0" borderId="2" applyAlignment="1" pivotButton="0" quotePrefix="0" xfId="0">
      <alignment horizontal="center" vertical="center" wrapText="1"/>
    </xf>
    <xf numFmtId="0" fontId="49" fillId="0" borderId="2" applyAlignment="1" pivotButton="0" quotePrefix="0" xfId="0">
      <alignment horizontal="left" vertical="center" wrapText="1"/>
    </xf>
    <xf numFmtId="0" fontId="49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6" fillId="0" borderId="2" applyAlignment="1" pivotButton="0" quotePrefix="0" xfId="0">
      <alignment horizontal="left" vertical="center" wrapText="1"/>
    </xf>
    <xf numFmtId="0" fontId="7" fillId="0" borderId="2" pivotButton="0" quotePrefix="0" xfId="0"/>
    <xf numFmtId="2" fontId="5" fillId="3" borderId="2" applyAlignment="1" pivotButton="0" quotePrefix="0" xfId="0">
      <alignment horizontal="center" vertical="center" wrapText="1"/>
    </xf>
    <xf numFmtId="0" fontId="14" fillId="0" borderId="2" applyAlignment="1" pivotButton="0" quotePrefix="0" xfId="0">
      <alignment vertical="top" wrapText="1"/>
    </xf>
    <xf numFmtId="0" fontId="8" fillId="0" borderId="2" applyAlignment="1" pivotButton="0" quotePrefix="0" xfId="0">
      <alignment vertical="top" wrapText="1"/>
    </xf>
  </cellXfs>
  <cellStyles count="1">
    <cellStyle name="Normal" xfId="0" builtinId="0" hidden="0"/>
  </cellStyles>
  <dxfs count="14">
    <dxf>
      <font>
        <name val="Arial"/>
        <b val="1"/>
        <color rgb="009C0006"/>
      </font>
      <fill>
        <patternFill patternType="solid">
          <fgColor rgb="00FFC7CE"/>
          <bgColor rgb="00FFC7CE"/>
        </patternFill>
      </fill>
    </dxf>
    <dxf>
      <font>
        <name val="Arial"/>
        <b val="1"/>
        <color rgb="009C5700"/>
      </font>
      <fill>
        <patternFill patternType="solid">
          <fgColor rgb="00FFEB9C"/>
          <bgColor rgb="00FFEB9C"/>
        </patternFill>
      </fill>
    </dxf>
    <dxf>
      <font>
        <name val="Arial"/>
        <b val="1"/>
        <color rgb="00006100"/>
      </font>
      <fill>
        <patternFill patternType="solid">
          <fgColor rgb="00C6EFCE"/>
          <bgColor rgb="00C6EFCE"/>
        </patternFill>
      </fill>
    </dxf>
    <dxf>
      <font>
        <name val="Arial"/>
        <b val="1"/>
        <color rgb="00FFFFFF"/>
      </font>
      <fill>
        <patternFill patternType="solid">
          <fgColor rgb="007B0000"/>
          <bgColor rgb="007B0000"/>
        </patternFill>
      </fill>
    </dxf>
    <dxf>
      <font>
        <name val="Arial"/>
        <b val="1"/>
        <color rgb="00404040"/>
      </font>
      <fill>
        <patternFill patternType="solid">
          <fgColor rgb="00D9D9D9"/>
          <bgColor rgb="00D9D9D9"/>
        </patternFill>
      </fill>
    </dxf>
    <dxf>
      <font>
        <name val="Arial"/>
        <b val="1"/>
        <color rgb="00595959"/>
      </font>
      <fill>
        <patternFill patternType="solid">
          <fgColor rgb="00EDEDED"/>
          <bgColor rgb="00EDEDED"/>
        </patternFill>
      </fill>
    </dxf>
    <dxf>
      <font>
        <name val="Arial"/>
        <b val="1"/>
        <color rgb="00C00000"/>
      </font>
      <fill>
        <patternFill patternType="solid">
          <fgColor rgb="00D9D9D9"/>
          <bgColor rgb="00D9D9D9"/>
        </patternFill>
      </fill>
    </dxf>
    <dxf>
      <font>
        <name val="Arial"/>
        <b val="1"/>
        <color rgb="009C0006"/>
      </font>
    </dxf>
    <dxf>
      <fill>
        <patternFill patternType="solid">
          <fgColor rgb="00BDD7EE"/>
          <bgColor rgb="00BDD7EE"/>
        </patternFill>
      </fill>
    </dxf>
    <dxf>
      <font>
        <name val="Arial"/>
        <color rgb="00006100"/>
      </font>
      <fill>
        <patternFill patternType="solid">
          <fgColor rgb="00C6EFCE"/>
          <bgColor rgb="00C6EFCE"/>
        </patternFill>
      </fill>
    </dxf>
    <dxf>
      <font>
        <name val="Arial"/>
        <color rgb="009C0006"/>
      </font>
      <fill>
        <patternFill patternType="solid">
          <fgColor rgb="00FFC7CE"/>
          <bgColor rgb="00FFC7C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FCE4D6"/>
          <bgColor rgb="00FCE4D6"/>
        </patternFill>
      </fill>
    </dxf>
    <dxf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Maßnahmen pro Intervall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'Dashboard'!E38</f>
            </strRef>
          </tx>
          <spPr>
            <a:solidFill xmlns:a="http://schemas.openxmlformats.org/drawingml/2006/main">
              <a:srgbClr val="2F5597"/>
            </a:solidFill>
            <a:ln xmlns:a="http://schemas.openxmlformats.org/drawingml/2006/main">
              <a:prstDash val="solid"/>
            </a:ln>
          </spPr>
          <cat>
            <numRef>
              <f>'Dashboard'!$B$39:$B$52</f>
            </numRef>
          </cat>
          <val>
            <numRef>
              <f>'Dashboard'!$E$39:$E$52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Maßnahmen je Risikoklasse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'Dashboard'!D81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solidFill>
                  <a:srgbClr val="70AD47"/>
                </a:solidFill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FFC000"/>
              </a:solidFill>
              <a:ln xmlns:a="http://schemas.openxmlformats.org/drawingml/2006/main">
                <a:solidFill>
                  <a:srgbClr val="FFC000"/>
                </a:solidFill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FF5050"/>
              </a:solidFill>
              <a:ln xmlns:a="http://schemas.openxmlformats.org/drawingml/2006/main">
                <a:solidFill>
                  <a:srgbClr val="FF5050"/>
                </a:solidFill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7B0000"/>
              </a:solidFill>
              <a:ln xmlns:a="http://schemas.openxmlformats.org/drawingml/2006/main">
                <a:solidFill>
                  <a:srgbClr val="7B0000"/>
                </a:solidFill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A6A6A6"/>
              </a:solidFill>
              <a:ln xmlns:a="http://schemas.openxmlformats.org/drawingml/2006/main">
                <a:solidFill>
                  <a:srgbClr val="A6A6A6"/>
                </a:solidFill>
                <a:prstDash val="solid"/>
              </a:ln>
            </spPr>
          </dPt>
          <cat>
            <numRef>
              <f>'Dashboard'!$B$82:$B$86</f>
            </numRef>
          </cat>
          <val>
            <numRef>
              <f>'Dashboard'!$D$82:$D$86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Hinweis</author>
  </authors>
  <commentList>
    <comment ref="G5" authorId="0" shapeId="0">
      <text>
        <t>Intervall, das sich aus der Risikobewertung ergibt. Farbe = Risikoklasse (grün gering, gelb mittel, rot hoch, dunkelrot kritisch, grau unvollständig).</t>
      </text>
    </comment>
    <comment ref="H5" authorId="0" shapeId="0">
      <text>
        <t>Aus der Liste wählen (wöchentlich, monatlich, alle 3 Monate, alle 4 Monate, halbjährlich, jährlich, …) ODER frei eintippen: Zahl + Einheit, z. B. „2 Jahre“, „10 Tage“, „6 Wochen“, „18 Monate“. Vorbelegt mit der Empfehlung. Blau hinterlegt = weicht von der Empfehlung ab → bitte in „Bemerkung / Begründung“ begründen.</t>
      </text>
    </comment>
    <comment ref="I5" authorId="0" shapeId="0">
      <text>
        <t>Datum der letzten Durchführung (TT.MM.JJJJ). Nach jeder Durchführung überschreiben.</t>
      </text>
    </comment>
    <comment ref="J5" authorId="0" shapeId="0">
      <text>
        <t>Automatisch: letzte Durchführung + Intervall (Monate/Jahre kalendergenau).</t>
      </text>
    </comment>
    <comment ref="K5" authorId="0" shapeId="0">
      <text>
        <t>Tage bis zum nächsten Termin (negativ = überfällig).</t>
      </text>
    </comment>
    <comment ref="L5" authorId="0" shapeId="0">
      <text>
        <t>überfällig (rot) · fällig innerhalb der Vorwarnzeit (gelb) · in Ordnung (grün) · nicht erfasst (grau)</t>
      </text>
    </comment>
    <comment ref="Q5" authorId="0" shapeId="0">
      <text>
        <t>F – Funktionalität der Anlage (1 kaum wahrnehmbar … 5 Anlage wird zerstört)</t>
      </text>
    </comment>
    <comment ref="R5" authorId="0" shapeId="0">
      <text>
        <t>IH – Instandsetzungsaufwand bei Ausfall (1 &lt; 10 min … 5 &gt; 3 h / Spezialisten)</t>
      </text>
    </comment>
    <comment ref="S5" authorId="0" shapeId="0">
      <text>
        <t>Q – Qualität / Kunde (1 kaum wahrnehmbar … 5 Verlust des Kunden)</t>
      </text>
    </comment>
    <comment ref="T5" authorId="0" shapeId="0">
      <text>
        <t>AS – Arbeitssicherheit (1 kaum wahrnehmbar … 5 Schaden an Leib und Leben)</t>
      </text>
    </comment>
    <comment ref="U5" authorId="0" shapeId="0">
      <text>
        <t>US – Umweltschutz (1 kaum wahrnehmbar … 5 Umweltschutzbehörde)</t>
      </text>
    </comment>
    <comment ref="V5" authorId="0" shapeId="0">
      <text>
        <t>S – Höhe des Schadens bei Ausfall (1 kaum wahrnehmbar … 5 Generalüberholung)</t>
      </text>
    </comment>
    <comment ref="W5" authorId="0" shapeId="0">
      <text>
        <t>A – Ausfallwahrscheinlichkeit (1 &gt; 3 Jahre … 5 alle 6–8 Wochen)</t>
      </text>
    </comment>
    <comment ref="X5" authorId="0" shapeId="0">
      <text>
        <t>E – Entdeckungswahrscheinlichkeit (1 sofort … 5 nach 1 Monat)</t>
      </text>
    </comment>
    <comment ref="Y5" authorId="0" shapeId="0">
      <text>
        <t>Schichtfaktor – Standard vom Blatt Start; zeilenweise überschreibbar.</t>
      </text>
    </comment>
    <comment ref="Z5" authorId="0" shapeId="0">
      <text>
        <t>B = √(F²+IH²+Q²+AS²+US²+S²) / 2</t>
      </text>
    </comment>
    <comment ref="AA5" authorId="0" shapeId="0">
      <text>
        <t>RPZ = B × A × E × SF</t>
      </text>
    </comment>
    <comment ref="AF5" authorId="0" shapeId="0">
      <text>
        <t>Bewertung wird per Verknüpfung von dieser Maßnahme übernommen (wie in der Vorversion).</t>
      </text>
    </comment>
    <comment ref="AQ5" authorId="0" shapeId="0">
      <text>
        <t>Unveränderter Text der Vorversion (Stand 01).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image" Target="/xl/media/image2.png" Id="rId3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jpeg" Id="rId2"/><Relationship Type="http://schemas.openxmlformats.org/officeDocument/2006/relationships/image" Target="/xl/media/image5.jpeg" Id="rId3"/><Relationship Type="http://schemas.openxmlformats.org/officeDocument/2006/relationships/image" Target="/xl/media/image6.png" Id="rId4"/><Relationship Type="http://schemas.openxmlformats.org/officeDocument/2006/relationships/image" Target="/xl/media/image7.jpeg" Id="rId5"/><Relationship Type="http://schemas.openxmlformats.org/officeDocument/2006/relationships/image" Target="/xl/media/image8.jpeg" Id="rId6"/><Relationship Type="http://schemas.openxmlformats.org/officeDocument/2006/relationships/image" Target="/xl/media/image9.jpeg" Id="rId7"/><Relationship Type="http://schemas.openxmlformats.org/officeDocument/2006/relationships/image" Target="/xl/media/image10.jpeg" Id="rId8"/><Relationship Type="http://schemas.openxmlformats.org/officeDocument/2006/relationships/image" Target="/xl/media/image11.jpeg" Id="rId9"/><Relationship Type="http://schemas.openxmlformats.org/officeDocument/2006/relationships/image" Target="/xl/media/image12.jpeg" Id="rId10"/><Relationship Type="http://schemas.openxmlformats.org/officeDocument/2006/relationships/image" Target="/xl/media/image13.jpeg" Id="rId11"/><Relationship Type="http://schemas.openxmlformats.org/officeDocument/2006/relationships/image" Target="/xl/media/image14.jpeg" Id="rId12"/></Relationships>
</file>

<file path=xl/drawings/_rels/drawing4.xml.rels><Relationships xmlns="http://schemas.openxmlformats.org/package/2006/relationships"><Relationship Type="http://schemas.openxmlformats.org/officeDocument/2006/relationships/image" Target="/xl/media/image15.png" Id="rId1"/></Relationships>
</file>

<file path=xl/drawings/drawing1.xml><?xml version="1.0" encoding="utf-8"?>
<wsDr xmlns="http://schemas.openxmlformats.org/drawingml/2006/spreadsheetDrawing">
  <oneCellAnchor>
    <from>
      <col>5</col>
      <colOff>28575</colOff>
      <row>1</row>
      <rowOff>28575</rowOff>
    </from>
    <ext cx="2381250" cy="4857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36</row>
      <rowOff>0</rowOff>
    </from>
    <ext cx="4500000" cy="34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79</row>
      <rowOff>0</rowOff>
    </from>
    <ext cx="432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10</col>
      <colOff>28575</colOff>
      <row>0</row>
      <rowOff>28575</rowOff>
    </from>
    <ext cx="2095500" cy="4191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5</col>
      <colOff>28575</colOff>
      <row>14</row>
      <rowOff>28575</rowOff>
    </from>
    <ext cx="1428750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28575</colOff>
      <row>17</row>
      <rowOff>28575</rowOff>
    </from>
    <ext cx="1428750" cy="8382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28575</colOff>
      <row>22</row>
      <rowOff>28575</rowOff>
    </from>
    <ext cx="1428750" cy="8477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28575</colOff>
      <row>24</row>
      <rowOff>28575</rowOff>
    </from>
    <ext cx="1428750" cy="7239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28575</colOff>
      <row>46</row>
      <rowOff>28575</rowOff>
    </from>
    <ext cx="1428750" cy="9239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28575</colOff>
      <row>61</row>
      <rowOff>28575</rowOff>
    </from>
    <ext cx="1428750" cy="7810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28575</colOff>
      <row>64</row>
      <rowOff>28575</rowOff>
    </from>
    <ext cx="1419225" cy="9334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28575</colOff>
      <row>65</row>
      <rowOff>28575</rowOff>
    </from>
    <ext cx="1400175" cy="9334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28575</colOff>
      <row>66</row>
      <rowOff>28575</rowOff>
    </from>
    <ext cx="1419225" cy="9334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28575</colOff>
      <row>69</row>
      <rowOff>28575</rowOff>
    </from>
    <ext cx="1428750" cy="9144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28575</colOff>
      <row>72</row>
      <rowOff>28575</rowOff>
    </from>
    <ext cx="1428750" cy="9144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28575</colOff>
      <row>122</row>
      <rowOff>28575</rowOff>
    </from>
    <ext cx="1333500" cy="9334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1</col>
      <colOff>28575</colOff>
      <row>4</row>
      <rowOff>28575</rowOff>
    </from>
    <ext cx="6096000" cy="4591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ables/table1.xml><?xml version="1.0" encoding="utf-8"?>
<table xmlns="http://schemas.openxmlformats.org/spreadsheetml/2006/main" id="1" name="tblWartungsplan" displayName="tblWartungsplan" ref="A5:AQ123" headerRowCount="1">
  <autoFilter ref="A5:AQ123"/>
  <tableColumns count="43">
    <tableColumn id="1" name="Nr."/>
    <tableColumn id="2" name="Maßnahme"/>
    <tableColumn id="3" name="Art"/>
    <tableColumn id="4" name="Hilfsmittel &amp; Hinweise"/>
    <tableColumn id="5" name="Sollzustand / Prüfkriterium"/>
    <tableColumn id="6" name="Bild"/>
    <tableColumn id="7" name="Empfehlung (RPZ)"/>
    <tableColumn id="8" name="Intervall"/>
    <tableColumn id="9" name="Zuletzt durchgeführt"/>
    <tableColumn id="10" name="Nächster Termin"/>
    <tableColumn id="11" name="Tage"/>
    <tableColumn id="12" name="Status"/>
    <tableColumn id="13" name="Ausführung durch"/>
    <tableColumn id="14" name="Durchgeführt von"/>
    <tableColumn id="15" name="Befund"/>
    <tableColumn id="16" name="Bemerkung / Begründung"/>
    <tableColumn id="17" name="F"/>
    <tableColumn id="18" name="IH"/>
    <tableColumn id="19" name="Q"/>
    <tableColumn id="20" name="AS"/>
    <tableColumn id="21" name="US"/>
    <tableColumn id="22" name="S"/>
    <tableColumn id="23" name="A"/>
    <tableColumn id="24" name="E"/>
    <tableColumn id="25" name="SF"/>
    <tableColumn id="26" name="B"/>
    <tableColumn id="27" name="RPZ"/>
    <tableColumn id="28" name="Risikoklasse"/>
    <tableColumn id="29" name="Relevanz AS/Q/US"/>
    <tableColumn id="30" name="Instandsetzung bei Ausfall"/>
    <tableColumn id="31" name="Plan-Zeit [min]"/>
    <tableColumn id="32" name="Bewertung übernommen von"/>
    <tableColumn id="33" name="Baugruppe"/>
    <tableColumn id="34" name="Zeilentyp"/>
    <tableColumn id="35" name="Int. Anzahl"/>
    <tableColumn id="36" name="Int. Einheit"/>
    <tableColumn id="37" name="Int. Tage"/>
    <tableColumn id="38" name="Durchf. pro Jahr"/>
    <tableColumn id="39" name="Aufwand [h/Jahr]"/>
    <tableColumn id="40" name="Rang RPZ"/>
    <tableColumn id="41" name="Rang Termin"/>
    <tableColumn id="42" name="Nr. Vorversion"/>
    <tableColumn id="43" name="Originaltext Vorversion"/>
  </tableColumns>
  <tableStyleInfo name="TableStyleLight1" showRowStripes="0"/>
</table>
</file>

<file path=xl/tables/table2.xml><?xml version="1.0" encoding="utf-8"?>
<table xmlns="http://schemas.openxmlformats.org/spreadsheetml/2006/main" id="2" name="tblOffenePunkte" displayName="tblOffenePunkte" ref="B6:J19" headerRowCount="1">
  <autoFilter ref="B6:J19"/>
  <tableColumns count="9">
    <tableColumn id="2" name="Nr."/>
    <tableColumn id="3" name="Bereich"/>
    <tableColumn id="4" name="Befund"/>
    <tableColumn id="5" name="Auswirkung"/>
    <tableColumn id="6" name="Empfohlene Maßnahme"/>
    <tableColumn id="7" name="Priorität"/>
    <tableColumn id="8" name="Verantwortlich"/>
    <tableColumn id="9" name="Termin"/>
    <tableColumn id="10" name="Status"/>
  </tableColumns>
  <tableStyleInfo name="TableStyleLight1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Dashboard'!A1" TargetMode="External" Id="rId1"/><Relationship Type="http://schemas.openxmlformats.org/officeDocument/2006/relationships/hyperlink" Target="#'Wartungsplan'!A1" TargetMode="External" Id="rId2"/><Relationship Type="http://schemas.openxmlformats.org/officeDocument/2006/relationships/hyperlink" Target="#'Bewertung &amp; Methodik'!A1" TargetMode="External" Id="rId3"/><Relationship Type="http://schemas.openxmlformats.org/officeDocument/2006/relationships/hyperlink" Target="#'Anlagen&#252;bersicht'!A1" TargetMode="External" Id="rId4"/><Relationship Type="http://schemas.openxmlformats.org/officeDocument/2006/relationships/hyperlink" Target="#'Einstellungen'!A1" TargetMode="External" Id="rId5"/><Relationship Type="http://schemas.openxmlformats.org/officeDocument/2006/relationships/hyperlink" Target="#'Dokumentation'!A1" TargetMode="External" Id="rId6"/><Relationship Type="http://schemas.openxmlformats.org/officeDocument/2006/relationships/drawing" Target="/xl/drawings/drawing1.xml" Id="rId7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table" Target="/xl/tables/table1.xml" Id="rId2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B2:G55"/>
  <sheetViews>
    <sheetView showGridLines="0" tabSelected="1" zoomScale="9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" customWidth="1" min="8" max="8"/>
  </cols>
  <sheetData>
    <row r="2" ht="28" customHeight="1">
      <c r="B2" s="1" t="inlineStr">
        <is>
          <t>Wartungsplan – große Wartung</t>
        </is>
      </c>
    </row>
    <row r="3">
      <c r="B3" s="2" t="inlineStr">
        <is>
          <t>Horizontale hydraulische Simultanbalgmaschine (HSIM) · Intervalle, Termine und risikobasierte Bewertung (RPZ)</t>
        </is>
      </c>
    </row>
    <row r="4">
      <c r="B4" s="3" t="n"/>
      <c r="C4" s="3" t="n"/>
      <c r="D4" s="3" t="n"/>
      <c r="E4" s="3" t="n"/>
      <c r="F4" s="3" t="n"/>
      <c r="G4" s="3" t="n"/>
    </row>
    <row r="6">
      <c r="B6" s="4" t="inlineStr">
        <is>
          <t>So funktioniert der Plan – 3 Schritte im Alltag</t>
        </is>
      </c>
    </row>
    <row r="7" ht="34" customHeight="1">
      <c r="B7" s="5" t="inlineStr">
        <is>
          <t>1  Intervall wählen</t>
        </is>
      </c>
      <c r="C7" s="6" t="inlineStr">
        <is>
          <t>Im Blatt „Wartungsplan“ in der Spalte Intervall aus der Liste wählen (wöchentlich … jährlich) oder frei eintippen, z. B. „2 Jahre“. Vorbelegt ist das empfohlene Intervall aus der Risikobewertung.</t>
        </is>
      </c>
      <c r="D7" s="7" t="n"/>
      <c r="E7" s="7" t="n"/>
      <c r="F7" s="7" t="n"/>
      <c r="G7" s="7" t="n"/>
    </row>
    <row r="8" ht="34" customHeight="1">
      <c r="B8" s="5" t="inlineStr">
        <is>
          <t>2  Datum eintragen</t>
        </is>
      </c>
      <c r="C8" s="6" t="inlineStr">
        <is>
          <t>Nach jeder Durchführung das Datum in „Zuletzt durchgeführt“ eintragen – dazu Befund und Namen.</t>
        </is>
      </c>
      <c r="D8" s="7" t="n"/>
      <c r="E8" s="7" t="n"/>
      <c r="F8" s="7" t="n"/>
      <c r="G8" s="7" t="n"/>
    </row>
    <row r="9" ht="34" customHeight="1">
      <c r="B9" s="5" t="inlineStr">
        <is>
          <t>3  Ampel beachten</t>
        </is>
      </c>
      <c r="C9" s="6" t="inlineStr">
        <is>
          <t>Nächster Termin und Status werden automatisch berechnet: rot = überfällig, gelb = fällig, grün = in Ordnung. Das Dashboard zeigt alle fälligen Maßnahmen auf einen Blick.</t>
        </is>
      </c>
      <c r="D9" s="7" t="n"/>
      <c r="E9" s="7" t="n"/>
      <c r="F9" s="7" t="n"/>
      <c r="G9" s="7" t="n"/>
    </row>
    <row r="11">
      <c r="B11" s="4" t="inlineStr">
        <is>
          <t>Legende</t>
        </is>
      </c>
    </row>
    <row r="12">
      <c r="B12" s="8" t="inlineStr">
        <is>
          <t>Eingabe</t>
        </is>
      </c>
      <c r="C12" s="6" t="inlineStr">
        <is>
          <t>gelb = hier eintragen oder auswählen</t>
        </is>
      </c>
      <c r="D12" s="7" t="n"/>
      <c r="E12" s="7" t="n"/>
      <c r="F12" s="7" t="n"/>
      <c r="G12" s="7" t="n"/>
    </row>
    <row r="13">
      <c r="B13" s="9" t="inlineStr">
        <is>
          <t>Formel</t>
        </is>
      </c>
      <c r="C13" s="6" t="inlineStr">
        <is>
          <t>weiß = wird automatisch berechnet</t>
        </is>
      </c>
      <c r="D13" s="7" t="n"/>
      <c r="E13" s="7" t="n"/>
      <c r="F13" s="7" t="n"/>
      <c r="G13" s="7" t="n"/>
    </row>
    <row r="14">
      <c r="B14" s="10" t="inlineStr">
        <is>
          <t>Vorschlag</t>
        </is>
      </c>
      <c r="C14" s="6" t="inlineStr">
        <is>
          <t>grau kursiv = Vorschlag, durch Instandhaltung freizugeben</t>
        </is>
      </c>
      <c r="D14" s="7" t="n"/>
      <c r="E14" s="7" t="n"/>
      <c r="F14" s="7" t="n"/>
      <c r="G14" s="7" t="n"/>
    </row>
    <row r="15">
      <c r="B15" s="11" t="inlineStr">
        <is>
          <t>überfällig</t>
        </is>
      </c>
      <c r="C15" s="6" t="inlineStr">
        <is>
          <t>Fälligkeitstermin überschritten – sofort durchführen</t>
        </is>
      </c>
      <c r="D15" s="7" t="n"/>
      <c r="E15" s="7" t="n"/>
      <c r="F15" s="7" t="n"/>
      <c r="G15" s="7" t="n"/>
    </row>
    <row r="16">
      <c r="B16" s="12" t="inlineStr">
        <is>
          <t>fällig</t>
        </is>
      </c>
      <c r="C16" s="6" t="inlineStr">
        <is>
          <t>wird innerhalb der Vorwarnzeit fällig – einplanen</t>
        </is>
      </c>
      <c r="D16" s="7" t="n"/>
      <c r="E16" s="7" t="n"/>
      <c r="F16" s="7" t="n"/>
      <c r="G16" s="7" t="n"/>
    </row>
    <row r="17">
      <c r="B17" s="13" t="inlineStr">
        <is>
          <t>in Ordnung</t>
        </is>
      </c>
      <c r="C17" s="6" t="inlineStr">
        <is>
          <t>fristgerecht durchgeführt</t>
        </is>
      </c>
      <c r="D17" s="7" t="n"/>
      <c r="E17" s="7" t="n"/>
      <c r="F17" s="7" t="n"/>
      <c r="G17" s="7" t="n"/>
    </row>
    <row r="18">
      <c r="B18" s="14" t="inlineStr">
        <is>
          <t>nicht erfasst</t>
        </is>
      </c>
      <c r="C18" s="6" t="inlineStr">
        <is>
          <t>noch kein Datum der letzten Durchführung eingetragen</t>
        </is>
      </c>
      <c r="D18" s="7" t="n"/>
      <c r="E18" s="7" t="n"/>
      <c r="F18" s="7" t="n"/>
      <c r="G18" s="7" t="n"/>
    </row>
    <row r="19">
      <c r="B19" s="15" t="inlineStr">
        <is>
          <t>Intervall prüfen</t>
        </is>
      </c>
      <c r="C19" s="6" t="inlineStr">
        <is>
          <t>Intervall-Eingabe nicht erkannt (Schreibweise: Zahl + Einheit, z. B. „2 Jahre“)</t>
        </is>
      </c>
      <c r="D19" s="7" t="n"/>
      <c r="E19" s="7" t="n"/>
      <c r="F19" s="7" t="n"/>
      <c r="G19" s="7" t="n"/>
    </row>
    <row r="20">
      <c r="B20" s="15" t="inlineStr">
        <is>
          <t>Intervall fehlt</t>
        </is>
      </c>
      <c r="C20" s="6" t="inlineStr">
        <is>
          <t>kein Intervall festgelegt (z. B. weil die Risikobewertung unvollständig ist)</t>
        </is>
      </c>
      <c r="D20" s="7" t="n"/>
      <c r="E20" s="7" t="n"/>
      <c r="F20" s="7" t="n"/>
      <c r="G20" s="7" t="n"/>
    </row>
    <row r="22">
      <c r="B22" s="4" t="inlineStr">
        <is>
          <t>Stammdaten der Anlage</t>
        </is>
      </c>
    </row>
    <row r="23">
      <c r="B23" s="16" t="inlineStr">
        <is>
          <t>Maschinenbezeichnung</t>
        </is>
      </c>
      <c r="C23" s="17" t="inlineStr">
        <is>
          <t>Horizontale hydraulische Simultanbalgmaschine (HSIM)</t>
        </is>
      </c>
      <c r="D23" s="18" t="n"/>
      <c r="E23" s="18" t="n"/>
      <c r="F23" s="18" t="n"/>
      <c r="G23" s="18" t="n"/>
    </row>
    <row r="24">
      <c r="B24" s="16" t="inlineStr">
        <is>
          <t>Equipmentnummer (SAP)</t>
        </is>
      </c>
      <c r="C24" s="17" t="n"/>
      <c r="D24" s="18" t="n"/>
      <c r="E24" s="18" t="n"/>
      <c r="F24" s="18" t="n"/>
      <c r="G24" s="18" t="n"/>
    </row>
    <row r="25">
      <c r="B25" s="16" t="inlineStr">
        <is>
          <t>Standort / Kostenstelle</t>
        </is>
      </c>
      <c r="C25" s="17" t="n"/>
      <c r="D25" s="18" t="n"/>
      <c r="E25" s="18" t="n"/>
      <c r="F25" s="18" t="n"/>
      <c r="G25" s="18" t="n"/>
    </row>
    <row r="26">
      <c r="B26" s="16" t="inlineStr">
        <is>
          <t>Hersteller / Baujahr</t>
        </is>
      </c>
      <c r="C26" s="17" t="n"/>
      <c r="D26" s="18" t="n"/>
      <c r="E26" s="18" t="n"/>
      <c r="F26" s="18" t="n"/>
      <c r="G26" s="18" t="n"/>
    </row>
    <row r="27">
      <c r="B27" s="16" t="inlineStr">
        <is>
          <t>Schichtmodell</t>
        </is>
      </c>
      <c r="C27" s="17" t="inlineStr">
        <is>
          <t>3-Schicht</t>
        </is>
      </c>
      <c r="D27" s="18" t="n"/>
      <c r="E27" s="18" t="n"/>
      <c r="F27" s="18" t="n"/>
      <c r="G27" s="18" t="n"/>
    </row>
    <row r="28">
      <c r="B28" s="16" t="inlineStr">
        <is>
          <t>Schichtfaktor SF (automatisch)</t>
        </is>
      </c>
      <c r="C28" s="19">
        <f>IFERROR(INDEX(SF_Wert,MATCH(C27,SF_Modell,0)),1)</f>
        <v/>
      </c>
      <c r="D28" s="7" t="n"/>
      <c r="E28" s="7" t="n"/>
      <c r="F28" s="7" t="n"/>
      <c r="G28" s="7" t="n"/>
    </row>
    <row r="30">
      <c r="B30" s="4" t="inlineStr">
        <is>
          <t>Dokumentenlenkung &amp; Freigabe</t>
        </is>
      </c>
    </row>
    <row r="31">
      <c r="B31" s="16" t="inlineStr">
        <is>
          <t>Verantwortlich für Änderungen</t>
        </is>
      </c>
      <c r="C31" s="17" t="inlineStr">
        <is>
          <t>fz-pA / H. Mrugalla</t>
        </is>
      </c>
      <c r="D31" s="18" t="n"/>
      <c r="E31" s="18" t="n"/>
      <c r="F31" s="18" t="n"/>
      <c r="G31" s="18" t="n"/>
    </row>
    <row r="32">
      <c r="B32" s="16" t="inlineStr">
        <is>
          <t>Stand / Version</t>
        </is>
      </c>
      <c r="C32" s="17" t="inlineStr">
        <is>
          <t>03 (Entwurf – Freigabe ausstehend)</t>
        </is>
      </c>
      <c r="D32" s="18" t="n"/>
      <c r="E32" s="18" t="n"/>
      <c r="F32" s="18" t="n"/>
      <c r="G32" s="18" t="n"/>
    </row>
    <row r="33">
      <c r="B33" s="16" t="inlineStr">
        <is>
          <t>Datum Stand</t>
        </is>
      </c>
      <c r="C33" s="20">
        <f>DATE(2026,10,17)</f>
        <v/>
      </c>
      <c r="D33" s="18" t="n"/>
      <c r="E33" s="18" t="n"/>
      <c r="F33" s="18" t="n"/>
      <c r="G33" s="18" t="n"/>
    </row>
    <row r="34">
      <c r="B34" s="16" t="inlineStr">
        <is>
          <t>Überarbeitet von</t>
        </is>
      </c>
      <c r="C34" s="17" t="n"/>
      <c r="D34" s="18" t="n"/>
      <c r="E34" s="18" t="n"/>
      <c r="F34" s="18" t="n"/>
      <c r="G34" s="18" t="n"/>
    </row>
    <row r="35">
      <c r="B35" s="16" t="inlineStr">
        <is>
          <t>Nächste Überprüfung der Bewertung</t>
        </is>
      </c>
      <c r="C35" s="21">
        <f>EDATE(C33,12)</f>
        <v/>
      </c>
      <c r="D35" s="7" t="n"/>
      <c r="E35" s="7" t="n"/>
      <c r="F35" s="7" t="n"/>
      <c r="G35" s="7" t="n"/>
    </row>
    <row r="37" ht="18" customHeight="1">
      <c r="B37" s="22" t="inlineStr">
        <is>
          <t>Freigabe durch</t>
        </is>
      </c>
      <c r="C37" s="22" t="inlineStr">
        <is>
          <t>Name</t>
        </is>
      </c>
      <c r="D37" s="22" t="inlineStr">
        <is>
          <t>Datum</t>
        </is>
      </c>
      <c r="E37" s="22" t="inlineStr">
        <is>
          <t>Unterschrift</t>
        </is>
      </c>
      <c r="F37" s="23" t="n"/>
      <c r="G37" s="24" t="n"/>
    </row>
    <row r="38" ht="22" customHeight="1">
      <c r="B38" s="6" t="inlineStr">
        <is>
          <t>Instandhaltung (Ersteller)</t>
        </is>
      </c>
      <c r="C38" s="25" t="n"/>
      <c r="D38" s="26" t="n"/>
      <c r="E38" s="25" t="n"/>
      <c r="F38" s="18" t="n"/>
      <c r="G38" s="18" t="n"/>
    </row>
    <row r="39" ht="22" customHeight="1">
      <c r="B39" s="6" t="inlineStr">
        <is>
          <t>Produktion / Fertigung</t>
        </is>
      </c>
      <c r="C39" s="25" t="n"/>
      <c r="D39" s="26" t="n"/>
      <c r="E39" s="25" t="n"/>
      <c r="F39" s="18" t="n"/>
      <c r="G39" s="18" t="n"/>
    </row>
    <row r="40" ht="22" customHeight="1">
      <c r="B40" s="6" t="inlineStr">
        <is>
          <t>Qualitätsmanagement</t>
        </is>
      </c>
      <c r="C40" s="25" t="n"/>
      <c r="D40" s="26" t="n"/>
      <c r="E40" s="25" t="n"/>
      <c r="F40" s="18" t="n"/>
      <c r="G40" s="18" t="n"/>
    </row>
    <row r="41" ht="22" customHeight="1">
      <c r="B41" s="6" t="inlineStr">
        <is>
          <t>Arbeitssicherheit / Umwelt</t>
        </is>
      </c>
      <c r="C41" s="25" t="n"/>
      <c r="D41" s="26" t="n"/>
      <c r="E41" s="25" t="n"/>
      <c r="F41" s="18" t="n"/>
      <c r="G41" s="18" t="n"/>
    </row>
    <row r="43">
      <c r="B43" s="4" t="inlineStr">
        <is>
          <t>Änderungshistorie</t>
        </is>
      </c>
    </row>
    <row r="44" ht="18" customHeight="1">
      <c r="B44" s="22" t="inlineStr">
        <is>
          <t>Stand</t>
        </is>
      </c>
      <c r="C44" s="22" t="inlineStr">
        <is>
          <t>Datum</t>
        </is>
      </c>
      <c r="D44" s="22" t="inlineStr">
        <is>
          <t>Änderung</t>
        </is>
      </c>
      <c r="E44" s="23" t="n"/>
      <c r="F44" s="24" t="n"/>
      <c r="G44" s="22" t="inlineStr">
        <is>
          <t>Bearbeiter</t>
        </is>
      </c>
    </row>
    <row r="45" ht="20" customHeight="1">
      <c r="B45" s="6" t="inlineStr">
        <is>
          <t>01</t>
        </is>
      </c>
      <c r="C45" s="6" t="inlineStr">
        <is>
          <t>03.02.2009</t>
        </is>
      </c>
      <c r="D45" s="6" t="inlineStr">
        <is>
          <t>Ersterstellung Wartungsintervallberechnung</t>
        </is>
      </c>
      <c r="E45" s="7" t="n"/>
      <c r="F45" s="7" t="n"/>
      <c r="G45" s="6" t="inlineStr">
        <is>
          <t>fz-pA / H. Mrugalla</t>
        </is>
      </c>
    </row>
    <row r="46" ht="40" customHeight="1">
      <c r="B46" s="6" t="inlineStr">
        <is>
          <t>02</t>
        </is>
      </c>
      <c r="C46" s="6" t="inlineStr">
        <is>
          <t>17.10.2026</t>
        </is>
      </c>
      <c r="D46" s="6" t="inlineStr">
        <is>
          <t>Strukturelle Überarbeitung, Ampellogik, Dashboard, Bewertungskatalog, offene Punkte (Entwurf)</t>
        </is>
      </c>
      <c r="E46" s="7" t="n"/>
      <c r="F46" s="7" t="n"/>
      <c r="G46" s="27" t="n"/>
    </row>
    <row r="47" ht="40" customHeight="1">
      <c r="B47" s="6" t="inlineStr">
        <is>
          <t>03 (Entwurf)</t>
        </is>
      </c>
      <c r="C47" s="6" t="inlineStr">
        <is>
          <t>17.10.2026</t>
        </is>
      </c>
      <c r="D47" s="6" t="inlineStr">
        <is>
          <t>Vereinfachung: 7 statt 11 Blätter; Plan und Durchführungsnachweis zusammengeführt; flexible Intervalle (Standardliste + freie Eingabe, kalendergenaue Termine); Status-Ampel; Dashboard mit Fälligkeitsliste und Erfüllungsgrad.</t>
        </is>
      </c>
      <c r="E47" s="7" t="n"/>
      <c r="F47" s="7" t="n"/>
      <c r="G47" s="27" t="n"/>
    </row>
    <row r="49">
      <c r="B49" s="4" t="inlineStr">
        <is>
          <t>Blätter dieser Datei</t>
        </is>
      </c>
    </row>
    <row r="50" ht="20" customHeight="1">
      <c r="B50" s="28" t="inlineStr">
        <is>
          <t>Dashboard</t>
        </is>
      </c>
      <c r="C50" s="6" t="inlineStr">
        <is>
          <t>Status heute, fällige Maßnahmen, Intervalle, Erfüllungsgrad, Risikoauswertung</t>
        </is>
      </c>
      <c r="D50" s="7" t="n"/>
      <c r="E50" s="7" t="n"/>
      <c r="F50" s="7" t="n"/>
      <c r="G50" s="7" t="n"/>
    </row>
    <row r="51" ht="20" customHeight="1">
      <c r="B51" s="28" t="inlineStr">
        <is>
          <t>Wartungsplan</t>
        </is>
      </c>
      <c r="C51" s="6" t="inlineStr">
        <is>
          <t>Arbeitsblatt für alles: Maßnahmen, Intervall, Termine, Status, Nachweis – Risikobewertung per [+] einblendbar</t>
        </is>
      </c>
      <c r="D51" s="7" t="n"/>
      <c r="E51" s="7" t="n"/>
      <c r="F51" s="7" t="n"/>
      <c r="G51" s="7" t="n"/>
    </row>
    <row r="52" ht="20" customHeight="1">
      <c r="B52" s="28" t="inlineStr">
        <is>
          <t>Bewertung &amp; Methodik</t>
        </is>
      </c>
      <c r="C52" s="6" t="inlineStr">
        <is>
          <t>Bewertungsskalen 1–5, Berechnung der RPZ, Rechenbeispiel, Bewertungsregeln</t>
        </is>
      </c>
      <c r="D52" s="7" t="n"/>
      <c r="E52" s="7" t="n"/>
      <c r="F52" s="7" t="n"/>
      <c r="G52" s="7" t="n"/>
    </row>
    <row r="53" ht="20" customHeight="1">
      <c r="B53" s="28" t="inlineStr">
        <is>
          <t>Anlagenübersicht</t>
        </is>
      </c>
      <c r="C53" s="6" t="inlineStr">
        <is>
          <t>Übersichtszeichnung mit Positionen und Zuordnung zum Plan</t>
        </is>
      </c>
      <c r="D53" s="7" t="n"/>
      <c r="E53" s="7" t="n"/>
      <c r="F53" s="7" t="n"/>
      <c r="G53" s="7" t="n"/>
    </row>
    <row r="54" ht="20" customHeight="1">
      <c r="B54" s="28" t="inlineStr">
        <is>
          <t>Einstellungen</t>
        </is>
      </c>
      <c r="C54" s="6" t="inlineStr">
        <is>
          <t>Intervallkatalog, Grenzwerte, empfohlene Intervalle, Schichtfaktor, Auswahllisten</t>
        </is>
      </c>
      <c r="D54" s="7" t="n"/>
      <c r="E54" s="7" t="n"/>
      <c r="F54" s="7" t="n"/>
      <c r="G54" s="7" t="n"/>
    </row>
    <row r="55" ht="20" customHeight="1">
      <c r="B55" s="28" t="inlineStr">
        <is>
          <t>Dokumentation</t>
        </is>
      </c>
      <c r="C55" s="6" t="inlineStr">
        <is>
          <t>Offene Punkte, Änderungsprotokoll, Vorschläge zur Weiterentwicklung</t>
        </is>
      </c>
      <c r="D55" s="7" t="n"/>
      <c r="E55" s="7" t="n"/>
      <c r="F55" s="7" t="n"/>
      <c r="G55" s="7" t="n"/>
    </row>
  </sheetData>
  <mergeCells count="38">
    <mergeCell ref="C34:G34"/>
    <mergeCell ref="C24:G24"/>
    <mergeCell ref="C15:G15"/>
    <mergeCell ref="C33:G33"/>
    <mergeCell ref="E40:G40"/>
    <mergeCell ref="C14:G14"/>
    <mergeCell ref="D47:F47"/>
    <mergeCell ref="C26:G26"/>
    <mergeCell ref="C35:G35"/>
    <mergeCell ref="C20:G20"/>
    <mergeCell ref="C16:G16"/>
    <mergeCell ref="C54:G54"/>
    <mergeCell ref="C50:G50"/>
    <mergeCell ref="C25:G25"/>
    <mergeCell ref="C55:G55"/>
    <mergeCell ref="C31:G31"/>
    <mergeCell ref="C9:G9"/>
    <mergeCell ref="E41:G41"/>
    <mergeCell ref="C12:G12"/>
    <mergeCell ref="E37:G37"/>
    <mergeCell ref="C51:G51"/>
    <mergeCell ref="C27:G27"/>
    <mergeCell ref="D44:F44"/>
    <mergeCell ref="C23:G23"/>
    <mergeCell ref="C8:G8"/>
    <mergeCell ref="C52:G52"/>
    <mergeCell ref="C17:G17"/>
    <mergeCell ref="C7:G7"/>
    <mergeCell ref="C32:G32"/>
    <mergeCell ref="D46:F46"/>
    <mergeCell ref="E39:G39"/>
    <mergeCell ref="C28:G28"/>
    <mergeCell ref="C19:G19"/>
    <mergeCell ref="D45:F45"/>
    <mergeCell ref="C53:G53"/>
    <mergeCell ref="C13:G13"/>
    <mergeCell ref="C18:G18"/>
    <mergeCell ref="E38:G38"/>
  </mergeCells>
  <dataValidations count="1">
    <dataValidation sqref="C27" showDropDown="0" showInputMessage="0" showErrorMessage="0" allowBlank="0" type="list">
      <formula1>=SF_Modell</formula1>
    </dataValidation>
  </dataValidations>
  <hyperlinks>
    <hyperlink xmlns:r="http://schemas.openxmlformats.org/officeDocument/2006/relationships" ref="B50" r:id="rId1"/>
    <hyperlink xmlns:r="http://schemas.openxmlformats.org/officeDocument/2006/relationships" ref="B51" r:id="rId2"/>
    <hyperlink xmlns:r="http://schemas.openxmlformats.org/officeDocument/2006/relationships" ref="B52" r:id="rId3"/>
    <hyperlink xmlns:r="http://schemas.openxmlformats.org/officeDocument/2006/relationships" ref="B53" r:id="rId4"/>
    <hyperlink xmlns:r="http://schemas.openxmlformats.org/officeDocument/2006/relationships" ref="B54" r:id="rId5"/>
    <hyperlink xmlns:r="http://schemas.openxmlformats.org/officeDocument/2006/relationships" ref="B55" r:id="rId6"/>
  </hyperlinks>
  <printOptions horizontalCentered="1"/>
  <pageMargins left="0.4" right="0.4" top="0.6" bottom="0.6" header="0.5" footer="0.5"/>
  <pageSetup orientation="portrait" paperSize="9" fitToHeight="0" fitToWidth="1"/>
  <headerFooter>
    <oddHeader>&amp;R&amp;"Arial"&amp;8 &amp;A</oddHeader>
    <oddFooter>&amp;L&amp;"Arial"&amp;8 Verantwortlich für Änderungen: fz-pA / H. Mrugalla&amp;C&amp;"Arial"&amp;8 Seite &amp;P von &amp;N&amp;R&amp;"Arial"&amp;8 Stand 03 (Entwurf) / 17.10.2026     Druckdatum: &amp;D</oddFooter>
    <evenHeader/>
    <evenFooter/>
    <firstHeader/>
    <firstFooter/>
  </headerFooter>
  <drawing xmlns:r="http://schemas.openxmlformats.org/officeDocument/2006/relationships" r:id="rId7"/>
</worksheet>
</file>

<file path=xl/worksheets/sheet2.xml><?xml version="1.0" encoding="utf-8"?>
<worksheet xmlns="http://schemas.openxmlformats.org/spreadsheetml/2006/main">
  <sheetPr>
    <tabColor rgb="00C00000"/>
    <outlinePr summaryBelow="1" summaryRight="1"/>
    <pageSetUpPr fitToPage="1"/>
  </sheetPr>
  <dimension ref="B1:M118"/>
  <sheetViews>
    <sheetView showGridLines="0" tabSelected="0" zoomScale="90" workbookViewId="0">
      <selection activeCell="A1" sqref="A1"/>
    </sheetView>
  </sheetViews>
  <sheetFormatPr baseColWidth="8" defaultRowHeight="15"/>
  <cols>
    <col width="2" customWidth="1" min="1" max="1"/>
    <col width="11.5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  <col width="11.5" customWidth="1" min="11" max="11"/>
    <col width="11.5" customWidth="1" min="12" max="12"/>
    <col width="11.5" customWidth="1" min="13" max="13"/>
    <col width="2" customWidth="1" min="14" max="14"/>
  </cols>
  <sheetData>
    <row r="1">
      <c r="B1" s="29" t="inlineStr">
        <is>
          <t>Dashboard – Wartungsplan HSIM</t>
        </is>
      </c>
    </row>
    <row r="2">
      <c r="B2" s="30">
        <f>M_Name&amp;"   ·   Equipment-Nr.: "&amp;IF(M_Equipment="","–",M_Equipment)&amp;"   ·   Stand: "&amp;TEXT(TODAY(),"DD.MM.YYYY")</f>
        <v/>
      </c>
    </row>
    <row r="3"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</row>
    <row r="5">
      <c r="B5" s="4" t="inlineStr">
        <is>
          <t>Status heute</t>
        </is>
      </c>
    </row>
    <row r="6">
      <c r="B6" s="11" t="inlineStr">
        <is>
          <t>ÜBERFÄLLIG</t>
        </is>
      </c>
      <c r="C6" s="31" t="n"/>
      <c r="D6" s="31" t="n"/>
      <c r="E6" s="12" t="inlineStr">
        <is>
          <t>FÄLLIG</t>
        </is>
      </c>
      <c r="F6" s="32" t="n"/>
      <c r="G6" s="32" t="n"/>
      <c r="H6" s="13" t="inlineStr">
        <is>
          <t>IN ORDNUNG</t>
        </is>
      </c>
      <c r="I6" s="33" t="n"/>
      <c r="J6" s="33" t="n"/>
      <c r="K6" s="34" t="inlineStr">
        <is>
          <t>ERFÜLLUNGSGRAD</t>
        </is>
      </c>
      <c r="L6" s="35" t="n"/>
      <c r="M6" s="35" t="n"/>
    </row>
    <row r="7" ht="20" customHeight="1">
      <c r="B7" s="36">
        <f>COUNTIF(Wartungsplan!$L$6:$L$323,"überfällig")</f>
        <v/>
      </c>
      <c r="C7" s="31" t="n"/>
      <c r="D7" s="31" t="n"/>
      <c r="E7" s="37">
        <f>COUNTIF(Wartungsplan!$L$6:$L$323,"fällig")</f>
        <v/>
      </c>
      <c r="F7" s="32" t="n"/>
      <c r="G7" s="32" t="n"/>
      <c r="H7" s="38">
        <f>COUNTIF(Wartungsplan!$L$6:$L$323,"in Ordnung")</f>
        <v/>
      </c>
      <c r="I7" s="33" t="n"/>
      <c r="J7" s="33" t="n"/>
      <c r="K7" s="39">
        <f>IFERROR((COUNTIF(Wartungsplan!$L$6:$L$323,"in Ordnung")+COUNTIF(Wartungsplan!$L$6:$L$323,"fällig"))/(COUNTIF(Wartungsplan!$L$6:$L$323,"in Ordnung")+COUNTIF(Wartungsplan!$L$6:$L$323,"fällig")+COUNTIF(Wartungsplan!$L$6:$L$323,"überfällig")),"–")</f>
        <v/>
      </c>
      <c r="L7" s="35" t="n"/>
      <c r="M7" s="35" t="n"/>
    </row>
    <row r="8" ht="20" customHeight="1">
      <c r="B8" s="31" t="n"/>
      <c r="C8" s="31" t="n"/>
      <c r="D8" s="31" t="n"/>
      <c r="E8" s="32" t="n"/>
      <c r="F8" s="32" t="n"/>
      <c r="G8" s="32" t="n"/>
      <c r="H8" s="33" t="n"/>
      <c r="I8" s="33" t="n"/>
      <c r="J8" s="33" t="n"/>
      <c r="K8" s="35" t="n"/>
      <c r="L8" s="35" t="n"/>
      <c r="M8" s="35" t="n"/>
    </row>
    <row r="9">
      <c r="B9" s="40" t="inlineStr">
        <is>
          <t>Termin überschritten</t>
        </is>
      </c>
      <c r="C9" s="31" t="n"/>
      <c r="D9" s="31" t="n"/>
      <c r="E9" s="41">
        <f>"in den nächsten "&amp;P_Vorwarn&amp;" Tagen"</f>
        <v/>
      </c>
      <c r="F9" s="32" t="n"/>
      <c r="G9" s="32" t="n"/>
      <c r="H9" s="42" t="inlineStr">
        <is>
          <t>fristgerecht erledigt</t>
        </is>
      </c>
      <c r="I9" s="33" t="n"/>
      <c r="J9" s="33" t="n"/>
      <c r="K9" s="43" t="inlineStr">
        <is>
          <t>nicht überfällig / erfasste Maßnahmen</t>
        </is>
      </c>
      <c r="L9" s="35" t="n"/>
      <c r="M9" s="35" t="n"/>
    </row>
    <row r="11">
      <c r="B11" s="44" t="inlineStr">
        <is>
          <t>MASSNAHMEN GESAMT</t>
        </is>
      </c>
      <c r="C11" s="45" t="n"/>
      <c r="D11" s="45" t="n"/>
      <c r="E11" s="46" t="inlineStr">
        <is>
          <t>NOCH NICHT ERFASST</t>
        </is>
      </c>
      <c r="F11" s="45" t="n"/>
      <c r="G11" s="45" t="n"/>
      <c r="H11" s="47" t="inlineStr">
        <is>
          <t>INTERVALL FEHLT / PRÜFEN</t>
        </is>
      </c>
      <c r="I11" s="45" t="n"/>
      <c r="J11" s="45" t="n"/>
      <c r="K11" s="44" t="inlineStr">
        <is>
          <t>ERFASSUNGSGRAD</t>
        </is>
      </c>
      <c r="L11" s="45" t="n"/>
      <c r="M11" s="45" t="n"/>
    </row>
    <row r="12">
      <c r="B12" s="48">
        <f>COUNTIF(Wartungsplan!$AH$6:$AH$323,"Maßnahme")</f>
        <v/>
      </c>
      <c r="C12" s="45" t="n"/>
      <c r="D12" s="45" t="n"/>
      <c r="E12" s="49">
        <f>COUNTIF(Wartungsplan!$L$6:$L$323,"nicht erfasst")</f>
        <v/>
      </c>
      <c r="F12" s="45" t="n"/>
      <c r="G12" s="45" t="n"/>
      <c r="H12" s="50">
        <f>COUNTIF(Wartungsplan!$L$6:$L$323,"Intervall fehlt")+COUNTIF(Wartungsplan!$L$6:$L$323,"Intervall prüfen")</f>
        <v/>
      </c>
      <c r="I12" s="45" t="n"/>
      <c r="J12" s="45" t="n"/>
      <c r="K12" s="51">
        <f>IFERROR(1-COUNTIF(Wartungsplan!$L$6:$L$323,"nicht erfasst")/COUNTIF(Wartungsplan!$AH$6:$AH$323,"Maßnahme"),0)</f>
        <v/>
      </c>
      <c r="L12" s="45" t="n"/>
      <c r="M12" s="45" t="n"/>
    </row>
    <row r="13">
      <c r="B13" s="45" t="n"/>
      <c r="C13" s="45" t="n"/>
      <c r="D13" s="45" t="n"/>
      <c r="E13" s="45" t="n"/>
      <c r="F13" s="45" t="n"/>
      <c r="G13" s="45" t="n"/>
      <c r="H13" s="45" t="n"/>
      <c r="I13" s="45" t="n"/>
      <c r="J13" s="45" t="n"/>
      <c r="K13" s="45" t="n"/>
      <c r="L13" s="45" t="n"/>
      <c r="M13" s="45" t="n"/>
    </row>
    <row r="14">
      <c r="B14" s="52" t="inlineStr">
        <is>
          <t>im Wartungsplan</t>
        </is>
      </c>
      <c r="C14" s="45" t="n"/>
      <c r="D14" s="45" t="n"/>
      <c r="E14" s="53" t="inlineStr">
        <is>
          <t>ohne Datum der letzten Durchführung</t>
        </is>
      </c>
      <c r="F14" s="45" t="n"/>
      <c r="G14" s="45" t="n"/>
      <c r="H14" s="54" t="inlineStr">
        <is>
          <t>siehe Spalte Status</t>
        </is>
      </c>
      <c r="I14" s="45" t="n"/>
      <c r="J14" s="45" t="n"/>
      <c r="K14" s="52" t="inlineStr">
        <is>
          <t>Maßnahmen mit Durchführungsdatum</t>
        </is>
      </c>
      <c r="L14" s="45" t="n"/>
      <c r="M14" s="45" t="n"/>
    </row>
    <row r="16">
      <c r="B16" s="55">
        <f>"Soll-Durchführungen pro Jahr: "&amp;TEXT(SUM(Wartungsplan!$AL$6:$AL$323),"0")&amp;"   ·   Geplanter Aufwand: "&amp;TEXT(SUM(Wartungsplan!$AM$6:$AM$323),"0.0")&amp;" h/Jahr (Plan-Zeit bei "&amp;COUNT(Wartungsplan!$AE$6:$AE$323)&amp;" von "&amp;COUNTIF(Wartungsplan!$AH$6:$AH$323,"Maßnahme")&amp;" Maßnahmen erfasst)   ·   Abweichend von RPZ-Empfehlung festgelegt: "&amp;SUMPRODUCT((Wartungsplan!$AH$6:$AH$323="Maßnahme")*(Wartungsplan!$H$6:$H$323&lt;&gt;"")*(Wartungsplan!$H$6:$H$323&lt;&gt;Wartungsplan!$G$6:$G$323))</f>
        <v/>
      </c>
      <c r="C16" s="45" t="n"/>
      <c r="D16" s="45" t="n"/>
      <c r="E16" s="45" t="n"/>
      <c r="F16" s="45" t="n"/>
      <c r="G16" s="45" t="n"/>
      <c r="H16" s="45" t="n"/>
      <c r="I16" s="45" t="n"/>
      <c r="J16" s="45" t="n"/>
      <c r="K16" s="45" t="n"/>
      <c r="L16" s="45" t="n"/>
      <c r="M16" s="45" t="n"/>
    </row>
    <row r="18">
      <c r="B18" s="4" t="inlineStr">
        <is>
          <t>Zu erledigen: überfällige und fällige Maßnahmen (nach Termin sortiert)</t>
        </is>
      </c>
    </row>
    <row r="19">
      <c r="B19" s="22" t="inlineStr">
        <is>
          <t>Nr.</t>
        </is>
      </c>
      <c r="C19" s="22" t="inlineStr">
        <is>
          <t>Maßnahme</t>
        </is>
      </c>
      <c r="D19" s="56" t="n"/>
      <c r="E19" s="56" t="n"/>
      <c r="F19" s="56" t="n"/>
      <c r="G19" s="56" t="n"/>
      <c r="H19" s="22" t="inlineStr">
        <is>
          <t>Baugruppe</t>
        </is>
      </c>
      <c r="I19" s="56" t="n"/>
      <c r="J19" s="22" t="inlineStr">
        <is>
          <t>Termin</t>
        </is>
      </c>
      <c r="K19" s="22" t="inlineStr">
        <is>
          <t>Tage</t>
        </is>
      </c>
      <c r="L19" s="22" t="inlineStr">
        <is>
          <t>Status</t>
        </is>
      </c>
      <c r="M19" s="22" t="inlineStr">
        <is>
          <t>Ausführung</t>
        </is>
      </c>
    </row>
    <row r="20" ht="24" customHeight="1">
      <c r="B20" s="57">
        <f>IFERROR(INDEX(Wartungsplan!$A$6:$A$323,MATCH(SMALL(Wartungsplan!$AO$6:$AO$323,1),Wartungsplan!$AO$6:$AO$323,0)),"")</f>
        <v/>
      </c>
      <c r="C20" s="58">
        <f>IFERROR(INDEX(Wartungsplan!$B$6:$B$323,MATCH(SMALL(Wartungsplan!$AO$6:$AO$323,1),Wartungsplan!$AO$6:$AO$323,0)),"")</f>
        <v/>
      </c>
      <c r="D20" s="7" t="n"/>
      <c r="E20" s="7" t="n"/>
      <c r="F20" s="7" t="n"/>
      <c r="G20" s="7" t="n"/>
      <c r="H20" s="59">
        <f>IFERROR(INDEX(Wartungsplan!$AG$6:$AG$323,MATCH(SMALL(Wartungsplan!$AO$6:$AO$323,1),Wartungsplan!$AO$6:$AO$323,0)),"")</f>
        <v/>
      </c>
      <c r="I20" s="7" t="n"/>
      <c r="J20" s="60">
        <f>IFERROR(INDEX(Wartungsplan!$J$6:$J$323,MATCH(SMALL(Wartungsplan!$AO$6:$AO$323,1),Wartungsplan!$AO$6:$AO$323,0)),"")</f>
        <v/>
      </c>
      <c r="K20" s="61">
        <f>IFERROR(INDEX(Wartungsplan!$K$6:$K$323,MATCH(SMALL(Wartungsplan!$AO$6:$AO$323,1),Wartungsplan!$AO$6:$AO$323,0)),"")</f>
        <v/>
      </c>
      <c r="L20" s="57">
        <f>IFERROR(INDEX(Wartungsplan!$L$6:$L$323,MATCH(SMALL(Wartungsplan!$AO$6:$AO$323,1),Wartungsplan!$AO$6:$AO$323,0)),"")</f>
        <v/>
      </c>
      <c r="M20" s="62">
        <f>IFERROR(INDEX(Wartungsplan!$M$6:$M$323,MATCH(SMALL(Wartungsplan!$AO$6:$AO$323,1),Wartungsplan!$AO$6:$AO$323,0)),"")</f>
        <v/>
      </c>
    </row>
    <row r="21" ht="24" customHeight="1">
      <c r="B21" s="57">
        <f>IFERROR(INDEX(Wartungsplan!$A$6:$A$323,MATCH(SMALL(Wartungsplan!$AO$6:$AO$323,2),Wartungsplan!$AO$6:$AO$323,0)),"")</f>
        <v/>
      </c>
      <c r="C21" s="58">
        <f>IFERROR(INDEX(Wartungsplan!$B$6:$B$323,MATCH(SMALL(Wartungsplan!$AO$6:$AO$323,2),Wartungsplan!$AO$6:$AO$323,0)),"")</f>
        <v/>
      </c>
      <c r="D21" s="7" t="n"/>
      <c r="E21" s="7" t="n"/>
      <c r="F21" s="7" t="n"/>
      <c r="G21" s="7" t="n"/>
      <c r="H21" s="59">
        <f>IFERROR(INDEX(Wartungsplan!$AG$6:$AG$323,MATCH(SMALL(Wartungsplan!$AO$6:$AO$323,2),Wartungsplan!$AO$6:$AO$323,0)),"")</f>
        <v/>
      </c>
      <c r="I21" s="7" t="n"/>
      <c r="J21" s="60">
        <f>IFERROR(INDEX(Wartungsplan!$J$6:$J$323,MATCH(SMALL(Wartungsplan!$AO$6:$AO$323,2),Wartungsplan!$AO$6:$AO$323,0)),"")</f>
        <v/>
      </c>
      <c r="K21" s="61">
        <f>IFERROR(INDEX(Wartungsplan!$K$6:$K$323,MATCH(SMALL(Wartungsplan!$AO$6:$AO$323,2),Wartungsplan!$AO$6:$AO$323,0)),"")</f>
        <v/>
      </c>
      <c r="L21" s="57">
        <f>IFERROR(INDEX(Wartungsplan!$L$6:$L$323,MATCH(SMALL(Wartungsplan!$AO$6:$AO$323,2),Wartungsplan!$AO$6:$AO$323,0)),"")</f>
        <v/>
      </c>
      <c r="M21" s="62">
        <f>IFERROR(INDEX(Wartungsplan!$M$6:$M$323,MATCH(SMALL(Wartungsplan!$AO$6:$AO$323,2),Wartungsplan!$AO$6:$AO$323,0)),"")</f>
        <v/>
      </c>
    </row>
    <row r="22" ht="24" customHeight="1">
      <c r="B22" s="57">
        <f>IFERROR(INDEX(Wartungsplan!$A$6:$A$323,MATCH(SMALL(Wartungsplan!$AO$6:$AO$323,3),Wartungsplan!$AO$6:$AO$323,0)),"")</f>
        <v/>
      </c>
      <c r="C22" s="58">
        <f>IFERROR(INDEX(Wartungsplan!$B$6:$B$323,MATCH(SMALL(Wartungsplan!$AO$6:$AO$323,3),Wartungsplan!$AO$6:$AO$323,0)),"")</f>
        <v/>
      </c>
      <c r="D22" s="7" t="n"/>
      <c r="E22" s="7" t="n"/>
      <c r="F22" s="7" t="n"/>
      <c r="G22" s="7" t="n"/>
      <c r="H22" s="59">
        <f>IFERROR(INDEX(Wartungsplan!$AG$6:$AG$323,MATCH(SMALL(Wartungsplan!$AO$6:$AO$323,3),Wartungsplan!$AO$6:$AO$323,0)),"")</f>
        <v/>
      </c>
      <c r="I22" s="7" t="n"/>
      <c r="J22" s="60">
        <f>IFERROR(INDEX(Wartungsplan!$J$6:$J$323,MATCH(SMALL(Wartungsplan!$AO$6:$AO$323,3),Wartungsplan!$AO$6:$AO$323,0)),"")</f>
        <v/>
      </c>
      <c r="K22" s="61">
        <f>IFERROR(INDEX(Wartungsplan!$K$6:$K$323,MATCH(SMALL(Wartungsplan!$AO$6:$AO$323,3),Wartungsplan!$AO$6:$AO$323,0)),"")</f>
        <v/>
      </c>
      <c r="L22" s="57">
        <f>IFERROR(INDEX(Wartungsplan!$L$6:$L$323,MATCH(SMALL(Wartungsplan!$AO$6:$AO$323,3),Wartungsplan!$AO$6:$AO$323,0)),"")</f>
        <v/>
      </c>
      <c r="M22" s="62">
        <f>IFERROR(INDEX(Wartungsplan!$M$6:$M$323,MATCH(SMALL(Wartungsplan!$AO$6:$AO$323,3),Wartungsplan!$AO$6:$AO$323,0)),"")</f>
        <v/>
      </c>
    </row>
    <row r="23" ht="24" customHeight="1">
      <c r="B23" s="57">
        <f>IFERROR(INDEX(Wartungsplan!$A$6:$A$323,MATCH(SMALL(Wartungsplan!$AO$6:$AO$323,4),Wartungsplan!$AO$6:$AO$323,0)),"")</f>
        <v/>
      </c>
      <c r="C23" s="58">
        <f>IFERROR(INDEX(Wartungsplan!$B$6:$B$323,MATCH(SMALL(Wartungsplan!$AO$6:$AO$323,4),Wartungsplan!$AO$6:$AO$323,0)),"")</f>
        <v/>
      </c>
      <c r="D23" s="7" t="n"/>
      <c r="E23" s="7" t="n"/>
      <c r="F23" s="7" t="n"/>
      <c r="G23" s="7" t="n"/>
      <c r="H23" s="59">
        <f>IFERROR(INDEX(Wartungsplan!$AG$6:$AG$323,MATCH(SMALL(Wartungsplan!$AO$6:$AO$323,4),Wartungsplan!$AO$6:$AO$323,0)),"")</f>
        <v/>
      </c>
      <c r="I23" s="7" t="n"/>
      <c r="J23" s="60">
        <f>IFERROR(INDEX(Wartungsplan!$J$6:$J$323,MATCH(SMALL(Wartungsplan!$AO$6:$AO$323,4),Wartungsplan!$AO$6:$AO$323,0)),"")</f>
        <v/>
      </c>
      <c r="K23" s="61">
        <f>IFERROR(INDEX(Wartungsplan!$K$6:$K$323,MATCH(SMALL(Wartungsplan!$AO$6:$AO$323,4),Wartungsplan!$AO$6:$AO$323,0)),"")</f>
        <v/>
      </c>
      <c r="L23" s="57">
        <f>IFERROR(INDEX(Wartungsplan!$L$6:$L$323,MATCH(SMALL(Wartungsplan!$AO$6:$AO$323,4),Wartungsplan!$AO$6:$AO$323,0)),"")</f>
        <v/>
      </c>
      <c r="M23" s="62">
        <f>IFERROR(INDEX(Wartungsplan!$M$6:$M$323,MATCH(SMALL(Wartungsplan!$AO$6:$AO$323,4),Wartungsplan!$AO$6:$AO$323,0)),"")</f>
        <v/>
      </c>
    </row>
    <row r="24" ht="24" customHeight="1">
      <c r="B24" s="57">
        <f>IFERROR(INDEX(Wartungsplan!$A$6:$A$323,MATCH(SMALL(Wartungsplan!$AO$6:$AO$323,5),Wartungsplan!$AO$6:$AO$323,0)),"")</f>
        <v/>
      </c>
      <c r="C24" s="58">
        <f>IFERROR(INDEX(Wartungsplan!$B$6:$B$323,MATCH(SMALL(Wartungsplan!$AO$6:$AO$323,5),Wartungsplan!$AO$6:$AO$323,0)),"")</f>
        <v/>
      </c>
      <c r="D24" s="7" t="n"/>
      <c r="E24" s="7" t="n"/>
      <c r="F24" s="7" t="n"/>
      <c r="G24" s="7" t="n"/>
      <c r="H24" s="59">
        <f>IFERROR(INDEX(Wartungsplan!$AG$6:$AG$323,MATCH(SMALL(Wartungsplan!$AO$6:$AO$323,5),Wartungsplan!$AO$6:$AO$323,0)),"")</f>
        <v/>
      </c>
      <c r="I24" s="7" t="n"/>
      <c r="J24" s="60">
        <f>IFERROR(INDEX(Wartungsplan!$J$6:$J$323,MATCH(SMALL(Wartungsplan!$AO$6:$AO$323,5),Wartungsplan!$AO$6:$AO$323,0)),"")</f>
        <v/>
      </c>
      <c r="K24" s="61">
        <f>IFERROR(INDEX(Wartungsplan!$K$6:$K$323,MATCH(SMALL(Wartungsplan!$AO$6:$AO$323,5),Wartungsplan!$AO$6:$AO$323,0)),"")</f>
        <v/>
      </c>
      <c r="L24" s="57">
        <f>IFERROR(INDEX(Wartungsplan!$L$6:$L$323,MATCH(SMALL(Wartungsplan!$AO$6:$AO$323,5),Wartungsplan!$AO$6:$AO$323,0)),"")</f>
        <v/>
      </c>
      <c r="M24" s="62">
        <f>IFERROR(INDEX(Wartungsplan!$M$6:$M$323,MATCH(SMALL(Wartungsplan!$AO$6:$AO$323,5),Wartungsplan!$AO$6:$AO$323,0)),"")</f>
        <v/>
      </c>
    </row>
    <row r="25" ht="24" customHeight="1">
      <c r="B25" s="57">
        <f>IFERROR(INDEX(Wartungsplan!$A$6:$A$323,MATCH(SMALL(Wartungsplan!$AO$6:$AO$323,6),Wartungsplan!$AO$6:$AO$323,0)),"")</f>
        <v/>
      </c>
      <c r="C25" s="58">
        <f>IFERROR(INDEX(Wartungsplan!$B$6:$B$323,MATCH(SMALL(Wartungsplan!$AO$6:$AO$323,6),Wartungsplan!$AO$6:$AO$323,0)),"")</f>
        <v/>
      </c>
      <c r="D25" s="7" t="n"/>
      <c r="E25" s="7" t="n"/>
      <c r="F25" s="7" t="n"/>
      <c r="G25" s="7" t="n"/>
      <c r="H25" s="59">
        <f>IFERROR(INDEX(Wartungsplan!$AG$6:$AG$323,MATCH(SMALL(Wartungsplan!$AO$6:$AO$323,6),Wartungsplan!$AO$6:$AO$323,0)),"")</f>
        <v/>
      </c>
      <c r="I25" s="7" t="n"/>
      <c r="J25" s="60">
        <f>IFERROR(INDEX(Wartungsplan!$J$6:$J$323,MATCH(SMALL(Wartungsplan!$AO$6:$AO$323,6),Wartungsplan!$AO$6:$AO$323,0)),"")</f>
        <v/>
      </c>
      <c r="K25" s="61">
        <f>IFERROR(INDEX(Wartungsplan!$K$6:$K$323,MATCH(SMALL(Wartungsplan!$AO$6:$AO$323,6),Wartungsplan!$AO$6:$AO$323,0)),"")</f>
        <v/>
      </c>
      <c r="L25" s="57">
        <f>IFERROR(INDEX(Wartungsplan!$L$6:$L$323,MATCH(SMALL(Wartungsplan!$AO$6:$AO$323,6),Wartungsplan!$AO$6:$AO$323,0)),"")</f>
        <v/>
      </c>
      <c r="M25" s="62">
        <f>IFERROR(INDEX(Wartungsplan!$M$6:$M$323,MATCH(SMALL(Wartungsplan!$AO$6:$AO$323,6),Wartungsplan!$AO$6:$AO$323,0)),"")</f>
        <v/>
      </c>
    </row>
    <row r="26" ht="24" customHeight="1">
      <c r="B26" s="57">
        <f>IFERROR(INDEX(Wartungsplan!$A$6:$A$323,MATCH(SMALL(Wartungsplan!$AO$6:$AO$323,7),Wartungsplan!$AO$6:$AO$323,0)),"")</f>
        <v/>
      </c>
      <c r="C26" s="58">
        <f>IFERROR(INDEX(Wartungsplan!$B$6:$B$323,MATCH(SMALL(Wartungsplan!$AO$6:$AO$323,7),Wartungsplan!$AO$6:$AO$323,0)),"")</f>
        <v/>
      </c>
      <c r="D26" s="7" t="n"/>
      <c r="E26" s="7" t="n"/>
      <c r="F26" s="7" t="n"/>
      <c r="G26" s="7" t="n"/>
      <c r="H26" s="59">
        <f>IFERROR(INDEX(Wartungsplan!$AG$6:$AG$323,MATCH(SMALL(Wartungsplan!$AO$6:$AO$323,7),Wartungsplan!$AO$6:$AO$323,0)),"")</f>
        <v/>
      </c>
      <c r="I26" s="7" t="n"/>
      <c r="J26" s="60">
        <f>IFERROR(INDEX(Wartungsplan!$J$6:$J$323,MATCH(SMALL(Wartungsplan!$AO$6:$AO$323,7),Wartungsplan!$AO$6:$AO$323,0)),"")</f>
        <v/>
      </c>
      <c r="K26" s="61">
        <f>IFERROR(INDEX(Wartungsplan!$K$6:$K$323,MATCH(SMALL(Wartungsplan!$AO$6:$AO$323,7),Wartungsplan!$AO$6:$AO$323,0)),"")</f>
        <v/>
      </c>
      <c r="L26" s="57">
        <f>IFERROR(INDEX(Wartungsplan!$L$6:$L$323,MATCH(SMALL(Wartungsplan!$AO$6:$AO$323,7),Wartungsplan!$AO$6:$AO$323,0)),"")</f>
        <v/>
      </c>
      <c r="M26" s="62">
        <f>IFERROR(INDEX(Wartungsplan!$M$6:$M$323,MATCH(SMALL(Wartungsplan!$AO$6:$AO$323,7),Wartungsplan!$AO$6:$AO$323,0)),"")</f>
        <v/>
      </c>
    </row>
    <row r="27" ht="24" customHeight="1">
      <c r="B27" s="57">
        <f>IFERROR(INDEX(Wartungsplan!$A$6:$A$323,MATCH(SMALL(Wartungsplan!$AO$6:$AO$323,8),Wartungsplan!$AO$6:$AO$323,0)),"")</f>
        <v/>
      </c>
      <c r="C27" s="58">
        <f>IFERROR(INDEX(Wartungsplan!$B$6:$B$323,MATCH(SMALL(Wartungsplan!$AO$6:$AO$323,8),Wartungsplan!$AO$6:$AO$323,0)),"")</f>
        <v/>
      </c>
      <c r="D27" s="7" t="n"/>
      <c r="E27" s="7" t="n"/>
      <c r="F27" s="7" t="n"/>
      <c r="G27" s="7" t="n"/>
      <c r="H27" s="59">
        <f>IFERROR(INDEX(Wartungsplan!$AG$6:$AG$323,MATCH(SMALL(Wartungsplan!$AO$6:$AO$323,8),Wartungsplan!$AO$6:$AO$323,0)),"")</f>
        <v/>
      </c>
      <c r="I27" s="7" t="n"/>
      <c r="J27" s="60">
        <f>IFERROR(INDEX(Wartungsplan!$J$6:$J$323,MATCH(SMALL(Wartungsplan!$AO$6:$AO$323,8),Wartungsplan!$AO$6:$AO$323,0)),"")</f>
        <v/>
      </c>
      <c r="K27" s="61">
        <f>IFERROR(INDEX(Wartungsplan!$K$6:$K$323,MATCH(SMALL(Wartungsplan!$AO$6:$AO$323,8),Wartungsplan!$AO$6:$AO$323,0)),"")</f>
        <v/>
      </c>
      <c r="L27" s="57">
        <f>IFERROR(INDEX(Wartungsplan!$L$6:$L$323,MATCH(SMALL(Wartungsplan!$AO$6:$AO$323,8),Wartungsplan!$AO$6:$AO$323,0)),"")</f>
        <v/>
      </c>
      <c r="M27" s="62">
        <f>IFERROR(INDEX(Wartungsplan!$M$6:$M$323,MATCH(SMALL(Wartungsplan!$AO$6:$AO$323,8),Wartungsplan!$AO$6:$AO$323,0)),"")</f>
        <v/>
      </c>
    </row>
    <row r="28" ht="24" customHeight="1">
      <c r="B28" s="57">
        <f>IFERROR(INDEX(Wartungsplan!$A$6:$A$323,MATCH(SMALL(Wartungsplan!$AO$6:$AO$323,9),Wartungsplan!$AO$6:$AO$323,0)),"")</f>
        <v/>
      </c>
      <c r="C28" s="58">
        <f>IFERROR(INDEX(Wartungsplan!$B$6:$B$323,MATCH(SMALL(Wartungsplan!$AO$6:$AO$323,9),Wartungsplan!$AO$6:$AO$323,0)),"")</f>
        <v/>
      </c>
      <c r="D28" s="7" t="n"/>
      <c r="E28" s="7" t="n"/>
      <c r="F28" s="7" t="n"/>
      <c r="G28" s="7" t="n"/>
      <c r="H28" s="59">
        <f>IFERROR(INDEX(Wartungsplan!$AG$6:$AG$323,MATCH(SMALL(Wartungsplan!$AO$6:$AO$323,9),Wartungsplan!$AO$6:$AO$323,0)),"")</f>
        <v/>
      </c>
      <c r="I28" s="7" t="n"/>
      <c r="J28" s="60">
        <f>IFERROR(INDEX(Wartungsplan!$J$6:$J$323,MATCH(SMALL(Wartungsplan!$AO$6:$AO$323,9),Wartungsplan!$AO$6:$AO$323,0)),"")</f>
        <v/>
      </c>
      <c r="K28" s="61">
        <f>IFERROR(INDEX(Wartungsplan!$K$6:$K$323,MATCH(SMALL(Wartungsplan!$AO$6:$AO$323,9),Wartungsplan!$AO$6:$AO$323,0)),"")</f>
        <v/>
      </c>
      <c r="L28" s="57">
        <f>IFERROR(INDEX(Wartungsplan!$L$6:$L$323,MATCH(SMALL(Wartungsplan!$AO$6:$AO$323,9),Wartungsplan!$AO$6:$AO$323,0)),"")</f>
        <v/>
      </c>
      <c r="M28" s="62">
        <f>IFERROR(INDEX(Wartungsplan!$M$6:$M$323,MATCH(SMALL(Wartungsplan!$AO$6:$AO$323,9),Wartungsplan!$AO$6:$AO$323,0)),"")</f>
        <v/>
      </c>
    </row>
    <row r="29" ht="24" customHeight="1">
      <c r="B29" s="57">
        <f>IFERROR(INDEX(Wartungsplan!$A$6:$A$323,MATCH(SMALL(Wartungsplan!$AO$6:$AO$323,10),Wartungsplan!$AO$6:$AO$323,0)),"")</f>
        <v/>
      </c>
      <c r="C29" s="58">
        <f>IFERROR(INDEX(Wartungsplan!$B$6:$B$323,MATCH(SMALL(Wartungsplan!$AO$6:$AO$323,10),Wartungsplan!$AO$6:$AO$323,0)),"")</f>
        <v/>
      </c>
      <c r="D29" s="7" t="n"/>
      <c r="E29" s="7" t="n"/>
      <c r="F29" s="7" t="n"/>
      <c r="G29" s="7" t="n"/>
      <c r="H29" s="59">
        <f>IFERROR(INDEX(Wartungsplan!$AG$6:$AG$323,MATCH(SMALL(Wartungsplan!$AO$6:$AO$323,10),Wartungsplan!$AO$6:$AO$323,0)),"")</f>
        <v/>
      </c>
      <c r="I29" s="7" t="n"/>
      <c r="J29" s="60">
        <f>IFERROR(INDEX(Wartungsplan!$J$6:$J$323,MATCH(SMALL(Wartungsplan!$AO$6:$AO$323,10),Wartungsplan!$AO$6:$AO$323,0)),"")</f>
        <v/>
      </c>
      <c r="K29" s="61">
        <f>IFERROR(INDEX(Wartungsplan!$K$6:$K$323,MATCH(SMALL(Wartungsplan!$AO$6:$AO$323,10),Wartungsplan!$AO$6:$AO$323,0)),"")</f>
        <v/>
      </c>
      <c r="L29" s="57">
        <f>IFERROR(INDEX(Wartungsplan!$L$6:$L$323,MATCH(SMALL(Wartungsplan!$AO$6:$AO$323,10),Wartungsplan!$AO$6:$AO$323,0)),"")</f>
        <v/>
      </c>
      <c r="M29" s="62">
        <f>IFERROR(INDEX(Wartungsplan!$M$6:$M$323,MATCH(SMALL(Wartungsplan!$AO$6:$AO$323,10),Wartungsplan!$AO$6:$AO$323,0)),"")</f>
        <v/>
      </c>
    </row>
    <row r="30" ht="24" customHeight="1">
      <c r="B30" s="57">
        <f>IFERROR(INDEX(Wartungsplan!$A$6:$A$323,MATCH(SMALL(Wartungsplan!$AO$6:$AO$323,11),Wartungsplan!$AO$6:$AO$323,0)),"")</f>
        <v/>
      </c>
      <c r="C30" s="58">
        <f>IFERROR(INDEX(Wartungsplan!$B$6:$B$323,MATCH(SMALL(Wartungsplan!$AO$6:$AO$323,11),Wartungsplan!$AO$6:$AO$323,0)),"")</f>
        <v/>
      </c>
      <c r="D30" s="7" t="n"/>
      <c r="E30" s="7" t="n"/>
      <c r="F30" s="7" t="n"/>
      <c r="G30" s="7" t="n"/>
      <c r="H30" s="59">
        <f>IFERROR(INDEX(Wartungsplan!$AG$6:$AG$323,MATCH(SMALL(Wartungsplan!$AO$6:$AO$323,11),Wartungsplan!$AO$6:$AO$323,0)),"")</f>
        <v/>
      </c>
      <c r="I30" s="7" t="n"/>
      <c r="J30" s="60">
        <f>IFERROR(INDEX(Wartungsplan!$J$6:$J$323,MATCH(SMALL(Wartungsplan!$AO$6:$AO$323,11),Wartungsplan!$AO$6:$AO$323,0)),"")</f>
        <v/>
      </c>
      <c r="K30" s="61">
        <f>IFERROR(INDEX(Wartungsplan!$K$6:$K$323,MATCH(SMALL(Wartungsplan!$AO$6:$AO$323,11),Wartungsplan!$AO$6:$AO$323,0)),"")</f>
        <v/>
      </c>
      <c r="L30" s="57">
        <f>IFERROR(INDEX(Wartungsplan!$L$6:$L$323,MATCH(SMALL(Wartungsplan!$AO$6:$AO$323,11),Wartungsplan!$AO$6:$AO$323,0)),"")</f>
        <v/>
      </c>
      <c r="M30" s="62">
        <f>IFERROR(INDEX(Wartungsplan!$M$6:$M$323,MATCH(SMALL(Wartungsplan!$AO$6:$AO$323,11),Wartungsplan!$AO$6:$AO$323,0)),"")</f>
        <v/>
      </c>
    </row>
    <row r="31" ht="24" customHeight="1">
      <c r="B31" s="57">
        <f>IFERROR(INDEX(Wartungsplan!$A$6:$A$323,MATCH(SMALL(Wartungsplan!$AO$6:$AO$323,12),Wartungsplan!$AO$6:$AO$323,0)),"")</f>
        <v/>
      </c>
      <c r="C31" s="58">
        <f>IFERROR(INDEX(Wartungsplan!$B$6:$B$323,MATCH(SMALL(Wartungsplan!$AO$6:$AO$323,12),Wartungsplan!$AO$6:$AO$323,0)),"")</f>
        <v/>
      </c>
      <c r="D31" s="7" t="n"/>
      <c r="E31" s="7" t="n"/>
      <c r="F31" s="7" t="n"/>
      <c r="G31" s="7" t="n"/>
      <c r="H31" s="59">
        <f>IFERROR(INDEX(Wartungsplan!$AG$6:$AG$323,MATCH(SMALL(Wartungsplan!$AO$6:$AO$323,12),Wartungsplan!$AO$6:$AO$323,0)),"")</f>
        <v/>
      </c>
      <c r="I31" s="7" t="n"/>
      <c r="J31" s="60">
        <f>IFERROR(INDEX(Wartungsplan!$J$6:$J$323,MATCH(SMALL(Wartungsplan!$AO$6:$AO$323,12),Wartungsplan!$AO$6:$AO$323,0)),"")</f>
        <v/>
      </c>
      <c r="K31" s="61">
        <f>IFERROR(INDEX(Wartungsplan!$K$6:$K$323,MATCH(SMALL(Wartungsplan!$AO$6:$AO$323,12),Wartungsplan!$AO$6:$AO$323,0)),"")</f>
        <v/>
      </c>
      <c r="L31" s="57">
        <f>IFERROR(INDEX(Wartungsplan!$L$6:$L$323,MATCH(SMALL(Wartungsplan!$AO$6:$AO$323,12),Wartungsplan!$AO$6:$AO$323,0)),"")</f>
        <v/>
      </c>
      <c r="M31" s="62">
        <f>IFERROR(INDEX(Wartungsplan!$M$6:$M$323,MATCH(SMALL(Wartungsplan!$AO$6:$AO$323,12),Wartungsplan!$AO$6:$AO$323,0)),"")</f>
        <v/>
      </c>
    </row>
    <row r="32" ht="24" customHeight="1">
      <c r="B32" s="57">
        <f>IFERROR(INDEX(Wartungsplan!$A$6:$A$323,MATCH(SMALL(Wartungsplan!$AO$6:$AO$323,13),Wartungsplan!$AO$6:$AO$323,0)),"")</f>
        <v/>
      </c>
      <c r="C32" s="58">
        <f>IFERROR(INDEX(Wartungsplan!$B$6:$B$323,MATCH(SMALL(Wartungsplan!$AO$6:$AO$323,13),Wartungsplan!$AO$6:$AO$323,0)),"")</f>
        <v/>
      </c>
      <c r="D32" s="7" t="n"/>
      <c r="E32" s="7" t="n"/>
      <c r="F32" s="7" t="n"/>
      <c r="G32" s="7" t="n"/>
      <c r="H32" s="59">
        <f>IFERROR(INDEX(Wartungsplan!$AG$6:$AG$323,MATCH(SMALL(Wartungsplan!$AO$6:$AO$323,13),Wartungsplan!$AO$6:$AO$323,0)),"")</f>
        <v/>
      </c>
      <c r="I32" s="7" t="n"/>
      <c r="J32" s="60">
        <f>IFERROR(INDEX(Wartungsplan!$J$6:$J$323,MATCH(SMALL(Wartungsplan!$AO$6:$AO$323,13),Wartungsplan!$AO$6:$AO$323,0)),"")</f>
        <v/>
      </c>
      <c r="K32" s="61">
        <f>IFERROR(INDEX(Wartungsplan!$K$6:$K$323,MATCH(SMALL(Wartungsplan!$AO$6:$AO$323,13),Wartungsplan!$AO$6:$AO$323,0)),"")</f>
        <v/>
      </c>
      <c r="L32" s="57">
        <f>IFERROR(INDEX(Wartungsplan!$L$6:$L$323,MATCH(SMALL(Wartungsplan!$AO$6:$AO$323,13),Wartungsplan!$AO$6:$AO$323,0)),"")</f>
        <v/>
      </c>
      <c r="M32" s="62">
        <f>IFERROR(INDEX(Wartungsplan!$M$6:$M$323,MATCH(SMALL(Wartungsplan!$AO$6:$AO$323,13),Wartungsplan!$AO$6:$AO$323,0)),"")</f>
        <v/>
      </c>
    </row>
    <row r="33" ht="24" customHeight="1">
      <c r="B33" s="57">
        <f>IFERROR(INDEX(Wartungsplan!$A$6:$A$323,MATCH(SMALL(Wartungsplan!$AO$6:$AO$323,14),Wartungsplan!$AO$6:$AO$323,0)),"")</f>
        <v/>
      </c>
      <c r="C33" s="58">
        <f>IFERROR(INDEX(Wartungsplan!$B$6:$B$323,MATCH(SMALL(Wartungsplan!$AO$6:$AO$323,14),Wartungsplan!$AO$6:$AO$323,0)),"")</f>
        <v/>
      </c>
      <c r="D33" s="7" t="n"/>
      <c r="E33" s="7" t="n"/>
      <c r="F33" s="7" t="n"/>
      <c r="G33" s="7" t="n"/>
      <c r="H33" s="59">
        <f>IFERROR(INDEX(Wartungsplan!$AG$6:$AG$323,MATCH(SMALL(Wartungsplan!$AO$6:$AO$323,14),Wartungsplan!$AO$6:$AO$323,0)),"")</f>
        <v/>
      </c>
      <c r="I33" s="7" t="n"/>
      <c r="J33" s="60">
        <f>IFERROR(INDEX(Wartungsplan!$J$6:$J$323,MATCH(SMALL(Wartungsplan!$AO$6:$AO$323,14),Wartungsplan!$AO$6:$AO$323,0)),"")</f>
        <v/>
      </c>
      <c r="K33" s="61">
        <f>IFERROR(INDEX(Wartungsplan!$K$6:$K$323,MATCH(SMALL(Wartungsplan!$AO$6:$AO$323,14),Wartungsplan!$AO$6:$AO$323,0)),"")</f>
        <v/>
      </c>
      <c r="L33" s="57">
        <f>IFERROR(INDEX(Wartungsplan!$L$6:$L$323,MATCH(SMALL(Wartungsplan!$AO$6:$AO$323,14),Wartungsplan!$AO$6:$AO$323,0)),"")</f>
        <v/>
      </c>
      <c r="M33" s="62">
        <f>IFERROR(INDEX(Wartungsplan!$M$6:$M$323,MATCH(SMALL(Wartungsplan!$AO$6:$AO$323,14),Wartungsplan!$AO$6:$AO$323,0)),"")</f>
        <v/>
      </c>
    </row>
    <row r="34" ht="24" customHeight="1">
      <c r="B34" s="57">
        <f>IFERROR(INDEX(Wartungsplan!$A$6:$A$323,MATCH(SMALL(Wartungsplan!$AO$6:$AO$323,15),Wartungsplan!$AO$6:$AO$323,0)),"")</f>
        <v/>
      </c>
      <c r="C34" s="58">
        <f>IFERROR(INDEX(Wartungsplan!$B$6:$B$323,MATCH(SMALL(Wartungsplan!$AO$6:$AO$323,15),Wartungsplan!$AO$6:$AO$323,0)),"")</f>
        <v/>
      </c>
      <c r="D34" s="7" t="n"/>
      <c r="E34" s="7" t="n"/>
      <c r="F34" s="7" t="n"/>
      <c r="G34" s="7" t="n"/>
      <c r="H34" s="59">
        <f>IFERROR(INDEX(Wartungsplan!$AG$6:$AG$323,MATCH(SMALL(Wartungsplan!$AO$6:$AO$323,15),Wartungsplan!$AO$6:$AO$323,0)),"")</f>
        <v/>
      </c>
      <c r="I34" s="7" t="n"/>
      <c r="J34" s="60">
        <f>IFERROR(INDEX(Wartungsplan!$J$6:$J$323,MATCH(SMALL(Wartungsplan!$AO$6:$AO$323,15),Wartungsplan!$AO$6:$AO$323,0)),"")</f>
        <v/>
      </c>
      <c r="K34" s="61">
        <f>IFERROR(INDEX(Wartungsplan!$K$6:$K$323,MATCH(SMALL(Wartungsplan!$AO$6:$AO$323,15),Wartungsplan!$AO$6:$AO$323,0)),"")</f>
        <v/>
      </c>
      <c r="L34" s="57">
        <f>IFERROR(INDEX(Wartungsplan!$L$6:$L$323,MATCH(SMALL(Wartungsplan!$AO$6:$AO$323,15),Wartungsplan!$AO$6:$AO$323,0)),"")</f>
        <v/>
      </c>
      <c r="M34" s="62">
        <f>IFERROR(INDEX(Wartungsplan!$M$6:$M$323,MATCH(SMALL(Wartungsplan!$AO$6:$AO$323,15),Wartungsplan!$AO$6:$AO$323,0)),"")</f>
        <v/>
      </c>
    </row>
    <row r="35">
      <c r="B35" s="63">
        <f>IF(COUNT(Wartungsplan!$AO$6:$AO$323)&gt;15,"… weitere "&amp;(COUNT(Wartungsplan!$AO$6:$AO$323)-15)&amp;" Maßnahmen – im Wartungsplan nach Status filtern",IF(COUNT(Wartungsplan!$AO$6:$AO$323)=0,"Aktuell keine fälligen oder überfälligen Maßnahmen.",""))</f>
        <v/>
      </c>
    </row>
    <row r="37">
      <c r="B37" s="4" t="inlineStr">
        <is>
          <t>Maßnahmen pro Intervall</t>
        </is>
      </c>
    </row>
    <row r="38">
      <c r="B38" s="22" t="inlineStr">
        <is>
          <t>Intervall</t>
        </is>
      </c>
      <c r="C38" s="56" t="n"/>
      <c r="D38" s="22" t="inlineStr">
        <is>
          <t>Gruppe</t>
        </is>
      </c>
      <c r="E38" s="22" t="inlineStr">
        <is>
          <t>Anzahl</t>
        </is>
      </c>
      <c r="F38" s="22" t="inlineStr">
        <is>
          <t>Anteil</t>
        </is>
      </c>
    </row>
    <row r="39">
      <c r="B39" s="6">
        <f>IF(Einstellungen!B7="","",Einstellungen!B7)</f>
        <v/>
      </c>
      <c r="C39" s="7" t="n"/>
      <c r="D39" s="64">
        <f>IF(Einstellungen!B7="","",Einstellungen!E7)</f>
        <v/>
      </c>
      <c r="E39" s="57">
        <f>IF(B39="","",COUNTIFS(Wartungsplan!$AH$6:$AH$323,"Maßnahme",Wartungsplan!$H$6:$H$323,B39))</f>
        <v/>
      </c>
      <c r="F39" s="65">
        <f>IF(B39="","",IFERROR(E39/$E$53,0))</f>
        <v/>
      </c>
    </row>
    <row r="40">
      <c r="B40" s="6">
        <f>IF(Einstellungen!B8="","",Einstellungen!B8)</f>
        <v/>
      </c>
      <c r="C40" s="7" t="n"/>
      <c r="D40" s="64">
        <f>IF(Einstellungen!B8="","",Einstellungen!E8)</f>
        <v/>
      </c>
      <c r="E40" s="57">
        <f>IF(B40="","",COUNTIFS(Wartungsplan!$AH$6:$AH$323,"Maßnahme",Wartungsplan!$H$6:$H$323,B40))</f>
        <v/>
      </c>
      <c r="F40" s="65">
        <f>IF(B40="","",IFERROR(E40/$E$53,0))</f>
        <v/>
      </c>
    </row>
    <row r="41">
      <c r="B41" s="6">
        <f>IF(Einstellungen!B9="","",Einstellungen!B9)</f>
        <v/>
      </c>
      <c r="C41" s="7" t="n"/>
      <c r="D41" s="64">
        <f>IF(Einstellungen!B9="","",Einstellungen!E9)</f>
        <v/>
      </c>
      <c r="E41" s="57">
        <f>IF(B41="","",COUNTIFS(Wartungsplan!$AH$6:$AH$323,"Maßnahme",Wartungsplan!$H$6:$H$323,B41))</f>
        <v/>
      </c>
      <c r="F41" s="65">
        <f>IF(B41="","",IFERROR(E41/$E$53,0))</f>
        <v/>
      </c>
    </row>
    <row r="42">
      <c r="B42" s="6">
        <f>IF(Einstellungen!B10="","",Einstellungen!B10)</f>
        <v/>
      </c>
      <c r="C42" s="7" t="n"/>
      <c r="D42" s="64">
        <f>IF(Einstellungen!B10="","",Einstellungen!E10)</f>
        <v/>
      </c>
      <c r="E42" s="57">
        <f>IF(B42="","",COUNTIFS(Wartungsplan!$AH$6:$AH$323,"Maßnahme",Wartungsplan!$H$6:$H$323,B42))</f>
        <v/>
      </c>
      <c r="F42" s="65">
        <f>IF(B42="","",IFERROR(E42/$E$53,0))</f>
        <v/>
      </c>
    </row>
    <row r="43">
      <c r="B43" s="6">
        <f>IF(Einstellungen!B11="","",Einstellungen!B11)</f>
        <v/>
      </c>
      <c r="C43" s="7" t="n"/>
      <c r="D43" s="64">
        <f>IF(Einstellungen!B11="","",Einstellungen!E11)</f>
        <v/>
      </c>
      <c r="E43" s="57">
        <f>IF(B43="","",COUNTIFS(Wartungsplan!$AH$6:$AH$323,"Maßnahme",Wartungsplan!$H$6:$H$323,B43))</f>
        <v/>
      </c>
      <c r="F43" s="65">
        <f>IF(B43="","",IFERROR(E43/$E$53,0))</f>
        <v/>
      </c>
    </row>
    <row r="44">
      <c r="B44" s="6">
        <f>IF(Einstellungen!B12="","",Einstellungen!B12)</f>
        <v/>
      </c>
      <c r="C44" s="7" t="n"/>
      <c r="D44" s="64">
        <f>IF(Einstellungen!B12="","",Einstellungen!E12)</f>
        <v/>
      </c>
      <c r="E44" s="57">
        <f>IF(B44="","",COUNTIFS(Wartungsplan!$AH$6:$AH$323,"Maßnahme",Wartungsplan!$H$6:$H$323,B44))</f>
        <v/>
      </c>
      <c r="F44" s="65">
        <f>IF(B44="","",IFERROR(E44/$E$53,0))</f>
        <v/>
      </c>
    </row>
    <row r="45">
      <c r="B45" s="6">
        <f>IF(Einstellungen!B13="","",Einstellungen!B13)</f>
        <v/>
      </c>
      <c r="C45" s="7" t="n"/>
      <c r="D45" s="64">
        <f>IF(Einstellungen!B13="","",Einstellungen!E13)</f>
        <v/>
      </c>
      <c r="E45" s="57">
        <f>IF(B45="","",COUNTIFS(Wartungsplan!$AH$6:$AH$323,"Maßnahme",Wartungsplan!$H$6:$H$323,B45))</f>
        <v/>
      </c>
      <c r="F45" s="65">
        <f>IF(B45="","",IFERROR(E45/$E$53,0))</f>
        <v/>
      </c>
    </row>
    <row r="46">
      <c r="B46" s="6">
        <f>IF(Einstellungen!B14="","",Einstellungen!B14)</f>
        <v/>
      </c>
      <c r="C46" s="7" t="n"/>
      <c r="D46" s="64">
        <f>IF(Einstellungen!B14="","",Einstellungen!E14)</f>
        <v/>
      </c>
      <c r="E46" s="57">
        <f>IF(B46="","",COUNTIFS(Wartungsplan!$AH$6:$AH$323,"Maßnahme",Wartungsplan!$H$6:$H$323,B46))</f>
        <v/>
      </c>
      <c r="F46" s="65">
        <f>IF(B46="","",IFERROR(E46/$E$53,0))</f>
        <v/>
      </c>
    </row>
    <row r="47">
      <c r="B47" s="6">
        <f>IF(Einstellungen!B15="","",Einstellungen!B15)</f>
        <v/>
      </c>
      <c r="C47" s="7" t="n"/>
      <c r="D47" s="64">
        <f>IF(Einstellungen!B15="","",Einstellungen!E15)</f>
        <v/>
      </c>
      <c r="E47" s="57">
        <f>IF(B47="","",COUNTIFS(Wartungsplan!$AH$6:$AH$323,"Maßnahme",Wartungsplan!$H$6:$H$323,B47))</f>
        <v/>
      </c>
      <c r="F47" s="65">
        <f>IF(B47="","",IFERROR(E47/$E$53,0))</f>
        <v/>
      </c>
    </row>
    <row r="48">
      <c r="B48" s="6">
        <f>IF(Einstellungen!B16="","",Einstellungen!B16)</f>
        <v/>
      </c>
      <c r="C48" s="7" t="n"/>
      <c r="D48" s="64">
        <f>IF(Einstellungen!B16="","",Einstellungen!E16)</f>
        <v/>
      </c>
      <c r="E48" s="57">
        <f>IF(B48="","",COUNTIFS(Wartungsplan!$AH$6:$AH$323,"Maßnahme",Wartungsplan!$H$6:$H$323,B48))</f>
        <v/>
      </c>
      <c r="F48" s="65">
        <f>IF(B48="","",IFERROR(E48/$E$53,0))</f>
        <v/>
      </c>
    </row>
    <row r="49">
      <c r="B49" s="6">
        <f>IF(Einstellungen!B17="","",Einstellungen!B17)</f>
        <v/>
      </c>
      <c r="C49" s="7" t="n"/>
      <c r="D49" s="64">
        <f>IF(Einstellungen!B17="","",Einstellungen!E17)</f>
        <v/>
      </c>
      <c r="E49" s="57">
        <f>IF(B49="","",COUNTIFS(Wartungsplan!$AH$6:$AH$323,"Maßnahme",Wartungsplan!$H$6:$H$323,B49))</f>
        <v/>
      </c>
      <c r="F49" s="65">
        <f>IF(B49="","",IFERROR(E49/$E$53,0))</f>
        <v/>
      </c>
    </row>
    <row r="50">
      <c r="B50" s="6">
        <f>IF(Einstellungen!B18="","",Einstellungen!B18)</f>
        <v/>
      </c>
      <c r="C50" s="7" t="n"/>
      <c r="D50" s="64">
        <f>IF(Einstellungen!B18="","",Einstellungen!E18)</f>
        <v/>
      </c>
      <c r="E50" s="57">
        <f>IF(B50="","",COUNTIFS(Wartungsplan!$AH$6:$AH$323,"Maßnahme",Wartungsplan!$H$6:$H$323,B50))</f>
        <v/>
      </c>
      <c r="F50" s="65">
        <f>IF(B50="","",IFERROR(E50/$E$53,0))</f>
        <v/>
      </c>
    </row>
    <row r="51">
      <c r="B51" s="66" t="inlineStr">
        <is>
          <t>frei eingegeben</t>
        </is>
      </c>
      <c r="C51" s="7" t="n"/>
      <c r="D51" s="64" t="inlineStr">
        <is>
          <t>individuell</t>
        </is>
      </c>
      <c r="E51" s="57">
        <f>SUMPRODUCT((Wartungsplan!$AH$6:$AH$323="Maßnahme")*ISNUMBER(Wartungsplan!$AK$6:$AK$323))-SUM(E39:E50)</f>
        <v/>
      </c>
      <c r="F51" s="65">
        <f>IFERROR(E51/$E$53,0)</f>
        <v/>
      </c>
    </row>
    <row r="52">
      <c r="B52" s="67" t="inlineStr">
        <is>
          <t>ohne gültiges Intervall</t>
        </is>
      </c>
      <c r="C52" s="7" t="n"/>
      <c r="D52" s="68" t="inlineStr">
        <is>
          <t>–</t>
        </is>
      </c>
      <c r="E52" s="69">
        <f>COUNTIF(Wartungsplan!$L$6:$L$323,"Intervall fehlt")+COUNTIF(Wartungsplan!$L$6:$L$323,"Intervall prüfen")</f>
        <v/>
      </c>
      <c r="F52" s="65">
        <f>IFERROR(E52/$E$53,0)</f>
        <v/>
      </c>
    </row>
    <row r="53">
      <c r="B53" s="16" t="inlineStr">
        <is>
          <t>Summe</t>
        </is>
      </c>
      <c r="C53" s="35" t="n"/>
      <c r="D53" s="70" t="n"/>
      <c r="E53" s="71">
        <f>SUM(E39:E52)</f>
        <v/>
      </c>
      <c r="F53" s="72">
        <f>SUM(F39:F52)</f>
        <v/>
      </c>
    </row>
    <row r="55">
      <c r="B55" s="4" t="inlineStr">
        <is>
          <t>Status und Risiko je Baugruppe</t>
        </is>
      </c>
    </row>
    <row r="56" ht="26" customHeight="1">
      <c r="B56" s="22" t="inlineStr">
        <is>
          <t>Baugruppe</t>
        </is>
      </c>
      <c r="C56" s="56" t="n"/>
      <c r="D56" s="56" t="n"/>
      <c r="E56" s="22" t="inlineStr">
        <is>
          <t>Maßnahmen</t>
        </is>
      </c>
      <c r="F56" s="22" t="inlineStr">
        <is>
          <t>überfällig</t>
        </is>
      </c>
      <c r="G56" s="22" t="inlineStr">
        <is>
          <t>fällig</t>
        </is>
      </c>
      <c r="H56" s="22" t="inlineStr">
        <is>
          <t>in Ordnung</t>
        </is>
      </c>
      <c r="I56" s="22" t="inlineStr">
        <is>
          <t>Ø RPZ</t>
        </is>
      </c>
      <c r="J56" s="22" t="inlineStr">
        <is>
          <t>max. RPZ</t>
        </is>
      </c>
      <c r="K56" s="22" t="inlineStr">
        <is>
          <t>hoch / kritisch</t>
        </is>
      </c>
      <c r="L56" s="22" t="inlineStr">
        <is>
          <t>Aufwand h/Jahr</t>
        </is>
      </c>
      <c r="M56" s="22" t="inlineStr">
        <is>
          <t>Pos.</t>
        </is>
      </c>
    </row>
    <row r="57" ht="16" customHeight="1">
      <c r="B57" s="58" t="inlineStr">
        <is>
          <t>1  Not-Aus</t>
        </is>
      </c>
      <c r="C57" s="7" t="n"/>
      <c r="D57" s="7" t="n"/>
      <c r="E57" s="68">
        <f>COUNTIFS(Wartungsplan!$AG$6:$AG$323,"Not-Aus",Wartungsplan!$AH$6:$AH$323,"Maßnahme")</f>
        <v/>
      </c>
      <c r="F57" s="57">
        <f>COUNTIFS(Wartungsplan!$AG$6:$AG$323,"Not-Aus",Wartungsplan!$L$6:$L$323,"überfällig")</f>
        <v/>
      </c>
      <c r="G57" s="57">
        <f>COUNTIFS(Wartungsplan!$AG$6:$AG$323,"Not-Aus",Wartungsplan!$L$6:$L$323,"fällig")</f>
        <v/>
      </c>
      <c r="H57" s="57">
        <f>COUNTIFS(Wartungsplan!$AG$6:$AG$323,"Not-Aus",Wartungsplan!$L$6:$L$323,"in Ordnung")</f>
        <v/>
      </c>
      <c r="I57" s="73">
        <f>IFERROR(AVERAGEIFS(Wartungsplan!$AA$6:$AA$323,Wartungsplan!$AG$6:$AG$323,"Not-Aus"),0)</f>
        <v/>
      </c>
      <c r="J57" s="73">
        <f>_xlfn.MAXIFS(Wartungsplan!$AA$6:$AA$323,Wartungsplan!$AG$6:$AG$323,"Not-Aus")</f>
        <v/>
      </c>
      <c r="K57" s="68">
        <f>COUNTIFS(Wartungsplan!$AG$6:$AG$323,"Not-Aus",Wartungsplan!$AB$6:$AB$323,"hoch")+COUNTIFS(Wartungsplan!$AG$6:$AG$323,"Not-Aus",Wartungsplan!$AB$6:$AB$323,"kritisch")</f>
        <v/>
      </c>
      <c r="L57" s="73">
        <f>SUMIFS(Wartungsplan!$AM$6:$AM$323,Wartungsplan!$AG$6:$AG$323,"Not-Aus")</f>
        <v/>
      </c>
      <c r="M57" s="64" t="inlineStr">
        <is>
          <t>–</t>
        </is>
      </c>
    </row>
    <row r="58" ht="16" customHeight="1">
      <c r="B58" s="58" t="inlineStr">
        <is>
          <t>2  Bedienpult</t>
        </is>
      </c>
      <c r="C58" s="7" t="n"/>
      <c r="D58" s="7" t="n"/>
      <c r="E58" s="68">
        <f>COUNTIFS(Wartungsplan!$AG$6:$AG$323,"Bedienpult",Wartungsplan!$AH$6:$AH$323,"Maßnahme")</f>
        <v/>
      </c>
      <c r="F58" s="57">
        <f>COUNTIFS(Wartungsplan!$AG$6:$AG$323,"Bedienpult",Wartungsplan!$L$6:$L$323,"überfällig")</f>
        <v/>
      </c>
      <c r="G58" s="57">
        <f>COUNTIFS(Wartungsplan!$AG$6:$AG$323,"Bedienpult",Wartungsplan!$L$6:$L$323,"fällig")</f>
        <v/>
      </c>
      <c r="H58" s="57">
        <f>COUNTIFS(Wartungsplan!$AG$6:$AG$323,"Bedienpult",Wartungsplan!$L$6:$L$323,"in Ordnung")</f>
        <v/>
      </c>
      <c r="I58" s="73">
        <f>IFERROR(AVERAGEIFS(Wartungsplan!$AA$6:$AA$323,Wartungsplan!$AG$6:$AG$323,"Bedienpult"),0)</f>
        <v/>
      </c>
      <c r="J58" s="73">
        <f>_xlfn.MAXIFS(Wartungsplan!$AA$6:$AA$323,Wartungsplan!$AG$6:$AG$323,"Bedienpult")</f>
        <v/>
      </c>
      <c r="K58" s="68">
        <f>COUNTIFS(Wartungsplan!$AG$6:$AG$323,"Bedienpult",Wartungsplan!$AB$6:$AB$323,"hoch")+COUNTIFS(Wartungsplan!$AG$6:$AG$323,"Bedienpult",Wartungsplan!$AB$6:$AB$323,"kritisch")</f>
        <v/>
      </c>
      <c r="L58" s="73">
        <f>SUMIFS(Wartungsplan!$AM$6:$AM$323,Wartungsplan!$AG$6:$AG$323,"Bedienpult")</f>
        <v/>
      </c>
      <c r="M58" s="64" t="inlineStr">
        <is>
          <t>1</t>
        </is>
      </c>
    </row>
    <row r="59" ht="26" customHeight="1">
      <c r="B59" s="58" t="inlineStr">
        <is>
          <t>3  Staucheinheit (Stauchdorn, Stauchspindel, Elemente für Abdichthub von rechts); Pos. 29 Stauchspindel (Kugelgewindespindel)</t>
        </is>
      </c>
      <c r="C59" s="7" t="n"/>
      <c r="D59" s="7" t="n"/>
      <c r="E59" s="68">
        <f>COUNTIFS(Wartungsplan!$AG$6:$AG$323,"Staucheinheit (Stauchdorn, Stauchspindel, Elemente für Abdichthub von rechts); Pos. 29 Stauchspindel (Kugelgewindespindel)",Wartungsplan!$AH$6:$AH$323,"Maßnahme")</f>
        <v/>
      </c>
      <c r="F59" s="57">
        <f>COUNTIFS(Wartungsplan!$AG$6:$AG$323,"Staucheinheit (Stauchdorn, Stauchspindel, Elemente für Abdichthub von rechts); Pos. 29 Stauchspindel (Kugelgewindespindel)",Wartungsplan!$L$6:$L$323,"überfällig")</f>
        <v/>
      </c>
      <c r="G59" s="57">
        <f>COUNTIFS(Wartungsplan!$AG$6:$AG$323,"Staucheinheit (Stauchdorn, Stauchspindel, Elemente für Abdichthub von rechts); Pos. 29 Stauchspindel (Kugelgewindespindel)",Wartungsplan!$L$6:$L$323,"fällig")</f>
        <v/>
      </c>
      <c r="H59" s="57">
        <f>COUNTIFS(Wartungsplan!$AG$6:$AG$323,"Staucheinheit (Stauchdorn, Stauchspindel, Elemente für Abdichthub von rechts); Pos. 29 Stauchspindel (Kugelgewindespindel)",Wartungsplan!$L$6:$L$323,"in Ordnung")</f>
        <v/>
      </c>
      <c r="I59" s="73">
        <f>IFERROR(AVERAGEIFS(Wartungsplan!$AA$6:$AA$323,Wartungsplan!$AG$6:$AG$323,"Staucheinheit (Stauchdorn, Stauchspindel, Elemente für Abdichthub von rechts); Pos. 29 Stauchspindel (Kugelgewindespindel)"),0)</f>
        <v/>
      </c>
      <c r="J59" s="73">
        <f>_xlfn.MAXIFS(Wartungsplan!$AA$6:$AA$323,Wartungsplan!$AG$6:$AG$323,"Staucheinheit (Stauchdorn, Stauchspindel, Elemente für Abdichthub von rechts); Pos. 29 Stauchspindel (Kugelgewindespindel)")</f>
        <v/>
      </c>
      <c r="K59" s="68">
        <f>COUNTIFS(Wartungsplan!$AG$6:$AG$323,"Staucheinheit (Stauchdorn, Stauchspindel, Elemente für Abdichthub von rechts); Pos. 29 Stauchspindel (Kugelgewindespindel)",Wartungsplan!$AB$6:$AB$323,"hoch")+COUNTIFS(Wartungsplan!$AG$6:$AG$323,"Staucheinheit (Stauchdorn, Stauchspindel, Elemente für Abdichthub von rechts); Pos. 29 Stauchspindel (Kugelgewindespindel)",Wartungsplan!$AB$6:$AB$323,"kritisch")</f>
        <v/>
      </c>
      <c r="L59" s="73">
        <f>SUMIFS(Wartungsplan!$AM$6:$AM$323,Wartungsplan!$AG$6:$AG$323,"Staucheinheit (Stauchdorn, Stauchspindel, Elemente für Abdichthub von rechts); Pos. 29 Stauchspindel (Kugelgewindespindel)")</f>
        <v/>
      </c>
      <c r="M59" s="64" t="inlineStr">
        <is>
          <t>2 / 29</t>
        </is>
      </c>
    </row>
    <row r="60" ht="16" customHeight="1">
      <c r="B60" s="58" t="inlineStr">
        <is>
          <t>4  Oberer und unterer Werkzeugträger</t>
        </is>
      </c>
      <c r="C60" s="7" t="n"/>
      <c r="D60" s="7" t="n"/>
      <c r="E60" s="68">
        <f>COUNTIFS(Wartungsplan!$AG$6:$AG$323,"Oberer und unterer Werkzeugträger",Wartungsplan!$AH$6:$AH$323,"Maßnahme")</f>
        <v/>
      </c>
      <c r="F60" s="57">
        <f>COUNTIFS(Wartungsplan!$AG$6:$AG$323,"Oberer und unterer Werkzeugträger",Wartungsplan!$L$6:$L$323,"überfällig")</f>
        <v/>
      </c>
      <c r="G60" s="57">
        <f>COUNTIFS(Wartungsplan!$AG$6:$AG$323,"Oberer und unterer Werkzeugträger",Wartungsplan!$L$6:$L$323,"fällig")</f>
        <v/>
      </c>
      <c r="H60" s="57">
        <f>COUNTIFS(Wartungsplan!$AG$6:$AG$323,"Oberer und unterer Werkzeugträger",Wartungsplan!$L$6:$L$323,"in Ordnung")</f>
        <v/>
      </c>
      <c r="I60" s="73">
        <f>IFERROR(AVERAGEIFS(Wartungsplan!$AA$6:$AA$323,Wartungsplan!$AG$6:$AG$323,"Oberer und unterer Werkzeugträger"),0)</f>
        <v/>
      </c>
      <c r="J60" s="73">
        <f>_xlfn.MAXIFS(Wartungsplan!$AA$6:$AA$323,Wartungsplan!$AG$6:$AG$323,"Oberer und unterer Werkzeugträger")</f>
        <v/>
      </c>
      <c r="K60" s="68">
        <f>COUNTIFS(Wartungsplan!$AG$6:$AG$323,"Oberer und unterer Werkzeugträger",Wartungsplan!$AB$6:$AB$323,"hoch")+COUNTIFS(Wartungsplan!$AG$6:$AG$323,"Oberer und unterer Werkzeugträger",Wartungsplan!$AB$6:$AB$323,"kritisch")</f>
        <v/>
      </c>
      <c r="L60" s="73">
        <f>SUMIFS(Wartungsplan!$AM$6:$AM$323,Wartungsplan!$AG$6:$AG$323,"Oberer und unterer Werkzeugträger")</f>
        <v/>
      </c>
      <c r="M60" s="64" t="inlineStr">
        <is>
          <t>3 / 6</t>
        </is>
      </c>
    </row>
    <row r="61" ht="16" customHeight="1">
      <c r="B61" s="58" t="inlineStr">
        <is>
          <t>5  Verschlussbalken</t>
        </is>
      </c>
      <c r="C61" s="7" t="n"/>
      <c r="D61" s="7" t="n"/>
      <c r="E61" s="68">
        <f>COUNTIFS(Wartungsplan!$AG$6:$AG$323,"Verschlussbalken",Wartungsplan!$AH$6:$AH$323,"Maßnahme")</f>
        <v/>
      </c>
      <c r="F61" s="57">
        <f>COUNTIFS(Wartungsplan!$AG$6:$AG$323,"Verschlussbalken",Wartungsplan!$L$6:$L$323,"überfällig")</f>
        <v/>
      </c>
      <c r="G61" s="57">
        <f>COUNTIFS(Wartungsplan!$AG$6:$AG$323,"Verschlussbalken",Wartungsplan!$L$6:$L$323,"fällig")</f>
        <v/>
      </c>
      <c r="H61" s="57">
        <f>COUNTIFS(Wartungsplan!$AG$6:$AG$323,"Verschlussbalken",Wartungsplan!$L$6:$L$323,"in Ordnung")</f>
        <v/>
      </c>
      <c r="I61" s="73">
        <f>IFERROR(AVERAGEIFS(Wartungsplan!$AA$6:$AA$323,Wartungsplan!$AG$6:$AG$323,"Verschlussbalken"),0)</f>
        <v/>
      </c>
      <c r="J61" s="73">
        <f>_xlfn.MAXIFS(Wartungsplan!$AA$6:$AA$323,Wartungsplan!$AG$6:$AG$323,"Verschlussbalken")</f>
        <v/>
      </c>
      <c r="K61" s="68">
        <f>COUNTIFS(Wartungsplan!$AG$6:$AG$323,"Verschlussbalken",Wartungsplan!$AB$6:$AB$323,"hoch")+COUNTIFS(Wartungsplan!$AG$6:$AG$323,"Verschlussbalken",Wartungsplan!$AB$6:$AB$323,"kritisch")</f>
        <v/>
      </c>
      <c r="L61" s="73">
        <f>SUMIFS(Wartungsplan!$AM$6:$AM$323,Wartungsplan!$AG$6:$AG$323,"Verschlussbalken")</f>
        <v/>
      </c>
      <c r="M61" s="64" t="inlineStr">
        <is>
          <t>5</t>
        </is>
      </c>
    </row>
    <row r="62" ht="26" customHeight="1">
      <c r="B62" s="58" t="inlineStr">
        <is>
          <t>6  Hydraulik-/Pneumatikzylinder (Baugruppe in der Vorversion nicht benannt)</t>
        </is>
      </c>
      <c r="C62" s="7" t="n"/>
      <c r="D62" s="7" t="n"/>
      <c r="E62" s="68">
        <f>COUNTIFS(Wartungsplan!$AG$6:$AG$323,"Hydraulik-/Pneumatikzylinder (Baugruppe in der Vorversion nicht benannt)",Wartungsplan!$AH$6:$AH$323,"Maßnahme")</f>
        <v/>
      </c>
      <c r="F62" s="57">
        <f>COUNTIFS(Wartungsplan!$AG$6:$AG$323,"Hydraulik-/Pneumatikzylinder (Baugruppe in der Vorversion nicht benannt)",Wartungsplan!$L$6:$L$323,"überfällig")</f>
        <v/>
      </c>
      <c r="G62" s="57">
        <f>COUNTIFS(Wartungsplan!$AG$6:$AG$323,"Hydraulik-/Pneumatikzylinder (Baugruppe in der Vorversion nicht benannt)",Wartungsplan!$L$6:$L$323,"fällig")</f>
        <v/>
      </c>
      <c r="H62" s="57">
        <f>COUNTIFS(Wartungsplan!$AG$6:$AG$323,"Hydraulik-/Pneumatikzylinder (Baugruppe in der Vorversion nicht benannt)",Wartungsplan!$L$6:$L$323,"in Ordnung")</f>
        <v/>
      </c>
      <c r="I62" s="73">
        <f>IFERROR(AVERAGEIFS(Wartungsplan!$AA$6:$AA$323,Wartungsplan!$AG$6:$AG$323,"Hydraulik-/Pneumatikzylinder (Baugruppe in der Vorversion nicht benannt)"),0)</f>
        <v/>
      </c>
      <c r="J62" s="73">
        <f>_xlfn.MAXIFS(Wartungsplan!$AA$6:$AA$323,Wartungsplan!$AG$6:$AG$323,"Hydraulik-/Pneumatikzylinder (Baugruppe in der Vorversion nicht benannt)")</f>
        <v/>
      </c>
      <c r="K62" s="68">
        <f>COUNTIFS(Wartungsplan!$AG$6:$AG$323,"Hydraulik-/Pneumatikzylinder (Baugruppe in der Vorversion nicht benannt)",Wartungsplan!$AB$6:$AB$323,"hoch")+COUNTIFS(Wartungsplan!$AG$6:$AG$323,"Hydraulik-/Pneumatikzylinder (Baugruppe in der Vorversion nicht benannt)",Wartungsplan!$AB$6:$AB$323,"kritisch")</f>
        <v/>
      </c>
      <c r="L62" s="73">
        <f>SUMIFS(Wartungsplan!$AM$6:$AM$323,Wartungsplan!$AG$6:$AG$323,"Hydraulik-/Pneumatikzylinder (Baugruppe in der Vorversion nicht benannt)")</f>
        <v/>
      </c>
      <c r="M62" s="64" t="inlineStr">
        <is>
          <t>–</t>
        </is>
      </c>
    </row>
    <row r="63" ht="16" customHeight="1">
      <c r="B63" s="58" t="inlineStr">
        <is>
          <t>7  Wasserbehälter für Umformmedium</t>
        </is>
      </c>
      <c r="C63" s="7" t="n"/>
      <c r="D63" s="7" t="n"/>
      <c r="E63" s="68">
        <f>COUNTIFS(Wartungsplan!$AG$6:$AG$323,"Wasserbehälter für Umformmedium",Wartungsplan!$AH$6:$AH$323,"Maßnahme")</f>
        <v/>
      </c>
      <c r="F63" s="57">
        <f>COUNTIFS(Wartungsplan!$AG$6:$AG$323,"Wasserbehälter für Umformmedium",Wartungsplan!$L$6:$L$323,"überfällig")</f>
        <v/>
      </c>
      <c r="G63" s="57">
        <f>COUNTIFS(Wartungsplan!$AG$6:$AG$323,"Wasserbehälter für Umformmedium",Wartungsplan!$L$6:$L$323,"fällig")</f>
        <v/>
      </c>
      <c r="H63" s="57">
        <f>COUNTIFS(Wartungsplan!$AG$6:$AG$323,"Wasserbehälter für Umformmedium",Wartungsplan!$L$6:$L$323,"in Ordnung")</f>
        <v/>
      </c>
      <c r="I63" s="73">
        <f>IFERROR(AVERAGEIFS(Wartungsplan!$AA$6:$AA$323,Wartungsplan!$AG$6:$AG$323,"Wasserbehälter für Umformmedium"),0)</f>
        <v/>
      </c>
      <c r="J63" s="73">
        <f>_xlfn.MAXIFS(Wartungsplan!$AA$6:$AA$323,Wartungsplan!$AG$6:$AG$323,"Wasserbehälter für Umformmedium")</f>
        <v/>
      </c>
      <c r="K63" s="68">
        <f>COUNTIFS(Wartungsplan!$AG$6:$AG$323,"Wasserbehälter für Umformmedium",Wartungsplan!$AB$6:$AB$323,"hoch")+COUNTIFS(Wartungsplan!$AG$6:$AG$323,"Wasserbehälter für Umformmedium",Wartungsplan!$AB$6:$AB$323,"kritisch")</f>
        <v/>
      </c>
      <c r="L63" s="73">
        <f>SUMIFS(Wartungsplan!$AM$6:$AM$323,Wartungsplan!$AG$6:$AG$323,"Wasserbehälter für Umformmedium")</f>
        <v/>
      </c>
      <c r="M63" s="64" t="inlineStr">
        <is>
          <t>11</t>
        </is>
      </c>
    </row>
    <row r="64" ht="16" customHeight="1">
      <c r="B64" s="58" t="inlineStr">
        <is>
          <t>8  Auslaufrinne</t>
        </is>
      </c>
      <c r="C64" s="7" t="n"/>
      <c r="D64" s="7" t="n"/>
      <c r="E64" s="68">
        <f>COUNTIFS(Wartungsplan!$AG$6:$AG$323,"Auslaufrinne",Wartungsplan!$AH$6:$AH$323,"Maßnahme")</f>
        <v/>
      </c>
      <c r="F64" s="57">
        <f>COUNTIFS(Wartungsplan!$AG$6:$AG$323,"Auslaufrinne",Wartungsplan!$L$6:$L$323,"überfällig")</f>
        <v/>
      </c>
      <c r="G64" s="57">
        <f>COUNTIFS(Wartungsplan!$AG$6:$AG$323,"Auslaufrinne",Wartungsplan!$L$6:$L$323,"fällig")</f>
        <v/>
      </c>
      <c r="H64" s="57">
        <f>COUNTIFS(Wartungsplan!$AG$6:$AG$323,"Auslaufrinne",Wartungsplan!$L$6:$L$323,"in Ordnung")</f>
        <v/>
      </c>
      <c r="I64" s="73">
        <f>IFERROR(AVERAGEIFS(Wartungsplan!$AA$6:$AA$323,Wartungsplan!$AG$6:$AG$323,"Auslaufrinne"),0)</f>
        <v/>
      </c>
      <c r="J64" s="73">
        <f>_xlfn.MAXIFS(Wartungsplan!$AA$6:$AA$323,Wartungsplan!$AG$6:$AG$323,"Auslaufrinne")</f>
        <v/>
      </c>
      <c r="K64" s="68">
        <f>COUNTIFS(Wartungsplan!$AG$6:$AG$323,"Auslaufrinne",Wartungsplan!$AB$6:$AB$323,"hoch")+COUNTIFS(Wartungsplan!$AG$6:$AG$323,"Auslaufrinne",Wartungsplan!$AB$6:$AB$323,"kritisch")</f>
        <v/>
      </c>
      <c r="L64" s="73">
        <f>SUMIFS(Wartungsplan!$AM$6:$AM$323,Wartungsplan!$AG$6:$AG$323,"Auslaufrinne")</f>
        <v/>
      </c>
      <c r="M64" s="64" t="inlineStr">
        <is>
          <t>13</t>
        </is>
      </c>
    </row>
    <row r="65" ht="26" customHeight="1">
      <c r="B65" s="58" t="inlineStr">
        <is>
          <t>9  Beladehandling (Handling Glattrohrgreifer) und Entnahmehandling (Handling Balggreifer)</t>
        </is>
      </c>
      <c r="C65" s="7" t="n"/>
      <c r="D65" s="7" t="n"/>
      <c r="E65" s="68">
        <f>COUNTIFS(Wartungsplan!$AG$6:$AG$323,"Beladehandling (Handling Glattrohrgreifer) und Entnahmehandling (Handling Balggreifer)",Wartungsplan!$AH$6:$AH$323,"Maßnahme")</f>
        <v/>
      </c>
      <c r="F65" s="57">
        <f>COUNTIFS(Wartungsplan!$AG$6:$AG$323,"Beladehandling (Handling Glattrohrgreifer) und Entnahmehandling (Handling Balggreifer)",Wartungsplan!$L$6:$L$323,"überfällig")</f>
        <v/>
      </c>
      <c r="G65" s="57">
        <f>COUNTIFS(Wartungsplan!$AG$6:$AG$323,"Beladehandling (Handling Glattrohrgreifer) und Entnahmehandling (Handling Balggreifer)",Wartungsplan!$L$6:$L$323,"fällig")</f>
        <v/>
      </c>
      <c r="H65" s="57">
        <f>COUNTIFS(Wartungsplan!$AG$6:$AG$323,"Beladehandling (Handling Glattrohrgreifer) und Entnahmehandling (Handling Balggreifer)",Wartungsplan!$L$6:$L$323,"in Ordnung")</f>
        <v/>
      </c>
      <c r="I65" s="73">
        <f>IFERROR(AVERAGEIFS(Wartungsplan!$AA$6:$AA$323,Wartungsplan!$AG$6:$AG$323,"Beladehandling (Handling Glattrohrgreifer) und Entnahmehandling (Handling Balggreifer)"),0)</f>
        <v/>
      </c>
      <c r="J65" s="73">
        <f>_xlfn.MAXIFS(Wartungsplan!$AA$6:$AA$323,Wartungsplan!$AG$6:$AG$323,"Beladehandling (Handling Glattrohrgreifer) und Entnahmehandling (Handling Balggreifer)")</f>
        <v/>
      </c>
      <c r="K65" s="68">
        <f>COUNTIFS(Wartungsplan!$AG$6:$AG$323,"Beladehandling (Handling Glattrohrgreifer) und Entnahmehandling (Handling Balggreifer)",Wartungsplan!$AB$6:$AB$323,"hoch")+COUNTIFS(Wartungsplan!$AG$6:$AG$323,"Beladehandling (Handling Glattrohrgreifer) und Entnahmehandling (Handling Balggreifer)",Wartungsplan!$AB$6:$AB$323,"kritisch")</f>
        <v/>
      </c>
      <c r="L65" s="73">
        <f>SUMIFS(Wartungsplan!$AM$6:$AM$323,Wartungsplan!$AG$6:$AG$323,"Beladehandling (Handling Glattrohrgreifer) und Entnahmehandling (Handling Balggreifer)")</f>
        <v/>
      </c>
      <c r="M65" s="64" t="inlineStr">
        <is>
          <t>14 / 8</t>
        </is>
      </c>
    </row>
    <row r="66" ht="16" customHeight="1">
      <c r="B66" s="58" t="inlineStr">
        <is>
          <t>10  Wartungseinheit (falls vorhanden)</t>
        </is>
      </c>
      <c r="C66" s="7" t="n"/>
      <c r="D66" s="7" t="n"/>
      <c r="E66" s="68">
        <f>COUNTIFS(Wartungsplan!$AG$6:$AG$323,"Wartungseinheit (falls vorhanden)",Wartungsplan!$AH$6:$AH$323,"Maßnahme")</f>
        <v/>
      </c>
      <c r="F66" s="57">
        <f>COUNTIFS(Wartungsplan!$AG$6:$AG$323,"Wartungseinheit (falls vorhanden)",Wartungsplan!$L$6:$L$323,"überfällig")</f>
        <v/>
      </c>
      <c r="G66" s="57">
        <f>COUNTIFS(Wartungsplan!$AG$6:$AG$323,"Wartungseinheit (falls vorhanden)",Wartungsplan!$L$6:$L$323,"fällig")</f>
        <v/>
      </c>
      <c r="H66" s="57">
        <f>COUNTIFS(Wartungsplan!$AG$6:$AG$323,"Wartungseinheit (falls vorhanden)",Wartungsplan!$L$6:$L$323,"in Ordnung")</f>
        <v/>
      </c>
      <c r="I66" s="73">
        <f>IFERROR(AVERAGEIFS(Wartungsplan!$AA$6:$AA$323,Wartungsplan!$AG$6:$AG$323,"Wartungseinheit (falls vorhanden)"),0)</f>
        <v/>
      </c>
      <c r="J66" s="73">
        <f>_xlfn.MAXIFS(Wartungsplan!$AA$6:$AA$323,Wartungsplan!$AG$6:$AG$323,"Wartungseinheit (falls vorhanden)")</f>
        <v/>
      </c>
      <c r="K66" s="68">
        <f>COUNTIFS(Wartungsplan!$AG$6:$AG$323,"Wartungseinheit (falls vorhanden)",Wartungsplan!$AB$6:$AB$323,"hoch")+COUNTIFS(Wartungsplan!$AG$6:$AG$323,"Wartungseinheit (falls vorhanden)",Wartungsplan!$AB$6:$AB$323,"kritisch")</f>
        <v/>
      </c>
      <c r="L66" s="73">
        <f>SUMIFS(Wartungsplan!$AM$6:$AM$323,Wartungsplan!$AG$6:$AG$323,"Wartungseinheit (falls vorhanden)")</f>
        <v/>
      </c>
      <c r="M66" s="64" t="inlineStr">
        <is>
          <t>15</t>
        </is>
      </c>
    </row>
    <row r="67" ht="26" customHeight="1">
      <c r="B67" s="58" t="inlineStr">
        <is>
          <t>11  Glattrohrzuführung und Vereinzeler/Rohrstopper</t>
        </is>
      </c>
      <c r="C67" s="7" t="n"/>
      <c r="D67" s="7" t="n"/>
      <c r="E67" s="68">
        <f>COUNTIFS(Wartungsplan!$AG$6:$AG$323,"Glattrohrzuführung und Vereinzeler/Rohrstopper",Wartungsplan!$AH$6:$AH$323,"Maßnahme")</f>
        <v/>
      </c>
      <c r="F67" s="57">
        <f>COUNTIFS(Wartungsplan!$AG$6:$AG$323,"Glattrohrzuführung und Vereinzeler/Rohrstopper",Wartungsplan!$L$6:$L$323,"überfällig")</f>
        <v/>
      </c>
      <c r="G67" s="57">
        <f>COUNTIFS(Wartungsplan!$AG$6:$AG$323,"Glattrohrzuführung und Vereinzeler/Rohrstopper",Wartungsplan!$L$6:$L$323,"fällig")</f>
        <v/>
      </c>
      <c r="H67" s="57">
        <f>COUNTIFS(Wartungsplan!$AG$6:$AG$323,"Glattrohrzuführung und Vereinzeler/Rohrstopper",Wartungsplan!$L$6:$L$323,"in Ordnung")</f>
        <v/>
      </c>
      <c r="I67" s="73">
        <f>IFERROR(AVERAGEIFS(Wartungsplan!$AA$6:$AA$323,Wartungsplan!$AG$6:$AG$323,"Glattrohrzuführung und Vereinzeler/Rohrstopper"),0)</f>
        <v/>
      </c>
      <c r="J67" s="73">
        <f>_xlfn.MAXIFS(Wartungsplan!$AA$6:$AA$323,Wartungsplan!$AG$6:$AG$323,"Glattrohrzuführung und Vereinzeler/Rohrstopper")</f>
        <v/>
      </c>
      <c r="K67" s="68">
        <f>COUNTIFS(Wartungsplan!$AG$6:$AG$323,"Glattrohrzuführung und Vereinzeler/Rohrstopper",Wartungsplan!$AB$6:$AB$323,"hoch")+COUNTIFS(Wartungsplan!$AG$6:$AG$323,"Glattrohrzuführung und Vereinzeler/Rohrstopper",Wartungsplan!$AB$6:$AB$323,"kritisch")</f>
        <v/>
      </c>
      <c r="L67" s="73">
        <f>SUMIFS(Wartungsplan!$AM$6:$AM$323,Wartungsplan!$AG$6:$AG$323,"Glattrohrzuführung und Vereinzeler/Rohrstopper")</f>
        <v/>
      </c>
      <c r="M67" s="64" t="inlineStr">
        <is>
          <t>16 / 17</t>
        </is>
      </c>
    </row>
    <row r="68" ht="16" customHeight="1">
      <c r="B68" s="58" t="inlineStr">
        <is>
          <t>12  Handbediengerät</t>
        </is>
      </c>
      <c r="C68" s="7" t="n"/>
      <c r="D68" s="7" t="n"/>
      <c r="E68" s="68">
        <f>COUNTIFS(Wartungsplan!$AG$6:$AG$323,"Handbediengerät",Wartungsplan!$AH$6:$AH$323,"Maßnahme")</f>
        <v/>
      </c>
      <c r="F68" s="57">
        <f>COUNTIFS(Wartungsplan!$AG$6:$AG$323,"Handbediengerät",Wartungsplan!$L$6:$L$323,"überfällig")</f>
        <v/>
      </c>
      <c r="G68" s="57">
        <f>COUNTIFS(Wartungsplan!$AG$6:$AG$323,"Handbediengerät",Wartungsplan!$L$6:$L$323,"fällig")</f>
        <v/>
      </c>
      <c r="H68" s="57">
        <f>COUNTIFS(Wartungsplan!$AG$6:$AG$323,"Handbediengerät",Wartungsplan!$L$6:$L$323,"in Ordnung")</f>
        <v/>
      </c>
      <c r="I68" s="73">
        <f>IFERROR(AVERAGEIFS(Wartungsplan!$AA$6:$AA$323,Wartungsplan!$AG$6:$AG$323,"Handbediengerät"),0)</f>
        <v/>
      </c>
      <c r="J68" s="73">
        <f>_xlfn.MAXIFS(Wartungsplan!$AA$6:$AA$323,Wartungsplan!$AG$6:$AG$323,"Handbediengerät")</f>
        <v/>
      </c>
      <c r="K68" s="68">
        <f>COUNTIFS(Wartungsplan!$AG$6:$AG$323,"Handbediengerät",Wartungsplan!$AB$6:$AB$323,"hoch")+COUNTIFS(Wartungsplan!$AG$6:$AG$323,"Handbediengerät",Wartungsplan!$AB$6:$AB$323,"kritisch")</f>
        <v/>
      </c>
      <c r="L68" s="73">
        <f>SUMIFS(Wartungsplan!$AM$6:$AM$323,Wartungsplan!$AG$6:$AG$323,"Handbediengerät")</f>
        <v/>
      </c>
      <c r="M68" s="64" t="inlineStr">
        <is>
          <t>19</t>
        </is>
      </c>
    </row>
    <row r="69" ht="16" customHeight="1">
      <c r="B69" s="58" t="inlineStr">
        <is>
          <t>13  Klimagerät für Schaltschrank</t>
        </is>
      </c>
      <c r="C69" s="7" t="n"/>
      <c r="D69" s="7" t="n"/>
      <c r="E69" s="68">
        <f>COUNTIFS(Wartungsplan!$AG$6:$AG$323,"Klimagerät für Schaltschrank",Wartungsplan!$AH$6:$AH$323,"Maßnahme")</f>
        <v/>
      </c>
      <c r="F69" s="57">
        <f>COUNTIFS(Wartungsplan!$AG$6:$AG$323,"Klimagerät für Schaltschrank",Wartungsplan!$L$6:$L$323,"überfällig")</f>
        <v/>
      </c>
      <c r="G69" s="57">
        <f>COUNTIFS(Wartungsplan!$AG$6:$AG$323,"Klimagerät für Schaltschrank",Wartungsplan!$L$6:$L$323,"fällig")</f>
        <v/>
      </c>
      <c r="H69" s="57">
        <f>COUNTIFS(Wartungsplan!$AG$6:$AG$323,"Klimagerät für Schaltschrank",Wartungsplan!$L$6:$L$323,"in Ordnung")</f>
        <v/>
      </c>
      <c r="I69" s="73">
        <f>IFERROR(AVERAGEIFS(Wartungsplan!$AA$6:$AA$323,Wartungsplan!$AG$6:$AG$323,"Klimagerät für Schaltschrank"),0)</f>
        <v/>
      </c>
      <c r="J69" s="73">
        <f>_xlfn.MAXIFS(Wartungsplan!$AA$6:$AA$323,Wartungsplan!$AG$6:$AG$323,"Klimagerät für Schaltschrank")</f>
        <v/>
      </c>
      <c r="K69" s="68">
        <f>COUNTIFS(Wartungsplan!$AG$6:$AG$323,"Klimagerät für Schaltschrank",Wartungsplan!$AB$6:$AB$323,"hoch")+COUNTIFS(Wartungsplan!$AG$6:$AG$323,"Klimagerät für Schaltschrank",Wartungsplan!$AB$6:$AB$323,"kritisch")</f>
        <v/>
      </c>
      <c r="L69" s="73">
        <f>SUMIFS(Wartungsplan!$AM$6:$AM$323,Wartungsplan!$AG$6:$AG$323,"Klimagerät für Schaltschrank")</f>
        <v/>
      </c>
      <c r="M69" s="64" t="inlineStr">
        <is>
          <t>20</t>
        </is>
      </c>
    </row>
    <row r="70" ht="16" customHeight="1">
      <c r="B70" s="58" t="inlineStr">
        <is>
          <t>14  Schaltschrank</t>
        </is>
      </c>
      <c r="C70" s="7" t="n"/>
      <c r="D70" s="7" t="n"/>
      <c r="E70" s="68">
        <f>COUNTIFS(Wartungsplan!$AG$6:$AG$323,"Schaltschrank",Wartungsplan!$AH$6:$AH$323,"Maßnahme")</f>
        <v/>
      </c>
      <c r="F70" s="57">
        <f>COUNTIFS(Wartungsplan!$AG$6:$AG$323,"Schaltschrank",Wartungsplan!$L$6:$L$323,"überfällig")</f>
        <v/>
      </c>
      <c r="G70" s="57">
        <f>COUNTIFS(Wartungsplan!$AG$6:$AG$323,"Schaltschrank",Wartungsplan!$L$6:$L$323,"fällig")</f>
        <v/>
      </c>
      <c r="H70" s="57">
        <f>COUNTIFS(Wartungsplan!$AG$6:$AG$323,"Schaltschrank",Wartungsplan!$L$6:$L$323,"in Ordnung")</f>
        <v/>
      </c>
      <c r="I70" s="73">
        <f>IFERROR(AVERAGEIFS(Wartungsplan!$AA$6:$AA$323,Wartungsplan!$AG$6:$AG$323,"Schaltschrank"),0)</f>
        <v/>
      </c>
      <c r="J70" s="73">
        <f>_xlfn.MAXIFS(Wartungsplan!$AA$6:$AA$323,Wartungsplan!$AG$6:$AG$323,"Schaltschrank")</f>
        <v/>
      </c>
      <c r="K70" s="68">
        <f>COUNTIFS(Wartungsplan!$AG$6:$AG$323,"Schaltschrank",Wartungsplan!$AB$6:$AB$323,"hoch")+COUNTIFS(Wartungsplan!$AG$6:$AG$323,"Schaltschrank",Wartungsplan!$AB$6:$AB$323,"kritisch")</f>
        <v/>
      </c>
      <c r="L70" s="73">
        <f>SUMIFS(Wartungsplan!$AM$6:$AM$323,Wartungsplan!$AG$6:$AG$323,"Schaltschrank")</f>
        <v/>
      </c>
      <c r="M70" s="64" t="inlineStr">
        <is>
          <t>22</t>
        </is>
      </c>
    </row>
    <row r="71" ht="16" customHeight="1">
      <c r="B71" s="58" t="inlineStr">
        <is>
          <t>15  Ölkühler/Wasserkühler</t>
        </is>
      </c>
      <c r="C71" s="7" t="n"/>
      <c r="D71" s="7" t="n"/>
      <c r="E71" s="68">
        <f>COUNTIFS(Wartungsplan!$AG$6:$AG$323,"Ölkühler/Wasserkühler",Wartungsplan!$AH$6:$AH$323,"Maßnahme")</f>
        <v/>
      </c>
      <c r="F71" s="57">
        <f>COUNTIFS(Wartungsplan!$AG$6:$AG$323,"Ölkühler/Wasserkühler",Wartungsplan!$L$6:$L$323,"überfällig")</f>
        <v/>
      </c>
      <c r="G71" s="57">
        <f>COUNTIFS(Wartungsplan!$AG$6:$AG$323,"Ölkühler/Wasserkühler",Wartungsplan!$L$6:$L$323,"fällig")</f>
        <v/>
      </c>
      <c r="H71" s="57">
        <f>COUNTIFS(Wartungsplan!$AG$6:$AG$323,"Ölkühler/Wasserkühler",Wartungsplan!$L$6:$L$323,"in Ordnung")</f>
        <v/>
      </c>
      <c r="I71" s="73">
        <f>IFERROR(AVERAGEIFS(Wartungsplan!$AA$6:$AA$323,Wartungsplan!$AG$6:$AG$323,"Ölkühler/Wasserkühler"),0)</f>
        <v/>
      </c>
      <c r="J71" s="73">
        <f>_xlfn.MAXIFS(Wartungsplan!$AA$6:$AA$323,Wartungsplan!$AG$6:$AG$323,"Ölkühler/Wasserkühler")</f>
        <v/>
      </c>
      <c r="K71" s="68">
        <f>COUNTIFS(Wartungsplan!$AG$6:$AG$323,"Ölkühler/Wasserkühler",Wartungsplan!$AB$6:$AB$323,"hoch")+COUNTIFS(Wartungsplan!$AG$6:$AG$323,"Ölkühler/Wasserkühler",Wartungsplan!$AB$6:$AB$323,"kritisch")</f>
        <v/>
      </c>
      <c r="L71" s="73">
        <f>SUMIFS(Wartungsplan!$AM$6:$AM$323,Wartungsplan!$AG$6:$AG$323,"Ölkühler/Wasserkühler")</f>
        <v/>
      </c>
      <c r="M71" s="64" t="inlineStr">
        <is>
          <t>24</t>
        </is>
      </c>
    </row>
    <row r="72" ht="16" customHeight="1">
      <c r="B72" s="58" t="inlineStr">
        <is>
          <t>16  Hydraulikaggregat</t>
        </is>
      </c>
      <c r="C72" s="7" t="n"/>
      <c r="D72" s="7" t="n"/>
      <c r="E72" s="68">
        <f>COUNTIFS(Wartungsplan!$AG$6:$AG$323,"Hydraulikaggregat",Wartungsplan!$AH$6:$AH$323,"Maßnahme")</f>
        <v/>
      </c>
      <c r="F72" s="57">
        <f>COUNTIFS(Wartungsplan!$AG$6:$AG$323,"Hydraulikaggregat",Wartungsplan!$L$6:$L$323,"überfällig")</f>
        <v/>
      </c>
      <c r="G72" s="57">
        <f>COUNTIFS(Wartungsplan!$AG$6:$AG$323,"Hydraulikaggregat",Wartungsplan!$L$6:$L$323,"fällig")</f>
        <v/>
      </c>
      <c r="H72" s="57">
        <f>COUNTIFS(Wartungsplan!$AG$6:$AG$323,"Hydraulikaggregat",Wartungsplan!$L$6:$L$323,"in Ordnung")</f>
        <v/>
      </c>
      <c r="I72" s="73">
        <f>IFERROR(AVERAGEIFS(Wartungsplan!$AA$6:$AA$323,Wartungsplan!$AG$6:$AG$323,"Hydraulikaggregat"),0)</f>
        <v/>
      </c>
      <c r="J72" s="73">
        <f>_xlfn.MAXIFS(Wartungsplan!$AA$6:$AA$323,Wartungsplan!$AG$6:$AG$323,"Hydraulikaggregat")</f>
        <v/>
      </c>
      <c r="K72" s="68">
        <f>COUNTIFS(Wartungsplan!$AG$6:$AG$323,"Hydraulikaggregat",Wartungsplan!$AB$6:$AB$323,"hoch")+COUNTIFS(Wartungsplan!$AG$6:$AG$323,"Hydraulikaggregat",Wartungsplan!$AB$6:$AB$323,"kritisch")</f>
        <v/>
      </c>
      <c r="L72" s="73">
        <f>SUMIFS(Wartungsplan!$AM$6:$AM$323,Wartungsplan!$AG$6:$AG$323,"Hydraulikaggregat")</f>
        <v/>
      </c>
      <c r="M72" s="64" t="inlineStr">
        <is>
          <t>25</t>
        </is>
      </c>
    </row>
    <row r="73" ht="26" customHeight="1">
      <c r="B73" s="58" t="inlineStr">
        <is>
          <t>17  Hydraulik-Druckfilter (mit Filtereinsatz)</t>
        </is>
      </c>
      <c r="C73" s="7" t="n"/>
      <c r="D73" s="7" t="n"/>
      <c r="E73" s="68">
        <f>COUNTIFS(Wartungsplan!$AG$6:$AG$323,"Hydraulik-Druckfilter (mit Filtereinsatz)",Wartungsplan!$AH$6:$AH$323,"Maßnahme")</f>
        <v/>
      </c>
      <c r="F73" s="57">
        <f>COUNTIFS(Wartungsplan!$AG$6:$AG$323,"Hydraulik-Druckfilter (mit Filtereinsatz)",Wartungsplan!$L$6:$L$323,"überfällig")</f>
        <v/>
      </c>
      <c r="G73" s="57">
        <f>COUNTIFS(Wartungsplan!$AG$6:$AG$323,"Hydraulik-Druckfilter (mit Filtereinsatz)",Wartungsplan!$L$6:$L$323,"fällig")</f>
        <v/>
      </c>
      <c r="H73" s="57">
        <f>COUNTIFS(Wartungsplan!$AG$6:$AG$323,"Hydraulik-Druckfilter (mit Filtereinsatz)",Wartungsplan!$L$6:$L$323,"in Ordnung")</f>
        <v/>
      </c>
      <c r="I73" s="73">
        <f>IFERROR(AVERAGEIFS(Wartungsplan!$AA$6:$AA$323,Wartungsplan!$AG$6:$AG$323,"Hydraulik-Druckfilter (mit Filtereinsatz)"),0)</f>
        <v/>
      </c>
      <c r="J73" s="73">
        <f>_xlfn.MAXIFS(Wartungsplan!$AA$6:$AA$323,Wartungsplan!$AG$6:$AG$323,"Hydraulik-Druckfilter (mit Filtereinsatz)")</f>
        <v/>
      </c>
      <c r="K73" s="68">
        <f>COUNTIFS(Wartungsplan!$AG$6:$AG$323,"Hydraulik-Druckfilter (mit Filtereinsatz)",Wartungsplan!$AB$6:$AB$323,"hoch")+COUNTIFS(Wartungsplan!$AG$6:$AG$323,"Hydraulik-Druckfilter (mit Filtereinsatz)",Wartungsplan!$AB$6:$AB$323,"kritisch")</f>
        <v/>
      </c>
      <c r="L73" s="73">
        <f>SUMIFS(Wartungsplan!$AM$6:$AM$323,Wartungsplan!$AG$6:$AG$323,"Hydraulik-Druckfilter (mit Filtereinsatz)")</f>
        <v/>
      </c>
      <c r="M73" s="64" t="inlineStr">
        <is>
          <t>26</t>
        </is>
      </c>
    </row>
    <row r="74" ht="16" customHeight="1">
      <c r="B74" s="58" t="inlineStr">
        <is>
          <t>18  Druckübersetzer</t>
        </is>
      </c>
      <c r="C74" s="7" t="n"/>
      <c r="D74" s="7" t="n"/>
      <c r="E74" s="68">
        <f>COUNTIFS(Wartungsplan!$AG$6:$AG$323,"Druckübersetzer",Wartungsplan!$AH$6:$AH$323,"Maßnahme")</f>
        <v/>
      </c>
      <c r="F74" s="57">
        <f>COUNTIFS(Wartungsplan!$AG$6:$AG$323,"Druckübersetzer",Wartungsplan!$L$6:$L$323,"überfällig")</f>
        <v/>
      </c>
      <c r="G74" s="57">
        <f>COUNTIFS(Wartungsplan!$AG$6:$AG$323,"Druckübersetzer",Wartungsplan!$L$6:$L$323,"fällig")</f>
        <v/>
      </c>
      <c r="H74" s="57">
        <f>COUNTIFS(Wartungsplan!$AG$6:$AG$323,"Druckübersetzer",Wartungsplan!$L$6:$L$323,"in Ordnung")</f>
        <v/>
      </c>
      <c r="I74" s="73">
        <f>IFERROR(AVERAGEIFS(Wartungsplan!$AA$6:$AA$323,Wartungsplan!$AG$6:$AG$323,"Druckübersetzer"),0)</f>
        <v/>
      </c>
      <c r="J74" s="73">
        <f>_xlfn.MAXIFS(Wartungsplan!$AA$6:$AA$323,Wartungsplan!$AG$6:$AG$323,"Druckübersetzer")</f>
        <v/>
      </c>
      <c r="K74" s="68">
        <f>COUNTIFS(Wartungsplan!$AG$6:$AG$323,"Druckübersetzer",Wartungsplan!$AB$6:$AB$323,"hoch")+COUNTIFS(Wartungsplan!$AG$6:$AG$323,"Druckübersetzer",Wartungsplan!$AB$6:$AB$323,"kritisch")</f>
        <v/>
      </c>
      <c r="L74" s="73">
        <f>SUMIFS(Wartungsplan!$AM$6:$AM$323,Wartungsplan!$AG$6:$AG$323,"Druckübersetzer")</f>
        <v/>
      </c>
      <c r="M74" s="64" t="inlineStr">
        <is>
          <t>30</t>
        </is>
      </c>
    </row>
    <row r="75" ht="16" customHeight="1">
      <c r="B75" s="58" t="inlineStr">
        <is>
          <t>19  Schmierung allgemein (HSIM)</t>
        </is>
      </c>
      <c r="C75" s="7" t="n"/>
      <c r="D75" s="7" t="n"/>
      <c r="E75" s="68">
        <f>COUNTIFS(Wartungsplan!$AG$6:$AG$323,"Schmierung allgemein (HSIM)",Wartungsplan!$AH$6:$AH$323,"Maßnahme")</f>
        <v/>
      </c>
      <c r="F75" s="57">
        <f>COUNTIFS(Wartungsplan!$AG$6:$AG$323,"Schmierung allgemein (HSIM)",Wartungsplan!$L$6:$L$323,"überfällig")</f>
        <v/>
      </c>
      <c r="G75" s="57">
        <f>COUNTIFS(Wartungsplan!$AG$6:$AG$323,"Schmierung allgemein (HSIM)",Wartungsplan!$L$6:$L$323,"fällig")</f>
        <v/>
      </c>
      <c r="H75" s="57">
        <f>COUNTIFS(Wartungsplan!$AG$6:$AG$323,"Schmierung allgemein (HSIM)",Wartungsplan!$L$6:$L$323,"in Ordnung")</f>
        <v/>
      </c>
      <c r="I75" s="73">
        <f>IFERROR(AVERAGEIFS(Wartungsplan!$AA$6:$AA$323,Wartungsplan!$AG$6:$AG$323,"Schmierung allgemein (HSIM)"),0)</f>
        <v/>
      </c>
      <c r="J75" s="73">
        <f>_xlfn.MAXIFS(Wartungsplan!$AA$6:$AA$323,Wartungsplan!$AG$6:$AG$323,"Schmierung allgemein (HSIM)")</f>
        <v/>
      </c>
      <c r="K75" s="68">
        <f>COUNTIFS(Wartungsplan!$AG$6:$AG$323,"Schmierung allgemein (HSIM)",Wartungsplan!$AB$6:$AB$323,"hoch")+COUNTIFS(Wartungsplan!$AG$6:$AG$323,"Schmierung allgemein (HSIM)",Wartungsplan!$AB$6:$AB$323,"kritisch")</f>
        <v/>
      </c>
      <c r="L75" s="73">
        <f>SUMIFS(Wartungsplan!$AM$6:$AM$323,Wartungsplan!$AG$6:$AG$323,"Schmierung allgemein (HSIM)")</f>
        <v/>
      </c>
      <c r="M75" s="64" t="inlineStr">
        <is>
          <t>–</t>
        </is>
      </c>
    </row>
    <row r="76" ht="16" customHeight="1">
      <c r="B76" s="58" t="inlineStr">
        <is>
          <t>20  Schutzeinrichtungen</t>
        </is>
      </c>
      <c r="C76" s="7" t="n"/>
      <c r="D76" s="7" t="n"/>
      <c r="E76" s="68">
        <f>COUNTIFS(Wartungsplan!$AG$6:$AG$323,"Schutzeinrichtungen",Wartungsplan!$AH$6:$AH$323,"Maßnahme")</f>
        <v/>
      </c>
      <c r="F76" s="57">
        <f>COUNTIFS(Wartungsplan!$AG$6:$AG$323,"Schutzeinrichtungen",Wartungsplan!$L$6:$L$323,"überfällig")</f>
        <v/>
      </c>
      <c r="G76" s="57">
        <f>COUNTIFS(Wartungsplan!$AG$6:$AG$323,"Schutzeinrichtungen",Wartungsplan!$L$6:$L$323,"fällig")</f>
        <v/>
      </c>
      <c r="H76" s="57">
        <f>COUNTIFS(Wartungsplan!$AG$6:$AG$323,"Schutzeinrichtungen",Wartungsplan!$L$6:$L$323,"in Ordnung")</f>
        <v/>
      </c>
      <c r="I76" s="73">
        <f>IFERROR(AVERAGEIFS(Wartungsplan!$AA$6:$AA$323,Wartungsplan!$AG$6:$AG$323,"Schutzeinrichtungen"),0)</f>
        <v/>
      </c>
      <c r="J76" s="73">
        <f>_xlfn.MAXIFS(Wartungsplan!$AA$6:$AA$323,Wartungsplan!$AG$6:$AG$323,"Schutzeinrichtungen")</f>
        <v/>
      </c>
      <c r="K76" s="68">
        <f>COUNTIFS(Wartungsplan!$AG$6:$AG$323,"Schutzeinrichtungen",Wartungsplan!$AB$6:$AB$323,"hoch")+COUNTIFS(Wartungsplan!$AG$6:$AG$323,"Schutzeinrichtungen",Wartungsplan!$AB$6:$AB$323,"kritisch")</f>
        <v/>
      </c>
      <c r="L76" s="73">
        <f>SUMIFS(Wartungsplan!$AM$6:$AM$323,Wartungsplan!$AG$6:$AG$323,"Schutzeinrichtungen")</f>
        <v/>
      </c>
      <c r="M76" s="64" t="inlineStr">
        <is>
          <t>–</t>
        </is>
      </c>
    </row>
    <row r="77" ht="16" customHeight="1">
      <c r="B77" s="58" t="inlineStr">
        <is>
          <t>21  Kühlaggregat für Öl und Wasser</t>
        </is>
      </c>
      <c r="C77" s="7" t="n"/>
      <c r="D77" s="7" t="n"/>
      <c r="E77" s="68">
        <f>COUNTIFS(Wartungsplan!$AG$6:$AG$323,"Kühlaggregat für Öl und Wasser",Wartungsplan!$AH$6:$AH$323,"Maßnahme")</f>
        <v/>
      </c>
      <c r="F77" s="57">
        <f>COUNTIFS(Wartungsplan!$AG$6:$AG$323,"Kühlaggregat für Öl und Wasser",Wartungsplan!$L$6:$L$323,"überfällig")</f>
        <v/>
      </c>
      <c r="G77" s="57">
        <f>COUNTIFS(Wartungsplan!$AG$6:$AG$323,"Kühlaggregat für Öl und Wasser",Wartungsplan!$L$6:$L$323,"fällig")</f>
        <v/>
      </c>
      <c r="H77" s="57">
        <f>COUNTIFS(Wartungsplan!$AG$6:$AG$323,"Kühlaggregat für Öl und Wasser",Wartungsplan!$L$6:$L$323,"in Ordnung")</f>
        <v/>
      </c>
      <c r="I77" s="73">
        <f>IFERROR(AVERAGEIFS(Wartungsplan!$AA$6:$AA$323,Wartungsplan!$AG$6:$AG$323,"Kühlaggregat für Öl und Wasser"),0)</f>
        <v/>
      </c>
      <c r="J77" s="73">
        <f>_xlfn.MAXIFS(Wartungsplan!$AA$6:$AA$323,Wartungsplan!$AG$6:$AG$323,"Kühlaggregat für Öl und Wasser")</f>
        <v/>
      </c>
      <c r="K77" s="68">
        <f>COUNTIFS(Wartungsplan!$AG$6:$AG$323,"Kühlaggregat für Öl und Wasser",Wartungsplan!$AB$6:$AB$323,"hoch")+COUNTIFS(Wartungsplan!$AG$6:$AG$323,"Kühlaggregat für Öl und Wasser",Wartungsplan!$AB$6:$AB$323,"kritisch")</f>
        <v/>
      </c>
      <c r="L77" s="73">
        <f>SUMIFS(Wartungsplan!$AM$6:$AM$323,Wartungsplan!$AG$6:$AG$323,"Kühlaggregat für Öl und Wasser")</f>
        <v/>
      </c>
      <c r="M77" s="64" t="inlineStr">
        <is>
          <t>–</t>
        </is>
      </c>
    </row>
    <row r="80">
      <c r="B80" s="4" t="inlineStr">
        <is>
          <t>Risikobewertung (RPZ)</t>
        </is>
      </c>
    </row>
    <row r="81">
      <c r="B81" s="22" t="inlineStr">
        <is>
          <t>Risikoklasse</t>
        </is>
      </c>
      <c r="C81" s="56" t="n"/>
      <c r="D81" s="22" t="inlineStr">
        <is>
          <t>Anzahl</t>
        </is>
      </c>
      <c r="E81" s="22" t="inlineStr">
        <is>
          <t>Anteil</t>
        </is>
      </c>
      <c r="F81" s="22" t="inlineStr">
        <is>
          <t>Empfehlung</t>
        </is>
      </c>
      <c r="G81" s="56" t="n"/>
    </row>
    <row r="82">
      <c r="B82" s="13" t="inlineStr">
        <is>
          <t>gering</t>
        </is>
      </c>
      <c r="C82" s="33" t="n"/>
      <c r="D82" s="57">
        <f>COUNTIFS(Wartungsplan!$AH$6:$AH$323,"Maßnahme",Wartungsplan!$AB$6:$AB$323,"gering")</f>
        <v/>
      </c>
      <c r="E82" s="65">
        <f>IFERROR(D82/COUNTIF(Wartungsplan!$AH$6:$AH$323,"Maßnahme"),0)</f>
        <v/>
      </c>
      <c r="F82" s="68">
        <f>IFERROR(INDEX(Kl_Intervall,MATCH("gering",Kl_Name,0)),"–")</f>
        <v/>
      </c>
      <c r="G82" s="7" t="n"/>
    </row>
    <row r="83">
      <c r="B83" s="12" t="inlineStr">
        <is>
          <t>mittel</t>
        </is>
      </c>
      <c r="C83" s="32" t="n"/>
      <c r="D83" s="57">
        <f>COUNTIFS(Wartungsplan!$AH$6:$AH$323,"Maßnahme",Wartungsplan!$AB$6:$AB$323,"mittel")</f>
        <v/>
      </c>
      <c r="E83" s="65">
        <f>IFERROR(D83/COUNTIF(Wartungsplan!$AH$6:$AH$323,"Maßnahme"),0)</f>
        <v/>
      </c>
      <c r="F83" s="68">
        <f>IFERROR(INDEX(Kl_Intervall,MATCH("mittel",Kl_Name,0)),"–")</f>
        <v/>
      </c>
      <c r="G83" s="7" t="n"/>
    </row>
    <row r="84">
      <c r="B84" s="11" t="inlineStr">
        <is>
          <t>hoch</t>
        </is>
      </c>
      <c r="C84" s="31" t="n"/>
      <c r="D84" s="57">
        <f>COUNTIFS(Wartungsplan!$AH$6:$AH$323,"Maßnahme",Wartungsplan!$AB$6:$AB$323,"hoch")</f>
        <v/>
      </c>
      <c r="E84" s="65">
        <f>IFERROR(D84/COUNTIF(Wartungsplan!$AH$6:$AH$323,"Maßnahme"),0)</f>
        <v/>
      </c>
      <c r="F84" s="68">
        <f>IFERROR(INDEX(Kl_Intervall,MATCH("hoch",Kl_Name,0)),"–")</f>
        <v/>
      </c>
      <c r="G84" s="7" t="n"/>
    </row>
    <row r="85">
      <c r="B85" s="74" t="inlineStr">
        <is>
          <t>kritisch</t>
        </is>
      </c>
      <c r="C85" s="75" t="n"/>
      <c r="D85" s="57">
        <f>COUNTIFS(Wartungsplan!$AH$6:$AH$323,"Maßnahme",Wartungsplan!$AB$6:$AB$323,"kritisch")</f>
        <v/>
      </c>
      <c r="E85" s="65">
        <f>IFERROR(D85/COUNTIF(Wartungsplan!$AH$6:$AH$323,"Maßnahme"),0)</f>
        <v/>
      </c>
      <c r="F85" s="68">
        <f>IFERROR(INDEX(Kl_Intervall,MATCH("kritisch",Kl_Name,0)),"–")</f>
        <v/>
      </c>
      <c r="G85" s="7" t="n"/>
    </row>
    <row r="86">
      <c r="B86" s="76" t="inlineStr">
        <is>
          <t>unvollständig</t>
        </is>
      </c>
      <c r="C86" s="77" t="n"/>
      <c r="D86" s="57">
        <f>COUNTIFS(Wartungsplan!$AH$6:$AH$323,"Maßnahme",Wartungsplan!$AB$6:$AB$323,"unvollständig")</f>
        <v/>
      </c>
      <c r="E86" s="65">
        <f>IFERROR(D86/COUNTIF(Wartungsplan!$AH$6:$AH$323,"Maßnahme"),0)</f>
        <v/>
      </c>
      <c r="F86" s="68">
        <f>IFERROR(INDEX(Kl_Intervall,MATCH("unvollständig",Kl_Name,0)),"–")</f>
        <v/>
      </c>
      <c r="G86" s="7" t="n"/>
    </row>
    <row r="88">
      <c r="B88" s="66" t="inlineStr">
        <is>
          <t>Ø RPZ</t>
        </is>
      </c>
      <c r="C88" s="7" t="n"/>
      <c r="D88" s="7" t="n"/>
      <c r="E88" s="7" t="n"/>
      <c r="F88" s="78">
        <f>IFERROR(AVERAGE(Wartungsplan!$AA$6:$AA$323),0)</f>
        <v/>
      </c>
      <c r="G88" s="7" t="n"/>
    </row>
    <row r="89">
      <c r="B89" s="66" t="inlineStr">
        <is>
          <t>Maximale RPZ</t>
        </is>
      </c>
      <c r="C89" s="7" t="n"/>
      <c r="D89" s="7" t="n"/>
      <c r="E89" s="7" t="n"/>
      <c r="F89" s="78">
        <f>IFERROR(MAX(Wartungsplan!$AA$6:$AA$323),0)</f>
        <v/>
      </c>
      <c r="G89" s="7" t="n"/>
    </row>
    <row r="90">
      <c r="B90" s="66" t="inlineStr">
        <is>
          <t>Arbeitssicherheitsrelevant (AS ≥ Schwelle)</t>
        </is>
      </c>
      <c r="C90" s="7" t="n"/>
      <c r="D90" s="7" t="n"/>
      <c r="E90" s="7" t="n"/>
      <c r="F90" s="79">
        <f>COUNTIFS(Wartungsplan!$AH$6:$AH$323,"Maßnahme",Wartungsplan!$T$6:$T$323,"&gt;="&amp;P_Krit)</f>
        <v/>
      </c>
      <c r="G90" s="7" t="n"/>
    </row>
    <row r="91">
      <c r="B91" s="66" t="inlineStr">
        <is>
          <t>Qualitätsrelevant (Q ≥ Schwelle)</t>
        </is>
      </c>
      <c r="C91" s="7" t="n"/>
      <c r="D91" s="7" t="n"/>
      <c r="E91" s="7" t="n"/>
      <c r="F91" s="79">
        <f>COUNTIFS(Wartungsplan!$AH$6:$AH$323,"Maßnahme",Wartungsplan!$S$6:$S$323,"&gt;="&amp;P_Krit)</f>
        <v/>
      </c>
      <c r="G91" s="7" t="n"/>
    </row>
    <row r="92">
      <c r="B92" s="66" t="inlineStr">
        <is>
          <t>Umweltrelevant (US ≥ Schwelle)</t>
        </is>
      </c>
      <c r="C92" s="7" t="n"/>
      <c r="D92" s="7" t="n"/>
      <c r="E92" s="7" t="n"/>
      <c r="F92" s="79">
        <f>COUNTIFS(Wartungsplan!$AH$6:$AH$323,"Maßnahme",Wartungsplan!$U$6:$U$323,"&gt;="&amp;P_Krit)</f>
        <v/>
      </c>
      <c r="G92" s="7" t="n"/>
    </row>
    <row r="95">
      <c r="B95" s="4" t="inlineStr">
        <is>
          <t>Top-10-Risiken (höchste RPZ)</t>
        </is>
      </c>
    </row>
    <row r="96">
      <c r="B96" s="22" t="inlineStr">
        <is>
          <t>Nr.</t>
        </is>
      </c>
      <c r="C96" s="22" t="inlineStr">
        <is>
          <t>Maßnahme</t>
        </is>
      </c>
      <c r="D96" s="56" t="n"/>
      <c r="E96" s="56" t="n"/>
      <c r="F96" s="56" t="n"/>
      <c r="G96" s="56" t="n"/>
      <c r="H96" s="22" t="inlineStr">
        <is>
          <t>Baugruppe</t>
        </is>
      </c>
      <c r="I96" s="56" t="n"/>
      <c r="J96" s="22" t="inlineStr">
        <is>
          <t>RPZ</t>
        </is>
      </c>
      <c r="K96" s="22" t="inlineStr">
        <is>
          <t>Klasse</t>
        </is>
      </c>
      <c r="L96" s="22" t="inlineStr">
        <is>
          <t>Intervall</t>
        </is>
      </c>
      <c r="M96" s="56" t="n"/>
    </row>
    <row r="97" ht="24" customHeight="1">
      <c r="B97" s="57">
        <f>IFERROR(INDEX(Wartungsplan!$A$6:$A$323,MATCH(LARGE(Wartungsplan!$AN$6:$AN$323,1),Wartungsplan!$AN$6:$AN$323,0)),"")</f>
        <v/>
      </c>
      <c r="C97" s="58">
        <f>IFERROR(INDEX(Wartungsplan!$B$6:$B$323,MATCH(LARGE(Wartungsplan!$AN$6:$AN$323,1),Wartungsplan!$AN$6:$AN$323,0)),"")</f>
        <v/>
      </c>
      <c r="D97" s="7" t="n"/>
      <c r="E97" s="7" t="n"/>
      <c r="F97" s="7" t="n"/>
      <c r="G97" s="7" t="n"/>
      <c r="H97" s="59">
        <f>IFERROR(INDEX(Wartungsplan!$AG$6:$AG$323,MATCH(LARGE(Wartungsplan!$AN$6:$AN$323,1),Wartungsplan!$AN$6:$AN$323,0)),"")</f>
        <v/>
      </c>
      <c r="I97" s="7" t="n"/>
      <c r="J97" s="80">
        <f>IFERROR(INDEX(Wartungsplan!$AA$6:$AA$323,MATCH(LARGE(Wartungsplan!$AN$6:$AN$323,1),Wartungsplan!$AN$6:$AN$323,0)),"")</f>
        <v/>
      </c>
      <c r="K97" s="57">
        <f>IFERROR(INDEX(Wartungsplan!$AB$6:$AB$323,MATCH(LARGE(Wartungsplan!$AN$6:$AN$323,1),Wartungsplan!$AN$6:$AN$323,0)),"")</f>
        <v/>
      </c>
      <c r="L97" s="68">
        <f>IFERROR(INDEX(Wartungsplan!$H$6:$H$323,MATCH(LARGE(Wartungsplan!$AN$6:$AN$323,1),Wartungsplan!$AN$6:$AN$323,0)),"")</f>
        <v/>
      </c>
      <c r="M97" s="7" t="n"/>
    </row>
    <row r="98" ht="24" customHeight="1">
      <c r="B98" s="57">
        <f>IFERROR(INDEX(Wartungsplan!$A$6:$A$323,MATCH(LARGE(Wartungsplan!$AN$6:$AN$323,2),Wartungsplan!$AN$6:$AN$323,0)),"")</f>
        <v/>
      </c>
      <c r="C98" s="58">
        <f>IFERROR(INDEX(Wartungsplan!$B$6:$B$323,MATCH(LARGE(Wartungsplan!$AN$6:$AN$323,2),Wartungsplan!$AN$6:$AN$323,0)),"")</f>
        <v/>
      </c>
      <c r="D98" s="7" t="n"/>
      <c r="E98" s="7" t="n"/>
      <c r="F98" s="7" t="n"/>
      <c r="G98" s="7" t="n"/>
      <c r="H98" s="59">
        <f>IFERROR(INDEX(Wartungsplan!$AG$6:$AG$323,MATCH(LARGE(Wartungsplan!$AN$6:$AN$323,2),Wartungsplan!$AN$6:$AN$323,0)),"")</f>
        <v/>
      </c>
      <c r="I98" s="7" t="n"/>
      <c r="J98" s="80">
        <f>IFERROR(INDEX(Wartungsplan!$AA$6:$AA$323,MATCH(LARGE(Wartungsplan!$AN$6:$AN$323,2),Wartungsplan!$AN$6:$AN$323,0)),"")</f>
        <v/>
      </c>
      <c r="K98" s="57">
        <f>IFERROR(INDEX(Wartungsplan!$AB$6:$AB$323,MATCH(LARGE(Wartungsplan!$AN$6:$AN$323,2),Wartungsplan!$AN$6:$AN$323,0)),"")</f>
        <v/>
      </c>
      <c r="L98" s="68">
        <f>IFERROR(INDEX(Wartungsplan!$H$6:$H$323,MATCH(LARGE(Wartungsplan!$AN$6:$AN$323,2),Wartungsplan!$AN$6:$AN$323,0)),"")</f>
        <v/>
      </c>
      <c r="M98" s="7" t="n"/>
    </row>
    <row r="99" ht="24" customHeight="1">
      <c r="B99" s="57">
        <f>IFERROR(INDEX(Wartungsplan!$A$6:$A$323,MATCH(LARGE(Wartungsplan!$AN$6:$AN$323,3),Wartungsplan!$AN$6:$AN$323,0)),"")</f>
        <v/>
      </c>
      <c r="C99" s="58">
        <f>IFERROR(INDEX(Wartungsplan!$B$6:$B$323,MATCH(LARGE(Wartungsplan!$AN$6:$AN$323,3),Wartungsplan!$AN$6:$AN$323,0)),"")</f>
        <v/>
      </c>
      <c r="D99" s="7" t="n"/>
      <c r="E99" s="7" t="n"/>
      <c r="F99" s="7" t="n"/>
      <c r="G99" s="7" t="n"/>
      <c r="H99" s="59">
        <f>IFERROR(INDEX(Wartungsplan!$AG$6:$AG$323,MATCH(LARGE(Wartungsplan!$AN$6:$AN$323,3),Wartungsplan!$AN$6:$AN$323,0)),"")</f>
        <v/>
      </c>
      <c r="I99" s="7" t="n"/>
      <c r="J99" s="80">
        <f>IFERROR(INDEX(Wartungsplan!$AA$6:$AA$323,MATCH(LARGE(Wartungsplan!$AN$6:$AN$323,3),Wartungsplan!$AN$6:$AN$323,0)),"")</f>
        <v/>
      </c>
      <c r="K99" s="57">
        <f>IFERROR(INDEX(Wartungsplan!$AB$6:$AB$323,MATCH(LARGE(Wartungsplan!$AN$6:$AN$323,3),Wartungsplan!$AN$6:$AN$323,0)),"")</f>
        <v/>
      </c>
      <c r="L99" s="68">
        <f>IFERROR(INDEX(Wartungsplan!$H$6:$H$323,MATCH(LARGE(Wartungsplan!$AN$6:$AN$323,3),Wartungsplan!$AN$6:$AN$323,0)),"")</f>
        <v/>
      </c>
      <c r="M99" s="7" t="n"/>
    </row>
    <row r="100" ht="24" customHeight="1">
      <c r="B100" s="57">
        <f>IFERROR(INDEX(Wartungsplan!$A$6:$A$323,MATCH(LARGE(Wartungsplan!$AN$6:$AN$323,4),Wartungsplan!$AN$6:$AN$323,0)),"")</f>
        <v/>
      </c>
      <c r="C100" s="58">
        <f>IFERROR(INDEX(Wartungsplan!$B$6:$B$323,MATCH(LARGE(Wartungsplan!$AN$6:$AN$323,4),Wartungsplan!$AN$6:$AN$323,0)),"")</f>
        <v/>
      </c>
      <c r="D100" s="7" t="n"/>
      <c r="E100" s="7" t="n"/>
      <c r="F100" s="7" t="n"/>
      <c r="G100" s="7" t="n"/>
      <c r="H100" s="59">
        <f>IFERROR(INDEX(Wartungsplan!$AG$6:$AG$323,MATCH(LARGE(Wartungsplan!$AN$6:$AN$323,4),Wartungsplan!$AN$6:$AN$323,0)),"")</f>
        <v/>
      </c>
      <c r="I100" s="7" t="n"/>
      <c r="J100" s="80">
        <f>IFERROR(INDEX(Wartungsplan!$AA$6:$AA$323,MATCH(LARGE(Wartungsplan!$AN$6:$AN$323,4),Wartungsplan!$AN$6:$AN$323,0)),"")</f>
        <v/>
      </c>
      <c r="K100" s="57">
        <f>IFERROR(INDEX(Wartungsplan!$AB$6:$AB$323,MATCH(LARGE(Wartungsplan!$AN$6:$AN$323,4),Wartungsplan!$AN$6:$AN$323,0)),"")</f>
        <v/>
      </c>
      <c r="L100" s="68">
        <f>IFERROR(INDEX(Wartungsplan!$H$6:$H$323,MATCH(LARGE(Wartungsplan!$AN$6:$AN$323,4),Wartungsplan!$AN$6:$AN$323,0)),"")</f>
        <v/>
      </c>
      <c r="M100" s="7" t="n"/>
    </row>
    <row r="101" ht="24" customHeight="1">
      <c r="B101" s="57">
        <f>IFERROR(INDEX(Wartungsplan!$A$6:$A$323,MATCH(LARGE(Wartungsplan!$AN$6:$AN$323,5),Wartungsplan!$AN$6:$AN$323,0)),"")</f>
        <v/>
      </c>
      <c r="C101" s="58">
        <f>IFERROR(INDEX(Wartungsplan!$B$6:$B$323,MATCH(LARGE(Wartungsplan!$AN$6:$AN$323,5),Wartungsplan!$AN$6:$AN$323,0)),"")</f>
        <v/>
      </c>
      <c r="D101" s="7" t="n"/>
      <c r="E101" s="7" t="n"/>
      <c r="F101" s="7" t="n"/>
      <c r="G101" s="7" t="n"/>
      <c r="H101" s="59">
        <f>IFERROR(INDEX(Wartungsplan!$AG$6:$AG$323,MATCH(LARGE(Wartungsplan!$AN$6:$AN$323,5),Wartungsplan!$AN$6:$AN$323,0)),"")</f>
        <v/>
      </c>
      <c r="I101" s="7" t="n"/>
      <c r="J101" s="80">
        <f>IFERROR(INDEX(Wartungsplan!$AA$6:$AA$323,MATCH(LARGE(Wartungsplan!$AN$6:$AN$323,5),Wartungsplan!$AN$6:$AN$323,0)),"")</f>
        <v/>
      </c>
      <c r="K101" s="57">
        <f>IFERROR(INDEX(Wartungsplan!$AB$6:$AB$323,MATCH(LARGE(Wartungsplan!$AN$6:$AN$323,5),Wartungsplan!$AN$6:$AN$323,0)),"")</f>
        <v/>
      </c>
      <c r="L101" s="68">
        <f>IFERROR(INDEX(Wartungsplan!$H$6:$H$323,MATCH(LARGE(Wartungsplan!$AN$6:$AN$323,5),Wartungsplan!$AN$6:$AN$323,0)),"")</f>
        <v/>
      </c>
      <c r="M101" s="7" t="n"/>
    </row>
    <row r="102" ht="24" customHeight="1">
      <c r="B102" s="57">
        <f>IFERROR(INDEX(Wartungsplan!$A$6:$A$323,MATCH(LARGE(Wartungsplan!$AN$6:$AN$323,6),Wartungsplan!$AN$6:$AN$323,0)),"")</f>
        <v/>
      </c>
      <c r="C102" s="58">
        <f>IFERROR(INDEX(Wartungsplan!$B$6:$B$323,MATCH(LARGE(Wartungsplan!$AN$6:$AN$323,6),Wartungsplan!$AN$6:$AN$323,0)),"")</f>
        <v/>
      </c>
      <c r="D102" s="7" t="n"/>
      <c r="E102" s="7" t="n"/>
      <c r="F102" s="7" t="n"/>
      <c r="G102" s="7" t="n"/>
      <c r="H102" s="59">
        <f>IFERROR(INDEX(Wartungsplan!$AG$6:$AG$323,MATCH(LARGE(Wartungsplan!$AN$6:$AN$323,6),Wartungsplan!$AN$6:$AN$323,0)),"")</f>
        <v/>
      </c>
      <c r="I102" s="7" t="n"/>
      <c r="J102" s="80">
        <f>IFERROR(INDEX(Wartungsplan!$AA$6:$AA$323,MATCH(LARGE(Wartungsplan!$AN$6:$AN$323,6),Wartungsplan!$AN$6:$AN$323,0)),"")</f>
        <v/>
      </c>
      <c r="K102" s="57">
        <f>IFERROR(INDEX(Wartungsplan!$AB$6:$AB$323,MATCH(LARGE(Wartungsplan!$AN$6:$AN$323,6),Wartungsplan!$AN$6:$AN$323,0)),"")</f>
        <v/>
      </c>
      <c r="L102" s="68">
        <f>IFERROR(INDEX(Wartungsplan!$H$6:$H$323,MATCH(LARGE(Wartungsplan!$AN$6:$AN$323,6),Wartungsplan!$AN$6:$AN$323,0)),"")</f>
        <v/>
      </c>
      <c r="M102" s="7" t="n"/>
    </row>
    <row r="103" ht="24" customHeight="1">
      <c r="B103" s="57">
        <f>IFERROR(INDEX(Wartungsplan!$A$6:$A$323,MATCH(LARGE(Wartungsplan!$AN$6:$AN$323,7),Wartungsplan!$AN$6:$AN$323,0)),"")</f>
        <v/>
      </c>
      <c r="C103" s="58">
        <f>IFERROR(INDEX(Wartungsplan!$B$6:$B$323,MATCH(LARGE(Wartungsplan!$AN$6:$AN$323,7),Wartungsplan!$AN$6:$AN$323,0)),"")</f>
        <v/>
      </c>
      <c r="D103" s="7" t="n"/>
      <c r="E103" s="7" t="n"/>
      <c r="F103" s="7" t="n"/>
      <c r="G103" s="7" t="n"/>
      <c r="H103" s="59">
        <f>IFERROR(INDEX(Wartungsplan!$AG$6:$AG$323,MATCH(LARGE(Wartungsplan!$AN$6:$AN$323,7),Wartungsplan!$AN$6:$AN$323,0)),"")</f>
        <v/>
      </c>
      <c r="I103" s="7" t="n"/>
      <c r="J103" s="80">
        <f>IFERROR(INDEX(Wartungsplan!$AA$6:$AA$323,MATCH(LARGE(Wartungsplan!$AN$6:$AN$323,7),Wartungsplan!$AN$6:$AN$323,0)),"")</f>
        <v/>
      </c>
      <c r="K103" s="57">
        <f>IFERROR(INDEX(Wartungsplan!$AB$6:$AB$323,MATCH(LARGE(Wartungsplan!$AN$6:$AN$323,7),Wartungsplan!$AN$6:$AN$323,0)),"")</f>
        <v/>
      </c>
      <c r="L103" s="68">
        <f>IFERROR(INDEX(Wartungsplan!$H$6:$H$323,MATCH(LARGE(Wartungsplan!$AN$6:$AN$323,7),Wartungsplan!$AN$6:$AN$323,0)),"")</f>
        <v/>
      </c>
      <c r="M103" s="7" t="n"/>
    </row>
    <row r="104" ht="24" customHeight="1">
      <c r="B104" s="57">
        <f>IFERROR(INDEX(Wartungsplan!$A$6:$A$323,MATCH(LARGE(Wartungsplan!$AN$6:$AN$323,8),Wartungsplan!$AN$6:$AN$323,0)),"")</f>
        <v/>
      </c>
      <c r="C104" s="58">
        <f>IFERROR(INDEX(Wartungsplan!$B$6:$B$323,MATCH(LARGE(Wartungsplan!$AN$6:$AN$323,8),Wartungsplan!$AN$6:$AN$323,0)),"")</f>
        <v/>
      </c>
      <c r="D104" s="7" t="n"/>
      <c r="E104" s="7" t="n"/>
      <c r="F104" s="7" t="n"/>
      <c r="G104" s="7" t="n"/>
      <c r="H104" s="59">
        <f>IFERROR(INDEX(Wartungsplan!$AG$6:$AG$323,MATCH(LARGE(Wartungsplan!$AN$6:$AN$323,8),Wartungsplan!$AN$6:$AN$323,0)),"")</f>
        <v/>
      </c>
      <c r="I104" s="7" t="n"/>
      <c r="J104" s="80">
        <f>IFERROR(INDEX(Wartungsplan!$AA$6:$AA$323,MATCH(LARGE(Wartungsplan!$AN$6:$AN$323,8),Wartungsplan!$AN$6:$AN$323,0)),"")</f>
        <v/>
      </c>
      <c r="K104" s="57">
        <f>IFERROR(INDEX(Wartungsplan!$AB$6:$AB$323,MATCH(LARGE(Wartungsplan!$AN$6:$AN$323,8),Wartungsplan!$AN$6:$AN$323,0)),"")</f>
        <v/>
      </c>
      <c r="L104" s="68">
        <f>IFERROR(INDEX(Wartungsplan!$H$6:$H$323,MATCH(LARGE(Wartungsplan!$AN$6:$AN$323,8),Wartungsplan!$AN$6:$AN$323,0)),"")</f>
        <v/>
      </c>
      <c r="M104" s="7" t="n"/>
    </row>
    <row r="105" ht="24" customHeight="1">
      <c r="B105" s="57">
        <f>IFERROR(INDEX(Wartungsplan!$A$6:$A$323,MATCH(LARGE(Wartungsplan!$AN$6:$AN$323,9),Wartungsplan!$AN$6:$AN$323,0)),"")</f>
        <v/>
      </c>
      <c r="C105" s="58">
        <f>IFERROR(INDEX(Wartungsplan!$B$6:$B$323,MATCH(LARGE(Wartungsplan!$AN$6:$AN$323,9),Wartungsplan!$AN$6:$AN$323,0)),"")</f>
        <v/>
      </c>
      <c r="D105" s="7" t="n"/>
      <c r="E105" s="7" t="n"/>
      <c r="F105" s="7" t="n"/>
      <c r="G105" s="7" t="n"/>
      <c r="H105" s="59">
        <f>IFERROR(INDEX(Wartungsplan!$AG$6:$AG$323,MATCH(LARGE(Wartungsplan!$AN$6:$AN$323,9),Wartungsplan!$AN$6:$AN$323,0)),"")</f>
        <v/>
      </c>
      <c r="I105" s="7" t="n"/>
      <c r="J105" s="80">
        <f>IFERROR(INDEX(Wartungsplan!$AA$6:$AA$323,MATCH(LARGE(Wartungsplan!$AN$6:$AN$323,9),Wartungsplan!$AN$6:$AN$323,0)),"")</f>
        <v/>
      </c>
      <c r="K105" s="57">
        <f>IFERROR(INDEX(Wartungsplan!$AB$6:$AB$323,MATCH(LARGE(Wartungsplan!$AN$6:$AN$323,9),Wartungsplan!$AN$6:$AN$323,0)),"")</f>
        <v/>
      </c>
      <c r="L105" s="68">
        <f>IFERROR(INDEX(Wartungsplan!$H$6:$H$323,MATCH(LARGE(Wartungsplan!$AN$6:$AN$323,9),Wartungsplan!$AN$6:$AN$323,0)),"")</f>
        <v/>
      </c>
      <c r="M105" s="7" t="n"/>
    </row>
    <row r="106" ht="24" customHeight="1">
      <c r="B106" s="57">
        <f>IFERROR(INDEX(Wartungsplan!$A$6:$A$323,MATCH(LARGE(Wartungsplan!$AN$6:$AN$323,10),Wartungsplan!$AN$6:$AN$323,0)),"")</f>
        <v/>
      </c>
      <c r="C106" s="58">
        <f>IFERROR(INDEX(Wartungsplan!$B$6:$B$323,MATCH(LARGE(Wartungsplan!$AN$6:$AN$323,10),Wartungsplan!$AN$6:$AN$323,0)),"")</f>
        <v/>
      </c>
      <c r="D106" s="7" t="n"/>
      <c r="E106" s="7" t="n"/>
      <c r="F106" s="7" t="n"/>
      <c r="G106" s="7" t="n"/>
      <c r="H106" s="59">
        <f>IFERROR(INDEX(Wartungsplan!$AG$6:$AG$323,MATCH(LARGE(Wartungsplan!$AN$6:$AN$323,10),Wartungsplan!$AN$6:$AN$323,0)),"")</f>
        <v/>
      </c>
      <c r="I106" s="7" t="n"/>
      <c r="J106" s="80">
        <f>IFERROR(INDEX(Wartungsplan!$AA$6:$AA$323,MATCH(LARGE(Wartungsplan!$AN$6:$AN$323,10),Wartungsplan!$AN$6:$AN$323,0)),"")</f>
        <v/>
      </c>
      <c r="K106" s="57">
        <f>IFERROR(INDEX(Wartungsplan!$AB$6:$AB$323,MATCH(LARGE(Wartungsplan!$AN$6:$AN$323,10),Wartungsplan!$AN$6:$AN$323,0)),"")</f>
        <v/>
      </c>
      <c r="L106" s="68">
        <f>IFERROR(INDEX(Wartungsplan!$H$6:$H$323,MATCH(LARGE(Wartungsplan!$AN$6:$AN$323,10),Wartungsplan!$AN$6:$AN$323,0)),"")</f>
        <v/>
      </c>
      <c r="M106" s="7" t="n"/>
    </row>
    <row r="109">
      <c r="B109" s="4" t="inlineStr">
        <is>
          <t>Risikomatrix A × E (Anzahl Maßnahmen)</t>
        </is>
      </c>
      <c r="I109" s="4" t="inlineStr">
        <is>
          <t>Kriterienprofil</t>
        </is>
      </c>
    </row>
    <row r="110">
      <c r="B110" s="22" t="inlineStr">
        <is>
          <t>A ↓ / E →</t>
        </is>
      </c>
      <c r="C110" s="22" t="n">
        <v>1</v>
      </c>
      <c r="D110" s="22" t="n">
        <v>2</v>
      </c>
      <c r="E110" s="22" t="n">
        <v>3</v>
      </c>
      <c r="F110" s="22" t="n">
        <v>4</v>
      </c>
      <c r="G110" s="22" t="n">
        <v>5</v>
      </c>
      <c r="I110" s="22" t="inlineStr">
        <is>
          <t>Kriterium</t>
        </is>
      </c>
      <c r="J110" s="56" t="n"/>
      <c r="K110" s="22" t="inlineStr">
        <is>
          <t>Ø</t>
        </is>
      </c>
      <c r="L110" s="22" t="inlineStr">
        <is>
          <t>Anzahl ≥ 4</t>
        </is>
      </c>
    </row>
    <row r="111">
      <c r="B111" s="71" t="inlineStr">
        <is>
          <t>A = 5</t>
        </is>
      </c>
      <c r="C111" s="57">
        <f>COUNTIFS(Wartungsplan!$W$6:$W$323,5,Wartungsplan!$X$6:$X$323,1)</f>
        <v/>
      </c>
      <c r="D111" s="57">
        <f>COUNTIFS(Wartungsplan!$W$6:$W$323,5,Wartungsplan!$X$6:$X$323,2)</f>
        <v/>
      </c>
      <c r="E111" s="57">
        <f>COUNTIFS(Wartungsplan!$W$6:$W$323,5,Wartungsplan!$X$6:$X$323,3)</f>
        <v/>
      </c>
      <c r="F111" s="57">
        <f>COUNTIFS(Wartungsplan!$W$6:$W$323,5,Wartungsplan!$X$6:$X$323,4)</f>
        <v/>
      </c>
      <c r="G111" s="57">
        <f>COUNTIFS(Wartungsplan!$W$6:$W$323,5,Wartungsplan!$X$6:$X$323,5)</f>
        <v/>
      </c>
      <c r="I111" s="6" t="inlineStr">
        <is>
          <t>F Funktion</t>
        </is>
      </c>
      <c r="J111" s="7" t="n"/>
      <c r="K111" s="80">
        <f>IFERROR(AVERAGE(Wartungsplan!$Q$6:$Q$323),0)</f>
        <v/>
      </c>
      <c r="L111" s="68">
        <f>COUNTIF(Wartungsplan!$Q$6:$Q$323,"&gt;=4")</f>
        <v/>
      </c>
    </row>
    <row r="112">
      <c r="B112" s="71" t="inlineStr">
        <is>
          <t>A = 4</t>
        </is>
      </c>
      <c r="C112" s="57">
        <f>COUNTIFS(Wartungsplan!$W$6:$W$323,4,Wartungsplan!$X$6:$X$323,1)</f>
        <v/>
      </c>
      <c r="D112" s="57">
        <f>COUNTIFS(Wartungsplan!$W$6:$W$323,4,Wartungsplan!$X$6:$X$323,2)</f>
        <v/>
      </c>
      <c r="E112" s="57">
        <f>COUNTIFS(Wartungsplan!$W$6:$W$323,4,Wartungsplan!$X$6:$X$323,3)</f>
        <v/>
      </c>
      <c r="F112" s="57">
        <f>COUNTIFS(Wartungsplan!$W$6:$W$323,4,Wartungsplan!$X$6:$X$323,4)</f>
        <v/>
      </c>
      <c r="G112" s="57">
        <f>COUNTIFS(Wartungsplan!$W$6:$W$323,4,Wartungsplan!$X$6:$X$323,5)</f>
        <v/>
      </c>
      <c r="I112" s="6" t="inlineStr">
        <is>
          <t>IH Instandsetzung</t>
        </is>
      </c>
      <c r="J112" s="7" t="n"/>
      <c r="K112" s="80">
        <f>IFERROR(AVERAGE(Wartungsplan!$R$6:$R$323),0)</f>
        <v/>
      </c>
      <c r="L112" s="68">
        <f>COUNTIF(Wartungsplan!$R$6:$R$323,"&gt;=4")</f>
        <v/>
      </c>
    </row>
    <row r="113">
      <c r="B113" s="71" t="inlineStr">
        <is>
          <t>A = 3</t>
        </is>
      </c>
      <c r="C113" s="57">
        <f>COUNTIFS(Wartungsplan!$W$6:$W$323,3,Wartungsplan!$X$6:$X$323,1)</f>
        <v/>
      </c>
      <c r="D113" s="57">
        <f>COUNTIFS(Wartungsplan!$W$6:$W$323,3,Wartungsplan!$X$6:$X$323,2)</f>
        <v/>
      </c>
      <c r="E113" s="57">
        <f>COUNTIFS(Wartungsplan!$W$6:$W$323,3,Wartungsplan!$X$6:$X$323,3)</f>
        <v/>
      </c>
      <c r="F113" s="57">
        <f>COUNTIFS(Wartungsplan!$W$6:$W$323,3,Wartungsplan!$X$6:$X$323,4)</f>
        <v/>
      </c>
      <c r="G113" s="57">
        <f>COUNTIFS(Wartungsplan!$W$6:$W$323,3,Wartungsplan!$X$6:$X$323,5)</f>
        <v/>
      </c>
      <c r="I113" s="6" t="inlineStr">
        <is>
          <t>Q Qualität</t>
        </is>
      </c>
      <c r="J113" s="7" t="n"/>
      <c r="K113" s="80">
        <f>IFERROR(AVERAGE(Wartungsplan!$S$6:$S$323),0)</f>
        <v/>
      </c>
      <c r="L113" s="68">
        <f>COUNTIF(Wartungsplan!$S$6:$S$323,"&gt;=4")</f>
        <v/>
      </c>
    </row>
    <row r="114">
      <c r="B114" s="71" t="inlineStr">
        <is>
          <t>A = 2</t>
        </is>
      </c>
      <c r="C114" s="57">
        <f>COUNTIFS(Wartungsplan!$W$6:$W$323,2,Wartungsplan!$X$6:$X$323,1)</f>
        <v/>
      </c>
      <c r="D114" s="57">
        <f>COUNTIFS(Wartungsplan!$W$6:$W$323,2,Wartungsplan!$X$6:$X$323,2)</f>
        <v/>
      </c>
      <c r="E114" s="57">
        <f>COUNTIFS(Wartungsplan!$W$6:$W$323,2,Wartungsplan!$X$6:$X$323,3)</f>
        <v/>
      </c>
      <c r="F114" s="57">
        <f>COUNTIFS(Wartungsplan!$W$6:$W$323,2,Wartungsplan!$X$6:$X$323,4)</f>
        <v/>
      </c>
      <c r="G114" s="57">
        <f>COUNTIFS(Wartungsplan!$W$6:$W$323,2,Wartungsplan!$X$6:$X$323,5)</f>
        <v/>
      </c>
      <c r="I114" s="6" t="inlineStr">
        <is>
          <t>AS Arbeitssicherheit</t>
        </is>
      </c>
      <c r="J114" s="7" t="n"/>
      <c r="K114" s="80">
        <f>IFERROR(AVERAGE(Wartungsplan!$T$6:$T$323),0)</f>
        <v/>
      </c>
      <c r="L114" s="68">
        <f>COUNTIF(Wartungsplan!$T$6:$T$323,"&gt;=4")</f>
        <v/>
      </c>
    </row>
    <row r="115">
      <c r="B115" s="71" t="inlineStr">
        <is>
          <t>A = 1</t>
        </is>
      </c>
      <c r="C115" s="57">
        <f>COUNTIFS(Wartungsplan!$W$6:$W$323,1,Wartungsplan!$X$6:$X$323,1)</f>
        <v/>
      </c>
      <c r="D115" s="57">
        <f>COUNTIFS(Wartungsplan!$W$6:$W$323,1,Wartungsplan!$X$6:$X$323,2)</f>
        <v/>
      </c>
      <c r="E115" s="57">
        <f>COUNTIFS(Wartungsplan!$W$6:$W$323,1,Wartungsplan!$X$6:$X$323,3)</f>
        <v/>
      </c>
      <c r="F115" s="57">
        <f>COUNTIFS(Wartungsplan!$W$6:$W$323,1,Wartungsplan!$X$6:$X$323,4)</f>
        <v/>
      </c>
      <c r="G115" s="57">
        <f>COUNTIFS(Wartungsplan!$W$6:$W$323,1,Wartungsplan!$X$6:$X$323,5)</f>
        <v/>
      </c>
      <c r="I115" s="6" t="inlineStr">
        <is>
          <t>US Umwelt</t>
        </is>
      </c>
      <c r="J115" s="7" t="n"/>
      <c r="K115" s="80">
        <f>IFERROR(AVERAGE(Wartungsplan!$U$6:$U$323),0)</f>
        <v/>
      </c>
      <c r="L115" s="68">
        <f>COUNTIF(Wartungsplan!$U$6:$U$323,"&gt;=4")</f>
        <v/>
      </c>
    </row>
    <row r="116">
      <c r="B116" s="81" t="inlineStr">
        <is>
          <t>Oben rechts = häufiger Ausfall und späte Entdeckung → Kandidaten für Zustandsüberwachung.</t>
        </is>
      </c>
      <c r="I116" s="6" t="inlineStr">
        <is>
          <t>S Schadenshöhe</t>
        </is>
      </c>
      <c r="J116" s="7" t="n"/>
      <c r="K116" s="80">
        <f>IFERROR(AVERAGE(Wartungsplan!$V$6:$V$323),0)</f>
        <v/>
      </c>
      <c r="L116" s="68">
        <f>COUNTIF(Wartungsplan!$V$6:$V$323,"&gt;=4")</f>
        <v/>
      </c>
    </row>
    <row r="117">
      <c r="I117" s="6" t="inlineStr">
        <is>
          <t>A Ausfallwahrsch.</t>
        </is>
      </c>
      <c r="J117" s="7" t="n"/>
      <c r="K117" s="80">
        <f>IFERROR(AVERAGE(Wartungsplan!$W$6:$W$323),0)</f>
        <v/>
      </c>
      <c r="L117" s="68">
        <f>COUNTIF(Wartungsplan!$W$6:$W$323,"&gt;=4")</f>
        <v/>
      </c>
    </row>
    <row r="118">
      <c r="I118" s="6" t="inlineStr">
        <is>
          <t>E Entdeckungswahrsch.</t>
        </is>
      </c>
      <c r="J118" s="7" t="n"/>
      <c r="K118" s="80">
        <f>IFERROR(AVERAGE(Wartungsplan!$X$6:$X$323),0)</f>
        <v/>
      </c>
      <c r="L118" s="68">
        <f>COUNTIF(Wartungsplan!$X$6:$X$323,"&gt;=4")</f>
        <v/>
      </c>
    </row>
  </sheetData>
  <mergeCells count="159">
    <mergeCell ref="B11:D11"/>
    <mergeCell ref="B60:D60"/>
    <mergeCell ref="B57:D57"/>
    <mergeCell ref="K7:M8"/>
    <mergeCell ref="F84:G84"/>
    <mergeCell ref="C97:G97"/>
    <mergeCell ref="H11:J11"/>
    <mergeCell ref="C29:G29"/>
    <mergeCell ref="B86:C86"/>
    <mergeCell ref="F86:G86"/>
    <mergeCell ref="B91:E91"/>
    <mergeCell ref="B12:D13"/>
    <mergeCell ref="C31:G31"/>
    <mergeCell ref="B6:D6"/>
    <mergeCell ref="L102:M102"/>
    <mergeCell ref="C21:G21"/>
    <mergeCell ref="B38:C38"/>
    <mergeCell ref="F81:G81"/>
    <mergeCell ref="B62:D62"/>
    <mergeCell ref="C23:G23"/>
    <mergeCell ref="B40:C40"/>
    <mergeCell ref="B49:C49"/>
    <mergeCell ref="H96:I96"/>
    <mergeCell ref="I110:J110"/>
    <mergeCell ref="B72:D72"/>
    <mergeCell ref="H105:I105"/>
    <mergeCell ref="K9:M9"/>
    <mergeCell ref="B51:C51"/>
    <mergeCell ref="B56:D56"/>
    <mergeCell ref="H23:I23"/>
    <mergeCell ref="B70:D70"/>
    <mergeCell ref="B41:C41"/>
    <mergeCell ref="F88:G88"/>
    <mergeCell ref="K11:M11"/>
    <mergeCell ref="C101:G101"/>
    <mergeCell ref="C34:G34"/>
    <mergeCell ref="L98:M98"/>
    <mergeCell ref="B73:D73"/>
    <mergeCell ref="E12:G13"/>
    <mergeCell ref="H102:I102"/>
    <mergeCell ref="E6:G6"/>
    <mergeCell ref="F83:G83"/>
    <mergeCell ref="H25:I25"/>
    <mergeCell ref="H34:I34"/>
    <mergeCell ref="C20:G20"/>
    <mergeCell ref="L106:M106"/>
    <mergeCell ref="C103:G103"/>
    <mergeCell ref="C100:G100"/>
    <mergeCell ref="K14:M14"/>
    <mergeCell ref="I112:J112"/>
    <mergeCell ref="B9:D9"/>
    <mergeCell ref="B74:D74"/>
    <mergeCell ref="F85:G85"/>
    <mergeCell ref="B90:E90"/>
    <mergeCell ref="B68:D68"/>
    <mergeCell ref="C22:G22"/>
    <mergeCell ref="B53:C53"/>
    <mergeCell ref="I114:J114"/>
    <mergeCell ref="B76:D76"/>
    <mergeCell ref="I111:J111"/>
    <mergeCell ref="H19:I19"/>
    <mergeCell ref="B84:C84"/>
    <mergeCell ref="H28:I28"/>
    <mergeCell ref="B75:D75"/>
    <mergeCell ref="C106:G106"/>
    <mergeCell ref="B59:D59"/>
    <mergeCell ref="C32:G32"/>
    <mergeCell ref="H104:I104"/>
    <mergeCell ref="H12:J13"/>
    <mergeCell ref="H97:I97"/>
    <mergeCell ref="H106:I106"/>
    <mergeCell ref="H6:J6"/>
    <mergeCell ref="B14:D14"/>
    <mergeCell ref="C24:G24"/>
    <mergeCell ref="B81:C81"/>
    <mergeCell ref="C33:G33"/>
    <mergeCell ref="L103:M103"/>
    <mergeCell ref="C104:G104"/>
    <mergeCell ref="E9:G9"/>
    <mergeCell ref="I116:J116"/>
    <mergeCell ref="H31:I31"/>
    <mergeCell ref="F89:G89"/>
    <mergeCell ref="B89:E89"/>
    <mergeCell ref="B7:D8"/>
    <mergeCell ref="C26:G26"/>
    <mergeCell ref="B43:C43"/>
    <mergeCell ref="B52:C52"/>
    <mergeCell ref="H21:I21"/>
    <mergeCell ref="E11:G11"/>
    <mergeCell ref="C25:G25"/>
    <mergeCell ref="B42:C42"/>
    <mergeCell ref="C99:G99"/>
    <mergeCell ref="B65:D65"/>
    <mergeCell ref="B82:C82"/>
    <mergeCell ref="F91:G91"/>
    <mergeCell ref="B44:C44"/>
    <mergeCell ref="B63:D63"/>
    <mergeCell ref="H100:I100"/>
    <mergeCell ref="H22:I22"/>
    <mergeCell ref="B83:C83"/>
    <mergeCell ref="L100:M100"/>
    <mergeCell ref="B66:D66"/>
    <mergeCell ref="E14:G14"/>
    <mergeCell ref="F92:G92"/>
    <mergeCell ref="C28:G28"/>
    <mergeCell ref="B45:C45"/>
    <mergeCell ref="B85:C85"/>
    <mergeCell ref="H9:J9"/>
    <mergeCell ref="B77:D77"/>
    <mergeCell ref="C96:G96"/>
    <mergeCell ref="H30:I30"/>
    <mergeCell ref="E7:G8"/>
    <mergeCell ref="C30:G30"/>
    <mergeCell ref="B47:C47"/>
    <mergeCell ref="H20:I20"/>
    <mergeCell ref="B67:D67"/>
    <mergeCell ref="B61:D61"/>
    <mergeCell ref="H29:I29"/>
    <mergeCell ref="H103:I103"/>
    <mergeCell ref="B92:E92"/>
    <mergeCell ref="L101:M101"/>
    <mergeCell ref="B46:C46"/>
    <mergeCell ref="C98:G98"/>
    <mergeCell ref="L97:M97"/>
    <mergeCell ref="B69:D69"/>
    <mergeCell ref="B39:C39"/>
    <mergeCell ref="I113:J113"/>
    <mergeCell ref="B48:C48"/>
    <mergeCell ref="H98:I98"/>
    <mergeCell ref="I115:J115"/>
    <mergeCell ref="B64:D64"/>
    <mergeCell ref="C105:G105"/>
    <mergeCell ref="L104:M104"/>
    <mergeCell ref="I117:J117"/>
    <mergeCell ref="H14:J14"/>
    <mergeCell ref="K6:M6"/>
    <mergeCell ref="H32:I32"/>
    <mergeCell ref="F90:G90"/>
    <mergeCell ref="C27:G27"/>
    <mergeCell ref="H99:I99"/>
    <mergeCell ref="I118:J118"/>
    <mergeCell ref="K12:M13"/>
    <mergeCell ref="H27:I27"/>
    <mergeCell ref="H7:J8"/>
    <mergeCell ref="B16:M16"/>
    <mergeCell ref="L96:M96"/>
    <mergeCell ref="H101:I101"/>
    <mergeCell ref="L105:M105"/>
    <mergeCell ref="L99:M99"/>
    <mergeCell ref="H24:I24"/>
    <mergeCell ref="B71:D71"/>
    <mergeCell ref="F82:G82"/>
    <mergeCell ref="B88:E88"/>
    <mergeCell ref="H33:I33"/>
    <mergeCell ref="B58:D58"/>
    <mergeCell ref="C19:G19"/>
    <mergeCell ref="B50:C50"/>
    <mergeCell ref="C102:G102"/>
    <mergeCell ref="H26:I26"/>
  </mergeCells>
  <conditionalFormatting sqref="L20:L34">
    <cfRule type="cellIs" priority="1" operator="equal" dxfId="0">
      <formula>"überfällig"</formula>
    </cfRule>
    <cfRule type="cellIs" priority="2" operator="equal" dxfId="1">
      <formula>"fällig"</formula>
    </cfRule>
  </conditionalFormatting>
  <conditionalFormatting sqref="F57:F77">
    <cfRule type="cellIs" priority="3" operator="greaterThan" dxfId="0">
      <formula>0</formula>
    </cfRule>
  </conditionalFormatting>
  <conditionalFormatting sqref="G57:G77">
    <cfRule type="cellIs" priority="4" operator="greaterThan" dxfId="1">
      <formula>0</formula>
    </cfRule>
  </conditionalFormatting>
  <conditionalFormatting sqref="I57:I77">
    <cfRule type="dataBar" priority="5">
      <dataBar showValue="1">
        <cfvo type="num" val="0"/>
        <cfvo type="num" val="125"/>
        <color rgb="00F4B183"/>
      </dataBar>
    </cfRule>
  </conditionalFormatting>
  <conditionalFormatting sqref="K97:K106">
    <cfRule type="cellIs" priority="6" operator="equal" dxfId="2">
      <formula>"gering"</formula>
    </cfRule>
    <cfRule type="cellIs" priority="7" operator="equal" dxfId="1">
      <formula>"mittel"</formula>
    </cfRule>
    <cfRule type="cellIs" priority="8" operator="equal" dxfId="0">
      <formula>"hoch"</formula>
    </cfRule>
    <cfRule type="cellIs" priority="9" operator="equal" dxfId="3">
      <formula>"kritisch"</formula>
    </cfRule>
    <cfRule type="cellIs" priority="10" operator="equal" dxfId="4">
      <formula>"unvollständig"</formula>
    </cfRule>
  </conditionalFormatting>
  <conditionalFormatting sqref="C111:G115">
    <cfRule type="colorScale" priority="11">
      <colorScale>
        <cfvo type="num" val="0"/>
        <cfvo type="max"/>
        <color rgb="00FFFFFF"/>
        <color rgb="00F8696B"/>
      </colorScale>
    </cfRule>
  </conditionalFormatting>
  <conditionalFormatting sqref="K111:K118">
    <cfRule type="colorScale" priority="12">
      <colorScale>
        <cfvo type="num" val="1"/>
        <cfvo type="num" val="3"/>
        <cfvo type="num" val="5"/>
        <color rgb="00C6EFCE"/>
        <color rgb="00FFEB9C"/>
        <color rgb="00F8696B"/>
      </colorScale>
    </cfRule>
  </conditionalFormatting>
  <printOptions horizontalCentered="1"/>
  <pageMargins left="0.4" right="0.4" top="0.6" bottom="0.6" header="0.5" footer="0.5"/>
  <pageSetup orientation="portrait" paperSize="9" fitToHeight="0" fitToWidth="1"/>
  <headerFooter>
    <oddHeader>&amp;R&amp;"Arial"&amp;8 &amp;A</oddHeader>
    <oddFooter>&amp;L&amp;"Arial"&amp;8 Verantwortlich für Änderungen: fz-pA / H. Mrugalla&amp;C&amp;"Arial"&amp;8 Seite &amp;P von &amp;N&amp;R&amp;"Arial"&amp;8 Stand 03 (Entwurf) / 17.10.2026     Druckdatum: &amp;D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2F5597"/>
    <outlinePr summaryBelow="1" summaryRight="0"/>
    <pageSetUpPr fitToPage="1"/>
  </sheetPr>
  <dimension ref="A1:AQ123"/>
  <sheetViews>
    <sheetView showGridLines="0" tabSelected="0" zoomScale="9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46" customWidth="1" min="2" max="2"/>
    <col width="14" customWidth="1" min="3" max="3"/>
    <col width="21" customWidth="1" min="4" max="4"/>
    <col width="28" customWidth="1" min="5" max="5"/>
    <col width="21" customWidth="1" min="6" max="6"/>
    <col width="11" customWidth="1" min="7" max="7"/>
    <col width="14" customWidth="1" min="8" max="8"/>
    <col width="12" customWidth="1" min="9" max="9"/>
    <col width="12" customWidth="1" min="10" max="10"/>
    <col width="7" customWidth="1" min="11" max="11"/>
    <col width="12" customWidth="1" min="12" max="12"/>
    <col width="14" customWidth="1" min="13" max="13"/>
    <col width="13" customWidth="1" min="14" max="14"/>
    <col width="13" customWidth="1" min="15" max="15"/>
    <col width="26" customWidth="1" min="16" max="16"/>
    <col hidden="1" outlineLevel="1" width="4.6" customWidth="1" min="17" max="32"/>
    <col hidden="1" width="30" customWidth="1" min="33" max="33"/>
    <col hidden="1" width="10" customWidth="1" min="34" max="34"/>
    <col hidden="1" width="8" customWidth="1" min="35" max="35"/>
    <col hidden="1" width="8" customWidth="1" min="36" max="36"/>
    <col hidden="1" width="8" customWidth="1" min="37" max="37"/>
    <col hidden="1" width="8" customWidth="1" min="38" max="38"/>
    <col hidden="1" width="8" customWidth="1" min="39" max="39"/>
    <col hidden="1" width="8" customWidth="1" min="40" max="40"/>
    <col hidden="1" width="8" customWidth="1" min="41" max="41"/>
    <col hidden="1" outlineLevel="1" width="9" customWidth="1" min="42" max="43"/>
  </cols>
  <sheetData>
    <row r="1">
      <c r="A1" s="82" t="inlineStr">
        <is>
          <t>Wartungsplan – große Wartung</t>
        </is>
      </c>
    </row>
    <row r="2">
      <c r="A2" s="30">
        <f>"Maschine: "&amp;M_Name&amp;"   ·   Equipment-Nr.: "&amp;IF(M_Equipment="","(auf Blatt Start eintragen)",M_Equipment)&amp;"   ·   Stichtag: "&amp;TEXT(TODAY(),"DD.MM.YYYY")</f>
        <v/>
      </c>
    </row>
    <row r="3">
      <c r="A3" s="81" t="inlineStr">
        <is>
          <t>Gelb = Eingabe.  Intervall: aus Liste wählen oder frei eintippen (z. B. „2 Jahre“).  Nach Durchführung Datum eintragen → Termin und Ampel rechnen sich selbst.  Risikobewertung: [+] über Spalte Q aufklappen.</t>
        </is>
      </c>
    </row>
    <row r="4" ht="18" customHeight="1">
      <c r="A4" s="22" t="inlineStr">
        <is>
          <t>Maßnahme</t>
        </is>
      </c>
      <c r="B4" s="56" t="n"/>
      <c r="C4" s="56" t="n"/>
      <c r="D4" s="56" t="n"/>
      <c r="E4" s="56" t="n"/>
      <c r="F4" s="56" t="n"/>
      <c r="G4" s="83" t="inlineStr">
        <is>
          <t>Intervall &amp; Termine</t>
        </is>
      </c>
      <c r="H4" s="84" t="n"/>
      <c r="I4" s="84" t="n"/>
      <c r="J4" s="84" t="n"/>
      <c r="K4" s="84" t="n"/>
      <c r="L4" s="84" t="n"/>
      <c r="M4" s="85" t="inlineStr">
        <is>
          <t>Durchführung &amp; Nachweis</t>
        </is>
      </c>
      <c r="N4" s="86" t="n"/>
      <c r="O4" s="86" t="n"/>
      <c r="P4" s="86" t="n"/>
      <c r="Q4" s="87" t="inlineStr">
        <is>
          <t>Risikobewertung &amp; Planung  (aufklappbar)</t>
        </is>
      </c>
      <c r="R4" s="88" t="n"/>
      <c r="S4" s="88" t="n"/>
      <c r="T4" s="88" t="n"/>
      <c r="U4" s="88" t="n"/>
      <c r="V4" s="88" t="n"/>
      <c r="W4" s="88" t="n"/>
      <c r="X4" s="88" t="n"/>
      <c r="Y4" s="88" t="n"/>
      <c r="Z4" s="88" t="n"/>
      <c r="AA4" s="88" t="n"/>
      <c r="AB4" s="88" t="n"/>
      <c r="AC4" s="88" t="n"/>
      <c r="AD4" s="88" t="n"/>
      <c r="AE4" s="88" t="n"/>
      <c r="AF4" s="88" t="n"/>
      <c r="AG4" s="89" t="inlineStr">
        <is>
          <t>Hilfsspalten (ausgeblendet)</t>
        </is>
      </c>
      <c r="AH4" s="90" t="n"/>
      <c r="AI4" s="90" t="n"/>
      <c r="AJ4" s="90" t="n"/>
      <c r="AK4" s="90" t="n"/>
      <c r="AL4" s="90" t="n"/>
      <c r="AM4" s="90" t="n"/>
      <c r="AN4" s="90" t="n"/>
      <c r="AO4" s="90" t="n"/>
      <c r="AP4" s="89" t="inlineStr">
        <is>
          <t>Vorversion (aufklappbar)</t>
        </is>
      </c>
      <c r="AQ4" s="90" t="n"/>
    </row>
    <row r="5" ht="36" customHeight="1">
      <c r="A5" s="91" t="inlineStr">
        <is>
          <t>Nr.</t>
        </is>
      </c>
      <c r="B5" s="91" t="inlineStr">
        <is>
          <t>Maßnahme</t>
        </is>
      </c>
      <c r="C5" s="91" t="inlineStr">
        <is>
          <t>Art</t>
        </is>
      </c>
      <c r="D5" s="91" t="inlineStr">
        <is>
          <t>Hilfsmittel &amp; Hinweise</t>
        </is>
      </c>
      <c r="E5" s="91" t="inlineStr">
        <is>
          <t>Sollzustand / Prüfkriterium</t>
        </is>
      </c>
      <c r="F5" s="91" t="inlineStr">
        <is>
          <t>Bild</t>
        </is>
      </c>
      <c r="G5" s="92" t="inlineStr">
        <is>
          <t>Empfehlung (RPZ)</t>
        </is>
      </c>
      <c r="H5" s="92" t="inlineStr">
        <is>
          <t>Intervall</t>
        </is>
      </c>
      <c r="I5" s="92" t="inlineStr">
        <is>
          <t>Zuletzt durchgeführt</t>
        </is>
      </c>
      <c r="J5" s="92" t="inlineStr">
        <is>
          <t>Nächster Termin</t>
        </is>
      </c>
      <c r="K5" s="92" t="inlineStr">
        <is>
          <t>Tage</t>
        </is>
      </c>
      <c r="L5" s="92" t="inlineStr">
        <is>
          <t>Status</t>
        </is>
      </c>
      <c r="M5" s="93" t="inlineStr">
        <is>
          <t>Ausführung durch</t>
        </is>
      </c>
      <c r="N5" s="93" t="inlineStr">
        <is>
          <t>Durchgeführt von</t>
        </is>
      </c>
      <c r="O5" s="93" t="inlineStr">
        <is>
          <t>Befund</t>
        </is>
      </c>
      <c r="P5" s="93" t="inlineStr">
        <is>
          <t>Bemerkung / Begründung</t>
        </is>
      </c>
      <c r="Q5" s="94" t="inlineStr">
        <is>
          <t>F</t>
        </is>
      </c>
      <c r="R5" s="94" t="inlineStr">
        <is>
          <t>IH</t>
        </is>
      </c>
      <c r="S5" s="94" t="inlineStr">
        <is>
          <t>Q</t>
        </is>
      </c>
      <c r="T5" s="94" t="inlineStr">
        <is>
          <t>AS</t>
        </is>
      </c>
      <c r="U5" s="94" t="inlineStr">
        <is>
          <t>US</t>
        </is>
      </c>
      <c r="V5" s="94" t="inlineStr">
        <is>
          <t>S</t>
        </is>
      </c>
      <c r="W5" s="94" t="inlineStr">
        <is>
          <t>A</t>
        </is>
      </c>
      <c r="X5" s="94" t="inlineStr">
        <is>
          <t>E</t>
        </is>
      </c>
      <c r="Y5" s="94" t="inlineStr">
        <is>
          <t>SF</t>
        </is>
      </c>
      <c r="Z5" s="94" t="inlineStr">
        <is>
          <t>B</t>
        </is>
      </c>
      <c r="AA5" s="94" t="inlineStr">
        <is>
          <t>RPZ</t>
        </is>
      </c>
      <c r="AB5" s="94" t="inlineStr">
        <is>
          <t>Risikoklasse</t>
        </is>
      </c>
      <c r="AC5" s="94" t="inlineStr">
        <is>
          <t>Relevanz AS/Q/US</t>
        </is>
      </c>
      <c r="AD5" s="94" t="inlineStr">
        <is>
          <t>Instandsetzung bei Ausfall</t>
        </is>
      </c>
      <c r="AE5" s="94" t="inlineStr">
        <is>
          <t>Plan-Zeit [min]</t>
        </is>
      </c>
      <c r="AF5" s="94" t="inlineStr">
        <is>
          <t>Bewertung übernommen von</t>
        </is>
      </c>
      <c r="AG5" s="95" t="inlineStr">
        <is>
          <t>Baugruppe</t>
        </is>
      </c>
      <c r="AH5" s="95" t="inlineStr">
        <is>
          <t>Zeilentyp</t>
        </is>
      </c>
      <c r="AI5" s="95" t="inlineStr">
        <is>
          <t>Int. Anzahl</t>
        </is>
      </c>
      <c r="AJ5" s="95" t="inlineStr">
        <is>
          <t>Int. Einheit</t>
        </is>
      </c>
      <c r="AK5" s="95" t="inlineStr">
        <is>
          <t>Int. Tage</t>
        </is>
      </c>
      <c r="AL5" s="95" t="inlineStr">
        <is>
          <t>Durchf. pro Jahr</t>
        </is>
      </c>
      <c r="AM5" s="95" t="inlineStr">
        <is>
          <t>Aufwand [h/Jahr]</t>
        </is>
      </c>
      <c r="AN5" s="95" t="inlineStr">
        <is>
          <t>Rang RPZ</t>
        </is>
      </c>
      <c r="AO5" s="95" t="inlineStr">
        <is>
          <t>Rang Termin</t>
        </is>
      </c>
      <c r="AP5" s="95" t="inlineStr">
        <is>
          <t>Nr. Vorversion</t>
        </is>
      </c>
      <c r="AQ5" s="95" t="inlineStr">
        <is>
          <t>Originaltext Vorversion</t>
        </is>
      </c>
    </row>
    <row r="6" ht="20" customHeight="1">
      <c r="A6" s="96" t="inlineStr">
        <is>
          <t>1</t>
        </is>
      </c>
      <c r="B6" s="97" t="inlineStr">
        <is>
          <t>Not-Aus</t>
        </is>
      </c>
      <c r="C6" s="97" t="n"/>
      <c r="D6" s="97" t="n"/>
      <c r="E6" s="97" t="n"/>
      <c r="F6" s="97" t="n"/>
      <c r="G6" s="97" t="n"/>
      <c r="H6" s="97" t="n"/>
      <c r="I6" s="97" t="n"/>
      <c r="J6" s="97" t="n"/>
      <c r="K6" s="97" t="n"/>
      <c r="L6" s="97" t="n"/>
      <c r="M6" s="97" t="n"/>
      <c r="N6" s="97" t="n"/>
      <c r="O6" s="97" t="n"/>
      <c r="P6" s="97" t="n"/>
      <c r="Q6" s="97" t="n"/>
      <c r="R6" s="97" t="n"/>
      <c r="S6" s="97" t="n"/>
      <c r="T6" s="97" t="n"/>
      <c r="U6" s="97" t="n"/>
      <c r="V6" s="97" t="n"/>
      <c r="W6" s="97" t="n"/>
      <c r="X6" s="97" t="n"/>
      <c r="Y6" s="97" t="n"/>
      <c r="Z6" s="97" t="n"/>
      <c r="AA6" s="97" t="n"/>
      <c r="AB6" s="97" t="n"/>
      <c r="AC6" s="97" t="n"/>
      <c r="AD6" s="97" t="n"/>
      <c r="AE6" s="97" t="n"/>
      <c r="AF6" s="97" t="n"/>
      <c r="AG6" s="98" t="inlineStr">
        <is>
          <t>Not-Aus</t>
        </is>
      </c>
      <c r="AH6" s="98" t="inlineStr">
        <is>
          <t>Baugruppe</t>
        </is>
      </c>
      <c r="AI6" s="97" t="n"/>
      <c r="AJ6" s="97" t="n"/>
      <c r="AK6" s="97" t="n"/>
      <c r="AL6" s="97" t="n"/>
      <c r="AM6" s="97" t="n"/>
      <c r="AN6" s="97" t="n"/>
      <c r="AO6" s="97" t="n"/>
      <c r="AP6" s="99" t="inlineStr">
        <is>
          <t>1</t>
        </is>
      </c>
      <c r="AQ6" s="100" t="inlineStr">
        <is>
          <t>Not-Aus</t>
        </is>
      </c>
    </row>
    <row r="7" ht="71" customHeight="1">
      <c r="A7" s="101" t="inlineStr">
        <is>
          <t>1.1</t>
        </is>
      </c>
      <c r="B7" s="102" t="inlineStr">
        <is>
          <t>Funktion prüfen (Rasterung, Schaltwirkung)</t>
        </is>
      </c>
      <c r="C7" s="103" t="inlineStr">
        <is>
          <t>Funktionsprüfung</t>
        </is>
      </c>
      <c r="D7" s="104" t="inlineStr">
        <is>
          <t>⚠ Gefahrenstelle</t>
        </is>
      </c>
      <c r="E7" s="102" t="inlineStr">
        <is>
          <t>Not-Aus sowie sicherheitsrelevante Einrichtungen werden täglich vor Arbeitsbeginn geprüft (Sichtkontrolle).</t>
        </is>
      </c>
      <c r="F7" s="102" t="n"/>
      <c r="G7" s="68">
        <f>IF(AB7="unvollständig","Bewertung fehlt",INDEX(Kl_Intervall,MATCH(AB7,Kl_Name,0)))</f>
        <v/>
      </c>
      <c r="H7" s="8">
        <f>IF(G7="Bewertung fehlt","",G7)</f>
        <v/>
      </c>
      <c r="I7" s="105" t="n"/>
      <c r="J7" s="106">
        <f>IF(OR(I7="",NOT(ISNUMBER(AK7))),"",IF(AJ7="Tage",I7+AI7,IF(AJ7="Wochen",I7+7*AI7,EDATE(I7,ROUND(AI7*IF(AJ7="Jahre",12,1),0)))))</f>
        <v/>
      </c>
      <c r="K7" s="107">
        <f>IF(J7="","",J7-TODAY())</f>
        <v/>
      </c>
      <c r="L7" s="57">
        <f>IF(H7="","Intervall fehlt",IF(NOT(ISNUMBER(AK7)),"Intervall prüfen",IF(I7="","nicht erfasst",IF(K7&lt;0,"überfällig",IF(K7&lt;=MIN(P_Vorwarn,ROUND(AK7/4,0)),"fällig","in Ordnung")))))</f>
        <v/>
      </c>
      <c r="M7" s="103" t="n"/>
      <c r="N7" s="103" t="n"/>
      <c r="O7" s="108" t="n"/>
      <c r="P7" s="103" t="n"/>
      <c r="Q7" s="108" t="n">
        <v>3</v>
      </c>
      <c r="R7" s="108" t="n">
        <v>3</v>
      </c>
      <c r="S7" s="108" t="n">
        <v>1</v>
      </c>
      <c r="T7" s="108" t="n">
        <v>5</v>
      </c>
      <c r="U7" s="108" t="n">
        <v>1</v>
      </c>
      <c r="V7" s="108" t="n">
        <v>2</v>
      </c>
      <c r="W7" s="108" t="n">
        <v>2</v>
      </c>
      <c r="X7" s="108" t="n">
        <v>1</v>
      </c>
      <c r="Y7" s="109">
        <f>P_SF</f>
        <v/>
      </c>
      <c r="Z7" s="109">
        <f>IF(COUNT(Q7:V7)=6,SQRT(SUMSQ(Q7:V7))/2,"")</f>
        <v/>
      </c>
      <c r="AA7" s="80">
        <f>IF(COUNT(W7:Z7)=4,Z7*W7*X7*Y7,"")</f>
        <v/>
      </c>
      <c r="AB7" s="68">
        <f>IF(AA7="","unvollständig",IF(AA7&gt;P_Grenze_kritisch,"kritisch",IF(AA7&gt;=P_Grenze_hoch,"hoch",IF(AA7&gt;=P_Grenze_mittel,"mittel","gering"))))</f>
        <v/>
      </c>
      <c r="AC7" s="68">
        <f>TRIM(IF(N(T7)&gt;=P_Krit,"AS ","")&amp;IF(N(S7)&gt;=P_Krit,"Q ","")&amp;IF(N(U7)&gt;=P_Krit,"US",""))</f>
        <v/>
      </c>
      <c r="AD7" s="102">
        <f>IF(ISNUMBER(R7),INDEX(IH_Text,R7),"")</f>
        <v/>
      </c>
      <c r="AE7" s="108" t="n"/>
      <c r="AF7" s="68" t="n"/>
      <c r="AG7" s="110" t="inlineStr">
        <is>
          <t>Not-Aus</t>
        </is>
      </c>
      <c r="AH7" s="110" t="inlineStr">
        <is>
          <t>Maßnahme</t>
        </is>
      </c>
      <c r="AI7" s="68">
        <f>IF(H7="","",IFERROR(INDEX(Iv_Anzahl,MATCH(H7,Iv_Name,0)),IFERROR(VALUE(LEFT(TRIM(SUBSTITUTE(LOWER(H7),"alle ","")),FIND(" ",TRIM(SUBSTITUTE(LOWER(H7),"alle ",""))&amp;" ")-1)),"")))</f>
        <v/>
      </c>
      <c r="AJ7" s="68">
        <f>IF(H7="","",IFERROR(INDEX(Iv_Einheit,MATCH(H7,Iv_Name,0)),IF(ISNUMBER(SEARCH("jahr",H7)),"Jahre",IF(ISNUMBER(SEARCH("monat",H7)),"Monate",IF(ISNUMBER(SEARCH("woche",H7)),"Wochen",IF(ISNUMBER(SEARCH("tag",H7)),"Tage",""))))))</f>
        <v/>
      </c>
      <c r="AK7" s="107">
        <f>IF(AND(ISNUMBER(AI7),AJ7&lt;&gt;""),IF(AI7&gt;0,AI7*IF(AJ7="Tage",1,IF(AJ7="Wochen",7,IF(AJ7="Monate",365/12,365))),""),"")</f>
        <v/>
      </c>
      <c r="AL7" s="111">
        <f>IF(ISNUMBER(AK7),365/AK7,"")</f>
        <v/>
      </c>
      <c r="AM7" s="111">
        <f>IF(AND(ISNUMBER(AL7),ISNUMBER(AE7)),AL7*AE7/60,"")</f>
        <v/>
      </c>
      <c r="AN7" s="102">
        <f>IF(ISNUMBER(AA7),AA7-ROW()/100000,"")</f>
        <v/>
      </c>
      <c r="AO7" s="102">
        <f>IF(OR(L7="überfällig",L7="fällig"),J7+ROW()/100000,"")</f>
        <v/>
      </c>
      <c r="AP7" s="112" t="inlineStr">
        <is>
          <t>1.1</t>
        </is>
      </c>
      <c r="AQ7" s="113" t="inlineStr">
        <is>
          <t>Prüfe die Funktion (Rasterung, Schaltwirkung)</t>
        </is>
      </c>
    </row>
    <row r="8" ht="20" customHeight="1">
      <c r="A8" s="96" t="inlineStr">
        <is>
          <t>2</t>
        </is>
      </c>
      <c r="B8" s="97" t="inlineStr">
        <is>
          <t>Bedienpult   (Pos. 1)</t>
        </is>
      </c>
      <c r="C8" s="97" t="n"/>
      <c r="D8" s="97" t="n"/>
      <c r="E8" s="97" t="n"/>
      <c r="F8" s="97" t="n"/>
      <c r="G8" s="97" t="n"/>
      <c r="H8" s="97" t="n"/>
      <c r="I8" s="97" t="n"/>
      <c r="J8" s="97" t="n"/>
      <c r="K8" s="97" t="n"/>
      <c r="L8" s="97" t="n"/>
      <c r="M8" s="97" t="n"/>
      <c r="N8" s="97" t="n"/>
      <c r="O8" s="97" t="n"/>
      <c r="P8" s="97" t="n"/>
      <c r="Q8" s="97" t="n"/>
      <c r="R8" s="97" t="n"/>
      <c r="S8" s="97" t="n"/>
      <c r="T8" s="97" t="n"/>
      <c r="U8" s="97" t="n"/>
      <c r="V8" s="97" t="n"/>
      <c r="W8" s="97" t="n"/>
      <c r="X8" s="97" t="n"/>
      <c r="Y8" s="97" t="n"/>
      <c r="Z8" s="97" t="n"/>
      <c r="AA8" s="97" t="n"/>
      <c r="AB8" s="97" t="n"/>
      <c r="AC8" s="97" t="n"/>
      <c r="AD8" s="97" t="n"/>
      <c r="AE8" s="97" t="n"/>
      <c r="AF8" s="97" t="n"/>
      <c r="AG8" s="98" t="inlineStr">
        <is>
          <t>Bedienpult</t>
        </is>
      </c>
      <c r="AH8" s="98" t="inlineStr">
        <is>
          <t>Baugruppe</t>
        </is>
      </c>
      <c r="AI8" s="97" t="n"/>
      <c r="AJ8" s="97" t="n"/>
      <c r="AK8" s="97" t="n"/>
      <c r="AL8" s="97" t="n"/>
      <c r="AM8" s="97" t="n"/>
      <c r="AN8" s="97" t="n"/>
      <c r="AO8" s="97" t="n"/>
      <c r="AP8" s="99" t="inlineStr">
        <is>
          <t>2</t>
        </is>
      </c>
      <c r="AQ8" s="100" t="inlineStr">
        <is>
          <t>1.) Bedienpult</t>
        </is>
      </c>
    </row>
    <row r="9" ht="45" customHeight="1">
      <c r="A9" s="101" t="inlineStr">
        <is>
          <t>2.1</t>
        </is>
      </c>
      <c r="B9" s="102" t="inlineStr">
        <is>
          <t>Funktion aller Bedienelemente prüfen</t>
        </is>
      </c>
      <c r="C9" s="103" t="inlineStr">
        <is>
          <t>Funktionsprüfung</t>
        </is>
      </c>
      <c r="D9" s="102" t="n"/>
      <c r="E9" s="114" t="inlineStr">
        <is>
          <t>Alle Bedienelemente schalten einwandfrei; keine Beschädigung</t>
        </is>
      </c>
      <c r="F9" s="102" t="n"/>
      <c r="G9" s="68">
        <f>IF(AB9="unvollständig","Bewertung fehlt",INDEX(Kl_Intervall,MATCH(AB9,Kl_Name,0)))</f>
        <v/>
      </c>
      <c r="H9" s="8">
        <f>IF(G9="Bewertung fehlt","",G9)</f>
        <v/>
      </c>
      <c r="I9" s="105" t="n"/>
      <c r="J9" s="106">
        <f>IF(OR(I9="",NOT(ISNUMBER(AK9))),"",IF(AJ9="Tage",I9+AI9,IF(AJ9="Wochen",I9+7*AI9,EDATE(I9,ROUND(AI9*IF(AJ9="Jahre",12,1),0)))))</f>
        <v/>
      </c>
      <c r="K9" s="107">
        <f>IF(J9="","",J9-TODAY())</f>
        <v/>
      </c>
      <c r="L9" s="57">
        <f>IF(H9="","Intervall fehlt",IF(NOT(ISNUMBER(AK9)),"Intervall prüfen",IF(I9="","nicht erfasst",IF(K9&lt;0,"überfällig",IF(K9&lt;=MIN(P_Vorwarn,ROUND(AK9/4,0)),"fällig","in Ordnung")))))</f>
        <v/>
      </c>
      <c r="M9" s="103" t="n"/>
      <c r="N9" s="103" t="n"/>
      <c r="O9" s="108" t="n"/>
      <c r="P9" s="103" t="n"/>
      <c r="Q9" s="108" t="n">
        <v>3</v>
      </c>
      <c r="R9" s="108" t="n">
        <v>2</v>
      </c>
      <c r="S9" s="108" t="n">
        <v>1</v>
      </c>
      <c r="T9" s="108" t="n">
        <v>3</v>
      </c>
      <c r="U9" s="108" t="n">
        <v>1</v>
      </c>
      <c r="V9" s="108" t="n">
        <v>3</v>
      </c>
      <c r="W9" s="108" t="n">
        <v>2</v>
      </c>
      <c r="X9" s="108" t="n">
        <v>1</v>
      </c>
      <c r="Y9" s="109">
        <f>P_SF</f>
        <v/>
      </c>
      <c r="Z9" s="109">
        <f>IF(COUNT(Q9:V9)=6,SQRT(SUMSQ(Q9:V9))/2,"")</f>
        <v/>
      </c>
      <c r="AA9" s="80">
        <f>IF(COUNT(W9:Z9)=4,Z9*W9*X9*Y9,"")</f>
        <v/>
      </c>
      <c r="AB9" s="68">
        <f>IF(AA9="","unvollständig",IF(AA9&gt;P_Grenze_kritisch,"kritisch",IF(AA9&gt;=P_Grenze_hoch,"hoch",IF(AA9&gt;=P_Grenze_mittel,"mittel","gering"))))</f>
        <v/>
      </c>
      <c r="AC9" s="68">
        <f>TRIM(IF(N(T9)&gt;=P_Krit,"AS ","")&amp;IF(N(S9)&gt;=P_Krit,"Q ","")&amp;IF(N(U9)&gt;=P_Krit,"US",""))</f>
        <v/>
      </c>
      <c r="AD9" s="102">
        <f>IF(ISNUMBER(R9),INDEX(IH_Text,R9),"")</f>
        <v/>
      </c>
      <c r="AE9" s="108" t="n"/>
      <c r="AF9" s="68" t="n"/>
      <c r="AG9" s="110" t="inlineStr">
        <is>
          <t>Bedienpult</t>
        </is>
      </c>
      <c r="AH9" s="110" t="inlineStr">
        <is>
          <t>Maßnahme</t>
        </is>
      </c>
      <c r="AI9" s="68">
        <f>IF(H9="","",IFERROR(INDEX(Iv_Anzahl,MATCH(H9,Iv_Name,0)),IFERROR(VALUE(LEFT(TRIM(SUBSTITUTE(LOWER(H9),"alle ","")),FIND(" ",TRIM(SUBSTITUTE(LOWER(H9),"alle ",""))&amp;" ")-1)),"")))</f>
        <v/>
      </c>
      <c r="AJ9" s="68">
        <f>IF(H9="","",IFERROR(INDEX(Iv_Einheit,MATCH(H9,Iv_Name,0)),IF(ISNUMBER(SEARCH("jahr",H9)),"Jahre",IF(ISNUMBER(SEARCH("monat",H9)),"Monate",IF(ISNUMBER(SEARCH("woche",H9)),"Wochen",IF(ISNUMBER(SEARCH("tag",H9)),"Tage",""))))))</f>
        <v/>
      </c>
      <c r="AK9" s="107">
        <f>IF(AND(ISNUMBER(AI9),AJ9&lt;&gt;""),IF(AI9&gt;0,AI9*IF(AJ9="Tage",1,IF(AJ9="Wochen",7,IF(AJ9="Monate",365/12,365))),""),"")</f>
        <v/>
      </c>
      <c r="AL9" s="111">
        <f>IF(ISNUMBER(AK9),365/AK9,"")</f>
        <v/>
      </c>
      <c r="AM9" s="111">
        <f>IF(AND(ISNUMBER(AL9),ISNUMBER(AE9)),AL9*AE9/60,"")</f>
        <v/>
      </c>
      <c r="AN9" s="102">
        <f>IF(ISNUMBER(AA9),AA9-ROW()/100000,"")</f>
        <v/>
      </c>
      <c r="AO9" s="102">
        <f>IF(OR(L9="überfällig",L9="fällig"),J9+ROW()/100000,"")</f>
        <v/>
      </c>
      <c r="AP9" s="112" t="inlineStr">
        <is>
          <t>2.1</t>
        </is>
      </c>
      <c r="AQ9" s="113" t="inlineStr">
        <is>
          <t>Prüfe die Funktion aller Bedienelemente</t>
        </is>
      </c>
    </row>
    <row r="10" ht="45" customHeight="1">
      <c r="A10" s="101" t="inlineStr">
        <is>
          <t>2.2</t>
        </is>
      </c>
      <c r="B10" s="102" t="inlineStr">
        <is>
          <t>Bedienpult reinigen</t>
        </is>
      </c>
      <c r="C10" s="103" t="inlineStr">
        <is>
          <t>Reinigung</t>
        </is>
      </c>
      <c r="D10" s="102" t="n"/>
      <c r="E10" s="114" t="inlineStr">
        <is>
          <t>Bedienpult sauber; Anzeigen und Beschriftungen lesbar</t>
        </is>
      </c>
      <c r="F10" s="102" t="n"/>
      <c r="G10" s="68">
        <f>IF(AB10="unvollständig","Bewertung fehlt",INDEX(Kl_Intervall,MATCH(AB10,Kl_Name,0)))</f>
        <v/>
      </c>
      <c r="H10" s="8">
        <f>IF(G10="Bewertung fehlt","",G10)</f>
        <v/>
      </c>
      <c r="I10" s="105" t="n"/>
      <c r="J10" s="106">
        <f>IF(OR(I10="",NOT(ISNUMBER(AK10))),"",IF(AJ10="Tage",I10+AI10,IF(AJ10="Wochen",I10+7*AI10,EDATE(I10,ROUND(AI10*IF(AJ10="Jahre",12,1),0)))))</f>
        <v/>
      </c>
      <c r="K10" s="107">
        <f>IF(J10="","",J10-TODAY())</f>
        <v/>
      </c>
      <c r="L10" s="57">
        <f>IF(H10="","Intervall fehlt",IF(NOT(ISNUMBER(AK10)),"Intervall prüfen",IF(I10="","nicht erfasst",IF(K10&lt;0,"überfällig",IF(K10&lt;=MIN(P_Vorwarn,ROUND(AK10/4,0)),"fällig","in Ordnung")))))</f>
        <v/>
      </c>
      <c r="M10" s="103" t="n"/>
      <c r="N10" s="103" t="n"/>
      <c r="O10" s="108" t="n"/>
      <c r="P10" s="103" t="n"/>
      <c r="Q10" s="108" t="n">
        <v>1</v>
      </c>
      <c r="R10" s="108" t="n">
        <v>2</v>
      </c>
      <c r="S10" s="108" t="n">
        <v>1</v>
      </c>
      <c r="T10" s="108" t="n">
        <v>2</v>
      </c>
      <c r="U10" s="108" t="n">
        <v>1</v>
      </c>
      <c r="V10" s="108" t="n">
        <v>2</v>
      </c>
      <c r="W10" s="108" t="n">
        <v>2</v>
      </c>
      <c r="X10" s="108" t="n">
        <v>1</v>
      </c>
      <c r="Y10" s="109">
        <f>P_SF</f>
        <v/>
      </c>
      <c r="Z10" s="109">
        <f>IF(COUNT(Q10:V10)=6,SQRT(SUMSQ(Q10:V10))/2,"")</f>
        <v/>
      </c>
      <c r="AA10" s="80">
        <f>IF(COUNT(W10:Z10)=4,Z10*W10*X10*Y10,"")</f>
        <v/>
      </c>
      <c r="AB10" s="68">
        <f>IF(AA10="","unvollständig",IF(AA10&gt;P_Grenze_kritisch,"kritisch",IF(AA10&gt;=P_Grenze_hoch,"hoch",IF(AA10&gt;=P_Grenze_mittel,"mittel","gering"))))</f>
        <v/>
      </c>
      <c r="AC10" s="68">
        <f>TRIM(IF(N(T10)&gt;=P_Krit,"AS ","")&amp;IF(N(S10)&gt;=P_Krit,"Q ","")&amp;IF(N(U10)&gt;=P_Krit,"US",""))</f>
        <v/>
      </c>
      <c r="AD10" s="102">
        <f>IF(ISNUMBER(R10),INDEX(IH_Text,R10),"")</f>
        <v/>
      </c>
      <c r="AE10" s="108" t="n"/>
      <c r="AF10" s="68" t="n"/>
      <c r="AG10" s="110" t="inlineStr">
        <is>
          <t>Bedienpult</t>
        </is>
      </c>
      <c r="AH10" s="110" t="inlineStr">
        <is>
          <t>Maßnahme</t>
        </is>
      </c>
      <c r="AI10" s="68">
        <f>IF(H10="","",IFERROR(INDEX(Iv_Anzahl,MATCH(H10,Iv_Name,0)),IFERROR(VALUE(LEFT(TRIM(SUBSTITUTE(LOWER(H10),"alle ","")),FIND(" ",TRIM(SUBSTITUTE(LOWER(H10),"alle ",""))&amp;" ")-1)),"")))</f>
        <v/>
      </c>
      <c r="AJ10" s="68">
        <f>IF(H10="","",IFERROR(INDEX(Iv_Einheit,MATCH(H10,Iv_Name,0)),IF(ISNUMBER(SEARCH("jahr",H10)),"Jahre",IF(ISNUMBER(SEARCH("monat",H10)),"Monate",IF(ISNUMBER(SEARCH("woche",H10)),"Wochen",IF(ISNUMBER(SEARCH("tag",H10)),"Tage",""))))))</f>
        <v/>
      </c>
      <c r="AK10" s="107">
        <f>IF(AND(ISNUMBER(AI10),AJ10&lt;&gt;""),IF(AI10&gt;0,AI10*IF(AJ10="Tage",1,IF(AJ10="Wochen",7,IF(AJ10="Monate",365/12,365))),""),"")</f>
        <v/>
      </c>
      <c r="AL10" s="111">
        <f>IF(ISNUMBER(AK10),365/AK10,"")</f>
        <v/>
      </c>
      <c r="AM10" s="111">
        <f>IF(AND(ISNUMBER(AL10),ISNUMBER(AE10)),AL10*AE10/60,"")</f>
        <v/>
      </c>
      <c r="AN10" s="102">
        <f>IF(ISNUMBER(AA10),AA10-ROW()/100000,"")</f>
        <v/>
      </c>
      <c r="AO10" s="102">
        <f>IF(OR(L10="überfällig",L10="fällig"),J10+ROW()/100000,"")</f>
        <v/>
      </c>
      <c r="AP10" s="112" t="inlineStr">
        <is>
          <t>2.2</t>
        </is>
      </c>
      <c r="AQ10" s="113" t="inlineStr">
        <is>
          <t>Bedienpult reinigen</t>
        </is>
      </c>
    </row>
    <row r="11" ht="32" customHeight="1">
      <c r="A11" s="101" t="inlineStr">
        <is>
          <t>2.3</t>
        </is>
      </c>
      <c r="B11" s="102" t="inlineStr">
        <is>
          <t>24-V-Glühbirnen (Meldeleuchten) prüfen, ggf. austauschen</t>
        </is>
      </c>
      <c r="C11" s="103" t="inlineStr">
        <is>
          <t>Inspektion</t>
        </is>
      </c>
      <c r="D11" s="102" t="n"/>
      <c r="E11" s="114" t="inlineStr">
        <is>
          <t>Alle Meldeleuchten funktionsfähig</t>
        </is>
      </c>
      <c r="F11" s="102" t="n"/>
      <c r="G11" s="68">
        <f>IF(AB11="unvollständig","Bewertung fehlt",INDEX(Kl_Intervall,MATCH(AB11,Kl_Name,0)))</f>
        <v/>
      </c>
      <c r="H11" s="8">
        <f>IF(G11="Bewertung fehlt","",G11)</f>
        <v/>
      </c>
      <c r="I11" s="105" t="n"/>
      <c r="J11" s="106">
        <f>IF(OR(I11="",NOT(ISNUMBER(AK11))),"",IF(AJ11="Tage",I11+AI11,IF(AJ11="Wochen",I11+7*AI11,EDATE(I11,ROUND(AI11*IF(AJ11="Jahre",12,1),0)))))</f>
        <v/>
      </c>
      <c r="K11" s="107">
        <f>IF(J11="","",J11-TODAY())</f>
        <v/>
      </c>
      <c r="L11" s="57">
        <f>IF(H11="","Intervall fehlt",IF(NOT(ISNUMBER(AK11)),"Intervall prüfen",IF(I11="","nicht erfasst",IF(K11&lt;0,"überfällig",IF(K11&lt;=MIN(P_Vorwarn,ROUND(AK11/4,0)),"fällig","in Ordnung")))))</f>
        <v/>
      </c>
      <c r="M11" s="103" t="n"/>
      <c r="N11" s="103" t="n"/>
      <c r="O11" s="108" t="n"/>
      <c r="P11" s="103" t="n"/>
      <c r="Q11" s="108" t="n">
        <v>3</v>
      </c>
      <c r="R11" s="108" t="n">
        <v>2</v>
      </c>
      <c r="S11" s="108" t="n">
        <v>1</v>
      </c>
      <c r="T11" s="108" t="n">
        <v>3</v>
      </c>
      <c r="U11" s="108" t="n">
        <v>1</v>
      </c>
      <c r="V11" s="108" t="n">
        <v>3</v>
      </c>
      <c r="W11" s="108" t="n">
        <v>2</v>
      </c>
      <c r="X11" s="108" t="n">
        <v>1</v>
      </c>
      <c r="Y11" s="109">
        <f>P_SF</f>
        <v/>
      </c>
      <c r="Z11" s="109">
        <f>IF(COUNT(Q11:V11)=6,SQRT(SUMSQ(Q11:V11))/2,"")</f>
        <v/>
      </c>
      <c r="AA11" s="80">
        <f>IF(COUNT(W11:Z11)=4,Z11*W11*X11*Y11,"")</f>
        <v/>
      </c>
      <c r="AB11" s="68">
        <f>IF(AA11="","unvollständig",IF(AA11&gt;P_Grenze_kritisch,"kritisch",IF(AA11&gt;=P_Grenze_hoch,"hoch",IF(AA11&gt;=P_Grenze_mittel,"mittel","gering"))))</f>
        <v/>
      </c>
      <c r="AC11" s="68">
        <f>TRIM(IF(N(T11)&gt;=P_Krit,"AS ","")&amp;IF(N(S11)&gt;=P_Krit,"Q ","")&amp;IF(N(U11)&gt;=P_Krit,"US",""))</f>
        <v/>
      </c>
      <c r="AD11" s="102">
        <f>IF(ISNUMBER(R11),INDEX(IH_Text,R11),"")</f>
        <v/>
      </c>
      <c r="AE11" s="108" t="n"/>
      <c r="AF11" s="68" t="n"/>
      <c r="AG11" s="110" t="inlineStr">
        <is>
          <t>Bedienpult</t>
        </is>
      </c>
      <c r="AH11" s="110" t="inlineStr">
        <is>
          <t>Maßnahme</t>
        </is>
      </c>
      <c r="AI11" s="68">
        <f>IF(H11="","",IFERROR(INDEX(Iv_Anzahl,MATCH(H11,Iv_Name,0)),IFERROR(VALUE(LEFT(TRIM(SUBSTITUTE(LOWER(H11),"alle ","")),FIND(" ",TRIM(SUBSTITUTE(LOWER(H11),"alle ",""))&amp;" ")-1)),"")))</f>
        <v/>
      </c>
      <c r="AJ11" s="68">
        <f>IF(H11="","",IFERROR(INDEX(Iv_Einheit,MATCH(H11,Iv_Name,0)),IF(ISNUMBER(SEARCH("jahr",H11)),"Jahre",IF(ISNUMBER(SEARCH("monat",H11)),"Monate",IF(ISNUMBER(SEARCH("woche",H11)),"Wochen",IF(ISNUMBER(SEARCH("tag",H11)),"Tage",""))))))</f>
        <v/>
      </c>
      <c r="AK11" s="107">
        <f>IF(AND(ISNUMBER(AI11),AJ11&lt;&gt;""),IF(AI11&gt;0,AI11*IF(AJ11="Tage",1,IF(AJ11="Wochen",7,IF(AJ11="Monate",365/12,365))),""),"")</f>
        <v/>
      </c>
      <c r="AL11" s="111">
        <f>IF(ISNUMBER(AK11),365/AK11,"")</f>
        <v/>
      </c>
      <c r="AM11" s="111">
        <f>IF(AND(ISNUMBER(AL11),ISNUMBER(AE11)),AL11*AE11/60,"")</f>
        <v/>
      </c>
      <c r="AN11" s="102">
        <f>IF(ISNUMBER(AA11),AA11-ROW()/100000,"")</f>
        <v/>
      </c>
      <c r="AO11" s="102">
        <f>IF(OR(L11="überfällig",L11="fällig"),J11+ROW()/100000,"")</f>
        <v/>
      </c>
      <c r="AP11" s="112" t="inlineStr">
        <is>
          <t>2.3</t>
        </is>
      </c>
      <c r="AQ11" s="113" t="inlineStr">
        <is>
          <t>Prüfe 24V Glühbirnen; ggf. austauschen</t>
        </is>
      </c>
    </row>
    <row r="12" ht="58" customHeight="1">
      <c r="A12" s="96" t="inlineStr">
        <is>
          <t>3</t>
        </is>
      </c>
      <c r="B12" s="97" t="inlineStr">
        <is>
          <t>Staucheinheit (Stauchdorn, Stauchspindel, Elemente für Abdichthub von rechts); Pos. 29 Stauchspindel (Kugelgewindespindel)   (Pos. 2 / 29)</t>
        </is>
      </c>
      <c r="C12" s="97" t="n"/>
      <c r="D12" s="97" t="n"/>
      <c r="E12" s="97" t="n"/>
      <c r="F12" s="97" t="n"/>
      <c r="G12" s="97" t="n"/>
      <c r="H12" s="97" t="n"/>
      <c r="I12" s="97" t="n"/>
      <c r="J12" s="97" t="n"/>
      <c r="K12" s="97" t="n"/>
      <c r="L12" s="97" t="n"/>
      <c r="M12" s="97" t="n"/>
      <c r="N12" s="97" t="n"/>
      <c r="O12" s="97" t="n"/>
      <c r="P12" s="97" t="n"/>
      <c r="Q12" s="97" t="n"/>
      <c r="R12" s="97" t="n"/>
      <c r="S12" s="97" t="n"/>
      <c r="T12" s="97" t="n"/>
      <c r="U12" s="97" t="n"/>
      <c r="V12" s="97" t="n"/>
      <c r="W12" s="97" t="n"/>
      <c r="X12" s="97" t="n"/>
      <c r="Y12" s="97" t="n"/>
      <c r="Z12" s="97" t="n"/>
      <c r="AA12" s="97" t="n"/>
      <c r="AB12" s="97" t="n"/>
      <c r="AC12" s="97" t="n"/>
      <c r="AD12" s="97" t="n"/>
      <c r="AE12" s="97" t="n"/>
      <c r="AF12" s="97" t="n"/>
      <c r="AG12" s="98" t="inlineStr">
        <is>
          <t>Staucheinheit (Stauchdorn, Stauchspindel, Elemente für Abdichthub von rechts); Pos. 29 Stauchspindel (Kugelgewindespindel)</t>
        </is>
      </c>
      <c r="AH12" s="98" t="inlineStr">
        <is>
          <t>Baugruppe</t>
        </is>
      </c>
      <c r="AI12" s="97" t="n"/>
      <c r="AJ12" s="97" t="n"/>
      <c r="AK12" s="97" t="n"/>
      <c r="AL12" s="97" t="n"/>
      <c r="AM12" s="97" t="n"/>
      <c r="AN12" s="97" t="n"/>
      <c r="AO12" s="97" t="n"/>
      <c r="AP12" s="99" t="inlineStr">
        <is>
          <t>3</t>
        </is>
      </c>
      <c r="AQ12" s="100" t="inlineStr">
        <is>
          <t>2.) Staucheinheit (bestehend aus Stauchdorn, Stauchspindel und Elementen für Abdichthub von rechts)  Pos. 29 Stauchspindel (Kugelgewindespindel)</t>
        </is>
      </c>
    </row>
    <row r="13" ht="18" customHeight="1">
      <c r="A13" s="115" t="inlineStr">
        <is>
          <t>3.1</t>
        </is>
      </c>
      <c r="B13" s="116" t="inlineStr">
        <is>
          <t>Stauchspindel nach folgenden Kriterien inspizieren:</t>
        </is>
      </c>
      <c r="C13" s="116" t="n"/>
      <c r="D13" s="116" t="n"/>
      <c r="E13" s="116" t="n"/>
      <c r="F13" s="116" t="n"/>
      <c r="G13" s="116" t="n"/>
      <c r="H13" s="116" t="n"/>
      <c r="I13" s="116" t="n"/>
      <c r="J13" s="116" t="n"/>
      <c r="K13" s="116" t="n"/>
      <c r="L13" s="116" t="n"/>
      <c r="M13" s="116" t="n"/>
      <c r="N13" s="116" t="n"/>
      <c r="O13" s="116" t="n"/>
      <c r="P13" s="116" t="n"/>
      <c r="Q13" s="116" t="n"/>
      <c r="R13" s="116" t="n"/>
      <c r="S13" s="116" t="n"/>
      <c r="T13" s="116" t="n"/>
      <c r="U13" s="116" t="n"/>
      <c r="V13" s="116" t="n"/>
      <c r="W13" s="116" t="n"/>
      <c r="X13" s="116" t="n"/>
      <c r="Y13" s="116" t="n"/>
      <c r="Z13" s="116" t="n"/>
      <c r="AA13" s="116" t="n"/>
      <c r="AB13" s="116" t="n"/>
      <c r="AC13" s="116" t="n"/>
      <c r="AD13" s="116" t="n"/>
      <c r="AE13" s="116" t="n"/>
      <c r="AF13" s="116" t="n"/>
      <c r="AG13" s="117" t="inlineStr">
        <is>
          <t>Staucheinheit (Stauchdorn, Stauchspindel, Elemente für Abdichthub von rechts); Pos. 29 Stauchspindel (Kugelgewindespindel)</t>
        </is>
      </c>
      <c r="AH13" s="117" t="inlineStr">
        <is>
          <t>Prüfgruppe</t>
        </is>
      </c>
      <c r="AI13" s="116" t="n"/>
      <c r="AJ13" s="116" t="n"/>
      <c r="AK13" s="116" t="n"/>
      <c r="AL13" s="116" t="n"/>
      <c r="AM13" s="116" t="n"/>
      <c r="AN13" s="116" t="n"/>
      <c r="AO13" s="116" t="n"/>
      <c r="AP13" s="118" t="inlineStr">
        <is>
          <t>3.1</t>
        </is>
      </c>
      <c r="AQ13" s="119" t="inlineStr">
        <is>
          <t>Inspiziere Stauchspindel nach folgenden Kriterien:</t>
        </is>
      </c>
    </row>
    <row r="14" ht="45" customHeight="1">
      <c r="A14" s="101" t="inlineStr">
        <is>
          <t>3.1.1</t>
        </is>
      </c>
      <c r="B14" s="102" t="inlineStr">
        <is>
          <t>Stauchspindel auf Beschädigungen prüfen: Oberfläche (Riefen, Kratzer), Geräusche, Laufruhe</t>
        </is>
      </c>
      <c r="C14" s="103" t="inlineStr">
        <is>
          <t>Inspektion</t>
        </is>
      </c>
      <c r="D14" s="102" t="n"/>
      <c r="E14" s="114" t="inlineStr">
        <is>
          <t>Keine Riefen/Kratzer; ruhiger, geräuscharmer Lauf</t>
        </is>
      </c>
      <c r="F14" s="102" t="n"/>
      <c r="G14" s="68">
        <f>IF(AB14="unvollständig","Bewertung fehlt",INDEX(Kl_Intervall,MATCH(AB14,Kl_Name,0)))</f>
        <v/>
      </c>
      <c r="H14" s="8">
        <f>IF(G14="Bewertung fehlt","",G14)</f>
        <v/>
      </c>
      <c r="I14" s="105" t="n"/>
      <c r="J14" s="106">
        <f>IF(OR(I14="",NOT(ISNUMBER(AK14))),"",IF(AJ14="Tage",I14+AI14,IF(AJ14="Wochen",I14+7*AI14,EDATE(I14,ROUND(AI14*IF(AJ14="Jahre",12,1),0)))))</f>
        <v/>
      </c>
      <c r="K14" s="107">
        <f>IF(J14="","",J14-TODAY())</f>
        <v/>
      </c>
      <c r="L14" s="57">
        <f>IF(H14="","Intervall fehlt",IF(NOT(ISNUMBER(AK14)),"Intervall prüfen",IF(I14="","nicht erfasst",IF(K14&lt;0,"überfällig",IF(K14&lt;=MIN(P_Vorwarn,ROUND(AK14/4,0)),"fällig","in Ordnung")))))</f>
        <v/>
      </c>
      <c r="M14" s="103" t="n"/>
      <c r="N14" s="103" t="n"/>
      <c r="O14" s="108" t="n"/>
      <c r="P14" s="103" t="n"/>
      <c r="Q14" s="108" t="n">
        <v>4</v>
      </c>
      <c r="R14" s="108" t="n">
        <v>4</v>
      </c>
      <c r="S14" s="108" t="n">
        <v>4</v>
      </c>
      <c r="T14" s="108" t="n">
        <v>2</v>
      </c>
      <c r="U14" s="108" t="n">
        <v>1</v>
      </c>
      <c r="V14" s="108" t="n">
        <v>1</v>
      </c>
      <c r="W14" s="108" t="n">
        <v>2</v>
      </c>
      <c r="X14" s="108" t="n">
        <v>3</v>
      </c>
      <c r="Y14" s="109">
        <f>P_SF</f>
        <v/>
      </c>
      <c r="Z14" s="109">
        <f>IF(COUNT(Q14:V14)=6,SQRT(SUMSQ(Q14:V14))/2,"")</f>
        <v/>
      </c>
      <c r="AA14" s="80">
        <f>IF(COUNT(W14:Z14)=4,Z14*W14*X14*Y14,"")</f>
        <v/>
      </c>
      <c r="AB14" s="68">
        <f>IF(AA14="","unvollständig",IF(AA14&gt;P_Grenze_kritisch,"kritisch",IF(AA14&gt;=P_Grenze_hoch,"hoch",IF(AA14&gt;=P_Grenze_mittel,"mittel","gering"))))</f>
        <v/>
      </c>
      <c r="AC14" s="68">
        <f>TRIM(IF(N(T14)&gt;=P_Krit,"AS ","")&amp;IF(N(S14)&gt;=P_Krit,"Q ","")&amp;IF(N(U14)&gt;=P_Krit,"US",""))</f>
        <v/>
      </c>
      <c r="AD14" s="102">
        <f>IF(ISNUMBER(R14),INDEX(IH_Text,R14),"")</f>
        <v/>
      </c>
      <c r="AE14" s="108" t="n"/>
      <c r="AF14" s="68" t="n"/>
      <c r="AG14" s="110" t="inlineStr">
        <is>
          <t>Staucheinheit (Stauchdorn, Stauchspindel, Elemente für Abdichthub von rechts); Pos. 29 Stauchspindel (Kugelgewindespindel)</t>
        </is>
      </c>
      <c r="AH14" s="110" t="inlineStr">
        <is>
          <t>Maßnahme</t>
        </is>
      </c>
      <c r="AI14" s="68">
        <f>IF(H14="","",IFERROR(INDEX(Iv_Anzahl,MATCH(H14,Iv_Name,0)),IFERROR(VALUE(LEFT(TRIM(SUBSTITUTE(LOWER(H14),"alle ","")),FIND(" ",TRIM(SUBSTITUTE(LOWER(H14),"alle ",""))&amp;" ")-1)),"")))</f>
        <v/>
      </c>
      <c r="AJ14" s="68">
        <f>IF(H14="","",IFERROR(INDEX(Iv_Einheit,MATCH(H14,Iv_Name,0)),IF(ISNUMBER(SEARCH("jahr",H14)),"Jahre",IF(ISNUMBER(SEARCH("monat",H14)),"Monate",IF(ISNUMBER(SEARCH("woche",H14)),"Wochen",IF(ISNUMBER(SEARCH("tag",H14)),"Tage",""))))))</f>
        <v/>
      </c>
      <c r="AK14" s="107">
        <f>IF(AND(ISNUMBER(AI14),AJ14&lt;&gt;""),IF(AI14&gt;0,AI14*IF(AJ14="Tage",1,IF(AJ14="Wochen",7,IF(AJ14="Monate",365/12,365))),""),"")</f>
        <v/>
      </c>
      <c r="AL14" s="111">
        <f>IF(ISNUMBER(AK14),365/AK14,"")</f>
        <v/>
      </c>
      <c r="AM14" s="111">
        <f>IF(AND(ISNUMBER(AL14),ISNUMBER(AE14)),AL14*AE14/60,"")</f>
        <v/>
      </c>
      <c r="AN14" s="102">
        <f>IF(ISNUMBER(AA14),AA14-ROW()/100000,"")</f>
        <v/>
      </c>
      <c r="AO14" s="102">
        <f>IF(OR(L14="überfällig",L14="fällig"),J14+ROW()/100000,"")</f>
        <v/>
      </c>
      <c r="AP14" s="112" t="inlineStr">
        <is>
          <t>3.1.1</t>
        </is>
      </c>
      <c r="AQ14" s="113" t="inlineStr">
        <is>
          <t>Stauchspindel auf Beschädigungen prüfen (Oberfläche (Riffen, Kratzer) d. Stauchspindel  prüfen; Stauchspindel auf Geräusche, Laufruhe prüfen</t>
        </is>
      </c>
    </row>
    <row r="15" ht="80" customHeight="1">
      <c r="A15" s="101" t="inlineStr">
        <is>
          <t>3.1.2</t>
        </is>
      </c>
      <c r="B15" s="102" t="inlineStr">
        <is>
          <t>Stauchspindel auf Verschmutzung prüfen, ggf. reinigen</t>
        </is>
      </c>
      <c r="C15" s="103" t="inlineStr">
        <is>
          <t>Inspektion</t>
        </is>
      </c>
      <c r="D15" s="102" t="n"/>
      <c r="E15" s="114" t="inlineStr">
        <is>
          <t>Spindel sauber, frei von Ablagerungen</t>
        </is>
      </c>
      <c r="F15" s="102" t="n"/>
      <c r="G15" s="68">
        <f>IF(AB15="unvollständig","Bewertung fehlt",INDEX(Kl_Intervall,MATCH(AB15,Kl_Name,0)))</f>
        <v/>
      </c>
      <c r="H15" s="8">
        <f>IF(G15="Bewertung fehlt","",G15)</f>
        <v/>
      </c>
      <c r="I15" s="105" t="n"/>
      <c r="J15" s="106">
        <f>IF(OR(I15="",NOT(ISNUMBER(AK15))),"",IF(AJ15="Tage",I15+AI15,IF(AJ15="Wochen",I15+7*AI15,EDATE(I15,ROUND(AI15*IF(AJ15="Jahre",12,1),0)))))</f>
        <v/>
      </c>
      <c r="K15" s="107">
        <f>IF(J15="","",J15-TODAY())</f>
        <v/>
      </c>
      <c r="L15" s="57">
        <f>IF(H15="","Intervall fehlt",IF(NOT(ISNUMBER(AK15)),"Intervall prüfen",IF(I15="","nicht erfasst",IF(K15&lt;0,"überfällig",IF(K15&lt;=MIN(P_Vorwarn,ROUND(AK15/4,0)),"fällig","in Ordnung")))))</f>
        <v/>
      </c>
      <c r="M15" s="103" t="n"/>
      <c r="N15" s="103" t="n"/>
      <c r="O15" s="108" t="n"/>
      <c r="P15" s="103" t="n"/>
      <c r="Q15" s="108" t="n">
        <v>4</v>
      </c>
      <c r="R15" s="108" t="n">
        <v>4</v>
      </c>
      <c r="S15" s="108" t="n">
        <v>4</v>
      </c>
      <c r="T15" s="108" t="n">
        <v>2</v>
      </c>
      <c r="U15" s="108" t="n">
        <v>1</v>
      </c>
      <c r="V15" s="108" t="n">
        <v>1</v>
      </c>
      <c r="W15" s="108" t="n">
        <v>2</v>
      </c>
      <c r="X15" s="108" t="n">
        <v>3</v>
      </c>
      <c r="Y15" s="109">
        <f>P_SF</f>
        <v/>
      </c>
      <c r="Z15" s="109">
        <f>IF(COUNT(Q15:V15)=6,SQRT(SUMSQ(Q15:V15))/2,"")</f>
        <v/>
      </c>
      <c r="AA15" s="80">
        <f>IF(COUNT(W15:Z15)=4,Z15*W15*X15*Y15,"")</f>
        <v/>
      </c>
      <c r="AB15" s="68">
        <f>IF(AA15="","unvollständig",IF(AA15&gt;P_Grenze_kritisch,"kritisch",IF(AA15&gt;=P_Grenze_hoch,"hoch",IF(AA15&gt;=P_Grenze_mittel,"mittel","gering"))))</f>
        <v/>
      </c>
      <c r="AC15" s="68">
        <f>TRIM(IF(N(T15)&gt;=P_Krit,"AS ","")&amp;IF(N(S15)&gt;=P_Krit,"Q ","")&amp;IF(N(U15)&gt;=P_Krit,"US",""))</f>
        <v/>
      </c>
      <c r="AD15" s="102">
        <f>IF(ISNUMBER(R15),INDEX(IH_Text,R15),"")</f>
        <v/>
      </c>
      <c r="AE15" s="108" t="n"/>
      <c r="AF15" s="68" t="n"/>
      <c r="AG15" s="110" t="inlineStr">
        <is>
          <t>Staucheinheit (Stauchdorn, Stauchspindel, Elemente für Abdichthub von rechts); Pos. 29 Stauchspindel (Kugelgewindespindel)</t>
        </is>
      </c>
      <c r="AH15" s="110" t="inlineStr">
        <is>
          <t>Maßnahme</t>
        </is>
      </c>
      <c r="AI15" s="68">
        <f>IF(H15="","",IFERROR(INDEX(Iv_Anzahl,MATCH(H15,Iv_Name,0)),IFERROR(VALUE(LEFT(TRIM(SUBSTITUTE(LOWER(H15),"alle ","")),FIND(" ",TRIM(SUBSTITUTE(LOWER(H15),"alle ",""))&amp;" ")-1)),"")))</f>
        <v/>
      </c>
      <c r="AJ15" s="68">
        <f>IF(H15="","",IFERROR(INDEX(Iv_Einheit,MATCH(H15,Iv_Name,0)),IF(ISNUMBER(SEARCH("jahr",H15)),"Jahre",IF(ISNUMBER(SEARCH("monat",H15)),"Monate",IF(ISNUMBER(SEARCH("woche",H15)),"Wochen",IF(ISNUMBER(SEARCH("tag",H15)),"Tage",""))))))</f>
        <v/>
      </c>
      <c r="AK15" s="107">
        <f>IF(AND(ISNUMBER(AI15),AJ15&lt;&gt;""),IF(AI15&gt;0,AI15*IF(AJ15="Tage",1,IF(AJ15="Wochen",7,IF(AJ15="Monate",365/12,365))),""),"")</f>
        <v/>
      </c>
      <c r="AL15" s="111">
        <f>IF(ISNUMBER(AK15),365/AK15,"")</f>
        <v/>
      </c>
      <c r="AM15" s="111">
        <f>IF(AND(ISNUMBER(AL15),ISNUMBER(AE15)),AL15*AE15/60,"")</f>
        <v/>
      </c>
      <c r="AN15" s="102">
        <f>IF(ISNUMBER(AA15),AA15-ROW()/100000,"")</f>
        <v/>
      </c>
      <c r="AO15" s="102">
        <f>IF(OR(L15="überfällig",L15="fällig"),J15+ROW()/100000,"")</f>
        <v/>
      </c>
      <c r="AP15" s="112" t="inlineStr">
        <is>
          <t>3.1.2</t>
        </is>
      </c>
      <c r="AQ15" s="113" t="inlineStr">
        <is>
          <t>Stauchspindel auf Verschmutzung prüfen ggf. reinigen</t>
        </is>
      </c>
    </row>
    <row r="16" ht="32" customHeight="1">
      <c r="A16" s="101" t="inlineStr">
        <is>
          <t>3.1.3</t>
        </is>
      </c>
      <c r="B16" s="102" t="inlineStr">
        <is>
          <t>Stauchspindel abschmieren (siehe Schmierplan)</t>
        </is>
      </c>
      <c r="C16" s="103" t="inlineStr">
        <is>
          <t>Schmierung</t>
        </is>
      </c>
      <c r="D16" s="102" t="n"/>
      <c r="E16" s="114" t="inlineStr">
        <is>
          <t>Gleichmäßiger Schmierfilm vorhanden</t>
        </is>
      </c>
      <c r="F16" s="102" t="n"/>
      <c r="G16" s="68">
        <f>IF(AB16="unvollständig","Bewertung fehlt",INDEX(Kl_Intervall,MATCH(AB16,Kl_Name,0)))</f>
        <v/>
      </c>
      <c r="H16" s="8">
        <f>IF(G16="Bewertung fehlt","",G16)</f>
        <v/>
      </c>
      <c r="I16" s="105" t="n"/>
      <c r="J16" s="106">
        <f>IF(OR(I16="",NOT(ISNUMBER(AK16))),"",IF(AJ16="Tage",I16+AI16,IF(AJ16="Wochen",I16+7*AI16,EDATE(I16,ROUND(AI16*IF(AJ16="Jahre",12,1),0)))))</f>
        <v/>
      </c>
      <c r="K16" s="107">
        <f>IF(J16="","",J16-TODAY())</f>
        <v/>
      </c>
      <c r="L16" s="57">
        <f>IF(H16="","Intervall fehlt",IF(NOT(ISNUMBER(AK16)),"Intervall prüfen",IF(I16="","nicht erfasst",IF(K16&lt;0,"überfällig",IF(K16&lt;=MIN(P_Vorwarn,ROUND(AK16/4,0)),"fällig","in Ordnung")))))</f>
        <v/>
      </c>
      <c r="M16" s="103" t="n"/>
      <c r="N16" s="103" t="n"/>
      <c r="O16" s="108" t="n"/>
      <c r="P16" s="103" t="n"/>
      <c r="Q16" s="108" t="n">
        <v>5</v>
      </c>
      <c r="R16" s="108" t="n">
        <v>5</v>
      </c>
      <c r="S16" s="108" t="n">
        <v>3</v>
      </c>
      <c r="T16" s="108" t="n">
        <v>3</v>
      </c>
      <c r="U16" s="108" t="n">
        <v>2</v>
      </c>
      <c r="V16" s="108" t="n">
        <v>3</v>
      </c>
      <c r="W16" s="108" t="n">
        <v>5</v>
      </c>
      <c r="X16" s="108" t="n">
        <v>4</v>
      </c>
      <c r="Y16" s="109">
        <f>P_SF</f>
        <v/>
      </c>
      <c r="Z16" s="109">
        <f>IF(COUNT(Q16:V16)=6,SQRT(SUMSQ(Q16:V16))/2,"")</f>
        <v/>
      </c>
      <c r="AA16" s="80">
        <f>IF(COUNT(W16:Z16)=4,Z16*W16*X16*Y16,"")</f>
        <v/>
      </c>
      <c r="AB16" s="68">
        <f>IF(AA16="","unvollständig",IF(AA16&gt;P_Grenze_kritisch,"kritisch",IF(AA16&gt;=P_Grenze_hoch,"hoch",IF(AA16&gt;=P_Grenze_mittel,"mittel","gering"))))</f>
        <v/>
      </c>
      <c r="AC16" s="68">
        <f>TRIM(IF(N(T16)&gt;=P_Krit,"AS ","")&amp;IF(N(S16)&gt;=P_Krit,"Q ","")&amp;IF(N(U16)&gt;=P_Krit,"US",""))</f>
        <v/>
      </c>
      <c r="AD16" s="102">
        <f>IF(ISNUMBER(R16),INDEX(IH_Text,R16),"")</f>
        <v/>
      </c>
      <c r="AE16" s="108" t="n"/>
      <c r="AF16" s="68" t="n"/>
      <c r="AG16" s="110" t="inlineStr">
        <is>
          <t>Staucheinheit (Stauchdorn, Stauchspindel, Elemente für Abdichthub von rechts); Pos. 29 Stauchspindel (Kugelgewindespindel)</t>
        </is>
      </c>
      <c r="AH16" s="110" t="inlineStr">
        <is>
          <t>Maßnahme</t>
        </is>
      </c>
      <c r="AI16" s="68">
        <f>IF(H16="","",IFERROR(INDEX(Iv_Anzahl,MATCH(H16,Iv_Name,0)),IFERROR(VALUE(LEFT(TRIM(SUBSTITUTE(LOWER(H16),"alle ","")),FIND(" ",TRIM(SUBSTITUTE(LOWER(H16),"alle ",""))&amp;" ")-1)),"")))</f>
        <v/>
      </c>
      <c r="AJ16" s="68">
        <f>IF(H16="","",IFERROR(INDEX(Iv_Einheit,MATCH(H16,Iv_Name,0)),IF(ISNUMBER(SEARCH("jahr",H16)),"Jahre",IF(ISNUMBER(SEARCH("monat",H16)),"Monate",IF(ISNUMBER(SEARCH("woche",H16)),"Wochen",IF(ISNUMBER(SEARCH("tag",H16)),"Tage",""))))))</f>
        <v/>
      </c>
      <c r="AK16" s="107">
        <f>IF(AND(ISNUMBER(AI16),AJ16&lt;&gt;""),IF(AI16&gt;0,AI16*IF(AJ16="Tage",1,IF(AJ16="Wochen",7,IF(AJ16="Monate",365/12,365))),""),"")</f>
        <v/>
      </c>
      <c r="AL16" s="111">
        <f>IF(ISNUMBER(AK16),365/AK16,"")</f>
        <v/>
      </c>
      <c r="AM16" s="111">
        <f>IF(AND(ISNUMBER(AL16),ISNUMBER(AE16)),AL16*AE16/60,"")</f>
        <v/>
      </c>
      <c r="AN16" s="102">
        <f>IF(ISNUMBER(AA16),AA16-ROW()/100000,"")</f>
        <v/>
      </c>
      <c r="AO16" s="102">
        <f>IF(OR(L16="überfällig",L16="fällig"),J16+ROW()/100000,"")</f>
        <v/>
      </c>
      <c r="AP16" s="112" t="inlineStr">
        <is>
          <t>3.1.3</t>
        </is>
      </c>
      <c r="AQ16" s="113" t="inlineStr">
        <is>
          <t>Stauchspindel abschmieren (siehe Schmierplan)</t>
        </is>
      </c>
    </row>
    <row r="17" ht="45" customHeight="1">
      <c r="A17" s="101" t="inlineStr">
        <is>
          <t>3.1.4</t>
        </is>
      </c>
      <c r="B17" s="102" t="inlineStr">
        <is>
          <t>Zustand der Stauchspindel auf Schmierfilm und Verschleiß prüfen; bei ausreichendem Schmierfilm ist keine Schmierung notwendig</t>
        </is>
      </c>
      <c r="C17" s="103" t="inlineStr">
        <is>
          <t>Inspektion</t>
        </is>
      </c>
      <c r="D17" s="102" t="n"/>
      <c r="E17" s="114" t="inlineStr">
        <is>
          <t>Ausreichender Schmierfilm; kein sichtbarer Verschleiß</t>
        </is>
      </c>
      <c r="F17" s="102" t="n"/>
      <c r="G17" s="68">
        <f>IF(AB17="unvollständig","Bewertung fehlt",INDEX(Kl_Intervall,MATCH(AB17,Kl_Name,0)))</f>
        <v/>
      </c>
      <c r="H17" s="8">
        <f>IF(G17="Bewertung fehlt","",G17)</f>
        <v/>
      </c>
      <c r="I17" s="105" t="n"/>
      <c r="J17" s="106">
        <f>IF(OR(I17="",NOT(ISNUMBER(AK17))),"",IF(AJ17="Tage",I17+AI17,IF(AJ17="Wochen",I17+7*AI17,EDATE(I17,ROUND(AI17*IF(AJ17="Jahre",12,1),0)))))</f>
        <v/>
      </c>
      <c r="K17" s="107">
        <f>IF(J17="","",J17-TODAY())</f>
        <v/>
      </c>
      <c r="L17" s="57">
        <f>IF(H17="","Intervall fehlt",IF(NOT(ISNUMBER(AK17)),"Intervall prüfen",IF(I17="","nicht erfasst",IF(K17&lt;0,"überfällig",IF(K17&lt;=MIN(P_Vorwarn,ROUND(AK17/4,0)),"fällig","in Ordnung")))))</f>
        <v/>
      </c>
      <c r="M17" s="103" t="n"/>
      <c r="N17" s="103" t="n"/>
      <c r="O17" s="108" t="n"/>
      <c r="P17" s="103" t="n"/>
      <c r="Q17" s="108" t="n">
        <v>5</v>
      </c>
      <c r="R17" s="108" t="n">
        <v>5</v>
      </c>
      <c r="S17" s="108" t="n">
        <v>3</v>
      </c>
      <c r="T17" s="108" t="n">
        <v>3</v>
      </c>
      <c r="U17" s="108" t="n">
        <v>2</v>
      </c>
      <c r="V17" s="108" t="n">
        <v>3</v>
      </c>
      <c r="W17" s="108" t="n">
        <v>5</v>
      </c>
      <c r="X17" s="108" t="n">
        <v>4</v>
      </c>
      <c r="Y17" s="109">
        <f>P_SF</f>
        <v/>
      </c>
      <c r="Z17" s="109">
        <f>IF(COUNT(Q17:V17)=6,SQRT(SUMSQ(Q17:V17))/2,"")</f>
        <v/>
      </c>
      <c r="AA17" s="80">
        <f>IF(COUNT(W17:Z17)=4,Z17*W17*X17*Y17,"")</f>
        <v/>
      </c>
      <c r="AB17" s="68">
        <f>IF(AA17="","unvollständig",IF(AA17&gt;P_Grenze_kritisch,"kritisch",IF(AA17&gt;=P_Grenze_hoch,"hoch",IF(AA17&gt;=P_Grenze_mittel,"mittel","gering"))))</f>
        <v/>
      </c>
      <c r="AC17" s="68">
        <f>TRIM(IF(N(T17)&gt;=P_Krit,"AS ","")&amp;IF(N(S17)&gt;=P_Krit,"Q ","")&amp;IF(N(U17)&gt;=P_Krit,"US",""))</f>
        <v/>
      </c>
      <c r="AD17" s="102">
        <f>IF(ISNUMBER(R17),INDEX(IH_Text,R17),"")</f>
        <v/>
      </c>
      <c r="AE17" s="108" t="n"/>
      <c r="AF17" s="68" t="n"/>
      <c r="AG17" s="110" t="inlineStr">
        <is>
          <t>Staucheinheit (Stauchdorn, Stauchspindel, Elemente für Abdichthub von rechts); Pos. 29 Stauchspindel (Kugelgewindespindel)</t>
        </is>
      </c>
      <c r="AH17" s="110" t="inlineStr">
        <is>
          <t>Maßnahme</t>
        </is>
      </c>
      <c r="AI17" s="68">
        <f>IF(H17="","",IFERROR(INDEX(Iv_Anzahl,MATCH(H17,Iv_Name,0)),IFERROR(VALUE(LEFT(TRIM(SUBSTITUTE(LOWER(H17),"alle ","")),FIND(" ",TRIM(SUBSTITUTE(LOWER(H17),"alle ",""))&amp;" ")-1)),"")))</f>
        <v/>
      </c>
      <c r="AJ17" s="68">
        <f>IF(H17="","",IFERROR(INDEX(Iv_Einheit,MATCH(H17,Iv_Name,0)),IF(ISNUMBER(SEARCH("jahr",H17)),"Jahre",IF(ISNUMBER(SEARCH("monat",H17)),"Monate",IF(ISNUMBER(SEARCH("woche",H17)),"Wochen",IF(ISNUMBER(SEARCH("tag",H17)),"Tage",""))))))</f>
        <v/>
      </c>
      <c r="AK17" s="107">
        <f>IF(AND(ISNUMBER(AI17),AJ17&lt;&gt;""),IF(AI17&gt;0,AI17*IF(AJ17="Tage",1,IF(AJ17="Wochen",7,IF(AJ17="Monate",365/12,365))),""),"")</f>
        <v/>
      </c>
      <c r="AL17" s="111">
        <f>IF(ISNUMBER(AK17),365/AK17,"")</f>
        <v/>
      </c>
      <c r="AM17" s="111">
        <f>IF(AND(ISNUMBER(AL17),ISNUMBER(AE17)),AL17*AE17/60,"")</f>
        <v/>
      </c>
      <c r="AN17" s="102">
        <f>IF(ISNUMBER(AA17),AA17-ROW()/100000,"")</f>
        <v/>
      </c>
      <c r="AO17" s="102">
        <f>IF(OR(L17="überfällig",L17="fällig"),J17+ROW()/100000,"")</f>
        <v/>
      </c>
      <c r="AP17" s="112" t="inlineStr">
        <is>
          <t>3.1.4</t>
        </is>
      </c>
      <c r="AQ17" s="113" t="inlineStr">
        <is>
          <t>überprüfe den Zustand der Stauch-Spindel auf Schmierfilm und Verschleiß. Bei ausreichendem Schmierfilm; --&gt; Schmierung nicht notwendig</t>
        </is>
      </c>
    </row>
    <row r="18" ht="80" customHeight="1">
      <c r="A18" s="101" t="inlineStr">
        <is>
          <t>3.1.5</t>
        </is>
      </c>
      <c r="B18" s="102" t="inlineStr">
        <is>
          <t>Abdeckung abschrauben; Schmierung über Bohrung Pos. 33 in der Spindel. ACHTUNG: Spindel dazu unbedingt auf Maximalhub ausfahren. 6–10 Hübe je Schmiernippel; Spindel mit sauberem Pinsel abschmieren (Teflon-Fett)</t>
        </is>
      </c>
      <c r="C18" s="103" t="inlineStr">
        <is>
          <t>Schmierung</t>
        </is>
      </c>
      <c r="D18" s="102" t="inlineStr">
        <is>
          <r>
            <rPr>
              <rFont val="Arial"/>
              <b val="1"/>
              <color rgb="00C00000"/>
              <sz val="8"/>
            </rPr>
            <t xml:space="preserve">⚠ Gefahrenstelle
</t>
          </r>
          <r>
            <rPr>
              <rFont val="Arial"/>
              <sz val="9"/>
            </rPr>
            <t>Profi Spezial Grease (Profi Star)</t>
          </r>
        </is>
      </c>
      <c r="E18" s="114" t="inlineStr">
        <is>
          <t>Spindel vollständig abgeschmiert; Abdeckung wieder montiert</t>
        </is>
      </c>
      <c r="F18" s="102" t="n"/>
      <c r="G18" s="68">
        <f>IF(AB18="unvollständig","Bewertung fehlt",INDEX(Kl_Intervall,MATCH(AB18,Kl_Name,0)))</f>
        <v/>
      </c>
      <c r="H18" s="8">
        <f>IF(G18="Bewertung fehlt","",G18)</f>
        <v/>
      </c>
      <c r="I18" s="105" t="n"/>
      <c r="J18" s="106">
        <f>IF(OR(I18="",NOT(ISNUMBER(AK18))),"",IF(AJ18="Tage",I18+AI18,IF(AJ18="Wochen",I18+7*AI18,EDATE(I18,ROUND(AI18*IF(AJ18="Jahre",12,1),0)))))</f>
        <v/>
      </c>
      <c r="K18" s="107">
        <f>IF(J18="","",J18-TODAY())</f>
        <v/>
      </c>
      <c r="L18" s="57">
        <f>IF(H18="","Intervall fehlt",IF(NOT(ISNUMBER(AK18)),"Intervall prüfen",IF(I18="","nicht erfasst",IF(K18&lt;0,"überfällig",IF(K18&lt;=MIN(P_Vorwarn,ROUND(AK18/4,0)),"fällig","in Ordnung")))))</f>
        <v/>
      </c>
      <c r="M18" s="103" t="n"/>
      <c r="N18" s="103" t="n"/>
      <c r="O18" s="108" t="n"/>
      <c r="P18" s="103" t="n"/>
      <c r="Q18" s="108" t="n">
        <v>5</v>
      </c>
      <c r="R18" s="108" t="n">
        <v>5</v>
      </c>
      <c r="S18" s="108" t="n">
        <v>3</v>
      </c>
      <c r="T18" s="108" t="n">
        <v>3</v>
      </c>
      <c r="U18" s="108" t="n">
        <v>2</v>
      </c>
      <c r="V18" s="108" t="n">
        <v>3</v>
      </c>
      <c r="W18" s="108" t="n">
        <v>5</v>
      </c>
      <c r="X18" s="108" t="n">
        <v>4</v>
      </c>
      <c r="Y18" s="109">
        <f>P_SF</f>
        <v/>
      </c>
      <c r="Z18" s="109">
        <f>IF(COUNT(Q18:V18)=6,SQRT(SUMSQ(Q18:V18))/2,"")</f>
        <v/>
      </c>
      <c r="AA18" s="80">
        <f>IF(COUNT(W18:Z18)=4,Z18*W18*X18*Y18,"")</f>
        <v/>
      </c>
      <c r="AB18" s="68">
        <f>IF(AA18="","unvollständig",IF(AA18&gt;P_Grenze_kritisch,"kritisch",IF(AA18&gt;=P_Grenze_hoch,"hoch",IF(AA18&gt;=P_Grenze_mittel,"mittel","gering"))))</f>
        <v/>
      </c>
      <c r="AC18" s="68">
        <f>TRIM(IF(N(T18)&gt;=P_Krit,"AS ","")&amp;IF(N(S18)&gt;=P_Krit,"Q ","")&amp;IF(N(U18)&gt;=P_Krit,"US",""))</f>
        <v/>
      </c>
      <c r="AD18" s="102">
        <f>IF(ISNUMBER(R18),INDEX(IH_Text,R18),"")</f>
        <v/>
      </c>
      <c r="AE18" s="108" t="n"/>
      <c r="AF18" s="68" t="n"/>
      <c r="AG18" s="110" t="inlineStr">
        <is>
          <t>Staucheinheit (Stauchdorn, Stauchspindel, Elemente für Abdichthub von rechts); Pos. 29 Stauchspindel (Kugelgewindespindel)</t>
        </is>
      </c>
      <c r="AH18" s="110" t="inlineStr">
        <is>
          <t>Maßnahme</t>
        </is>
      </c>
      <c r="AI18" s="68">
        <f>IF(H18="","",IFERROR(INDEX(Iv_Anzahl,MATCH(H18,Iv_Name,0)),IFERROR(VALUE(LEFT(TRIM(SUBSTITUTE(LOWER(H18),"alle ","")),FIND(" ",TRIM(SUBSTITUTE(LOWER(H18),"alle ",""))&amp;" ")-1)),"")))</f>
        <v/>
      </c>
      <c r="AJ18" s="68">
        <f>IF(H18="","",IFERROR(INDEX(Iv_Einheit,MATCH(H18,Iv_Name,0)),IF(ISNUMBER(SEARCH("jahr",H18)),"Jahre",IF(ISNUMBER(SEARCH("monat",H18)),"Monate",IF(ISNUMBER(SEARCH("woche",H18)),"Wochen",IF(ISNUMBER(SEARCH("tag",H18)),"Tage",""))))))</f>
        <v/>
      </c>
      <c r="AK18" s="107">
        <f>IF(AND(ISNUMBER(AI18),AJ18&lt;&gt;""),IF(AI18&gt;0,AI18*IF(AJ18="Tage",1,IF(AJ18="Wochen",7,IF(AJ18="Monate",365/12,365))),""),"")</f>
        <v/>
      </c>
      <c r="AL18" s="111">
        <f>IF(ISNUMBER(AK18),365/AK18,"")</f>
        <v/>
      </c>
      <c r="AM18" s="111">
        <f>IF(AND(ISNUMBER(AL18),ISNUMBER(AE18)),AL18*AE18/60,"")</f>
        <v/>
      </c>
      <c r="AN18" s="102">
        <f>IF(ISNUMBER(AA18),AA18-ROW()/100000,"")</f>
        <v/>
      </c>
      <c r="AO18" s="102">
        <f>IF(OR(L18="überfällig",L18="fällig"),J18+ROW()/100000,"")</f>
        <v/>
      </c>
      <c r="AP18" s="112" t="inlineStr">
        <is>
          <t>3.1.5</t>
        </is>
      </c>
      <c r="AQ18" s="113" t="inlineStr">
        <is>
          <t>Abdeckung abschrauben --&gt; Schmierung erfolgt über Bohrung Pos. 33 in der Spindel     Achtung: Spindel dazu unbedingt auf Maximalhub ausfahren --&gt; Schmieren 6-10 Hübe/Schmiernippel + Spindel mit sauberen Pinsel abschmieren (Teflon-Fett)</t>
        </is>
      </c>
    </row>
    <row r="19" ht="32" customHeight="1">
      <c r="A19" s="101" t="inlineStr">
        <is>
          <t>3.1.6</t>
        </is>
      </c>
      <c r="B19" s="102" t="inlineStr">
        <is>
          <t>Getriebe kontrollieren (Sichtkontrolle auf Öl-Leckage)</t>
        </is>
      </c>
      <c r="C19" s="103" t="inlineStr">
        <is>
          <t>Inspektion</t>
        </is>
      </c>
      <c r="D19" s="102" t="n"/>
      <c r="E19" s="114" t="inlineStr">
        <is>
          <t>Keine Öl-Leckage</t>
        </is>
      </c>
      <c r="F19" s="102" t="n"/>
      <c r="G19" s="68">
        <f>IF(AB19="unvollständig","Bewertung fehlt",INDEX(Kl_Intervall,MATCH(AB19,Kl_Name,0)))</f>
        <v/>
      </c>
      <c r="H19" s="8">
        <f>IF(G19="Bewertung fehlt","",G19)</f>
        <v/>
      </c>
      <c r="I19" s="105" t="n"/>
      <c r="J19" s="106">
        <f>IF(OR(I19="",NOT(ISNUMBER(AK19))),"",IF(AJ19="Tage",I19+AI19,IF(AJ19="Wochen",I19+7*AI19,EDATE(I19,ROUND(AI19*IF(AJ19="Jahre",12,1),0)))))</f>
        <v/>
      </c>
      <c r="K19" s="107">
        <f>IF(J19="","",J19-TODAY())</f>
        <v/>
      </c>
      <c r="L19" s="57">
        <f>IF(H19="","Intervall fehlt",IF(NOT(ISNUMBER(AK19)),"Intervall prüfen",IF(I19="","nicht erfasst",IF(K19&lt;0,"überfällig",IF(K19&lt;=MIN(P_Vorwarn,ROUND(AK19/4,0)),"fällig","in Ordnung")))))</f>
        <v/>
      </c>
      <c r="M19" s="103" t="n"/>
      <c r="N19" s="103" t="n"/>
      <c r="O19" s="108" t="n"/>
      <c r="P19" s="103" t="n"/>
      <c r="Q19" s="108" t="n">
        <v>4</v>
      </c>
      <c r="R19" s="108" t="n">
        <v>4</v>
      </c>
      <c r="S19" s="108" t="n">
        <v>4</v>
      </c>
      <c r="T19" s="108" t="n">
        <v>2</v>
      </c>
      <c r="U19" s="108" t="n">
        <v>1</v>
      </c>
      <c r="V19" s="108" t="n">
        <v>1</v>
      </c>
      <c r="W19" s="108" t="n">
        <v>2</v>
      </c>
      <c r="X19" s="108" t="n">
        <v>4</v>
      </c>
      <c r="Y19" s="109">
        <f>P_SF</f>
        <v/>
      </c>
      <c r="Z19" s="109">
        <f>IF(COUNT(Q19:V19)=6,SQRT(SUMSQ(Q19:V19))/2,"")</f>
        <v/>
      </c>
      <c r="AA19" s="80">
        <f>IF(COUNT(W19:Z19)=4,Z19*W19*X19*Y19,"")</f>
        <v/>
      </c>
      <c r="AB19" s="68">
        <f>IF(AA19="","unvollständig",IF(AA19&gt;P_Grenze_kritisch,"kritisch",IF(AA19&gt;=P_Grenze_hoch,"hoch",IF(AA19&gt;=P_Grenze_mittel,"mittel","gering"))))</f>
        <v/>
      </c>
      <c r="AC19" s="68">
        <f>TRIM(IF(N(T19)&gt;=P_Krit,"AS ","")&amp;IF(N(S19)&gt;=P_Krit,"Q ","")&amp;IF(N(U19)&gt;=P_Krit,"US",""))</f>
        <v/>
      </c>
      <c r="AD19" s="102">
        <f>IF(ISNUMBER(R19),INDEX(IH_Text,R19),"")</f>
        <v/>
      </c>
      <c r="AE19" s="108" t="n"/>
      <c r="AF19" s="68" t="n"/>
      <c r="AG19" s="110" t="inlineStr">
        <is>
          <t>Staucheinheit (Stauchdorn, Stauchspindel, Elemente für Abdichthub von rechts); Pos. 29 Stauchspindel (Kugelgewindespindel)</t>
        </is>
      </c>
      <c r="AH19" s="110" t="inlineStr">
        <is>
          <t>Maßnahme</t>
        </is>
      </c>
      <c r="AI19" s="68">
        <f>IF(H19="","",IFERROR(INDEX(Iv_Anzahl,MATCH(H19,Iv_Name,0)),IFERROR(VALUE(LEFT(TRIM(SUBSTITUTE(LOWER(H19),"alle ","")),FIND(" ",TRIM(SUBSTITUTE(LOWER(H19),"alle ",""))&amp;" ")-1)),"")))</f>
        <v/>
      </c>
      <c r="AJ19" s="68">
        <f>IF(H19="","",IFERROR(INDEX(Iv_Einheit,MATCH(H19,Iv_Name,0)),IF(ISNUMBER(SEARCH("jahr",H19)),"Jahre",IF(ISNUMBER(SEARCH("monat",H19)),"Monate",IF(ISNUMBER(SEARCH("woche",H19)),"Wochen",IF(ISNUMBER(SEARCH("tag",H19)),"Tage",""))))))</f>
        <v/>
      </c>
      <c r="AK19" s="107">
        <f>IF(AND(ISNUMBER(AI19),AJ19&lt;&gt;""),IF(AI19&gt;0,AI19*IF(AJ19="Tage",1,IF(AJ19="Wochen",7,IF(AJ19="Monate",365/12,365))),""),"")</f>
        <v/>
      </c>
      <c r="AL19" s="111">
        <f>IF(ISNUMBER(AK19),365/AK19,"")</f>
        <v/>
      </c>
      <c r="AM19" s="111">
        <f>IF(AND(ISNUMBER(AL19),ISNUMBER(AE19)),AL19*AE19/60,"")</f>
        <v/>
      </c>
      <c r="AN19" s="102">
        <f>IF(ISNUMBER(AA19),AA19-ROW()/100000,"")</f>
        <v/>
      </c>
      <c r="AO19" s="102">
        <f>IF(OR(L19="überfällig",L19="fällig"),J19+ROW()/100000,"")</f>
        <v/>
      </c>
      <c r="AP19" s="112" t="inlineStr">
        <is>
          <t>3.1.6</t>
        </is>
      </c>
      <c r="AQ19" s="113" t="inlineStr">
        <is>
          <t>kontrolliere Getriebe (Sichtkontrolle auf Öl-Leckage )</t>
        </is>
      </c>
    </row>
    <row r="20" ht="32" customHeight="1">
      <c r="A20" s="101" t="inlineStr">
        <is>
          <t>3.1.7</t>
        </is>
      </c>
      <c r="B20" s="102" t="inlineStr">
        <is>
          <t>Elektromotor kontrollieren (Funktion, Verschmutzung, Laufruhe, Kabel)</t>
        </is>
      </c>
      <c r="C20" s="103" t="inlineStr">
        <is>
          <t>Inspektion</t>
        </is>
      </c>
      <c r="D20" s="102" t="n"/>
      <c r="E20" s="114" t="inlineStr">
        <is>
          <t>Motor sauber, ruhiger Lauf; Kabel unbeschädigt</t>
        </is>
      </c>
      <c r="F20" s="102" t="n"/>
      <c r="G20" s="68">
        <f>IF(AB20="unvollständig","Bewertung fehlt",INDEX(Kl_Intervall,MATCH(AB20,Kl_Name,0)))</f>
        <v/>
      </c>
      <c r="H20" s="8">
        <f>IF(G20="Bewertung fehlt","",G20)</f>
        <v/>
      </c>
      <c r="I20" s="105" t="n"/>
      <c r="J20" s="106">
        <f>IF(OR(I20="",NOT(ISNUMBER(AK20))),"",IF(AJ20="Tage",I20+AI20,IF(AJ20="Wochen",I20+7*AI20,EDATE(I20,ROUND(AI20*IF(AJ20="Jahre",12,1),0)))))</f>
        <v/>
      </c>
      <c r="K20" s="107">
        <f>IF(J20="","",J20-TODAY())</f>
        <v/>
      </c>
      <c r="L20" s="57">
        <f>IF(H20="","Intervall fehlt",IF(NOT(ISNUMBER(AK20)),"Intervall prüfen",IF(I20="","nicht erfasst",IF(K20&lt;0,"überfällig",IF(K20&lt;=MIN(P_Vorwarn,ROUND(AK20/4,0)),"fällig","in Ordnung")))))</f>
        <v/>
      </c>
      <c r="M20" s="103" t="n"/>
      <c r="N20" s="103" t="n"/>
      <c r="O20" s="108" t="n"/>
      <c r="P20" s="103" t="n"/>
      <c r="Q20" s="108" t="n">
        <v>4</v>
      </c>
      <c r="R20" s="108" t="n">
        <v>4</v>
      </c>
      <c r="S20" s="108" t="n">
        <v>4</v>
      </c>
      <c r="T20" s="108" t="n">
        <v>2</v>
      </c>
      <c r="U20" s="108" t="n">
        <v>1</v>
      </c>
      <c r="V20" s="108" t="n">
        <v>1</v>
      </c>
      <c r="W20" s="108" t="n">
        <v>2</v>
      </c>
      <c r="X20" s="108" t="n">
        <v>4</v>
      </c>
      <c r="Y20" s="109">
        <f>P_SF</f>
        <v/>
      </c>
      <c r="Z20" s="109">
        <f>IF(COUNT(Q20:V20)=6,SQRT(SUMSQ(Q20:V20))/2,"")</f>
        <v/>
      </c>
      <c r="AA20" s="80">
        <f>IF(COUNT(W20:Z20)=4,Z20*W20*X20*Y20,"")</f>
        <v/>
      </c>
      <c r="AB20" s="68">
        <f>IF(AA20="","unvollständig",IF(AA20&gt;P_Grenze_kritisch,"kritisch",IF(AA20&gt;=P_Grenze_hoch,"hoch",IF(AA20&gt;=P_Grenze_mittel,"mittel","gering"))))</f>
        <v/>
      </c>
      <c r="AC20" s="68">
        <f>TRIM(IF(N(T20)&gt;=P_Krit,"AS ","")&amp;IF(N(S20)&gt;=P_Krit,"Q ","")&amp;IF(N(U20)&gt;=P_Krit,"US",""))</f>
        <v/>
      </c>
      <c r="AD20" s="102">
        <f>IF(ISNUMBER(R20),INDEX(IH_Text,R20),"")</f>
        <v/>
      </c>
      <c r="AE20" s="108" t="n"/>
      <c r="AF20" s="68" t="n"/>
      <c r="AG20" s="110" t="inlineStr">
        <is>
          <t>Staucheinheit (Stauchdorn, Stauchspindel, Elemente für Abdichthub von rechts); Pos. 29 Stauchspindel (Kugelgewindespindel)</t>
        </is>
      </c>
      <c r="AH20" s="110" t="inlineStr">
        <is>
          <t>Maßnahme</t>
        </is>
      </c>
      <c r="AI20" s="68">
        <f>IF(H20="","",IFERROR(INDEX(Iv_Anzahl,MATCH(H20,Iv_Name,0)),IFERROR(VALUE(LEFT(TRIM(SUBSTITUTE(LOWER(H20),"alle ","")),FIND(" ",TRIM(SUBSTITUTE(LOWER(H20),"alle ",""))&amp;" ")-1)),"")))</f>
        <v/>
      </c>
      <c r="AJ20" s="68">
        <f>IF(H20="","",IFERROR(INDEX(Iv_Einheit,MATCH(H20,Iv_Name,0)),IF(ISNUMBER(SEARCH("jahr",H20)),"Jahre",IF(ISNUMBER(SEARCH("monat",H20)),"Monate",IF(ISNUMBER(SEARCH("woche",H20)),"Wochen",IF(ISNUMBER(SEARCH("tag",H20)),"Tage",""))))))</f>
        <v/>
      </c>
      <c r="AK20" s="107">
        <f>IF(AND(ISNUMBER(AI20),AJ20&lt;&gt;""),IF(AI20&gt;0,AI20*IF(AJ20="Tage",1,IF(AJ20="Wochen",7,IF(AJ20="Monate",365/12,365))),""),"")</f>
        <v/>
      </c>
      <c r="AL20" s="111">
        <f>IF(ISNUMBER(AK20),365/AK20,"")</f>
        <v/>
      </c>
      <c r="AM20" s="111">
        <f>IF(AND(ISNUMBER(AL20),ISNUMBER(AE20)),AL20*AE20/60,"")</f>
        <v/>
      </c>
      <c r="AN20" s="102">
        <f>IF(ISNUMBER(AA20),AA20-ROW()/100000,"")</f>
        <v/>
      </c>
      <c r="AO20" s="102">
        <f>IF(OR(L20="überfällig",L20="fällig"),J20+ROW()/100000,"")</f>
        <v/>
      </c>
      <c r="AP20" s="112" t="inlineStr">
        <is>
          <t>3.1.7</t>
        </is>
      </c>
      <c r="AQ20" s="113" t="inlineStr">
        <is>
          <t>Kontrolliere Elektromotor (Funktion/Verschmutzung/Laufruhe/Kabeln)</t>
        </is>
      </c>
    </row>
    <row r="21" ht="32" customHeight="1">
      <c r="A21" s="96" t="inlineStr">
        <is>
          <t>4</t>
        </is>
      </c>
      <c r="B21" s="97" t="inlineStr">
        <is>
          <t>Oberer und unterer Werkzeugträger   (Pos. 3 / 6)</t>
        </is>
      </c>
      <c r="C21" s="97" t="n"/>
      <c r="D21" s="97" t="n"/>
      <c r="E21" s="97" t="n"/>
      <c r="F21" s="97" t="n"/>
      <c r="G21" s="97" t="n"/>
      <c r="H21" s="97" t="n"/>
      <c r="I21" s="97" t="n"/>
      <c r="J21" s="97" t="n"/>
      <c r="K21" s="97" t="n"/>
      <c r="L21" s="97" t="n"/>
      <c r="M21" s="97" t="n"/>
      <c r="N21" s="97" t="n"/>
      <c r="O21" s="97" t="n"/>
      <c r="P21" s="97" t="n"/>
      <c r="Q21" s="97" t="n"/>
      <c r="R21" s="97" t="n"/>
      <c r="S21" s="97" t="n"/>
      <c r="T21" s="97" t="n"/>
      <c r="U21" s="97" t="n"/>
      <c r="V21" s="97" t="n"/>
      <c r="W21" s="97" t="n"/>
      <c r="X21" s="97" t="n"/>
      <c r="Y21" s="97" t="n"/>
      <c r="Z21" s="97" t="n"/>
      <c r="AA21" s="97" t="n"/>
      <c r="AB21" s="97" t="n"/>
      <c r="AC21" s="97" t="n"/>
      <c r="AD21" s="97" t="n"/>
      <c r="AE21" s="97" t="n"/>
      <c r="AF21" s="97" t="n"/>
      <c r="AG21" s="98" t="inlineStr">
        <is>
          <t>Oberer und unterer Werkzeugträger</t>
        </is>
      </c>
      <c r="AH21" s="98" t="inlineStr">
        <is>
          <t>Baugruppe</t>
        </is>
      </c>
      <c r="AI21" s="97" t="n"/>
      <c r="AJ21" s="97" t="n"/>
      <c r="AK21" s="97" t="n"/>
      <c r="AL21" s="97" t="n"/>
      <c r="AM21" s="97" t="n"/>
      <c r="AN21" s="97" t="n"/>
      <c r="AO21" s="97" t="n"/>
      <c r="AP21" s="99" t="inlineStr">
        <is>
          <t>4</t>
        </is>
      </c>
      <c r="AQ21" s="100" t="inlineStr">
        <is>
          <t>3.) u. 6.) Oberer Werkzeugträger/Unterer Werkzeugträger</t>
        </is>
      </c>
    </row>
    <row r="22" ht="18" customHeight="1">
      <c r="A22" s="115" t="inlineStr">
        <is>
          <t>4.1</t>
        </is>
      </c>
      <c r="B22" s="116" t="inlineStr">
        <is>
          <t>Alle Werkzeugträger nach folgenden Kriterien inspizieren:</t>
        </is>
      </c>
      <c r="C22" s="116" t="n"/>
      <c r="D22" s="116" t="n"/>
      <c r="E22" s="116" t="n"/>
      <c r="F22" s="116" t="n"/>
      <c r="G22" s="116" t="n"/>
      <c r="H22" s="116" t="n"/>
      <c r="I22" s="116" t="n"/>
      <c r="J22" s="116" t="n"/>
      <c r="K22" s="116" t="n"/>
      <c r="L22" s="116" t="n"/>
      <c r="M22" s="116" t="n"/>
      <c r="N22" s="116" t="n"/>
      <c r="O22" s="116" t="n"/>
      <c r="P22" s="116" t="n"/>
      <c r="Q22" s="116" t="n"/>
      <c r="R22" s="116" t="n"/>
      <c r="S22" s="116" t="n"/>
      <c r="T22" s="116" t="n"/>
      <c r="U22" s="116" t="n"/>
      <c r="V22" s="116" t="n"/>
      <c r="W22" s="116" t="n"/>
      <c r="X22" s="116" t="n"/>
      <c r="Y22" s="116" t="n"/>
      <c r="Z22" s="116" t="n"/>
      <c r="AA22" s="116" t="n"/>
      <c r="AB22" s="116" t="n"/>
      <c r="AC22" s="116" t="n"/>
      <c r="AD22" s="116" t="n"/>
      <c r="AE22" s="116" t="n"/>
      <c r="AF22" s="116" t="n"/>
      <c r="AG22" s="117" t="inlineStr">
        <is>
          <t>Oberer und unterer Werkzeugträger</t>
        </is>
      </c>
      <c r="AH22" s="117" t="inlineStr">
        <is>
          <t>Prüfgruppe</t>
        </is>
      </c>
      <c r="AI22" s="116" t="n"/>
      <c r="AJ22" s="116" t="n"/>
      <c r="AK22" s="116" t="n"/>
      <c r="AL22" s="116" t="n"/>
      <c r="AM22" s="116" t="n"/>
      <c r="AN22" s="116" t="n"/>
      <c r="AO22" s="116" t="n"/>
      <c r="AP22" s="118" t="inlineStr">
        <is>
          <t>4.1</t>
        </is>
      </c>
      <c r="AQ22" s="119" t="inlineStr">
        <is>
          <t>Inspiziere alle Werkzeugträger nach folgenden Kriterien:</t>
        </is>
      </c>
    </row>
    <row r="23" ht="80" customHeight="1">
      <c r="A23" s="101" t="inlineStr">
        <is>
          <t>4.1.1</t>
        </is>
      </c>
      <c r="B23" s="102" t="inlineStr">
        <is>
          <t>Spindel auf Beschädigungen prüfen: Oberfläche (Riefen, Kratzer), Geräusche, Laufruhe</t>
        </is>
      </c>
      <c r="C23" s="103" t="inlineStr">
        <is>
          <t>Inspektion</t>
        </is>
      </c>
      <c r="D23" s="102" t="n"/>
      <c r="E23" s="114" t="inlineStr">
        <is>
          <t>Keine Riefen/Kratzer; ruhiger, geräuscharmer Lauf</t>
        </is>
      </c>
      <c r="F23" s="102" t="n"/>
      <c r="G23" s="68">
        <f>IF(AB23="unvollständig","Bewertung fehlt",INDEX(Kl_Intervall,MATCH(AB23,Kl_Name,0)))</f>
        <v/>
      </c>
      <c r="H23" s="8">
        <f>IF(G23="Bewertung fehlt","",G23)</f>
        <v/>
      </c>
      <c r="I23" s="105" t="n"/>
      <c r="J23" s="106">
        <f>IF(OR(I23="",NOT(ISNUMBER(AK23))),"",IF(AJ23="Tage",I23+AI23,IF(AJ23="Wochen",I23+7*AI23,EDATE(I23,ROUND(AI23*IF(AJ23="Jahre",12,1),0)))))</f>
        <v/>
      </c>
      <c r="K23" s="107">
        <f>IF(J23="","",J23-TODAY())</f>
        <v/>
      </c>
      <c r="L23" s="57">
        <f>IF(H23="","Intervall fehlt",IF(NOT(ISNUMBER(AK23)),"Intervall prüfen",IF(I23="","nicht erfasst",IF(K23&lt;0,"überfällig",IF(K23&lt;=MIN(P_Vorwarn,ROUND(AK23/4,0)),"fällig","in Ordnung")))))</f>
        <v/>
      </c>
      <c r="M23" s="103" t="n"/>
      <c r="N23" s="103" t="n"/>
      <c r="O23" s="108" t="n"/>
      <c r="P23" s="103" t="n"/>
      <c r="Q23" s="108" t="n">
        <v>5</v>
      </c>
      <c r="R23" s="108" t="n">
        <v>5</v>
      </c>
      <c r="S23" s="108" t="n">
        <v>3</v>
      </c>
      <c r="T23" s="108" t="n">
        <v>3</v>
      </c>
      <c r="U23" s="108" t="n">
        <v>2</v>
      </c>
      <c r="V23" s="108" t="n">
        <v>3</v>
      </c>
      <c r="W23" s="108" t="n">
        <v>5</v>
      </c>
      <c r="X23" s="108" t="n">
        <v>4</v>
      </c>
      <c r="Y23" s="109">
        <f>P_SF</f>
        <v/>
      </c>
      <c r="Z23" s="109">
        <f>IF(COUNT(Q23:V23)=6,SQRT(SUMSQ(Q23:V23))/2,"")</f>
        <v/>
      </c>
      <c r="AA23" s="80">
        <f>IF(COUNT(W23:Z23)=4,Z23*W23*X23*Y23,"")</f>
        <v/>
      </c>
      <c r="AB23" s="68">
        <f>IF(AA23="","unvollständig",IF(AA23&gt;P_Grenze_kritisch,"kritisch",IF(AA23&gt;=P_Grenze_hoch,"hoch",IF(AA23&gt;=P_Grenze_mittel,"mittel","gering"))))</f>
        <v/>
      </c>
      <c r="AC23" s="68">
        <f>TRIM(IF(N(T23)&gt;=P_Krit,"AS ","")&amp;IF(N(S23)&gt;=P_Krit,"Q ","")&amp;IF(N(U23)&gt;=P_Krit,"US",""))</f>
        <v/>
      </c>
      <c r="AD23" s="102">
        <f>IF(ISNUMBER(R23),INDEX(IH_Text,R23),"")</f>
        <v/>
      </c>
      <c r="AE23" s="108" t="n"/>
      <c r="AF23" s="68" t="n"/>
      <c r="AG23" s="110" t="inlineStr">
        <is>
          <t>Oberer und unterer Werkzeugträger</t>
        </is>
      </c>
      <c r="AH23" s="110" t="inlineStr">
        <is>
          <t>Maßnahme</t>
        </is>
      </c>
      <c r="AI23" s="68">
        <f>IF(H23="","",IFERROR(INDEX(Iv_Anzahl,MATCH(H23,Iv_Name,0)),IFERROR(VALUE(LEFT(TRIM(SUBSTITUTE(LOWER(H23),"alle ","")),FIND(" ",TRIM(SUBSTITUTE(LOWER(H23),"alle ",""))&amp;" ")-1)),"")))</f>
        <v/>
      </c>
      <c r="AJ23" s="68">
        <f>IF(H23="","",IFERROR(INDEX(Iv_Einheit,MATCH(H23,Iv_Name,0)),IF(ISNUMBER(SEARCH("jahr",H23)),"Jahre",IF(ISNUMBER(SEARCH("monat",H23)),"Monate",IF(ISNUMBER(SEARCH("woche",H23)),"Wochen",IF(ISNUMBER(SEARCH("tag",H23)),"Tage",""))))))</f>
        <v/>
      </c>
      <c r="AK23" s="107">
        <f>IF(AND(ISNUMBER(AI23),AJ23&lt;&gt;""),IF(AI23&gt;0,AI23*IF(AJ23="Tage",1,IF(AJ23="Wochen",7,IF(AJ23="Monate",365/12,365))),""),"")</f>
        <v/>
      </c>
      <c r="AL23" s="111">
        <f>IF(ISNUMBER(AK23),365/AK23,"")</f>
        <v/>
      </c>
      <c r="AM23" s="111">
        <f>IF(AND(ISNUMBER(AL23),ISNUMBER(AE23)),AL23*AE23/60,"")</f>
        <v/>
      </c>
      <c r="AN23" s="102">
        <f>IF(ISNUMBER(AA23),AA23-ROW()/100000,"")</f>
        <v/>
      </c>
      <c r="AO23" s="102">
        <f>IF(OR(L23="überfällig",L23="fällig"),J23+ROW()/100000,"")</f>
        <v/>
      </c>
      <c r="AP23" s="112" t="inlineStr">
        <is>
          <t>4.1.1</t>
        </is>
      </c>
      <c r="AQ23" s="113" t="inlineStr">
        <is>
          <t>Spindel auf Beschädigungen prüfen (Oberfläche (Riffen, Kratzer) d. Spindel  prüfen; Stauchspindel auf Geräusche, Laufruhe prüfen</t>
        </is>
      </c>
    </row>
    <row r="24" ht="32" customHeight="1">
      <c r="A24" s="101" t="inlineStr">
        <is>
          <t>4.1.2</t>
        </is>
      </c>
      <c r="B24" s="102" t="inlineStr">
        <is>
          <t>Spindel auf Verschmutzung prüfen, ggf. reinigen</t>
        </is>
      </c>
      <c r="C24" s="103" t="inlineStr">
        <is>
          <t>Inspektion</t>
        </is>
      </c>
      <c r="D24" s="102" t="n"/>
      <c r="E24" s="114" t="inlineStr">
        <is>
          <t>Spindel sauber, frei von Ablagerungen</t>
        </is>
      </c>
      <c r="F24" s="102" t="n"/>
      <c r="G24" s="68">
        <f>IF(AB24="unvollständig","Bewertung fehlt",INDEX(Kl_Intervall,MATCH(AB24,Kl_Name,0)))</f>
        <v/>
      </c>
      <c r="H24" s="8">
        <f>IF(G24="Bewertung fehlt","",G24)</f>
        <v/>
      </c>
      <c r="I24" s="105" t="n"/>
      <c r="J24" s="106">
        <f>IF(OR(I24="",NOT(ISNUMBER(AK24))),"",IF(AJ24="Tage",I24+AI24,IF(AJ24="Wochen",I24+7*AI24,EDATE(I24,ROUND(AI24*IF(AJ24="Jahre",12,1),0)))))</f>
        <v/>
      </c>
      <c r="K24" s="107">
        <f>IF(J24="","",J24-TODAY())</f>
        <v/>
      </c>
      <c r="L24" s="57">
        <f>IF(H24="","Intervall fehlt",IF(NOT(ISNUMBER(AK24)),"Intervall prüfen",IF(I24="","nicht erfasst",IF(K24&lt;0,"überfällig",IF(K24&lt;=MIN(P_Vorwarn,ROUND(AK24/4,0)),"fällig","in Ordnung")))))</f>
        <v/>
      </c>
      <c r="M24" s="103" t="n"/>
      <c r="N24" s="103" t="n"/>
      <c r="O24" s="108" t="n"/>
      <c r="P24" s="103" t="n"/>
      <c r="Q24" s="108" t="n">
        <v>2</v>
      </c>
      <c r="R24" s="108" t="n">
        <v>2</v>
      </c>
      <c r="S24" s="108" t="n">
        <v>1</v>
      </c>
      <c r="T24" s="108" t="n">
        <v>1</v>
      </c>
      <c r="U24" s="108" t="n">
        <v>3</v>
      </c>
      <c r="V24" s="108" t="n">
        <v>1</v>
      </c>
      <c r="W24" s="108" t="n">
        <v>5</v>
      </c>
      <c r="X24" s="108" t="n">
        <v>2</v>
      </c>
      <c r="Y24" s="109">
        <f>P_SF</f>
        <v/>
      </c>
      <c r="Z24" s="109">
        <f>IF(COUNT(Q24:V24)=6,SQRT(SUMSQ(Q24:V24))/2,"")</f>
        <v/>
      </c>
      <c r="AA24" s="80">
        <f>IF(COUNT(W24:Z24)=4,Z24*W24*X24*Y24,"")</f>
        <v/>
      </c>
      <c r="AB24" s="68">
        <f>IF(AA24="","unvollständig",IF(AA24&gt;P_Grenze_kritisch,"kritisch",IF(AA24&gt;=P_Grenze_hoch,"hoch",IF(AA24&gt;=P_Grenze_mittel,"mittel","gering"))))</f>
        <v/>
      </c>
      <c r="AC24" s="68">
        <f>TRIM(IF(N(T24)&gt;=P_Krit,"AS ","")&amp;IF(N(S24)&gt;=P_Krit,"Q ","")&amp;IF(N(U24)&gt;=P_Krit,"US",""))</f>
        <v/>
      </c>
      <c r="AD24" s="102">
        <f>IF(ISNUMBER(R24),INDEX(IH_Text,R24),"")</f>
        <v/>
      </c>
      <c r="AE24" s="108" t="n"/>
      <c r="AF24" s="68" t="n"/>
      <c r="AG24" s="110" t="inlineStr">
        <is>
          <t>Oberer und unterer Werkzeugträger</t>
        </is>
      </c>
      <c r="AH24" s="110" t="inlineStr">
        <is>
          <t>Maßnahme</t>
        </is>
      </c>
      <c r="AI24" s="68">
        <f>IF(H24="","",IFERROR(INDEX(Iv_Anzahl,MATCH(H24,Iv_Name,0)),IFERROR(VALUE(LEFT(TRIM(SUBSTITUTE(LOWER(H24),"alle ","")),FIND(" ",TRIM(SUBSTITUTE(LOWER(H24),"alle ",""))&amp;" ")-1)),"")))</f>
        <v/>
      </c>
      <c r="AJ24" s="68">
        <f>IF(H24="","",IFERROR(INDEX(Iv_Einheit,MATCH(H24,Iv_Name,0)),IF(ISNUMBER(SEARCH("jahr",H24)),"Jahre",IF(ISNUMBER(SEARCH("monat",H24)),"Monate",IF(ISNUMBER(SEARCH("woche",H24)),"Wochen",IF(ISNUMBER(SEARCH("tag",H24)),"Tage",""))))))</f>
        <v/>
      </c>
      <c r="AK24" s="107">
        <f>IF(AND(ISNUMBER(AI24),AJ24&lt;&gt;""),IF(AI24&gt;0,AI24*IF(AJ24="Tage",1,IF(AJ24="Wochen",7,IF(AJ24="Monate",365/12,365))),""),"")</f>
        <v/>
      </c>
      <c r="AL24" s="111">
        <f>IF(ISNUMBER(AK24),365/AK24,"")</f>
        <v/>
      </c>
      <c r="AM24" s="111">
        <f>IF(AND(ISNUMBER(AL24),ISNUMBER(AE24)),AL24*AE24/60,"")</f>
        <v/>
      </c>
      <c r="AN24" s="102">
        <f>IF(ISNUMBER(AA24),AA24-ROW()/100000,"")</f>
        <v/>
      </c>
      <c r="AO24" s="102">
        <f>IF(OR(L24="überfällig",L24="fällig"),J24+ROW()/100000,"")</f>
        <v/>
      </c>
      <c r="AP24" s="112" t="inlineStr">
        <is>
          <t>4.1.2</t>
        </is>
      </c>
      <c r="AQ24" s="113" t="inlineStr">
        <is>
          <t>Spindel auf Verschmutzung prüfen ggf. reinigen</t>
        </is>
      </c>
    </row>
    <row r="25" ht="84" customHeight="1">
      <c r="A25" s="101" t="inlineStr">
        <is>
          <t>4.1.3</t>
        </is>
      </c>
      <c r="B25" s="102" t="inlineStr">
        <is>
          <t>Spindel abschmieren (siehe Schmierplan): Spindelmutter Y-Schlitten, 6 Hübe je Schmiernippel. Werkzeugträger zusammenfahren und prüfen, ob genügend Schmierfilm auf der Spindel vorhanden ist; ggf. nochmals abschmieren</t>
        </is>
      </c>
      <c r="C25" s="103" t="inlineStr">
        <is>
          <t>Schmierung</t>
        </is>
      </c>
      <c r="D25" s="102" t="inlineStr">
        <is>
          <r>
            <rPr>
              <rFont val="Arial"/>
              <b val="1"/>
              <color rgb="00C00000"/>
              <sz val="8"/>
            </rPr>
            <t xml:space="preserve">⚠ Gefahrenstelle / ℹ Hinweis beachten
</t>
          </r>
          <r>
            <rPr>
              <rFont val="Arial"/>
              <sz val="9"/>
            </rPr>
            <t>Profi Spezial Grease (Profi Star)</t>
          </r>
        </is>
      </c>
      <c r="E25" s="114" t="inlineStr">
        <is>
          <t>Ausreichender Schmierfilm auf der Spindel</t>
        </is>
      </c>
      <c r="F25" s="102" t="n"/>
      <c r="G25" s="68">
        <f>IF(AB25="unvollständig","Bewertung fehlt",INDEX(Kl_Intervall,MATCH(AB25,Kl_Name,0)))</f>
        <v/>
      </c>
      <c r="H25" s="8">
        <f>IF(G25="Bewertung fehlt","",G25)</f>
        <v/>
      </c>
      <c r="I25" s="105" t="n"/>
      <c r="J25" s="106">
        <f>IF(OR(I25="",NOT(ISNUMBER(AK25))),"",IF(AJ25="Tage",I25+AI25,IF(AJ25="Wochen",I25+7*AI25,EDATE(I25,ROUND(AI25*IF(AJ25="Jahre",12,1),0)))))</f>
        <v/>
      </c>
      <c r="K25" s="107">
        <f>IF(J25="","",J25-TODAY())</f>
        <v/>
      </c>
      <c r="L25" s="57">
        <f>IF(H25="","Intervall fehlt",IF(NOT(ISNUMBER(AK25)),"Intervall prüfen",IF(I25="","nicht erfasst",IF(K25&lt;0,"überfällig",IF(K25&lt;=MIN(P_Vorwarn,ROUND(AK25/4,0)),"fällig","in Ordnung")))))</f>
        <v/>
      </c>
      <c r="M25" s="103" t="n"/>
      <c r="N25" s="103" t="n"/>
      <c r="O25" s="108" t="n"/>
      <c r="P25" s="103" t="n"/>
      <c r="Q25" s="108" t="n">
        <v>5</v>
      </c>
      <c r="R25" s="108" t="n">
        <v>5</v>
      </c>
      <c r="S25" s="108" t="n">
        <v>3</v>
      </c>
      <c r="T25" s="108" t="n">
        <v>3</v>
      </c>
      <c r="U25" s="108" t="n">
        <v>2</v>
      </c>
      <c r="V25" s="108" t="n">
        <v>3</v>
      </c>
      <c r="W25" s="108" t="n">
        <v>5</v>
      </c>
      <c r="X25" s="108" t="n">
        <v>2</v>
      </c>
      <c r="Y25" s="109">
        <f>P_SF</f>
        <v/>
      </c>
      <c r="Z25" s="109">
        <f>IF(COUNT(Q25:V25)=6,SQRT(SUMSQ(Q25:V25))/2,"")</f>
        <v/>
      </c>
      <c r="AA25" s="80">
        <f>IF(COUNT(W25:Z25)=4,Z25*W25*X25*Y25,"")</f>
        <v/>
      </c>
      <c r="AB25" s="68">
        <f>IF(AA25="","unvollständig",IF(AA25&gt;P_Grenze_kritisch,"kritisch",IF(AA25&gt;=P_Grenze_hoch,"hoch",IF(AA25&gt;=P_Grenze_mittel,"mittel","gering"))))</f>
        <v/>
      </c>
      <c r="AC25" s="68">
        <f>TRIM(IF(N(T25)&gt;=P_Krit,"AS ","")&amp;IF(N(S25)&gt;=P_Krit,"Q ","")&amp;IF(N(U25)&gt;=P_Krit,"US",""))</f>
        <v/>
      </c>
      <c r="AD25" s="102">
        <f>IF(ISNUMBER(R25),INDEX(IH_Text,R25),"")</f>
        <v/>
      </c>
      <c r="AE25" s="108" t="n"/>
      <c r="AF25" s="68" t="n"/>
      <c r="AG25" s="110" t="inlineStr">
        <is>
          <t>Oberer und unterer Werkzeugträger</t>
        </is>
      </c>
      <c r="AH25" s="110" t="inlineStr">
        <is>
          <t>Maßnahme</t>
        </is>
      </c>
      <c r="AI25" s="68">
        <f>IF(H25="","",IFERROR(INDEX(Iv_Anzahl,MATCH(H25,Iv_Name,0)),IFERROR(VALUE(LEFT(TRIM(SUBSTITUTE(LOWER(H25),"alle ","")),FIND(" ",TRIM(SUBSTITUTE(LOWER(H25),"alle ",""))&amp;" ")-1)),"")))</f>
        <v/>
      </c>
      <c r="AJ25" s="68">
        <f>IF(H25="","",IFERROR(INDEX(Iv_Einheit,MATCH(H25,Iv_Name,0)),IF(ISNUMBER(SEARCH("jahr",H25)),"Jahre",IF(ISNUMBER(SEARCH("monat",H25)),"Monate",IF(ISNUMBER(SEARCH("woche",H25)),"Wochen",IF(ISNUMBER(SEARCH("tag",H25)),"Tage",""))))))</f>
        <v/>
      </c>
      <c r="AK25" s="107">
        <f>IF(AND(ISNUMBER(AI25),AJ25&lt;&gt;""),IF(AI25&gt;0,AI25*IF(AJ25="Tage",1,IF(AJ25="Wochen",7,IF(AJ25="Monate",365/12,365))),""),"")</f>
        <v/>
      </c>
      <c r="AL25" s="111">
        <f>IF(ISNUMBER(AK25),365/AK25,"")</f>
        <v/>
      </c>
      <c r="AM25" s="111">
        <f>IF(AND(ISNUMBER(AL25),ISNUMBER(AE25)),AL25*AE25/60,"")</f>
        <v/>
      </c>
      <c r="AN25" s="102">
        <f>IF(ISNUMBER(AA25),AA25-ROW()/100000,"")</f>
        <v/>
      </c>
      <c r="AO25" s="102">
        <f>IF(OR(L25="überfällig",L25="fällig"),J25+ROW()/100000,"")</f>
        <v/>
      </c>
      <c r="AP25" s="112" t="inlineStr">
        <is>
          <t>4.1.3</t>
        </is>
      </c>
      <c r="AQ25" s="113" t="inlineStr">
        <is>
          <t>Spindel abschmieren (siehe Schmierplan) Spindelmutter Y-Schlitten --&gt; Schmieren (6) Hübe/Schmiernippel. Werkzuegträger zusammenfahren und überprüfen ob genügend Schmierfilm auf Spindel vorhanden ggf. nochmal abschmieren</t>
        </is>
      </c>
    </row>
    <row r="26" ht="58" customHeight="1">
      <c r="A26" s="101" t="inlineStr">
        <is>
          <t>4.1.4</t>
        </is>
      </c>
      <c r="B26" s="102" t="inlineStr">
        <is>
          <t>Hauptführung Y-Schlitten kontrollieren (!) – Schmierplan Pos. 1–5: Führungen abschmieren, 6 Hübe je Schmiernippel</t>
        </is>
      </c>
      <c r="C26" s="103" t="inlineStr">
        <is>
          <t>Schmierung</t>
        </is>
      </c>
      <c r="D26" s="102" t="inlineStr">
        <is>
          <r>
            <rPr>
              <rFont val="Arial"/>
              <b val="1"/>
              <color rgb="00C00000"/>
              <sz val="8"/>
            </rPr>
            <t xml:space="preserve">⚠ Gefahrenstelle / ℹ Hinweis beachten
</t>
          </r>
          <r>
            <rPr>
              <rFont val="Arial"/>
              <sz val="9"/>
            </rPr>
            <t>Profi Spezial Grease (Profi Star)</t>
          </r>
        </is>
      </c>
      <c r="E26" s="102" t="inlineStr">
        <is>
          <t>abgeschmiert</t>
        </is>
      </c>
      <c r="F26" s="102" t="n"/>
      <c r="G26" s="68">
        <f>IF(AB26="unvollständig","Bewertung fehlt",INDEX(Kl_Intervall,MATCH(AB26,Kl_Name,0)))</f>
        <v/>
      </c>
      <c r="H26" s="8">
        <f>IF(G26="Bewertung fehlt","",G26)</f>
        <v/>
      </c>
      <c r="I26" s="105" t="n"/>
      <c r="J26" s="106">
        <f>IF(OR(I26="",NOT(ISNUMBER(AK26))),"",IF(AJ26="Tage",I26+AI26,IF(AJ26="Wochen",I26+7*AI26,EDATE(I26,ROUND(AI26*IF(AJ26="Jahre",12,1),0)))))</f>
        <v/>
      </c>
      <c r="K26" s="107">
        <f>IF(J26="","",J26-TODAY())</f>
        <v/>
      </c>
      <c r="L26" s="57">
        <f>IF(H26="","Intervall fehlt",IF(NOT(ISNUMBER(AK26)),"Intervall prüfen",IF(I26="","nicht erfasst",IF(K26&lt;0,"überfällig",IF(K26&lt;=MIN(P_Vorwarn,ROUND(AK26/4,0)),"fällig","in Ordnung")))))</f>
        <v/>
      </c>
      <c r="M26" s="103" t="n"/>
      <c r="N26" s="103" t="n"/>
      <c r="O26" s="108" t="n"/>
      <c r="P26" s="103" t="n"/>
      <c r="Q26" s="108" t="n">
        <v>5</v>
      </c>
      <c r="R26" s="108" t="n">
        <v>5</v>
      </c>
      <c r="S26" s="108" t="n">
        <v>3</v>
      </c>
      <c r="T26" s="108" t="n">
        <v>3</v>
      </c>
      <c r="U26" s="108" t="n">
        <v>2</v>
      </c>
      <c r="V26" s="108" t="n">
        <v>3</v>
      </c>
      <c r="W26" s="108" t="n"/>
      <c r="X26" s="108" t="n"/>
      <c r="Y26" s="109">
        <f>P_SF</f>
        <v/>
      </c>
      <c r="Z26" s="109">
        <f>IF(COUNT(Q26:V26)=6,SQRT(SUMSQ(Q26:V26))/2,"")</f>
        <v/>
      </c>
      <c r="AA26" s="80">
        <f>IF(COUNT(W26:Z26)=4,Z26*W26*X26*Y26,"")</f>
        <v/>
      </c>
      <c r="AB26" s="68">
        <f>IF(AA26="","unvollständig",IF(AA26&gt;P_Grenze_kritisch,"kritisch",IF(AA26&gt;=P_Grenze_hoch,"hoch",IF(AA26&gt;=P_Grenze_mittel,"mittel","gering"))))</f>
        <v/>
      </c>
      <c r="AC26" s="68">
        <f>TRIM(IF(N(T26)&gt;=P_Krit,"AS ","")&amp;IF(N(S26)&gt;=P_Krit,"Q ","")&amp;IF(N(U26)&gt;=P_Krit,"US",""))</f>
        <v/>
      </c>
      <c r="AD26" s="102">
        <f>IF(ISNUMBER(R26),INDEX(IH_Text,R26),"")</f>
        <v/>
      </c>
      <c r="AE26" s="108" t="n"/>
      <c r="AF26" s="68" t="n"/>
      <c r="AG26" s="110" t="inlineStr">
        <is>
          <t>Oberer und unterer Werkzeugträger</t>
        </is>
      </c>
      <c r="AH26" s="110" t="inlineStr">
        <is>
          <t>Maßnahme</t>
        </is>
      </c>
      <c r="AI26" s="68">
        <f>IF(H26="","",IFERROR(INDEX(Iv_Anzahl,MATCH(H26,Iv_Name,0)),IFERROR(VALUE(LEFT(TRIM(SUBSTITUTE(LOWER(H26),"alle ","")),FIND(" ",TRIM(SUBSTITUTE(LOWER(H26),"alle ",""))&amp;" ")-1)),"")))</f>
        <v/>
      </c>
      <c r="AJ26" s="68">
        <f>IF(H26="","",IFERROR(INDEX(Iv_Einheit,MATCH(H26,Iv_Name,0)),IF(ISNUMBER(SEARCH("jahr",H26)),"Jahre",IF(ISNUMBER(SEARCH("monat",H26)),"Monate",IF(ISNUMBER(SEARCH("woche",H26)),"Wochen",IF(ISNUMBER(SEARCH("tag",H26)),"Tage",""))))))</f>
        <v/>
      </c>
      <c r="AK26" s="107">
        <f>IF(AND(ISNUMBER(AI26),AJ26&lt;&gt;""),IF(AI26&gt;0,AI26*IF(AJ26="Tage",1,IF(AJ26="Wochen",7,IF(AJ26="Monate",365/12,365))),""),"")</f>
        <v/>
      </c>
      <c r="AL26" s="111">
        <f>IF(ISNUMBER(AK26),365/AK26,"")</f>
        <v/>
      </c>
      <c r="AM26" s="111">
        <f>IF(AND(ISNUMBER(AL26),ISNUMBER(AE26)),AL26*AE26/60,"")</f>
        <v/>
      </c>
      <c r="AN26" s="102">
        <f>IF(ISNUMBER(AA26),AA26-ROW()/100000,"")</f>
        <v/>
      </c>
      <c r="AO26" s="102">
        <f>IF(OR(L26="überfällig",L26="fällig"),J26+ROW()/100000,"")</f>
        <v/>
      </c>
      <c r="AP26" s="112" t="inlineStr">
        <is>
          <t>4.1.4</t>
        </is>
      </c>
      <c r="AQ26" s="113" t="inlineStr">
        <is>
          <t>Hauptführung Y-Schlitten kontrollieren  !!!                                         Schmierplan Pos. 1-5                                               Führungen abschmiern (6) Hübe/Schmiernippel</t>
        </is>
      </c>
    </row>
    <row r="27" ht="32" customHeight="1">
      <c r="A27" s="101" t="inlineStr">
        <is>
          <t>4.1.5</t>
        </is>
      </c>
      <c r="B27" s="102" t="inlineStr">
        <is>
          <t>Elektromotor kontrollieren (Funktion, Verschmutzung, Laufruhe, Kabel)</t>
        </is>
      </c>
      <c r="C27" s="103" t="inlineStr">
        <is>
          <t>Inspektion</t>
        </is>
      </c>
      <c r="D27" s="102" t="n"/>
      <c r="E27" s="114" t="inlineStr">
        <is>
          <t>Motor sauber, ruhiger Lauf; Kabel unbeschädigt</t>
        </is>
      </c>
      <c r="F27" s="102" t="n"/>
      <c r="G27" s="68">
        <f>IF(AB27="unvollständig","Bewertung fehlt",INDEX(Kl_Intervall,MATCH(AB27,Kl_Name,0)))</f>
        <v/>
      </c>
      <c r="H27" s="8">
        <f>IF(G27="Bewertung fehlt","",G27)</f>
        <v/>
      </c>
      <c r="I27" s="105" t="n"/>
      <c r="J27" s="106">
        <f>IF(OR(I27="",NOT(ISNUMBER(AK27))),"",IF(AJ27="Tage",I27+AI27,IF(AJ27="Wochen",I27+7*AI27,EDATE(I27,ROUND(AI27*IF(AJ27="Jahre",12,1),0)))))</f>
        <v/>
      </c>
      <c r="K27" s="107">
        <f>IF(J27="","",J27-TODAY())</f>
        <v/>
      </c>
      <c r="L27" s="57">
        <f>IF(H27="","Intervall fehlt",IF(NOT(ISNUMBER(AK27)),"Intervall prüfen",IF(I27="","nicht erfasst",IF(K27&lt;0,"überfällig",IF(K27&lt;=MIN(P_Vorwarn,ROUND(AK27/4,0)),"fällig","in Ordnung")))))</f>
        <v/>
      </c>
      <c r="M27" s="103" t="n"/>
      <c r="N27" s="103" t="n"/>
      <c r="O27" s="108" t="n"/>
      <c r="P27" s="103" t="n"/>
      <c r="Q27" s="108" t="n">
        <v>3</v>
      </c>
      <c r="R27" s="108" t="n">
        <v>3</v>
      </c>
      <c r="S27" s="108" t="n">
        <v>2</v>
      </c>
      <c r="T27" s="108" t="n">
        <v>2</v>
      </c>
      <c r="U27" s="108" t="n">
        <v>2</v>
      </c>
      <c r="V27" s="108" t="n">
        <v>3</v>
      </c>
      <c r="W27" s="108" t="n">
        <v>2</v>
      </c>
      <c r="X27" s="108" t="n">
        <v>3</v>
      </c>
      <c r="Y27" s="109">
        <f>P_SF</f>
        <v/>
      </c>
      <c r="Z27" s="109">
        <f>IF(COUNT(Q27:V27)=6,SQRT(SUMSQ(Q27:V27))/2,"")</f>
        <v/>
      </c>
      <c r="AA27" s="80">
        <f>IF(COUNT(W27:Z27)=4,Z27*W27*X27*Y27,"")</f>
        <v/>
      </c>
      <c r="AB27" s="68">
        <f>IF(AA27="","unvollständig",IF(AA27&gt;P_Grenze_kritisch,"kritisch",IF(AA27&gt;=P_Grenze_hoch,"hoch",IF(AA27&gt;=P_Grenze_mittel,"mittel","gering"))))</f>
        <v/>
      </c>
      <c r="AC27" s="68">
        <f>TRIM(IF(N(T27)&gt;=P_Krit,"AS ","")&amp;IF(N(S27)&gt;=P_Krit,"Q ","")&amp;IF(N(U27)&gt;=P_Krit,"US",""))</f>
        <v/>
      </c>
      <c r="AD27" s="102">
        <f>IF(ISNUMBER(R27),INDEX(IH_Text,R27),"")</f>
        <v/>
      </c>
      <c r="AE27" s="108" t="n"/>
      <c r="AF27" s="68" t="n"/>
      <c r="AG27" s="110" t="inlineStr">
        <is>
          <t>Oberer und unterer Werkzeugträger</t>
        </is>
      </c>
      <c r="AH27" s="110" t="inlineStr">
        <is>
          <t>Maßnahme</t>
        </is>
      </c>
      <c r="AI27" s="68">
        <f>IF(H27="","",IFERROR(INDEX(Iv_Anzahl,MATCH(H27,Iv_Name,0)),IFERROR(VALUE(LEFT(TRIM(SUBSTITUTE(LOWER(H27),"alle ","")),FIND(" ",TRIM(SUBSTITUTE(LOWER(H27),"alle ",""))&amp;" ")-1)),"")))</f>
        <v/>
      </c>
      <c r="AJ27" s="68">
        <f>IF(H27="","",IFERROR(INDEX(Iv_Einheit,MATCH(H27,Iv_Name,0)),IF(ISNUMBER(SEARCH("jahr",H27)),"Jahre",IF(ISNUMBER(SEARCH("monat",H27)),"Monate",IF(ISNUMBER(SEARCH("woche",H27)),"Wochen",IF(ISNUMBER(SEARCH("tag",H27)),"Tage",""))))))</f>
        <v/>
      </c>
      <c r="AK27" s="107">
        <f>IF(AND(ISNUMBER(AI27),AJ27&lt;&gt;""),IF(AI27&gt;0,AI27*IF(AJ27="Tage",1,IF(AJ27="Wochen",7,IF(AJ27="Monate",365/12,365))),""),"")</f>
        <v/>
      </c>
      <c r="AL27" s="111">
        <f>IF(ISNUMBER(AK27),365/AK27,"")</f>
        <v/>
      </c>
      <c r="AM27" s="111">
        <f>IF(AND(ISNUMBER(AL27),ISNUMBER(AE27)),AL27*AE27/60,"")</f>
        <v/>
      </c>
      <c r="AN27" s="102">
        <f>IF(ISNUMBER(AA27),AA27-ROW()/100000,"")</f>
        <v/>
      </c>
      <c r="AO27" s="102">
        <f>IF(OR(L27="überfällig",L27="fällig"),J27+ROW()/100000,"")</f>
        <v/>
      </c>
      <c r="AP27" s="112" t="inlineStr">
        <is>
          <t>4.1.5</t>
        </is>
      </c>
      <c r="AQ27" s="113" t="inlineStr">
        <is>
          <t>Kontrolliere Elektromotor (Funktion/Verschmutzung/Laufruhe/Kabeln)</t>
        </is>
      </c>
    </row>
    <row r="28" ht="20" customHeight="1">
      <c r="A28" s="96" t="inlineStr">
        <is>
          <t>5</t>
        </is>
      </c>
      <c r="B28" s="97" t="inlineStr">
        <is>
          <t>Verschlussbalken   (Pos. 5)</t>
        </is>
      </c>
      <c r="C28" s="97" t="n"/>
      <c r="D28" s="97" t="n"/>
      <c r="E28" s="97" t="n"/>
      <c r="F28" s="97" t="n"/>
      <c r="G28" s="97" t="n"/>
      <c r="H28" s="97" t="n"/>
      <c r="I28" s="97" t="n"/>
      <c r="J28" s="97" t="n"/>
      <c r="K28" s="97" t="n"/>
      <c r="L28" s="97" t="n"/>
      <c r="M28" s="97" t="n"/>
      <c r="N28" s="97" t="n"/>
      <c r="O28" s="97" t="n"/>
      <c r="P28" s="97" t="n"/>
      <c r="Q28" s="97" t="n"/>
      <c r="R28" s="97" t="n"/>
      <c r="S28" s="97" t="n"/>
      <c r="T28" s="97" t="n"/>
      <c r="U28" s="97" t="n"/>
      <c r="V28" s="97" t="n"/>
      <c r="W28" s="97" t="n"/>
      <c r="X28" s="97" t="n"/>
      <c r="Y28" s="97" t="n"/>
      <c r="Z28" s="97" t="n"/>
      <c r="AA28" s="97" t="n"/>
      <c r="AB28" s="97" t="n"/>
      <c r="AC28" s="97" t="n"/>
      <c r="AD28" s="97" t="n"/>
      <c r="AE28" s="97" t="n"/>
      <c r="AF28" s="97" t="n"/>
      <c r="AG28" s="98" t="inlineStr">
        <is>
          <t>Verschlussbalken</t>
        </is>
      </c>
      <c r="AH28" s="98" t="inlineStr">
        <is>
          <t>Baugruppe</t>
        </is>
      </c>
      <c r="AI28" s="97" t="n"/>
      <c r="AJ28" s="97" t="n"/>
      <c r="AK28" s="97" t="n"/>
      <c r="AL28" s="97" t="n"/>
      <c r="AM28" s="97" t="n"/>
      <c r="AN28" s="97" t="n"/>
      <c r="AO28" s="97" t="n"/>
      <c r="AP28" s="99" t="inlineStr">
        <is>
          <t>5</t>
        </is>
      </c>
      <c r="AQ28" s="100" t="inlineStr">
        <is>
          <t>5.) Verschlussbalken</t>
        </is>
      </c>
    </row>
    <row r="29" ht="45" customHeight="1">
      <c r="A29" s="101" t="inlineStr">
        <is>
          <t>5.1</t>
        </is>
      </c>
      <c r="B29" s="102" t="inlineStr">
        <is>
          <t>Verschlussbalken abschmieren, 6 Hübe je Schmiernippel</t>
        </is>
      </c>
      <c r="C29" s="103" t="inlineStr">
        <is>
          <t>Schmierung</t>
        </is>
      </c>
      <c r="D29" s="102" t="inlineStr">
        <is>
          <r>
            <rPr>
              <rFont val="Arial"/>
              <b val="1"/>
              <color rgb="00C00000"/>
              <sz val="8"/>
            </rPr>
            <t xml:space="preserve">ℹ Hinweis beachten
</t>
          </r>
          <r>
            <rPr>
              <rFont val="Arial"/>
              <sz val="9"/>
            </rPr>
            <t>Profi Spezial Grease (Profi Star)</t>
          </r>
        </is>
      </c>
      <c r="E29" s="114" t="inlineStr">
        <is>
          <t>Alle Schmierstellen abgeschmiert</t>
        </is>
      </c>
      <c r="F29" s="102" t="n"/>
      <c r="G29" s="68">
        <f>IF(AB29="unvollständig","Bewertung fehlt",INDEX(Kl_Intervall,MATCH(AB29,Kl_Name,0)))</f>
        <v/>
      </c>
      <c r="H29" s="8">
        <f>IF(G29="Bewertung fehlt","",G29)</f>
        <v/>
      </c>
      <c r="I29" s="105" t="n"/>
      <c r="J29" s="106">
        <f>IF(OR(I29="",NOT(ISNUMBER(AK29))),"",IF(AJ29="Tage",I29+AI29,IF(AJ29="Wochen",I29+7*AI29,EDATE(I29,ROUND(AI29*IF(AJ29="Jahre",12,1),0)))))</f>
        <v/>
      </c>
      <c r="K29" s="107">
        <f>IF(J29="","",J29-TODAY())</f>
        <v/>
      </c>
      <c r="L29" s="57">
        <f>IF(H29="","Intervall fehlt",IF(NOT(ISNUMBER(AK29)),"Intervall prüfen",IF(I29="","nicht erfasst",IF(K29&lt;0,"überfällig",IF(K29&lt;=MIN(P_Vorwarn,ROUND(AK29/4,0)),"fällig","in Ordnung")))))</f>
        <v/>
      </c>
      <c r="M29" s="103" t="n"/>
      <c r="N29" s="103" t="n"/>
      <c r="O29" s="108" t="n"/>
      <c r="P29" s="103" t="n"/>
      <c r="Q29" s="108" t="n">
        <v>5</v>
      </c>
      <c r="R29" s="108" t="n">
        <v>5</v>
      </c>
      <c r="S29" s="108" t="n">
        <v>3</v>
      </c>
      <c r="T29" s="108" t="n">
        <v>3</v>
      </c>
      <c r="U29" s="108" t="n">
        <v>2</v>
      </c>
      <c r="V29" s="108" t="n">
        <v>3</v>
      </c>
      <c r="W29" s="108" t="n">
        <v>4</v>
      </c>
      <c r="X29" s="108" t="n">
        <v>4</v>
      </c>
      <c r="Y29" s="109">
        <f>P_SF</f>
        <v/>
      </c>
      <c r="Z29" s="109">
        <f>IF(COUNT(Q29:V29)=6,SQRT(SUMSQ(Q29:V29))/2,"")</f>
        <v/>
      </c>
      <c r="AA29" s="80">
        <f>IF(COUNT(W29:Z29)=4,Z29*W29*X29*Y29,"")</f>
        <v/>
      </c>
      <c r="AB29" s="68">
        <f>IF(AA29="","unvollständig",IF(AA29&gt;P_Grenze_kritisch,"kritisch",IF(AA29&gt;=P_Grenze_hoch,"hoch",IF(AA29&gt;=P_Grenze_mittel,"mittel","gering"))))</f>
        <v/>
      </c>
      <c r="AC29" s="68">
        <f>TRIM(IF(N(T29)&gt;=P_Krit,"AS ","")&amp;IF(N(S29)&gt;=P_Krit,"Q ","")&amp;IF(N(U29)&gt;=P_Krit,"US",""))</f>
        <v/>
      </c>
      <c r="AD29" s="102">
        <f>IF(ISNUMBER(R29),INDEX(IH_Text,R29),"")</f>
        <v/>
      </c>
      <c r="AE29" s="108" t="n"/>
      <c r="AF29" s="68" t="n"/>
      <c r="AG29" s="110" t="inlineStr">
        <is>
          <t>Verschlussbalken</t>
        </is>
      </c>
      <c r="AH29" s="110" t="inlineStr">
        <is>
          <t>Maßnahme</t>
        </is>
      </c>
      <c r="AI29" s="68">
        <f>IF(H29="","",IFERROR(INDEX(Iv_Anzahl,MATCH(H29,Iv_Name,0)),IFERROR(VALUE(LEFT(TRIM(SUBSTITUTE(LOWER(H29),"alle ","")),FIND(" ",TRIM(SUBSTITUTE(LOWER(H29),"alle ",""))&amp;" ")-1)),"")))</f>
        <v/>
      </c>
      <c r="AJ29" s="68">
        <f>IF(H29="","",IFERROR(INDEX(Iv_Einheit,MATCH(H29,Iv_Name,0)),IF(ISNUMBER(SEARCH("jahr",H29)),"Jahre",IF(ISNUMBER(SEARCH("monat",H29)),"Monate",IF(ISNUMBER(SEARCH("woche",H29)),"Wochen",IF(ISNUMBER(SEARCH("tag",H29)),"Tage",""))))))</f>
        <v/>
      </c>
      <c r="AK29" s="107">
        <f>IF(AND(ISNUMBER(AI29),AJ29&lt;&gt;""),IF(AI29&gt;0,AI29*IF(AJ29="Tage",1,IF(AJ29="Wochen",7,IF(AJ29="Monate",365/12,365))),""),"")</f>
        <v/>
      </c>
      <c r="AL29" s="111">
        <f>IF(ISNUMBER(AK29),365/AK29,"")</f>
        <v/>
      </c>
      <c r="AM29" s="111">
        <f>IF(AND(ISNUMBER(AL29),ISNUMBER(AE29)),AL29*AE29/60,"")</f>
        <v/>
      </c>
      <c r="AN29" s="102">
        <f>IF(ISNUMBER(AA29),AA29-ROW()/100000,"")</f>
        <v/>
      </c>
      <c r="AO29" s="102">
        <f>IF(OR(L29="überfällig",L29="fällig"),J29+ROW()/100000,"")</f>
        <v/>
      </c>
      <c r="AP29" s="112" t="inlineStr">
        <is>
          <t>5.1.2</t>
        </is>
      </c>
      <c r="AQ29" s="113" t="inlineStr">
        <is>
          <t>Verschlußbalcken abschmieren (6) Hübe/Schmiernippel</t>
        </is>
      </c>
    </row>
    <row r="30" ht="18" customHeight="1">
      <c r="A30" s="115" t="inlineStr">
        <is>
          <t>5.2</t>
        </is>
      </c>
      <c r="B30" s="116" t="inlineStr">
        <is>
          <t>Alle Hydraulikzylinder nach folgenden Kriterien inspizieren:</t>
        </is>
      </c>
      <c r="C30" s="116" t="n"/>
      <c r="D30" s="116" t="n"/>
      <c r="E30" s="116" t="n"/>
      <c r="F30" s="116" t="n"/>
      <c r="G30" s="116" t="n"/>
      <c r="H30" s="116" t="n"/>
      <c r="I30" s="116" t="n"/>
      <c r="J30" s="116" t="n"/>
      <c r="K30" s="116" t="n"/>
      <c r="L30" s="116" t="n"/>
      <c r="M30" s="116" t="n"/>
      <c r="N30" s="116" t="n"/>
      <c r="O30" s="116" t="n"/>
      <c r="P30" s="116" t="n"/>
      <c r="Q30" s="116" t="n"/>
      <c r="R30" s="116" t="n"/>
      <c r="S30" s="116" t="n"/>
      <c r="T30" s="116" t="n"/>
      <c r="U30" s="116" t="n"/>
      <c r="V30" s="116" t="n"/>
      <c r="W30" s="116" t="n"/>
      <c r="X30" s="116" t="n"/>
      <c r="Y30" s="116" t="n"/>
      <c r="Z30" s="116" t="n"/>
      <c r="AA30" s="116" t="n"/>
      <c r="AB30" s="116" t="n"/>
      <c r="AC30" s="116" t="n"/>
      <c r="AD30" s="116" t="n"/>
      <c r="AE30" s="116" t="n"/>
      <c r="AF30" s="116" t="n"/>
      <c r="AG30" s="117" t="inlineStr">
        <is>
          <t>Verschlussbalken</t>
        </is>
      </c>
      <c r="AH30" s="117" t="inlineStr">
        <is>
          <t>Prüfgruppe</t>
        </is>
      </c>
      <c r="AI30" s="116" t="n"/>
      <c r="AJ30" s="116" t="n"/>
      <c r="AK30" s="116" t="n"/>
      <c r="AL30" s="116" t="n"/>
      <c r="AM30" s="116" t="n"/>
      <c r="AN30" s="116" t="n"/>
      <c r="AO30" s="116" t="n"/>
      <c r="AP30" s="118" t="inlineStr">
        <is>
          <t>5.1.1</t>
        </is>
      </c>
      <c r="AQ30" s="119" t="inlineStr">
        <is>
          <t>Inspiziere alle Hydraulikzylinder nach folgenden Kriterien:</t>
        </is>
      </c>
    </row>
    <row r="31" ht="32" customHeight="1">
      <c r="A31" s="101" t="inlineStr">
        <is>
          <t>5.2.1</t>
        </is>
      </c>
      <c r="B31" s="102" t="inlineStr">
        <is>
          <t>Kolbenspiel kontrollieren</t>
        </is>
      </c>
      <c r="C31" s="103" t="inlineStr">
        <is>
          <t>Inspektion</t>
        </is>
      </c>
      <c r="D31" s="102" t="n"/>
      <c r="E31" s="114" t="inlineStr">
        <is>
          <t>Kein unzulässiges Kolbenspiel</t>
        </is>
      </c>
      <c r="F31" s="102" t="n"/>
      <c r="G31" s="68">
        <f>IF(AB31="unvollständig","Bewertung fehlt",INDEX(Kl_Intervall,MATCH(AB31,Kl_Name,0)))</f>
        <v/>
      </c>
      <c r="H31" s="8">
        <f>IF(G31="Bewertung fehlt","",G31)</f>
        <v/>
      </c>
      <c r="I31" s="105" t="n"/>
      <c r="J31" s="106">
        <f>IF(OR(I31="",NOT(ISNUMBER(AK31))),"",IF(AJ31="Tage",I31+AI31,IF(AJ31="Wochen",I31+7*AI31,EDATE(I31,ROUND(AI31*IF(AJ31="Jahre",12,1),0)))))</f>
        <v/>
      </c>
      <c r="K31" s="107">
        <f>IF(J31="","",J31-TODAY())</f>
        <v/>
      </c>
      <c r="L31" s="57">
        <f>IF(H31="","Intervall fehlt",IF(NOT(ISNUMBER(AK31)),"Intervall prüfen",IF(I31="","nicht erfasst",IF(K31&lt;0,"überfällig",IF(K31&lt;=MIN(P_Vorwarn,ROUND(AK31/4,0)),"fällig","in Ordnung")))))</f>
        <v/>
      </c>
      <c r="M31" s="103" t="n"/>
      <c r="N31" s="103" t="n"/>
      <c r="O31" s="108" t="n"/>
      <c r="P31" s="103" t="n"/>
      <c r="Q31" s="108" t="n">
        <v>3</v>
      </c>
      <c r="R31" s="108" t="n">
        <v>4</v>
      </c>
      <c r="S31" s="108" t="n">
        <v>2</v>
      </c>
      <c r="T31" s="108" t="n">
        <v>2</v>
      </c>
      <c r="U31" s="108" t="n">
        <v>3</v>
      </c>
      <c r="V31" s="108" t="n">
        <v>3</v>
      </c>
      <c r="W31" s="108" t="n">
        <v>3</v>
      </c>
      <c r="X31" s="108" t="n">
        <v>5</v>
      </c>
      <c r="Y31" s="109">
        <f>P_SF</f>
        <v/>
      </c>
      <c r="Z31" s="109">
        <f>IF(COUNT(Q31:V31)=6,SQRT(SUMSQ(Q31:V31))/2,"")</f>
        <v/>
      </c>
      <c r="AA31" s="80">
        <f>IF(COUNT(W31:Z31)=4,Z31*W31*X31*Y31,"")</f>
        <v/>
      </c>
      <c r="AB31" s="68">
        <f>IF(AA31="","unvollständig",IF(AA31&gt;P_Grenze_kritisch,"kritisch",IF(AA31&gt;=P_Grenze_hoch,"hoch",IF(AA31&gt;=P_Grenze_mittel,"mittel","gering"))))</f>
        <v/>
      </c>
      <c r="AC31" s="68">
        <f>TRIM(IF(N(T31)&gt;=P_Krit,"AS ","")&amp;IF(N(S31)&gt;=P_Krit,"Q ","")&amp;IF(N(U31)&gt;=P_Krit,"US",""))</f>
        <v/>
      </c>
      <c r="AD31" s="102">
        <f>IF(ISNUMBER(R31),INDEX(IH_Text,R31),"")</f>
        <v/>
      </c>
      <c r="AE31" s="108" t="n"/>
      <c r="AF31" s="68" t="n"/>
      <c r="AG31" s="110" t="inlineStr">
        <is>
          <t>Verschlussbalken</t>
        </is>
      </c>
      <c r="AH31" s="110" t="inlineStr">
        <is>
          <t>Maßnahme</t>
        </is>
      </c>
      <c r="AI31" s="68">
        <f>IF(H31="","",IFERROR(INDEX(Iv_Anzahl,MATCH(H31,Iv_Name,0)),IFERROR(VALUE(LEFT(TRIM(SUBSTITUTE(LOWER(H31),"alle ","")),FIND(" ",TRIM(SUBSTITUTE(LOWER(H31),"alle ",""))&amp;" ")-1)),"")))</f>
        <v/>
      </c>
      <c r="AJ31" s="68">
        <f>IF(H31="","",IFERROR(INDEX(Iv_Einheit,MATCH(H31,Iv_Name,0)),IF(ISNUMBER(SEARCH("jahr",H31)),"Jahre",IF(ISNUMBER(SEARCH("monat",H31)),"Monate",IF(ISNUMBER(SEARCH("woche",H31)),"Wochen",IF(ISNUMBER(SEARCH("tag",H31)),"Tage",""))))))</f>
        <v/>
      </c>
      <c r="AK31" s="107">
        <f>IF(AND(ISNUMBER(AI31),AJ31&lt;&gt;""),IF(AI31&gt;0,AI31*IF(AJ31="Tage",1,IF(AJ31="Wochen",7,IF(AJ31="Monate",365/12,365))),""),"")</f>
        <v/>
      </c>
      <c r="AL31" s="111">
        <f>IF(ISNUMBER(AK31),365/AK31,"")</f>
        <v/>
      </c>
      <c r="AM31" s="111">
        <f>IF(AND(ISNUMBER(AL31),ISNUMBER(AE31)),AL31*AE31/60,"")</f>
        <v/>
      </c>
      <c r="AN31" s="102">
        <f>IF(ISNUMBER(AA31),AA31-ROW()/100000,"")</f>
        <v/>
      </c>
      <c r="AO31" s="102">
        <f>IF(OR(L31="überfällig",L31="fällig"),J31+ROW()/100000,"")</f>
        <v/>
      </c>
      <c r="AP31" s="112" t="inlineStr">
        <is>
          <t>5.1.3</t>
        </is>
      </c>
      <c r="AQ31" s="113" t="inlineStr">
        <is>
          <t>kontrolliere Kolbenspiel</t>
        </is>
      </c>
    </row>
    <row r="32" ht="32" customHeight="1">
      <c r="A32" s="101" t="inlineStr">
        <is>
          <t>5.2.2</t>
        </is>
      </c>
      <c r="B32" s="102" t="inlineStr">
        <is>
          <t>Dichtungen kontrollieren (Sichtkontrolle auf Öl-Leckage)</t>
        </is>
      </c>
      <c r="C32" s="103" t="inlineStr">
        <is>
          <t>Inspektion</t>
        </is>
      </c>
      <c r="D32" s="102" t="n"/>
      <c r="E32" s="114" t="inlineStr">
        <is>
          <t>Keine Öl-Leckage</t>
        </is>
      </c>
      <c r="F32" s="102" t="n"/>
      <c r="G32" s="68">
        <f>IF(AB32="unvollständig","Bewertung fehlt",INDEX(Kl_Intervall,MATCH(AB32,Kl_Name,0)))</f>
        <v/>
      </c>
      <c r="H32" s="8">
        <f>IF(G32="Bewertung fehlt","",G32)</f>
        <v/>
      </c>
      <c r="I32" s="105" t="n"/>
      <c r="J32" s="106">
        <f>IF(OR(I32="",NOT(ISNUMBER(AK32))),"",IF(AJ32="Tage",I32+AI32,IF(AJ32="Wochen",I32+7*AI32,EDATE(I32,ROUND(AI32*IF(AJ32="Jahre",12,1),0)))))</f>
        <v/>
      </c>
      <c r="K32" s="107">
        <f>IF(J32="","",J32-TODAY())</f>
        <v/>
      </c>
      <c r="L32" s="57">
        <f>IF(H32="","Intervall fehlt",IF(NOT(ISNUMBER(AK32)),"Intervall prüfen",IF(I32="","nicht erfasst",IF(K32&lt;0,"überfällig",IF(K32&lt;=MIN(P_Vorwarn,ROUND(AK32/4,0)),"fällig","in Ordnung")))))</f>
        <v/>
      </c>
      <c r="M32" s="103" t="n"/>
      <c r="N32" s="103" t="n"/>
      <c r="O32" s="108" t="n"/>
      <c r="P32" s="103" t="n"/>
      <c r="Q32" s="108" t="n">
        <v>3</v>
      </c>
      <c r="R32" s="108" t="n">
        <v>4</v>
      </c>
      <c r="S32" s="108" t="n">
        <v>2</v>
      </c>
      <c r="T32" s="108" t="n">
        <v>3</v>
      </c>
      <c r="U32" s="108" t="n">
        <v>5</v>
      </c>
      <c r="V32" s="108" t="n">
        <v>3</v>
      </c>
      <c r="W32" s="108" t="n">
        <v>3</v>
      </c>
      <c r="X32" s="108" t="n">
        <v>4</v>
      </c>
      <c r="Y32" s="109">
        <f>P_SF</f>
        <v/>
      </c>
      <c r="Z32" s="109">
        <f>IF(COUNT(Q32:V32)=6,SQRT(SUMSQ(Q32:V32))/2,"")</f>
        <v/>
      </c>
      <c r="AA32" s="80">
        <f>IF(COUNT(W32:Z32)=4,Z32*W32*X32*Y32,"")</f>
        <v/>
      </c>
      <c r="AB32" s="68">
        <f>IF(AA32="","unvollständig",IF(AA32&gt;P_Grenze_kritisch,"kritisch",IF(AA32&gt;=P_Grenze_hoch,"hoch",IF(AA32&gt;=P_Grenze_mittel,"mittel","gering"))))</f>
        <v/>
      </c>
      <c r="AC32" s="68">
        <f>TRIM(IF(N(T32)&gt;=P_Krit,"AS ","")&amp;IF(N(S32)&gt;=P_Krit,"Q ","")&amp;IF(N(U32)&gt;=P_Krit,"US",""))</f>
        <v/>
      </c>
      <c r="AD32" s="102">
        <f>IF(ISNUMBER(R32),INDEX(IH_Text,R32),"")</f>
        <v/>
      </c>
      <c r="AE32" s="108" t="n"/>
      <c r="AF32" s="68" t="n"/>
      <c r="AG32" s="110" t="inlineStr">
        <is>
          <t>Verschlussbalken</t>
        </is>
      </c>
      <c r="AH32" s="110" t="inlineStr">
        <is>
          <t>Maßnahme</t>
        </is>
      </c>
      <c r="AI32" s="68">
        <f>IF(H32="","",IFERROR(INDEX(Iv_Anzahl,MATCH(H32,Iv_Name,0)),IFERROR(VALUE(LEFT(TRIM(SUBSTITUTE(LOWER(H32),"alle ","")),FIND(" ",TRIM(SUBSTITUTE(LOWER(H32),"alle ",""))&amp;" ")-1)),"")))</f>
        <v/>
      </c>
      <c r="AJ32" s="68">
        <f>IF(H32="","",IFERROR(INDEX(Iv_Einheit,MATCH(H32,Iv_Name,0)),IF(ISNUMBER(SEARCH("jahr",H32)),"Jahre",IF(ISNUMBER(SEARCH("monat",H32)),"Monate",IF(ISNUMBER(SEARCH("woche",H32)),"Wochen",IF(ISNUMBER(SEARCH("tag",H32)),"Tage",""))))))</f>
        <v/>
      </c>
      <c r="AK32" s="107">
        <f>IF(AND(ISNUMBER(AI32),AJ32&lt;&gt;""),IF(AI32&gt;0,AI32*IF(AJ32="Tage",1,IF(AJ32="Wochen",7,IF(AJ32="Monate",365/12,365))),""),"")</f>
        <v/>
      </c>
      <c r="AL32" s="111">
        <f>IF(ISNUMBER(AK32),365/AK32,"")</f>
        <v/>
      </c>
      <c r="AM32" s="111">
        <f>IF(AND(ISNUMBER(AL32),ISNUMBER(AE32)),AL32*AE32/60,"")</f>
        <v/>
      </c>
      <c r="AN32" s="102">
        <f>IF(ISNUMBER(AA32),AA32-ROW()/100000,"")</f>
        <v/>
      </c>
      <c r="AO32" s="102">
        <f>IF(OR(L32="überfällig",L32="fällig"),J32+ROW()/100000,"")</f>
        <v/>
      </c>
      <c r="AP32" s="112" t="inlineStr">
        <is>
          <t>5.1.4</t>
        </is>
      </c>
      <c r="AQ32" s="113" t="inlineStr">
        <is>
          <t>kontrolliere Dichtungen (Sichtkontrolle auf Öl-Leckage )</t>
        </is>
      </c>
    </row>
    <row r="33" ht="32" customHeight="1">
      <c r="A33" s="101" t="inlineStr">
        <is>
          <t>5.2.3</t>
        </is>
      </c>
      <c r="B33" s="102" t="inlineStr">
        <is>
          <t>Anschlüsse auf Dichtheit und Beschädigungen prüfen</t>
        </is>
      </c>
      <c r="C33" s="103" t="inlineStr">
        <is>
          <t>Inspektion</t>
        </is>
      </c>
      <c r="D33" s="102" t="n"/>
      <c r="E33" s="114" t="inlineStr">
        <is>
          <t>Dicht, unbeschädigt</t>
        </is>
      </c>
      <c r="F33" s="102" t="n"/>
      <c r="G33" s="68">
        <f>IF(AB33="unvollständig","Bewertung fehlt",INDEX(Kl_Intervall,MATCH(AB33,Kl_Name,0)))</f>
        <v/>
      </c>
      <c r="H33" s="8">
        <f>IF(G33="Bewertung fehlt","",G33)</f>
        <v/>
      </c>
      <c r="I33" s="105" t="n"/>
      <c r="J33" s="106">
        <f>IF(OR(I33="",NOT(ISNUMBER(AK33))),"",IF(AJ33="Tage",I33+AI33,IF(AJ33="Wochen",I33+7*AI33,EDATE(I33,ROUND(AI33*IF(AJ33="Jahre",12,1),0)))))</f>
        <v/>
      </c>
      <c r="K33" s="107">
        <f>IF(J33="","",J33-TODAY())</f>
        <v/>
      </c>
      <c r="L33" s="57">
        <f>IF(H33="","Intervall fehlt",IF(NOT(ISNUMBER(AK33)),"Intervall prüfen",IF(I33="","nicht erfasst",IF(K33&lt;0,"überfällig",IF(K33&lt;=MIN(P_Vorwarn,ROUND(AK33/4,0)),"fällig","in Ordnung")))))</f>
        <v/>
      </c>
      <c r="M33" s="103" t="n"/>
      <c r="N33" s="103" t="n"/>
      <c r="O33" s="108" t="n"/>
      <c r="P33" s="103" t="n"/>
      <c r="Q33" s="108" t="n">
        <v>3</v>
      </c>
      <c r="R33" s="108" t="n">
        <v>3</v>
      </c>
      <c r="S33" s="108" t="n">
        <v>2</v>
      </c>
      <c r="T33" s="108" t="n">
        <v>3</v>
      </c>
      <c r="U33" s="108" t="n">
        <v>5</v>
      </c>
      <c r="V33" s="108" t="n">
        <v>3</v>
      </c>
      <c r="W33" s="108" t="n">
        <v>1</v>
      </c>
      <c r="X33" s="108" t="n">
        <v>5</v>
      </c>
      <c r="Y33" s="109">
        <f>P_SF</f>
        <v/>
      </c>
      <c r="Z33" s="109">
        <f>IF(COUNT(Q33:V33)=6,SQRT(SUMSQ(Q33:V33))/2,"")</f>
        <v/>
      </c>
      <c r="AA33" s="80">
        <f>IF(COUNT(W33:Z33)=4,Z33*W33*X33*Y33,"")</f>
        <v/>
      </c>
      <c r="AB33" s="68">
        <f>IF(AA33="","unvollständig",IF(AA33&gt;P_Grenze_kritisch,"kritisch",IF(AA33&gt;=P_Grenze_hoch,"hoch",IF(AA33&gt;=P_Grenze_mittel,"mittel","gering"))))</f>
        <v/>
      </c>
      <c r="AC33" s="68">
        <f>TRIM(IF(N(T33)&gt;=P_Krit,"AS ","")&amp;IF(N(S33)&gt;=P_Krit,"Q ","")&amp;IF(N(U33)&gt;=P_Krit,"US",""))</f>
        <v/>
      </c>
      <c r="AD33" s="102">
        <f>IF(ISNUMBER(R33),INDEX(IH_Text,R33),"")</f>
        <v/>
      </c>
      <c r="AE33" s="108" t="n"/>
      <c r="AF33" s="68" t="n"/>
      <c r="AG33" s="110" t="inlineStr">
        <is>
          <t>Verschlussbalken</t>
        </is>
      </c>
      <c r="AH33" s="110" t="inlineStr">
        <is>
          <t>Maßnahme</t>
        </is>
      </c>
      <c r="AI33" s="68">
        <f>IF(H33="","",IFERROR(INDEX(Iv_Anzahl,MATCH(H33,Iv_Name,0)),IFERROR(VALUE(LEFT(TRIM(SUBSTITUTE(LOWER(H33),"alle ","")),FIND(" ",TRIM(SUBSTITUTE(LOWER(H33),"alle ",""))&amp;" ")-1)),"")))</f>
        <v/>
      </c>
      <c r="AJ33" s="68">
        <f>IF(H33="","",IFERROR(INDEX(Iv_Einheit,MATCH(H33,Iv_Name,0)),IF(ISNUMBER(SEARCH("jahr",H33)),"Jahre",IF(ISNUMBER(SEARCH("monat",H33)),"Monate",IF(ISNUMBER(SEARCH("woche",H33)),"Wochen",IF(ISNUMBER(SEARCH("tag",H33)),"Tage",""))))))</f>
        <v/>
      </c>
      <c r="AK33" s="107">
        <f>IF(AND(ISNUMBER(AI33),AJ33&lt;&gt;""),IF(AI33&gt;0,AI33*IF(AJ33="Tage",1,IF(AJ33="Wochen",7,IF(AJ33="Monate",365/12,365))),""),"")</f>
        <v/>
      </c>
      <c r="AL33" s="111">
        <f>IF(ISNUMBER(AK33),365/AK33,"")</f>
        <v/>
      </c>
      <c r="AM33" s="111">
        <f>IF(AND(ISNUMBER(AL33),ISNUMBER(AE33)),AL33*AE33/60,"")</f>
        <v/>
      </c>
      <c r="AN33" s="102">
        <f>IF(ISNUMBER(AA33),AA33-ROW()/100000,"")</f>
        <v/>
      </c>
      <c r="AO33" s="102">
        <f>IF(OR(L33="überfällig",L33="fällig"),J33+ROW()/100000,"")</f>
        <v/>
      </c>
      <c r="AP33" s="112" t="inlineStr">
        <is>
          <t>5.1.5</t>
        </is>
      </c>
      <c r="AQ33" s="113" t="inlineStr">
        <is>
          <t>Anschlüsse auf Dichtheit und Beschädigungen prüfen</t>
        </is>
      </c>
    </row>
    <row r="34" ht="32" customHeight="1">
      <c r="A34" s="101" t="inlineStr">
        <is>
          <t>5.2.4</t>
        </is>
      </c>
      <c r="B34" s="102" t="inlineStr">
        <is>
          <t>Befestigung des Zylinders prüfen (wenn möglich)</t>
        </is>
      </c>
      <c r="C34" s="103" t="inlineStr">
        <is>
          <t>Inspektion</t>
        </is>
      </c>
      <c r="D34" s="102" t="n"/>
      <c r="E34" s="114" t="inlineStr">
        <is>
          <t>Fest, kein Spiel</t>
        </is>
      </c>
      <c r="F34" s="102" t="n"/>
      <c r="G34" s="68">
        <f>IF(AB34="unvollständig","Bewertung fehlt",INDEX(Kl_Intervall,MATCH(AB34,Kl_Name,0)))</f>
        <v/>
      </c>
      <c r="H34" s="8">
        <f>IF(G34="Bewertung fehlt","",G34)</f>
        <v/>
      </c>
      <c r="I34" s="105" t="n"/>
      <c r="J34" s="106">
        <f>IF(OR(I34="",NOT(ISNUMBER(AK34))),"",IF(AJ34="Tage",I34+AI34,IF(AJ34="Wochen",I34+7*AI34,EDATE(I34,ROUND(AI34*IF(AJ34="Jahre",12,1),0)))))</f>
        <v/>
      </c>
      <c r="K34" s="107">
        <f>IF(J34="","",J34-TODAY())</f>
        <v/>
      </c>
      <c r="L34" s="57">
        <f>IF(H34="","Intervall fehlt",IF(NOT(ISNUMBER(AK34)),"Intervall prüfen",IF(I34="","nicht erfasst",IF(K34&lt;0,"überfällig",IF(K34&lt;=MIN(P_Vorwarn,ROUND(AK34/4,0)),"fällig","in Ordnung")))))</f>
        <v/>
      </c>
      <c r="M34" s="103" t="n"/>
      <c r="N34" s="103" t="n"/>
      <c r="O34" s="108" t="n"/>
      <c r="P34" s="103" t="n"/>
      <c r="Q34" s="108" t="n">
        <v>3</v>
      </c>
      <c r="R34" s="108" t="n">
        <v>3</v>
      </c>
      <c r="S34" s="108" t="n">
        <v>2</v>
      </c>
      <c r="T34" s="108" t="n">
        <v>2</v>
      </c>
      <c r="U34" s="108" t="n">
        <v>3</v>
      </c>
      <c r="V34" s="108" t="n">
        <v>3</v>
      </c>
      <c r="W34" s="108" t="n">
        <v>2</v>
      </c>
      <c r="X34" s="108" t="n">
        <v>4</v>
      </c>
      <c r="Y34" s="109">
        <f>P_SF</f>
        <v/>
      </c>
      <c r="Z34" s="109">
        <f>IF(COUNT(Q34:V34)=6,SQRT(SUMSQ(Q34:V34))/2,"")</f>
        <v/>
      </c>
      <c r="AA34" s="80">
        <f>IF(COUNT(W34:Z34)=4,Z34*W34*X34*Y34,"")</f>
        <v/>
      </c>
      <c r="AB34" s="68">
        <f>IF(AA34="","unvollständig",IF(AA34&gt;P_Grenze_kritisch,"kritisch",IF(AA34&gt;=P_Grenze_hoch,"hoch",IF(AA34&gt;=P_Grenze_mittel,"mittel","gering"))))</f>
        <v/>
      </c>
      <c r="AC34" s="68">
        <f>TRIM(IF(N(T34)&gt;=P_Krit,"AS ","")&amp;IF(N(S34)&gt;=P_Krit,"Q ","")&amp;IF(N(U34)&gt;=P_Krit,"US",""))</f>
        <v/>
      </c>
      <c r="AD34" s="102">
        <f>IF(ISNUMBER(R34),INDEX(IH_Text,R34),"")</f>
        <v/>
      </c>
      <c r="AE34" s="108" t="n"/>
      <c r="AF34" s="68" t="n"/>
      <c r="AG34" s="110" t="inlineStr">
        <is>
          <t>Verschlussbalken</t>
        </is>
      </c>
      <c r="AH34" s="110" t="inlineStr">
        <is>
          <t>Maßnahme</t>
        </is>
      </c>
      <c r="AI34" s="68">
        <f>IF(H34="","",IFERROR(INDEX(Iv_Anzahl,MATCH(H34,Iv_Name,0)),IFERROR(VALUE(LEFT(TRIM(SUBSTITUTE(LOWER(H34),"alle ","")),FIND(" ",TRIM(SUBSTITUTE(LOWER(H34),"alle ",""))&amp;" ")-1)),"")))</f>
        <v/>
      </c>
      <c r="AJ34" s="68">
        <f>IF(H34="","",IFERROR(INDEX(Iv_Einheit,MATCH(H34,Iv_Name,0)),IF(ISNUMBER(SEARCH("jahr",H34)),"Jahre",IF(ISNUMBER(SEARCH("monat",H34)),"Monate",IF(ISNUMBER(SEARCH("woche",H34)),"Wochen",IF(ISNUMBER(SEARCH("tag",H34)),"Tage",""))))))</f>
        <v/>
      </c>
      <c r="AK34" s="107">
        <f>IF(AND(ISNUMBER(AI34),AJ34&lt;&gt;""),IF(AI34&gt;0,AI34*IF(AJ34="Tage",1,IF(AJ34="Wochen",7,IF(AJ34="Monate",365/12,365))),""),"")</f>
        <v/>
      </c>
      <c r="AL34" s="111">
        <f>IF(ISNUMBER(AK34),365/AK34,"")</f>
        <v/>
      </c>
      <c r="AM34" s="111">
        <f>IF(AND(ISNUMBER(AL34),ISNUMBER(AE34)),AL34*AE34/60,"")</f>
        <v/>
      </c>
      <c r="AN34" s="102">
        <f>IF(ISNUMBER(AA34),AA34-ROW()/100000,"")</f>
        <v/>
      </c>
      <c r="AO34" s="102">
        <f>IF(OR(L34="überfällig",L34="fällig"),J34+ROW()/100000,"")</f>
        <v/>
      </c>
      <c r="AP34" s="112" t="inlineStr">
        <is>
          <t>5.1.6</t>
        </is>
      </c>
      <c r="AQ34" s="113" t="inlineStr">
        <is>
          <t>überprüfe die Befestigung des Zylinders (wenn möglich)</t>
        </is>
      </c>
    </row>
    <row r="35" ht="32" customHeight="1">
      <c r="A35" s="101" t="inlineStr">
        <is>
          <t>5.2.5</t>
        </is>
      </c>
      <c r="B35" s="102" t="inlineStr">
        <is>
          <t>Funktion des Zylinders testen</t>
        </is>
      </c>
      <c r="C35" s="103" t="inlineStr">
        <is>
          <t>Funktionsprüfung</t>
        </is>
      </c>
      <c r="D35" s="102" t="n"/>
      <c r="E35" s="114" t="inlineStr">
        <is>
          <t>Gleichmäßige Bewegung über den gesamten Hub</t>
        </is>
      </c>
      <c r="F35" s="102" t="n"/>
      <c r="G35" s="68">
        <f>IF(AB35="unvollständig","Bewertung fehlt",INDEX(Kl_Intervall,MATCH(AB35,Kl_Name,0)))</f>
        <v/>
      </c>
      <c r="H35" s="8">
        <f>IF(G35="Bewertung fehlt","",G35)</f>
        <v/>
      </c>
      <c r="I35" s="105" t="n"/>
      <c r="J35" s="106">
        <f>IF(OR(I35="",NOT(ISNUMBER(AK35))),"",IF(AJ35="Tage",I35+AI35,IF(AJ35="Wochen",I35+7*AI35,EDATE(I35,ROUND(AI35*IF(AJ35="Jahre",12,1),0)))))</f>
        <v/>
      </c>
      <c r="K35" s="107">
        <f>IF(J35="","",J35-TODAY())</f>
        <v/>
      </c>
      <c r="L35" s="57">
        <f>IF(H35="","Intervall fehlt",IF(NOT(ISNUMBER(AK35)),"Intervall prüfen",IF(I35="","nicht erfasst",IF(K35&lt;0,"überfällig",IF(K35&lt;=MIN(P_Vorwarn,ROUND(AK35/4,0)),"fällig","in Ordnung")))))</f>
        <v/>
      </c>
      <c r="M35" s="103" t="n"/>
      <c r="N35" s="103" t="n"/>
      <c r="O35" s="108" t="n"/>
      <c r="P35" s="103" t="n"/>
      <c r="Q35" s="108" t="n">
        <v>3</v>
      </c>
      <c r="R35" s="108" t="n">
        <v>3</v>
      </c>
      <c r="S35" s="108" t="n">
        <v>2</v>
      </c>
      <c r="T35" s="108" t="n">
        <v>1</v>
      </c>
      <c r="U35" s="108" t="n">
        <v>1</v>
      </c>
      <c r="V35" s="108" t="n">
        <v>3</v>
      </c>
      <c r="W35" s="108" t="n">
        <v>2</v>
      </c>
      <c r="X35" s="108" t="n">
        <v>4</v>
      </c>
      <c r="Y35" s="109">
        <f>P_SF</f>
        <v/>
      </c>
      <c r="Z35" s="109">
        <f>IF(COUNT(Q35:V35)=6,SQRT(SUMSQ(Q35:V35))/2,"")</f>
        <v/>
      </c>
      <c r="AA35" s="80">
        <f>IF(COUNT(W35:Z35)=4,Z35*W35*X35*Y35,"")</f>
        <v/>
      </c>
      <c r="AB35" s="68">
        <f>IF(AA35="","unvollständig",IF(AA35&gt;P_Grenze_kritisch,"kritisch",IF(AA35&gt;=P_Grenze_hoch,"hoch",IF(AA35&gt;=P_Grenze_mittel,"mittel","gering"))))</f>
        <v/>
      </c>
      <c r="AC35" s="68">
        <f>TRIM(IF(N(T35)&gt;=P_Krit,"AS ","")&amp;IF(N(S35)&gt;=P_Krit,"Q ","")&amp;IF(N(U35)&gt;=P_Krit,"US",""))</f>
        <v/>
      </c>
      <c r="AD35" s="102">
        <f>IF(ISNUMBER(R35),INDEX(IH_Text,R35),"")</f>
        <v/>
      </c>
      <c r="AE35" s="108" t="n"/>
      <c r="AF35" s="68" t="n"/>
      <c r="AG35" s="110" t="inlineStr">
        <is>
          <t>Verschlussbalken</t>
        </is>
      </c>
      <c r="AH35" s="110" t="inlineStr">
        <is>
          <t>Maßnahme</t>
        </is>
      </c>
      <c r="AI35" s="68">
        <f>IF(H35="","",IFERROR(INDEX(Iv_Anzahl,MATCH(H35,Iv_Name,0)),IFERROR(VALUE(LEFT(TRIM(SUBSTITUTE(LOWER(H35),"alle ","")),FIND(" ",TRIM(SUBSTITUTE(LOWER(H35),"alle ",""))&amp;" ")-1)),"")))</f>
        <v/>
      </c>
      <c r="AJ35" s="68">
        <f>IF(H35="","",IFERROR(INDEX(Iv_Einheit,MATCH(H35,Iv_Name,0)),IF(ISNUMBER(SEARCH("jahr",H35)),"Jahre",IF(ISNUMBER(SEARCH("monat",H35)),"Monate",IF(ISNUMBER(SEARCH("woche",H35)),"Wochen",IF(ISNUMBER(SEARCH("tag",H35)),"Tage",""))))))</f>
        <v/>
      </c>
      <c r="AK35" s="107">
        <f>IF(AND(ISNUMBER(AI35),AJ35&lt;&gt;""),IF(AI35&gt;0,AI35*IF(AJ35="Tage",1,IF(AJ35="Wochen",7,IF(AJ35="Monate",365/12,365))),""),"")</f>
        <v/>
      </c>
      <c r="AL35" s="111">
        <f>IF(ISNUMBER(AK35),365/AK35,"")</f>
        <v/>
      </c>
      <c r="AM35" s="111">
        <f>IF(AND(ISNUMBER(AL35),ISNUMBER(AE35)),AL35*AE35/60,"")</f>
        <v/>
      </c>
      <c r="AN35" s="102">
        <f>IF(ISNUMBER(AA35),AA35-ROW()/100000,"")</f>
        <v/>
      </c>
      <c r="AO35" s="102">
        <f>IF(OR(L35="überfällig",L35="fällig"),J35+ROW()/100000,"")</f>
        <v/>
      </c>
      <c r="AP35" s="112" t="inlineStr">
        <is>
          <t>5.1.7</t>
        </is>
      </c>
      <c r="AQ35" s="113" t="inlineStr">
        <is>
          <t>Funktion des Zylinders testen</t>
        </is>
      </c>
    </row>
    <row r="36" ht="32" customHeight="1">
      <c r="A36" s="101" t="inlineStr">
        <is>
          <t>5.2.6</t>
        </is>
      </c>
      <c r="B36" s="102" t="inlineStr">
        <is>
          <t>Hydraulikverschraubungen kontrollieren, ggf. nachziehen</t>
        </is>
      </c>
      <c r="C36" s="103" t="inlineStr">
        <is>
          <t>Inspektion</t>
        </is>
      </c>
      <c r="D36" s="102" t="n"/>
      <c r="E36" s="114" t="inlineStr">
        <is>
          <t>Verschraubungen fest und dicht</t>
        </is>
      </c>
      <c r="F36" s="102" t="n"/>
      <c r="G36" s="68">
        <f>IF(AB36="unvollständig","Bewertung fehlt",INDEX(Kl_Intervall,MATCH(AB36,Kl_Name,0)))</f>
        <v/>
      </c>
      <c r="H36" s="8">
        <f>IF(G36="Bewertung fehlt","",G36)</f>
        <v/>
      </c>
      <c r="I36" s="105" t="n"/>
      <c r="J36" s="106">
        <f>IF(OR(I36="",NOT(ISNUMBER(AK36))),"",IF(AJ36="Tage",I36+AI36,IF(AJ36="Wochen",I36+7*AI36,EDATE(I36,ROUND(AI36*IF(AJ36="Jahre",12,1),0)))))</f>
        <v/>
      </c>
      <c r="K36" s="107">
        <f>IF(J36="","",J36-TODAY())</f>
        <v/>
      </c>
      <c r="L36" s="57">
        <f>IF(H36="","Intervall fehlt",IF(NOT(ISNUMBER(AK36)),"Intervall prüfen",IF(I36="","nicht erfasst",IF(K36&lt;0,"überfällig",IF(K36&lt;=MIN(P_Vorwarn,ROUND(AK36/4,0)),"fällig","in Ordnung")))))</f>
        <v/>
      </c>
      <c r="M36" s="103" t="n"/>
      <c r="N36" s="103" t="n"/>
      <c r="O36" s="108" t="n"/>
      <c r="P36" s="103" t="n"/>
      <c r="Q36" s="108" t="n">
        <v>3</v>
      </c>
      <c r="R36" s="108" t="n">
        <v>3</v>
      </c>
      <c r="S36" s="108" t="n">
        <v>2</v>
      </c>
      <c r="T36" s="108" t="n">
        <v>3</v>
      </c>
      <c r="U36" s="108" t="n">
        <v>4</v>
      </c>
      <c r="V36" s="108" t="n">
        <v>3</v>
      </c>
      <c r="W36" s="108" t="n">
        <v>3</v>
      </c>
      <c r="X36" s="108" t="n">
        <v>4</v>
      </c>
      <c r="Y36" s="109">
        <f>P_SF</f>
        <v/>
      </c>
      <c r="Z36" s="109">
        <f>IF(COUNT(Q36:V36)=6,SQRT(SUMSQ(Q36:V36))/2,"")</f>
        <v/>
      </c>
      <c r="AA36" s="80">
        <f>IF(COUNT(W36:Z36)=4,Z36*W36*X36*Y36,"")</f>
        <v/>
      </c>
      <c r="AB36" s="68">
        <f>IF(AA36="","unvollständig",IF(AA36&gt;P_Grenze_kritisch,"kritisch",IF(AA36&gt;=P_Grenze_hoch,"hoch",IF(AA36&gt;=P_Grenze_mittel,"mittel","gering"))))</f>
        <v/>
      </c>
      <c r="AC36" s="68">
        <f>TRIM(IF(N(T36)&gt;=P_Krit,"AS ","")&amp;IF(N(S36)&gt;=P_Krit,"Q ","")&amp;IF(N(U36)&gt;=P_Krit,"US",""))</f>
        <v/>
      </c>
      <c r="AD36" s="102">
        <f>IF(ISNUMBER(R36),INDEX(IH_Text,R36),"")</f>
        <v/>
      </c>
      <c r="AE36" s="108" t="n"/>
      <c r="AF36" s="68" t="n"/>
      <c r="AG36" s="110" t="inlineStr">
        <is>
          <t>Verschlussbalken</t>
        </is>
      </c>
      <c r="AH36" s="110" t="inlineStr">
        <is>
          <t>Maßnahme</t>
        </is>
      </c>
      <c r="AI36" s="68">
        <f>IF(H36="","",IFERROR(INDEX(Iv_Anzahl,MATCH(H36,Iv_Name,0)),IFERROR(VALUE(LEFT(TRIM(SUBSTITUTE(LOWER(H36),"alle ","")),FIND(" ",TRIM(SUBSTITUTE(LOWER(H36),"alle ",""))&amp;" ")-1)),"")))</f>
        <v/>
      </c>
      <c r="AJ36" s="68">
        <f>IF(H36="","",IFERROR(INDEX(Iv_Einheit,MATCH(H36,Iv_Name,0)),IF(ISNUMBER(SEARCH("jahr",H36)),"Jahre",IF(ISNUMBER(SEARCH("monat",H36)),"Monate",IF(ISNUMBER(SEARCH("woche",H36)),"Wochen",IF(ISNUMBER(SEARCH("tag",H36)),"Tage",""))))))</f>
        <v/>
      </c>
      <c r="AK36" s="107">
        <f>IF(AND(ISNUMBER(AI36),AJ36&lt;&gt;""),IF(AI36&gt;0,AI36*IF(AJ36="Tage",1,IF(AJ36="Wochen",7,IF(AJ36="Monate",365/12,365))),""),"")</f>
        <v/>
      </c>
      <c r="AL36" s="111">
        <f>IF(ISNUMBER(AK36),365/AK36,"")</f>
        <v/>
      </c>
      <c r="AM36" s="111">
        <f>IF(AND(ISNUMBER(AL36),ISNUMBER(AE36)),AL36*AE36/60,"")</f>
        <v/>
      </c>
      <c r="AN36" s="102">
        <f>IF(ISNUMBER(AA36),AA36-ROW()/100000,"")</f>
        <v/>
      </c>
      <c r="AO36" s="102">
        <f>IF(OR(L36="überfällig",L36="fällig"),J36+ROW()/100000,"")</f>
        <v/>
      </c>
      <c r="AP36" s="112" t="inlineStr">
        <is>
          <t>5.1.8</t>
        </is>
      </c>
      <c r="AQ36" s="113" t="inlineStr">
        <is>
          <t>kontrolliere Hydraulikverschraubungen ggf. nachziehen</t>
        </is>
      </c>
    </row>
    <row r="37" ht="45" customHeight="1">
      <c r="A37" s="101" t="inlineStr">
        <is>
          <t>5.2.7</t>
        </is>
      </c>
      <c r="B37" s="102" t="inlineStr">
        <is>
          <t>Hydraulikschläuche/-leitungen auf Dichtheit und Beschädigungen prüfen, ggf. nachziehen</t>
        </is>
      </c>
      <c r="C37" s="103" t="inlineStr">
        <is>
          <t>Inspektion</t>
        </is>
      </c>
      <c r="D37" s="102" t="n"/>
      <c r="E37" s="114" t="inlineStr">
        <is>
          <t>Dicht; keine Scheuerstellen, Risse oder Knicke</t>
        </is>
      </c>
      <c r="F37" s="102" t="n"/>
      <c r="G37" s="68">
        <f>IF(AB37="unvollständig","Bewertung fehlt",INDEX(Kl_Intervall,MATCH(AB37,Kl_Name,0)))</f>
        <v/>
      </c>
      <c r="H37" s="8">
        <f>IF(G37="Bewertung fehlt","",G37)</f>
        <v/>
      </c>
      <c r="I37" s="105" t="n"/>
      <c r="J37" s="106">
        <f>IF(OR(I37="",NOT(ISNUMBER(AK37))),"",IF(AJ37="Tage",I37+AI37,IF(AJ37="Wochen",I37+7*AI37,EDATE(I37,ROUND(AI37*IF(AJ37="Jahre",12,1),0)))))</f>
        <v/>
      </c>
      <c r="K37" s="107">
        <f>IF(J37="","",J37-TODAY())</f>
        <v/>
      </c>
      <c r="L37" s="57">
        <f>IF(H37="","Intervall fehlt",IF(NOT(ISNUMBER(AK37)),"Intervall prüfen",IF(I37="","nicht erfasst",IF(K37&lt;0,"überfällig",IF(K37&lt;=MIN(P_Vorwarn,ROUND(AK37/4,0)),"fällig","in Ordnung")))))</f>
        <v/>
      </c>
      <c r="M37" s="103" t="n"/>
      <c r="N37" s="103" t="n"/>
      <c r="O37" s="108" t="n"/>
      <c r="P37" s="103" t="n"/>
      <c r="Q37" s="108" t="n">
        <v>3</v>
      </c>
      <c r="R37" s="108" t="n">
        <v>3</v>
      </c>
      <c r="S37" s="108" t="n">
        <v>2</v>
      </c>
      <c r="T37" s="108" t="n">
        <v>3</v>
      </c>
      <c r="U37" s="108" t="n">
        <v>5</v>
      </c>
      <c r="V37" s="108" t="n">
        <v>3</v>
      </c>
      <c r="W37" s="108" t="n">
        <v>4</v>
      </c>
      <c r="X37" s="108" t="n">
        <v>4</v>
      </c>
      <c r="Y37" s="109">
        <f>P_SF</f>
        <v/>
      </c>
      <c r="Z37" s="109">
        <f>IF(COUNT(Q37:V37)=6,SQRT(SUMSQ(Q37:V37))/2,"")</f>
        <v/>
      </c>
      <c r="AA37" s="80">
        <f>IF(COUNT(W37:Z37)=4,Z37*W37*X37*Y37,"")</f>
        <v/>
      </c>
      <c r="AB37" s="68">
        <f>IF(AA37="","unvollständig",IF(AA37&gt;P_Grenze_kritisch,"kritisch",IF(AA37&gt;=P_Grenze_hoch,"hoch",IF(AA37&gt;=P_Grenze_mittel,"mittel","gering"))))</f>
        <v/>
      </c>
      <c r="AC37" s="68">
        <f>TRIM(IF(N(T37)&gt;=P_Krit,"AS ","")&amp;IF(N(S37)&gt;=P_Krit,"Q ","")&amp;IF(N(U37)&gt;=P_Krit,"US",""))</f>
        <v/>
      </c>
      <c r="AD37" s="102">
        <f>IF(ISNUMBER(R37),INDEX(IH_Text,R37),"")</f>
        <v/>
      </c>
      <c r="AE37" s="108" t="n"/>
      <c r="AF37" s="68" t="n"/>
      <c r="AG37" s="110" t="inlineStr">
        <is>
          <t>Verschlussbalken</t>
        </is>
      </c>
      <c r="AH37" s="110" t="inlineStr">
        <is>
          <t>Maßnahme</t>
        </is>
      </c>
      <c r="AI37" s="68">
        <f>IF(H37="","",IFERROR(INDEX(Iv_Anzahl,MATCH(H37,Iv_Name,0)),IFERROR(VALUE(LEFT(TRIM(SUBSTITUTE(LOWER(H37),"alle ","")),FIND(" ",TRIM(SUBSTITUTE(LOWER(H37),"alle ",""))&amp;" ")-1)),"")))</f>
        <v/>
      </c>
      <c r="AJ37" s="68">
        <f>IF(H37="","",IFERROR(INDEX(Iv_Einheit,MATCH(H37,Iv_Name,0)),IF(ISNUMBER(SEARCH("jahr",H37)),"Jahre",IF(ISNUMBER(SEARCH("monat",H37)),"Monate",IF(ISNUMBER(SEARCH("woche",H37)),"Wochen",IF(ISNUMBER(SEARCH("tag",H37)),"Tage",""))))))</f>
        <v/>
      </c>
      <c r="AK37" s="107">
        <f>IF(AND(ISNUMBER(AI37),AJ37&lt;&gt;""),IF(AI37&gt;0,AI37*IF(AJ37="Tage",1,IF(AJ37="Wochen",7,IF(AJ37="Monate",365/12,365))),""),"")</f>
        <v/>
      </c>
      <c r="AL37" s="111">
        <f>IF(ISNUMBER(AK37),365/AK37,"")</f>
        <v/>
      </c>
      <c r="AM37" s="111">
        <f>IF(AND(ISNUMBER(AL37),ISNUMBER(AE37)),AL37*AE37/60,"")</f>
        <v/>
      </c>
      <c r="AN37" s="102">
        <f>IF(ISNUMBER(AA37),AA37-ROW()/100000,"")</f>
        <v/>
      </c>
      <c r="AO37" s="102">
        <f>IF(OR(L37="überfällig",L37="fällig"),J37+ROW()/100000,"")</f>
        <v/>
      </c>
      <c r="AP37" s="112" t="inlineStr">
        <is>
          <t>5.1.9</t>
        </is>
      </c>
      <c r="AQ37" s="113" t="inlineStr">
        <is>
          <t>Hydraulikschläuche/Hydraulikleitungen auf Dichtheit und Beschädigungen prüfen ggf. Nachziehen</t>
        </is>
      </c>
    </row>
    <row r="38" ht="18" customHeight="1">
      <c r="A38" s="115" t="inlineStr">
        <is>
          <t>5.3</t>
        </is>
      </c>
      <c r="B38" s="116" t="inlineStr">
        <is>
          <t>Alle Sensoren/Endschalter nach folgenden Kriterien inspizieren:</t>
        </is>
      </c>
      <c r="C38" s="116" t="n"/>
      <c r="D38" s="116" t="n"/>
      <c r="E38" s="116" t="n"/>
      <c r="F38" s="116" t="n"/>
      <c r="G38" s="116" t="n"/>
      <c r="H38" s="116" t="n"/>
      <c r="I38" s="116" t="n"/>
      <c r="J38" s="116" t="n"/>
      <c r="K38" s="116" t="n"/>
      <c r="L38" s="116" t="n"/>
      <c r="M38" s="116" t="n"/>
      <c r="N38" s="116" t="n"/>
      <c r="O38" s="116" t="n"/>
      <c r="P38" s="116" t="n"/>
      <c r="Q38" s="116" t="n"/>
      <c r="R38" s="116" t="n"/>
      <c r="S38" s="116" t="n"/>
      <c r="T38" s="116" t="n"/>
      <c r="U38" s="116" t="n"/>
      <c r="V38" s="116" t="n"/>
      <c r="W38" s="116" t="n"/>
      <c r="X38" s="116" t="n"/>
      <c r="Y38" s="116" t="n"/>
      <c r="Z38" s="116" t="n"/>
      <c r="AA38" s="116" t="n"/>
      <c r="AB38" s="116" t="n"/>
      <c r="AC38" s="116" t="n"/>
      <c r="AD38" s="116" t="n"/>
      <c r="AE38" s="116" t="n"/>
      <c r="AF38" s="116" t="n"/>
      <c r="AG38" s="117" t="inlineStr">
        <is>
          <t>Verschlussbalken</t>
        </is>
      </c>
      <c r="AH38" s="117" t="inlineStr">
        <is>
          <t>Prüfgruppe</t>
        </is>
      </c>
      <c r="AI38" s="116" t="n"/>
      <c r="AJ38" s="116" t="n"/>
      <c r="AK38" s="116" t="n"/>
      <c r="AL38" s="116" t="n"/>
      <c r="AM38" s="116" t="n"/>
      <c r="AN38" s="116" t="n"/>
      <c r="AO38" s="116" t="n"/>
      <c r="AP38" s="118" t="inlineStr">
        <is>
          <t>5.2</t>
        </is>
      </c>
      <c r="AQ38" s="119" t="inlineStr">
        <is>
          <t>Inspiziere alle Sensoren/Endschalter nach folgenden Kriterien:</t>
        </is>
      </c>
    </row>
    <row r="39" ht="19" customHeight="1">
      <c r="A39" s="101" t="inlineStr">
        <is>
          <t>5.3.1</t>
        </is>
      </c>
      <c r="B39" s="102" t="inlineStr">
        <is>
          <t>Funktion testen</t>
        </is>
      </c>
      <c r="C39" s="103" t="inlineStr">
        <is>
          <t>Funktionsprüfung</t>
        </is>
      </c>
      <c r="D39" s="102" t="n"/>
      <c r="E39" s="114" t="inlineStr">
        <is>
          <t>Schaltsignal kommt sicher</t>
        </is>
      </c>
      <c r="F39" s="102" t="n"/>
      <c r="G39" s="68">
        <f>IF(AB39="unvollständig","Bewertung fehlt",INDEX(Kl_Intervall,MATCH(AB39,Kl_Name,0)))</f>
        <v/>
      </c>
      <c r="H39" s="8">
        <f>IF(G39="Bewertung fehlt","",G39)</f>
        <v/>
      </c>
      <c r="I39" s="105" t="n"/>
      <c r="J39" s="106">
        <f>IF(OR(I39="",NOT(ISNUMBER(AK39))),"",IF(AJ39="Tage",I39+AI39,IF(AJ39="Wochen",I39+7*AI39,EDATE(I39,ROUND(AI39*IF(AJ39="Jahre",12,1),0)))))</f>
        <v/>
      </c>
      <c r="K39" s="107">
        <f>IF(J39="","",J39-TODAY())</f>
        <v/>
      </c>
      <c r="L39" s="57">
        <f>IF(H39="","Intervall fehlt",IF(NOT(ISNUMBER(AK39)),"Intervall prüfen",IF(I39="","nicht erfasst",IF(K39&lt;0,"überfällig",IF(K39&lt;=MIN(P_Vorwarn,ROUND(AK39/4,0)),"fällig","in Ordnung")))))</f>
        <v/>
      </c>
      <c r="M39" s="103" t="n"/>
      <c r="N39" s="103" t="n"/>
      <c r="O39" s="108" t="n"/>
      <c r="P39" s="103" t="n"/>
      <c r="Q39" s="108" t="n">
        <v>3</v>
      </c>
      <c r="R39" s="108" t="n">
        <v>1</v>
      </c>
      <c r="S39" s="108" t="n">
        <v>2</v>
      </c>
      <c r="T39" s="108" t="n">
        <v>4</v>
      </c>
      <c r="U39" s="108" t="n">
        <v>1</v>
      </c>
      <c r="V39" s="108" t="n">
        <v>3</v>
      </c>
      <c r="W39" s="108" t="n">
        <v>3</v>
      </c>
      <c r="X39" s="108" t="n">
        <v>2</v>
      </c>
      <c r="Y39" s="109">
        <f>P_SF</f>
        <v/>
      </c>
      <c r="Z39" s="109">
        <f>IF(COUNT(Q39:V39)=6,SQRT(SUMSQ(Q39:V39))/2,"")</f>
        <v/>
      </c>
      <c r="AA39" s="80">
        <f>IF(COUNT(W39:Z39)=4,Z39*W39*X39*Y39,"")</f>
        <v/>
      </c>
      <c r="AB39" s="68">
        <f>IF(AA39="","unvollständig",IF(AA39&gt;P_Grenze_kritisch,"kritisch",IF(AA39&gt;=P_Grenze_hoch,"hoch",IF(AA39&gt;=P_Grenze_mittel,"mittel","gering"))))</f>
        <v/>
      </c>
      <c r="AC39" s="68">
        <f>TRIM(IF(N(T39)&gt;=P_Krit,"AS ","")&amp;IF(N(S39)&gt;=P_Krit,"Q ","")&amp;IF(N(U39)&gt;=P_Krit,"US",""))</f>
        <v/>
      </c>
      <c r="AD39" s="102">
        <f>IF(ISNUMBER(R39),INDEX(IH_Text,R39),"")</f>
        <v/>
      </c>
      <c r="AE39" s="108" t="n"/>
      <c r="AF39" s="68" t="n"/>
      <c r="AG39" s="110" t="inlineStr">
        <is>
          <t>Verschlussbalken</t>
        </is>
      </c>
      <c r="AH39" s="110" t="inlineStr">
        <is>
          <t>Maßnahme</t>
        </is>
      </c>
      <c r="AI39" s="68">
        <f>IF(H39="","",IFERROR(INDEX(Iv_Anzahl,MATCH(H39,Iv_Name,0)),IFERROR(VALUE(LEFT(TRIM(SUBSTITUTE(LOWER(H39),"alle ","")),FIND(" ",TRIM(SUBSTITUTE(LOWER(H39),"alle ",""))&amp;" ")-1)),"")))</f>
        <v/>
      </c>
      <c r="AJ39" s="68">
        <f>IF(H39="","",IFERROR(INDEX(Iv_Einheit,MATCH(H39,Iv_Name,0)),IF(ISNUMBER(SEARCH("jahr",H39)),"Jahre",IF(ISNUMBER(SEARCH("monat",H39)),"Monate",IF(ISNUMBER(SEARCH("woche",H39)),"Wochen",IF(ISNUMBER(SEARCH("tag",H39)),"Tage",""))))))</f>
        <v/>
      </c>
      <c r="AK39" s="107">
        <f>IF(AND(ISNUMBER(AI39),AJ39&lt;&gt;""),IF(AI39&gt;0,AI39*IF(AJ39="Tage",1,IF(AJ39="Wochen",7,IF(AJ39="Monate",365/12,365))),""),"")</f>
        <v/>
      </c>
      <c r="AL39" s="111">
        <f>IF(ISNUMBER(AK39),365/AK39,"")</f>
        <v/>
      </c>
      <c r="AM39" s="111">
        <f>IF(AND(ISNUMBER(AL39),ISNUMBER(AE39)),AL39*AE39/60,"")</f>
        <v/>
      </c>
      <c r="AN39" s="102">
        <f>IF(ISNUMBER(AA39),AA39-ROW()/100000,"")</f>
        <v/>
      </c>
      <c r="AO39" s="102">
        <f>IF(OR(L39="überfällig",L39="fällig"),J39+ROW()/100000,"")</f>
        <v/>
      </c>
      <c r="AP39" s="112" t="inlineStr">
        <is>
          <t>5.2.1</t>
        </is>
      </c>
      <c r="AQ39" s="113" t="inlineStr">
        <is>
          <t>Funktion testen</t>
        </is>
      </c>
    </row>
    <row r="40" ht="32" customHeight="1">
      <c r="A40" s="101" t="inlineStr">
        <is>
          <t>5.3.2</t>
        </is>
      </c>
      <c r="B40" s="102" t="inlineStr">
        <is>
          <t>Anschlüsse kontrollieren</t>
        </is>
      </c>
      <c r="C40" s="103" t="inlineStr">
        <is>
          <t>Inspektion</t>
        </is>
      </c>
      <c r="D40" s="102" t="n"/>
      <c r="E40" s="114" t="inlineStr">
        <is>
          <t>Stecker fest, unbeschädigt</t>
        </is>
      </c>
      <c r="F40" s="102" t="n"/>
      <c r="G40" s="68">
        <f>IF(AB40="unvollständig","Bewertung fehlt",INDEX(Kl_Intervall,MATCH(AB40,Kl_Name,0)))</f>
        <v/>
      </c>
      <c r="H40" s="8">
        <f>IF(G40="Bewertung fehlt","",G40)</f>
        <v/>
      </c>
      <c r="I40" s="105" t="n"/>
      <c r="J40" s="106">
        <f>IF(OR(I40="",NOT(ISNUMBER(AK40))),"",IF(AJ40="Tage",I40+AI40,IF(AJ40="Wochen",I40+7*AI40,EDATE(I40,ROUND(AI40*IF(AJ40="Jahre",12,1),0)))))</f>
        <v/>
      </c>
      <c r="K40" s="107">
        <f>IF(J40="","",J40-TODAY())</f>
        <v/>
      </c>
      <c r="L40" s="57">
        <f>IF(H40="","Intervall fehlt",IF(NOT(ISNUMBER(AK40)),"Intervall prüfen",IF(I40="","nicht erfasst",IF(K40&lt;0,"überfällig",IF(K40&lt;=MIN(P_Vorwarn,ROUND(AK40/4,0)),"fällig","in Ordnung")))))</f>
        <v/>
      </c>
      <c r="M40" s="103" t="n"/>
      <c r="N40" s="103" t="n"/>
      <c r="O40" s="108" t="n"/>
      <c r="P40" s="103" t="n"/>
      <c r="Q40" s="108" t="n">
        <v>3</v>
      </c>
      <c r="R40" s="108" t="n">
        <v>2</v>
      </c>
      <c r="S40" s="108" t="n">
        <v>2</v>
      </c>
      <c r="T40" s="108" t="n">
        <v>4</v>
      </c>
      <c r="U40" s="108" t="n">
        <v>1</v>
      </c>
      <c r="V40" s="108" t="n">
        <v>3</v>
      </c>
      <c r="W40" s="108" t="n">
        <v>3</v>
      </c>
      <c r="X40" s="108" t="n">
        <v>5</v>
      </c>
      <c r="Y40" s="109">
        <f>P_SF</f>
        <v/>
      </c>
      <c r="Z40" s="109">
        <f>IF(COUNT(Q40:V40)=6,SQRT(SUMSQ(Q40:V40))/2,"")</f>
        <v/>
      </c>
      <c r="AA40" s="80">
        <f>IF(COUNT(W40:Z40)=4,Z40*W40*X40*Y40,"")</f>
        <v/>
      </c>
      <c r="AB40" s="68">
        <f>IF(AA40="","unvollständig",IF(AA40&gt;P_Grenze_kritisch,"kritisch",IF(AA40&gt;=P_Grenze_hoch,"hoch",IF(AA40&gt;=P_Grenze_mittel,"mittel","gering"))))</f>
        <v/>
      </c>
      <c r="AC40" s="68">
        <f>TRIM(IF(N(T40)&gt;=P_Krit,"AS ","")&amp;IF(N(S40)&gt;=P_Krit,"Q ","")&amp;IF(N(U40)&gt;=P_Krit,"US",""))</f>
        <v/>
      </c>
      <c r="AD40" s="102">
        <f>IF(ISNUMBER(R40),INDEX(IH_Text,R40),"")</f>
        <v/>
      </c>
      <c r="AE40" s="108" t="n"/>
      <c r="AF40" s="68" t="n"/>
      <c r="AG40" s="110" t="inlineStr">
        <is>
          <t>Verschlussbalken</t>
        </is>
      </c>
      <c r="AH40" s="110" t="inlineStr">
        <is>
          <t>Maßnahme</t>
        </is>
      </c>
      <c r="AI40" s="68">
        <f>IF(H40="","",IFERROR(INDEX(Iv_Anzahl,MATCH(H40,Iv_Name,0)),IFERROR(VALUE(LEFT(TRIM(SUBSTITUTE(LOWER(H40),"alle ","")),FIND(" ",TRIM(SUBSTITUTE(LOWER(H40),"alle ",""))&amp;" ")-1)),"")))</f>
        <v/>
      </c>
      <c r="AJ40" s="68">
        <f>IF(H40="","",IFERROR(INDEX(Iv_Einheit,MATCH(H40,Iv_Name,0)),IF(ISNUMBER(SEARCH("jahr",H40)),"Jahre",IF(ISNUMBER(SEARCH("monat",H40)),"Monate",IF(ISNUMBER(SEARCH("woche",H40)),"Wochen",IF(ISNUMBER(SEARCH("tag",H40)),"Tage",""))))))</f>
        <v/>
      </c>
      <c r="AK40" s="107">
        <f>IF(AND(ISNUMBER(AI40),AJ40&lt;&gt;""),IF(AI40&gt;0,AI40*IF(AJ40="Tage",1,IF(AJ40="Wochen",7,IF(AJ40="Monate",365/12,365))),""),"")</f>
        <v/>
      </c>
      <c r="AL40" s="111">
        <f>IF(ISNUMBER(AK40),365/AK40,"")</f>
        <v/>
      </c>
      <c r="AM40" s="111">
        <f>IF(AND(ISNUMBER(AL40),ISNUMBER(AE40)),AL40*AE40/60,"")</f>
        <v/>
      </c>
      <c r="AN40" s="102">
        <f>IF(ISNUMBER(AA40),AA40-ROW()/100000,"")</f>
        <v/>
      </c>
      <c r="AO40" s="102">
        <f>IF(OR(L40="überfällig",L40="fällig"),J40+ROW()/100000,"")</f>
        <v/>
      </c>
      <c r="AP40" s="112" t="inlineStr">
        <is>
          <t>5.2.2</t>
        </is>
      </c>
      <c r="AQ40" s="113" t="inlineStr">
        <is>
          <t>Anschlüsse kontrollieren</t>
        </is>
      </c>
    </row>
    <row r="41" ht="32" customHeight="1">
      <c r="A41" s="101" t="inlineStr">
        <is>
          <t>5.3.3</t>
        </is>
      </c>
      <c r="B41" s="102" t="inlineStr">
        <is>
          <t>Befestigung und Position kontrollieren</t>
        </is>
      </c>
      <c r="C41" s="103" t="inlineStr">
        <is>
          <t>Inspektion</t>
        </is>
      </c>
      <c r="D41" s="102" t="n"/>
      <c r="E41" s="114" t="inlineStr">
        <is>
          <t>Fest, Position unverändert</t>
        </is>
      </c>
      <c r="F41" s="102" t="n"/>
      <c r="G41" s="68">
        <f>IF(AB41="unvollständig","Bewertung fehlt",INDEX(Kl_Intervall,MATCH(AB41,Kl_Name,0)))</f>
        <v/>
      </c>
      <c r="H41" s="8">
        <f>IF(G41="Bewertung fehlt","",G41)</f>
        <v/>
      </c>
      <c r="I41" s="105" t="n"/>
      <c r="J41" s="106">
        <f>IF(OR(I41="",NOT(ISNUMBER(AK41))),"",IF(AJ41="Tage",I41+AI41,IF(AJ41="Wochen",I41+7*AI41,EDATE(I41,ROUND(AI41*IF(AJ41="Jahre",12,1),0)))))</f>
        <v/>
      </c>
      <c r="K41" s="107">
        <f>IF(J41="","",J41-TODAY())</f>
        <v/>
      </c>
      <c r="L41" s="57">
        <f>IF(H41="","Intervall fehlt",IF(NOT(ISNUMBER(AK41)),"Intervall prüfen",IF(I41="","nicht erfasst",IF(K41&lt;0,"überfällig",IF(K41&lt;=MIN(P_Vorwarn,ROUND(AK41/4,0)),"fällig","in Ordnung")))))</f>
        <v/>
      </c>
      <c r="M41" s="103" t="n"/>
      <c r="N41" s="103" t="n"/>
      <c r="O41" s="108" t="n"/>
      <c r="P41" s="103" t="n"/>
      <c r="Q41" s="108" t="n">
        <v>3</v>
      </c>
      <c r="R41" s="108" t="n">
        <v>2</v>
      </c>
      <c r="S41" s="108" t="n">
        <v>2</v>
      </c>
      <c r="T41" s="108" t="n">
        <v>3</v>
      </c>
      <c r="U41" s="108" t="n">
        <v>1</v>
      </c>
      <c r="V41" s="108" t="n">
        <v>3</v>
      </c>
      <c r="W41" s="108" t="n">
        <v>3</v>
      </c>
      <c r="X41" s="108" t="n">
        <v>3</v>
      </c>
      <c r="Y41" s="109">
        <f>P_SF</f>
        <v/>
      </c>
      <c r="Z41" s="109">
        <f>IF(COUNT(Q41:V41)=6,SQRT(SUMSQ(Q41:V41))/2,"")</f>
        <v/>
      </c>
      <c r="AA41" s="80">
        <f>IF(COUNT(W41:Z41)=4,Z41*W41*X41*Y41,"")</f>
        <v/>
      </c>
      <c r="AB41" s="68">
        <f>IF(AA41="","unvollständig",IF(AA41&gt;P_Grenze_kritisch,"kritisch",IF(AA41&gt;=P_Grenze_hoch,"hoch",IF(AA41&gt;=P_Grenze_mittel,"mittel","gering"))))</f>
        <v/>
      </c>
      <c r="AC41" s="68">
        <f>TRIM(IF(N(T41)&gt;=P_Krit,"AS ","")&amp;IF(N(S41)&gt;=P_Krit,"Q ","")&amp;IF(N(U41)&gt;=P_Krit,"US",""))</f>
        <v/>
      </c>
      <c r="AD41" s="102">
        <f>IF(ISNUMBER(R41),INDEX(IH_Text,R41),"")</f>
        <v/>
      </c>
      <c r="AE41" s="108" t="n"/>
      <c r="AF41" s="68" t="n"/>
      <c r="AG41" s="110" t="inlineStr">
        <is>
          <t>Verschlussbalken</t>
        </is>
      </c>
      <c r="AH41" s="110" t="inlineStr">
        <is>
          <t>Maßnahme</t>
        </is>
      </c>
      <c r="AI41" s="68">
        <f>IF(H41="","",IFERROR(INDEX(Iv_Anzahl,MATCH(H41,Iv_Name,0)),IFERROR(VALUE(LEFT(TRIM(SUBSTITUTE(LOWER(H41),"alle ","")),FIND(" ",TRIM(SUBSTITUTE(LOWER(H41),"alle ",""))&amp;" ")-1)),"")))</f>
        <v/>
      </c>
      <c r="AJ41" s="68">
        <f>IF(H41="","",IFERROR(INDEX(Iv_Einheit,MATCH(H41,Iv_Name,0)),IF(ISNUMBER(SEARCH("jahr",H41)),"Jahre",IF(ISNUMBER(SEARCH("monat",H41)),"Monate",IF(ISNUMBER(SEARCH("woche",H41)),"Wochen",IF(ISNUMBER(SEARCH("tag",H41)),"Tage",""))))))</f>
        <v/>
      </c>
      <c r="AK41" s="107">
        <f>IF(AND(ISNUMBER(AI41),AJ41&lt;&gt;""),IF(AI41&gt;0,AI41*IF(AJ41="Tage",1,IF(AJ41="Wochen",7,IF(AJ41="Monate",365/12,365))),""),"")</f>
        <v/>
      </c>
      <c r="AL41" s="111">
        <f>IF(ISNUMBER(AK41),365/AK41,"")</f>
        <v/>
      </c>
      <c r="AM41" s="111">
        <f>IF(AND(ISNUMBER(AL41),ISNUMBER(AE41)),AL41*AE41/60,"")</f>
        <v/>
      </c>
      <c r="AN41" s="102">
        <f>IF(ISNUMBER(AA41),AA41-ROW()/100000,"")</f>
        <v/>
      </c>
      <c r="AO41" s="102">
        <f>IF(OR(L41="überfällig",L41="fällig"),J41+ROW()/100000,"")</f>
        <v/>
      </c>
      <c r="AP41" s="112" t="inlineStr">
        <is>
          <t>5.2.3</t>
        </is>
      </c>
      <c r="AQ41" s="113" t="inlineStr">
        <is>
          <t xml:space="preserve">Befestigung und Position kontrollieren </t>
        </is>
      </c>
    </row>
    <row r="42" ht="19" customHeight="1">
      <c r="A42" s="101" t="inlineStr">
        <is>
          <t>5.3.4</t>
        </is>
      </c>
      <c r="B42" s="102" t="inlineStr">
        <is>
          <t>Sensor auf Beschädigung kontrollieren</t>
        </is>
      </c>
      <c r="C42" s="103" t="inlineStr">
        <is>
          <t>Inspektion</t>
        </is>
      </c>
      <c r="D42" s="102" t="n"/>
      <c r="E42" s="114" t="inlineStr">
        <is>
          <t>Keine Beschädigung</t>
        </is>
      </c>
      <c r="F42" s="102" t="n"/>
      <c r="G42" s="68">
        <f>IF(AB42="unvollständig","Bewertung fehlt",INDEX(Kl_Intervall,MATCH(AB42,Kl_Name,0)))</f>
        <v/>
      </c>
      <c r="H42" s="8">
        <f>IF(G42="Bewertung fehlt","",G42)</f>
        <v/>
      </c>
      <c r="I42" s="105" t="n"/>
      <c r="J42" s="106">
        <f>IF(OR(I42="",NOT(ISNUMBER(AK42))),"",IF(AJ42="Tage",I42+AI42,IF(AJ42="Wochen",I42+7*AI42,EDATE(I42,ROUND(AI42*IF(AJ42="Jahre",12,1),0)))))</f>
        <v/>
      </c>
      <c r="K42" s="107">
        <f>IF(J42="","",J42-TODAY())</f>
        <v/>
      </c>
      <c r="L42" s="57">
        <f>IF(H42="","Intervall fehlt",IF(NOT(ISNUMBER(AK42)),"Intervall prüfen",IF(I42="","nicht erfasst",IF(K42&lt;0,"überfällig",IF(K42&lt;=MIN(P_Vorwarn,ROUND(AK42/4,0)),"fällig","in Ordnung")))))</f>
        <v/>
      </c>
      <c r="M42" s="103" t="n"/>
      <c r="N42" s="103" t="n"/>
      <c r="O42" s="108" t="n"/>
      <c r="P42" s="103" t="n"/>
      <c r="Q42" s="108" t="n">
        <v>3</v>
      </c>
      <c r="R42" s="108" t="n">
        <v>1</v>
      </c>
      <c r="S42" s="108" t="n">
        <v>2</v>
      </c>
      <c r="T42" s="108" t="n">
        <v>3</v>
      </c>
      <c r="U42" s="108" t="n">
        <v>1</v>
      </c>
      <c r="V42" s="108" t="n">
        <v>3</v>
      </c>
      <c r="W42" s="108" t="n">
        <v>3</v>
      </c>
      <c r="X42" s="108" t="n">
        <v>3</v>
      </c>
      <c r="Y42" s="109">
        <f>P_SF</f>
        <v/>
      </c>
      <c r="Z42" s="109">
        <f>IF(COUNT(Q42:V42)=6,SQRT(SUMSQ(Q42:V42))/2,"")</f>
        <v/>
      </c>
      <c r="AA42" s="80">
        <f>IF(COUNT(W42:Z42)=4,Z42*W42*X42*Y42,"")</f>
        <v/>
      </c>
      <c r="AB42" s="68">
        <f>IF(AA42="","unvollständig",IF(AA42&gt;P_Grenze_kritisch,"kritisch",IF(AA42&gt;=P_Grenze_hoch,"hoch",IF(AA42&gt;=P_Grenze_mittel,"mittel","gering"))))</f>
        <v/>
      </c>
      <c r="AC42" s="68">
        <f>TRIM(IF(N(T42)&gt;=P_Krit,"AS ","")&amp;IF(N(S42)&gt;=P_Krit,"Q ","")&amp;IF(N(U42)&gt;=P_Krit,"US",""))</f>
        <v/>
      </c>
      <c r="AD42" s="102">
        <f>IF(ISNUMBER(R42),INDEX(IH_Text,R42),"")</f>
        <v/>
      </c>
      <c r="AE42" s="108" t="n"/>
      <c r="AF42" s="68" t="n"/>
      <c r="AG42" s="110" t="inlineStr">
        <is>
          <t>Verschlussbalken</t>
        </is>
      </c>
      <c r="AH42" s="110" t="inlineStr">
        <is>
          <t>Maßnahme</t>
        </is>
      </c>
      <c r="AI42" s="68">
        <f>IF(H42="","",IFERROR(INDEX(Iv_Anzahl,MATCH(H42,Iv_Name,0)),IFERROR(VALUE(LEFT(TRIM(SUBSTITUTE(LOWER(H42),"alle ","")),FIND(" ",TRIM(SUBSTITUTE(LOWER(H42),"alle ",""))&amp;" ")-1)),"")))</f>
        <v/>
      </c>
      <c r="AJ42" s="68">
        <f>IF(H42="","",IFERROR(INDEX(Iv_Einheit,MATCH(H42,Iv_Name,0)),IF(ISNUMBER(SEARCH("jahr",H42)),"Jahre",IF(ISNUMBER(SEARCH("monat",H42)),"Monate",IF(ISNUMBER(SEARCH("woche",H42)),"Wochen",IF(ISNUMBER(SEARCH("tag",H42)),"Tage",""))))))</f>
        <v/>
      </c>
      <c r="AK42" s="107">
        <f>IF(AND(ISNUMBER(AI42),AJ42&lt;&gt;""),IF(AI42&gt;0,AI42*IF(AJ42="Tage",1,IF(AJ42="Wochen",7,IF(AJ42="Monate",365/12,365))),""),"")</f>
        <v/>
      </c>
      <c r="AL42" s="111">
        <f>IF(ISNUMBER(AK42),365/AK42,"")</f>
        <v/>
      </c>
      <c r="AM42" s="111">
        <f>IF(AND(ISNUMBER(AL42),ISNUMBER(AE42)),AL42*AE42/60,"")</f>
        <v/>
      </c>
      <c r="AN42" s="102">
        <f>IF(ISNUMBER(AA42),AA42-ROW()/100000,"")</f>
        <v/>
      </c>
      <c r="AO42" s="102">
        <f>IF(OR(L42="überfällig",L42="fällig"),J42+ROW()/100000,"")</f>
        <v/>
      </c>
      <c r="AP42" s="112" t="inlineStr">
        <is>
          <t>5.2.4</t>
        </is>
      </c>
      <c r="AQ42" s="113" t="inlineStr">
        <is>
          <t xml:space="preserve">Sensor auf Beschädigung kontrollieren </t>
        </is>
      </c>
    </row>
    <row r="43" ht="32" customHeight="1">
      <c r="A43" s="101" t="inlineStr">
        <is>
          <t>5.3.5</t>
        </is>
      </c>
      <c r="B43" s="102" t="inlineStr">
        <is>
          <t>Kabelklemmung, Knickschutz, Kabelkasten und Leitungen auf Beschädigung prüfen</t>
        </is>
      </c>
      <c r="C43" s="103" t="inlineStr">
        <is>
          <t>Inspektion</t>
        </is>
      </c>
      <c r="D43" s="104" t="inlineStr">
        <is>
          <t>⚠ Gefahrenstelle</t>
        </is>
      </c>
      <c r="E43" s="114" t="inlineStr">
        <is>
          <t>Keine Beschädigung; Zugentlastung wirksam</t>
        </is>
      </c>
      <c r="F43" s="102" t="n"/>
      <c r="G43" s="68">
        <f>IF(AB43="unvollständig","Bewertung fehlt",INDEX(Kl_Intervall,MATCH(AB43,Kl_Name,0)))</f>
        <v/>
      </c>
      <c r="H43" s="8">
        <f>IF(G43="Bewertung fehlt","",G43)</f>
        <v/>
      </c>
      <c r="I43" s="105" t="n"/>
      <c r="J43" s="106">
        <f>IF(OR(I43="",NOT(ISNUMBER(AK43))),"",IF(AJ43="Tage",I43+AI43,IF(AJ43="Wochen",I43+7*AI43,EDATE(I43,ROUND(AI43*IF(AJ43="Jahre",12,1),0)))))</f>
        <v/>
      </c>
      <c r="K43" s="107">
        <f>IF(J43="","",J43-TODAY())</f>
        <v/>
      </c>
      <c r="L43" s="57">
        <f>IF(H43="","Intervall fehlt",IF(NOT(ISNUMBER(AK43)),"Intervall prüfen",IF(I43="","nicht erfasst",IF(K43&lt;0,"überfällig",IF(K43&lt;=MIN(P_Vorwarn,ROUND(AK43/4,0)),"fällig","in Ordnung")))))</f>
        <v/>
      </c>
      <c r="M43" s="103" t="n"/>
      <c r="N43" s="103" t="n"/>
      <c r="O43" s="108" t="n"/>
      <c r="P43" s="103" t="n"/>
      <c r="Q43" s="108" t="n">
        <v>3</v>
      </c>
      <c r="R43" s="108" t="n">
        <v>3</v>
      </c>
      <c r="S43" s="108" t="n">
        <v>2</v>
      </c>
      <c r="T43" s="108" t="n">
        <v>5</v>
      </c>
      <c r="U43" s="108" t="n">
        <v>1</v>
      </c>
      <c r="V43" s="108" t="n">
        <v>3</v>
      </c>
      <c r="W43" s="108" t="n">
        <v>1</v>
      </c>
      <c r="X43" s="108" t="n">
        <v>3</v>
      </c>
      <c r="Y43" s="109">
        <f>P_SF</f>
        <v/>
      </c>
      <c r="Z43" s="109">
        <f>IF(COUNT(Q43:V43)=6,SQRT(SUMSQ(Q43:V43))/2,"")</f>
        <v/>
      </c>
      <c r="AA43" s="80">
        <f>IF(COUNT(W43:Z43)=4,Z43*W43*X43*Y43,"")</f>
        <v/>
      </c>
      <c r="AB43" s="68">
        <f>IF(AA43="","unvollständig",IF(AA43&gt;P_Grenze_kritisch,"kritisch",IF(AA43&gt;=P_Grenze_hoch,"hoch",IF(AA43&gt;=P_Grenze_mittel,"mittel","gering"))))</f>
        <v/>
      </c>
      <c r="AC43" s="68">
        <f>TRIM(IF(N(T43)&gt;=P_Krit,"AS ","")&amp;IF(N(S43)&gt;=P_Krit,"Q ","")&amp;IF(N(U43)&gt;=P_Krit,"US",""))</f>
        <v/>
      </c>
      <c r="AD43" s="102">
        <f>IF(ISNUMBER(R43),INDEX(IH_Text,R43),"")</f>
        <v/>
      </c>
      <c r="AE43" s="108" t="n"/>
      <c r="AF43" s="68" t="n"/>
      <c r="AG43" s="110" t="inlineStr">
        <is>
          <t>Verschlussbalken</t>
        </is>
      </c>
      <c r="AH43" s="110" t="inlineStr">
        <is>
          <t>Maßnahme</t>
        </is>
      </c>
      <c r="AI43" s="68">
        <f>IF(H43="","",IFERROR(INDEX(Iv_Anzahl,MATCH(H43,Iv_Name,0)),IFERROR(VALUE(LEFT(TRIM(SUBSTITUTE(LOWER(H43),"alle ","")),FIND(" ",TRIM(SUBSTITUTE(LOWER(H43),"alle ",""))&amp;" ")-1)),"")))</f>
        <v/>
      </c>
      <c r="AJ43" s="68">
        <f>IF(H43="","",IFERROR(INDEX(Iv_Einheit,MATCH(H43,Iv_Name,0)),IF(ISNUMBER(SEARCH("jahr",H43)),"Jahre",IF(ISNUMBER(SEARCH("monat",H43)),"Monate",IF(ISNUMBER(SEARCH("woche",H43)),"Wochen",IF(ISNUMBER(SEARCH("tag",H43)),"Tage",""))))))</f>
        <v/>
      </c>
      <c r="AK43" s="107">
        <f>IF(AND(ISNUMBER(AI43),AJ43&lt;&gt;""),IF(AI43&gt;0,AI43*IF(AJ43="Tage",1,IF(AJ43="Wochen",7,IF(AJ43="Monate",365/12,365))),""),"")</f>
        <v/>
      </c>
      <c r="AL43" s="111">
        <f>IF(ISNUMBER(AK43),365/AK43,"")</f>
        <v/>
      </c>
      <c r="AM43" s="111">
        <f>IF(AND(ISNUMBER(AL43),ISNUMBER(AE43)),AL43*AE43/60,"")</f>
        <v/>
      </c>
      <c r="AN43" s="102">
        <f>IF(ISNUMBER(AA43),AA43-ROW()/100000,"")</f>
        <v/>
      </c>
      <c r="AO43" s="102">
        <f>IF(OR(L43="überfällig",L43="fällig"),J43+ROW()/100000,"")</f>
        <v/>
      </c>
      <c r="AP43" s="112" t="inlineStr">
        <is>
          <t>5.2.5</t>
        </is>
      </c>
      <c r="AQ43" s="113" t="inlineStr">
        <is>
          <t>Prüfe Kabelklemmung, Knickschutz, Kabelkasten und Leitungen auf Beschädigung</t>
        </is>
      </c>
    </row>
    <row r="44" ht="32" customHeight="1">
      <c r="A44" s="96" t="inlineStr">
        <is>
          <t>6</t>
        </is>
      </c>
      <c r="B44" s="97" t="inlineStr">
        <is>
          <t>Hydraulik-/Pneumatikzylinder (Baugruppe in der Vorversion nicht benannt)</t>
        </is>
      </c>
      <c r="C44" s="97" t="n"/>
      <c r="D44" s="97" t="n"/>
      <c r="E44" s="97" t="n"/>
      <c r="F44" s="97" t="n"/>
      <c r="G44" s="97" t="n"/>
      <c r="H44" s="97" t="n"/>
      <c r="I44" s="97" t="n"/>
      <c r="J44" s="97" t="n"/>
      <c r="K44" s="97" t="n"/>
      <c r="L44" s="97" t="n"/>
      <c r="M44" s="97" t="n"/>
      <c r="N44" s="97" t="n"/>
      <c r="O44" s="97" t="n"/>
      <c r="P44" s="97" t="n"/>
      <c r="Q44" s="97" t="n"/>
      <c r="R44" s="97" t="n"/>
      <c r="S44" s="97" t="n"/>
      <c r="T44" s="97" t="n"/>
      <c r="U44" s="97" t="n"/>
      <c r="V44" s="97" t="n"/>
      <c r="W44" s="97" t="n"/>
      <c r="X44" s="97" t="n"/>
      <c r="Y44" s="97" t="n"/>
      <c r="Z44" s="97" t="n"/>
      <c r="AA44" s="97" t="n"/>
      <c r="AB44" s="97" t="n"/>
      <c r="AC44" s="97" t="n"/>
      <c r="AD44" s="97" t="n"/>
      <c r="AE44" s="97" t="n"/>
      <c r="AF44" s="97" t="n"/>
      <c r="AG44" s="98" t="inlineStr">
        <is>
          <t>Hydraulik-/Pneumatikzylinder (Baugruppe in der Vorversion nicht benannt)</t>
        </is>
      </c>
      <c r="AH44" s="98" t="inlineStr">
        <is>
          <t>Baugruppe</t>
        </is>
      </c>
      <c r="AI44" s="97" t="n"/>
      <c r="AJ44" s="97" t="n"/>
      <c r="AK44" s="97" t="n"/>
      <c r="AL44" s="97" t="n"/>
      <c r="AM44" s="97" t="n"/>
      <c r="AN44" s="97" t="n"/>
      <c r="AO44" s="97" t="n"/>
      <c r="AP44" s="99" t="inlineStr">
        <is>
          <t>–</t>
        </is>
      </c>
      <c r="AQ44" s="100" t="inlineStr">
        <is>
          <t>– (in Vorversion nicht vorhanden)</t>
        </is>
      </c>
    </row>
    <row r="45" ht="18" customHeight="1">
      <c r="A45" s="115" t="inlineStr">
        <is>
          <t>6.1</t>
        </is>
      </c>
      <c r="B45" s="116" t="inlineStr">
        <is>
          <t>Alle Hydraulik-/Pneumatikzylinder nach folgenden Kriterien inspizieren:</t>
        </is>
      </c>
      <c r="C45" s="116" t="n"/>
      <c r="D45" s="116" t="n"/>
      <c r="E45" s="116" t="n"/>
      <c r="F45" s="116" t="n"/>
      <c r="G45" s="116" t="n"/>
      <c r="H45" s="116" t="n"/>
      <c r="I45" s="116" t="n"/>
      <c r="J45" s="116" t="n"/>
      <c r="K45" s="116" t="n"/>
      <c r="L45" s="116" t="n"/>
      <c r="M45" s="116" t="n"/>
      <c r="N45" s="116" t="n"/>
      <c r="O45" s="116" t="n"/>
      <c r="P45" s="116" t="n"/>
      <c r="Q45" s="116" t="n"/>
      <c r="R45" s="116" t="n"/>
      <c r="S45" s="116" t="n"/>
      <c r="T45" s="116" t="n"/>
      <c r="U45" s="116" t="n"/>
      <c r="V45" s="116" t="n"/>
      <c r="W45" s="116" t="n"/>
      <c r="X45" s="116" t="n"/>
      <c r="Y45" s="116" t="n"/>
      <c r="Z45" s="116" t="n"/>
      <c r="AA45" s="116" t="n"/>
      <c r="AB45" s="116" t="n"/>
      <c r="AC45" s="116" t="n"/>
      <c r="AD45" s="116" t="n"/>
      <c r="AE45" s="116" t="n"/>
      <c r="AF45" s="116" t="n"/>
      <c r="AG45" s="117" t="inlineStr">
        <is>
          <t>Hydraulik-/Pneumatikzylinder (Baugruppe in der Vorversion nicht benannt)</t>
        </is>
      </c>
      <c r="AH45" s="117" t="inlineStr">
        <is>
          <t>Prüfgruppe</t>
        </is>
      </c>
      <c r="AI45" s="116" t="n"/>
      <c r="AJ45" s="116" t="n"/>
      <c r="AK45" s="116" t="n"/>
      <c r="AL45" s="116" t="n"/>
      <c r="AM45" s="116" t="n"/>
      <c r="AN45" s="116" t="n"/>
      <c r="AO45" s="116" t="n"/>
      <c r="AP45" s="118" t="inlineStr">
        <is>
          <t>6.1</t>
        </is>
      </c>
      <c r="AQ45" s="119" t="inlineStr">
        <is>
          <t>Inspiziere alle Hydraulikzylinder/Pneumatikzylinder nach folgenden Kriterien:</t>
        </is>
      </c>
    </row>
    <row r="46" ht="32" customHeight="1">
      <c r="A46" s="101" t="inlineStr">
        <is>
          <t>6.1.1</t>
        </is>
      </c>
      <c r="B46" s="102" t="inlineStr">
        <is>
          <t>Kolbenspiel kontrollieren</t>
        </is>
      </c>
      <c r="C46" s="103" t="inlineStr">
        <is>
          <t>Inspektion</t>
        </is>
      </c>
      <c r="D46" s="102" t="n"/>
      <c r="E46" s="114" t="inlineStr">
        <is>
          <t>Kein unzulässiges Kolbenspiel</t>
        </is>
      </c>
      <c r="F46" s="102" t="n"/>
      <c r="G46" s="68">
        <f>IF(AB46="unvollständig","Bewertung fehlt",INDEX(Kl_Intervall,MATCH(AB46,Kl_Name,0)))</f>
        <v/>
      </c>
      <c r="H46" s="8">
        <f>IF(G46="Bewertung fehlt","",G46)</f>
        <v/>
      </c>
      <c r="I46" s="105" t="n"/>
      <c r="J46" s="106">
        <f>IF(OR(I46="",NOT(ISNUMBER(AK46))),"",IF(AJ46="Tage",I46+AI46,IF(AJ46="Wochen",I46+7*AI46,EDATE(I46,ROUND(AI46*IF(AJ46="Jahre",12,1),0)))))</f>
        <v/>
      </c>
      <c r="K46" s="107">
        <f>IF(J46="","",J46-TODAY())</f>
        <v/>
      </c>
      <c r="L46" s="57">
        <f>IF(H46="","Intervall fehlt",IF(NOT(ISNUMBER(AK46)),"Intervall prüfen",IF(I46="","nicht erfasst",IF(K46&lt;0,"überfällig",IF(K46&lt;=MIN(P_Vorwarn,ROUND(AK46/4,0)),"fällig","in Ordnung")))))</f>
        <v/>
      </c>
      <c r="M46" s="103" t="n"/>
      <c r="N46" s="103" t="n"/>
      <c r="O46" s="108" t="n"/>
      <c r="P46" s="103" t="n"/>
      <c r="Q46" s="120">
        <f>Q31</f>
        <v/>
      </c>
      <c r="R46" s="120">
        <f>R31</f>
        <v/>
      </c>
      <c r="S46" s="120">
        <f>S31</f>
        <v/>
      </c>
      <c r="T46" s="120">
        <f>T31</f>
        <v/>
      </c>
      <c r="U46" s="120">
        <f>U31</f>
        <v/>
      </c>
      <c r="V46" s="120">
        <f>V31</f>
        <v/>
      </c>
      <c r="W46" s="120">
        <f>W31</f>
        <v/>
      </c>
      <c r="X46" s="120">
        <f>X31</f>
        <v/>
      </c>
      <c r="Y46" s="109">
        <f>P_SF</f>
        <v/>
      </c>
      <c r="Z46" s="109">
        <f>IF(COUNT(Q46:V46)=6,SQRT(SUMSQ(Q46:V46))/2,"")</f>
        <v/>
      </c>
      <c r="AA46" s="80">
        <f>IF(COUNT(W46:Z46)=4,Z46*W46*X46*Y46,"")</f>
        <v/>
      </c>
      <c r="AB46" s="68">
        <f>IF(AA46="","unvollständig",IF(AA46&gt;P_Grenze_kritisch,"kritisch",IF(AA46&gt;=P_Grenze_hoch,"hoch",IF(AA46&gt;=P_Grenze_mittel,"mittel","gering"))))</f>
        <v/>
      </c>
      <c r="AC46" s="68">
        <f>TRIM(IF(N(T46)&gt;=P_Krit,"AS ","")&amp;IF(N(S46)&gt;=P_Krit,"Q ","")&amp;IF(N(U46)&gt;=P_Krit,"US",""))</f>
        <v/>
      </c>
      <c r="AD46" s="102">
        <f>IF(ISNUMBER(R46),INDEX(IH_Text,R46),"")</f>
        <v/>
      </c>
      <c r="AE46" s="108" t="n"/>
      <c r="AF46" s="68" t="inlineStr">
        <is>
          <t>5.2.1</t>
        </is>
      </c>
      <c r="AG46" s="110" t="inlineStr">
        <is>
          <t>Hydraulik-/Pneumatikzylinder (Baugruppe in der Vorversion nicht benannt)</t>
        </is>
      </c>
      <c r="AH46" s="110" t="inlineStr">
        <is>
          <t>Maßnahme</t>
        </is>
      </c>
      <c r="AI46" s="68">
        <f>IF(H46="","",IFERROR(INDEX(Iv_Anzahl,MATCH(H46,Iv_Name,0)),IFERROR(VALUE(LEFT(TRIM(SUBSTITUTE(LOWER(H46),"alle ","")),FIND(" ",TRIM(SUBSTITUTE(LOWER(H46),"alle ",""))&amp;" ")-1)),"")))</f>
        <v/>
      </c>
      <c r="AJ46" s="68">
        <f>IF(H46="","",IFERROR(INDEX(Iv_Einheit,MATCH(H46,Iv_Name,0)),IF(ISNUMBER(SEARCH("jahr",H46)),"Jahre",IF(ISNUMBER(SEARCH("monat",H46)),"Monate",IF(ISNUMBER(SEARCH("woche",H46)),"Wochen",IF(ISNUMBER(SEARCH("tag",H46)),"Tage",""))))))</f>
        <v/>
      </c>
      <c r="AK46" s="107">
        <f>IF(AND(ISNUMBER(AI46),AJ46&lt;&gt;""),IF(AI46&gt;0,AI46*IF(AJ46="Tage",1,IF(AJ46="Wochen",7,IF(AJ46="Monate",365/12,365))),""),"")</f>
        <v/>
      </c>
      <c r="AL46" s="111">
        <f>IF(ISNUMBER(AK46),365/AK46,"")</f>
        <v/>
      </c>
      <c r="AM46" s="111">
        <f>IF(AND(ISNUMBER(AL46),ISNUMBER(AE46)),AL46*AE46/60,"")</f>
        <v/>
      </c>
      <c r="AN46" s="102">
        <f>IF(ISNUMBER(AA46),AA46-ROW()/100000,"")</f>
        <v/>
      </c>
      <c r="AO46" s="102">
        <f>IF(OR(L46="überfällig",L46="fällig"),J46+ROW()/100000,"")</f>
        <v/>
      </c>
      <c r="AP46" s="112" t="inlineStr">
        <is>
          <t>6.1.1</t>
        </is>
      </c>
      <c r="AQ46" s="113" t="inlineStr">
        <is>
          <t>kontrolliere Kolbenspiel</t>
        </is>
      </c>
    </row>
    <row r="47" ht="80" customHeight="1">
      <c r="A47" s="101" t="inlineStr">
        <is>
          <t>6.1.2</t>
        </is>
      </c>
      <c r="B47" s="102" t="inlineStr">
        <is>
          <t>Dichtungen kontrollieren (Sichtkontrolle auf Öl-Leckage)</t>
        </is>
      </c>
      <c r="C47" s="103" t="inlineStr">
        <is>
          <t>Inspektion</t>
        </is>
      </c>
      <c r="D47" s="102" t="n"/>
      <c r="E47" s="114" t="inlineStr">
        <is>
          <t>Keine Leckage</t>
        </is>
      </c>
      <c r="F47" s="102" t="n"/>
      <c r="G47" s="68">
        <f>IF(AB47="unvollständig","Bewertung fehlt",INDEX(Kl_Intervall,MATCH(AB47,Kl_Name,0)))</f>
        <v/>
      </c>
      <c r="H47" s="8">
        <f>IF(G47="Bewertung fehlt","",G47)</f>
        <v/>
      </c>
      <c r="I47" s="105" t="n"/>
      <c r="J47" s="106">
        <f>IF(OR(I47="",NOT(ISNUMBER(AK47))),"",IF(AJ47="Tage",I47+AI47,IF(AJ47="Wochen",I47+7*AI47,EDATE(I47,ROUND(AI47*IF(AJ47="Jahre",12,1),0)))))</f>
        <v/>
      </c>
      <c r="K47" s="107">
        <f>IF(J47="","",J47-TODAY())</f>
        <v/>
      </c>
      <c r="L47" s="57">
        <f>IF(H47="","Intervall fehlt",IF(NOT(ISNUMBER(AK47)),"Intervall prüfen",IF(I47="","nicht erfasst",IF(K47&lt;0,"überfällig",IF(K47&lt;=MIN(P_Vorwarn,ROUND(AK47/4,0)),"fällig","in Ordnung")))))</f>
        <v/>
      </c>
      <c r="M47" s="103" t="n"/>
      <c r="N47" s="103" t="n"/>
      <c r="O47" s="108" t="n"/>
      <c r="P47" s="103" t="n"/>
      <c r="Q47" s="120">
        <f>Q32</f>
        <v/>
      </c>
      <c r="R47" s="120">
        <f>R32</f>
        <v/>
      </c>
      <c r="S47" s="120">
        <f>S32</f>
        <v/>
      </c>
      <c r="T47" s="120">
        <f>T32</f>
        <v/>
      </c>
      <c r="U47" s="120">
        <f>U32</f>
        <v/>
      </c>
      <c r="V47" s="120">
        <f>V32</f>
        <v/>
      </c>
      <c r="W47" s="120">
        <f>W32</f>
        <v/>
      </c>
      <c r="X47" s="120">
        <f>X32</f>
        <v/>
      </c>
      <c r="Y47" s="109">
        <f>P_SF</f>
        <v/>
      </c>
      <c r="Z47" s="109">
        <f>IF(COUNT(Q47:V47)=6,SQRT(SUMSQ(Q47:V47))/2,"")</f>
        <v/>
      </c>
      <c r="AA47" s="80">
        <f>IF(COUNT(W47:Z47)=4,Z47*W47*X47*Y47,"")</f>
        <v/>
      </c>
      <c r="AB47" s="68">
        <f>IF(AA47="","unvollständig",IF(AA47&gt;P_Grenze_kritisch,"kritisch",IF(AA47&gt;=P_Grenze_hoch,"hoch",IF(AA47&gt;=P_Grenze_mittel,"mittel","gering"))))</f>
        <v/>
      </c>
      <c r="AC47" s="68">
        <f>TRIM(IF(N(T47)&gt;=P_Krit,"AS ","")&amp;IF(N(S47)&gt;=P_Krit,"Q ","")&amp;IF(N(U47)&gt;=P_Krit,"US",""))</f>
        <v/>
      </c>
      <c r="AD47" s="102">
        <f>IF(ISNUMBER(R47),INDEX(IH_Text,R47),"")</f>
        <v/>
      </c>
      <c r="AE47" s="108" t="n"/>
      <c r="AF47" s="68" t="inlineStr">
        <is>
          <t>5.2.2</t>
        </is>
      </c>
      <c r="AG47" s="110" t="inlineStr">
        <is>
          <t>Hydraulik-/Pneumatikzylinder (Baugruppe in der Vorversion nicht benannt)</t>
        </is>
      </c>
      <c r="AH47" s="110" t="inlineStr">
        <is>
          <t>Maßnahme</t>
        </is>
      </c>
      <c r="AI47" s="68">
        <f>IF(H47="","",IFERROR(INDEX(Iv_Anzahl,MATCH(H47,Iv_Name,0)),IFERROR(VALUE(LEFT(TRIM(SUBSTITUTE(LOWER(H47),"alle ","")),FIND(" ",TRIM(SUBSTITUTE(LOWER(H47),"alle ",""))&amp;" ")-1)),"")))</f>
        <v/>
      </c>
      <c r="AJ47" s="68">
        <f>IF(H47="","",IFERROR(INDEX(Iv_Einheit,MATCH(H47,Iv_Name,0)),IF(ISNUMBER(SEARCH("jahr",H47)),"Jahre",IF(ISNUMBER(SEARCH("monat",H47)),"Monate",IF(ISNUMBER(SEARCH("woche",H47)),"Wochen",IF(ISNUMBER(SEARCH("tag",H47)),"Tage",""))))))</f>
        <v/>
      </c>
      <c r="AK47" s="107">
        <f>IF(AND(ISNUMBER(AI47),AJ47&lt;&gt;""),IF(AI47&gt;0,AI47*IF(AJ47="Tage",1,IF(AJ47="Wochen",7,IF(AJ47="Monate",365/12,365))),""),"")</f>
        <v/>
      </c>
      <c r="AL47" s="111">
        <f>IF(ISNUMBER(AK47),365/AK47,"")</f>
        <v/>
      </c>
      <c r="AM47" s="111">
        <f>IF(AND(ISNUMBER(AL47),ISNUMBER(AE47)),AL47*AE47/60,"")</f>
        <v/>
      </c>
      <c r="AN47" s="102">
        <f>IF(ISNUMBER(AA47),AA47-ROW()/100000,"")</f>
        <v/>
      </c>
      <c r="AO47" s="102">
        <f>IF(OR(L47="überfällig",L47="fällig"),J47+ROW()/100000,"")</f>
        <v/>
      </c>
      <c r="AP47" s="112" t="inlineStr">
        <is>
          <t>6.1.2</t>
        </is>
      </c>
      <c r="AQ47" s="113" t="inlineStr">
        <is>
          <t>kontrolliere Dichtungen (Sichtkontrolle auf Öl-Leckage )</t>
        </is>
      </c>
    </row>
    <row r="48" ht="32" customHeight="1">
      <c r="A48" s="101" t="inlineStr">
        <is>
          <t>6.1.3</t>
        </is>
      </c>
      <c r="B48" s="102" t="inlineStr">
        <is>
          <t>Anschlüsse auf Dichtheit und Beschädigungen prüfen</t>
        </is>
      </c>
      <c r="C48" s="103" t="inlineStr">
        <is>
          <t>Inspektion</t>
        </is>
      </c>
      <c r="D48" s="102" t="n"/>
      <c r="E48" s="114" t="inlineStr">
        <is>
          <t>Dicht, unbeschädigt</t>
        </is>
      </c>
      <c r="F48" s="102" t="n"/>
      <c r="G48" s="68">
        <f>IF(AB48="unvollständig","Bewertung fehlt",INDEX(Kl_Intervall,MATCH(AB48,Kl_Name,0)))</f>
        <v/>
      </c>
      <c r="H48" s="8">
        <f>IF(G48="Bewertung fehlt","",G48)</f>
        <v/>
      </c>
      <c r="I48" s="105" t="n"/>
      <c r="J48" s="106">
        <f>IF(OR(I48="",NOT(ISNUMBER(AK48))),"",IF(AJ48="Tage",I48+AI48,IF(AJ48="Wochen",I48+7*AI48,EDATE(I48,ROUND(AI48*IF(AJ48="Jahre",12,1),0)))))</f>
        <v/>
      </c>
      <c r="K48" s="107">
        <f>IF(J48="","",J48-TODAY())</f>
        <v/>
      </c>
      <c r="L48" s="57">
        <f>IF(H48="","Intervall fehlt",IF(NOT(ISNUMBER(AK48)),"Intervall prüfen",IF(I48="","nicht erfasst",IF(K48&lt;0,"überfällig",IF(K48&lt;=MIN(P_Vorwarn,ROUND(AK48/4,0)),"fällig","in Ordnung")))))</f>
        <v/>
      </c>
      <c r="M48" s="103" t="n"/>
      <c r="N48" s="103" t="n"/>
      <c r="O48" s="108" t="n"/>
      <c r="P48" s="103" t="n"/>
      <c r="Q48" s="120">
        <f>Q33</f>
        <v/>
      </c>
      <c r="R48" s="120">
        <f>R33</f>
        <v/>
      </c>
      <c r="S48" s="120">
        <f>S33</f>
        <v/>
      </c>
      <c r="T48" s="120">
        <f>T33</f>
        <v/>
      </c>
      <c r="U48" s="120">
        <f>U33</f>
        <v/>
      </c>
      <c r="V48" s="120">
        <f>V33</f>
        <v/>
      </c>
      <c r="W48" s="120">
        <f>W33</f>
        <v/>
      </c>
      <c r="X48" s="120">
        <f>X33</f>
        <v/>
      </c>
      <c r="Y48" s="109">
        <f>P_SF</f>
        <v/>
      </c>
      <c r="Z48" s="109">
        <f>IF(COUNT(Q48:V48)=6,SQRT(SUMSQ(Q48:V48))/2,"")</f>
        <v/>
      </c>
      <c r="AA48" s="80">
        <f>IF(COUNT(W48:Z48)=4,Z48*W48*X48*Y48,"")</f>
        <v/>
      </c>
      <c r="AB48" s="68">
        <f>IF(AA48="","unvollständig",IF(AA48&gt;P_Grenze_kritisch,"kritisch",IF(AA48&gt;=P_Grenze_hoch,"hoch",IF(AA48&gt;=P_Grenze_mittel,"mittel","gering"))))</f>
        <v/>
      </c>
      <c r="AC48" s="68">
        <f>TRIM(IF(N(T48)&gt;=P_Krit,"AS ","")&amp;IF(N(S48)&gt;=P_Krit,"Q ","")&amp;IF(N(U48)&gt;=P_Krit,"US",""))</f>
        <v/>
      </c>
      <c r="AD48" s="102">
        <f>IF(ISNUMBER(R48),INDEX(IH_Text,R48),"")</f>
        <v/>
      </c>
      <c r="AE48" s="108" t="n"/>
      <c r="AF48" s="68" t="inlineStr">
        <is>
          <t>5.2.3</t>
        </is>
      </c>
      <c r="AG48" s="110" t="inlineStr">
        <is>
          <t>Hydraulik-/Pneumatikzylinder (Baugruppe in der Vorversion nicht benannt)</t>
        </is>
      </c>
      <c r="AH48" s="110" t="inlineStr">
        <is>
          <t>Maßnahme</t>
        </is>
      </c>
      <c r="AI48" s="68">
        <f>IF(H48="","",IFERROR(INDEX(Iv_Anzahl,MATCH(H48,Iv_Name,0)),IFERROR(VALUE(LEFT(TRIM(SUBSTITUTE(LOWER(H48),"alle ","")),FIND(" ",TRIM(SUBSTITUTE(LOWER(H48),"alle ",""))&amp;" ")-1)),"")))</f>
        <v/>
      </c>
      <c r="AJ48" s="68">
        <f>IF(H48="","",IFERROR(INDEX(Iv_Einheit,MATCH(H48,Iv_Name,0)),IF(ISNUMBER(SEARCH("jahr",H48)),"Jahre",IF(ISNUMBER(SEARCH("monat",H48)),"Monate",IF(ISNUMBER(SEARCH("woche",H48)),"Wochen",IF(ISNUMBER(SEARCH("tag",H48)),"Tage",""))))))</f>
        <v/>
      </c>
      <c r="AK48" s="107">
        <f>IF(AND(ISNUMBER(AI48),AJ48&lt;&gt;""),IF(AI48&gt;0,AI48*IF(AJ48="Tage",1,IF(AJ48="Wochen",7,IF(AJ48="Monate",365/12,365))),""),"")</f>
        <v/>
      </c>
      <c r="AL48" s="111">
        <f>IF(ISNUMBER(AK48),365/AK48,"")</f>
        <v/>
      </c>
      <c r="AM48" s="111">
        <f>IF(AND(ISNUMBER(AL48),ISNUMBER(AE48)),AL48*AE48/60,"")</f>
        <v/>
      </c>
      <c r="AN48" s="102">
        <f>IF(ISNUMBER(AA48),AA48-ROW()/100000,"")</f>
        <v/>
      </c>
      <c r="AO48" s="102">
        <f>IF(OR(L48="überfällig",L48="fällig"),J48+ROW()/100000,"")</f>
        <v/>
      </c>
      <c r="AP48" s="112" t="inlineStr">
        <is>
          <t>6.1.3</t>
        </is>
      </c>
      <c r="AQ48" s="113" t="inlineStr">
        <is>
          <t>Anschlüsse auf Dichtheit und Beschädigungen prüfen</t>
        </is>
      </c>
    </row>
    <row r="49" ht="32" customHeight="1">
      <c r="A49" s="101" t="inlineStr">
        <is>
          <t>6.1.4</t>
        </is>
      </c>
      <c r="B49" s="102" t="inlineStr">
        <is>
          <t>Befestigung des Zylinders prüfen (wenn möglich)</t>
        </is>
      </c>
      <c r="C49" s="103" t="inlineStr">
        <is>
          <t>Inspektion</t>
        </is>
      </c>
      <c r="D49" s="102" t="n"/>
      <c r="E49" s="114" t="inlineStr">
        <is>
          <t>Fest, kein Spiel</t>
        </is>
      </c>
      <c r="F49" s="102" t="n"/>
      <c r="G49" s="68">
        <f>IF(AB49="unvollständig","Bewertung fehlt",INDEX(Kl_Intervall,MATCH(AB49,Kl_Name,0)))</f>
        <v/>
      </c>
      <c r="H49" s="8">
        <f>IF(G49="Bewertung fehlt","",G49)</f>
        <v/>
      </c>
      <c r="I49" s="105" t="n"/>
      <c r="J49" s="106">
        <f>IF(OR(I49="",NOT(ISNUMBER(AK49))),"",IF(AJ49="Tage",I49+AI49,IF(AJ49="Wochen",I49+7*AI49,EDATE(I49,ROUND(AI49*IF(AJ49="Jahre",12,1),0)))))</f>
        <v/>
      </c>
      <c r="K49" s="107">
        <f>IF(J49="","",J49-TODAY())</f>
        <v/>
      </c>
      <c r="L49" s="57">
        <f>IF(H49="","Intervall fehlt",IF(NOT(ISNUMBER(AK49)),"Intervall prüfen",IF(I49="","nicht erfasst",IF(K49&lt;0,"überfällig",IF(K49&lt;=MIN(P_Vorwarn,ROUND(AK49/4,0)),"fällig","in Ordnung")))))</f>
        <v/>
      </c>
      <c r="M49" s="103" t="n"/>
      <c r="N49" s="103" t="n"/>
      <c r="O49" s="108" t="n"/>
      <c r="P49" s="103" t="n"/>
      <c r="Q49" s="120">
        <f>Q34</f>
        <v/>
      </c>
      <c r="R49" s="120">
        <f>R34</f>
        <v/>
      </c>
      <c r="S49" s="120">
        <f>S34</f>
        <v/>
      </c>
      <c r="T49" s="120">
        <f>T34</f>
        <v/>
      </c>
      <c r="U49" s="120">
        <f>U34</f>
        <v/>
      </c>
      <c r="V49" s="120">
        <f>V34</f>
        <v/>
      </c>
      <c r="W49" s="120">
        <f>W34</f>
        <v/>
      </c>
      <c r="X49" s="120">
        <f>X34</f>
        <v/>
      </c>
      <c r="Y49" s="109">
        <f>P_SF</f>
        <v/>
      </c>
      <c r="Z49" s="109">
        <f>IF(COUNT(Q49:V49)=6,SQRT(SUMSQ(Q49:V49))/2,"")</f>
        <v/>
      </c>
      <c r="AA49" s="80">
        <f>IF(COUNT(W49:Z49)=4,Z49*W49*X49*Y49,"")</f>
        <v/>
      </c>
      <c r="AB49" s="68">
        <f>IF(AA49="","unvollständig",IF(AA49&gt;P_Grenze_kritisch,"kritisch",IF(AA49&gt;=P_Grenze_hoch,"hoch",IF(AA49&gt;=P_Grenze_mittel,"mittel","gering"))))</f>
        <v/>
      </c>
      <c r="AC49" s="68">
        <f>TRIM(IF(N(T49)&gt;=P_Krit,"AS ","")&amp;IF(N(S49)&gt;=P_Krit,"Q ","")&amp;IF(N(U49)&gt;=P_Krit,"US",""))</f>
        <v/>
      </c>
      <c r="AD49" s="102">
        <f>IF(ISNUMBER(R49),INDEX(IH_Text,R49),"")</f>
        <v/>
      </c>
      <c r="AE49" s="108" t="n"/>
      <c r="AF49" s="68" t="inlineStr">
        <is>
          <t>5.2.4</t>
        </is>
      </c>
      <c r="AG49" s="110" t="inlineStr">
        <is>
          <t>Hydraulik-/Pneumatikzylinder (Baugruppe in der Vorversion nicht benannt)</t>
        </is>
      </c>
      <c r="AH49" s="110" t="inlineStr">
        <is>
          <t>Maßnahme</t>
        </is>
      </c>
      <c r="AI49" s="68">
        <f>IF(H49="","",IFERROR(INDEX(Iv_Anzahl,MATCH(H49,Iv_Name,0)),IFERROR(VALUE(LEFT(TRIM(SUBSTITUTE(LOWER(H49),"alle ","")),FIND(" ",TRIM(SUBSTITUTE(LOWER(H49),"alle ",""))&amp;" ")-1)),"")))</f>
        <v/>
      </c>
      <c r="AJ49" s="68">
        <f>IF(H49="","",IFERROR(INDEX(Iv_Einheit,MATCH(H49,Iv_Name,0)),IF(ISNUMBER(SEARCH("jahr",H49)),"Jahre",IF(ISNUMBER(SEARCH("monat",H49)),"Monate",IF(ISNUMBER(SEARCH("woche",H49)),"Wochen",IF(ISNUMBER(SEARCH("tag",H49)),"Tage",""))))))</f>
        <v/>
      </c>
      <c r="AK49" s="107">
        <f>IF(AND(ISNUMBER(AI49),AJ49&lt;&gt;""),IF(AI49&gt;0,AI49*IF(AJ49="Tage",1,IF(AJ49="Wochen",7,IF(AJ49="Monate",365/12,365))),""),"")</f>
        <v/>
      </c>
      <c r="AL49" s="111">
        <f>IF(ISNUMBER(AK49),365/AK49,"")</f>
        <v/>
      </c>
      <c r="AM49" s="111">
        <f>IF(AND(ISNUMBER(AL49),ISNUMBER(AE49)),AL49*AE49/60,"")</f>
        <v/>
      </c>
      <c r="AN49" s="102">
        <f>IF(ISNUMBER(AA49),AA49-ROW()/100000,"")</f>
        <v/>
      </c>
      <c r="AO49" s="102">
        <f>IF(OR(L49="überfällig",L49="fällig"),J49+ROW()/100000,"")</f>
        <v/>
      </c>
      <c r="AP49" s="112" t="inlineStr">
        <is>
          <t>6.1.4</t>
        </is>
      </c>
      <c r="AQ49" s="113" t="inlineStr">
        <is>
          <t>überprüfe die Befestigung des Zylinders (wenn möglich)</t>
        </is>
      </c>
    </row>
    <row r="50" ht="32" customHeight="1">
      <c r="A50" s="101" t="inlineStr">
        <is>
          <t>6.1.5</t>
        </is>
      </c>
      <c r="B50" s="102" t="inlineStr">
        <is>
          <t>Funktion des Zylinders testen</t>
        </is>
      </c>
      <c r="C50" s="103" t="inlineStr">
        <is>
          <t>Funktionsprüfung</t>
        </is>
      </c>
      <c r="D50" s="102" t="n"/>
      <c r="E50" s="114" t="inlineStr">
        <is>
          <t>Gleichmäßige Bewegung über den gesamten Hub</t>
        </is>
      </c>
      <c r="F50" s="102" t="n"/>
      <c r="G50" s="68">
        <f>IF(AB50="unvollständig","Bewertung fehlt",INDEX(Kl_Intervall,MATCH(AB50,Kl_Name,0)))</f>
        <v/>
      </c>
      <c r="H50" s="8">
        <f>IF(G50="Bewertung fehlt","",G50)</f>
        <v/>
      </c>
      <c r="I50" s="105" t="n"/>
      <c r="J50" s="106">
        <f>IF(OR(I50="",NOT(ISNUMBER(AK50))),"",IF(AJ50="Tage",I50+AI50,IF(AJ50="Wochen",I50+7*AI50,EDATE(I50,ROUND(AI50*IF(AJ50="Jahre",12,1),0)))))</f>
        <v/>
      </c>
      <c r="K50" s="107">
        <f>IF(J50="","",J50-TODAY())</f>
        <v/>
      </c>
      <c r="L50" s="57">
        <f>IF(H50="","Intervall fehlt",IF(NOT(ISNUMBER(AK50)),"Intervall prüfen",IF(I50="","nicht erfasst",IF(K50&lt;0,"überfällig",IF(K50&lt;=MIN(P_Vorwarn,ROUND(AK50/4,0)),"fällig","in Ordnung")))))</f>
        <v/>
      </c>
      <c r="M50" s="103" t="n"/>
      <c r="N50" s="103" t="n"/>
      <c r="O50" s="108" t="n"/>
      <c r="P50" s="103" t="n"/>
      <c r="Q50" s="120">
        <f>Q35</f>
        <v/>
      </c>
      <c r="R50" s="120">
        <f>R35</f>
        <v/>
      </c>
      <c r="S50" s="120">
        <f>S35</f>
        <v/>
      </c>
      <c r="T50" s="120">
        <f>T35</f>
        <v/>
      </c>
      <c r="U50" s="120">
        <f>U35</f>
        <v/>
      </c>
      <c r="V50" s="120">
        <f>V35</f>
        <v/>
      </c>
      <c r="W50" s="120">
        <f>W35</f>
        <v/>
      </c>
      <c r="X50" s="120">
        <f>X35</f>
        <v/>
      </c>
      <c r="Y50" s="109">
        <f>P_SF</f>
        <v/>
      </c>
      <c r="Z50" s="109">
        <f>IF(COUNT(Q50:V50)=6,SQRT(SUMSQ(Q50:V50))/2,"")</f>
        <v/>
      </c>
      <c r="AA50" s="80">
        <f>IF(COUNT(W50:Z50)=4,Z50*W50*X50*Y50,"")</f>
        <v/>
      </c>
      <c r="AB50" s="68">
        <f>IF(AA50="","unvollständig",IF(AA50&gt;P_Grenze_kritisch,"kritisch",IF(AA50&gt;=P_Grenze_hoch,"hoch",IF(AA50&gt;=P_Grenze_mittel,"mittel","gering"))))</f>
        <v/>
      </c>
      <c r="AC50" s="68">
        <f>TRIM(IF(N(T50)&gt;=P_Krit,"AS ","")&amp;IF(N(S50)&gt;=P_Krit,"Q ","")&amp;IF(N(U50)&gt;=P_Krit,"US",""))</f>
        <v/>
      </c>
      <c r="AD50" s="102">
        <f>IF(ISNUMBER(R50),INDEX(IH_Text,R50),"")</f>
        <v/>
      </c>
      <c r="AE50" s="108" t="n"/>
      <c r="AF50" s="68" t="inlineStr">
        <is>
          <t>5.2.5</t>
        </is>
      </c>
      <c r="AG50" s="110" t="inlineStr">
        <is>
          <t>Hydraulik-/Pneumatikzylinder (Baugruppe in der Vorversion nicht benannt)</t>
        </is>
      </c>
      <c r="AH50" s="110" t="inlineStr">
        <is>
          <t>Maßnahme</t>
        </is>
      </c>
      <c r="AI50" s="68">
        <f>IF(H50="","",IFERROR(INDEX(Iv_Anzahl,MATCH(H50,Iv_Name,0)),IFERROR(VALUE(LEFT(TRIM(SUBSTITUTE(LOWER(H50),"alle ","")),FIND(" ",TRIM(SUBSTITUTE(LOWER(H50),"alle ",""))&amp;" ")-1)),"")))</f>
        <v/>
      </c>
      <c r="AJ50" s="68">
        <f>IF(H50="","",IFERROR(INDEX(Iv_Einheit,MATCH(H50,Iv_Name,0)),IF(ISNUMBER(SEARCH("jahr",H50)),"Jahre",IF(ISNUMBER(SEARCH("monat",H50)),"Monate",IF(ISNUMBER(SEARCH("woche",H50)),"Wochen",IF(ISNUMBER(SEARCH("tag",H50)),"Tage",""))))))</f>
        <v/>
      </c>
      <c r="AK50" s="107">
        <f>IF(AND(ISNUMBER(AI50),AJ50&lt;&gt;""),IF(AI50&gt;0,AI50*IF(AJ50="Tage",1,IF(AJ50="Wochen",7,IF(AJ50="Monate",365/12,365))),""),"")</f>
        <v/>
      </c>
      <c r="AL50" s="111">
        <f>IF(ISNUMBER(AK50),365/AK50,"")</f>
        <v/>
      </c>
      <c r="AM50" s="111">
        <f>IF(AND(ISNUMBER(AL50),ISNUMBER(AE50)),AL50*AE50/60,"")</f>
        <v/>
      </c>
      <c r="AN50" s="102">
        <f>IF(ISNUMBER(AA50),AA50-ROW()/100000,"")</f>
        <v/>
      </c>
      <c r="AO50" s="102">
        <f>IF(OR(L50="überfällig",L50="fällig"),J50+ROW()/100000,"")</f>
        <v/>
      </c>
      <c r="AP50" s="112" t="inlineStr">
        <is>
          <t>6.1.5</t>
        </is>
      </c>
      <c r="AQ50" s="113" t="inlineStr">
        <is>
          <t>Funktion des Zylinders testen</t>
        </is>
      </c>
    </row>
    <row r="51" ht="32" customHeight="1">
      <c r="A51" s="101" t="inlineStr">
        <is>
          <t>6.1.6</t>
        </is>
      </c>
      <c r="B51" s="102" t="inlineStr">
        <is>
          <t>Hydraulikverschraubungen kontrollieren, ggf. nachziehen</t>
        </is>
      </c>
      <c r="C51" s="103" t="inlineStr">
        <is>
          <t>Inspektion</t>
        </is>
      </c>
      <c r="D51" s="102" t="n"/>
      <c r="E51" s="114" t="inlineStr">
        <is>
          <t>Verschraubungen fest und dicht</t>
        </is>
      </c>
      <c r="F51" s="102" t="n"/>
      <c r="G51" s="68">
        <f>IF(AB51="unvollständig","Bewertung fehlt",INDEX(Kl_Intervall,MATCH(AB51,Kl_Name,0)))</f>
        <v/>
      </c>
      <c r="H51" s="8">
        <f>IF(G51="Bewertung fehlt","",G51)</f>
        <v/>
      </c>
      <c r="I51" s="105" t="n"/>
      <c r="J51" s="106">
        <f>IF(OR(I51="",NOT(ISNUMBER(AK51))),"",IF(AJ51="Tage",I51+AI51,IF(AJ51="Wochen",I51+7*AI51,EDATE(I51,ROUND(AI51*IF(AJ51="Jahre",12,1),0)))))</f>
        <v/>
      </c>
      <c r="K51" s="107">
        <f>IF(J51="","",J51-TODAY())</f>
        <v/>
      </c>
      <c r="L51" s="57">
        <f>IF(H51="","Intervall fehlt",IF(NOT(ISNUMBER(AK51)),"Intervall prüfen",IF(I51="","nicht erfasst",IF(K51&lt;0,"überfällig",IF(K51&lt;=MIN(P_Vorwarn,ROUND(AK51/4,0)),"fällig","in Ordnung")))))</f>
        <v/>
      </c>
      <c r="M51" s="103" t="n"/>
      <c r="N51" s="103" t="n"/>
      <c r="O51" s="108" t="n"/>
      <c r="P51" s="103" t="n"/>
      <c r="Q51" s="120">
        <f>Q36</f>
        <v/>
      </c>
      <c r="R51" s="120">
        <f>R36</f>
        <v/>
      </c>
      <c r="S51" s="120">
        <f>S36</f>
        <v/>
      </c>
      <c r="T51" s="120">
        <f>T36</f>
        <v/>
      </c>
      <c r="U51" s="120">
        <f>U36</f>
        <v/>
      </c>
      <c r="V51" s="120">
        <f>V36</f>
        <v/>
      </c>
      <c r="W51" s="120">
        <f>W36</f>
        <v/>
      </c>
      <c r="X51" s="120">
        <f>X36</f>
        <v/>
      </c>
      <c r="Y51" s="109">
        <f>P_SF</f>
        <v/>
      </c>
      <c r="Z51" s="109">
        <f>IF(COUNT(Q51:V51)=6,SQRT(SUMSQ(Q51:V51))/2,"")</f>
        <v/>
      </c>
      <c r="AA51" s="80">
        <f>IF(COUNT(W51:Z51)=4,Z51*W51*X51*Y51,"")</f>
        <v/>
      </c>
      <c r="AB51" s="68">
        <f>IF(AA51="","unvollständig",IF(AA51&gt;P_Grenze_kritisch,"kritisch",IF(AA51&gt;=P_Grenze_hoch,"hoch",IF(AA51&gt;=P_Grenze_mittel,"mittel","gering"))))</f>
        <v/>
      </c>
      <c r="AC51" s="68">
        <f>TRIM(IF(N(T51)&gt;=P_Krit,"AS ","")&amp;IF(N(S51)&gt;=P_Krit,"Q ","")&amp;IF(N(U51)&gt;=P_Krit,"US",""))</f>
        <v/>
      </c>
      <c r="AD51" s="102">
        <f>IF(ISNUMBER(R51),INDEX(IH_Text,R51),"")</f>
        <v/>
      </c>
      <c r="AE51" s="108" t="n"/>
      <c r="AF51" s="68" t="inlineStr">
        <is>
          <t>5.2.6</t>
        </is>
      </c>
      <c r="AG51" s="110" t="inlineStr">
        <is>
          <t>Hydraulik-/Pneumatikzylinder (Baugruppe in der Vorversion nicht benannt)</t>
        </is>
      </c>
      <c r="AH51" s="110" t="inlineStr">
        <is>
          <t>Maßnahme</t>
        </is>
      </c>
      <c r="AI51" s="68">
        <f>IF(H51="","",IFERROR(INDEX(Iv_Anzahl,MATCH(H51,Iv_Name,0)),IFERROR(VALUE(LEFT(TRIM(SUBSTITUTE(LOWER(H51),"alle ","")),FIND(" ",TRIM(SUBSTITUTE(LOWER(H51),"alle ",""))&amp;" ")-1)),"")))</f>
        <v/>
      </c>
      <c r="AJ51" s="68">
        <f>IF(H51="","",IFERROR(INDEX(Iv_Einheit,MATCH(H51,Iv_Name,0)),IF(ISNUMBER(SEARCH("jahr",H51)),"Jahre",IF(ISNUMBER(SEARCH("monat",H51)),"Monate",IF(ISNUMBER(SEARCH("woche",H51)),"Wochen",IF(ISNUMBER(SEARCH("tag",H51)),"Tage",""))))))</f>
        <v/>
      </c>
      <c r="AK51" s="107">
        <f>IF(AND(ISNUMBER(AI51),AJ51&lt;&gt;""),IF(AI51&gt;0,AI51*IF(AJ51="Tage",1,IF(AJ51="Wochen",7,IF(AJ51="Monate",365/12,365))),""),"")</f>
        <v/>
      </c>
      <c r="AL51" s="111">
        <f>IF(ISNUMBER(AK51),365/AK51,"")</f>
        <v/>
      </c>
      <c r="AM51" s="111">
        <f>IF(AND(ISNUMBER(AL51),ISNUMBER(AE51)),AL51*AE51/60,"")</f>
        <v/>
      </c>
      <c r="AN51" s="102">
        <f>IF(ISNUMBER(AA51),AA51-ROW()/100000,"")</f>
        <v/>
      </c>
      <c r="AO51" s="102">
        <f>IF(OR(L51="überfällig",L51="fällig"),J51+ROW()/100000,"")</f>
        <v/>
      </c>
      <c r="AP51" s="112" t="inlineStr">
        <is>
          <t>6.1.6</t>
        </is>
      </c>
      <c r="AQ51" s="113" t="inlineStr">
        <is>
          <t>kontrolliere Hydraulikverschraubungen ggf. nachziehen</t>
        </is>
      </c>
    </row>
    <row r="52" ht="45" customHeight="1">
      <c r="A52" s="101" t="inlineStr">
        <is>
          <t>6.1.7</t>
        </is>
      </c>
      <c r="B52" s="102" t="inlineStr">
        <is>
          <t>Hydraulikschläuche/-leitungen auf Dichtheit und Beschädigungen prüfen, ggf. nachziehen</t>
        </is>
      </c>
      <c r="C52" s="103" t="inlineStr">
        <is>
          <t>Inspektion</t>
        </is>
      </c>
      <c r="D52" s="102" t="n"/>
      <c r="E52" s="114" t="inlineStr">
        <is>
          <t>Dicht; keine Scheuerstellen, Risse oder Knicke</t>
        </is>
      </c>
      <c r="F52" s="102" t="n"/>
      <c r="G52" s="68">
        <f>IF(AB52="unvollständig","Bewertung fehlt",INDEX(Kl_Intervall,MATCH(AB52,Kl_Name,0)))</f>
        <v/>
      </c>
      <c r="H52" s="8">
        <f>IF(G52="Bewertung fehlt","",G52)</f>
        <v/>
      </c>
      <c r="I52" s="105" t="n"/>
      <c r="J52" s="106">
        <f>IF(OR(I52="",NOT(ISNUMBER(AK52))),"",IF(AJ52="Tage",I52+AI52,IF(AJ52="Wochen",I52+7*AI52,EDATE(I52,ROUND(AI52*IF(AJ52="Jahre",12,1),0)))))</f>
        <v/>
      </c>
      <c r="K52" s="107">
        <f>IF(J52="","",J52-TODAY())</f>
        <v/>
      </c>
      <c r="L52" s="57">
        <f>IF(H52="","Intervall fehlt",IF(NOT(ISNUMBER(AK52)),"Intervall prüfen",IF(I52="","nicht erfasst",IF(K52&lt;0,"überfällig",IF(K52&lt;=MIN(P_Vorwarn,ROUND(AK52/4,0)),"fällig","in Ordnung")))))</f>
        <v/>
      </c>
      <c r="M52" s="103" t="n"/>
      <c r="N52" s="103" t="n"/>
      <c r="O52" s="108" t="n"/>
      <c r="P52" s="103" t="n"/>
      <c r="Q52" s="120">
        <f>Q37</f>
        <v/>
      </c>
      <c r="R52" s="120">
        <f>R37</f>
        <v/>
      </c>
      <c r="S52" s="120">
        <f>S37</f>
        <v/>
      </c>
      <c r="T52" s="120">
        <f>T37</f>
        <v/>
      </c>
      <c r="U52" s="120">
        <f>U37</f>
        <v/>
      </c>
      <c r="V52" s="120">
        <f>V37</f>
        <v/>
      </c>
      <c r="W52" s="120">
        <f>W37</f>
        <v/>
      </c>
      <c r="X52" s="120">
        <f>X37</f>
        <v/>
      </c>
      <c r="Y52" s="109">
        <f>P_SF</f>
        <v/>
      </c>
      <c r="Z52" s="109">
        <f>IF(COUNT(Q52:V52)=6,SQRT(SUMSQ(Q52:V52))/2,"")</f>
        <v/>
      </c>
      <c r="AA52" s="80">
        <f>IF(COUNT(W52:Z52)=4,Z52*W52*X52*Y52,"")</f>
        <v/>
      </c>
      <c r="AB52" s="68">
        <f>IF(AA52="","unvollständig",IF(AA52&gt;P_Grenze_kritisch,"kritisch",IF(AA52&gt;=P_Grenze_hoch,"hoch",IF(AA52&gt;=P_Grenze_mittel,"mittel","gering"))))</f>
        <v/>
      </c>
      <c r="AC52" s="68">
        <f>TRIM(IF(N(T52)&gt;=P_Krit,"AS ","")&amp;IF(N(S52)&gt;=P_Krit,"Q ","")&amp;IF(N(U52)&gt;=P_Krit,"US",""))</f>
        <v/>
      </c>
      <c r="AD52" s="102">
        <f>IF(ISNUMBER(R52),INDEX(IH_Text,R52),"")</f>
        <v/>
      </c>
      <c r="AE52" s="108" t="n"/>
      <c r="AF52" s="68" t="inlineStr">
        <is>
          <t>5.2.7</t>
        </is>
      </c>
      <c r="AG52" s="110" t="inlineStr">
        <is>
          <t>Hydraulik-/Pneumatikzylinder (Baugruppe in der Vorversion nicht benannt)</t>
        </is>
      </c>
      <c r="AH52" s="110" t="inlineStr">
        <is>
          <t>Maßnahme</t>
        </is>
      </c>
      <c r="AI52" s="68">
        <f>IF(H52="","",IFERROR(INDEX(Iv_Anzahl,MATCH(H52,Iv_Name,0)),IFERROR(VALUE(LEFT(TRIM(SUBSTITUTE(LOWER(H52),"alle ","")),FIND(" ",TRIM(SUBSTITUTE(LOWER(H52),"alle ",""))&amp;" ")-1)),"")))</f>
        <v/>
      </c>
      <c r="AJ52" s="68">
        <f>IF(H52="","",IFERROR(INDEX(Iv_Einheit,MATCH(H52,Iv_Name,0)),IF(ISNUMBER(SEARCH("jahr",H52)),"Jahre",IF(ISNUMBER(SEARCH("monat",H52)),"Monate",IF(ISNUMBER(SEARCH("woche",H52)),"Wochen",IF(ISNUMBER(SEARCH("tag",H52)),"Tage",""))))))</f>
        <v/>
      </c>
      <c r="AK52" s="107">
        <f>IF(AND(ISNUMBER(AI52),AJ52&lt;&gt;""),IF(AI52&gt;0,AI52*IF(AJ52="Tage",1,IF(AJ52="Wochen",7,IF(AJ52="Monate",365/12,365))),""),"")</f>
        <v/>
      </c>
      <c r="AL52" s="111">
        <f>IF(ISNUMBER(AK52),365/AK52,"")</f>
        <v/>
      </c>
      <c r="AM52" s="111">
        <f>IF(AND(ISNUMBER(AL52),ISNUMBER(AE52)),AL52*AE52/60,"")</f>
        <v/>
      </c>
      <c r="AN52" s="102">
        <f>IF(ISNUMBER(AA52),AA52-ROW()/100000,"")</f>
        <v/>
      </c>
      <c r="AO52" s="102">
        <f>IF(OR(L52="überfällig",L52="fällig"),J52+ROW()/100000,"")</f>
        <v/>
      </c>
      <c r="AP52" s="112" t="inlineStr">
        <is>
          <t>6.1.7</t>
        </is>
      </c>
      <c r="AQ52" s="113" t="inlineStr">
        <is>
          <t>Hydraulikschläuche/Hydraulikleitungen auf Dichtheit und Beschädigungen prüfen ggf. Nachziehen</t>
        </is>
      </c>
    </row>
    <row r="53" ht="18" customHeight="1">
      <c r="A53" s="115" t="inlineStr">
        <is>
          <t>6.2</t>
        </is>
      </c>
      <c r="B53" s="116" t="inlineStr">
        <is>
          <t>Alle Sensoren/Endschalter nach folgenden Kriterien inspizieren:</t>
        </is>
      </c>
      <c r="C53" s="116" t="n"/>
      <c r="D53" s="116" t="n"/>
      <c r="E53" s="116" t="n"/>
      <c r="F53" s="116" t="n"/>
      <c r="G53" s="116" t="n"/>
      <c r="H53" s="116" t="n"/>
      <c r="I53" s="116" t="n"/>
      <c r="J53" s="116" t="n"/>
      <c r="K53" s="116" t="n"/>
      <c r="L53" s="116" t="n"/>
      <c r="M53" s="116" t="n"/>
      <c r="N53" s="116" t="n"/>
      <c r="O53" s="116" t="n"/>
      <c r="P53" s="116" t="n"/>
      <c r="Q53" s="116" t="n"/>
      <c r="R53" s="116" t="n"/>
      <c r="S53" s="116" t="n"/>
      <c r="T53" s="116" t="n"/>
      <c r="U53" s="116" t="n"/>
      <c r="V53" s="116" t="n"/>
      <c r="W53" s="116" t="n"/>
      <c r="X53" s="116" t="n"/>
      <c r="Y53" s="116" t="n"/>
      <c r="Z53" s="116" t="n"/>
      <c r="AA53" s="116" t="n"/>
      <c r="AB53" s="116" t="n"/>
      <c r="AC53" s="116" t="n"/>
      <c r="AD53" s="116" t="n"/>
      <c r="AE53" s="116" t="n"/>
      <c r="AF53" s="116" t="n"/>
      <c r="AG53" s="117" t="inlineStr">
        <is>
          <t>Hydraulik-/Pneumatikzylinder (Baugruppe in der Vorversion nicht benannt)</t>
        </is>
      </c>
      <c r="AH53" s="117" t="inlineStr">
        <is>
          <t>Prüfgruppe</t>
        </is>
      </c>
      <c r="AI53" s="116" t="n"/>
      <c r="AJ53" s="116" t="n"/>
      <c r="AK53" s="116" t="n"/>
      <c r="AL53" s="116" t="n"/>
      <c r="AM53" s="116" t="n"/>
      <c r="AN53" s="116" t="n"/>
      <c r="AO53" s="116" t="n"/>
      <c r="AP53" s="118" t="inlineStr">
        <is>
          <t>6.2</t>
        </is>
      </c>
      <c r="AQ53" s="119" t="inlineStr">
        <is>
          <t>Inspiziere alle Sensoren/Endschalter nach folgenden Kriterien:</t>
        </is>
      </c>
    </row>
    <row r="54" ht="19" customHeight="1">
      <c r="A54" s="101" t="inlineStr">
        <is>
          <t>6.2.1</t>
        </is>
      </c>
      <c r="B54" s="102" t="inlineStr">
        <is>
          <t>Funktion testen</t>
        </is>
      </c>
      <c r="C54" s="103" t="inlineStr">
        <is>
          <t>Funktionsprüfung</t>
        </is>
      </c>
      <c r="D54" s="102" t="n"/>
      <c r="E54" s="114" t="inlineStr">
        <is>
          <t>Schaltsignal kommt sicher</t>
        </is>
      </c>
      <c r="F54" s="102" t="n"/>
      <c r="G54" s="68">
        <f>IF(AB54="unvollständig","Bewertung fehlt",INDEX(Kl_Intervall,MATCH(AB54,Kl_Name,0)))</f>
        <v/>
      </c>
      <c r="H54" s="8">
        <f>IF(G54="Bewertung fehlt","",G54)</f>
        <v/>
      </c>
      <c r="I54" s="105" t="n"/>
      <c r="J54" s="106">
        <f>IF(OR(I54="",NOT(ISNUMBER(AK54))),"",IF(AJ54="Tage",I54+AI54,IF(AJ54="Wochen",I54+7*AI54,EDATE(I54,ROUND(AI54*IF(AJ54="Jahre",12,1),0)))))</f>
        <v/>
      </c>
      <c r="K54" s="107">
        <f>IF(J54="","",J54-TODAY())</f>
        <v/>
      </c>
      <c r="L54" s="57">
        <f>IF(H54="","Intervall fehlt",IF(NOT(ISNUMBER(AK54)),"Intervall prüfen",IF(I54="","nicht erfasst",IF(K54&lt;0,"überfällig",IF(K54&lt;=MIN(P_Vorwarn,ROUND(AK54/4,0)),"fällig","in Ordnung")))))</f>
        <v/>
      </c>
      <c r="M54" s="103" t="n"/>
      <c r="N54" s="103" t="n"/>
      <c r="O54" s="108" t="n"/>
      <c r="P54" s="103" t="n"/>
      <c r="Q54" s="120">
        <f>Q39</f>
        <v/>
      </c>
      <c r="R54" s="120">
        <f>R39</f>
        <v/>
      </c>
      <c r="S54" s="120">
        <f>S39</f>
        <v/>
      </c>
      <c r="T54" s="120">
        <f>T39</f>
        <v/>
      </c>
      <c r="U54" s="120">
        <f>U39</f>
        <v/>
      </c>
      <c r="V54" s="120">
        <f>V39</f>
        <v/>
      </c>
      <c r="W54" s="120">
        <f>W39</f>
        <v/>
      </c>
      <c r="X54" s="120">
        <f>X39</f>
        <v/>
      </c>
      <c r="Y54" s="109">
        <f>P_SF</f>
        <v/>
      </c>
      <c r="Z54" s="109">
        <f>IF(COUNT(Q54:V54)=6,SQRT(SUMSQ(Q54:V54))/2,"")</f>
        <v/>
      </c>
      <c r="AA54" s="80">
        <f>IF(COUNT(W54:Z54)=4,Z54*W54*X54*Y54,"")</f>
        <v/>
      </c>
      <c r="AB54" s="68">
        <f>IF(AA54="","unvollständig",IF(AA54&gt;P_Grenze_kritisch,"kritisch",IF(AA54&gt;=P_Grenze_hoch,"hoch",IF(AA54&gt;=P_Grenze_mittel,"mittel","gering"))))</f>
        <v/>
      </c>
      <c r="AC54" s="68">
        <f>TRIM(IF(N(T54)&gt;=P_Krit,"AS ","")&amp;IF(N(S54)&gt;=P_Krit,"Q ","")&amp;IF(N(U54)&gt;=P_Krit,"US",""))</f>
        <v/>
      </c>
      <c r="AD54" s="102">
        <f>IF(ISNUMBER(R54),INDEX(IH_Text,R54),"")</f>
        <v/>
      </c>
      <c r="AE54" s="108" t="n"/>
      <c r="AF54" s="68" t="inlineStr">
        <is>
          <t>5.3.1</t>
        </is>
      </c>
      <c r="AG54" s="110" t="inlineStr">
        <is>
          <t>Hydraulik-/Pneumatikzylinder (Baugruppe in der Vorversion nicht benannt)</t>
        </is>
      </c>
      <c r="AH54" s="110" t="inlineStr">
        <is>
          <t>Maßnahme</t>
        </is>
      </c>
      <c r="AI54" s="68">
        <f>IF(H54="","",IFERROR(INDEX(Iv_Anzahl,MATCH(H54,Iv_Name,0)),IFERROR(VALUE(LEFT(TRIM(SUBSTITUTE(LOWER(H54),"alle ","")),FIND(" ",TRIM(SUBSTITUTE(LOWER(H54),"alle ",""))&amp;" ")-1)),"")))</f>
        <v/>
      </c>
      <c r="AJ54" s="68">
        <f>IF(H54="","",IFERROR(INDEX(Iv_Einheit,MATCH(H54,Iv_Name,0)),IF(ISNUMBER(SEARCH("jahr",H54)),"Jahre",IF(ISNUMBER(SEARCH("monat",H54)),"Monate",IF(ISNUMBER(SEARCH("woche",H54)),"Wochen",IF(ISNUMBER(SEARCH("tag",H54)),"Tage",""))))))</f>
        <v/>
      </c>
      <c r="AK54" s="107">
        <f>IF(AND(ISNUMBER(AI54),AJ54&lt;&gt;""),IF(AI54&gt;0,AI54*IF(AJ54="Tage",1,IF(AJ54="Wochen",7,IF(AJ54="Monate",365/12,365))),""),"")</f>
        <v/>
      </c>
      <c r="AL54" s="111">
        <f>IF(ISNUMBER(AK54),365/AK54,"")</f>
        <v/>
      </c>
      <c r="AM54" s="111">
        <f>IF(AND(ISNUMBER(AL54),ISNUMBER(AE54)),AL54*AE54/60,"")</f>
        <v/>
      </c>
      <c r="AN54" s="102">
        <f>IF(ISNUMBER(AA54),AA54-ROW()/100000,"")</f>
        <v/>
      </c>
      <c r="AO54" s="102">
        <f>IF(OR(L54="überfällig",L54="fällig"),J54+ROW()/100000,"")</f>
        <v/>
      </c>
      <c r="AP54" s="112" t="inlineStr">
        <is>
          <t>6.2.1</t>
        </is>
      </c>
      <c r="AQ54" s="113" t="inlineStr">
        <is>
          <t>Funktion testen</t>
        </is>
      </c>
    </row>
    <row r="55" ht="32" customHeight="1">
      <c r="A55" s="101" t="inlineStr">
        <is>
          <t>6.2.2</t>
        </is>
      </c>
      <c r="B55" s="102" t="inlineStr">
        <is>
          <t>Anschlüsse kontrollieren</t>
        </is>
      </c>
      <c r="C55" s="103" t="inlineStr">
        <is>
          <t>Inspektion</t>
        </is>
      </c>
      <c r="D55" s="102" t="n"/>
      <c r="E55" s="114" t="inlineStr">
        <is>
          <t>Stecker fest, unbeschädigt</t>
        </is>
      </c>
      <c r="F55" s="102" t="n"/>
      <c r="G55" s="68">
        <f>IF(AB55="unvollständig","Bewertung fehlt",INDEX(Kl_Intervall,MATCH(AB55,Kl_Name,0)))</f>
        <v/>
      </c>
      <c r="H55" s="8">
        <f>IF(G55="Bewertung fehlt","",G55)</f>
        <v/>
      </c>
      <c r="I55" s="105" t="n"/>
      <c r="J55" s="106">
        <f>IF(OR(I55="",NOT(ISNUMBER(AK55))),"",IF(AJ55="Tage",I55+AI55,IF(AJ55="Wochen",I55+7*AI55,EDATE(I55,ROUND(AI55*IF(AJ55="Jahre",12,1),0)))))</f>
        <v/>
      </c>
      <c r="K55" s="107">
        <f>IF(J55="","",J55-TODAY())</f>
        <v/>
      </c>
      <c r="L55" s="57">
        <f>IF(H55="","Intervall fehlt",IF(NOT(ISNUMBER(AK55)),"Intervall prüfen",IF(I55="","nicht erfasst",IF(K55&lt;0,"überfällig",IF(K55&lt;=MIN(P_Vorwarn,ROUND(AK55/4,0)),"fällig","in Ordnung")))))</f>
        <v/>
      </c>
      <c r="M55" s="103" t="n"/>
      <c r="N55" s="103" t="n"/>
      <c r="O55" s="108" t="n"/>
      <c r="P55" s="103" t="n"/>
      <c r="Q55" s="120">
        <f>Q40</f>
        <v/>
      </c>
      <c r="R55" s="120">
        <f>R40</f>
        <v/>
      </c>
      <c r="S55" s="120">
        <f>S40</f>
        <v/>
      </c>
      <c r="T55" s="120">
        <f>T40</f>
        <v/>
      </c>
      <c r="U55" s="120">
        <f>U40</f>
        <v/>
      </c>
      <c r="V55" s="120">
        <f>V40</f>
        <v/>
      </c>
      <c r="W55" s="120">
        <f>W40</f>
        <v/>
      </c>
      <c r="X55" s="120">
        <f>X40</f>
        <v/>
      </c>
      <c r="Y55" s="109">
        <f>P_SF</f>
        <v/>
      </c>
      <c r="Z55" s="109">
        <f>IF(COUNT(Q55:V55)=6,SQRT(SUMSQ(Q55:V55))/2,"")</f>
        <v/>
      </c>
      <c r="AA55" s="80">
        <f>IF(COUNT(W55:Z55)=4,Z55*W55*X55*Y55,"")</f>
        <v/>
      </c>
      <c r="AB55" s="68">
        <f>IF(AA55="","unvollständig",IF(AA55&gt;P_Grenze_kritisch,"kritisch",IF(AA55&gt;=P_Grenze_hoch,"hoch",IF(AA55&gt;=P_Grenze_mittel,"mittel","gering"))))</f>
        <v/>
      </c>
      <c r="AC55" s="68">
        <f>TRIM(IF(N(T55)&gt;=P_Krit,"AS ","")&amp;IF(N(S55)&gt;=P_Krit,"Q ","")&amp;IF(N(U55)&gt;=P_Krit,"US",""))</f>
        <v/>
      </c>
      <c r="AD55" s="102">
        <f>IF(ISNUMBER(R55),INDEX(IH_Text,R55),"")</f>
        <v/>
      </c>
      <c r="AE55" s="108" t="n"/>
      <c r="AF55" s="68" t="inlineStr">
        <is>
          <t>5.3.2</t>
        </is>
      </c>
      <c r="AG55" s="110" t="inlineStr">
        <is>
          <t>Hydraulik-/Pneumatikzylinder (Baugruppe in der Vorversion nicht benannt)</t>
        </is>
      </c>
      <c r="AH55" s="110" t="inlineStr">
        <is>
          <t>Maßnahme</t>
        </is>
      </c>
      <c r="AI55" s="68">
        <f>IF(H55="","",IFERROR(INDEX(Iv_Anzahl,MATCH(H55,Iv_Name,0)),IFERROR(VALUE(LEFT(TRIM(SUBSTITUTE(LOWER(H55),"alle ","")),FIND(" ",TRIM(SUBSTITUTE(LOWER(H55),"alle ",""))&amp;" ")-1)),"")))</f>
        <v/>
      </c>
      <c r="AJ55" s="68">
        <f>IF(H55="","",IFERROR(INDEX(Iv_Einheit,MATCH(H55,Iv_Name,0)),IF(ISNUMBER(SEARCH("jahr",H55)),"Jahre",IF(ISNUMBER(SEARCH("monat",H55)),"Monate",IF(ISNUMBER(SEARCH("woche",H55)),"Wochen",IF(ISNUMBER(SEARCH("tag",H55)),"Tage",""))))))</f>
        <v/>
      </c>
      <c r="AK55" s="107">
        <f>IF(AND(ISNUMBER(AI55),AJ55&lt;&gt;""),IF(AI55&gt;0,AI55*IF(AJ55="Tage",1,IF(AJ55="Wochen",7,IF(AJ55="Monate",365/12,365))),""),"")</f>
        <v/>
      </c>
      <c r="AL55" s="111">
        <f>IF(ISNUMBER(AK55),365/AK55,"")</f>
        <v/>
      </c>
      <c r="AM55" s="111">
        <f>IF(AND(ISNUMBER(AL55),ISNUMBER(AE55)),AL55*AE55/60,"")</f>
        <v/>
      </c>
      <c r="AN55" s="102">
        <f>IF(ISNUMBER(AA55),AA55-ROW()/100000,"")</f>
        <v/>
      </c>
      <c r="AO55" s="102">
        <f>IF(OR(L55="überfällig",L55="fällig"),J55+ROW()/100000,"")</f>
        <v/>
      </c>
      <c r="AP55" s="112" t="inlineStr">
        <is>
          <t>6.2.2</t>
        </is>
      </c>
      <c r="AQ55" s="113" t="inlineStr">
        <is>
          <t>Anschlüsse kontrollieren</t>
        </is>
      </c>
    </row>
    <row r="56" ht="32" customHeight="1">
      <c r="A56" s="101" t="inlineStr">
        <is>
          <t>6.2.3</t>
        </is>
      </c>
      <c r="B56" s="102" t="inlineStr">
        <is>
          <t>Befestigung und Position kontrollieren</t>
        </is>
      </c>
      <c r="C56" s="103" t="inlineStr">
        <is>
          <t>Inspektion</t>
        </is>
      </c>
      <c r="D56" s="102" t="n"/>
      <c r="E56" s="114" t="inlineStr">
        <is>
          <t>Fest, Position unverändert</t>
        </is>
      </c>
      <c r="F56" s="102" t="n"/>
      <c r="G56" s="68">
        <f>IF(AB56="unvollständig","Bewertung fehlt",INDEX(Kl_Intervall,MATCH(AB56,Kl_Name,0)))</f>
        <v/>
      </c>
      <c r="H56" s="8">
        <f>IF(G56="Bewertung fehlt","",G56)</f>
        <v/>
      </c>
      <c r="I56" s="105" t="n"/>
      <c r="J56" s="106">
        <f>IF(OR(I56="",NOT(ISNUMBER(AK56))),"",IF(AJ56="Tage",I56+AI56,IF(AJ56="Wochen",I56+7*AI56,EDATE(I56,ROUND(AI56*IF(AJ56="Jahre",12,1),0)))))</f>
        <v/>
      </c>
      <c r="K56" s="107">
        <f>IF(J56="","",J56-TODAY())</f>
        <v/>
      </c>
      <c r="L56" s="57">
        <f>IF(H56="","Intervall fehlt",IF(NOT(ISNUMBER(AK56)),"Intervall prüfen",IF(I56="","nicht erfasst",IF(K56&lt;0,"überfällig",IF(K56&lt;=MIN(P_Vorwarn,ROUND(AK56/4,0)),"fällig","in Ordnung")))))</f>
        <v/>
      </c>
      <c r="M56" s="103" t="n"/>
      <c r="N56" s="103" t="n"/>
      <c r="O56" s="108" t="n"/>
      <c r="P56" s="103" t="n"/>
      <c r="Q56" s="120">
        <f>Q41</f>
        <v/>
      </c>
      <c r="R56" s="120">
        <f>R41</f>
        <v/>
      </c>
      <c r="S56" s="120">
        <f>S41</f>
        <v/>
      </c>
      <c r="T56" s="120">
        <f>T41</f>
        <v/>
      </c>
      <c r="U56" s="120">
        <f>U41</f>
        <v/>
      </c>
      <c r="V56" s="120">
        <f>V41</f>
        <v/>
      </c>
      <c r="W56" s="120">
        <f>W41</f>
        <v/>
      </c>
      <c r="X56" s="120">
        <f>X41</f>
        <v/>
      </c>
      <c r="Y56" s="109">
        <f>P_SF</f>
        <v/>
      </c>
      <c r="Z56" s="109">
        <f>IF(COUNT(Q56:V56)=6,SQRT(SUMSQ(Q56:V56))/2,"")</f>
        <v/>
      </c>
      <c r="AA56" s="80">
        <f>IF(COUNT(W56:Z56)=4,Z56*W56*X56*Y56,"")</f>
        <v/>
      </c>
      <c r="AB56" s="68">
        <f>IF(AA56="","unvollständig",IF(AA56&gt;P_Grenze_kritisch,"kritisch",IF(AA56&gt;=P_Grenze_hoch,"hoch",IF(AA56&gt;=P_Grenze_mittel,"mittel","gering"))))</f>
        <v/>
      </c>
      <c r="AC56" s="68">
        <f>TRIM(IF(N(T56)&gt;=P_Krit,"AS ","")&amp;IF(N(S56)&gt;=P_Krit,"Q ","")&amp;IF(N(U56)&gt;=P_Krit,"US",""))</f>
        <v/>
      </c>
      <c r="AD56" s="102">
        <f>IF(ISNUMBER(R56),INDEX(IH_Text,R56),"")</f>
        <v/>
      </c>
      <c r="AE56" s="108" t="n"/>
      <c r="AF56" s="68" t="inlineStr">
        <is>
          <t>5.3.3</t>
        </is>
      </c>
      <c r="AG56" s="110" t="inlineStr">
        <is>
          <t>Hydraulik-/Pneumatikzylinder (Baugruppe in der Vorversion nicht benannt)</t>
        </is>
      </c>
      <c r="AH56" s="110" t="inlineStr">
        <is>
          <t>Maßnahme</t>
        </is>
      </c>
      <c r="AI56" s="68">
        <f>IF(H56="","",IFERROR(INDEX(Iv_Anzahl,MATCH(H56,Iv_Name,0)),IFERROR(VALUE(LEFT(TRIM(SUBSTITUTE(LOWER(H56),"alle ","")),FIND(" ",TRIM(SUBSTITUTE(LOWER(H56),"alle ",""))&amp;" ")-1)),"")))</f>
        <v/>
      </c>
      <c r="AJ56" s="68">
        <f>IF(H56="","",IFERROR(INDEX(Iv_Einheit,MATCH(H56,Iv_Name,0)),IF(ISNUMBER(SEARCH("jahr",H56)),"Jahre",IF(ISNUMBER(SEARCH("monat",H56)),"Monate",IF(ISNUMBER(SEARCH("woche",H56)),"Wochen",IF(ISNUMBER(SEARCH("tag",H56)),"Tage",""))))))</f>
        <v/>
      </c>
      <c r="AK56" s="107">
        <f>IF(AND(ISNUMBER(AI56),AJ56&lt;&gt;""),IF(AI56&gt;0,AI56*IF(AJ56="Tage",1,IF(AJ56="Wochen",7,IF(AJ56="Monate",365/12,365))),""),"")</f>
        <v/>
      </c>
      <c r="AL56" s="111">
        <f>IF(ISNUMBER(AK56),365/AK56,"")</f>
        <v/>
      </c>
      <c r="AM56" s="111">
        <f>IF(AND(ISNUMBER(AL56),ISNUMBER(AE56)),AL56*AE56/60,"")</f>
        <v/>
      </c>
      <c r="AN56" s="102">
        <f>IF(ISNUMBER(AA56),AA56-ROW()/100000,"")</f>
        <v/>
      </c>
      <c r="AO56" s="102">
        <f>IF(OR(L56="überfällig",L56="fällig"),J56+ROW()/100000,"")</f>
        <v/>
      </c>
      <c r="AP56" s="112" t="inlineStr">
        <is>
          <t>6.2.3</t>
        </is>
      </c>
      <c r="AQ56" s="113" t="inlineStr">
        <is>
          <t>Befestigung und Position kontrollieren</t>
        </is>
      </c>
    </row>
    <row r="57" ht="19" customHeight="1">
      <c r="A57" s="101" t="inlineStr">
        <is>
          <t>6.2.4</t>
        </is>
      </c>
      <c r="B57" s="102" t="inlineStr">
        <is>
          <t>Sensor auf Beschädigung kontrollieren</t>
        </is>
      </c>
      <c r="C57" s="103" t="inlineStr">
        <is>
          <t>Inspektion</t>
        </is>
      </c>
      <c r="D57" s="102" t="n"/>
      <c r="E57" s="114" t="inlineStr">
        <is>
          <t>Keine Beschädigung</t>
        </is>
      </c>
      <c r="F57" s="102" t="n"/>
      <c r="G57" s="68">
        <f>IF(AB57="unvollständig","Bewertung fehlt",INDEX(Kl_Intervall,MATCH(AB57,Kl_Name,0)))</f>
        <v/>
      </c>
      <c r="H57" s="8">
        <f>IF(G57="Bewertung fehlt","",G57)</f>
        <v/>
      </c>
      <c r="I57" s="105" t="n"/>
      <c r="J57" s="106">
        <f>IF(OR(I57="",NOT(ISNUMBER(AK57))),"",IF(AJ57="Tage",I57+AI57,IF(AJ57="Wochen",I57+7*AI57,EDATE(I57,ROUND(AI57*IF(AJ57="Jahre",12,1),0)))))</f>
        <v/>
      </c>
      <c r="K57" s="107">
        <f>IF(J57="","",J57-TODAY())</f>
        <v/>
      </c>
      <c r="L57" s="57">
        <f>IF(H57="","Intervall fehlt",IF(NOT(ISNUMBER(AK57)),"Intervall prüfen",IF(I57="","nicht erfasst",IF(K57&lt;0,"überfällig",IF(K57&lt;=MIN(P_Vorwarn,ROUND(AK57/4,0)),"fällig","in Ordnung")))))</f>
        <v/>
      </c>
      <c r="M57" s="103" t="n"/>
      <c r="N57" s="103" t="n"/>
      <c r="O57" s="108" t="n"/>
      <c r="P57" s="103" t="n"/>
      <c r="Q57" s="120">
        <f>Q42</f>
        <v/>
      </c>
      <c r="R57" s="120">
        <f>R42</f>
        <v/>
      </c>
      <c r="S57" s="120">
        <f>S42</f>
        <v/>
      </c>
      <c r="T57" s="120">
        <f>T42</f>
        <v/>
      </c>
      <c r="U57" s="120">
        <f>U42</f>
        <v/>
      </c>
      <c r="V57" s="120">
        <f>V42</f>
        <v/>
      </c>
      <c r="W57" s="120">
        <f>W42</f>
        <v/>
      </c>
      <c r="X57" s="120">
        <f>X42</f>
        <v/>
      </c>
      <c r="Y57" s="109">
        <f>P_SF</f>
        <v/>
      </c>
      <c r="Z57" s="109">
        <f>IF(COUNT(Q57:V57)=6,SQRT(SUMSQ(Q57:V57))/2,"")</f>
        <v/>
      </c>
      <c r="AA57" s="80">
        <f>IF(COUNT(W57:Z57)=4,Z57*W57*X57*Y57,"")</f>
        <v/>
      </c>
      <c r="AB57" s="68">
        <f>IF(AA57="","unvollständig",IF(AA57&gt;P_Grenze_kritisch,"kritisch",IF(AA57&gt;=P_Grenze_hoch,"hoch",IF(AA57&gt;=P_Grenze_mittel,"mittel","gering"))))</f>
        <v/>
      </c>
      <c r="AC57" s="68">
        <f>TRIM(IF(N(T57)&gt;=P_Krit,"AS ","")&amp;IF(N(S57)&gt;=P_Krit,"Q ","")&amp;IF(N(U57)&gt;=P_Krit,"US",""))</f>
        <v/>
      </c>
      <c r="AD57" s="102">
        <f>IF(ISNUMBER(R57),INDEX(IH_Text,R57),"")</f>
        <v/>
      </c>
      <c r="AE57" s="108" t="n"/>
      <c r="AF57" s="68" t="inlineStr">
        <is>
          <t>5.3.4</t>
        </is>
      </c>
      <c r="AG57" s="110" t="inlineStr">
        <is>
          <t>Hydraulik-/Pneumatikzylinder (Baugruppe in der Vorversion nicht benannt)</t>
        </is>
      </c>
      <c r="AH57" s="110" t="inlineStr">
        <is>
          <t>Maßnahme</t>
        </is>
      </c>
      <c r="AI57" s="68">
        <f>IF(H57="","",IFERROR(INDEX(Iv_Anzahl,MATCH(H57,Iv_Name,0)),IFERROR(VALUE(LEFT(TRIM(SUBSTITUTE(LOWER(H57),"alle ","")),FIND(" ",TRIM(SUBSTITUTE(LOWER(H57),"alle ",""))&amp;" ")-1)),"")))</f>
        <v/>
      </c>
      <c r="AJ57" s="68">
        <f>IF(H57="","",IFERROR(INDEX(Iv_Einheit,MATCH(H57,Iv_Name,0)),IF(ISNUMBER(SEARCH("jahr",H57)),"Jahre",IF(ISNUMBER(SEARCH("monat",H57)),"Monate",IF(ISNUMBER(SEARCH("woche",H57)),"Wochen",IF(ISNUMBER(SEARCH("tag",H57)),"Tage",""))))))</f>
        <v/>
      </c>
      <c r="AK57" s="107">
        <f>IF(AND(ISNUMBER(AI57),AJ57&lt;&gt;""),IF(AI57&gt;0,AI57*IF(AJ57="Tage",1,IF(AJ57="Wochen",7,IF(AJ57="Monate",365/12,365))),""),"")</f>
        <v/>
      </c>
      <c r="AL57" s="111">
        <f>IF(ISNUMBER(AK57),365/AK57,"")</f>
        <v/>
      </c>
      <c r="AM57" s="111">
        <f>IF(AND(ISNUMBER(AL57),ISNUMBER(AE57)),AL57*AE57/60,"")</f>
        <v/>
      </c>
      <c r="AN57" s="102">
        <f>IF(ISNUMBER(AA57),AA57-ROW()/100000,"")</f>
        <v/>
      </c>
      <c r="AO57" s="102">
        <f>IF(OR(L57="überfällig",L57="fällig"),J57+ROW()/100000,"")</f>
        <v/>
      </c>
      <c r="AP57" s="112" t="inlineStr">
        <is>
          <t>6.2.4</t>
        </is>
      </c>
      <c r="AQ57" s="113" t="inlineStr">
        <is>
          <t xml:space="preserve">Sensor auf Beschädigung kontrollieren </t>
        </is>
      </c>
    </row>
    <row r="58" ht="32" customHeight="1">
      <c r="A58" s="101" t="inlineStr">
        <is>
          <t>6.2.5</t>
        </is>
      </c>
      <c r="B58" s="102" t="inlineStr">
        <is>
          <t>Kabelklemmung, Knickschutz, Kabelkasten und Leitungen auf Beschädigung prüfen</t>
        </is>
      </c>
      <c r="C58" s="103" t="inlineStr">
        <is>
          <t>Inspektion</t>
        </is>
      </c>
      <c r="D58" s="104" t="inlineStr">
        <is>
          <t>⚠ Gefahrenstelle</t>
        </is>
      </c>
      <c r="E58" s="114" t="inlineStr">
        <is>
          <t>Keine Beschädigung; Zugentlastung wirksam</t>
        </is>
      </c>
      <c r="F58" s="102" t="n"/>
      <c r="G58" s="68">
        <f>IF(AB58="unvollständig","Bewertung fehlt",INDEX(Kl_Intervall,MATCH(AB58,Kl_Name,0)))</f>
        <v/>
      </c>
      <c r="H58" s="8">
        <f>IF(G58="Bewertung fehlt","",G58)</f>
        <v/>
      </c>
      <c r="I58" s="105" t="n"/>
      <c r="J58" s="106">
        <f>IF(OR(I58="",NOT(ISNUMBER(AK58))),"",IF(AJ58="Tage",I58+AI58,IF(AJ58="Wochen",I58+7*AI58,EDATE(I58,ROUND(AI58*IF(AJ58="Jahre",12,1),0)))))</f>
        <v/>
      </c>
      <c r="K58" s="107">
        <f>IF(J58="","",J58-TODAY())</f>
        <v/>
      </c>
      <c r="L58" s="57">
        <f>IF(H58="","Intervall fehlt",IF(NOT(ISNUMBER(AK58)),"Intervall prüfen",IF(I58="","nicht erfasst",IF(K58&lt;0,"überfällig",IF(K58&lt;=MIN(P_Vorwarn,ROUND(AK58/4,0)),"fällig","in Ordnung")))))</f>
        <v/>
      </c>
      <c r="M58" s="103" t="n"/>
      <c r="N58" s="103" t="n"/>
      <c r="O58" s="108" t="n"/>
      <c r="P58" s="103" t="n"/>
      <c r="Q58" s="120">
        <f>Q43</f>
        <v/>
      </c>
      <c r="R58" s="120">
        <f>R43</f>
        <v/>
      </c>
      <c r="S58" s="120">
        <f>S43</f>
        <v/>
      </c>
      <c r="T58" s="120">
        <f>T43</f>
        <v/>
      </c>
      <c r="U58" s="120">
        <f>U43</f>
        <v/>
      </c>
      <c r="V58" s="120">
        <f>V43</f>
        <v/>
      </c>
      <c r="W58" s="120">
        <f>W43</f>
        <v/>
      </c>
      <c r="X58" s="120">
        <f>X43</f>
        <v/>
      </c>
      <c r="Y58" s="109">
        <f>P_SF</f>
        <v/>
      </c>
      <c r="Z58" s="109">
        <f>IF(COUNT(Q58:V58)=6,SQRT(SUMSQ(Q58:V58))/2,"")</f>
        <v/>
      </c>
      <c r="AA58" s="80">
        <f>IF(COUNT(W58:Z58)=4,Z58*W58*X58*Y58,"")</f>
        <v/>
      </c>
      <c r="AB58" s="68">
        <f>IF(AA58="","unvollständig",IF(AA58&gt;P_Grenze_kritisch,"kritisch",IF(AA58&gt;=P_Grenze_hoch,"hoch",IF(AA58&gt;=P_Grenze_mittel,"mittel","gering"))))</f>
        <v/>
      </c>
      <c r="AC58" s="68">
        <f>TRIM(IF(N(T58)&gt;=P_Krit,"AS ","")&amp;IF(N(S58)&gt;=P_Krit,"Q ","")&amp;IF(N(U58)&gt;=P_Krit,"US",""))</f>
        <v/>
      </c>
      <c r="AD58" s="102">
        <f>IF(ISNUMBER(R58),INDEX(IH_Text,R58),"")</f>
        <v/>
      </c>
      <c r="AE58" s="108" t="n"/>
      <c r="AF58" s="68" t="inlineStr">
        <is>
          <t>5.3.5</t>
        </is>
      </c>
      <c r="AG58" s="110" t="inlineStr">
        <is>
          <t>Hydraulik-/Pneumatikzylinder (Baugruppe in der Vorversion nicht benannt)</t>
        </is>
      </c>
      <c r="AH58" s="110" t="inlineStr">
        <is>
          <t>Maßnahme</t>
        </is>
      </c>
      <c r="AI58" s="68">
        <f>IF(H58="","",IFERROR(INDEX(Iv_Anzahl,MATCH(H58,Iv_Name,0)),IFERROR(VALUE(LEFT(TRIM(SUBSTITUTE(LOWER(H58),"alle ","")),FIND(" ",TRIM(SUBSTITUTE(LOWER(H58),"alle ",""))&amp;" ")-1)),"")))</f>
        <v/>
      </c>
      <c r="AJ58" s="68">
        <f>IF(H58="","",IFERROR(INDEX(Iv_Einheit,MATCH(H58,Iv_Name,0)),IF(ISNUMBER(SEARCH("jahr",H58)),"Jahre",IF(ISNUMBER(SEARCH("monat",H58)),"Monate",IF(ISNUMBER(SEARCH("woche",H58)),"Wochen",IF(ISNUMBER(SEARCH("tag",H58)),"Tage",""))))))</f>
        <v/>
      </c>
      <c r="AK58" s="107">
        <f>IF(AND(ISNUMBER(AI58),AJ58&lt;&gt;""),IF(AI58&gt;0,AI58*IF(AJ58="Tage",1,IF(AJ58="Wochen",7,IF(AJ58="Monate",365/12,365))),""),"")</f>
        <v/>
      </c>
      <c r="AL58" s="111">
        <f>IF(ISNUMBER(AK58),365/AK58,"")</f>
        <v/>
      </c>
      <c r="AM58" s="111">
        <f>IF(AND(ISNUMBER(AL58),ISNUMBER(AE58)),AL58*AE58/60,"")</f>
        <v/>
      </c>
      <c r="AN58" s="102">
        <f>IF(ISNUMBER(AA58),AA58-ROW()/100000,"")</f>
        <v/>
      </c>
      <c r="AO58" s="102">
        <f>IF(OR(L58="überfällig",L58="fällig"),J58+ROW()/100000,"")</f>
        <v/>
      </c>
      <c r="AP58" s="112" t="inlineStr">
        <is>
          <t>6.2.5</t>
        </is>
      </c>
      <c r="AQ58" s="113" t="inlineStr">
        <is>
          <t>Prüfe Kabelklemmung, Knickschutz, Kabelkasten und Leitungen auf Beschädigung</t>
        </is>
      </c>
    </row>
    <row r="59" ht="32" customHeight="1">
      <c r="A59" s="96" t="inlineStr">
        <is>
          <t>7</t>
        </is>
      </c>
      <c r="B59" s="97" t="inlineStr">
        <is>
          <t>Wasserbehälter für Umformmedium   (Pos. 11)</t>
        </is>
      </c>
      <c r="C59" s="97" t="n"/>
      <c r="D59" s="97" t="n"/>
      <c r="E59" s="97" t="n"/>
      <c r="F59" s="97" t="n"/>
      <c r="G59" s="97" t="n"/>
      <c r="H59" s="97" t="n"/>
      <c r="I59" s="97" t="n"/>
      <c r="J59" s="97" t="n"/>
      <c r="K59" s="97" t="n"/>
      <c r="L59" s="97" t="n"/>
      <c r="M59" s="97" t="n"/>
      <c r="N59" s="97" t="n"/>
      <c r="O59" s="97" t="n"/>
      <c r="P59" s="97" t="n"/>
      <c r="Q59" s="97" t="n"/>
      <c r="R59" s="97" t="n"/>
      <c r="S59" s="97" t="n"/>
      <c r="T59" s="97" t="n"/>
      <c r="U59" s="97" t="n"/>
      <c r="V59" s="97" t="n"/>
      <c r="W59" s="97" t="n"/>
      <c r="X59" s="97" t="n"/>
      <c r="Y59" s="97" t="n"/>
      <c r="Z59" s="97" t="n"/>
      <c r="AA59" s="97" t="n"/>
      <c r="AB59" s="97" t="n"/>
      <c r="AC59" s="97" t="n"/>
      <c r="AD59" s="97" t="n"/>
      <c r="AE59" s="97" t="n"/>
      <c r="AF59" s="97" t="n"/>
      <c r="AG59" s="98" t="inlineStr">
        <is>
          <t>Wasserbehälter für Umformmedium</t>
        </is>
      </c>
      <c r="AH59" s="98" t="inlineStr">
        <is>
          <t>Baugruppe</t>
        </is>
      </c>
      <c r="AI59" s="97" t="n"/>
      <c r="AJ59" s="97" t="n"/>
      <c r="AK59" s="97" t="n"/>
      <c r="AL59" s="97" t="n"/>
      <c r="AM59" s="97" t="n"/>
      <c r="AN59" s="97" t="n"/>
      <c r="AO59" s="97" t="n"/>
      <c r="AP59" s="99" t="inlineStr">
        <is>
          <t>7</t>
        </is>
      </c>
      <c r="AQ59" s="100" t="inlineStr">
        <is>
          <t>11.) Wasserbehälter für Umformmedium</t>
        </is>
      </c>
    </row>
    <row r="60" ht="32" customHeight="1">
      <c r="A60" s="101" t="inlineStr">
        <is>
          <t>7.1</t>
        </is>
      </c>
      <c r="B60" s="102" t="inlineStr">
        <is>
          <t>Wasserbehälter auf Beschädigung kontrollieren</t>
        </is>
      </c>
      <c r="C60" s="103" t="inlineStr">
        <is>
          <t>Inspektion</t>
        </is>
      </c>
      <c r="D60" s="102" t="n"/>
      <c r="E60" s="114" t="inlineStr">
        <is>
          <t>Keine Beschädigung, keine Leckage</t>
        </is>
      </c>
      <c r="F60" s="102" t="n"/>
      <c r="G60" s="68">
        <f>IF(AB60="unvollständig","Bewertung fehlt",INDEX(Kl_Intervall,MATCH(AB60,Kl_Name,0)))</f>
        <v/>
      </c>
      <c r="H60" s="8">
        <f>IF(G60="Bewertung fehlt","",G60)</f>
        <v/>
      </c>
      <c r="I60" s="105" t="n"/>
      <c r="J60" s="106">
        <f>IF(OR(I60="",NOT(ISNUMBER(AK60))),"",IF(AJ60="Tage",I60+AI60,IF(AJ60="Wochen",I60+7*AI60,EDATE(I60,ROUND(AI60*IF(AJ60="Jahre",12,1),0)))))</f>
        <v/>
      </c>
      <c r="K60" s="107">
        <f>IF(J60="","",J60-TODAY())</f>
        <v/>
      </c>
      <c r="L60" s="57">
        <f>IF(H60="","Intervall fehlt",IF(NOT(ISNUMBER(AK60)),"Intervall prüfen",IF(I60="","nicht erfasst",IF(K60&lt;0,"überfällig",IF(K60&lt;=MIN(P_Vorwarn,ROUND(AK60/4,0)),"fällig","in Ordnung")))))</f>
        <v/>
      </c>
      <c r="M60" s="103" t="n"/>
      <c r="N60" s="103" t="n"/>
      <c r="O60" s="108" t="n"/>
      <c r="P60" s="103" t="n"/>
      <c r="Q60" s="108" t="n">
        <v>3</v>
      </c>
      <c r="R60" s="108" t="n">
        <v>2</v>
      </c>
      <c r="S60" s="108" t="n">
        <v>3</v>
      </c>
      <c r="T60" s="108" t="n">
        <v>2</v>
      </c>
      <c r="U60" s="108" t="n">
        <v>4</v>
      </c>
      <c r="V60" s="108" t="n">
        <v>1</v>
      </c>
      <c r="W60" s="108" t="n">
        <v>1</v>
      </c>
      <c r="X60" s="108" t="n">
        <v>3</v>
      </c>
      <c r="Y60" s="109">
        <f>P_SF</f>
        <v/>
      </c>
      <c r="Z60" s="109">
        <f>IF(COUNT(Q60:V60)=6,SQRT(SUMSQ(Q60:V60))/2,"")</f>
        <v/>
      </c>
      <c r="AA60" s="80">
        <f>IF(COUNT(W60:Z60)=4,Z60*W60*X60*Y60,"")</f>
        <v/>
      </c>
      <c r="AB60" s="68">
        <f>IF(AA60="","unvollständig",IF(AA60&gt;P_Grenze_kritisch,"kritisch",IF(AA60&gt;=P_Grenze_hoch,"hoch",IF(AA60&gt;=P_Grenze_mittel,"mittel","gering"))))</f>
        <v/>
      </c>
      <c r="AC60" s="68">
        <f>TRIM(IF(N(T60)&gt;=P_Krit,"AS ","")&amp;IF(N(S60)&gt;=P_Krit,"Q ","")&amp;IF(N(U60)&gt;=P_Krit,"US",""))</f>
        <v/>
      </c>
      <c r="AD60" s="102">
        <f>IF(ISNUMBER(R60),INDEX(IH_Text,R60),"")</f>
        <v/>
      </c>
      <c r="AE60" s="108" t="n"/>
      <c r="AF60" s="68" t="n"/>
      <c r="AG60" s="110" t="inlineStr">
        <is>
          <t>Wasserbehälter für Umformmedium</t>
        </is>
      </c>
      <c r="AH60" s="110" t="inlineStr">
        <is>
          <t>Maßnahme</t>
        </is>
      </c>
      <c r="AI60" s="68">
        <f>IF(H60="","",IFERROR(INDEX(Iv_Anzahl,MATCH(H60,Iv_Name,0)),IFERROR(VALUE(LEFT(TRIM(SUBSTITUTE(LOWER(H60),"alle ","")),FIND(" ",TRIM(SUBSTITUTE(LOWER(H60),"alle ",""))&amp;" ")-1)),"")))</f>
        <v/>
      </c>
      <c r="AJ60" s="68">
        <f>IF(H60="","",IFERROR(INDEX(Iv_Einheit,MATCH(H60,Iv_Name,0)),IF(ISNUMBER(SEARCH("jahr",H60)),"Jahre",IF(ISNUMBER(SEARCH("monat",H60)),"Monate",IF(ISNUMBER(SEARCH("woche",H60)),"Wochen",IF(ISNUMBER(SEARCH("tag",H60)),"Tage",""))))))</f>
        <v/>
      </c>
      <c r="AK60" s="107">
        <f>IF(AND(ISNUMBER(AI60),AJ60&lt;&gt;""),IF(AI60&gt;0,AI60*IF(AJ60="Tage",1,IF(AJ60="Wochen",7,IF(AJ60="Monate",365/12,365))),""),"")</f>
        <v/>
      </c>
      <c r="AL60" s="111">
        <f>IF(ISNUMBER(AK60),365/AK60,"")</f>
        <v/>
      </c>
      <c r="AM60" s="111">
        <f>IF(AND(ISNUMBER(AL60),ISNUMBER(AE60)),AL60*AE60/60,"")</f>
        <v/>
      </c>
      <c r="AN60" s="102">
        <f>IF(ISNUMBER(AA60),AA60-ROW()/100000,"")</f>
        <v/>
      </c>
      <c r="AO60" s="102">
        <f>IF(OR(L60="überfällig",L60="fällig"),J60+ROW()/100000,"")</f>
        <v/>
      </c>
      <c r="AP60" s="112" t="inlineStr">
        <is>
          <t>7.1</t>
        </is>
      </c>
      <c r="AQ60" s="113" t="inlineStr">
        <is>
          <t>Wasserbehälter auf Beschädigung kontrollieren</t>
        </is>
      </c>
    </row>
    <row r="61" ht="20" customHeight="1">
      <c r="A61" s="96" t="inlineStr">
        <is>
          <t>8</t>
        </is>
      </c>
      <c r="B61" s="97" t="inlineStr">
        <is>
          <t>Auslaufrinne   (Pos. 13)</t>
        </is>
      </c>
      <c r="C61" s="97" t="n"/>
      <c r="D61" s="121" t="inlineStr">
        <is>
          <t>ℹ Hinweis beachten</t>
        </is>
      </c>
      <c r="E61" s="97" t="n"/>
      <c r="F61" s="97" t="n"/>
      <c r="G61" s="97" t="n"/>
      <c r="H61" s="97" t="n"/>
      <c r="I61" s="97" t="n"/>
      <c r="J61" s="97" t="n"/>
      <c r="K61" s="97" t="n"/>
      <c r="L61" s="97" t="n"/>
      <c r="M61" s="97" t="n"/>
      <c r="N61" s="97" t="n"/>
      <c r="O61" s="97" t="n"/>
      <c r="P61" s="97" t="n"/>
      <c r="Q61" s="97" t="n"/>
      <c r="R61" s="97" t="n"/>
      <c r="S61" s="97" t="n"/>
      <c r="T61" s="97" t="n"/>
      <c r="U61" s="97" t="n"/>
      <c r="V61" s="97" t="n"/>
      <c r="W61" s="97" t="n"/>
      <c r="X61" s="97" t="n"/>
      <c r="Y61" s="97" t="n"/>
      <c r="Z61" s="97" t="n"/>
      <c r="AA61" s="97" t="n"/>
      <c r="AB61" s="97" t="n"/>
      <c r="AC61" s="97" t="n"/>
      <c r="AD61" s="97" t="n"/>
      <c r="AE61" s="97" t="n"/>
      <c r="AF61" s="97" t="n"/>
      <c r="AG61" s="98" t="inlineStr">
        <is>
          <t>Auslaufrinne</t>
        </is>
      </c>
      <c r="AH61" s="98" t="inlineStr">
        <is>
          <t>Baugruppe</t>
        </is>
      </c>
      <c r="AI61" s="97" t="n"/>
      <c r="AJ61" s="97" t="n"/>
      <c r="AK61" s="97" t="n"/>
      <c r="AL61" s="97" t="n"/>
      <c r="AM61" s="97" t="n"/>
      <c r="AN61" s="97" t="n"/>
      <c r="AO61" s="97" t="n"/>
      <c r="AP61" s="99" t="inlineStr">
        <is>
          <t>8</t>
        </is>
      </c>
      <c r="AQ61" s="100" t="inlineStr">
        <is>
          <t>13.) Auslaufrinne</t>
        </is>
      </c>
    </row>
    <row r="62" ht="80" customHeight="1">
      <c r="A62" s="101" t="inlineStr">
        <is>
          <t>8.1</t>
        </is>
      </c>
      <c r="B62" s="102" t="inlineStr">
        <is>
          <t>Band auf Beschädigungen prüfen (starke Risse)</t>
        </is>
      </c>
      <c r="C62" s="103" t="inlineStr">
        <is>
          <t>Inspektion</t>
        </is>
      </c>
      <c r="D62" s="102" t="n"/>
      <c r="E62" s="114" t="inlineStr">
        <is>
          <t>Keine starken Risse</t>
        </is>
      </c>
      <c r="F62" s="102" t="n"/>
      <c r="G62" s="68">
        <f>IF(AB62="unvollständig","Bewertung fehlt",INDEX(Kl_Intervall,MATCH(AB62,Kl_Name,0)))</f>
        <v/>
      </c>
      <c r="H62" s="8">
        <f>IF(G62="Bewertung fehlt","",G62)</f>
        <v/>
      </c>
      <c r="I62" s="105" t="n"/>
      <c r="J62" s="106">
        <f>IF(OR(I62="",NOT(ISNUMBER(AK62))),"",IF(AJ62="Tage",I62+AI62,IF(AJ62="Wochen",I62+7*AI62,EDATE(I62,ROUND(AI62*IF(AJ62="Jahre",12,1),0)))))</f>
        <v/>
      </c>
      <c r="K62" s="107">
        <f>IF(J62="","",J62-TODAY())</f>
        <v/>
      </c>
      <c r="L62" s="57">
        <f>IF(H62="","Intervall fehlt",IF(NOT(ISNUMBER(AK62)),"Intervall prüfen",IF(I62="","nicht erfasst",IF(K62&lt;0,"überfällig",IF(K62&lt;=MIN(P_Vorwarn,ROUND(AK62/4,0)),"fällig","in Ordnung")))))</f>
        <v/>
      </c>
      <c r="M62" s="103" t="n"/>
      <c r="N62" s="103" t="n"/>
      <c r="O62" s="108" t="n"/>
      <c r="P62" s="103" t="n"/>
      <c r="Q62" s="108" t="n">
        <v>2</v>
      </c>
      <c r="R62" s="108" t="n">
        <v>2</v>
      </c>
      <c r="S62" s="108" t="n">
        <v>2</v>
      </c>
      <c r="T62" s="108" t="n">
        <v>3</v>
      </c>
      <c r="U62" s="108" t="n">
        <v>1</v>
      </c>
      <c r="V62" s="108" t="n">
        <v>3</v>
      </c>
      <c r="W62" s="108" t="n">
        <v>2</v>
      </c>
      <c r="X62" s="108" t="n">
        <v>2</v>
      </c>
      <c r="Y62" s="109">
        <f>P_SF</f>
        <v/>
      </c>
      <c r="Z62" s="109">
        <f>IF(COUNT(Q62:V62)=6,SQRT(SUMSQ(Q62:V62))/2,"")</f>
        <v/>
      </c>
      <c r="AA62" s="80">
        <f>IF(COUNT(W62:Z62)=4,Z62*W62*X62*Y62,"")</f>
        <v/>
      </c>
      <c r="AB62" s="68">
        <f>IF(AA62="","unvollständig",IF(AA62&gt;P_Grenze_kritisch,"kritisch",IF(AA62&gt;=P_Grenze_hoch,"hoch",IF(AA62&gt;=P_Grenze_mittel,"mittel","gering"))))</f>
        <v/>
      </c>
      <c r="AC62" s="68">
        <f>TRIM(IF(N(T62)&gt;=P_Krit,"AS ","")&amp;IF(N(S62)&gt;=P_Krit,"Q ","")&amp;IF(N(U62)&gt;=P_Krit,"US",""))</f>
        <v/>
      </c>
      <c r="AD62" s="102">
        <f>IF(ISNUMBER(R62),INDEX(IH_Text,R62),"")</f>
        <v/>
      </c>
      <c r="AE62" s="108" t="n"/>
      <c r="AF62" s="68" t="n"/>
      <c r="AG62" s="110" t="inlineStr">
        <is>
          <t>Auslaufrinne</t>
        </is>
      </c>
      <c r="AH62" s="110" t="inlineStr">
        <is>
          <t>Maßnahme</t>
        </is>
      </c>
      <c r="AI62" s="68">
        <f>IF(H62="","",IFERROR(INDEX(Iv_Anzahl,MATCH(H62,Iv_Name,0)),IFERROR(VALUE(LEFT(TRIM(SUBSTITUTE(LOWER(H62),"alle ","")),FIND(" ",TRIM(SUBSTITUTE(LOWER(H62),"alle ",""))&amp;" ")-1)),"")))</f>
        <v/>
      </c>
      <c r="AJ62" s="68">
        <f>IF(H62="","",IFERROR(INDEX(Iv_Einheit,MATCH(H62,Iv_Name,0)),IF(ISNUMBER(SEARCH("jahr",H62)),"Jahre",IF(ISNUMBER(SEARCH("monat",H62)),"Monate",IF(ISNUMBER(SEARCH("woche",H62)),"Wochen",IF(ISNUMBER(SEARCH("tag",H62)),"Tage",""))))))</f>
        <v/>
      </c>
      <c r="AK62" s="107">
        <f>IF(AND(ISNUMBER(AI62),AJ62&lt;&gt;""),IF(AI62&gt;0,AI62*IF(AJ62="Tage",1,IF(AJ62="Wochen",7,IF(AJ62="Monate",365/12,365))),""),"")</f>
        <v/>
      </c>
      <c r="AL62" s="111">
        <f>IF(ISNUMBER(AK62),365/AK62,"")</f>
        <v/>
      </c>
      <c r="AM62" s="111">
        <f>IF(AND(ISNUMBER(AL62),ISNUMBER(AE62)),AL62*AE62/60,"")</f>
        <v/>
      </c>
      <c r="AN62" s="102">
        <f>IF(ISNUMBER(AA62),AA62-ROW()/100000,"")</f>
        <v/>
      </c>
      <c r="AO62" s="102">
        <f>IF(OR(L62="überfällig",L62="fällig"),J62+ROW()/100000,"")</f>
        <v/>
      </c>
      <c r="AP62" s="112" t="inlineStr">
        <is>
          <t>8.1</t>
        </is>
      </c>
      <c r="AQ62" s="113" t="inlineStr">
        <is>
          <t>Band auf Beschädigungen prüfen (starke Risse)</t>
        </is>
      </c>
    </row>
    <row r="63" ht="32" customHeight="1">
      <c r="A63" s="101" t="inlineStr">
        <is>
          <t>8.2</t>
        </is>
      </c>
      <c r="B63" s="102" t="inlineStr">
        <is>
          <t>Elektromotor kontrollieren (Funktion, Verschmutzung, Laufruhe, Kabel)</t>
        </is>
      </c>
      <c r="C63" s="103" t="inlineStr">
        <is>
          <t>Inspektion</t>
        </is>
      </c>
      <c r="D63" s="102" t="n"/>
      <c r="E63" s="114" t="inlineStr">
        <is>
          <t>Motor sauber, ruhiger Lauf; Kabel unbeschädigt</t>
        </is>
      </c>
      <c r="F63" s="102" t="n"/>
      <c r="G63" s="68">
        <f>IF(AB63="unvollständig","Bewertung fehlt",INDEX(Kl_Intervall,MATCH(AB63,Kl_Name,0)))</f>
        <v/>
      </c>
      <c r="H63" s="8">
        <f>IF(G63="Bewertung fehlt","",G63)</f>
        <v/>
      </c>
      <c r="I63" s="105" t="n"/>
      <c r="J63" s="106">
        <f>IF(OR(I63="",NOT(ISNUMBER(AK63))),"",IF(AJ63="Tage",I63+AI63,IF(AJ63="Wochen",I63+7*AI63,EDATE(I63,ROUND(AI63*IF(AJ63="Jahre",12,1),0)))))</f>
        <v/>
      </c>
      <c r="K63" s="107">
        <f>IF(J63="","",J63-TODAY())</f>
        <v/>
      </c>
      <c r="L63" s="57">
        <f>IF(H63="","Intervall fehlt",IF(NOT(ISNUMBER(AK63)),"Intervall prüfen",IF(I63="","nicht erfasst",IF(K63&lt;0,"überfällig",IF(K63&lt;=MIN(P_Vorwarn,ROUND(AK63/4,0)),"fällig","in Ordnung")))))</f>
        <v/>
      </c>
      <c r="M63" s="103" t="n"/>
      <c r="N63" s="103" t="n"/>
      <c r="O63" s="108" t="n"/>
      <c r="P63" s="103" t="n"/>
      <c r="Q63" s="108" t="n">
        <v>3</v>
      </c>
      <c r="R63" s="108" t="n">
        <v>3</v>
      </c>
      <c r="S63" s="108" t="n">
        <v>2</v>
      </c>
      <c r="T63" s="108" t="n">
        <v>2</v>
      </c>
      <c r="U63" s="108" t="n">
        <v>2</v>
      </c>
      <c r="V63" s="108" t="n">
        <v>3</v>
      </c>
      <c r="W63" s="108" t="n">
        <v>2</v>
      </c>
      <c r="X63" s="108" t="n">
        <v>3</v>
      </c>
      <c r="Y63" s="109">
        <f>P_SF</f>
        <v/>
      </c>
      <c r="Z63" s="109">
        <f>IF(COUNT(Q63:V63)=6,SQRT(SUMSQ(Q63:V63))/2,"")</f>
        <v/>
      </c>
      <c r="AA63" s="80">
        <f>IF(COUNT(W63:Z63)=4,Z63*W63*X63*Y63,"")</f>
        <v/>
      </c>
      <c r="AB63" s="68">
        <f>IF(AA63="","unvollständig",IF(AA63&gt;P_Grenze_kritisch,"kritisch",IF(AA63&gt;=P_Grenze_hoch,"hoch",IF(AA63&gt;=P_Grenze_mittel,"mittel","gering"))))</f>
        <v/>
      </c>
      <c r="AC63" s="68">
        <f>TRIM(IF(N(T63)&gt;=P_Krit,"AS ","")&amp;IF(N(S63)&gt;=P_Krit,"Q ","")&amp;IF(N(U63)&gt;=P_Krit,"US",""))</f>
        <v/>
      </c>
      <c r="AD63" s="102">
        <f>IF(ISNUMBER(R63),INDEX(IH_Text,R63),"")</f>
        <v/>
      </c>
      <c r="AE63" s="108" t="n"/>
      <c r="AF63" s="68" t="n"/>
      <c r="AG63" s="110" t="inlineStr">
        <is>
          <t>Auslaufrinne</t>
        </is>
      </c>
      <c r="AH63" s="110" t="inlineStr">
        <is>
          <t>Maßnahme</t>
        </is>
      </c>
      <c r="AI63" s="68">
        <f>IF(H63="","",IFERROR(INDEX(Iv_Anzahl,MATCH(H63,Iv_Name,0)),IFERROR(VALUE(LEFT(TRIM(SUBSTITUTE(LOWER(H63),"alle ","")),FIND(" ",TRIM(SUBSTITUTE(LOWER(H63),"alle ",""))&amp;" ")-1)),"")))</f>
        <v/>
      </c>
      <c r="AJ63" s="68">
        <f>IF(H63="","",IFERROR(INDEX(Iv_Einheit,MATCH(H63,Iv_Name,0)),IF(ISNUMBER(SEARCH("jahr",H63)),"Jahre",IF(ISNUMBER(SEARCH("monat",H63)),"Monate",IF(ISNUMBER(SEARCH("woche",H63)),"Wochen",IF(ISNUMBER(SEARCH("tag",H63)),"Tage",""))))))</f>
        <v/>
      </c>
      <c r="AK63" s="107">
        <f>IF(AND(ISNUMBER(AI63),AJ63&lt;&gt;""),IF(AI63&gt;0,AI63*IF(AJ63="Tage",1,IF(AJ63="Wochen",7,IF(AJ63="Monate",365/12,365))),""),"")</f>
        <v/>
      </c>
      <c r="AL63" s="111">
        <f>IF(ISNUMBER(AK63),365/AK63,"")</f>
        <v/>
      </c>
      <c r="AM63" s="111">
        <f>IF(AND(ISNUMBER(AL63),ISNUMBER(AE63)),AL63*AE63/60,"")</f>
        <v/>
      </c>
      <c r="AN63" s="102">
        <f>IF(ISNUMBER(AA63),AA63-ROW()/100000,"")</f>
        <v/>
      </c>
      <c r="AO63" s="102">
        <f>IF(OR(L63="überfällig",L63="fällig"),J63+ROW()/100000,"")</f>
        <v/>
      </c>
      <c r="AP63" s="112" t="inlineStr">
        <is>
          <t>8.2</t>
        </is>
      </c>
      <c r="AQ63" s="113" t="inlineStr">
        <is>
          <t>Kontrolliere Elektromotor (Funktion/Verschmutzung/Laufruhe/Kabeln)</t>
        </is>
      </c>
    </row>
    <row r="64" ht="45" customHeight="1">
      <c r="A64" s="96" t="inlineStr">
        <is>
          <t>9</t>
        </is>
      </c>
      <c r="B64" s="97" t="inlineStr">
        <is>
          <t>Beladehandling (Handling Glattrohrgreifer) und Entnahmehandling (Handling Balggreifer)   (Pos. 14 / 8)</t>
        </is>
      </c>
      <c r="C64" s="97" t="n"/>
      <c r="D64" s="97" t="n"/>
      <c r="E64" s="97" t="n"/>
      <c r="F64" s="97" t="n"/>
      <c r="G64" s="97" t="n"/>
      <c r="H64" s="97" t="n"/>
      <c r="I64" s="97" t="n"/>
      <c r="J64" s="97" t="n"/>
      <c r="K64" s="97" t="n"/>
      <c r="L64" s="97" t="n"/>
      <c r="M64" s="97" t="n"/>
      <c r="N64" s="97" t="n"/>
      <c r="O64" s="97" t="n"/>
      <c r="P64" s="97" t="n"/>
      <c r="Q64" s="97" t="n"/>
      <c r="R64" s="97" t="n"/>
      <c r="S64" s="97" t="n"/>
      <c r="T64" s="97" t="n"/>
      <c r="U64" s="97" t="n"/>
      <c r="V64" s="97" t="n"/>
      <c r="W64" s="97" t="n"/>
      <c r="X64" s="97" t="n"/>
      <c r="Y64" s="97" t="n"/>
      <c r="Z64" s="97" t="n"/>
      <c r="AA64" s="97" t="n"/>
      <c r="AB64" s="97" t="n"/>
      <c r="AC64" s="97" t="n"/>
      <c r="AD64" s="97" t="n"/>
      <c r="AE64" s="97" t="n"/>
      <c r="AF64" s="97" t="n"/>
      <c r="AG64" s="98" t="inlineStr">
        <is>
          <t>Beladehandling (Handling Glattrohrgreifer) und Entnahmehandling (Handling Balggreifer)</t>
        </is>
      </c>
      <c r="AH64" s="98" t="inlineStr">
        <is>
          <t>Baugruppe</t>
        </is>
      </c>
      <c r="AI64" s="97" t="n"/>
      <c r="AJ64" s="97" t="n"/>
      <c r="AK64" s="97" t="n"/>
      <c r="AL64" s="97" t="n"/>
      <c r="AM64" s="97" t="n"/>
      <c r="AN64" s="97" t="n"/>
      <c r="AO64" s="97" t="n"/>
      <c r="AP64" s="99" t="inlineStr">
        <is>
          <t>9</t>
        </is>
      </c>
      <c r="AQ64" s="100" t="inlineStr">
        <is>
          <t>14.) Beladehandling (Handling Glattrohrgreifer) 8.) Entnahmehandling (= Handling Balggreifer)</t>
        </is>
      </c>
    </row>
    <row r="65" ht="80" customHeight="1">
      <c r="A65" s="101" t="inlineStr">
        <is>
          <t>9.1</t>
        </is>
      </c>
      <c r="B65" s="102" t="inlineStr">
        <is>
          <t>Handling (Balg- und Glattrohrgreifer): Greifer auf Funktion prüfen; Minischlitten auf Spiel prüfen, ggf. festziehen (!)</t>
        </is>
      </c>
      <c r="C65" s="103" t="inlineStr">
        <is>
          <t>Funktionsprüfung</t>
        </is>
      </c>
      <c r="D65" s="102" t="n"/>
      <c r="E65" s="114" t="inlineStr">
        <is>
          <t>Greifer greift sicher; Minischlitten ohne Spiel</t>
        </is>
      </c>
      <c r="F65" s="102" t="n"/>
      <c r="G65" s="68">
        <f>IF(AB65="unvollständig","Bewertung fehlt",INDEX(Kl_Intervall,MATCH(AB65,Kl_Name,0)))</f>
        <v/>
      </c>
      <c r="H65" s="8">
        <f>IF(G65="Bewertung fehlt","",G65)</f>
        <v/>
      </c>
      <c r="I65" s="105" t="n"/>
      <c r="J65" s="106">
        <f>IF(OR(I65="",NOT(ISNUMBER(AK65))),"",IF(AJ65="Tage",I65+AI65,IF(AJ65="Wochen",I65+7*AI65,EDATE(I65,ROUND(AI65*IF(AJ65="Jahre",12,1),0)))))</f>
        <v/>
      </c>
      <c r="K65" s="107">
        <f>IF(J65="","",J65-TODAY())</f>
        <v/>
      </c>
      <c r="L65" s="57">
        <f>IF(H65="","Intervall fehlt",IF(NOT(ISNUMBER(AK65)),"Intervall prüfen",IF(I65="","nicht erfasst",IF(K65&lt;0,"überfällig",IF(K65&lt;=MIN(P_Vorwarn,ROUND(AK65/4,0)),"fällig","in Ordnung")))))</f>
        <v/>
      </c>
      <c r="M65" s="103" t="n"/>
      <c r="N65" s="103" t="n"/>
      <c r="O65" s="108" t="n"/>
      <c r="P65" s="103" t="n"/>
      <c r="Q65" s="108" t="n">
        <v>4</v>
      </c>
      <c r="R65" s="108" t="n">
        <v>3</v>
      </c>
      <c r="S65" s="108" t="n">
        <v>3</v>
      </c>
      <c r="T65" s="108" t="n">
        <v>2</v>
      </c>
      <c r="U65" s="108" t="n">
        <v>2</v>
      </c>
      <c r="V65" s="108" t="n">
        <v>3</v>
      </c>
      <c r="W65" s="108" t="n">
        <v>3</v>
      </c>
      <c r="X65" s="108" t="n">
        <v>3</v>
      </c>
      <c r="Y65" s="109">
        <f>P_SF</f>
        <v/>
      </c>
      <c r="Z65" s="109">
        <f>IF(COUNT(Q65:V65)=6,SQRT(SUMSQ(Q65:V65))/2,"")</f>
        <v/>
      </c>
      <c r="AA65" s="80">
        <f>IF(COUNT(W65:Z65)=4,Z65*W65*X65*Y65,"")</f>
        <v/>
      </c>
      <c r="AB65" s="68">
        <f>IF(AA65="","unvollständig",IF(AA65&gt;P_Grenze_kritisch,"kritisch",IF(AA65&gt;=P_Grenze_hoch,"hoch",IF(AA65&gt;=P_Grenze_mittel,"mittel","gering"))))</f>
        <v/>
      </c>
      <c r="AC65" s="68">
        <f>TRIM(IF(N(T65)&gt;=P_Krit,"AS ","")&amp;IF(N(S65)&gt;=P_Krit,"Q ","")&amp;IF(N(U65)&gt;=P_Krit,"US",""))</f>
        <v/>
      </c>
      <c r="AD65" s="102">
        <f>IF(ISNUMBER(R65),INDEX(IH_Text,R65),"")</f>
        <v/>
      </c>
      <c r="AE65" s="108" t="n"/>
      <c r="AF65" s="68" t="n"/>
      <c r="AG65" s="110" t="inlineStr">
        <is>
          <t>Beladehandling (Handling Glattrohrgreifer) und Entnahmehandling (Handling Balggreifer)</t>
        </is>
      </c>
      <c r="AH65" s="110" t="inlineStr">
        <is>
          <t>Maßnahme</t>
        </is>
      </c>
      <c r="AI65" s="68">
        <f>IF(H65="","",IFERROR(INDEX(Iv_Anzahl,MATCH(H65,Iv_Name,0)),IFERROR(VALUE(LEFT(TRIM(SUBSTITUTE(LOWER(H65),"alle ","")),FIND(" ",TRIM(SUBSTITUTE(LOWER(H65),"alle ",""))&amp;" ")-1)),"")))</f>
        <v/>
      </c>
      <c r="AJ65" s="68">
        <f>IF(H65="","",IFERROR(INDEX(Iv_Einheit,MATCH(H65,Iv_Name,0)),IF(ISNUMBER(SEARCH("jahr",H65)),"Jahre",IF(ISNUMBER(SEARCH("monat",H65)),"Monate",IF(ISNUMBER(SEARCH("woche",H65)),"Wochen",IF(ISNUMBER(SEARCH("tag",H65)),"Tage",""))))))</f>
        <v/>
      </c>
      <c r="AK65" s="107">
        <f>IF(AND(ISNUMBER(AI65),AJ65&lt;&gt;""),IF(AI65&gt;0,AI65*IF(AJ65="Tage",1,IF(AJ65="Wochen",7,IF(AJ65="Monate",365/12,365))),""),"")</f>
        <v/>
      </c>
      <c r="AL65" s="111">
        <f>IF(ISNUMBER(AK65),365/AK65,"")</f>
        <v/>
      </c>
      <c r="AM65" s="111">
        <f>IF(AND(ISNUMBER(AL65),ISNUMBER(AE65)),AL65*AE65/60,"")</f>
        <v/>
      </c>
      <c r="AN65" s="102">
        <f>IF(ISNUMBER(AA65),AA65-ROW()/100000,"")</f>
        <v/>
      </c>
      <c r="AO65" s="102">
        <f>IF(OR(L65="überfällig",L65="fällig"),J65+ROW()/100000,"")</f>
        <v/>
      </c>
      <c r="AP65" s="112" t="inlineStr">
        <is>
          <t>9.01</t>
        </is>
      </c>
      <c r="AQ65" s="113" t="inlineStr">
        <is>
          <t xml:space="preserve">Handling (Balg &amp; Glattrohr) - Greifer auf Funktion prüfen / Minischlitten auf Spiel prüfen ggf. festziehen!!!                  </t>
        </is>
      </c>
    </row>
    <row r="66" ht="80" customHeight="1">
      <c r="A66" s="101" t="inlineStr">
        <is>
          <t>9.2</t>
        </is>
      </c>
      <c r="B66" s="102" t="inlineStr">
        <is>
          <t>Stoßdämpfer/Minischlitten auf Funktion prüfen</t>
        </is>
      </c>
      <c r="C66" s="103" t="inlineStr">
        <is>
          <t>Funktionsprüfung</t>
        </is>
      </c>
      <c r="D66" s="102" t="n"/>
      <c r="E66" s="114" t="inlineStr">
        <is>
          <t>Gedämpfte Endlage, kein Anschlagen</t>
        </is>
      </c>
      <c r="F66" s="102" t="n"/>
      <c r="G66" s="68">
        <f>IF(AB66="unvollständig","Bewertung fehlt",INDEX(Kl_Intervall,MATCH(AB66,Kl_Name,0)))</f>
        <v/>
      </c>
      <c r="H66" s="8">
        <f>IF(G66="Bewertung fehlt","",G66)</f>
        <v/>
      </c>
      <c r="I66" s="105" t="n"/>
      <c r="J66" s="106">
        <f>IF(OR(I66="",NOT(ISNUMBER(AK66))),"",IF(AJ66="Tage",I66+AI66,IF(AJ66="Wochen",I66+7*AI66,EDATE(I66,ROUND(AI66*IF(AJ66="Jahre",12,1),0)))))</f>
        <v/>
      </c>
      <c r="K66" s="107">
        <f>IF(J66="","",J66-TODAY())</f>
        <v/>
      </c>
      <c r="L66" s="57">
        <f>IF(H66="","Intervall fehlt",IF(NOT(ISNUMBER(AK66)),"Intervall prüfen",IF(I66="","nicht erfasst",IF(K66&lt;0,"überfällig",IF(K66&lt;=MIN(P_Vorwarn,ROUND(AK66/4,0)),"fällig","in Ordnung")))))</f>
        <v/>
      </c>
      <c r="M66" s="103" t="n"/>
      <c r="N66" s="103" t="n"/>
      <c r="O66" s="108" t="n"/>
      <c r="P66" s="103" t="n"/>
      <c r="Q66" s="108" t="n">
        <v>4</v>
      </c>
      <c r="R66" s="108" t="n">
        <v>3</v>
      </c>
      <c r="S66" s="108" t="n">
        <v>3</v>
      </c>
      <c r="T66" s="108" t="n">
        <v>2</v>
      </c>
      <c r="U66" s="108" t="n">
        <v>2</v>
      </c>
      <c r="V66" s="108" t="n">
        <v>3</v>
      </c>
      <c r="W66" s="108" t="n">
        <v>3</v>
      </c>
      <c r="X66" s="108" t="n">
        <v>3</v>
      </c>
      <c r="Y66" s="109">
        <f>P_SF</f>
        <v/>
      </c>
      <c r="Z66" s="109">
        <f>IF(COUNT(Q66:V66)=6,SQRT(SUMSQ(Q66:V66))/2,"")</f>
        <v/>
      </c>
      <c r="AA66" s="80">
        <f>IF(COUNT(W66:Z66)=4,Z66*W66*X66*Y66,"")</f>
        <v/>
      </c>
      <c r="AB66" s="68">
        <f>IF(AA66="","unvollständig",IF(AA66&gt;P_Grenze_kritisch,"kritisch",IF(AA66&gt;=P_Grenze_hoch,"hoch",IF(AA66&gt;=P_Grenze_mittel,"mittel","gering"))))</f>
        <v/>
      </c>
      <c r="AC66" s="68">
        <f>TRIM(IF(N(T66)&gt;=P_Krit,"AS ","")&amp;IF(N(S66)&gt;=P_Krit,"Q ","")&amp;IF(N(U66)&gt;=P_Krit,"US",""))</f>
        <v/>
      </c>
      <c r="AD66" s="102">
        <f>IF(ISNUMBER(R66),INDEX(IH_Text,R66),"")</f>
        <v/>
      </c>
      <c r="AE66" s="108" t="n"/>
      <c r="AF66" s="68" t="n"/>
      <c r="AG66" s="110" t="inlineStr">
        <is>
          <t>Beladehandling (Handling Glattrohrgreifer) und Entnahmehandling (Handling Balggreifer)</t>
        </is>
      </c>
      <c r="AH66" s="110" t="inlineStr">
        <is>
          <t>Maßnahme</t>
        </is>
      </c>
      <c r="AI66" s="68">
        <f>IF(H66="","",IFERROR(INDEX(Iv_Anzahl,MATCH(H66,Iv_Name,0)),IFERROR(VALUE(LEFT(TRIM(SUBSTITUTE(LOWER(H66),"alle ","")),FIND(" ",TRIM(SUBSTITUTE(LOWER(H66),"alle ",""))&amp;" ")-1)),"")))</f>
        <v/>
      </c>
      <c r="AJ66" s="68">
        <f>IF(H66="","",IFERROR(INDEX(Iv_Einheit,MATCH(H66,Iv_Name,0)),IF(ISNUMBER(SEARCH("jahr",H66)),"Jahre",IF(ISNUMBER(SEARCH("monat",H66)),"Monate",IF(ISNUMBER(SEARCH("woche",H66)),"Wochen",IF(ISNUMBER(SEARCH("tag",H66)),"Tage",""))))))</f>
        <v/>
      </c>
      <c r="AK66" s="107">
        <f>IF(AND(ISNUMBER(AI66),AJ66&lt;&gt;""),IF(AI66&gt;0,AI66*IF(AJ66="Tage",1,IF(AJ66="Wochen",7,IF(AJ66="Monate",365/12,365))),""),"")</f>
        <v/>
      </c>
      <c r="AL66" s="111">
        <f>IF(ISNUMBER(AK66),365/AK66,"")</f>
        <v/>
      </c>
      <c r="AM66" s="111">
        <f>IF(AND(ISNUMBER(AL66),ISNUMBER(AE66)),AL66*AE66/60,"")</f>
        <v/>
      </c>
      <c r="AN66" s="102">
        <f>IF(ISNUMBER(AA66),AA66-ROW()/100000,"")</f>
        <v/>
      </c>
      <c r="AO66" s="102">
        <f>IF(OR(L66="überfällig",L66="fällig"),J66+ROW()/100000,"")</f>
        <v/>
      </c>
      <c r="AP66" s="112" t="inlineStr">
        <is>
          <t>9.02</t>
        </is>
      </c>
      <c r="AQ66" s="113" t="inlineStr">
        <is>
          <t>Stoßdämpfer / Minischlitten auf Funktion prüfen</t>
        </is>
      </c>
    </row>
    <row r="67" ht="80" customHeight="1">
      <c r="A67" s="101" t="inlineStr">
        <is>
          <t>9.3</t>
        </is>
      </c>
      <c r="B67" s="102" t="inlineStr">
        <is>
          <t>Schwenkeinheit 66° und 12° auf Funktion prüfen; Stoßdämpfer auf Funktion prüfen</t>
        </is>
      </c>
      <c r="C67" s="103" t="inlineStr">
        <is>
          <t>Funktionsprüfung</t>
        </is>
      </c>
      <c r="D67" s="102" t="n"/>
      <c r="E67" s="114" t="inlineStr">
        <is>
          <t>Schwenkwinkel 66° / 12° werden sicher erreicht</t>
        </is>
      </c>
      <c r="F67" s="102" t="n"/>
      <c r="G67" s="68">
        <f>IF(AB67="unvollständig","Bewertung fehlt",INDEX(Kl_Intervall,MATCH(AB67,Kl_Name,0)))</f>
        <v/>
      </c>
      <c r="H67" s="8">
        <f>IF(G67="Bewertung fehlt","",G67)</f>
        <v/>
      </c>
      <c r="I67" s="105" t="n"/>
      <c r="J67" s="106">
        <f>IF(OR(I67="",NOT(ISNUMBER(AK67))),"",IF(AJ67="Tage",I67+AI67,IF(AJ67="Wochen",I67+7*AI67,EDATE(I67,ROUND(AI67*IF(AJ67="Jahre",12,1),0)))))</f>
        <v/>
      </c>
      <c r="K67" s="107">
        <f>IF(J67="","",J67-TODAY())</f>
        <v/>
      </c>
      <c r="L67" s="57">
        <f>IF(H67="","Intervall fehlt",IF(NOT(ISNUMBER(AK67)),"Intervall prüfen",IF(I67="","nicht erfasst",IF(K67&lt;0,"überfällig",IF(K67&lt;=MIN(P_Vorwarn,ROUND(AK67/4,0)),"fällig","in Ordnung")))))</f>
        <v/>
      </c>
      <c r="M67" s="103" t="n"/>
      <c r="N67" s="103" t="n"/>
      <c r="O67" s="108" t="n"/>
      <c r="P67" s="103" t="n"/>
      <c r="Q67" s="108" t="n">
        <v>4</v>
      </c>
      <c r="R67" s="108" t="n">
        <v>3</v>
      </c>
      <c r="S67" s="108" t="n">
        <v>3</v>
      </c>
      <c r="T67" s="108" t="n">
        <v>2</v>
      </c>
      <c r="U67" s="108" t="n">
        <v>2</v>
      </c>
      <c r="V67" s="108" t="n">
        <v>3</v>
      </c>
      <c r="W67" s="108" t="n">
        <v>3</v>
      </c>
      <c r="X67" s="108" t="n">
        <v>3</v>
      </c>
      <c r="Y67" s="109">
        <f>P_SF</f>
        <v/>
      </c>
      <c r="Z67" s="109">
        <f>IF(COUNT(Q67:V67)=6,SQRT(SUMSQ(Q67:V67))/2,"")</f>
        <v/>
      </c>
      <c r="AA67" s="80">
        <f>IF(COUNT(W67:Z67)=4,Z67*W67*X67*Y67,"")</f>
        <v/>
      </c>
      <c r="AB67" s="68">
        <f>IF(AA67="","unvollständig",IF(AA67&gt;P_Grenze_kritisch,"kritisch",IF(AA67&gt;=P_Grenze_hoch,"hoch",IF(AA67&gt;=P_Grenze_mittel,"mittel","gering"))))</f>
        <v/>
      </c>
      <c r="AC67" s="68">
        <f>TRIM(IF(N(T67)&gt;=P_Krit,"AS ","")&amp;IF(N(S67)&gt;=P_Krit,"Q ","")&amp;IF(N(U67)&gt;=P_Krit,"US",""))</f>
        <v/>
      </c>
      <c r="AD67" s="102">
        <f>IF(ISNUMBER(R67),INDEX(IH_Text,R67),"")</f>
        <v/>
      </c>
      <c r="AE67" s="108" t="n"/>
      <c r="AF67" s="68" t="n"/>
      <c r="AG67" s="110" t="inlineStr">
        <is>
          <t>Beladehandling (Handling Glattrohrgreifer) und Entnahmehandling (Handling Balggreifer)</t>
        </is>
      </c>
      <c r="AH67" s="110" t="inlineStr">
        <is>
          <t>Maßnahme</t>
        </is>
      </c>
      <c r="AI67" s="68">
        <f>IF(H67="","",IFERROR(INDEX(Iv_Anzahl,MATCH(H67,Iv_Name,0)),IFERROR(VALUE(LEFT(TRIM(SUBSTITUTE(LOWER(H67),"alle ","")),FIND(" ",TRIM(SUBSTITUTE(LOWER(H67),"alle ",""))&amp;" ")-1)),"")))</f>
        <v/>
      </c>
      <c r="AJ67" s="68">
        <f>IF(H67="","",IFERROR(INDEX(Iv_Einheit,MATCH(H67,Iv_Name,0)),IF(ISNUMBER(SEARCH("jahr",H67)),"Jahre",IF(ISNUMBER(SEARCH("monat",H67)),"Monate",IF(ISNUMBER(SEARCH("woche",H67)),"Wochen",IF(ISNUMBER(SEARCH("tag",H67)),"Tage",""))))))</f>
        <v/>
      </c>
      <c r="AK67" s="107">
        <f>IF(AND(ISNUMBER(AI67),AJ67&lt;&gt;""),IF(AI67&gt;0,AI67*IF(AJ67="Tage",1,IF(AJ67="Wochen",7,IF(AJ67="Monate",365/12,365))),""),"")</f>
        <v/>
      </c>
      <c r="AL67" s="111">
        <f>IF(ISNUMBER(AK67),365/AK67,"")</f>
        <v/>
      </c>
      <c r="AM67" s="111">
        <f>IF(AND(ISNUMBER(AL67),ISNUMBER(AE67)),AL67*AE67/60,"")</f>
        <v/>
      </c>
      <c r="AN67" s="102">
        <f>IF(ISNUMBER(AA67),AA67-ROW()/100000,"")</f>
        <v/>
      </c>
      <c r="AO67" s="102">
        <f>IF(OR(L67="überfällig",L67="fällig"),J67+ROW()/100000,"")</f>
        <v/>
      </c>
      <c r="AP67" s="112" t="inlineStr">
        <is>
          <t>9.03</t>
        </is>
      </c>
      <c r="AQ67" s="113" t="inlineStr">
        <is>
          <t>Schwenkeinheit 66° &amp; 12° auf Funktion prüfen                                                      Stoßdämpfer auf Funktion prüfen</t>
        </is>
      </c>
    </row>
    <row r="68" ht="18" customHeight="1">
      <c r="A68" s="115" t="inlineStr">
        <is>
          <t>9.4</t>
        </is>
      </c>
      <c r="B68" s="116" t="inlineStr">
        <is>
          <t>Alle Sensoren/Endschalter nach folgenden Kriterien inspizieren:</t>
        </is>
      </c>
      <c r="C68" s="116" t="n"/>
      <c r="D68" s="122" t="inlineStr">
        <is>
          <t>⚠ Gefahrenstelle</t>
        </is>
      </c>
      <c r="E68" s="116" t="n"/>
      <c r="F68" s="116" t="n"/>
      <c r="G68" s="116" t="n"/>
      <c r="H68" s="116" t="n"/>
      <c r="I68" s="116" t="n"/>
      <c r="J68" s="116" t="n"/>
      <c r="K68" s="116" t="n"/>
      <c r="L68" s="116" t="n"/>
      <c r="M68" s="116" t="n"/>
      <c r="N68" s="116" t="n"/>
      <c r="O68" s="116" t="n"/>
      <c r="P68" s="116" t="n"/>
      <c r="Q68" s="116" t="n"/>
      <c r="R68" s="116" t="n"/>
      <c r="S68" s="116" t="n"/>
      <c r="T68" s="116" t="n"/>
      <c r="U68" s="116" t="n"/>
      <c r="V68" s="116" t="n"/>
      <c r="W68" s="116" t="n"/>
      <c r="X68" s="116" t="n"/>
      <c r="Y68" s="116" t="n"/>
      <c r="Z68" s="116" t="n"/>
      <c r="AA68" s="116" t="n"/>
      <c r="AB68" s="116" t="n"/>
      <c r="AC68" s="116" t="n"/>
      <c r="AD68" s="116" t="n"/>
      <c r="AE68" s="116" t="n"/>
      <c r="AF68" s="116" t="n"/>
      <c r="AG68" s="117" t="inlineStr">
        <is>
          <t>Beladehandling (Handling Glattrohrgreifer) und Entnahmehandling (Handling Balggreifer)</t>
        </is>
      </c>
      <c r="AH68" s="117" t="inlineStr">
        <is>
          <t>Prüfgruppe</t>
        </is>
      </c>
      <c r="AI68" s="116" t="n"/>
      <c r="AJ68" s="116" t="n"/>
      <c r="AK68" s="116" t="n"/>
      <c r="AL68" s="116" t="n"/>
      <c r="AM68" s="116" t="n"/>
      <c r="AN68" s="116" t="n"/>
      <c r="AO68" s="116" t="n"/>
      <c r="AP68" s="118" t="inlineStr">
        <is>
          <t>9.1</t>
        </is>
      </c>
      <c r="AQ68" s="119" t="inlineStr">
        <is>
          <t>Inspiziere alle Sensoren/Endschalter nach folgenden Kriterien:</t>
        </is>
      </c>
    </row>
    <row r="69" ht="19" customHeight="1">
      <c r="A69" s="101" t="inlineStr">
        <is>
          <t>9.4.1</t>
        </is>
      </c>
      <c r="B69" s="102" t="inlineStr">
        <is>
          <t>Funktion testen</t>
        </is>
      </c>
      <c r="C69" s="103" t="inlineStr">
        <is>
          <t>Funktionsprüfung</t>
        </is>
      </c>
      <c r="D69" s="102" t="n"/>
      <c r="E69" s="114" t="inlineStr">
        <is>
          <t>Schaltsignal kommt sicher</t>
        </is>
      </c>
      <c r="F69" s="102" t="n"/>
      <c r="G69" s="68">
        <f>IF(AB69="unvollständig","Bewertung fehlt",INDEX(Kl_Intervall,MATCH(AB69,Kl_Name,0)))</f>
        <v/>
      </c>
      <c r="H69" s="8">
        <f>IF(G69="Bewertung fehlt","",G69)</f>
        <v/>
      </c>
      <c r="I69" s="105" t="n"/>
      <c r="J69" s="106">
        <f>IF(OR(I69="",NOT(ISNUMBER(AK69))),"",IF(AJ69="Tage",I69+AI69,IF(AJ69="Wochen",I69+7*AI69,EDATE(I69,ROUND(AI69*IF(AJ69="Jahre",12,1),0)))))</f>
        <v/>
      </c>
      <c r="K69" s="107">
        <f>IF(J69="","",J69-TODAY())</f>
        <v/>
      </c>
      <c r="L69" s="57">
        <f>IF(H69="","Intervall fehlt",IF(NOT(ISNUMBER(AK69)),"Intervall prüfen",IF(I69="","nicht erfasst",IF(K69&lt;0,"überfällig",IF(K69&lt;=MIN(P_Vorwarn,ROUND(AK69/4,0)),"fällig","in Ordnung")))))</f>
        <v/>
      </c>
      <c r="M69" s="103" t="n"/>
      <c r="N69" s="103" t="n"/>
      <c r="O69" s="108" t="n"/>
      <c r="P69" s="103" t="n"/>
      <c r="Q69" s="120">
        <f>Q39</f>
        <v/>
      </c>
      <c r="R69" s="120">
        <f>R39</f>
        <v/>
      </c>
      <c r="S69" s="120">
        <f>S39</f>
        <v/>
      </c>
      <c r="T69" s="120">
        <f>T39</f>
        <v/>
      </c>
      <c r="U69" s="120">
        <f>U39</f>
        <v/>
      </c>
      <c r="V69" s="120">
        <f>V39</f>
        <v/>
      </c>
      <c r="W69" s="120">
        <f>W39</f>
        <v/>
      </c>
      <c r="X69" s="120">
        <f>X39</f>
        <v/>
      </c>
      <c r="Y69" s="109">
        <f>P_SF</f>
        <v/>
      </c>
      <c r="Z69" s="109">
        <f>IF(COUNT(Q69:V69)=6,SQRT(SUMSQ(Q69:V69))/2,"")</f>
        <v/>
      </c>
      <c r="AA69" s="80">
        <f>IF(COUNT(W69:Z69)=4,Z69*W69*X69*Y69,"")</f>
        <v/>
      </c>
      <c r="AB69" s="68">
        <f>IF(AA69="","unvollständig",IF(AA69&gt;P_Grenze_kritisch,"kritisch",IF(AA69&gt;=P_Grenze_hoch,"hoch",IF(AA69&gt;=P_Grenze_mittel,"mittel","gering"))))</f>
        <v/>
      </c>
      <c r="AC69" s="68">
        <f>TRIM(IF(N(T69)&gt;=P_Krit,"AS ","")&amp;IF(N(S69)&gt;=P_Krit,"Q ","")&amp;IF(N(U69)&gt;=P_Krit,"US",""))</f>
        <v/>
      </c>
      <c r="AD69" s="102">
        <f>IF(ISNUMBER(R69),INDEX(IH_Text,R69),"")</f>
        <v/>
      </c>
      <c r="AE69" s="108" t="n"/>
      <c r="AF69" s="68" t="inlineStr">
        <is>
          <t>5.3.1</t>
        </is>
      </c>
      <c r="AG69" s="110" t="inlineStr">
        <is>
          <t>Beladehandling (Handling Glattrohrgreifer) und Entnahmehandling (Handling Balggreifer)</t>
        </is>
      </c>
      <c r="AH69" s="110" t="inlineStr">
        <is>
          <t>Maßnahme</t>
        </is>
      </c>
      <c r="AI69" s="68">
        <f>IF(H69="","",IFERROR(INDEX(Iv_Anzahl,MATCH(H69,Iv_Name,0)),IFERROR(VALUE(LEFT(TRIM(SUBSTITUTE(LOWER(H69),"alle ","")),FIND(" ",TRIM(SUBSTITUTE(LOWER(H69),"alle ",""))&amp;" ")-1)),"")))</f>
        <v/>
      </c>
      <c r="AJ69" s="68">
        <f>IF(H69="","",IFERROR(INDEX(Iv_Einheit,MATCH(H69,Iv_Name,0)),IF(ISNUMBER(SEARCH("jahr",H69)),"Jahre",IF(ISNUMBER(SEARCH("monat",H69)),"Monate",IF(ISNUMBER(SEARCH("woche",H69)),"Wochen",IF(ISNUMBER(SEARCH("tag",H69)),"Tage",""))))))</f>
        <v/>
      </c>
      <c r="AK69" s="107">
        <f>IF(AND(ISNUMBER(AI69),AJ69&lt;&gt;""),IF(AI69&gt;0,AI69*IF(AJ69="Tage",1,IF(AJ69="Wochen",7,IF(AJ69="Monate",365/12,365))),""),"")</f>
        <v/>
      </c>
      <c r="AL69" s="111">
        <f>IF(ISNUMBER(AK69),365/AK69,"")</f>
        <v/>
      </c>
      <c r="AM69" s="111">
        <f>IF(AND(ISNUMBER(AL69),ISNUMBER(AE69)),AL69*AE69/60,"")</f>
        <v/>
      </c>
      <c r="AN69" s="102">
        <f>IF(ISNUMBER(AA69),AA69-ROW()/100000,"")</f>
        <v/>
      </c>
      <c r="AO69" s="102">
        <f>IF(OR(L69="überfällig",L69="fällig"),J69+ROW()/100000,"")</f>
        <v/>
      </c>
      <c r="AP69" s="112" t="inlineStr">
        <is>
          <t>9.1.1</t>
        </is>
      </c>
      <c r="AQ69" s="113" t="inlineStr">
        <is>
          <t>Funktion testen</t>
        </is>
      </c>
    </row>
    <row r="70" ht="80" customHeight="1">
      <c r="A70" s="101" t="inlineStr">
        <is>
          <t>9.4.2</t>
        </is>
      </c>
      <c r="B70" s="102" t="inlineStr">
        <is>
          <t>Anschlüsse kontrollieren</t>
        </is>
      </c>
      <c r="C70" s="103" t="inlineStr">
        <is>
          <t>Inspektion</t>
        </is>
      </c>
      <c r="D70" s="102" t="n"/>
      <c r="E70" s="114" t="inlineStr">
        <is>
          <t>Stecker fest, unbeschädigt</t>
        </is>
      </c>
      <c r="F70" s="102" t="n"/>
      <c r="G70" s="68">
        <f>IF(AB70="unvollständig","Bewertung fehlt",INDEX(Kl_Intervall,MATCH(AB70,Kl_Name,0)))</f>
        <v/>
      </c>
      <c r="H70" s="8">
        <f>IF(G70="Bewertung fehlt","",G70)</f>
        <v/>
      </c>
      <c r="I70" s="105" t="n"/>
      <c r="J70" s="106">
        <f>IF(OR(I70="",NOT(ISNUMBER(AK70))),"",IF(AJ70="Tage",I70+AI70,IF(AJ70="Wochen",I70+7*AI70,EDATE(I70,ROUND(AI70*IF(AJ70="Jahre",12,1),0)))))</f>
        <v/>
      </c>
      <c r="K70" s="107">
        <f>IF(J70="","",J70-TODAY())</f>
        <v/>
      </c>
      <c r="L70" s="57">
        <f>IF(H70="","Intervall fehlt",IF(NOT(ISNUMBER(AK70)),"Intervall prüfen",IF(I70="","nicht erfasst",IF(K70&lt;0,"überfällig",IF(K70&lt;=MIN(P_Vorwarn,ROUND(AK70/4,0)),"fällig","in Ordnung")))))</f>
        <v/>
      </c>
      <c r="M70" s="103" t="n"/>
      <c r="N70" s="103" t="n"/>
      <c r="O70" s="108" t="n"/>
      <c r="P70" s="103" t="n"/>
      <c r="Q70" s="120">
        <f>Q40</f>
        <v/>
      </c>
      <c r="R70" s="120">
        <f>R40</f>
        <v/>
      </c>
      <c r="S70" s="120">
        <f>S40</f>
        <v/>
      </c>
      <c r="T70" s="120">
        <f>T40</f>
        <v/>
      </c>
      <c r="U70" s="120">
        <f>U40</f>
        <v/>
      </c>
      <c r="V70" s="120">
        <f>V40</f>
        <v/>
      </c>
      <c r="W70" s="120">
        <f>W40</f>
        <v/>
      </c>
      <c r="X70" s="120">
        <f>X40</f>
        <v/>
      </c>
      <c r="Y70" s="109">
        <f>P_SF</f>
        <v/>
      </c>
      <c r="Z70" s="109">
        <f>IF(COUNT(Q70:V70)=6,SQRT(SUMSQ(Q70:V70))/2,"")</f>
        <v/>
      </c>
      <c r="AA70" s="80">
        <f>IF(COUNT(W70:Z70)=4,Z70*W70*X70*Y70,"")</f>
        <v/>
      </c>
      <c r="AB70" s="68">
        <f>IF(AA70="","unvollständig",IF(AA70&gt;P_Grenze_kritisch,"kritisch",IF(AA70&gt;=P_Grenze_hoch,"hoch",IF(AA70&gt;=P_Grenze_mittel,"mittel","gering"))))</f>
        <v/>
      </c>
      <c r="AC70" s="68">
        <f>TRIM(IF(N(T70)&gt;=P_Krit,"AS ","")&amp;IF(N(S70)&gt;=P_Krit,"Q ","")&amp;IF(N(U70)&gt;=P_Krit,"US",""))</f>
        <v/>
      </c>
      <c r="AD70" s="102">
        <f>IF(ISNUMBER(R70),INDEX(IH_Text,R70),"")</f>
        <v/>
      </c>
      <c r="AE70" s="108" t="n"/>
      <c r="AF70" s="68" t="inlineStr">
        <is>
          <t>5.3.2</t>
        </is>
      </c>
      <c r="AG70" s="110" t="inlineStr">
        <is>
          <t>Beladehandling (Handling Glattrohrgreifer) und Entnahmehandling (Handling Balggreifer)</t>
        </is>
      </c>
      <c r="AH70" s="110" t="inlineStr">
        <is>
          <t>Maßnahme</t>
        </is>
      </c>
      <c r="AI70" s="68">
        <f>IF(H70="","",IFERROR(INDEX(Iv_Anzahl,MATCH(H70,Iv_Name,0)),IFERROR(VALUE(LEFT(TRIM(SUBSTITUTE(LOWER(H70),"alle ","")),FIND(" ",TRIM(SUBSTITUTE(LOWER(H70),"alle ",""))&amp;" ")-1)),"")))</f>
        <v/>
      </c>
      <c r="AJ70" s="68">
        <f>IF(H70="","",IFERROR(INDEX(Iv_Einheit,MATCH(H70,Iv_Name,0)),IF(ISNUMBER(SEARCH("jahr",H70)),"Jahre",IF(ISNUMBER(SEARCH("monat",H70)),"Monate",IF(ISNUMBER(SEARCH("woche",H70)),"Wochen",IF(ISNUMBER(SEARCH("tag",H70)),"Tage",""))))))</f>
        <v/>
      </c>
      <c r="AK70" s="107">
        <f>IF(AND(ISNUMBER(AI70),AJ70&lt;&gt;""),IF(AI70&gt;0,AI70*IF(AJ70="Tage",1,IF(AJ70="Wochen",7,IF(AJ70="Monate",365/12,365))),""),"")</f>
        <v/>
      </c>
      <c r="AL70" s="111">
        <f>IF(ISNUMBER(AK70),365/AK70,"")</f>
        <v/>
      </c>
      <c r="AM70" s="111">
        <f>IF(AND(ISNUMBER(AL70),ISNUMBER(AE70)),AL70*AE70/60,"")</f>
        <v/>
      </c>
      <c r="AN70" s="102">
        <f>IF(ISNUMBER(AA70),AA70-ROW()/100000,"")</f>
        <v/>
      </c>
      <c r="AO70" s="102">
        <f>IF(OR(L70="überfällig",L70="fällig"),J70+ROW()/100000,"")</f>
        <v/>
      </c>
      <c r="AP70" s="112" t="inlineStr">
        <is>
          <t>9.1.2</t>
        </is>
      </c>
      <c r="AQ70" s="113" t="inlineStr">
        <is>
          <t>Anschlüsse kontrollieren</t>
        </is>
      </c>
    </row>
    <row r="71" ht="32" customHeight="1">
      <c r="A71" s="101" t="inlineStr">
        <is>
          <t>9.4.3</t>
        </is>
      </c>
      <c r="B71" s="102" t="inlineStr">
        <is>
          <t>Befestigung und Position kontrollieren</t>
        </is>
      </c>
      <c r="C71" s="103" t="inlineStr">
        <is>
          <t>Inspektion</t>
        </is>
      </c>
      <c r="D71" s="102" t="n"/>
      <c r="E71" s="114" t="inlineStr">
        <is>
          <t>Fest, Position unverändert</t>
        </is>
      </c>
      <c r="F71" s="102" t="n"/>
      <c r="G71" s="68">
        <f>IF(AB71="unvollständig","Bewertung fehlt",INDEX(Kl_Intervall,MATCH(AB71,Kl_Name,0)))</f>
        <v/>
      </c>
      <c r="H71" s="8">
        <f>IF(G71="Bewertung fehlt","",G71)</f>
        <v/>
      </c>
      <c r="I71" s="105" t="n"/>
      <c r="J71" s="106">
        <f>IF(OR(I71="",NOT(ISNUMBER(AK71))),"",IF(AJ71="Tage",I71+AI71,IF(AJ71="Wochen",I71+7*AI71,EDATE(I71,ROUND(AI71*IF(AJ71="Jahre",12,1),0)))))</f>
        <v/>
      </c>
      <c r="K71" s="107">
        <f>IF(J71="","",J71-TODAY())</f>
        <v/>
      </c>
      <c r="L71" s="57">
        <f>IF(H71="","Intervall fehlt",IF(NOT(ISNUMBER(AK71)),"Intervall prüfen",IF(I71="","nicht erfasst",IF(K71&lt;0,"überfällig",IF(K71&lt;=MIN(P_Vorwarn,ROUND(AK71/4,0)),"fällig","in Ordnung")))))</f>
        <v/>
      </c>
      <c r="M71" s="103" t="n"/>
      <c r="N71" s="103" t="n"/>
      <c r="O71" s="108" t="n"/>
      <c r="P71" s="103" t="n"/>
      <c r="Q71" s="120">
        <f>Q41</f>
        <v/>
      </c>
      <c r="R71" s="120">
        <f>R41</f>
        <v/>
      </c>
      <c r="S71" s="120">
        <f>S41</f>
        <v/>
      </c>
      <c r="T71" s="120">
        <f>T41</f>
        <v/>
      </c>
      <c r="U71" s="120">
        <f>U41</f>
        <v/>
      </c>
      <c r="V71" s="120">
        <f>V41</f>
        <v/>
      </c>
      <c r="W71" s="120">
        <f>W41</f>
        <v/>
      </c>
      <c r="X71" s="120">
        <f>X41</f>
        <v/>
      </c>
      <c r="Y71" s="109">
        <f>P_SF</f>
        <v/>
      </c>
      <c r="Z71" s="109">
        <f>IF(COUNT(Q71:V71)=6,SQRT(SUMSQ(Q71:V71))/2,"")</f>
        <v/>
      </c>
      <c r="AA71" s="80">
        <f>IF(COUNT(W71:Z71)=4,Z71*W71*X71*Y71,"")</f>
        <v/>
      </c>
      <c r="AB71" s="68">
        <f>IF(AA71="","unvollständig",IF(AA71&gt;P_Grenze_kritisch,"kritisch",IF(AA71&gt;=P_Grenze_hoch,"hoch",IF(AA71&gt;=P_Grenze_mittel,"mittel","gering"))))</f>
        <v/>
      </c>
      <c r="AC71" s="68">
        <f>TRIM(IF(N(T71)&gt;=P_Krit,"AS ","")&amp;IF(N(S71)&gt;=P_Krit,"Q ","")&amp;IF(N(U71)&gt;=P_Krit,"US",""))</f>
        <v/>
      </c>
      <c r="AD71" s="102">
        <f>IF(ISNUMBER(R71),INDEX(IH_Text,R71),"")</f>
        <v/>
      </c>
      <c r="AE71" s="108" t="n"/>
      <c r="AF71" s="68" t="inlineStr">
        <is>
          <t>5.3.3</t>
        </is>
      </c>
      <c r="AG71" s="110" t="inlineStr">
        <is>
          <t>Beladehandling (Handling Glattrohrgreifer) und Entnahmehandling (Handling Balggreifer)</t>
        </is>
      </c>
      <c r="AH71" s="110" t="inlineStr">
        <is>
          <t>Maßnahme</t>
        </is>
      </c>
      <c r="AI71" s="68">
        <f>IF(H71="","",IFERROR(INDEX(Iv_Anzahl,MATCH(H71,Iv_Name,0)),IFERROR(VALUE(LEFT(TRIM(SUBSTITUTE(LOWER(H71),"alle ","")),FIND(" ",TRIM(SUBSTITUTE(LOWER(H71),"alle ",""))&amp;" ")-1)),"")))</f>
        <v/>
      </c>
      <c r="AJ71" s="68">
        <f>IF(H71="","",IFERROR(INDEX(Iv_Einheit,MATCH(H71,Iv_Name,0)),IF(ISNUMBER(SEARCH("jahr",H71)),"Jahre",IF(ISNUMBER(SEARCH("monat",H71)),"Monate",IF(ISNUMBER(SEARCH("woche",H71)),"Wochen",IF(ISNUMBER(SEARCH("tag",H71)),"Tage",""))))))</f>
        <v/>
      </c>
      <c r="AK71" s="107">
        <f>IF(AND(ISNUMBER(AI71),AJ71&lt;&gt;""),IF(AI71&gt;0,AI71*IF(AJ71="Tage",1,IF(AJ71="Wochen",7,IF(AJ71="Monate",365/12,365))),""),"")</f>
        <v/>
      </c>
      <c r="AL71" s="111">
        <f>IF(ISNUMBER(AK71),365/AK71,"")</f>
        <v/>
      </c>
      <c r="AM71" s="111">
        <f>IF(AND(ISNUMBER(AL71),ISNUMBER(AE71)),AL71*AE71/60,"")</f>
        <v/>
      </c>
      <c r="AN71" s="102">
        <f>IF(ISNUMBER(AA71),AA71-ROW()/100000,"")</f>
        <v/>
      </c>
      <c r="AO71" s="102">
        <f>IF(OR(L71="überfällig",L71="fällig"),J71+ROW()/100000,"")</f>
        <v/>
      </c>
      <c r="AP71" s="112" t="inlineStr">
        <is>
          <t>9.1.3</t>
        </is>
      </c>
      <c r="AQ71" s="113" t="inlineStr">
        <is>
          <t xml:space="preserve">Befestigung und Position kontrollieren </t>
        </is>
      </c>
    </row>
    <row r="72" ht="19" customHeight="1">
      <c r="A72" s="101" t="inlineStr">
        <is>
          <t>9.4.4</t>
        </is>
      </c>
      <c r="B72" s="102" t="inlineStr">
        <is>
          <t>Sensor auf Beschädigung kontrollieren</t>
        </is>
      </c>
      <c r="C72" s="103" t="inlineStr">
        <is>
          <t>Inspektion</t>
        </is>
      </c>
      <c r="D72" s="102" t="n"/>
      <c r="E72" s="114" t="inlineStr">
        <is>
          <t>Keine Beschädigung</t>
        </is>
      </c>
      <c r="F72" s="102" t="n"/>
      <c r="G72" s="68">
        <f>IF(AB72="unvollständig","Bewertung fehlt",INDEX(Kl_Intervall,MATCH(AB72,Kl_Name,0)))</f>
        <v/>
      </c>
      <c r="H72" s="8">
        <f>IF(G72="Bewertung fehlt","",G72)</f>
        <v/>
      </c>
      <c r="I72" s="105" t="n"/>
      <c r="J72" s="106">
        <f>IF(OR(I72="",NOT(ISNUMBER(AK72))),"",IF(AJ72="Tage",I72+AI72,IF(AJ72="Wochen",I72+7*AI72,EDATE(I72,ROUND(AI72*IF(AJ72="Jahre",12,1),0)))))</f>
        <v/>
      </c>
      <c r="K72" s="107">
        <f>IF(J72="","",J72-TODAY())</f>
        <v/>
      </c>
      <c r="L72" s="57">
        <f>IF(H72="","Intervall fehlt",IF(NOT(ISNUMBER(AK72)),"Intervall prüfen",IF(I72="","nicht erfasst",IF(K72&lt;0,"überfällig",IF(K72&lt;=MIN(P_Vorwarn,ROUND(AK72/4,0)),"fällig","in Ordnung")))))</f>
        <v/>
      </c>
      <c r="M72" s="103" t="n"/>
      <c r="N72" s="103" t="n"/>
      <c r="O72" s="108" t="n"/>
      <c r="P72" s="103" t="n"/>
      <c r="Q72" s="120">
        <f>Q42</f>
        <v/>
      </c>
      <c r="R72" s="120">
        <f>R42</f>
        <v/>
      </c>
      <c r="S72" s="120">
        <f>S42</f>
        <v/>
      </c>
      <c r="T72" s="120">
        <f>T42</f>
        <v/>
      </c>
      <c r="U72" s="120">
        <f>U42</f>
        <v/>
      </c>
      <c r="V72" s="120">
        <f>V42</f>
        <v/>
      </c>
      <c r="W72" s="120">
        <f>W42</f>
        <v/>
      </c>
      <c r="X72" s="108" t="n">
        <v>3</v>
      </c>
      <c r="Y72" s="109">
        <f>P_SF</f>
        <v/>
      </c>
      <c r="Z72" s="109">
        <f>IF(COUNT(Q72:V72)=6,SQRT(SUMSQ(Q72:V72))/2,"")</f>
        <v/>
      </c>
      <c r="AA72" s="80">
        <f>IF(COUNT(W72:Z72)=4,Z72*W72*X72*Y72,"")</f>
        <v/>
      </c>
      <c r="AB72" s="68">
        <f>IF(AA72="","unvollständig",IF(AA72&gt;P_Grenze_kritisch,"kritisch",IF(AA72&gt;=P_Grenze_hoch,"hoch",IF(AA72&gt;=P_Grenze_mittel,"mittel","gering"))))</f>
        <v/>
      </c>
      <c r="AC72" s="68">
        <f>TRIM(IF(N(T72)&gt;=P_Krit,"AS ","")&amp;IF(N(S72)&gt;=P_Krit,"Q ","")&amp;IF(N(U72)&gt;=P_Krit,"US",""))</f>
        <v/>
      </c>
      <c r="AD72" s="102">
        <f>IF(ISNUMBER(R72),INDEX(IH_Text,R72),"")</f>
        <v/>
      </c>
      <c r="AE72" s="108" t="n"/>
      <c r="AF72" s="68" t="inlineStr">
        <is>
          <t>5.3.4</t>
        </is>
      </c>
      <c r="AG72" s="110" t="inlineStr">
        <is>
          <t>Beladehandling (Handling Glattrohrgreifer) und Entnahmehandling (Handling Balggreifer)</t>
        </is>
      </c>
      <c r="AH72" s="110" t="inlineStr">
        <is>
          <t>Maßnahme</t>
        </is>
      </c>
      <c r="AI72" s="68">
        <f>IF(H72="","",IFERROR(INDEX(Iv_Anzahl,MATCH(H72,Iv_Name,0)),IFERROR(VALUE(LEFT(TRIM(SUBSTITUTE(LOWER(H72),"alle ","")),FIND(" ",TRIM(SUBSTITUTE(LOWER(H72),"alle ",""))&amp;" ")-1)),"")))</f>
        <v/>
      </c>
      <c r="AJ72" s="68">
        <f>IF(H72="","",IFERROR(INDEX(Iv_Einheit,MATCH(H72,Iv_Name,0)),IF(ISNUMBER(SEARCH("jahr",H72)),"Jahre",IF(ISNUMBER(SEARCH("monat",H72)),"Monate",IF(ISNUMBER(SEARCH("woche",H72)),"Wochen",IF(ISNUMBER(SEARCH("tag",H72)),"Tage",""))))))</f>
        <v/>
      </c>
      <c r="AK72" s="107">
        <f>IF(AND(ISNUMBER(AI72),AJ72&lt;&gt;""),IF(AI72&gt;0,AI72*IF(AJ72="Tage",1,IF(AJ72="Wochen",7,IF(AJ72="Monate",365/12,365))),""),"")</f>
        <v/>
      </c>
      <c r="AL72" s="111">
        <f>IF(ISNUMBER(AK72),365/AK72,"")</f>
        <v/>
      </c>
      <c r="AM72" s="111">
        <f>IF(AND(ISNUMBER(AL72),ISNUMBER(AE72)),AL72*AE72/60,"")</f>
        <v/>
      </c>
      <c r="AN72" s="102">
        <f>IF(ISNUMBER(AA72),AA72-ROW()/100000,"")</f>
        <v/>
      </c>
      <c r="AO72" s="102">
        <f>IF(OR(L72="überfällig",L72="fällig"),J72+ROW()/100000,"")</f>
        <v/>
      </c>
      <c r="AP72" s="112" t="inlineStr">
        <is>
          <t>9.1.4</t>
        </is>
      </c>
      <c r="AQ72" s="113" t="inlineStr">
        <is>
          <t xml:space="preserve">Sensor auf Beschädigung kontrollieren </t>
        </is>
      </c>
    </row>
    <row r="73" ht="80" customHeight="1">
      <c r="A73" s="101" t="inlineStr">
        <is>
          <t>9.4.5</t>
        </is>
      </c>
      <c r="B73" s="102" t="inlineStr">
        <is>
          <t>Hydraulik- und Pneumatikleitungen/-anschlüsse kontrollieren</t>
        </is>
      </c>
      <c r="C73" s="103" t="inlineStr">
        <is>
          <t>Inspektion</t>
        </is>
      </c>
      <c r="D73" s="102" t="n"/>
      <c r="E73" s="114" t="inlineStr">
        <is>
          <t>Dicht, unbeschädigt</t>
        </is>
      </c>
      <c r="F73" s="102" t="n"/>
      <c r="G73" s="68">
        <f>IF(AB73="unvollständig","Bewertung fehlt",INDEX(Kl_Intervall,MATCH(AB73,Kl_Name,0)))</f>
        <v/>
      </c>
      <c r="H73" s="8">
        <f>IF(G73="Bewertung fehlt","",G73)</f>
        <v/>
      </c>
      <c r="I73" s="105" t="n"/>
      <c r="J73" s="106">
        <f>IF(OR(I73="",NOT(ISNUMBER(AK73))),"",IF(AJ73="Tage",I73+AI73,IF(AJ73="Wochen",I73+7*AI73,EDATE(I73,ROUND(AI73*IF(AJ73="Jahre",12,1),0)))))</f>
        <v/>
      </c>
      <c r="K73" s="107">
        <f>IF(J73="","",J73-TODAY())</f>
        <v/>
      </c>
      <c r="L73" s="57">
        <f>IF(H73="","Intervall fehlt",IF(NOT(ISNUMBER(AK73)),"Intervall prüfen",IF(I73="","nicht erfasst",IF(K73&lt;0,"überfällig",IF(K73&lt;=MIN(P_Vorwarn,ROUND(AK73/4,0)),"fällig","in Ordnung")))))</f>
        <v/>
      </c>
      <c r="M73" s="103" t="n"/>
      <c r="N73" s="103" t="n"/>
      <c r="O73" s="108" t="n"/>
      <c r="P73" s="103" t="n"/>
      <c r="Q73" s="108" t="n">
        <v>3</v>
      </c>
      <c r="R73" s="108" t="n">
        <v>2</v>
      </c>
      <c r="S73" s="108" t="n">
        <v>2</v>
      </c>
      <c r="T73" s="108" t="n">
        <v>3</v>
      </c>
      <c r="U73" s="108" t="n">
        <v>3</v>
      </c>
      <c r="V73" s="108" t="n">
        <v>2</v>
      </c>
      <c r="W73" s="108" t="n">
        <v>3</v>
      </c>
      <c r="X73" s="108" t="n">
        <v>3</v>
      </c>
      <c r="Y73" s="109">
        <f>P_SF</f>
        <v/>
      </c>
      <c r="Z73" s="109">
        <f>IF(COUNT(Q73:V73)=6,SQRT(SUMSQ(Q73:V73))/2,"")</f>
        <v/>
      </c>
      <c r="AA73" s="80">
        <f>IF(COUNT(W73:Z73)=4,Z73*W73*X73*Y73,"")</f>
        <v/>
      </c>
      <c r="AB73" s="68">
        <f>IF(AA73="","unvollständig",IF(AA73&gt;P_Grenze_kritisch,"kritisch",IF(AA73&gt;=P_Grenze_hoch,"hoch",IF(AA73&gt;=P_Grenze_mittel,"mittel","gering"))))</f>
        <v/>
      </c>
      <c r="AC73" s="68">
        <f>TRIM(IF(N(T73)&gt;=P_Krit,"AS ","")&amp;IF(N(S73)&gt;=P_Krit,"Q ","")&amp;IF(N(U73)&gt;=P_Krit,"US",""))</f>
        <v/>
      </c>
      <c r="AD73" s="102">
        <f>IF(ISNUMBER(R73),INDEX(IH_Text,R73),"")</f>
        <v/>
      </c>
      <c r="AE73" s="108" t="n"/>
      <c r="AF73" s="68" t="n"/>
      <c r="AG73" s="110" t="inlineStr">
        <is>
          <t>Beladehandling (Handling Glattrohrgreifer) und Entnahmehandling (Handling Balggreifer)</t>
        </is>
      </c>
      <c r="AH73" s="110" t="inlineStr">
        <is>
          <t>Maßnahme</t>
        </is>
      </c>
      <c r="AI73" s="68">
        <f>IF(H73="","",IFERROR(INDEX(Iv_Anzahl,MATCH(H73,Iv_Name,0)),IFERROR(VALUE(LEFT(TRIM(SUBSTITUTE(LOWER(H73),"alle ","")),FIND(" ",TRIM(SUBSTITUTE(LOWER(H73),"alle ",""))&amp;" ")-1)),"")))</f>
        <v/>
      </c>
      <c r="AJ73" s="68">
        <f>IF(H73="","",IFERROR(INDEX(Iv_Einheit,MATCH(H73,Iv_Name,0)),IF(ISNUMBER(SEARCH("jahr",H73)),"Jahre",IF(ISNUMBER(SEARCH("monat",H73)),"Monate",IF(ISNUMBER(SEARCH("woche",H73)),"Wochen",IF(ISNUMBER(SEARCH("tag",H73)),"Tage",""))))))</f>
        <v/>
      </c>
      <c r="AK73" s="107">
        <f>IF(AND(ISNUMBER(AI73),AJ73&lt;&gt;""),IF(AI73&gt;0,AI73*IF(AJ73="Tage",1,IF(AJ73="Wochen",7,IF(AJ73="Monate",365/12,365))),""),"")</f>
        <v/>
      </c>
      <c r="AL73" s="111">
        <f>IF(ISNUMBER(AK73),365/AK73,"")</f>
        <v/>
      </c>
      <c r="AM73" s="111">
        <f>IF(AND(ISNUMBER(AL73),ISNUMBER(AE73)),AL73*AE73/60,"")</f>
        <v/>
      </c>
      <c r="AN73" s="102">
        <f>IF(ISNUMBER(AA73),AA73-ROW()/100000,"")</f>
        <v/>
      </c>
      <c r="AO73" s="102">
        <f>IF(OR(L73="überfällig",L73="fällig"),J73+ROW()/100000,"")</f>
        <v/>
      </c>
      <c r="AP73" s="112" t="inlineStr">
        <is>
          <t>9.1.5</t>
        </is>
      </c>
      <c r="AQ73" s="113" t="inlineStr">
        <is>
          <t>Hydraulikleitungen/Anschlüsse u. Pneumatikleitungen/Anschlüsse kontrollieren</t>
        </is>
      </c>
    </row>
    <row r="74" ht="32" customHeight="1">
      <c r="A74" s="101" t="inlineStr">
        <is>
          <t>9.4.6</t>
        </is>
      </c>
      <c r="B74" s="102" t="inlineStr">
        <is>
          <t>Kabelklemmung, Knickschutz, Kabelkasten und Leitungen auf Beschädigung prüfen</t>
        </is>
      </c>
      <c r="C74" s="103" t="inlineStr">
        <is>
          <t>Inspektion</t>
        </is>
      </c>
      <c r="D74" s="104" t="inlineStr">
        <is>
          <t>⚠ Gefahrenstelle</t>
        </is>
      </c>
      <c r="E74" s="114" t="inlineStr">
        <is>
          <t>Keine Beschädigung; Zugentlastung wirksam</t>
        </is>
      </c>
      <c r="F74" s="102" t="n"/>
      <c r="G74" s="68">
        <f>IF(AB74="unvollständig","Bewertung fehlt",INDEX(Kl_Intervall,MATCH(AB74,Kl_Name,0)))</f>
        <v/>
      </c>
      <c r="H74" s="8">
        <f>IF(G74="Bewertung fehlt","",G74)</f>
        <v/>
      </c>
      <c r="I74" s="105" t="n"/>
      <c r="J74" s="106">
        <f>IF(OR(I74="",NOT(ISNUMBER(AK74))),"",IF(AJ74="Tage",I74+AI74,IF(AJ74="Wochen",I74+7*AI74,EDATE(I74,ROUND(AI74*IF(AJ74="Jahre",12,1),0)))))</f>
        <v/>
      </c>
      <c r="K74" s="107">
        <f>IF(J74="","",J74-TODAY())</f>
        <v/>
      </c>
      <c r="L74" s="57">
        <f>IF(H74="","Intervall fehlt",IF(NOT(ISNUMBER(AK74)),"Intervall prüfen",IF(I74="","nicht erfasst",IF(K74&lt;0,"überfällig",IF(K74&lt;=MIN(P_Vorwarn,ROUND(AK74/4,0)),"fällig","in Ordnung")))))</f>
        <v/>
      </c>
      <c r="M74" s="103" t="n"/>
      <c r="N74" s="103" t="n"/>
      <c r="O74" s="108" t="n"/>
      <c r="P74" s="103" t="n"/>
      <c r="Q74" s="120">
        <f>Q43</f>
        <v/>
      </c>
      <c r="R74" s="120">
        <f>R43</f>
        <v/>
      </c>
      <c r="S74" s="120">
        <f>S43</f>
        <v/>
      </c>
      <c r="T74" s="120">
        <f>T43</f>
        <v/>
      </c>
      <c r="U74" s="120">
        <f>U43</f>
        <v/>
      </c>
      <c r="V74" s="120">
        <f>V43</f>
        <v/>
      </c>
      <c r="W74" s="120">
        <f>W43</f>
        <v/>
      </c>
      <c r="X74" s="120">
        <f>X43</f>
        <v/>
      </c>
      <c r="Y74" s="109">
        <f>P_SF</f>
        <v/>
      </c>
      <c r="Z74" s="109">
        <f>IF(COUNT(Q74:V74)=6,SQRT(SUMSQ(Q74:V74))/2,"")</f>
        <v/>
      </c>
      <c r="AA74" s="80">
        <f>IF(COUNT(W74:Z74)=4,Z74*W74*X74*Y74,"")</f>
        <v/>
      </c>
      <c r="AB74" s="68">
        <f>IF(AA74="","unvollständig",IF(AA74&gt;P_Grenze_kritisch,"kritisch",IF(AA74&gt;=P_Grenze_hoch,"hoch",IF(AA74&gt;=P_Grenze_mittel,"mittel","gering"))))</f>
        <v/>
      </c>
      <c r="AC74" s="68">
        <f>TRIM(IF(N(T74)&gt;=P_Krit,"AS ","")&amp;IF(N(S74)&gt;=P_Krit,"Q ","")&amp;IF(N(U74)&gt;=P_Krit,"US",""))</f>
        <v/>
      </c>
      <c r="AD74" s="102">
        <f>IF(ISNUMBER(R74),INDEX(IH_Text,R74),"")</f>
        <v/>
      </c>
      <c r="AE74" s="108" t="n"/>
      <c r="AF74" s="68" t="inlineStr">
        <is>
          <t>5.3.5</t>
        </is>
      </c>
      <c r="AG74" s="110" t="inlineStr">
        <is>
          <t>Beladehandling (Handling Glattrohrgreifer) und Entnahmehandling (Handling Balggreifer)</t>
        </is>
      </c>
      <c r="AH74" s="110" t="inlineStr">
        <is>
          <t>Maßnahme</t>
        </is>
      </c>
      <c r="AI74" s="68">
        <f>IF(H74="","",IFERROR(INDEX(Iv_Anzahl,MATCH(H74,Iv_Name,0)),IFERROR(VALUE(LEFT(TRIM(SUBSTITUTE(LOWER(H74),"alle ","")),FIND(" ",TRIM(SUBSTITUTE(LOWER(H74),"alle ",""))&amp;" ")-1)),"")))</f>
        <v/>
      </c>
      <c r="AJ74" s="68">
        <f>IF(H74="","",IFERROR(INDEX(Iv_Einheit,MATCH(H74,Iv_Name,0)),IF(ISNUMBER(SEARCH("jahr",H74)),"Jahre",IF(ISNUMBER(SEARCH("monat",H74)),"Monate",IF(ISNUMBER(SEARCH("woche",H74)),"Wochen",IF(ISNUMBER(SEARCH("tag",H74)),"Tage",""))))))</f>
        <v/>
      </c>
      <c r="AK74" s="107">
        <f>IF(AND(ISNUMBER(AI74),AJ74&lt;&gt;""),IF(AI74&gt;0,AI74*IF(AJ74="Tage",1,IF(AJ74="Wochen",7,IF(AJ74="Monate",365/12,365))),""),"")</f>
        <v/>
      </c>
      <c r="AL74" s="111">
        <f>IF(ISNUMBER(AK74),365/AK74,"")</f>
        <v/>
      </c>
      <c r="AM74" s="111">
        <f>IF(AND(ISNUMBER(AL74),ISNUMBER(AE74)),AL74*AE74/60,"")</f>
        <v/>
      </c>
      <c r="AN74" s="102">
        <f>IF(ISNUMBER(AA74),AA74-ROW()/100000,"")</f>
        <v/>
      </c>
      <c r="AO74" s="102">
        <f>IF(OR(L74="überfällig",L74="fällig"),J74+ROW()/100000,"")</f>
        <v/>
      </c>
      <c r="AP74" s="112" t="inlineStr">
        <is>
          <t>9.1.6</t>
        </is>
      </c>
      <c r="AQ74" s="113" t="inlineStr">
        <is>
          <t>Prüfe Kabelklemmung, Knickschutz, Kabelkasten und Leitungen auf Beschädigung</t>
        </is>
      </c>
    </row>
    <row r="75" ht="32" customHeight="1">
      <c r="A75" s="96" t="inlineStr">
        <is>
          <t>10</t>
        </is>
      </c>
      <c r="B75" s="97" t="inlineStr">
        <is>
          <t>Wartungseinheit (falls vorhanden)   (Pos. 15)</t>
        </is>
      </c>
      <c r="C75" s="97" t="n"/>
      <c r="D75" s="97" t="n"/>
      <c r="E75" s="97" t="n"/>
      <c r="F75" s="97" t="n"/>
      <c r="G75" s="97" t="n"/>
      <c r="H75" s="97" t="n"/>
      <c r="I75" s="97" t="n"/>
      <c r="J75" s="97" t="n"/>
      <c r="K75" s="97" t="n"/>
      <c r="L75" s="97" t="n"/>
      <c r="M75" s="97" t="n"/>
      <c r="N75" s="97" t="n"/>
      <c r="O75" s="97" t="n"/>
      <c r="P75" s="97" t="n"/>
      <c r="Q75" s="97" t="n"/>
      <c r="R75" s="97" t="n"/>
      <c r="S75" s="97" t="n"/>
      <c r="T75" s="97" t="n"/>
      <c r="U75" s="97" t="n"/>
      <c r="V75" s="97" t="n"/>
      <c r="W75" s="97" t="n"/>
      <c r="X75" s="97" t="n"/>
      <c r="Y75" s="97" t="n"/>
      <c r="Z75" s="97" t="n"/>
      <c r="AA75" s="97" t="n"/>
      <c r="AB75" s="97" t="n"/>
      <c r="AC75" s="97" t="n"/>
      <c r="AD75" s="97" t="n"/>
      <c r="AE75" s="97" t="n"/>
      <c r="AF75" s="97" t="n"/>
      <c r="AG75" s="98" t="inlineStr">
        <is>
          <t>Wartungseinheit (falls vorhanden)</t>
        </is>
      </c>
      <c r="AH75" s="98" t="inlineStr">
        <is>
          <t>Baugruppe</t>
        </is>
      </c>
      <c r="AI75" s="97" t="n"/>
      <c r="AJ75" s="97" t="n"/>
      <c r="AK75" s="97" t="n"/>
      <c r="AL75" s="97" t="n"/>
      <c r="AM75" s="97" t="n"/>
      <c r="AN75" s="97" t="n"/>
      <c r="AO75" s="97" t="n"/>
      <c r="AP75" s="99" t="inlineStr">
        <is>
          <t>10</t>
        </is>
      </c>
      <c r="AQ75" s="100" t="inlineStr">
        <is>
          <t>15.) Wartungseinheit (falls vorhanden)</t>
        </is>
      </c>
    </row>
    <row r="76" ht="32" customHeight="1">
      <c r="A76" s="101" t="inlineStr">
        <is>
          <t>10.1</t>
        </is>
      </c>
      <c r="B76" s="102" t="inlineStr">
        <is>
          <t>Kondensat ablassen, Filter reinigen, Öl DTE 25 nachfüllen (0,05 l)</t>
        </is>
      </c>
      <c r="C76" s="103" t="inlineStr">
        <is>
          <t>Wartung</t>
        </is>
      </c>
      <c r="D76" s="102" t="inlineStr">
        <is>
          <t>Öl DTE 25; 0,05 l</t>
        </is>
      </c>
      <c r="E76" s="114" t="inlineStr">
        <is>
          <t>Kein Kondensat; Filter sauber; Ölstand i.O.</t>
        </is>
      </c>
      <c r="F76" s="102" t="n"/>
      <c r="G76" s="68">
        <f>IF(AB76="unvollständig","Bewertung fehlt",INDEX(Kl_Intervall,MATCH(AB76,Kl_Name,0)))</f>
        <v/>
      </c>
      <c r="H76" s="8">
        <f>IF(G76="Bewertung fehlt","",G76)</f>
        <v/>
      </c>
      <c r="I76" s="105" t="n"/>
      <c r="J76" s="106">
        <f>IF(OR(I76="",NOT(ISNUMBER(AK76))),"",IF(AJ76="Tage",I76+AI76,IF(AJ76="Wochen",I76+7*AI76,EDATE(I76,ROUND(AI76*IF(AJ76="Jahre",12,1),0)))))</f>
        <v/>
      </c>
      <c r="K76" s="107">
        <f>IF(J76="","",J76-TODAY())</f>
        <v/>
      </c>
      <c r="L76" s="57">
        <f>IF(H76="","Intervall fehlt",IF(NOT(ISNUMBER(AK76)),"Intervall prüfen",IF(I76="","nicht erfasst",IF(K76&lt;0,"überfällig",IF(K76&lt;=MIN(P_Vorwarn,ROUND(AK76/4,0)),"fällig","in Ordnung")))))</f>
        <v/>
      </c>
      <c r="M76" s="103" t="n"/>
      <c r="N76" s="103" t="n"/>
      <c r="O76" s="108" t="n"/>
      <c r="P76" s="103" t="n"/>
      <c r="Q76" s="108" t="n">
        <v>3</v>
      </c>
      <c r="R76" s="108" t="n">
        <v>2</v>
      </c>
      <c r="S76" s="108" t="n">
        <v>2</v>
      </c>
      <c r="T76" s="108" t="n">
        <v>2</v>
      </c>
      <c r="U76" s="108" t="n">
        <v>4</v>
      </c>
      <c r="V76" s="108" t="n">
        <v>2</v>
      </c>
      <c r="W76" s="108" t="n">
        <v>2</v>
      </c>
      <c r="X76" s="108" t="n">
        <v>4</v>
      </c>
      <c r="Y76" s="109">
        <f>P_SF</f>
        <v/>
      </c>
      <c r="Z76" s="109">
        <f>IF(COUNT(Q76:V76)=6,SQRT(SUMSQ(Q76:V76))/2,"")</f>
        <v/>
      </c>
      <c r="AA76" s="80">
        <f>IF(COUNT(W76:Z76)=4,Z76*W76*X76*Y76,"")</f>
        <v/>
      </c>
      <c r="AB76" s="68">
        <f>IF(AA76="","unvollständig",IF(AA76&gt;P_Grenze_kritisch,"kritisch",IF(AA76&gt;=P_Grenze_hoch,"hoch",IF(AA76&gt;=P_Grenze_mittel,"mittel","gering"))))</f>
        <v/>
      </c>
      <c r="AC76" s="68">
        <f>TRIM(IF(N(T76)&gt;=P_Krit,"AS ","")&amp;IF(N(S76)&gt;=P_Krit,"Q ","")&amp;IF(N(U76)&gt;=P_Krit,"US",""))</f>
        <v/>
      </c>
      <c r="AD76" s="102">
        <f>IF(ISNUMBER(R76),INDEX(IH_Text,R76),"")</f>
        <v/>
      </c>
      <c r="AE76" s="108" t="n"/>
      <c r="AF76" s="68" t="n"/>
      <c r="AG76" s="110" t="inlineStr">
        <is>
          <t>Wartungseinheit (falls vorhanden)</t>
        </is>
      </c>
      <c r="AH76" s="110" t="inlineStr">
        <is>
          <t>Maßnahme</t>
        </is>
      </c>
      <c r="AI76" s="68">
        <f>IF(H76="","",IFERROR(INDEX(Iv_Anzahl,MATCH(H76,Iv_Name,0)),IFERROR(VALUE(LEFT(TRIM(SUBSTITUTE(LOWER(H76),"alle ","")),FIND(" ",TRIM(SUBSTITUTE(LOWER(H76),"alle ",""))&amp;" ")-1)),"")))</f>
        <v/>
      </c>
      <c r="AJ76" s="68">
        <f>IF(H76="","",IFERROR(INDEX(Iv_Einheit,MATCH(H76,Iv_Name,0)),IF(ISNUMBER(SEARCH("jahr",H76)),"Jahre",IF(ISNUMBER(SEARCH("monat",H76)),"Monate",IF(ISNUMBER(SEARCH("woche",H76)),"Wochen",IF(ISNUMBER(SEARCH("tag",H76)),"Tage",""))))))</f>
        <v/>
      </c>
      <c r="AK76" s="107">
        <f>IF(AND(ISNUMBER(AI76),AJ76&lt;&gt;""),IF(AI76&gt;0,AI76*IF(AJ76="Tage",1,IF(AJ76="Wochen",7,IF(AJ76="Monate",365/12,365))),""),"")</f>
        <v/>
      </c>
      <c r="AL76" s="111">
        <f>IF(ISNUMBER(AK76),365/AK76,"")</f>
        <v/>
      </c>
      <c r="AM76" s="111">
        <f>IF(AND(ISNUMBER(AL76),ISNUMBER(AE76)),AL76*AE76/60,"")</f>
        <v/>
      </c>
      <c r="AN76" s="102">
        <f>IF(ISNUMBER(AA76),AA76-ROW()/100000,"")</f>
        <v/>
      </c>
      <c r="AO76" s="102">
        <f>IF(OR(L76="überfällig",L76="fällig"),J76+ROW()/100000,"")</f>
        <v/>
      </c>
      <c r="AP76" s="112" t="inlineStr">
        <is>
          <t>10.1</t>
        </is>
      </c>
      <c r="AQ76" s="113" t="inlineStr">
        <is>
          <t>Kondensat ablassen, Filter reinigen, Öl DTE 25 nachfüllen (0,05 Liter)</t>
        </is>
      </c>
    </row>
    <row r="77" ht="32" customHeight="1">
      <c r="A77" s="96" t="inlineStr">
        <is>
          <t>11</t>
        </is>
      </c>
      <c r="B77" s="97" t="inlineStr">
        <is>
          <t>Glattrohrzuführung und Vereinzeler/Rohrstopper   (Pos. 16 / 17)</t>
        </is>
      </c>
      <c r="C77" s="97" t="n"/>
      <c r="D77" s="97" t="n"/>
      <c r="E77" s="97" t="n"/>
      <c r="F77" s="97" t="n"/>
      <c r="G77" s="97" t="n"/>
      <c r="H77" s="97" t="n"/>
      <c r="I77" s="97" t="n"/>
      <c r="J77" s="97" t="n"/>
      <c r="K77" s="97" t="n"/>
      <c r="L77" s="97" t="n"/>
      <c r="M77" s="97" t="n"/>
      <c r="N77" s="97" t="n"/>
      <c r="O77" s="97" t="n"/>
      <c r="P77" s="97" t="n"/>
      <c r="Q77" s="97" t="n"/>
      <c r="R77" s="97" t="n"/>
      <c r="S77" s="97" t="n"/>
      <c r="T77" s="97" t="n"/>
      <c r="U77" s="97" t="n"/>
      <c r="V77" s="97" t="n"/>
      <c r="W77" s="97" t="n"/>
      <c r="X77" s="97" t="n"/>
      <c r="Y77" s="97" t="n"/>
      <c r="Z77" s="97" t="n"/>
      <c r="AA77" s="97" t="n"/>
      <c r="AB77" s="97" t="n"/>
      <c r="AC77" s="97" t="n"/>
      <c r="AD77" s="97" t="n"/>
      <c r="AE77" s="97" t="n"/>
      <c r="AF77" s="97" t="n"/>
      <c r="AG77" s="98" t="inlineStr">
        <is>
          <t>Glattrohrzuführung und Vereinzeler/Rohrstopper</t>
        </is>
      </c>
      <c r="AH77" s="98" t="inlineStr">
        <is>
          <t>Baugruppe</t>
        </is>
      </c>
      <c r="AI77" s="97" t="n"/>
      <c r="AJ77" s="97" t="n"/>
      <c r="AK77" s="97" t="n"/>
      <c r="AL77" s="97" t="n"/>
      <c r="AM77" s="97" t="n"/>
      <c r="AN77" s="97" t="n"/>
      <c r="AO77" s="97" t="n"/>
      <c r="AP77" s="99" t="inlineStr">
        <is>
          <t>11</t>
        </is>
      </c>
      <c r="AQ77" s="100" t="inlineStr">
        <is>
          <t>16.) Glattrohrzuführung 17.) Vereinzeler/Rohrstopper</t>
        </is>
      </c>
    </row>
    <row r="78" ht="18" customHeight="1">
      <c r="A78" s="115" t="inlineStr">
        <is>
          <t>11.1</t>
        </is>
      </c>
      <c r="B78" s="116" t="inlineStr">
        <is>
          <t>Alle Pneumatikventile/Ventilinseln nach folgenden Kriterien prüfen:</t>
        </is>
      </c>
      <c r="C78" s="116" t="n"/>
      <c r="D78" s="116" t="n"/>
      <c r="E78" s="116" t="n"/>
      <c r="F78" s="116" t="n"/>
      <c r="G78" s="116" t="n"/>
      <c r="H78" s="116" t="n"/>
      <c r="I78" s="116" t="n"/>
      <c r="J78" s="116" t="n"/>
      <c r="K78" s="116" t="n"/>
      <c r="L78" s="116" t="n"/>
      <c r="M78" s="116" t="n"/>
      <c r="N78" s="116" t="n"/>
      <c r="O78" s="116" t="n"/>
      <c r="P78" s="116" t="n"/>
      <c r="Q78" s="116" t="n"/>
      <c r="R78" s="116" t="n"/>
      <c r="S78" s="116" t="n"/>
      <c r="T78" s="116" t="n"/>
      <c r="U78" s="116" t="n"/>
      <c r="V78" s="116" t="n"/>
      <c r="W78" s="116" t="n"/>
      <c r="X78" s="116" t="n"/>
      <c r="Y78" s="116" t="n"/>
      <c r="Z78" s="116" t="n"/>
      <c r="AA78" s="116" t="n"/>
      <c r="AB78" s="116" t="n"/>
      <c r="AC78" s="116" t="n"/>
      <c r="AD78" s="116" t="n"/>
      <c r="AE78" s="116" t="n"/>
      <c r="AF78" s="116" t="n"/>
      <c r="AG78" s="117" t="inlineStr">
        <is>
          <t>Glattrohrzuführung und Vereinzeler/Rohrstopper</t>
        </is>
      </c>
      <c r="AH78" s="117" t="inlineStr">
        <is>
          <t>Prüfgruppe</t>
        </is>
      </c>
      <c r="AI78" s="116" t="n"/>
      <c r="AJ78" s="116" t="n"/>
      <c r="AK78" s="116" t="n"/>
      <c r="AL78" s="116" t="n"/>
      <c r="AM78" s="116" t="n"/>
      <c r="AN78" s="116" t="n"/>
      <c r="AO78" s="116" t="n"/>
      <c r="AP78" s="118" t="inlineStr">
        <is>
          <t>11.1.1</t>
        </is>
      </c>
      <c r="AQ78" s="119" t="inlineStr">
        <is>
          <t>Prüfe alle Pneumatikventile/Ventilinseln nach folgenden Kriterien:</t>
        </is>
      </c>
    </row>
    <row r="79" ht="32" customHeight="1">
      <c r="A79" s="101" t="inlineStr">
        <is>
          <t>11.1.1</t>
        </is>
      </c>
      <c r="B79" s="102" t="inlineStr">
        <is>
          <t>Anschlüsse auf Dichtheit und Beschädigungen prüfen</t>
        </is>
      </c>
      <c r="C79" s="103" t="inlineStr">
        <is>
          <t>Inspektion</t>
        </is>
      </c>
      <c r="D79" s="102" t="n"/>
      <c r="E79" s="114" t="inlineStr">
        <is>
          <t>Dicht (keine hörbare Leckage), unbeschädigt</t>
        </is>
      </c>
      <c r="F79" s="102" t="n"/>
      <c r="G79" s="68">
        <f>IF(AB79="unvollständig","Bewertung fehlt",INDEX(Kl_Intervall,MATCH(AB79,Kl_Name,0)))</f>
        <v/>
      </c>
      <c r="H79" s="8">
        <f>IF(G79="Bewertung fehlt","",G79)</f>
        <v/>
      </c>
      <c r="I79" s="105" t="n"/>
      <c r="J79" s="106">
        <f>IF(OR(I79="",NOT(ISNUMBER(AK79))),"",IF(AJ79="Tage",I79+AI79,IF(AJ79="Wochen",I79+7*AI79,EDATE(I79,ROUND(AI79*IF(AJ79="Jahre",12,1),0)))))</f>
        <v/>
      </c>
      <c r="K79" s="107">
        <f>IF(J79="","",J79-TODAY())</f>
        <v/>
      </c>
      <c r="L79" s="57">
        <f>IF(H79="","Intervall fehlt",IF(NOT(ISNUMBER(AK79)),"Intervall prüfen",IF(I79="","nicht erfasst",IF(K79&lt;0,"überfällig",IF(K79&lt;=MIN(P_Vorwarn,ROUND(AK79/4,0)),"fällig","in Ordnung")))))</f>
        <v/>
      </c>
      <c r="M79" s="103" t="n"/>
      <c r="N79" s="103" t="n"/>
      <c r="O79" s="108" t="n"/>
      <c r="P79" s="103" t="n"/>
      <c r="Q79" s="120">
        <f>Q33</f>
        <v/>
      </c>
      <c r="R79" s="120">
        <f>R33</f>
        <v/>
      </c>
      <c r="S79" s="120">
        <f>S33</f>
        <v/>
      </c>
      <c r="T79" s="120">
        <f>T33</f>
        <v/>
      </c>
      <c r="U79" s="120">
        <f>U33</f>
        <v/>
      </c>
      <c r="V79" s="120">
        <f>V33</f>
        <v/>
      </c>
      <c r="W79" s="120">
        <f>W33</f>
        <v/>
      </c>
      <c r="X79" s="120">
        <f>X33</f>
        <v/>
      </c>
      <c r="Y79" s="109">
        <f>P_SF</f>
        <v/>
      </c>
      <c r="Z79" s="109">
        <f>IF(COUNT(Q79:V79)=6,SQRT(SUMSQ(Q79:V79))/2,"")</f>
        <v/>
      </c>
      <c r="AA79" s="80">
        <f>IF(COUNT(W79:Z79)=4,Z79*W79*X79*Y79,"")</f>
        <v/>
      </c>
      <c r="AB79" s="68">
        <f>IF(AA79="","unvollständig",IF(AA79&gt;P_Grenze_kritisch,"kritisch",IF(AA79&gt;=P_Grenze_hoch,"hoch",IF(AA79&gt;=P_Grenze_mittel,"mittel","gering"))))</f>
        <v/>
      </c>
      <c r="AC79" s="68">
        <f>TRIM(IF(N(T79)&gt;=P_Krit,"AS ","")&amp;IF(N(S79)&gt;=P_Krit,"Q ","")&amp;IF(N(U79)&gt;=P_Krit,"US",""))</f>
        <v/>
      </c>
      <c r="AD79" s="102">
        <f>IF(ISNUMBER(R79),INDEX(IH_Text,R79),"")</f>
        <v/>
      </c>
      <c r="AE79" s="108" t="n"/>
      <c r="AF79" s="68" t="inlineStr">
        <is>
          <t>5.2.3</t>
        </is>
      </c>
      <c r="AG79" s="110" t="inlineStr">
        <is>
          <t>Glattrohrzuführung und Vereinzeler/Rohrstopper</t>
        </is>
      </c>
      <c r="AH79" s="110" t="inlineStr">
        <is>
          <t>Maßnahme</t>
        </is>
      </c>
      <c r="AI79" s="68">
        <f>IF(H79="","",IFERROR(INDEX(Iv_Anzahl,MATCH(H79,Iv_Name,0)),IFERROR(VALUE(LEFT(TRIM(SUBSTITUTE(LOWER(H79),"alle ","")),FIND(" ",TRIM(SUBSTITUTE(LOWER(H79),"alle ",""))&amp;" ")-1)),"")))</f>
        <v/>
      </c>
      <c r="AJ79" s="68">
        <f>IF(H79="","",IFERROR(INDEX(Iv_Einheit,MATCH(H79,Iv_Name,0)),IF(ISNUMBER(SEARCH("jahr",H79)),"Jahre",IF(ISNUMBER(SEARCH("monat",H79)),"Monate",IF(ISNUMBER(SEARCH("woche",H79)),"Wochen",IF(ISNUMBER(SEARCH("tag",H79)),"Tage",""))))))</f>
        <v/>
      </c>
      <c r="AK79" s="107">
        <f>IF(AND(ISNUMBER(AI79),AJ79&lt;&gt;""),IF(AI79&gt;0,AI79*IF(AJ79="Tage",1,IF(AJ79="Wochen",7,IF(AJ79="Monate",365/12,365))),""),"")</f>
        <v/>
      </c>
      <c r="AL79" s="111">
        <f>IF(ISNUMBER(AK79),365/AK79,"")</f>
        <v/>
      </c>
      <c r="AM79" s="111">
        <f>IF(AND(ISNUMBER(AL79),ISNUMBER(AE79)),AL79*AE79/60,"")</f>
        <v/>
      </c>
      <c r="AN79" s="102">
        <f>IF(ISNUMBER(AA79),AA79-ROW()/100000,"")</f>
        <v/>
      </c>
      <c r="AO79" s="102">
        <f>IF(OR(L79="überfällig",L79="fällig"),J79+ROW()/100000,"")</f>
        <v/>
      </c>
      <c r="AP79" s="112" t="inlineStr">
        <is>
          <t>11.1.2</t>
        </is>
      </c>
      <c r="AQ79" s="113" t="inlineStr">
        <is>
          <t>Anschlüsse auf Dichtheit und Beschädigungen prüfen</t>
        </is>
      </c>
    </row>
    <row r="80" ht="19" customHeight="1">
      <c r="A80" s="101" t="inlineStr">
        <is>
          <t>11.1.2</t>
        </is>
      </c>
      <c r="B80" s="102" t="inlineStr">
        <is>
          <t>Befestigung der Ventile prüfen</t>
        </is>
      </c>
      <c r="C80" s="103" t="inlineStr">
        <is>
          <t>Inspektion</t>
        </is>
      </c>
      <c r="D80" s="102" t="n"/>
      <c r="E80" s="114" t="inlineStr">
        <is>
          <t>Fest</t>
        </is>
      </c>
      <c r="F80" s="102" t="n"/>
      <c r="G80" s="68">
        <f>IF(AB80="unvollständig","Bewertung fehlt",INDEX(Kl_Intervall,MATCH(AB80,Kl_Name,0)))</f>
        <v/>
      </c>
      <c r="H80" s="8">
        <f>IF(G80="Bewertung fehlt","",G80)</f>
        <v/>
      </c>
      <c r="I80" s="105" t="n"/>
      <c r="J80" s="106">
        <f>IF(OR(I80="",NOT(ISNUMBER(AK80))),"",IF(AJ80="Tage",I80+AI80,IF(AJ80="Wochen",I80+7*AI80,EDATE(I80,ROUND(AI80*IF(AJ80="Jahre",12,1),0)))))</f>
        <v/>
      </c>
      <c r="K80" s="107">
        <f>IF(J80="","",J80-TODAY())</f>
        <v/>
      </c>
      <c r="L80" s="57">
        <f>IF(H80="","Intervall fehlt",IF(NOT(ISNUMBER(AK80)),"Intervall prüfen",IF(I80="","nicht erfasst",IF(K80&lt;0,"überfällig",IF(K80&lt;=MIN(P_Vorwarn,ROUND(AK80/4,0)),"fällig","in Ordnung")))))</f>
        <v/>
      </c>
      <c r="M80" s="103" t="n"/>
      <c r="N80" s="103" t="n"/>
      <c r="O80" s="108" t="n"/>
      <c r="P80" s="103" t="n"/>
      <c r="Q80" s="120">
        <f>Q34</f>
        <v/>
      </c>
      <c r="R80" s="120">
        <f>R34</f>
        <v/>
      </c>
      <c r="S80" s="120">
        <f>S34</f>
        <v/>
      </c>
      <c r="T80" s="120">
        <f>T34</f>
        <v/>
      </c>
      <c r="U80" s="120">
        <f>U34</f>
        <v/>
      </c>
      <c r="V80" s="120">
        <f>V34</f>
        <v/>
      </c>
      <c r="W80" s="120">
        <f>W34</f>
        <v/>
      </c>
      <c r="X80" s="120">
        <f>X34</f>
        <v/>
      </c>
      <c r="Y80" s="109">
        <f>P_SF</f>
        <v/>
      </c>
      <c r="Z80" s="109">
        <f>IF(COUNT(Q80:V80)=6,SQRT(SUMSQ(Q80:V80))/2,"")</f>
        <v/>
      </c>
      <c r="AA80" s="80">
        <f>IF(COUNT(W80:Z80)=4,Z80*W80*X80*Y80,"")</f>
        <v/>
      </c>
      <c r="AB80" s="68">
        <f>IF(AA80="","unvollständig",IF(AA80&gt;P_Grenze_kritisch,"kritisch",IF(AA80&gt;=P_Grenze_hoch,"hoch",IF(AA80&gt;=P_Grenze_mittel,"mittel","gering"))))</f>
        <v/>
      </c>
      <c r="AC80" s="68">
        <f>TRIM(IF(N(T80)&gt;=P_Krit,"AS ","")&amp;IF(N(S80)&gt;=P_Krit,"Q ","")&amp;IF(N(U80)&gt;=P_Krit,"US",""))</f>
        <v/>
      </c>
      <c r="AD80" s="102">
        <f>IF(ISNUMBER(R80),INDEX(IH_Text,R80),"")</f>
        <v/>
      </c>
      <c r="AE80" s="108" t="n"/>
      <c r="AF80" s="68" t="inlineStr">
        <is>
          <t>5.2.4</t>
        </is>
      </c>
      <c r="AG80" s="110" t="inlineStr">
        <is>
          <t>Glattrohrzuführung und Vereinzeler/Rohrstopper</t>
        </is>
      </c>
      <c r="AH80" s="110" t="inlineStr">
        <is>
          <t>Maßnahme</t>
        </is>
      </c>
      <c r="AI80" s="68">
        <f>IF(H80="","",IFERROR(INDEX(Iv_Anzahl,MATCH(H80,Iv_Name,0)),IFERROR(VALUE(LEFT(TRIM(SUBSTITUTE(LOWER(H80),"alle ","")),FIND(" ",TRIM(SUBSTITUTE(LOWER(H80),"alle ",""))&amp;" ")-1)),"")))</f>
        <v/>
      </c>
      <c r="AJ80" s="68">
        <f>IF(H80="","",IFERROR(INDEX(Iv_Einheit,MATCH(H80,Iv_Name,0)),IF(ISNUMBER(SEARCH("jahr",H80)),"Jahre",IF(ISNUMBER(SEARCH("monat",H80)),"Monate",IF(ISNUMBER(SEARCH("woche",H80)),"Wochen",IF(ISNUMBER(SEARCH("tag",H80)),"Tage",""))))))</f>
        <v/>
      </c>
      <c r="AK80" s="107">
        <f>IF(AND(ISNUMBER(AI80),AJ80&lt;&gt;""),IF(AI80&gt;0,AI80*IF(AJ80="Tage",1,IF(AJ80="Wochen",7,IF(AJ80="Monate",365/12,365))),""),"")</f>
        <v/>
      </c>
      <c r="AL80" s="111">
        <f>IF(ISNUMBER(AK80),365/AK80,"")</f>
        <v/>
      </c>
      <c r="AM80" s="111">
        <f>IF(AND(ISNUMBER(AL80),ISNUMBER(AE80)),AL80*AE80/60,"")</f>
        <v/>
      </c>
      <c r="AN80" s="102">
        <f>IF(ISNUMBER(AA80),AA80-ROW()/100000,"")</f>
        <v/>
      </c>
      <c r="AO80" s="102">
        <f>IF(OR(L80="überfällig",L80="fällig"),J80+ROW()/100000,"")</f>
        <v/>
      </c>
      <c r="AP80" s="112" t="inlineStr">
        <is>
          <t>11.1.3</t>
        </is>
      </c>
      <c r="AQ80" s="113" t="inlineStr">
        <is>
          <t>überprüfe die Befestigung d. Ventile</t>
        </is>
      </c>
    </row>
    <row r="81" ht="32" customHeight="1">
      <c r="A81" s="101" t="inlineStr">
        <is>
          <t>11.1.3</t>
        </is>
      </c>
      <c r="B81" s="102" t="inlineStr">
        <is>
          <t>Funktion der Ventile testen</t>
        </is>
      </c>
      <c r="C81" s="103" t="inlineStr">
        <is>
          <t>Funktionsprüfung</t>
        </is>
      </c>
      <c r="D81" s="102" t="n"/>
      <c r="E81" s="114" t="inlineStr">
        <is>
          <t>Ventile schalten einwandfrei</t>
        </is>
      </c>
      <c r="F81" s="102" t="n"/>
      <c r="G81" s="68">
        <f>IF(AB81="unvollständig","Bewertung fehlt",INDEX(Kl_Intervall,MATCH(AB81,Kl_Name,0)))</f>
        <v/>
      </c>
      <c r="H81" s="8">
        <f>IF(G81="Bewertung fehlt","",G81)</f>
        <v/>
      </c>
      <c r="I81" s="105" t="n"/>
      <c r="J81" s="106">
        <f>IF(OR(I81="",NOT(ISNUMBER(AK81))),"",IF(AJ81="Tage",I81+AI81,IF(AJ81="Wochen",I81+7*AI81,EDATE(I81,ROUND(AI81*IF(AJ81="Jahre",12,1),0)))))</f>
        <v/>
      </c>
      <c r="K81" s="107">
        <f>IF(J81="","",J81-TODAY())</f>
        <v/>
      </c>
      <c r="L81" s="57">
        <f>IF(H81="","Intervall fehlt",IF(NOT(ISNUMBER(AK81)),"Intervall prüfen",IF(I81="","nicht erfasst",IF(K81&lt;0,"überfällig",IF(K81&lt;=MIN(P_Vorwarn,ROUND(AK81/4,0)),"fällig","in Ordnung")))))</f>
        <v/>
      </c>
      <c r="M81" s="103" t="n"/>
      <c r="N81" s="103" t="n"/>
      <c r="O81" s="108" t="n"/>
      <c r="P81" s="103" t="n"/>
      <c r="Q81" s="120">
        <f>Q35</f>
        <v/>
      </c>
      <c r="R81" s="120">
        <f>R35</f>
        <v/>
      </c>
      <c r="S81" s="120">
        <f>S35</f>
        <v/>
      </c>
      <c r="T81" s="120">
        <f>T35</f>
        <v/>
      </c>
      <c r="U81" s="120">
        <f>U35</f>
        <v/>
      </c>
      <c r="V81" s="120">
        <f>V35</f>
        <v/>
      </c>
      <c r="W81" s="120">
        <f>W35</f>
        <v/>
      </c>
      <c r="X81" s="120">
        <f>X35</f>
        <v/>
      </c>
      <c r="Y81" s="109">
        <f>P_SF</f>
        <v/>
      </c>
      <c r="Z81" s="109">
        <f>IF(COUNT(Q81:V81)=6,SQRT(SUMSQ(Q81:V81))/2,"")</f>
        <v/>
      </c>
      <c r="AA81" s="80">
        <f>IF(COUNT(W81:Z81)=4,Z81*W81*X81*Y81,"")</f>
        <v/>
      </c>
      <c r="AB81" s="68">
        <f>IF(AA81="","unvollständig",IF(AA81&gt;P_Grenze_kritisch,"kritisch",IF(AA81&gt;=P_Grenze_hoch,"hoch",IF(AA81&gt;=P_Grenze_mittel,"mittel","gering"))))</f>
        <v/>
      </c>
      <c r="AC81" s="68">
        <f>TRIM(IF(N(T81)&gt;=P_Krit,"AS ","")&amp;IF(N(S81)&gt;=P_Krit,"Q ","")&amp;IF(N(U81)&gt;=P_Krit,"US",""))</f>
        <v/>
      </c>
      <c r="AD81" s="102">
        <f>IF(ISNUMBER(R81),INDEX(IH_Text,R81),"")</f>
        <v/>
      </c>
      <c r="AE81" s="108" t="n"/>
      <c r="AF81" s="68" t="inlineStr">
        <is>
          <t>5.2.5</t>
        </is>
      </c>
      <c r="AG81" s="110" t="inlineStr">
        <is>
          <t>Glattrohrzuführung und Vereinzeler/Rohrstopper</t>
        </is>
      </c>
      <c r="AH81" s="110" t="inlineStr">
        <is>
          <t>Maßnahme</t>
        </is>
      </c>
      <c r="AI81" s="68">
        <f>IF(H81="","",IFERROR(INDEX(Iv_Anzahl,MATCH(H81,Iv_Name,0)),IFERROR(VALUE(LEFT(TRIM(SUBSTITUTE(LOWER(H81),"alle ","")),FIND(" ",TRIM(SUBSTITUTE(LOWER(H81),"alle ",""))&amp;" ")-1)),"")))</f>
        <v/>
      </c>
      <c r="AJ81" s="68">
        <f>IF(H81="","",IFERROR(INDEX(Iv_Einheit,MATCH(H81,Iv_Name,0)),IF(ISNUMBER(SEARCH("jahr",H81)),"Jahre",IF(ISNUMBER(SEARCH("monat",H81)),"Monate",IF(ISNUMBER(SEARCH("woche",H81)),"Wochen",IF(ISNUMBER(SEARCH("tag",H81)),"Tage",""))))))</f>
        <v/>
      </c>
      <c r="AK81" s="107">
        <f>IF(AND(ISNUMBER(AI81),AJ81&lt;&gt;""),IF(AI81&gt;0,AI81*IF(AJ81="Tage",1,IF(AJ81="Wochen",7,IF(AJ81="Monate",365/12,365))),""),"")</f>
        <v/>
      </c>
      <c r="AL81" s="111">
        <f>IF(ISNUMBER(AK81),365/AK81,"")</f>
        <v/>
      </c>
      <c r="AM81" s="111">
        <f>IF(AND(ISNUMBER(AL81),ISNUMBER(AE81)),AL81*AE81/60,"")</f>
        <v/>
      </c>
      <c r="AN81" s="102">
        <f>IF(ISNUMBER(AA81),AA81-ROW()/100000,"")</f>
        <v/>
      </c>
      <c r="AO81" s="102">
        <f>IF(OR(L81="überfällig",L81="fällig"),J81+ROW()/100000,"")</f>
        <v/>
      </c>
      <c r="AP81" s="112" t="inlineStr">
        <is>
          <t>11.1.4</t>
        </is>
      </c>
      <c r="AQ81" s="113" t="inlineStr">
        <is>
          <t>Funktion d. Ventile testen</t>
        </is>
      </c>
    </row>
    <row r="82" ht="18" customHeight="1">
      <c r="A82" s="115" t="inlineStr">
        <is>
          <t>11.2</t>
        </is>
      </c>
      <c r="B82" s="116" t="inlineStr">
        <is>
          <t>Alle Sensoren/Endschalter nach folgenden Kriterien inspizieren:</t>
        </is>
      </c>
      <c r="C82" s="116" t="n"/>
      <c r="D82" s="116" t="n"/>
      <c r="E82" s="116" t="n"/>
      <c r="F82" s="116" t="n"/>
      <c r="G82" s="116" t="n"/>
      <c r="H82" s="116" t="n"/>
      <c r="I82" s="116" t="n"/>
      <c r="J82" s="116" t="n"/>
      <c r="K82" s="116" t="n"/>
      <c r="L82" s="116" t="n"/>
      <c r="M82" s="116" t="n"/>
      <c r="N82" s="116" t="n"/>
      <c r="O82" s="116" t="n"/>
      <c r="P82" s="116" t="n"/>
      <c r="Q82" s="116" t="n"/>
      <c r="R82" s="116" t="n"/>
      <c r="S82" s="116" t="n"/>
      <c r="T82" s="116" t="n"/>
      <c r="U82" s="116" t="n"/>
      <c r="V82" s="116" t="n"/>
      <c r="W82" s="116" t="n"/>
      <c r="X82" s="116" t="n"/>
      <c r="Y82" s="116" t="n"/>
      <c r="Z82" s="116" t="n"/>
      <c r="AA82" s="116" t="n"/>
      <c r="AB82" s="116" t="n"/>
      <c r="AC82" s="116" t="n"/>
      <c r="AD82" s="116" t="n"/>
      <c r="AE82" s="116" t="n"/>
      <c r="AF82" s="116" t="n"/>
      <c r="AG82" s="117" t="inlineStr">
        <is>
          <t>Glattrohrzuführung und Vereinzeler/Rohrstopper</t>
        </is>
      </c>
      <c r="AH82" s="117" t="inlineStr">
        <is>
          <t>Prüfgruppe</t>
        </is>
      </c>
      <c r="AI82" s="116" t="n"/>
      <c r="AJ82" s="116" t="n"/>
      <c r="AK82" s="116" t="n"/>
      <c r="AL82" s="116" t="n"/>
      <c r="AM82" s="116" t="n"/>
      <c r="AN82" s="116" t="n"/>
      <c r="AO82" s="116" t="n"/>
      <c r="AP82" s="118" t="inlineStr">
        <is>
          <t>11.2</t>
        </is>
      </c>
      <c r="AQ82" s="119" t="inlineStr">
        <is>
          <t>Inspiziere alle Sensoren/Endschalter nach folgenden Kriterien:</t>
        </is>
      </c>
    </row>
    <row r="83" ht="19" customHeight="1">
      <c r="A83" s="101" t="inlineStr">
        <is>
          <t>11.2.1</t>
        </is>
      </c>
      <c r="B83" s="102" t="inlineStr">
        <is>
          <t>Funktion testen</t>
        </is>
      </c>
      <c r="C83" s="103" t="inlineStr">
        <is>
          <t>Funktionsprüfung</t>
        </is>
      </c>
      <c r="D83" s="102" t="n"/>
      <c r="E83" s="114" t="inlineStr">
        <is>
          <t>Schaltsignal kommt sicher</t>
        </is>
      </c>
      <c r="F83" s="102" t="n"/>
      <c r="G83" s="68">
        <f>IF(AB83="unvollständig","Bewertung fehlt",INDEX(Kl_Intervall,MATCH(AB83,Kl_Name,0)))</f>
        <v/>
      </c>
      <c r="H83" s="8">
        <f>IF(G83="Bewertung fehlt","",G83)</f>
        <v/>
      </c>
      <c r="I83" s="105" t="n"/>
      <c r="J83" s="106">
        <f>IF(OR(I83="",NOT(ISNUMBER(AK83))),"",IF(AJ83="Tage",I83+AI83,IF(AJ83="Wochen",I83+7*AI83,EDATE(I83,ROUND(AI83*IF(AJ83="Jahre",12,1),0)))))</f>
        <v/>
      </c>
      <c r="K83" s="107">
        <f>IF(J83="","",J83-TODAY())</f>
        <v/>
      </c>
      <c r="L83" s="57">
        <f>IF(H83="","Intervall fehlt",IF(NOT(ISNUMBER(AK83)),"Intervall prüfen",IF(I83="","nicht erfasst",IF(K83&lt;0,"überfällig",IF(K83&lt;=MIN(P_Vorwarn,ROUND(AK83/4,0)),"fällig","in Ordnung")))))</f>
        <v/>
      </c>
      <c r="M83" s="103" t="n"/>
      <c r="N83" s="103" t="n"/>
      <c r="O83" s="108" t="n"/>
      <c r="P83" s="103" t="n"/>
      <c r="Q83" s="120">
        <f>Q39</f>
        <v/>
      </c>
      <c r="R83" s="120">
        <f>R39</f>
        <v/>
      </c>
      <c r="S83" s="120">
        <f>S39</f>
        <v/>
      </c>
      <c r="T83" s="120">
        <f>T39</f>
        <v/>
      </c>
      <c r="U83" s="120">
        <f>U39</f>
        <v/>
      </c>
      <c r="V83" s="120">
        <f>V39</f>
        <v/>
      </c>
      <c r="W83" s="120">
        <f>W39</f>
        <v/>
      </c>
      <c r="X83" s="120">
        <f>X39</f>
        <v/>
      </c>
      <c r="Y83" s="109">
        <f>P_SF</f>
        <v/>
      </c>
      <c r="Z83" s="109">
        <f>IF(COUNT(Q83:V83)=6,SQRT(SUMSQ(Q83:V83))/2,"")</f>
        <v/>
      </c>
      <c r="AA83" s="80">
        <f>IF(COUNT(W83:Z83)=4,Z83*W83*X83*Y83,"")</f>
        <v/>
      </c>
      <c r="AB83" s="68">
        <f>IF(AA83="","unvollständig",IF(AA83&gt;P_Grenze_kritisch,"kritisch",IF(AA83&gt;=P_Grenze_hoch,"hoch",IF(AA83&gt;=P_Grenze_mittel,"mittel","gering"))))</f>
        <v/>
      </c>
      <c r="AC83" s="68">
        <f>TRIM(IF(N(T83)&gt;=P_Krit,"AS ","")&amp;IF(N(S83)&gt;=P_Krit,"Q ","")&amp;IF(N(U83)&gt;=P_Krit,"US",""))</f>
        <v/>
      </c>
      <c r="AD83" s="102">
        <f>IF(ISNUMBER(R83),INDEX(IH_Text,R83),"")</f>
        <v/>
      </c>
      <c r="AE83" s="108" t="n"/>
      <c r="AF83" s="68" t="inlineStr">
        <is>
          <t>5.3.1</t>
        </is>
      </c>
      <c r="AG83" s="110" t="inlineStr">
        <is>
          <t>Glattrohrzuführung und Vereinzeler/Rohrstopper</t>
        </is>
      </c>
      <c r="AH83" s="110" t="inlineStr">
        <is>
          <t>Maßnahme</t>
        </is>
      </c>
      <c r="AI83" s="68">
        <f>IF(H83="","",IFERROR(INDEX(Iv_Anzahl,MATCH(H83,Iv_Name,0)),IFERROR(VALUE(LEFT(TRIM(SUBSTITUTE(LOWER(H83),"alle ","")),FIND(" ",TRIM(SUBSTITUTE(LOWER(H83),"alle ",""))&amp;" ")-1)),"")))</f>
        <v/>
      </c>
      <c r="AJ83" s="68">
        <f>IF(H83="","",IFERROR(INDEX(Iv_Einheit,MATCH(H83,Iv_Name,0)),IF(ISNUMBER(SEARCH("jahr",H83)),"Jahre",IF(ISNUMBER(SEARCH("monat",H83)),"Monate",IF(ISNUMBER(SEARCH("woche",H83)),"Wochen",IF(ISNUMBER(SEARCH("tag",H83)),"Tage",""))))))</f>
        <v/>
      </c>
      <c r="AK83" s="107">
        <f>IF(AND(ISNUMBER(AI83),AJ83&lt;&gt;""),IF(AI83&gt;0,AI83*IF(AJ83="Tage",1,IF(AJ83="Wochen",7,IF(AJ83="Monate",365/12,365))),""),"")</f>
        <v/>
      </c>
      <c r="AL83" s="111">
        <f>IF(ISNUMBER(AK83),365/AK83,"")</f>
        <v/>
      </c>
      <c r="AM83" s="111">
        <f>IF(AND(ISNUMBER(AL83),ISNUMBER(AE83)),AL83*AE83/60,"")</f>
        <v/>
      </c>
      <c r="AN83" s="102">
        <f>IF(ISNUMBER(AA83),AA83-ROW()/100000,"")</f>
        <v/>
      </c>
      <c r="AO83" s="102">
        <f>IF(OR(L83="überfällig",L83="fällig"),J83+ROW()/100000,"")</f>
        <v/>
      </c>
      <c r="AP83" s="112" t="inlineStr">
        <is>
          <t>11.2.1</t>
        </is>
      </c>
      <c r="AQ83" s="113" t="inlineStr">
        <is>
          <t>Funktion testen</t>
        </is>
      </c>
    </row>
    <row r="84" ht="32" customHeight="1">
      <c r="A84" s="101" t="inlineStr">
        <is>
          <t>11.2.2</t>
        </is>
      </c>
      <c r="B84" s="102" t="inlineStr">
        <is>
          <t>Anschlüsse kontrollieren</t>
        </is>
      </c>
      <c r="C84" s="103" t="inlineStr">
        <is>
          <t>Inspektion</t>
        </is>
      </c>
      <c r="D84" s="102" t="n"/>
      <c r="E84" s="114" t="inlineStr">
        <is>
          <t>Stecker fest, unbeschädigt</t>
        </is>
      </c>
      <c r="F84" s="102" t="n"/>
      <c r="G84" s="68">
        <f>IF(AB84="unvollständig","Bewertung fehlt",INDEX(Kl_Intervall,MATCH(AB84,Kl_Name,0)))</f>
        <v/>
      </c>
      <c r="H84" s="8">
        <f>IF(G84="Bewertung fehlt","",G84)</f>
        <v/>
      </c>
      <c r="I84" s="105" t="n"/>
      <c r="J84" s="106">
        <f>IF(OR(I84="",NOT(ISNUMBER(AK84))),"",IF(AJ84="Tage",I84+AI84,IF(AJ84="Wochen",I84+7*AI84,EDATE(I84,ROUND(AI84*IF(AJ84="Jahre",12,1),0)))))</f>
        <v/>
      </c>
      <c r="K84" s="107">
        <f>IF(J84="","",J84-TODAY())</f>
        <v/>
      </c>
      <c r="L84" s="57">
        <f>IF(H84="","Intervall fehlt",IF(NOT(ISNUMBER(AK84)),"Intervall prüfen",IF(I84="","nicht erfasst",IF(K84&lt;0,"überfällig",IF(K84&lt;=MIN(P_Vorwarn,ROUND(AK84/4,0)),"fällig","in Ordnung")))))</f>
        <v/>
      </c>
      <c r="M84" s="103" t="n"/>
      <c r="N84" s="103" t="n"/>
      <c r="O84" s="108" t="n"/>
      <c r="P84" s="103" t="n"/>
      <c r="Q84" s="120">
        <f>Q40</f>
        <v/>
      </c>
      <c r="R84" s="120">
        <f>R40</f>
        <v/>
      </c>
      <c r="S84" s="120">
        <f>S40</f>
        <v/>
      </c>
      <c r="T84" s="120">
        <f>T40</f>
        <v/>
      </c>
      <c r="U84" s="120">
        <f>U40</f>
        <v/>
      </c>
      <c r="V84" s="120">
        <f>V40</f>
        <v/>
      </c>
      <c r="W84" s="120">
        <f>W40</f>
        <v/>
      </c>
      <c r="X84" s="120">
        <f>X40</f>
        <v/>
      </c>
      <c r="Y84" s="109">
        <f>P_SF</f>
        <v/>
      </c>
      <c r="Z84" s="109">
        <f>IF(COUNT(Q84:V84)=6,SQRT(SUMSQ(Q84:V84))/2,"")</f>
        <v/>
      </c>
      <c r="AA84" s="80">
        <f>IF(COUNT(W84:Z84)=4,Z84*W84*X84*Y84,"")</f>
        <v/>
      </c>
      <c r="AB84" s="68">
        <f>IF(AA84="","unvollständig",IF(AA84&gt;P_Grenze_kritisch,"kritisch",IF(AA84&gt;=P_Grenze_hoch,"hoch",IF(AA84&gt;=P_Grenze_mittel,"mittel","gering"))))</f>
        <v/>
      </c>
      <c r="AC84" s="68">
        <f>TRIM(IF(N(T84)&gt;=P_Krit,"AS ","")&amp;IF(N(S84)&gt;=P_Krit,"Q ","")&amp;IF(N(U84)&gt;=P_Krit,"US",""))</f>
        <v/>
      </c>
      <c r="AD84" s="102">
        <f>IF(ISNUMBER(R84),INDEX(IH_Text,R84),"")</f>
        <v/>
      </c>
      <c r="AE84" s="108" t="n"/>
      <c r="AF84" s="68" t="inlineStr">
        <is>
          <t>5.3.2</t>
        </is>
      </c>
      <c r="AG84" s="110" t="inlineStr">
        <is>
          <t>Glattrohrzuführung und Vereinzeler/Rohrstopper</t>
        </is>
      </c>
      <c r="AH84" s="110" t="inlineStr">
        <is>
          <t>Maßnahme</t>
        </is>
      </c>
      <c r="AI84" s="68">
        <f>IF(H84="","",IFERROR(INDEX(Iv_Anzahl,MATCH(H84,Iv_Name,0)),IFERROR(VALUE(LEFT(TRIM(SUBSTITUTE(LOWER(H84),"alle ","")),FIND(" ",TRIM(SUBSTITUTE(LOWER(H84),"alle ",""))&amp;" ")-1)),"")))</f>
        <v/>
      </c>
      <c r="AJ84" s="68">
        <f>IF(H84="","",IFERROR(INDEX(Iv_Einheit,MATCH(H84,Iv_Name,0)),IF(ISNUMBER(SEARCH("jahr",H84)),"Jahre",IF(ISNUMBER(SEARCH("monat",H84)),"Monate",IF(ISNUMBER(SEARCH("woche",H84)),"Wochen",IF(ISNUMBER(SEARCH("tag",H84)),"Tage",""))))))</f>
        <v/>
      </c>
      <c r="AK84" s="107">
        <f>IF(AND(ISNUMBER(AI84),AJ84&lt;&gt;""),IF(AI84&gt;0,AI84*IF(AJ84="Tage",1,IF(AJ84="Wochen",7,IF(AJ84="Monate",365/12,365))),""),"")</f>
        <v/>
      </c>
      <c r="AL84" s="111">
        <f>IF(ISNUMBER(AK84),365/AK84,"")</f>
        <v/>
      </c>
      <c r="AM84" s="111">
        <f>IF(AND(ISNUMBER(AL84),ISNUMBER(AE84)),AL84*AE84/60,"")</f>
        <v/>
      </c>
      <c r="AN84" s="102">
        <f>IF(ISNUMBER(AA84),AA84-ROW()/100000,"")</f>
        <v/>
      </c>
      <c r="AO84" s="102">
        <f>IF(OR(L84="überfällig",L84="fällig"),J84+ROW()/100000,"")</f>
        <v/>
      </c>
      <c r="AP84" s="112" t="inlineStr">
        <is>
          <t>11.2.2</t>
        </is>
      </c>
      <c r="AQ84" s="113" t="inlineStr">
        <is>
          <t>Anschlüsse kontrollieren</t>
        </is>
      </c>
    </row>
    <row r="85" ht="32" customHeight="1">
      <c r="A85" s="101" t="inlineStr">
        <is>
          <t>11.2.3</t>
        </is>
      </c>
      <c r="B85" s="102" t="inlineStr">
        <is>
          <t>Befestigung und Position kontrollieren</t>
        </is>
      </c>
      <c r="C85" s="103" t="inlineStr">
        <is>
          <t>Inspektion</t>
        </is>
      </c>
      <c r="D85" s="102" t="n"/>
      <c r="E85" s="114" t="inlineStr">
        <is>
          <t>Fest, Position unverändert</t>
        </is>
      </c>
      <c r="F85" s="102" t="n"/>
      <c r="G85" s="68">
        <f>IF(AB85="unvollständig","Bewertung fehlt",INDEX(Kl_Intervall,MATCH(AB85,Kl_Name,0)))</f>
        <v/>
      </c>
      <c r="H85" s="8">
        <f>IF(G85="Bewertung fehlt","",G85)</f>
        <v/>
      </c>
      <c r="I85" s="105" t="n"/>
      <c r="J85" s="106">
        <f>IF(OR(I85="",NOT(ISNUMBER(AK85))),"",IF(AJ85="Tage",I85+AI85,IF(AJ85="Wochen",I85+7*AI85,EDATE(I85,ROUND(AI85*IF(AJ85="Jahre",12,1),0)))))</f>
        <v/>
      </c>
      <c r="K85" s="107">
        <f>IF(J85="","",J85-TODAY())</f>
        <v/>
      </c>
      <c r="L85" s="57">
        <f>IF(H85="","Intervall fehlt",IF(NOT(ISNUMBER(AK85)),"Intervall prüfen",IF(I85="","nicht erfasst",IF(K85&lt;0,"überfällig",IF(K85&lt;=MIN(P_Vorwarn,ROUND(AK85/4,0)),"fällig","in Ordnung")))))</f>
        <v/>
      </c>
      <c r="M85" s="103" t="n"/>
      <c r="N85" s="103" t="n"/>
      <c r="O85" s="108" t="n"/>
      <c r="P85" s="103" t="n"/>
      <c r="Q85" s="120">
        <f>Q41</f>
        <v/>
      </c>
      <c r="R85" s="120">
        <f>R41</f>
        <v/>
      </c>
      <c r="S85" s="120">
        <f>S41</f>
        <v/>
      </c>
      <c r="T85" s="120">
        <f>T41</f>
        <v/>
      </c>
      <c r="U85" s="120">
        <f>U41</f>
        <v/>
      </c>
      <c r="V85" s="120">
        <f>V41</f>
        <v/>
      </c>
      <c r="W85" s="120">
        <f>W41</f>
        <v/>
      </c>
      <c r="X85" s="120">
        <f>X41</f>
        <v/>
      </c>
      <c r="Y85" s="109">
        <f>P_SF</f>
        <v/>
      </c>
      <c r="Z85" s="109">
        <f>IF(COUNT(Q85:V85)=6,SQRT(SUMSQ(Q85:V85))/2,"")</f>
        <v/>
      </c>
      <c r="AA85" s="80">
        <f>IF(COUNT(W85:Z85)=4,Z85*W85*X85*Y85,"")</f>
        <v/>
      </c>
      <c r="AB85" s="68">
        <f>IF(AA85="","unvollständig",IF(AA85&gt;P_Grenze_kritisch,"kritisch",IF(AA85&gt;=P_Grenze_hoch,"hoch",IF(AA85&gt;=P_Grenze_mittel,"mittel","gering"))))</f>
        <v/>
      </c>
      <c r="AC85" s="68">
        <f>TRIM(IF(N(T85)&gt;=P_Krit,"AS ","")&amp;IF(N(S85)&gt;=P_Krit,"Q ","")&amp;IF(N(U85)&gt;=P_Krit,"US",""))</f>
        <v/>
      </c>
      <c r="AD85" s="102">
        <f>IF(ISNUMBER(R85),INDEX(IH_Text,R85),"")</f>
        <v/>
      </c>
      <c r="AE85" s="108" t="n"/>
      <c r="AF85" s="68" t="inlineStr">
        <is>
          <t>5.3.3</t>
        </is>
      </c>
      <c r="AG85" s="110" t="inlineStr">
        <is>
          <t>Glattrohrzuführung und Vereinzeler/Rohrstopper</t>
        </is>
      </c>
      <c r="AH85" s="110" t="inlineStr">
        <is>
          <t>Maßnahme</t>
        </is>
      </c>
      <c r="AI85" s="68">
        <f>IF(H85="","",IFERROR(INDEX(Iv_Anzahl,MATCH(H85,Iv_Name,0)),IFERROR(VALUE(LEFT(TRIM(SUBSTITUTE(LOWER(H85),"alle ","")),FIND(" ",TRIM(SUBSTITUTE(LOWER(H85),"alle ",""))&amp;" ")-1)),"")))</f>
        <v/>
      </c>
      <c r="AJ85" s="68">
        <f>IF(H85="","",IFERROR(INDEX(Iv_Einheit,MATCH(H85,Iv_Name,0)),IF(ISNUMBER(SEARCH("jahr",H85)),"Jahre",IF(ISNUMBER(SEARCH("monat",H85)),"Monate",IF(ISNUMBER(SEARCH("woche",H85)),"Wochen",IF(ISNUMBER(SEARCH("tag",H85)),"Tage",""))))))</f>
        <v/>
      </c>
      <c r="AK85" s="107">
        <f>IF(AND(ISNUMBER(AI85),AJ85&lt;&gt;""),IF(AI85&gt;0,AI85*IF(AJ85="Tage",1,IF(AJ85="Wochen",7,IF(AJ85="Monate",365/12,365))),""),"")</f>
        <v/>
      </c>
      <c r="AL85" s="111">
        <f>IF(ISNUMBER(AK85),365/AK85,"")</f>
        <v/>
      </c>
      <c r="AM85" s="111">
        <f>IF(AND(ISNUMBER(AL85),ISNUMBER(AE85)),AL85*AE85/60,"")</f>
        <v/>
      </c>
      <c r="AN85" s="102">
        <f>IF(ISNUMBER(AA85),AA85-ROW()/100000,"")</f>
        <v/>
      </c>
      <c r="AO85" s="102">
        <f>IF(OR(L85="überfällig",L85="fällig"),J85+ROW()/100000,"")</f>
        <v/>
      </c>
      <c r="AP85" s="112" t="inlineStr">
        <is>
          <t>11.2.3</t>
        </is>
      </c>
      <c r="AQ85" s="113" t="inlineStr">
        <is>
          <t xml:space="preserve">Befestigung und Position kontrollieren </t>
        </is>
      </c>
    </row>
    <row r="86" ht="19" customHeight="1">
      <c r="A86" s="101" t="inlineStr">
        <is>
          <t>11.2.4</t>
        </is>
      </c>
      <c r="B86" s="102" t="inlineStr">
        <is>
          <t>Sensor auf Beschädigung kontrollieren</t>
        </is>
      </c>
      <c r="C86" s="103" t="inlineStr">
        <is>
          <t>Inspektion</t>
        </is>
      </c>
      <c r="D86" s="102" t="n"/>
      <c r="E86" s="114" t="inlineStr">
        <is>
          <t>Keine Beschädigung</t>
        </is>
      </c>
      <c r="F86" s="102" t="n"/>
      <c r="G86" s="68">
        <f>IF(AB86="unvollständig","Bewertung fehlt",INDEX(Kl_Intervall,MATCH(AB86,Kl_Name,0)))</f>
        <v/>
      </c>
      <c r="H86" s="8">
        <f>IF(G86="Bewertung fehlt","",G86)</f>
        <v/>
      </c>
      <c r="I86" s="105" t="n"/>
      <c r="J86" s="106">
        <f>IF(OR(I86="",NOT(ISNUMBER(AK86))),"",IF(AJ86="Tage",I86+AI86,IF(AJ86="Wochen",I86+7*AI86,EDATE(I86,ROUND(AI86*IF(AJ86="Jahre",12,1),0)))))</f>
        <v/>
      </c>
      <c r="K86" s="107">
        <f>IF(J86="","",J86-TODAY())</f>
        <v/>
      </c>
      <c r="L86" s="57">
        <f>IF(H86="","Intervall fehlt",IF(NOT(ISNUMBER(AK86)),"Intervall prüfen",IF(I86="","nicht erfasst",IF(K86&lt;0,"überfällig",IF(K86&lt;=MIN(P_Vorwarn,ROUND(AK86/4,0)),"fällig","in Ordnung")))))</f>
        <v/>
      </c>
      <c r="M86" s="103" t="n"/>
      <c r="N86" s="103" t="n"/>
      <c r="O86" s="108" t="n"/>
      <c r="P86" s="103" t="n"/>
      <c r="Q86" s="120">
        <f>Q42</f>
        <v/>
      </c>
      <c r="R86" s="120">
        <f>R42</f>
        <v/>
      </c>
      <c r="S86" s="120">
        <f>S42</f>
        <v/>
      </c>
      <c r="T86" s="120">
        <f>T42</f>
        <v/>
      </c>
      <c r="U86" s="120">
        <f>U42</f>
        <v/>
      </c>
      <c r="V86" s="120">
        <f>V42</f>
        <v/>
      </c>
      <c r="W86" s="120">
        <f>W42</f>
        <v/>
      </c>
      <c r="X86" s="120">
        <f>X42</f>
        <v/>
      </c>
      <c r="Y86" s="109">
        <f>P_SF</f>
        <v/>
      </c>
      <c r="Z86" s="109">
        <f>IF(COUNT(Q86:V86)=6,SQRT(SUMSQ(Q86:V86))/2,"")</f>
        <v/>
      </c>
      <c r="AA86" s="80">
        <f>IF(COUNT(W86:Z86)=4,Z86*W86*X86*Y86,"")</f>
        <v/>
      </c>
      <c r="AB86" s="68">
        <f>IF(AA86="","unvollständig",IF(AA86&gt;P_Grenze_kritisch,"kritisch",IF(AA86&gt;=P_Grenze_hoch,"hoch",IF(AA86&gt;=P_Grenze_mittel,"mittel","gering"))))</f>
        <v/>
      </c>
      <c r="AC86" s="68">
        <f>TRIM(IF(N(T86)&gt;=P_Krit,"AS ","")&amp;IF(N(S86)&gt;=P_Krit,"Q ","")&amp;IF(N(U86)&gt;=P_Krit,"US",""))</f>
        <v/>
      </c>
      <c r="AD86" s="102">
        <f>IF(ISNUMBER(R86),INDEX(IH_Text,R86),"")</f>
        <v/>
      </c>
      <c r="AE86" s="108" t="n"/>
      <c r="AF86" s="68" t="inlineStr">
        <is>
          <t>5.3.4</t>
        </is>
      </c>
      <c r="AG86" s="110" t="inlineStr">
        <is>
          <t>Glattrohrzuführung und Vereinzeler/Rohrstopper</t>
        </is>
      </c>
      <c r="AH86" s="110" t="inlineStr">
        <is>
          <t>Maßnahme</t>
        </is>
      </c>
      <c r="AI86" s="68">
        <f>IF(H86="","",IFERROR(INDEX(Iv_Anzahl,MATCH(H86,Iv_Name,0)),IFERROR(VALUE(LEFT(TRIM(SUBSTITUTE(LOWER(H86),"alle ","")),FIND(" ",TRIM(SUBSTITUTE(LOWER(H86),"alle ",""))&amp;" ")-1)),"")))</f>
        <v/>
      </c>
      <c r="AJ86" s="68">
        <f>IF(H86="","",IFERROR(INDEX(Iv_Einheit,MATCH(H86,Iv_Name,0)),IF(ISNUMBER(SEARCH("jahr",H86)),"Jahre",IF(ISNUMBER(SEARCH("monat",H86)),"Monate",IF(ISNUMBER(SEARCH("woche",H86)),"Wochen",IF(ISNUMBER(SEARCH("tag",H86)),"Tage",""))))))</f>
        <v/>
      </c>
      <c r="AK86" s="107">
        <f>IF(AND(ISNUMBER(AI86),AJ86&lt;&gt;""),IF(AI86&gt;0,AI86*IF(AJ86="Tage",1,IF(AJ86="Wochen",7,IF(AJ86="Monate",365/12,365))),""),"")</f>
        <v/>
      </c>
      <c r="AL86" s="111">
        <f>IF(ISNUMBER(AK86),365/AK86,"")</f>
        <v/>
      </c>
      <c r="AM86" s="111">
        <f>IF(AND(ISNUMBER(AL86),ISNUMBER(AE86)),AL86*AE86/60,"")</f>
        <v/>
      </c>
      <c r="AN86" s="102">
        <f>IF(ISNUMBER(AA86),AA86-ROW()/100000,"")</f>
        <v/>
      </c>
      <c r="AO86" s="102">
        <f>IF(OR(L86="überfällig",L86="fällig"),J86+ROW()/100000,"")</f>
        <v/>
      </c>
      <c r="AP86" s="112" t="inlineStr">
        <is>
          <t>11.2.4</t>
        </is>
      </c>
      <c r="AQ86" s="113" t="inlineStr">
        <is>
          <t xml:space="preserve">Sensor auf Beschädigung kontrollieren </t>
        </is>
      </c>
    </row>
    <row r="87" ht="32" customHeight="1">
      <c r="A87" s="101" t="inlineStr">
        <is>
          <t>11.2.5</t>
        </is>
      </c>
      <c r="B87" s="102" t="inlineStr">
        <is>
          <t>Kabelklemmung, Knickschutz, Kabelkasten und Leitungen auf Beschädigung prüfen</t>
        </is>
      </c>
      <c r="C87" s="103" t="inlineStr">
        <is>
          <t>Inspektion</t>
        </is>
      </c>
      <c r="D87" s="104" t="inlineStr">
        <is>
          <t>⚠ Gefahrenstelle</t>
        </is>
      </c>
      <c r="E87" s="114" t="inlineStr">
        <is>
          <t>Keine Beschädigung; Zugentlastung wirksam</t>
        </is>
      </c>
      <c r="F87" s="102" t="n"/>
      <c r="G87" s="68">
        <f>IF(AB87="unvollständig","Bewertung fehlt",INDEX(Kl_Intervall,MATCH(AB87,Kl_Name,0)))</f>
        <v/>
      </c>
      <c r="H87" s="8">
        <f>IF(G87="Bewertung fehlt","",G87)</f>
        <v/>
      </c>
      <c r="I87" s="105" t="n"/>
      <c r="J87" s="106">
        <f>IF(OR(I87="",NOT(ISNUMBER(AK87))),"",IF(AJ87="Tage",I87+AI87,IF(AJ87="Wochen",I87+7*AI87,EDATE(I87,ROUND(AI87*IF(AJ87="Jahre",12,1),0)))))</f>
        <v/>
      </c>
      <c r="K87" s="107">
        <f>IF(J87="","",J87-TODAY())</f>
        <v/>
      </c>
      <c r="L87" s="57">
        <f>IF(H87="","Intervall fehlt",IF(NOT(ISNUMBER(AK87)),"Intervall prüfen",IF(I87="","nicht erfasst",IF(K87&lt;0,"überfällig",IF(K87&lt;=MIN(P_Vorwarn,ROUND(AK87/4,0)),"fällig","in Ordnung")))))</f>
        <v/>
      </c>
      <c r="M87" s="103" t="n"/>
      <c r="N87" s="103" t="n"/>
      <c r="O87" s="108" t="n"/>
      <c r="P87" s="103" t="n"/>
      <c r="Q87" s="120">
        <f>Q43</f>
        <v/>
      </c>
      <c r="R87" s="120">
        <f>R43</f>
        <v/>
      </c>
      <c r="S87" s="120">
        <f>S43</f>
        <v/>
      </c>
      <c r="T87" s="120">
        <f>T43</f>
        <v/>
      </c>
      <c r="U87" s="120">
        <f>U43</f>
        <v/>
      </c>
      <c r="V87" s="120">
        <f>V43</f>
        <v/>
      </c>
      <c r="W87" s="120">
        <f>W43</f>
        <v/>
      </c>
      <c r="X87" s="120">
        <f>X43</f>
        <v/>
      </c>
      <c r="Y87" s="109">
        <f>P_SF</f>
        <v/>
      </c>
      <c r="Z87" s="109">
        <f>IF(COUNT(Q87:V87)=6,SQRT(SUMSQ(Q87:V87))/2,"")</f>
        <v/>
      </c>
      <c r="AA87" s="80">
        <f>IF(COUNT(W87:Z87)=4,Z87*W87*X87*Y87,"")</f>
        <v/>
      </c>
      <c r="AB87" s="68">
        <f>IF(AA87="","unvollständig",IF(AA87&gt;P_Grenze_kritisch,"kritisch",IF(AA87&gt;=P_Grenze_hoch,"hoch",IF(AA87&gt;=P_Grenze_mittel,"mittel","gering"))))</f>
        <v/>
      </c>
      <c r="AC87" s="68">
        <f>TRIM(IF(N(T87)&gt;=P_Krit,"AS ","")&amp;IF(N(S87)&gt;=P_Krit,"Q ","")&amp;IF(N(U87)&gt;=P_Krit,"US",""))</f>
        <v/>
      </c>
      <c r="AD87" s="102">
        <f>IF(ISNUMBER(R87),INDEX(IH_Text,R87),"")</f>
        <v/>
      </c>
      <c r="AE87" s="108" t="n"/>
      <c r="AF87" s="68" t="inlineStr">
        <is>
          <t>5.3.5</t>
        </is>
      </c>
      <c r="AG87" s="110" t="inlineStr">
        <is>
          <t>Glattrohrzuführung und Vereinzeler/Rohrstopper</t>
        </is>
      </c>
      <c r="AH87" s="110" t="inlineStr">
        <is>
          <t>Maßnahme</t>
        </is>
      </c>
      <c r="AI87" s="68">
        <f>IF(H87="","",IFERROR(INDEX(Iv_Anzahl,MATCH(H87,Iv_Name,0)),IFERROR(VALUE(LEFT(TRIM(SUBSTITUTE(LOWER(H87),"alle ","")),FIND(" ",TRIM(SUBSTITUTE(LOWER(H87),"alle ",""))&amp;" ")-1)),"")))</f>
        <v/>
      </c>
      <c r="AJ87" s="68">
        <f>IF(H87="","",IFERROR(INDEX(Iv_Einheit,MATCH(H87,Iv_Name,0)),IF(ISNUMBER(SEARCH("jahr",H87)),"Jahre",IF(ISNUMBER(SEARCH("monat",H87)),"Monate",IF(ISNUMBER(SEARCH("woche",H87)),"Wochen",IF(ISNUMBER(SEARCH("tag",H87)),"Tage",""))))))</f>
        <v/>
      </c>
      <c r="AK87" s="107">
        <f>IF(AND(ISNUMBER(AI87),AJ87&lt;&gt;""),IF(AI87&gt;0,AI87*IF(AJ87="Tage",1,IF(AJ87="Wochen",7,IF(AJ87="Monate",365/12,365))),""),"")</f>
        <v/>
      </c>
      <c r="AL87" s="111">
        <f>IF(ISNUMBER(AK87),365/AK87,"")</f>
        <v/>
      </c>
      <c r="AM87" s="111">
        <f>IF(AND(ISNUMBER(AL87),ISNUMBER(AE87)),AL87*AE87/60,"")</f>
        <v/>
      </c>
      <c r="AN87" s="102">
        <f>IF(ISNUMBER(AA87),AA87-ROW()/100000,"")</f>
        <v/>
      </c>
      <c r="AO87" s="102">
        <f>IF(OR(L87="überfällig",L87="fällig"),J87+ROW()/100000,"")</f>
        <v/>
      </c>
      <c r="AP87" s="112" t="inlineStr">
        <is>
          <t>11.2.5</t>
        </is>
      </c>
      <c r="AQ87" s="113" t="inlineStr">
        <is>
          <t>Prüfe Kabelklemmung, Knickschutz, Kabelkasten und Leitungen auf Beschädigung</t>
        </is>
      </c>
    </row>
    <row r="88" ht="20" customHeight="1">
      <c r="A88" s="96" t="inlineStr">
        <is>
          <t>12</t>
        </is>
      </c>
      <c r="B88" s="97" t="inlineStr">
        <is>
          <t>Handbediengerät   (Pos. 19)</t>
        </is>
      </c>
      <c r="C88" s="97" t="n"/>
      <c r="D88" s="97" t="n"/>
      <c r="E88" s="97" t="n"/>
      <c r="F88" s="97" t="n"/>
      <c r="G88" s="97" t="n"/>
      <c r="H88" s="97" t="n"/>
      <c r="I88" s="97" t="n"/>
      <c r="J88" s="97" t="n"/>
      <c r="K88" s="97" t="n"/>
      <c r="L88" s="97" t="n"/>
      <c r="M88" s="97" t="n"/>
      <c r="N88" s="97" t="n"/>
      <c r="O88" s="97" t="n"/>
      <c r="P88" s="97" t="n"/>
      <c r="Q88" s="97" t="n"/>
      <c r="R88" s="97" t="n"/>
      <c r="S88" s="97" t="n"/>
      <c r="T88" s="97" t="n"/>
      <c r="U88" s="97" t="n"/>
      <c r="V88" s="97" t="n"/>
      <c r="W88" s="97" t="n"/>
      <c r="X88" s="97" t="n"/>
      <c r="Y88" s="97" t="n"/>
      <c r="Z88" s="97" t="n"/>
      <c r="AA88" s="97" t="n"/>
      <c r="AB88" s="97" t="n"/>
      <c r="AC88" s="97" t="n"/>
      <c r="AD88" s="97" t="n"/>
      <c r="AE88" s="97" t="n"/>
      <c r="AF88" s="97" t="n"/>
      <c r="AG88" s="98" t="inlineStr">
        <is>
          <t>Handbediengerät</t>
        </is>
      </c>
      <c r="AH88" s="98" t="inlineStr">
        <is>
          <t>Baugruppe</t>
        </is>
      </c>
      <c r="AI88" s="97" t="n"/>
      <c r="AJ88" s="97" t="n"/>
      <c r="AK88" s="97" t="n"/>
      <c r="AL88" s="97" t="n"/>
      <c r="AM88" s="97" t="n"/>
      <c r="AN88" s="97" t="n"/>
      <c r="AO88" s="97" t="n"/>
      <c r="AP88" s="99" t="inlineStr">
        <is>
          <t>12</t>
        </is>
      </c>
      <c r="AQ88" s="100" t="inlineStr">
        <is>
          <t>19.) Handbediengerät</t>
        </is>
      </c>
    </row>
    <row r="89" ht="45" customHeight="1">
      <c r="A89" s="101" t="inlineStr">
        <is>
          <t>12.1</t>
        </is>
      </c>
      <c r="B89" s="102" t="inlineStr">
        <is>
          <t>Funktion aller Bedienelemente prüfen</t>
        </is>
      </c>
      <c r="C89" s="103" t="inlineStr">
        <is>
          <t>Funktionsprüfung</t>
        </is>
      </c>
      <c r="D89" s="102" t="n"/>
      <c r="E89" s="114" t="inlineStr">
        <is>
          <t>Alle Bedienelemente schalten einwandfrei; keine Beschädigung</t>
        </is>
      </c>
      <c r="F89" s="102" t="n"/>
      <c r="G89" s="68">
        <f>IF(AB89="unvollständig","Bewertung fehlt",INDEX(Kl_Intervall,MATCH(AB89,Kl_Name,0)))</f>
        <v/>
      </c>
      <c r="H89" s="8">
        <f>IF(G89="Bewertung fehlt","",G89)</f>
        <v/>
      </c>
      <c r="I89" s="105" t="n"/>
      <c r="J89" s="106">
        <f>IF(OR(I89="",NOT(ISNUMBER(AK89))),"",IF(AJ89="Tage",I89+AI89,IF(AJ89="Wochen",I89+7*AI89,EDATE(I89,ROUND(AI89*IF(AJ89="Jahre",12,1),0)))))</f>
        <v/>
      </c>
      <c r="K89" s="107">
        <f>IF(J89="","",J89-TODAY())</f>
        <v/>
      </c>
      <c r="L89" s="57">
        <f>IF(H89="","Intervall fehlt",IF(NOT(ISNUMBER(AK89)),"Intervall prüfen",IF(I89="","nicht erfasst",IF(K89&lt;0,"überfällig",IF(K89&lt;=MIN(P_Vorwarn,ROUND(AK89/4,0)),"fällig","in Ordnung")))))</f>
        <v/>
      </c>
      <c r="M89" s="103" t="n"/>
      <c r="N89" s="103" t="n"/>
      <c r="O89" s="108" t="n"/>
      <c r="P89" s="103" t="n"/>
      <c r="Q89" s="120">
        <f>Q9</f>
        <v/>
      </c>
      <c r="R89" s="120">
        <f>R9</f>
        <v/>
      </c>
      <c r="S89" s="120">
        <f>S9</f>
        <v/>
      </c>
      <c r="T89" s="120">
        <f>T9</f>
        <v/>
      </c>
      <c r="U89" s="120">
        <f>U9</f>
        <v/>
      </c>
      <c r="V89" s="120">
        <f>V9</f>
        <v/>
      </c>
      <c r="W89" s="120">
        <f>W9</f>
        <v/>
      </c>
      <c r="X89" s="120">
        <f>X9</f>
        <v/>
      </c>
      <c r="Y89" s="109">
        <f>P_SF</f>
        <v/>
      </c>
      <c r="Z89" s="109">
        <f>IF(COUNT(Q89:V89)=6,SQRT(SUMSQ(Q89:V89))/2,"")</f>
        <v/>
      </c>
      <c r="AA89" s="80">
        <f>IF(COUNT(W89:Z89)=4,Z89*W89*X89*Y89,"")</f>
        <v/>
      </c>
      <c r="AB89" s="68">
        <f>IF(AA89="","unvollständig",IF(AA89&gt;P_Grenze_kritisch,"kritisch",IF(AA89&gt;=P_Grenze_hoch,"hoch",IF(AA89&gt;=P_Grenze_mittel,"mittel","gering"))))</f>
        <v/>
      </c>
      <c r="AC89" s="68">
        <f>TRIM(IF(N(T89)&gt;=P_Krit,"AS ","")&amp;IF(N(S89)&gt;=P_Krit,"Q ","")&amp;IF(N(U89)&gt;=P_Krit,"US",""))</f>
        <v/>
      </c>
      <c r="AD89" s="102">
        <f>IF(ISNUMBER(R89),INDEX(IH_Text,R89),"")</f>
        <v/>
      </c>
      <c r="AE89" s="108" t="n"/>
      <c r="AF89" s="68" t="inlineStr">
        <is>
          <t>2.1</t>
        </is>
      </c>
      <c r="AG89" s="110" t="inlineStr">
        <is>
          <t>Handbediengerät</t>
        </is>
      </c>
      <c r="AH89" s="110" t="inlineStr">
        <is>
          <t>Maßnahme</t>
        </is>
      </c>
      <c r="AI89" s="68">
        <f>IF(H89="","",IFERROR(INDEX(Iv_Anzahl,MATCH(H89,Iv_Name,0)),IFERROR(VALUE(LEFT(TRIM(SUBSTITUTE(LOWER(H89),"alle ","")),FIND(" ",TRIM(SUBSTITUTE(LOWER(H89),"alle ",""))&amp;" ")-1)),"")))</f>
        <v/>
      </c>
      <c r="AJ89" s="68">
        <f>IF(H89="","",IFERROR(INDEX(Iv_Einheit,MATCH(H89,Iv_Name,0)),IF(ISNUMBER(SEARCH("jahr",H89)),"Jahre",IF(ISNUMBER(SEARCH("monat",H89)),"Monate",IF(ISNUMBER(SEARCH("woche",H89)),"Wochen",IF(ISNUMBER(SEARCH("tag",H89)),"Tage",""))))))</f>
        <v/>
      </c>
      <c r="AK89" s="107">
        <f>IF(AND(ISNUMBER(AI89),AJ89&lt;&gt;""),IF(AI89&gt;0,AI89*IF(AJ89="Tage",1,IF(AJ89="Wochen",7,IF(AJ89="Monate",365/12,365))),""),"")</f>
        <v/>
      </c>
      <c r="AL89" s="111">
        <f>IF(ISNUMBER(AK89),365/AK89,"")</f>
        <v/>
      </c>
      <c r="AM89" s="111">
        <f>IF(AND(ISNUMBER(AL89),ISNUMBER(AE89)),AL89*AE89/60,"")</f>
        <v/>
      </c>
      <c r="AN89" s="102">
        <f>IF(ISNUMBER(AA89),AA89-ROW()/100000,"")</f>
        <v/>
      </c>
      <c r="AO89" s="102">
        <f>IF(OR(L89="überfällig",L89="fällig"),J89+ROW()/100000,"")</f>
        <v/>
      </c>
      <c r="AP89" s="112" t="inlineStr">
        <is>
          <t>12.1</t>
        </is>
      </c>
      <c r="AQ89" s="113" t="inlineStr">
        <is>
          <t>Prüfe die Funktion aller Bedienelemente</t>
        </is>
      </c>
    </row>
    <row r="90" ht="19" customHeight="1">
      <c r="A90" s="101" t="inlineStr">
        <is>
          <t>12.2</t>
        </is>
      </c>
      <c r="B90" s="102" t="inlineStr">
        <is>
          <t>Handbediengerät reinigen</t>
        </is>
      </c>
      <c r="C90" s="103" t="inlineStr">
        <is>
          <t>Reinigung</t>
        </is>
      </c>
      <c r="D90" s="102" t="n"/>
      <c r="E90" s="114" t="inlineStr">
        <is>
          <t>Sauber; Anzeige lesbar</t>
        </is>
      </c>
      <c r="F90" s="102" t="n"/>
      <c r="G90" s="68">
        <f>IF(AB90="unvollständig","Bewertung fehlt",INDEX(Kl_Intervall,MATCH(AB90,Kl_Name,0)))</f>
        <v/>
      </c>
      <c r="H90" s="8">
        <f>IF(G90="Bewertung fehlt","",G90)</f>
        <v/>
      </c>
      <c r="I90" s="105" t="n"/>
      <c r="J90" s="106">
        <f>IF(OR(I90="",NOT(ISNUMBER(AK90))),"",IF(AJ90="Tage",I90+AI90,IF(AJ90="Wochen",I90+7*AI90,EDATE(I90,ROUND(AI90*IF(AJ90="Jahre",12,1),0)))))</f>
        <v/>
      </c>
      <c r="K90" s="107">
        <f>IF(J90="","",J90-TODAY())</f>
        <v/>
      </c>
      <c r="L90" s="57">
        <f>IF(H90="","Intervall fehlt",IF(NOT(ISNUMBER(AK90)),"Intervall prüfen",IF(I90="","nicht erfasst",IF(K90&lt;0,"überfällig",IF(K90&lt;=MIN(P_Vorwarn,ROUND(AK90/4,0)),"fällig","in Ordnung")))))</f>
        <v/>
      </c>
      <c r="M90" s="103" t="n"/>
      <c r="N90" s="103" t="n"/>
      <c r="O90" s="108" t="n"/>
      <c r="P90" s="103" t="n"/>
      <c r="Q90" s="120">
        <f>Q10</f>
        <v/>
      </c>
      <c r="R90" s="120">
        <f>R10</f>
        <v/>
      </c>
      <c r="S90" s="120">
        <f>S10</f>
        <v/>
      </c>
      <c r="T90" s="120">
        <f>T10</f>
        <v/>
      </c>
      <c r="U90" s="120">
        <f>U10</f>
        <v/>
      </c>
      <c r="V90" s="120">
        <f>V10</f>
        <v/>
      </c>
      <c r="W90" s="120">
        <f>W10</f>
        <v/>
      </c>
      <c r="X90" s="120">
        <f>X10</f>
        <v/>
      </c>
      <c r="Y90" s="109">
        <f>P_SF</f>
        <v/>
      </c>
      <c r="Z90" s="109">
        <f>IF(COUNT(Q90:V90)=6,SQRT(SUMSQ(Q90:V90))/2,"")</f>
        <v/>
      </c>
      <c r="AA90" s="80">
        <f>IF(COUNT(W90:Z90)=4,Z90*W90*X90*Y90,"")</f>
        <v/>
      </c>
      <c r="AB90" s="68">
        <f>IF(AA90="","unvollständig",IF(AA90&gt;P_Grenze_kritisch,"kritisch",IF(AA90&gt;=P_Grenze_hoch,"hoch",IF(AA90&gt;=P_Grenze_mittel,"mittel","gering"))))</f>
        <v/>
      </c>
      <c r="AC90" s="68">
        <f>TRIM(IF(N(T90)&gt;=P_Krit,"AS ","")&amp;IF(N(S90)&gt;=P_Krit,"Q ","")&amp;IF(N(U90)&gt;=P_Krit,"US",""))</f>
        <v/>
      </c>
      <c r="AD90" s="102">
        <f>IF(ISNUMBER(R90),INDEX(IH_Text,R90),"")</f>
        <v/>
      </c>
      <c r="AE90" s="108" t="n"/>
      <c r="AF90" s="68" t="inlineStr">
        <is>
          <t>2.2</t>
        </is>
      </c>
      <c r="AG90" s="110" t="inlineStr">
        <is>
          <t>Handbediengerät</t>
        </is>
      </c>
      <c r="AH90" s="110" t="inlineStr">
        <is>
          <t>Maßnahme</t>
        </is>
      </c>
      <c r="AI90" s="68">
        <f>IF(H90="","",IFERROR(INDEX(Iv_Anzahl,MATCH(H90,Iv_Name,0)),IFERROR(VALUE(LEFT(TRIM(SUBSTITUTE(LOWER(H90),"alle ","")),FIND(" ",TRIM(SUBSTITUTE(LOWER(H90),"alle ",""))&amp;" ")-1)),"")))</f>
        <v/>
      </c>
      <c r="AJ90" s="68">
        <f>IF(H90="","",IFERROR(INDEX(Iv_Einheit,MATCH(H90,Iv_Name,0)),IF(ISNUMBER(SEARCH("jahr",H90)),"Jahre",IF(ISNUMBER(SEARCH("monat",H90)),"Monate",IF(ISNUMBER(SEARCH("woche",H90)),"Wochen",IF(ISNUMBER(SEARCH("tag",H90)),"Tage",""))))))</f>
        <v/>
      </c>
      <c r="AK90" s="107">
        <f>IF(AND(ISNUMBER(AI90),AJ90&lt;&gt;""),IF(AI90&gt;0,AI90*IF(AJ90="Tage",1,IF(AJ90="Wochen",7,IF(AJ90="Monate",365/12,365))),""),"")</f>
        <v/>
      </c>
      <c r="AL90" s="111">
        <f>IF(ISNUMBER(AK90),365/AK90,"")</f>
        <v/>
      </c>
      <c r="AM90" s="111">
        <f>IF(AND(ISNUMBER(AL90),ISNUMBER(AE90)),AL90*AE90/60,"")</f>
        <v/>
      </c>
      <c r="AN90" s="102">
        <f>IF(ISNUMBER(AA90),AA90-ROW()/100000,"")</f>
        <v/>
      </c>
      <c r="AO90" s="102">
        <f>IF(OR(L90="überfällig",L90="fällig"),J90+ROW()/100000,"")</f>
        <v/>
      </c>
      <c r="AP90" s="112" t="inlineStr">
        <is>
          <t>12.2</t>
        </is>
      </c>
      <c r="AQ90" s="113" t="inlineStr">
        <is>
          <t>Bedienpult reinigen</t>
        </is>
      </c>
    </row>
    <row r="91" ht="20" customHeight="1">
      <c r="A91" s="96" t="inlineStr">
        <is>
          <t>13</t>
        </is>
      </c>
      <c r="B91" s="97" t="inlineStr">
        <is>
          <t>Klimagerät für Schaltschrank   (Pos. 20)</t>
        </is>
      </c>
      <c r="C91" s="97" t="n"/>
      <c r="D91" s="97" t="n"/>
      <c r="E91" s="97" t="n"/>
      <c r="F91" s="97" t="n"/>
      <c r="G91" s="97" t="n"/>
      <c r="H91" s="97" t="n"/>
      <c r="I91" s="97" t="n"/>
      <c r="J91" s="97" t="n"/>
      <c r="K91" s="97" t="n"/>
      <c r="L91" s="97" t="n"/>
      <c r="M91" s="97" t="n"/>
      <c r="N91" s="97" t="n"/>
      <c r="O91" s="97" t="n"/>
      <c r="P91" s="97" t="n"/>
      <c r="Q91" s="97" t="n"/>
      <c r="R91" s="97" t="n"/>
      <c r="S91" s="97" t="n"/>
      <c r="T91" s="97" t="n"/>
      <c r="U91" s="97" t="n"/>
      <c r="V91" s="97" t="n"/>
      <c r="W91" s="97" t="n"/>
      <c r="X91" s="97" t="n"/>
      <c r="Y91" s="97" t="n"/>
      <c r="Z91" s="97" t="n"/>
      <c r="AA91" s="97" t="n"/>
      <c r="AB91" s="97" t="n"/>
      <c r="AC91" s="97" t="n"/>
      <c r="AD91" s="97" t="n"/>
      <c r="AE91" s="97" t="n"/>
      <c r="AF91" s="97" t="n"/>
      <c r="AG91" s="98" t="inlineStr">
        <is>
          <t>Klimagerät für Schaltschrank</t>
        </is>
      </c>
      <c r="AH91" s="98" t="inlineStr">
        <is>
          <t>Baugruppe</t>
        </is>
      </c>
      <c r="AI91" s="97" t="n"/>
      <c r="AJ91" s="97" t="n"/>
      <c r="AK91" s="97" t="n"/>
      <c r="AL91" s="97" t="n"/>
      <c r="AM91" s="97" t="n"/>
      <c r="AN91" s="97" t="n"/>
      <c r="AO91" s="97" t="n"/>
      <c r="AP91" s="99" t="inlineStr">
        <is>
          <t>13</t>
        </is>
      </c>
      <c r="AQ91" s="100" t="inlineStr">
        <is>
          <t>20.) Klimagerät für Schaltschrank</t>
        </is>
      </c>
    </row>
    <row r="92" ht="32" customHeight="1">
      <c r="A92" s="101" t="inlineStr">
        <is>
          <t>13.1</t>
        </is>
      </c>
      <c r="B92" s="102" t="inlineStr">
        <is>
          <t>Filtermatten tauschen</t>
        </is>
      </c>
      <c r="C92" s="103" t="inlineStr">
        <is>
          <t>Austausch</t>
        </is>
      </c>
      <c r="D92" s="102" t="n"/>
      <c r="E92" s="114" t="inlineStr">
        <is>
          <t>Neue Filtermatten eingesetzt</t>
        </is>
      </c>
      <c r="F92" s="102" t="n"/>
      <c r="G92" s="68">
        <f>IF(AB92="unvollständig","Bewertung fehlt",INDEX(Kl_Intervall,MATCH(AB92,Kl_Name,0)))</f>
        <v/>
      </c>
      <c r="H92" s="8">
        <f>IF(G92="Bewertung fehlt","",G92)</f>
        <v/>
      </c>
      <c r="I92" s="105" t="n"/>
      <c r="J92" s="106">
        <f>IF(OR(I92="",NOT(ISNUMBER(AK92))),"",IF(AJ92="Tage",I92+AI92,IF(AJ92="Wochen",I92+7*AI92,EDATE(I92,ROUND(AI92*IF(AJ92="Jahre",12,1),0)))))</f>
        <v/>
      </c>
      <c r="K92" s="107">
        <f>IF(J92="","",J92-TODAY())</f>
        <v/>
      </c>
      <c r="L92" s="57">
        <f>IF(H92="","Intervall fehlt",IF(NOT(ISNUMBER(AK92)),"Intervall prüfen",IF(I92="","nicht erfasst",IF(K92&lt;0,"überfällig",IF(K92&lt;=MIN(P_Vorwarn,ROUND(AK92/4,0)),"fällig","in Ordnung")))))</f>
        <v/>
      </c>
      <c r="M92" s="103" t="n"/>
      <c r="N92" s="103" t="n"/>
      <c r="O92" s="108" t="n"/>
      <c r="P92" s="103" t="n"/>
      <c r="Q92" s="108" t="n">
        <v>4</v>
      </c>
      <c r="R92" s="108" t="n">
        <v>3</v>
      </c>
      <c r="S92" s="108" t="n">
        <v>1</v>
      </c>
      <c r="T92" s="108" t="n">
        <v>2</v>
      </c>
      <c r="U92" s="108" t="n">
        <v>2</v>
      </c>
      <c r="V92" s="108" t="n">
        <v>3</v>
      </c>
      <c r="W92" s="108" t="n">
        <v>2</v>
      </c>
      <c r="X92" s="108" t="n">
        <v>2</v>
      </c>
      <c r="Y92" s="109">
        <f>P_SF</f>
        <v/>
      </c>
      <c r="Z92" s="109">
        <f>IF(COUNT(Q92:V92)=6,SQRT(SUMSQ(Q92:V92))/2,"")</f>
        <v/>
      </c>
      <c r="AA92" s="80">
        <f>IF(COUNT(W92:Z92)=4,Z92*W92*X92*Y92,"")</f>
        <v/>
      </c>
      <c r="AB92" s="68">
        <f>IF(AA92="","unvollständig",IF(AA92&gt;P_Grenze_kritisch,"kritisch",IF(AA92&gt;=P_Grenze_hoch,"hoch",IF(AA92&gt;=P_Grenze_mittel,"mittel","gering"))))</f>
        <v/>
      </c>
      <c r="AC92" s="68">
        <f>TRIM(IF(N(T92)&gt;=P_Krit,"AS ","")&amp;IF(N(S92)&gt;=P_Krit,"Q ","")&amp;IF(N(U92)&gt;=P_Krit,"US",""))</f>
        <v/>
      </c>
      <c r="AD92" s="102">
        <f>IF(ISNUMBER(R92),INDEX(IH_Text,R92),"")</f>
        <v/>
      </c>
      <c r="AE92" s="108" t="n"/>
      <c r="AF92" s="68" t="n"/>
      <c r="AG92" s="110" t="inlineStr">
        <is>
          <t>Klimagerät für Schaltschrank</t>
        </is>
      </c>
      <c r="AH92" s="110" t="inlineStr">
        <is>
          <t>Maßnahme</t>
        </is>
      </c>
      <c r="AI92" s="68">
        <f>IF(H92="","",IFERROR(INDEX(Iv_Anzahl,MATCH(H92,Iv_Name,0)),IFERROR(VALUE(LEFT(TRIM(SUBSTITUTE(LOWER(H92),"alle ","")),FIND(" ",TRIM(SUBSTITUTE(LOWER(H92),"alle ",""))&amp;" ")-1)),"")))</f>
        <v/>
      </c>
      <c r="AJ92" s="68">
        <f>IF(H92="","",IFERROR(INDEX(Iv_Einheit,MATCH(H92,Iv_Name,0)),IF(ISNUMBER(SEARCH("jahr",H92)),"Jahre",IF(ISNUMBER(SEARCH("monat",H92)),"Monate",IF(ISNUMBER(SEARCH("woche",H92)),"Wochen",IF(ISNUMBER(SEARCH("tag",H92)),"Tage",""))))))</f>
        <v/>
      </c>
      <c r="AK92" s="107">
        <f>IF(AND(ISNUMBER(AI92),AJ92&lt;&gt;""),IF(AI92&gt;0,AI92*IF(AJ92="Tage",1,IF(AJ92="Wochen",7,IF(AJ92="Monate",365/12,365))),""),"")</f>
        <v/>
      </c>
      <c r="AL92" s="111">
        <f>IF(ISNUMBER(AK92),365/AK92,"")</f>
        <v/>
      </c>
      <c r="AM92" s="111">
        <f>IF(AND(ISNUMBER(AL92),ISNUMBER(AE92)),AL92*AE92/60,"")</f>
        <v/>
      </c>
      <c r="AN92" s="102">
        <f>IF(ISNUMBER(AA92),AA92-ROW()/100000,"")</f>
        <v/>
      </c>
      <c r="AO92" s="102">
        <f>IF(OR(L92="überfällig",L92="fällig"),J92+ROW()/100000,"")</f>
        <v/>
      </c>
      <c r="AP92" s="112" t="inlineStr">
        <is>
          <t>13.1</t>
        </is>
      </c>
      <c r="AQ92" s="113" t="inlineStr">
        <is>
          <t>tausche Filtermatten</t>
        </is>
      </c>
    </row>
    <row r="93" ht="20" customHeight="1">
      <c r="A93" s="96" t="inlineStr">
        <is>
          <t>14</t>
        </is>
      </c>
      <c r="B93" s="97" t="inlineStr">
        <is>
          <t>Schaltschrank   (Pos. 22)</t>
        </is>
      </c>
      <c r="C93" s="97" t="n"/>
      <c r="D93" s="121" t="inlineStr">
        <is>
          <t>⚡ Elektrische Spannung</t>
        </is>
      </c>
      <c r="E93" s="97" t="n"/>
      <c r="F93" s="97" t="n"/>
      <c r="G93" s="97" t="n"/>
      <c r="H93" s="97" t="n"/>
      <c r="I93" s="97" t="n"/>
      <c r="J93" s="97" t="n"/>
      <c r="K93" s="97" t="n"/>
      <c r="L93" s="97" t="n"/>
      <c r="M93" s="97" t="n"/>
      <c r="N93" s="97" t="n"/>
      <c r="O93" s="97" t="n"/>
      <c r="P93" s="97" t="n"/>
      <c r="Q93" s="97" t="n"/>
      <c r="R93" s="97" t="n"/>
      <c r="S93" s="97" t="n"/>
      <c r="T93" s="97" t="n"/>
      <c r="U93" s="97" t="n"/>
      <c r="V93" s="97" t="n"/>
      <c r="W93" s="97" t="n"/>
      <c r="X93" s="97" t="n"/>
      <c r="Y93" s="97" t="n"/>
      <c r="Z93" s="97" t="n"/>
      <c r="AA93" s="97" t="n"/>
      <c r="AB93" s="97" t="n"/>
      <c r="AC93" s="97" t="n"/>
      <c r="AD93" s="97" t="n"/>
      <c r="AE93" s="97" t="n"/>
      <c r="AF93" s="97" t="n"/>
      <c r="AG93" s="98" t="inlineStr">
        <is>
          <t>Schaltschrank</t>
        </is>
      </c>
      <c r="AH93" s="98" t="inlineStr">
        <is>
          <t>Baugruppe</t>
        </is>
      </c>
      <c r="AI93" s="97" t="n"/>
      <c r="AJ93" s="97" t="n"/>
      <c r="AK93" s="97" t="n"/>
      <c r="AL93" s="97" t="n"/>
      <c r="AM93" s="97" t="n"/>
      <c r="AN93" s="97" t="n"/>
      <c r="AO93" s="97" t="n"/>
      <c r="AP93" s="99" t="inlineStr">
        <is>
          <t>14</t>
        </is>
      </c>
      <c r="AQ93" s="100" t="inlineStr">
        <is>
          <t>22.) Schaltschrank</t>
        </is>
      </c>
    </row>
    <row r="94" ht="32" customHeight="1">
      <c r="A94" s="101" t="inlineStr">
        <is>
          <t>14.1</t>
        </is>
      </c>
      <c r="B94" s="102" t="inlineStr">
        <is>
          <t>Filtermatten (falls vorhanden) austauschen</t>
        </is>
      </c>
      <c r="C94" s="103" t="inlineStr">
        <is>
          <t>Austausch</t>
        </is>
      </c>
      <c r="D94" s="104" t="inlineStr">
        <is>
          <t>⚡ Elektrische Spannung</t>
        </is>
      </c>
      <c r="E94" s="114" t="inlineStr">
        <is>
          <t>Neue Filtermatten eingesetzt</t>
        </is>
      </c>
      <c r="F94" s="102" t="n"/>
      <c r="G94" s="68">
        <f>IF(AB94="unvollständig","Bewertung fehlt",INDEX(Kl_Intervall,MATCH(AB94,Kl_Name,0)))</f>
        <v/>
      </c>
      <c r="H94" s="8">
        <f>IF(G94="Bewertung fehlt","",G94)</f>
        <v/>
      </c>
      <c r="I94" s="105" t="n"/>
      <c r="J94" s="106">
        <f>IF(OR(I94="",NOT(ISNUMBER(AK94))),"",IF(AJ94="Tage",I94+AI94,IF(AJ94="Wochen",I94+7*AI94,EDATE(I94,ROUND(AI94*IF(AJ94="Jahre",12,1),0)))))</f>
        <v/>
      </c>
      <c r="K94" s="107">
        <f>IF(J94="","",J94-TODAY())</f>
        <v/>
      </c>
      <c r="L94" s="57">
        <f>IF(H94="","Intervall fehlt",IF(NOT(ISNUMBER(AK94)),"Intervall prüfen",IF(I94="","nicht erfasst",IF(K94&lt;0,"überfällig",IF(K94&lt;=MIN(P_Vorwarn,ROUND(AK94/4,0)),"fällig","in Ordnung")))))</f>
        <v/>
      </c>
      <c r="M94" s="103" t="n"/>
      <c r="N94" s="103" t="n"/>
      <c r="O94" s="108" t="n"/>
      <c r="P94" s="103" t="n"/>
      <c r="Q94" s="120">
        <f>Q92</f>
        <v/>
      </c>
      <c r="R94" s="120">
        <f>R92</f>
        <v/>
      </c>
      <c r="S94" s="120">
        <f>S92</f>
        <v/>
      </c>
      <c r="T94" s="120">
        <f>T92</f>
        <v/>
      </c>
      <c r="U94" s="120">
        <f>U92</f>
        <v/>
      </c>
      <c r="V94" s="120">
        <f>V92</f>
        <v/>
      </c>
      <c r="W94" s="120">
        <f>W92</f>
        <v/>
      </c>
      <c r="X94" s="120">
        <f>X92</f>
        <v/>
      </c>
      <c r="Y94" s="109">
        <f>P_SF</f>
        <v/>
      </c>
      <c r="Z94" s="109">
        <f>IF(COUNT(Q94:V94)=6,SQRT(SUMSQ(Q94:V94))/2,"")</f>
        <v/>
      </c>
      <c r="AA94" s="80">
        <f>IF(COUNT(W94:Z94)=4,Z94*W94*X94*Y94,"")</f>
        <v/>
      </c>
      <c r="AB94" s="68">
        <f>IF(AA94="","unvollständig",IF(AA94&gt;P_Grenze_kritisch,"kritisch",IF(AA94&gt;=P_Grenze_hoch,"hoch",IF(AA94&gt;=P_Grenze_mittel,"mittel","gering"))))</f>
        <v/>
      </c>
      <c r="AC94" s="68">
        <f>TRIM(IF(N(T94)&gt;=P_Krit,"AS ","")&amp;IF(N(S94)&gt;=P_Krit,"Q ","")&amp;IF(N(U94)&gt;=P_Krit,"US",""))</f>
        <v/>
      </c>
      <c r="AD94" s="102">
        <f>IF(ISNUMBER(R94),INDEX(IH_Text,R94),"")</f>
        <v/>
      </c>
      <c r="AE94" s="108" t="n"/>
      <c r="AF94" s="68" t="inlineStr">
        <is>
          <t>13.1</t>
        </is>
      </c>
      <c r="AG94" s="110" t="inlineStr">
        <is>
          <t>Schaltschrank</t>
        </is>
      </c>
      <c r="AH94" s="110" t="inlineStr">
        <is>
          <t>Maßnahme</t>
        </is>
      </c>
      <c r="AI94" s="68">
        <f>IF(H94="","",IFERROR(INDEX(Iv_Anzahl,MATCH(H94,Iv_Name,0)),IFERROR(VALUE(LEFT(TRIM(SUBSTITUTE(LOWER(H94),"alle ","")),FIND(" ",TRIM(SUBSTITUTE(LOWER(H94),"alle ",""))&amp;" ")-1)),"")))</f>
        <v/>
      </c>
      <c r="AJ94" s="68">
        <f>IF(H94="","",IFERROR(INDEX(Iv_Einheit,MATCH(H94,Iv_Name,0)),IF(ISNUMBER(SEARCH("jahr",H94)),"Jahre",IF(ISNUMBER(SEARCH("monat",H94)),"Monate",IF(ISNUMBER(SEARCH("woche",H94)),"Wochen",IF(ISNUMBER(SEARCH("tag",H94)),"Tage",""))))))</f>
        <v/>
      </c>
      <c r="AK94" s="107">
        <f>IF(AND(ISNUMBER(AI94),AJ94&lt;&gt;""),IF(AI94&gt;0,AI94*IF(AJ94="Tage",1,IF(AJ94="Wochen",7,IF(AJ94="Monate",365/12,365))),""),"")</f>
        <v/>
      </c>
      <c r="AL94" s="111">
        <f>IF(ISNUMBER(AK94),365/AK94,"")</f>
        <v/>
      </c>
      <c r="AM94" s="111">
        <f>IF(AND(ISNUMBER(AL94),ISNUMBER(AE94)),AL94*AE94/60,"")</f>
        <v/>
      </c>
      <c r="AN94" s="102">
        <f>IF(ISNUMBER(AA94),AA94-ROW()/100000,"")</f>
        <v/>
      </c>
      <c r="AO94" s="102">
        <f>IF(OR(L94="überfällig",L94="fällig"),J94+ROW()/100000,"")</f>
        <v/>
      </c>
      <c r="AP94" s="112" t="inlineStr">
        <is>
          <t>14.1</t>
        </is>
      </c>
      <c r="AQ94" s="113" t="inlineStr">
        <is>
          <t>Filtermatten, wenn vorhanden  austauschen</t>
        </is>
      </c>
    </row>
    <row r="95" ht="32" customHeight="1">
      <c r="A95" s="101" t="inlineStr">
        <is>
          <t>14.2</t>
        </is>
      </c>
      <c r="B95" s="102" t="inlineStr">
        <is>
          <t>Staub absaugen</t>
        </is>
      </c>
      <c r="C95" s="103" t="inlineStr">
        <is>
          <t>Reinigung</t>
        </is>
      </c>
      <c r="D95" s="104" t="inlineStr">
        <is>
          <t>⚡ Elektrische Spannung</t>
        </is>
      </c>
      <c r="E95" s="114" t="inlineStr">
        <is>
          <t>Schaltschrank staubfrei</t>
        </is>
      </c>
      <c r="F95" s="102" t="n"/>
      <c r="G95" s="68">
        <f>IF(AB95="unvollständig","Bewertung fehlt",INDEX(Kl_Intervall,MATCH(AB95,Kl_Name,0)))</f>
        <v/>
      </c>
      <c r="H95" s="8">
        <f>IF(G95="Bewertung fehlt","",G95)</f>
        <v/>
      </c>
      <c r="I95" s="105" t="n"/>
      <c r="J95" s="106">
        <f>IF(OR(I95="",NOT(ISNUMBER(AK95))),"",IF(AJ95="Tage",I95+AI95,IF(AJ95="Wochen",I95+7*AI95,EDATE(I95,ROUND(AI95*IF(AJ95="Jahre",12,1),0)))))</f>
        <v/>
      </c>
      <c r="K95" s="107">
        <f>IF(J95="","",J95-TODAY())</f>
        <v/>
      </c>
      <c r="L95" s="57">
        <f>IF(H95="","Intervall fehlt",IF(NOT(ISNUMBER(AK95)),"Intervall prüfen",IF(I95="","nicht erfasst",IF(K95&lt;0,"überfällig",IF(K95&lt;=MIN(P_Vorwarn,ROUND(AK95/4,0)),"fällig","in Ordnung")))))</f>
        <v/>
      </c>
      <c r="M95" s="103" t="n"/>
      <c r="N95" s="103" t="n"/>
      <c r="O95" s="108" t="n"/>
      <c r="P95" s="103" t="n"/>
      <c r="Q95" s="108" t="n">
        <v>1</v>
      </c>
      <c r="R95" s="108" t="n">
        <v>2</v>
      </c>
      <c r="S95" s="108" t="n">
        <v>1</v>
      </c>
      <c r="T95" s="108" t="n">
        <v>1</v>
      </c>
      <c r="U95" s="108" t="n">
        <v>2</v>
      </c>
      <c r="V95" s="108" t="n">
        <v>3</v>
      </c>
      <c r="W95" s="108" t="n">
        <v>2</v>
      </c>
      <c r="X95" s="108" t="n">
        <v>3</v>
      </c>
      <c r="Y95" s="109">
        <f>P_SF</f>
        <v/>
      </c>
      <c r="Z95" s="109">
        <f>IF(COUNT(Q95:V95)=6,SQRT(SUMSQ(Q95:V95))/2,"")</f>
        <v/>
      </c>
      <c r="AA95" s="80">
        <f>IF(COUNT(W95:Z95)=4,Z95*W95*X95*Y95,"")</f>
        <v/>
      </c>
      <c r="AB95" s="68">
        <f>IF(AA95="","unvollständig",IF(AA95&gt;P_Grenze_kritisch,"kritisch",IF(AA95&gt;=P_Grenze_hoch,"hoch",IF(AA95&gt;=P_Grenze_mittel,"mittel","gering"))))</f>
        <v/>
      </c>
      <c r="AC95" s="68">
        <f>TRIM(IF(N(T95)&gt;=P_Krit,"AS ","")&amp;IF(N(S95)&gt;=P_Krit,"Q ","")&amp;IF(N(U95)&gt;=P_Krit,"US",""))</f>
        <v/>
      </c>
      <c r="AD95" s="102">
        <f>IF(ISNUMBER(R95),INDEX(IH_Text,R95),"")</f>
        <v/>
      </c>
      <c r="AE95" s="108" t="n"/>
      <c r="AF95" s="68" t="n"/>
      <c r="AG95" s="110" t="inlineStr">
        <is>
          <t>Schaltschrank</t>
        </is>
      </c>
      <c r="AH95" s="110" t="inlineStr">
        <is>
          <t>Maßnahme</t>
        </is>
      </c>
      <c r="AI95" s="68">
        <f>IF(H95="","",IFERROR(INDEX(Iv_Anzahl,MATCH(H95,Iv_Name,0)),IFERROR(VALUE(LEFT(TRIM(SUBSTITUTE(LOWER(H95),"alle ","")),FIND(" ",TRIM(SUBSTITUTE(LOWER(H95),"alle ",""))&amp;" ")-1)),"")))</f>
        <v/>
      </c>
      <c r="AJ95" s="68">
        <f>IF(H95="","",IFERROR(INDEX(Iv_Einheit,MATCH(H95,Iv_Name,0)),IF(ISNUMBER(SEARCH("jahr",H95)),"Jahre",IF(ISNUMBER(SEARCH("monat",H95)),"Monate",IF(ISNUMBER(SEARCH("woche",H95)),"Wochen",IF(ISNUMBER(SEARCH("tag",H95)),"Tage",""))))))</f>
        <v/>
      </c>
      <c r="AK95" s="107">
        <f>IF(AND(ISNUMBER(AI95),AJ95&lt;&gt;""),IF(AI95&gt;0,AI95*IF(AJ95="Tage",1,IF(AJ95="Wochen",7,IF(AJ95="Monate",365/12,365))),""),"")</f>
        <v/>
      </c>
      <c r="AL95" s="111">
        <f>IF(ISNUMBER(AK95),365/AK95,"")</f>
        <v/>
      </c>
      <c r="AM95" s="111">
        <f>IF(AND(ISNUMBER(AL95),ISNUMBER(AE95)),AL95*AE95/60,"")</f>
        <v/>
      </c>
      <c r="AN95" s="102">
        <f>IF(ISNUMBER(AA95),AA95-ROW()/100000,"")</f>
        <v/>
      </c>
      <c r="AO95" s="102">
        <f>IF(OR(L95="überfällig",L95="fällig"),J95+ROW()/100000,"")</f>
        <v/>
      </c>
      <c r="AP95" s="112" t="inlineStr">
        <is>
          <t>14.2</t>
        </is>
      </c>
      <c r="AQ95" s="113" t="inlineStr">
        <is>
          <t>Staub absaugen</t>
        </is>
      </c>
    </row>
    <row r="96" ht="32" customHeight="1">
      <c r="A96" s="101" t="inlineStr">
        <is>
          <t>14.3</t>
        </is>
      </c>
      <c r="B96" s="102" t="inlineStr">
        <is>
          <t>Dichtheit von Gehäuse und Tür prüfen</t>
        </is>
      </c>
      <c r="C96" s="103" t="inlineStr">
        <is>
          <t>Inspektion</t>
        </is>
      </c>
      <c r="D96" s="104" t="inlineStr">
        <is>
          <t>⚡ Elektrische Spannung</t>
        </is>
      </c>
      <c r="E96" s="114" t="inlineStr">
        <is>
          <t>Dichtungen intakt, Tür schließt dicht</t>
        </is>
      </c>
      <c r="F96" s="102" t="n"/>
      <c r="G96" s="68">
        <f>IF(AB96="unvollständig","Bewertung fehlt",INDEX(Kl_Intervall,MATCH(AB96,Kl_Name,0)))</f>
        <v/>
      </c>
      <c r="H96" s="8">
        <f>IF(G96="Bewertung fehlt","",G96)</f>
        <v/>
      </c>
      <c r="I96" s="105" t="n"/>
      <c r="J96" s="106">
        <f>IF(OR(I96="",NOT(ISNUMBER(AK96))),"",IF(AJ96="Tage",I96+AI96,IF(AJ96="Wochen",I96+7*AI96,EDATE(I96,ROUND(AI96*IF(AJ96="Jahre",12,1),0)))))</f>
        <v/>
      </c>
      <c r="K96" s="107">
        <f>IF(J96="","",J96-TODAY())</f>
        <v/>
      </c>
      <c r="L96" s="57">
        <f>IF(H96="","Intervall fehlt",IF(NOT(ISNUMBER(AK96)),"Intervall prüfen",IF(I96="","nicht erfasst",IF(K96&lt;0,"überfällig",IF(K96&lt;=MIN(P_Vorwarn,ROUND(AK96/4,0)),"fällig","in Ordnung")))))</f>
        <v/>
      </c>
      <c r="M96" s="103" t="n"/>
      <c r="N96" s="103" t="n"/>
      <c r="O96" s="108" t="n"/>
      <c r="P96" s="103" t="n"/>
      <c r="Q96" s="108" t="n">
        <v>1</v>
      </c>
      <c r="R96" s="108" t="n">
        <v>2</v>
      </c>
      <c r="S96" s="108" t="n">
        <v>1</v>
      </c>
      <c r="T96" s="108" t="n">
        <v>2</v>
      </c>
      <c r="U96" s="108" t="n">
        <v>2</v>
      </c>
      <c r="V96" s="108" t="n">
        <v>3</v>
      </c>
      <c r="W96" s="108" t="n">
        <v>1</v>
      </c>
      <c r="X96" s="108" t="n">
        <v>3</v>
      </c>
      <c r="Y96" s="109">
        <f>P_SF</f>
        <v/>
      </c>
      <c r="Z96" s="109">
        <f>IF(COUNT(Q96:V96)=6,SQRT(SUMSQ(Q96:V96))/2,"")</f>
        <v/>
      </c>
      <c r="AA96" s="80">
        <f>IF(COUNT(W96:Z96)=4,Z96*W96*X96*Y96,"")</f>
        <v/>
      </c>
      <c r="AB96" s="68">
        <f>IF(AA96="","unvollständig",IF(AA96&gt;P_Grenze_kritisch,"kritisch",IF(AA96&gt;=P_Grenze_hoch,"hoch",IF(AA96&gt;=P_Grenze_mittel,"mittel","gering"))))</f>
        <v/>
      </c>
      <c r="AC96" s="68">
        <f>TRIM(IF(N(T96)&gt;=P_Krit,"AS ","")&amp;IF(N(S96)&gt;=P_Krit,"Q ","")&amp;IF(N(U96)&gt;=P_Krit,"US",""))</f>
        <v/>
      </c>
      <c r="AD96" s="102">
        <f>IF(ISNUMBER(R96),INDEX(IH_Text,R96),"")</f>
        <v/>
      </c>
      <c r="AE96" s="108" t="n"/>
      <c r="AF96" s="68" t="n"/>
      <c r="AG96" s="110" t="inlineStr">
        <is>
          <t>Schaltschrank</t>
        </is>
      </c>
      <c r="AH96" s="110" t="inlineStr">
        <is>
          <t>Maßnahme</t>
        </is>
      </c>
      <c r="AI96" s="68">
        <f>IF(H96="","",IFERROR(INDEX(Iv_Anzahl,MATCH(H96,Iv_Name,0)),IFERROR(VALUE(LEFT(TRIM(SUBSTITUTE(LOWER(H96),"alle ","")),FIND(" ",TRIM(SUBSTITUTE(LOWER(H96),"alle ",""))&amp;" ")-1)),"")))</f>
        <v/>
      </c>
      <c r="AJ96" s="68">
        <f>IF(H96="","",IFERROR(INDEX(Iv_Einheit,MATCH(H96,Iv_Name,0)),IF(ISNUMBER(SEARCH("jahr",H96)),"Jahre",IF(ISNUMBER(SEARCH("monat",H96)),"Monate",IF(ISNUMBER(SEARCH("woche",H96)),"Wochen",IF(ISNUMBER(SEARCH("tag",H96)),"Tage",""))))))</f>
        <v/>
      </c>
      <c r="AK96" s="107">
        <f>IF(AND(ISNUMBER(AI96),AJ96&lt;&gt;""),IF(AI96&gt;0,AI96*IF(AJ96="Tage",1,IF(AJ96="Wochen",7,IF(AJ96="Monate",365/12,365))),""),"")</f>
        <v/>
      </c>
      <c r="AL96" s="111">
        <f>IF(ISNUMBER(AK96),365/AK96,"")</f>
        <v/>
      </c>
      <c r="AM96" s="111">
        <f>IF(AND(ISNUMBER(AL96),ISNUMBER(AE96)),AL96*AE96/60,"")</f>
        <v/>
      </c>
      <c r="AN96" s="102">
        <f>IF(ISNUMBER(AA96),AA96-ROW()/100000,"")</f>
        <v/>
      </c>
      <c r="AO96" s="102">
        <f>IF(OR(L96="überfällig",L96="fällig"),J96+ROW()/100000,"")</f>
        <v/>
      </c>
      <c r="AP96" s="112" t="inlineStr">
        <is>
          <t>14.3</t>
        </is>
      </c>
      <c r="AQ96" s="113" t="inlineStr">
        <is>
          <t>Prüfe Dichtheit von Gehäuse und Tür</t>
        </is>
      </c>
    </row>
    <row r="97" ht="45" customHeight="1">
      <c r="A97" s="101" t="inlineStr">
        <is>
          <t>14.4</t>
        </is>
      </c>
      <c r="B97" s="102" t="inlineStr">
        <is>
          <t>Sichtkontrolle der elektrischen Komponenten</t>
        </is>
      </c>
      <c r="C97" s="103" t="inlineStr">
        <is>
          <t>Inspektion</t>
        </is>
      </c>
      <c r="D97" s="102" t="n"/>
      <c r="E97" s="114" t="inlineStr">
        <is>
          <t>Keine Verfärbungen, Schmorstellen oder losen Leitungen</t>
        </is>
      </c>
      <c r="F97" s="102" t="n"/>
      <c r="G97" s="68">
        <f>IF(AB97="unvollständig","Bewertung fehlt",INDEX(Kl_Intervall,MATCH(AB97,Kl_Name,0)))</f>
        <v/>
      </c>
      <c r="H97" s="8">
        <f>IF(G97="Bewertung fehlt","",G97)</f>
        <v/>
      </c>
      <c r="I97" s="105" t="n"/>
      <c r="J97" s="106">
        <f>IF(OR(I97="",NOT(ISNUMBER(AK97))),"",IF(AJ97="Tage",I97+AI97,IF(AJ97="Wochen",I97+7*AI97,EDATE(I97,ROUND(AI97*IF(AJ97="Jahre",12,1),0)))))</f>
        <v/>
      </c>
      <c r="K97" s="107">
        <f>IF(J97="","",J97-TODAY())</f>
        <v/>
      </c>
      <c r="L97" s="57">
        <f>IF(H97="","Intervall fehlt",IF(NOT(ISNUMBER(AK97)),"Intervall prüfen",IF(I97="","nicht erfasst",IF(K97&lt;0,"überfällig",IF(K97&lt;=MIN(P_Vorwarn,ROUND(AK97/4,0)),"fällig","in Ordnung")))))</f>
        <v/>
      </c>
      <c r="M97" s="103" t="n"/>
      <c r="N97" s="103" t="n"/>
      <c r="O97" s="108" t="n"/>
      <c r="P97" s="103" t="n"/>
      <c r="Q97" s="108" t="n">
        <v>2</v>
      </c>
      <c r="R97" s="108" t="n">
        <v>3</v>
      </c>
      <c r="S97" s="108" t="n">
        <v>1</v>
      </c>
      <c r="T97" s="108" t="n">
        <v>3</v>
      </c>
      <c r="U97" s="108" t="n">
        <v>1</v>
      </c>
      <c r="V97" s="108" t="n">
        <v>4</v>
      </c>
      <c r="W97" s="108" t="n">
        <v>2</v>
      </c>
      <c r="X97" s="108" t="n">
        <v>2</v>
      </c>
      <c r="Y97" s="109">
        <f>P_SF</f>
        <v/>
      </c>
      <c r="Z97" s="109">
        <f>IF(COUNT(Q97:V97)=6,SQRT(SUMSQ(Q97:V97))/2,"")</f>
        <v/>
      </c>
      <c r="AA97" s="80">
        <f>IF(COUNT(W97:Z97)=4,Z97*W97*X97*Y97,"")</f>
        <v/>
      </c>
      <c r="AB97" s="68">
        <f>IF(AA97="","unvollständig",IF(AA97&gt;P_Grenze_kritisch,"kritisch",IF(AA97&gt;=P_Grenze_hoch,"hoch",IF(AA97&gt;=P_Grenze_mittel,"mittel","gering"))))</f>
        <v/>
      </c>
      <c r="AC97" s="68">
        <f>TRIM(IF(N(T97)&gt;=P_Krit,"AS ","")&amp;IF(N(S97)&gt;=P_Krit,"Q ","")&amp;IF(N(U97)&gt;=P_Krit,"US",""))</f>
        <v/>
      </c>
      <c r="AD97" s="102">
        <f>IF(ISNUMBER(R97),INDEX(IH_Text,R97),"")</f>
        <v/>
      </c>
      <c r="AE97" s="108" t="n"/>
      <c r="AF97" s="68" t="n"/>
      <c r="AG97" s="110" t="inlineStr">
        <is>
          <t>Schaltschrank</t>
        </is>
      </c>
      <c r="AH97" s="110" t="inlineStr">
        <is>
          <t>Maßnahme</t>
        </is>
      </c>
      <c r="AI97" s="68">
        <f>IF(H97="","",IFERROR(INDEX(Iv_Anzahl,MATCH(H97,Iv_Name,0)),IFERROR(VALUE(LEFT(TRIM(SUBSTITUTE(LOWER(H97),"alle ","")),FIND(" ",TRIM(SUBSTITUTE(LOWER(H97),"alle ",""))&amp;" ")-1)),"")))</f>
        <v/>
      </c>
      <c r="AJ97" s="68">
        <f>IF(H97="","",IFERROR(INDEX(Iv_Einheit,MATCH(H97,Iv_Name,0)),IF(ISNUMBER(SEARCH("jahr",H97)),"Jahre",IF(ISNUMBER(SEARCH("monat",H97)),"Monate",IF(ISNUMBER(SEARCH("woche",H97)),"Wochen",IF(ISNUMBER(SEARCH("tag",H97)),"Tage",""))))))</f>
        <v/>
      </c>
      <c r="AK97" s="107">
        <f>IF(AND(ISNUMBER(AI97),AJ97&lt;&gt;""),IF(AI97&gt;0,AI97*IF(AJ97="Tage",1,IF(AJ97="Wochen",7,IF(AJ97="Monate",365/12,365))),""),"")</f>
        <v/>
      </c>
      <c r="AL97" s="111">
        <f>IF(ISNUMBER(AK97),365/AK97,"")</f>
        <v/>
      </c>
      <c r="AM97" s="111">
        <f>IF(AND(ISNUMBER(AL97),ISNUMBER(AE97)),AL97*AE97/60,"")</f>
        <v/>
      </c>
      <c r="AN97" s="102">
        <f>IF(ISNUMBER(AA97),AA97-ROW()/100000,"")</f>
        <v/>
      </c>
      <c r="AO97" s="102">
        <f>IF(OR(L97="überfällig",L97="fällig"),J97+ROW()/100000,"")</f>
        <v/>
      </c>
      <c r="AP97" s="112" t="inlineStr">
        <is>
          <t>14.4</t>
        </is>
      </c>
      <c r="AQ97" s="113" t="inlineStr">
        <is>
          <t>Sichtkontrolle der elek. Komponenten</t>
        </is>
      </c>
    </row>
    <row r="98" ht="19" customHeight="1">
      <c r="A98" s="101" t="inlineStr">
        <is>
          <t>14.5</t>
        </is>
      </c>
      <c r="B98" s="102" t="inlineStr">
        <is>
          <t>Lüfter auf Funktion prüfen</t>
        </is>
      </c>
      <c r="C98" s="103" t="inlineStr">
        <is>
          <t>Funktionsprüfung</t>
        </is>
      </c>
      <c r="D98" s="102" t="n"/>
      <c r="E98" s="114" t="inlineStr">
        <is>
          <t>Lüfter läuft</t>
        </is>
      </c>
      <c r="F98" s="102" t="n"/>
      <c r="G98" s="68">
        <f>IF(AB98="unvollständig","Bewertung fehlt",INDEX(Kl_Intervall,MATCH(AB98,Kl_Name,0)))</f>
        <v/>
      </c>
      <c r="H98" s="8">
        <f>IF(G98="Bewertung fehlt","",G98)</f>
        <v/>
      </c>
      <c r="I98" s="105" t="n"/>
      <c r="J98" s="106">
        <f>IF(OR(I98="",NOT(ISNUMBER(AK98))),"",IF(AJ98="Tage",I98+AI98,IF(AJ98="Wochen",I98+7*AI98,EDATE(I98,ROUND(AI98*IF(AJ98="Jahre",12,1),0)))))</f>
        <v/>
      </c>
      <c r="K98" s="107">
        <f>IF(J98="","",J98-TODAY())</f>
        <v/>
      </c>
      <c r="L98" s="57">
        <f>IF(H98="","Intervall fehlt",IF(NOT(ISNUMBER(AK98)),"Intervall prüfen",IF(I98="","nicht erfasst",IF(K98&lt;0,"überfällig",IF(K98&lt;=MIN(P_Vorwarn,ROUND(AK98/4,0)),"fällig","in Ordnung")))))</f>
        <v/>
      </c>
      <c r="M98" s="103" t="n"/>
      <c r="N98" s="103" t="n"/>
      <c r="O98" s="108" t="n"/>
      <c r="P98" s="103" t="n"/>
      <c r="Q98" s="120">
        <f>Q92</f>
        <v/>
      </c>
      <c r="R98" s="120">
        <f>R92</f>
        <v/>
      </c>
      <c r="S98" s="120">
        <f>S92</f>
        <v/>
      </c>
      <c r="T98" s="120">
        <f>T92</f>
        <v/>
      </c>
      <c r="U98" s="120">
        <f>U92</f>
        <v/>
      </c>
      <c r="V98" s="120">
        <f>V92</f>
        <v/>
      </c>
      <c r="W98" s="120">
        <f>W92</f>
        <v/>
      </c>
      <c r="X98" s="120">
        <f>X92</f>
        <v/>
      </c>
      <c r="Y98" s="109">
        <f>P_SF</f>
        <v/>
      </c>
      <c r="Z98" s="109">
        <f>IF(COUNT(Q98:V98)=6,SQRT(SUMSQ(Q98:V98))/2,"")</f>
        <v/>
      </c>
      <c r="AA98" s="80">
        <f>IF(COUNT(W98:Z98)=4,Z98*W98*X98*Y98,"")</f>
        <v/>
      </c>
      <c r="AB98" s="68">
        <f>IF(AA98="","unvollständig",IF(AA98&gt;P_Grenze_kritisch,"kritisch",IF(AA98&gt;=P_Grenze_hoch,"hoch",IF(AA98&gt;=P_Grenze_mittel,"mittel","gering"))))</f>
        <v/>
      </c>
      <c r="AC98" s="68">
        <f>TRIM(IF(N(T98)&gt;=P_Krit,"AS ","")&amp;IF(N(S98)&gt;=P_Krit,"Q ","")&amp;IF(N(U98)&gt;=P_Krit,"US",""))</f>
        <v/>
      </c>
      <c r="AD98" s="102">
        <f>IF(ISNUMBER(R98),INDEX(IH_Text,R98),"")</f>
        <v/>
      </c>
      <c r="AE98" s="108" t="n"/>
      <c r="AF98" s="68" t="inlineStr">
        <is>
          <t>13.1</t>
        </is>
      </c>
      <c r="AG98" s="110" t="inlineStr">
        <is>
          <t>Schaltschrank</t>
        </is>
      </c>
      <c r="AH98" s="110" t="inlineStr">
        <is>
          <t>Maßnahme</t>
        </is>
      </c>
      <c r="AI98" s="68">
        <f>IF(H98="","",IFERROR(INDEX(Iv_Anzahl,MATCH(H98,Iv_Name,0)),IFERROR(VALUE(LEFT(TRIM(SUBSTITUTE(LOWER(H98),"alle ","")),FIND(" ",TRIM(SUBSTITUTE(LOWER(H98),"alle ",""))&amp;" ")-1)),"")))</f>
        <v/>
      </c>
      <c r="AJ98" s="68">
        <f>IF(H98="","",IFERROR(INDEX(Iv_Einheit,MATCH(H98,Iv_Name,0)),IF(ISNUMBER(SEARCH("jahr",H98)),"Jahre",IF(ISNUMBER(SEARCH("monat",H98)),"Monate",IF(ISNUMBER(SEARCH("woche",H98)),"Wochen",IF(ISNUMBER(SEARCH("tag",H98)),"Tage",""))))))</f>
        <v/>
      </c>
      <c r="AK98" s="107">
        <f>IF(AND(ISNUMBER(AI98),AJ98&lt;&gt;""),IF(AI98&gt;0,AI98*IF(AJ98="Tage",1,IF(AJ98="Wochen",7,IF(AJ98="Monate",365/12,365))),""),"")</f>
        <v/>
      </c>
      <c r="AL98" s="111">
        <f>IF(ISNUMBER(AK98),365/AK98,"")</f>
        <v/>
      </c>
      <c r="AM98" s="111">
        <f>IF(AND(ISNUMBER(AL98),ISNUMBER(AE98)),AL98*AE98/60,"")</f>
        <v/>
      </c>
      <c r="AN98" s="102">
        <f>IF(ISNUMBER(AA98),AA98-ROW()/100000,"")</f>
        <v/>
      </c>
      <c r="AO98" s="102">
        <f>IF(OR(L98="überfällig",L98="fällig"),J98+ROW()/100000,"")</f>
        <v/>
      </c>
      <c r="AP98" s="112" t="inlineStr">
        <is>
          <t>14.5</t>
        </is>
      </c>
      <c r="AQ98" s="113" t="inlineStr">
        <is>
          <t>Prüfe Lüfter auf Funktion</t>
        </is>
      </c>
    </row>
    <row r="99" ht="20" customHeight="1">
      <c r="A99" s="96" t="inlineStr">
        <is>
          <t>15</t>
        </is>
      </c>
      <c r="B99" s="97" t="inlineStr">
        <is>
          <t>Ölkühler/Wasserkühler   (Pos. 24)</t>
        </is>
      </c>
      <c r="C99" s="97" t="n"/>
      <c r="D99" s="97" t="n"/>
      <c r="E99" s="97" t="n"/>
      <c r="F99" s="97" t="n"/>
      <c r="G99" s="97" t="n"/>
      <c r="H99" s="97" t="n"/>
      <c r="I99" s="97" t="n"/>
      <c r="J99" s="97" t="n"/>
      <c r="K99" s="97" t="n"/>
      <c r="L99" s="97" t="n"/>
      <c r="M99" s="97" t="n"/>
      <c r="N99" s="97" t="n"/>
      <c r="O99" s="97" t="n"/>
      <c r="P99" s="97" t="n"/>
      <c r="Q99" s="97" t="n"/>
      <c r="R99" s="97" t="n"/>
      <c r="S99" s="97" t="n"/>
      <c r="T99" s="97" t="n"/>
      <c r="U99" s="97" t="n"/>
      <c r="V99" s="97" t="n"/>
      <c r="W99" s="97" t="n"/>
      <c r="X99" s="97" t="n"/>
      <c r="Y99" s="97" t="n"/>
      <c r="Z99" s="97" t="n"/>
      <c r="AA99" s="97" t="n"/>
      <c r="AB99" s="97" t="n"/>
      <c r="AC99" s="97" t="n"/>
      <c r="AD99" s="97" t="n"/>
      <c r="AE99" s="97" t="n"/>
      <c r="AF99" s="97" t="n"/>
      <c r="AG99" s="98" t="inlineStr">
        <is>
          <t>Ölkühler/Wasserkühler</t>
        </is>
      </c>
      <c r="AH99" s="98" t="inlineStr">
        <is>
          <t>Baugruppe</t>
        </is>
      </c>
      <c r="AI99" s="97" t="n"/>
      <c r="AJ99" s="97" t="n"/>
      <c r="AK99" s="97" t="n"/>
      <c r="AL99" s="97" t="n"/>
      <c r="AM99" s="97" t="n"/>
      <c r="AN99" s="97" t="n"/>
      <c r="AO99" s="97" t="n"/>
      <c r="AP99" s="99" t="inlineStr">
        <is>
          <t>15</t>
        </is>
      </c>
      <c r="AQ99" s="100" t="inlineStr">
        <is>
          <t>24.) Ölkühler/Wasserkühler</t>
        </is>
      </c>
    </row>
    <row r="100" ht="32" customHeight="1">
      <c r="A100" s="101" t="inlineStr">
        <is>
          <t>15.1</t>
        </is>
      </c>
      <c r="B100" s="102" t="inlineStr">
        <is>
          <t>Filtermatten tauschen</t>
        </is>
      </c>
      <c r="C100" s="103" t="inlineStr">
        <is>
          <t>Austausch</t>
        </is>
      </c>
      <c r="D100" s="104" t="inlineStr">
        <is>
          <t>ℹ Hinweis beachten</t>
        </is>
      </c>
      <c r="E100" s="114" t="inlineStr">
        <is>
          <t>Neue Filtermatten eingesetzt</t>
        </is>
      </c>
      <c r="F100" s="102" t="n"/>
      <c r="G100" s="68">
        <f>IF(AB100="unvollständig","Bewertung fehlt",INDEX(Kl_Intervall,MATCH(AB100,Kl_Name,0)))</f>
        <v/>
      </c>
      <c r="H100" s="8">
        <f>IF(G100="Bewertung fehlt","",G100)</f>
        <v/>
      </c>
      <c r="I100" s="105" t="n"/>
      <c r="J100" s="106">
        <f>IF(OR(I100="",NOT(ISNUMBER(AK100))),"",IF(AJ100="Tage",I100+AI100,IF(AJ100="Wochen",I100+7*AI100,EDATE(I100,ROUND(AI100*IF(AJ100="Jahre",12,1),0)))))</f>
        <v/>
      </c>
      <c r="K100" s="107">
        <f>IF(J100="","",J100-TODAY())</f>
        <v/>
      </c>
      <c r="L100" s="57">
        <f>IF(H100="","Intervall fehlt",IF(NOT(ISNUMBER(AK100)),"Intervall prüfen",IF(I100="","nicht erfasst",IF(K100&lt;0,"überfällig",IF(K100&lt;=MIN(P_Vorwarn,ROUND(AK100/4,0)),"fällig","in Ordnung")))))</f>
        <v/>
      </c>
      <c r="M100" s="103" t="n"/>
      <c r="N100" s="103" t="n"/>
      <c r="O100" s="108" t="n"/>
      <c r="P100" s="103" t="n"/>
      <c r="Q100" s="108" t="n">
        <v>4</v>
      </c>
      <c r="R100" s="108" t="n">
        <v>3</v>
      </c>
      <c r="S100" s="108" t="n">
        <v>4</v>
      </c>
      <c r="T100" s="108" t="n">
        <v>3</v>
      </c>
      <c r="U100" s="108" t="n">
        <v>4</v>
      </c>
      <c r="V100" s="108" t="n">
        <v>4</v>
      </c>
      <c r="W100" s="108" t="n">
        <v>5</v>
      </c>
      <c r="X100" s="108" t="n">
        <v>3</v>
      </c>
      <c r="Y100" s="109">
        <f>P_SF</f>
        <v/>
      </c>
      <c r="Z100" s="109">
        <f>IF(COUNT(Q100:V100)=6,SQRT(SUMSQ(Q100:V100))/2,"")</f>
        <v/>
      </c>
      <c r="AA100" s="80">
        <f>IF(COUNT(W100:Z100)=4,Z100*W100*X100*Y100,"")</f>
        <v/>
      </c>
      <c r="AB100" s="68">
        <f>IF(AA100="","unvollständig",IF(AA100&gt;P_Grenze_kritisch,"kritisch",IF(AA100&gt;=P_Grenze_hoch,"hoch",IF(AA100&gt;=P_Grenze_mittel,"mittel","gering"))))</f>
        <v/>
      </c>
      <c r="AC100" s="68">
        <f>TRIM(IF(N(T100)&gt;=P_Krit,"AS ","")&amp;IF(N(S100)&gt;=P_Krit,"Q ","")&amp;IF(N(U100)&gt;=P_Krit,"US",""))</f>
        <v/>
      </c>
      <c r="AD100" s="102">
        <f>IF(ISNUMBER(R100),INDEX(IH_Text,R100),"")</f>
        <v/>
      </c>
      <c r="AE100" s="108" t="n"/>
      <c r="AF100" s="68" t="n"/>
      <c r="AG100" s="110" t="inlineStr">
        <is>
          <t>Ölkühler/Wasserkühler</t>
        </is>
      </c>
      <c r="AH100" s="110" t="inlineStr">
        <is>
          <t>Maßnahme</t>
        </is>
      </c>
      <c r="AI100" s="68">
        <f>IF(H100="","",IFERROR(INDEX(Iv_Anzahl,MATCH(H100,Iv_Name,0)),IFERROR(VALUE(LEFT(TRIM(SUBSTITUTE(LOWER(H100),"alle ","")),FIND(" ",TRIM(SUBSTITUTE(LOWER(H100),"alle ",""))&amp;" ")-1)),"")))</f>
        <v/>
      </c>
      <c r="AJ100" s="68">
        <f>IF(H100="","",IFERROR(INDEX(Iv_Einheit,MATCH(H100,Iv_Name,0)),IF(ISNUMBER(SEARCH("jahr",H100)),"Jahre",IF(ISNUMBER(SEARCH("monat",H100)),"Monate",IF(ISNUMBER(SEARCH("woche",H100)),"Wochen",IF(ISNUMBER(SEARCH("tag",H100)),"Tage",""))))))</f>
        <v/>
      </c>
      <c r="AK100" s="107">
        <f>IF(AND(ISNUMBER(AI100),AJ100&lt;&gt;""),IF(AI100&gt;0,AI100*IF(AJ100="Tage",1,IF(AJ100="Wochen",7,IF(AJ100="Monate",365/12,365))),""),"")</f>
        <v/>
      </c>
      <c r="AL100" s="111">
        <f>IF(ISNUMBER(AK100),365/AK100,"")</f>
        <v/>
      </c>
      <c r="AM100" s="111">
        <f>IF(AND(ISNUMBER(AL100),ISNUMBER(AE100)),AL100*AE100/60,"")</f>
        <v/>
      </c>
      <c r="AN100" s="102">
        <f>IF(ISNUMBER(AA100),AA100-ROW()/100000,"")</f>
        <v/>
      </c>
      <c r="AO100" s="102">
        <f>IF(OR(L100="überfällig",L100="fällig"),J100+ROW()/100000,"")</f>
        <v/>
      </c>
      <c r="AP100" s="112" t="inlineStr">
        <is>
          <t>15.1</t>
        </is>
      </c>
      <c r="AQ100" s="113" t="inlineStr">
        <is>
          <t>tausche Filtermatten</t>
        </is>
      </c>
    </row>
    <row r="101" ht="32" customHeight="1">
      <c r="A101" s="101" t="inlineStr">
        <is>
          <t>15.2</t>
        </is>
      </c>
      <c r="B101" s="102" t="inlineStr">
        <is>
          <t>Lager der Kühlmittelpumpe auf Laufgeräusche prüfen</t>
        </is>
      </c>
      <c r="C101" s="103" t="inlineStr">
        <is>
          <t>Inspektion</t>
        </is>
      </c>
      <c r="D101" s="102" t="n"/>
      <c r="E101" s="114" t="inlineStr">
        <is>
          <t>Keine auffälligen Laufgeräusche</t>
        </is>
      </c>
      <c r="F101" s="102" t="n"/>
      <c r="G101" s="68">
        <f>IF(AB101="unvollständig","Bewertung fehlt",INDEX(Kl_Intervall,MATCH(AB101,Kl_Name,0)))</f>
        <v/>
      </c>
      <c r="H101" s="8">
        <f>IF(G101="Bewertung fehlt","",G101)</f>
        <v/>
      </c>
      <c r="I101" s="105" t="n"/>
      <c r="J101" s="106">
        <f>IF(OR(I101="",NOT(ISNUMBER(AK101))),"",IF(AJ101="Tage",I101+AI101,IF(AJ101="Wochen",I101+7*AI101,EDATE(I101,ROUND(AI101*IF(AJ101="Jahre",12,1),0)))))</f>
        <v/>
      </c>
      <c r="K101" s="107">
        <f>IF(J101="","",J101-TODAY())</f>
        <v/>
      </c>
      <c r="L101" s="57">
        <f>IF(H101="","Intervall fehlt",IF(NOT(ISNUMBER(AK101)),"Intervall prüfen",IF(I101="","nicht erfasst",IF(K101&lt;0,"überfällig",IF(K101&lt;=MIN(P_Vorwarn,ROUND(AK101/4,0)),"fällig","in Ordnung")))))</f>
        <v/>
      </c>
      <c r="M101" s="103" t="n"/>
      <c r="N101" s="103" t="n"/>
      <c r="O101" s="108" t="n"/>
      <c r="P101" s="103" t="n"/>
      <c r="Q101" s="108" t="n">
        <v>3</v>
      </c>
      <c r="R101" s="108" t="n">
        <v>2</v>
      </c>
      <c r="S101" s="108" t="n">
        <v>2</v>
      </c>
      <c r="T101" s="108" t="n">
        <v>2</v>
      </c>
      <c r="U101" s="108" t="n">
        <v>2</v>
      </c>
      <c r="V101" s="108" t="n">
        <v>3</v>
      </c>
      <c r="W101" s="108" t="n">
        <v>1</v>
      </c>
      <c r="X101" s="108" t="n">
        <v>3</v>
      </c>
      <c r="Y101" s="109">
        <f>P_SF</f>
        <v/>
      </c>
      <c r="Z101" s="109">
        <f>IF(COUNT(Q101:V101)=6,SQRT(SUMSQ(Q101:V101))/2,"")</f>
        <v/>
      </c>
      <c r="AA101" s="80">
        <f>IF(COUNT(W101:Z101)=4,Z101*W101*X101*Y101,"")</f>
        <v/>
      </c>
      <c r="AB101" s="68">
        <f>IF(AA101="","unvollständig",IF(AA101&gt;P_Grenze_kritisch,"kritisch",IF(AA101&gt;=P_Grenze_hoch,"hoch",IF(AA101&gt;=P_Grenze_mittel,"mittel","gering"))))</f>
        <v/>
      </c>
      <c r="AC101" s="68">
        <f>TRIM(IF(N(T101)&gt;=P_Krit,"AS ","")&amp;IF(N(S101)&gt;=P_Krit,"Q ","")&amp;IF(N(U101)&gt;=P_Krit,"US",""))</f>
        <v/>
      </c>
      <c r="AD101" s="102">
        <f>IF(ISNUMBER(R101),INDEX(IH_Text,R101),"")</f>
        <v/>
      </c>
      <c r="AE101" s="108" t="n"/>
      <c r="AF101" s="68" t="n"/>
      <c r="AG101" s="110" t="inlineStr">
        <is>
          <t>Ölkühler/Wasserkühler</t>
        </is>
      </c>
      <c r="AH101" s="110" t="inlineStr">
        <is>
          <t>Maßnahme</t>
        </is>
      </c>
      <c r="AI101" s="68">
        <f>IF(H101="","",IFERROR(INDEX(Iv_Anzahl,MATCH(H101,Iv_Name,0)),IFERROR(VALUE(LEFT(TRIM(SUBSTITUTE(LOWER(H101),"alle ","")),FIND(" ",TRIM(SUBSTITUTE(LOWER(H101),"alle ",""))&amp;" ")-1)),"")))</f>
        <v/>
      </c>
      <c r="AJ101" s="68">
        <f>IF(H101="","",IFERROR(INDEX(Iv_Einheit,MATCH(H101,Iv_Name,0)),IF(ISNUMBER(SEARCH("jahr",H101)),"Jahre",IF(ISNUMBER(SEARCH("monat",H101)),"Monate",IF(ISNUMBER(SEARCH("woche",H101)),"Wochen",IF(ISNUMBER(SEARCH("tag",H101)),"Tage",""))))))</f>
        <v/>
      </c>
      <c r="AK101" s="107">
        <f>IF(AND(ISNUMBER(AI101),AJ101&lt;&gt;""),IF(AI101&gt;0,AI101*IF(AJ101="Tage",1,IF(AJ101="Wochen",7,IF(AJ101="Monate",365/12,365))),""),"")</f>
        <v/>
      </c>
      <c r="AL101" s="111">
        <f>IF(ISNUMBER(AK101),365/AK101,"")</f>
        <v/>
      </c>
      <c r="AM101" s="111">
        <f>IF(AND(ISNUMBER(AL101),ISNUMBER(AE101)),AL101*AE101/60,"")</f>
        <v/>
      </c>
      <c r="AN101" s="102">
        <f>IF(ISNUMBER(AA101),AA101-ROW()/100000,"")</f>
        <v/>
      </c>
      <c r="AO101" s="102">
        <f>IF(OR(L101="überfällig",L101="fällig"),J101+ROW()/100000,"")</f>
        <v/>
      </c>
      <c r="AP101" s="112" t="inlineStr">
        <is>
          <t>15.2</t>
        </is>
      </c>
      <c r="AQ101" s="113" t="inlineStr">
        <is>
          <t>Lager vom Kühlmittelpumpe auf Laufgeräusche überprüfen</t>
        </is>
      </c>
    </row>
    <row r="102" ht="20" customHeight="1">
      <c r="A102" s="96" t="inlineStr">
        <is>
          <t>16</t>
        </is>
      </c>
      <c r="B102" s="97" t="inlineStr">
        <is>
          <t>Hydraulikaggregat   (Pos. 25)</t>
        </is>
      </c>
      <c r="C102" s="97" t="n"/>
      <c r="D102" s="97" t="n"/>
      <c r="E102" s="97" t="n"/>
      <c r="F102" s="97" t="n"/>
      <c r="G102" s="97" t="n"/>
      <c r="H102" s="97" t="n"/>
      <c r="I102" s="97" t="n"/>
      <c r="J102" s="97" t="n"/>
      <c r="K102" s="97" t="n"/>
      <c r="L102" s="97" t="n"/>
      <c r="M102" s="97" t="n"/>
      <c r="N102" s="97" t="n"/>
      <c r="O102" s="97" t="n"/>
      <c r="P102" s="97" t="n"/>
      <c r="Q102" s="97" t="n"/>
      <c r="R102" s="97" t="n"/>
      <c r="S102" s="97" t="n"/>
      <c r="T102" s="97" t="n"/>
      <c r="U102" s="97" t="n"/>
      <c r="V102" s="97" t="n"/>
      <c r="W102" s="97" t="n"/>
      <c r="X102" s="97" t="n"/>
      <c r="Y102" s="97" t="n"/>
      <c r="Z102" s="97" t="n"/>
      <c r="AA102" s="97" t="n"/>
      <c r="AB102" s="97" t="n"/>
      <c r="AC102" s="97" t="n"/>
      <c r="AD102" s="97" t="n"/>
      <c r="AE102" s="97" t="n"/>
      <c r="AF102" s="97" t="n"/>
      <c r="AG102" s="98" t="inlineStr">
        <is>
          <t>Hydraulikaggregat</t>
        </is>
      </c>
      <c r="AH102" s="98" t="inlineStr">
        <is>
          <t>Baugruppe</t>
        </is>
      </c>
      <c r="AI102" s="97" t="n"/>
      <c r="AJ102" s="97" t="n"/>
      <c r="AK102" s="97" t="n"/>
      <c r="AL102" s="97" t="n"/>
      <c r="AM102" s="97" t="n"/>
      <c r="AN102" s="97" t="n"/>
      <c r="AO102" s="97" t="n"/>
      <c r="AP102" s="99" t="inlineStr">
        <is>
          <t>16</t>
        </is>
      </c>
      <c r="AQ102" s="100" t="inlineStr">
        <is>
          <t>25.) Hydraulikaggregat</t>
        </is>
      </c>
    </row>
    <row r="103" ht="32" customHeight="1">
      <c r="A103" s="101" t="inlineStr">
        <is>
          <t>16.1</t>
        </is>
      </c>
      <c r="B103" s="102" t="inlineStr">
        <is>
          <t>Ölstand und Ölzustand prüfen (Farbe, Verunreinigung), ggf. nachfüllen</t>
        </is>
      </c>
      <c r="C103" s="103" t="inlineStr">
        <is>
          <t>Inspektion</t>
        </is>
      </c>
      <c r="D103" s="104" t="inlineStr">
        <is>
          <t>ℹ Hinweis beachten</t>
        </is>
      </c>
      <c r="E103" s="114" t="inlineStr">
        <is>
          <t>Ölstand zwischen Min./Max.; Öl klar</t>
        </is>
      </c>
      <c r="F103" s="102" t="n"/>
      <c r="G103" s="68">
        <f>IF(AB103="unvollständig","Bewertung fehlt",INDEX(Kl_Intervall,MATCH(AB103,Kl_Name,0)))</f>
        <v/>
      </c>
      <c r="H103" s="8">
        <f>IF(G103="Bewertung fehlt","",G103)</f>
        <v/>
      </c>
      <c r="I103" s="105" t="n"/>
      <c r="J103" s="106">
        <f>IF(OR(I103="",NOT(ISNUMBER(AK103))),"",IF(AJ103="Tage",I103+AI103,IF(AJ103="Wochen",I103+7*AI103,EDATE(I103,ROUND(AI103*IF(AJ103="Jahre",12,1),0)))))</f>
        <v/>
      </c>
      <c r="K103" s="107">
        <f>IF(J103="","",J103-TODAY())</f>
        <v/>
      </c>
      <c r="L103" s="57">
        <f>IF(H103="","Intervall fehlt",IF(NOT(ISNUMBER(AK103)),"Intervall prüfen",IF(I103="","nicht erfasst",IF(K103&lt;0,"überfällig",IF(K103&lt;=MIN(P_Vorwarn,ROUND(AK103/4,0)),"fällig","in Ordnung")))))</f>
        <v/>
      </c>
      <c r="M103" s="103" t="n"/>
      <c r="N103" s="103" t="n"/>
      <c r="O103" s="108" t="n"/>
      <c r="P103" s="103" t="n"/>
      <c r="Q103" s="108" t="n">
        <v>3</v>
      </c>
      <c r="R103" s="108" t="n">
        <v>3</v>
      </c>
      <c r="S103" s="108" t="n">
        <v>1</v>
      </c>
      <c r="T103" s="108" t="n">
        <v>1</v>
      </c>
      <c r="U103" s="108" t="n">
        <v>4</v>
      </c>
      <c r="V103" s="108" t="n">
        <v>4</v>
      </c>
      <c r="W103" s="108" t="n">
        <v>2</v>
      </c>
      <c r="X103" s="108" t="n">
        <v>3</v>
      </c>
      <c r="Y103" s="109">
        <f>P_SF</f>
        <v/>
      </c>
      <c r="Z103" s="109">
        <f>IF(COUNT(Q103:V103)=6,SQRT(SUMSQ(Q103:V103))/2,"")</f>
        <v/>
      </c>
      <c r="AA103" s="80">
        <f>IF(COUNT(W103:Z103)=4,Z103*W103*X103*Y103,"")</f>
        <v/>
      </c>
      <c r="AB103" s="68">
        <f>IF(AA103="","unvollständig",IF(AA103&gt;P_Grenze_kritisch,"kritisch",IF(AA103&gt;=P_Grenze_hoch,"hoch",IF(AA103&gt;=P_Grenze_mittel,"mittel","gering"))))</f>
        <v/>
      </c>
      <c r="AC103" s="68">
        <f>TRIM(IF(N(T103)&gt;=P_Krit,"AS ","")&amp;IF(N(S103)&gt;=P_Krit,"Q ","")&amp;IF(N(U103)&gt;=P_Krit,"US",""))</f>
        <v/>
      </c>
      <c r="AD103" s="102">
        <f>IF(ISNUMBER(R103),INDEX(IH_Text,R103),"")</f>
        <v/>
      </c>
      <c r="AE103" s="108" t="n"/>
      <c r="AF103" s="68" t="n"/>
      <c r="AG103" s="110" t="inlineStr">
        <is>
          <t>Hydraulikaggregat</t>
        </is>
      </c>
      <c r="AH103" s="110" t="inlineStr">
        <is>
          <t>Maßnahme</t>
        </is>
      </c>
      <c r="AI103" s="68">
        <f>IF(H103="","",IFERROR(INDEX(Iv_Anzahl,MATCH(H103,Iv_Name,0)),IFERROR(VALUE(LEFT(TRIM(SUBSTITUTE(LOWER(H103),"alle ","")),FIND(" ",TRIM(SUBSTITUTE(LOWER(H103),"alle ",""))&amp;" ")-1)),"")))</f>
        <v/>
      </c>
      <c r="AJ103" s="68">
        <f>IF(H103="","",IFERROR(INDEX(Iv_Einheit,MATCH(H103,Iv_Name,0)),IF(ISNUMBER(SEARCH("jahr",H103)),"Jahre",IF(ISNUMBER(SEARCH("monat",H103)),"Monate",IF(ISNUMBER(SEARCH("woche",H103)),"Wochen",IF(ISNUMBER(SEARCH("tag",H103)),"Tage",""))))))</f>
        <v/>
      </c>
      <c r="AK103" s="107">
        <f>IF(AND(ISNUMBER(AI103),AJ103&lt;&gt;""),IF(AI103&gt;0,AI103*IF(AJ103="Tage",1,IF(AJ103="Wochen",7,IF(AJ103="Monate",365/12,365))),""),"")</f>
        <v/>
      </c>
      <c r="AL103" s="111">
        <f>IF(ISNUMBER(AK103),365/AK103,"")</f>
        <v/>
      </c>
      <c r="AM103" s="111">
        <f>IF(AND(ISNUMBER(AL103),ISNUMBER(AE103)),AL103*AE103/60,"")</f>
        <v/>
      </c>
      <c r="AN103" s="102">
        <f>IF(ISNUMBER(AA103),AA103-ROW()/100000,"")</f>
        <v/>
      </c>
      <c r="AO103" s="102">
        <f>IF(OR(L103="überfällig",L103="fällig"),J103+ROW()/100000,"")</f>
        <v/>
      </c>
      <c r="AP103" s="112" t="inlineStr">
        <is>
          <t>16.1</t>
        </is>
      </c>
      <c r="AQ103" s="113" t="inlineStr">
        <is>
          <t>Prüfe Ölstand und Zustand (Farbe, Verunreinigung) ggf. nachfüllen</t>
        </is>
      </c>
    </row>
    <row r="104" ht="45" customHeight="1">
      <c r="A104" s="101" t="inlineStr">
        <is>
          <t>16.2</t>
        </is>
      </c>
      <c r="B104" s="102" t="inlineStr">
        <is>
          <t>Öltemperatur messen</t>
        </is>
      </c>
      <c r="C104" s="103" t="inlineStr">
        <is>
          <t>Messung</t>
        </is>
      </c>
      <c r="D104" s="102" t="inlineStr">
        <is>
          <r>
            <rPr>
              <rFont val="Arial"/>
              <b val="1"/>
              <color rgb="00C00000"/>
              <sz val="8"/>
            </rPr>
            <t xml:space="preserve">ℹ Hinweis beachten
</t>
          </r>
          <r>
            <rPr>
              <rFont val="Arial"/>
              <sz val="9"/>
            </rPr>
            <t>Lasertemperatur-Messgerät</t>
          </r>
        </is>
      </c>
      <c r="E104" s="102" t="inlineStr">
        <is>
          <t>Öltemperatur &lt; 75 °C</t>
        </is>
      </c>
      <c r="F104" s="102" t="n"/>
      <c r="G104" s="68">
        <f>IF(AB104="unvollständig","Bewertung fehlt",INDEX(Kl_Intervall,MATCH(AB104,Kl_Name,0)))</f>
        <v/>
      </c>
      <c r="H104" s="8">
        <f>IF(G104="Bewertung fehlt","",G104)</f>
        <v/>
      </c>
      <c r="I104" s="105" t="n"/>
      <c r="J104" s="106">
        <f>IF(OR(I104="",NOT(ISNUMBER(AK104))),"",IF(AJ104="Tage",I104+AI104,IF(AJ104="Wochen",I104+7*AI104,EDATE(I104,ROUND(AI104*IF(AJ104="Jahre",12,1),0)))))</f>
        <v/>
      </c>
      <c r="K104" s="107">
        <f>IF(J104="","",J104-TODAY())</f>
        <v/>
      </c>
      <c r="L104" s="57">
        <f>IF(H104="","Intervall fehlt",IF(NOT(ISNUMBER(AK104)),"Intervall prüfen",IF(I104="","nicht erfasst",IF(K104&lt;0,"überfällig",IF(K104&lt;=MIN(P_Vorwarn,ROUND(AK104/4,0)),"fällig","in Ordnung")))))</f>
        <v/>
      </c>
      <c r="M104" s="103" t="n"/>
      <c r="N104" s="103" t="n"/>
      <c r="O104" s="108" t="n"/>
      <c r="P104" s="103" t="n"/>
      <c r="Q104" s="108" t="n">
        <v>3</v>
      </c>
      <c r="R104" s="108" t="n">
        <v>3</v>
      </c>
      <c r="S104" s="108" t="n">
        <v>1</v>
      </c>
      <c r="T104" s="108" t="n">
        <v>3</v>
      </c>
      <c r="U104" s="108" t="n">
        <v>3</v>
      </c>
      <c r="V104" s="108" t="n">
        <v>4</v>
      </c>
      <c r="W104" s="108" t="n">
        <v>2</v>
      </c>
      <c r="X104" s="108" t="n">
        <v>2</v>
      </c>
      <c r="Y104" s="109">
        <f>P_SF</f>
        <v/>
      </c>
      <c r="Z104" s="109">
        <f>IF(COUNT(Q104:V104)=6,SQRT(SUMSQ(Q104:V104))/2,"")</f>
        <v/>
      </c>
      <c r="AA104" s="80">
        <f>IF(COUNT(W104:Z104)=4,Z104*W104*X104*Y104,"")</f>
        <v/>
      </c>
      <c r="AB104" s="68">
        <f>IF(AA104="","unvollständig",IF(AA104&gt;P_Grenze_kritisch,"kritisch",IF(AA104&gt;=P_Grenze_hoch,"hoch",IF(AA104&gt;=P_Grenze_mittel,"mittel","gering"))))</f>
        <v/>
      </c>
      <c r="AC104" s="68">
        <f>TRIM(IF(N(T104)&gt;=P_Krit,"AS ","")&amp;IF(N(S104)&gt;=P_Krit,"Q ","")&amp;IF(N(U104)&gt;=P_Krit,"US",""))</f>
        <v/>
      </c>
      <c r="AD104" s="102">
        <f>IF(ISNUMBER(R104),INDEX(IH_Text,R104),"")</f>
        <v/>
      </c>
      <c r="AE104" s="108" t="n"/>
      <c r="AF104" s="68" t="n"/>
      <c r="AG104" s="110" t="inlineStr">
        <is>
          <t>Hydraulikaggregat</t>
        </is>
      </c>
      <c r="AH104" s="110" t="inlineStr">
        <is>
          <t>Maßnahme</t>
        </is>
      </c>
      <c r="AI104" s="68">
        <f>IF(H104="","",IFERROR(INDEX(Iv_Anzahl,MATCH(H104,Iv_Name,0)),IFERROR(VALUE(LEFT(TRIM(SUBSTITUTE(LOWER(H104),"alle ","")),FIND(" ",TRIM(SUBSTITUTE(LOWER(H104),"alle ",""))&amp;" ")-1)),"")))</f>
        <v/>
      </c>
      <c r="AJ104" s="68">
        <f>IF(H104="","",IFERROR(INDEX(Iv_Einheit,MATCH(H104,Iv_Name,0)),IF(ISNUMBER(SEARCH("jahr",H104)),"Jahre",IF(ISNUMBER(SEARCH("monat",H104)),"Monate",IF(ISNUMBER(SEARCH("woche",H104)),"Wochen",IF(ISNUMBER(SEARCH("tag",H104)),"Tage",""))))))</f>
        <v/>
      </c>
      <c r="AK104" s="107">
        <f>IF(AND(ISNUMBER(AI104),AJ104&lt;&gt;""),IF(AI104&gt;0,AI104*IF(AJ104="Tage",1,IF(AJ104="Wochen",7,IF(AJ104="Monate",365/12,365))),""),"")</f>
        <v/>
      </c>
      <c r="AL104" s="111">
        <f>IF(ISNUMBER(AK104),365/AK104,"")</f>
        <v/>
      </c>
      <c r="AM104" s="111">
        <f>IF(AND(ISNUMBER(AL104),ISNUMBER(AE104)),AL104*AE104/60,"")</f>
        <v/>
      </c>
      <c r="AN104" s="102">
        <f>IF(ISNUMBER(AA104),AA104-ROW()/100000,"")</f>
        <v/>
      </c>
      <c r="AO104" s="102">
        <f>IF(OR(L104="überfällig",L104="fällig"),J104+ROW()/100000,"")</f>
        <v/>
      </c>
      <c r="AP104" s="112" t="inlineStr">
        <is>
          <t>16.2</t>
        </is>
      </c>
      <c r="AQ104" s="113" t="inlineStr">
        <is>
          <t xml:space="preserve">Temperatur messen (Öl-Temperatur soll 75° nicht übersteigen) </t>
        </is>
      </c>
    </row>
    <row r="105" ht="32" customHeight="1">
      <c r="A105" s="101" t="inlineStr">
        <is>
          <t>16.3</t>
        </is>
      </c>
      <c r="B105" s="102" t="inlineStr">
        <is>
          <t>Hydraulikanschlüsse auf Dichtheit und Beschädigungen prüfen</t>
        </is>
      </c>
      <c r="C105" s="103" t="inlineStr">
        <is>
          <t>Inspektion</t>
        </is>
      </c>
      <c r="D105" s="102" t="n"/>
      <c r="E105" s="114" t="inlineStr">
        <is>
          <t>Dicht, unbeschädigt</t>
        </is>
      </c>
      <c r="F105" s="102" t="n"/>
      <c r="G105" s="68">
        <f>IF(AB105="unvollständig","Bewertung fehlt",INDEX(Kl_Intervall,MATCH(AB105,Kl_Name,0)))</f>
        <v/>
      </c>
      <c r="H105" s="8">
        <f>IF(G105="Bewertung fehlt","",G105)</f>
        <v/>
      </c>
      <c r="I105" s="105" t="n"/>
      <c r="J105" s="106">
        <f>IF(OR(I105="",NOT(ISNUMBER(AK105))),"",IF(AJ105="Tage",I105+AI105,IF(AJ105="Wochen",I105+7*AI105,EDATE(I105,ROUND(AI105*IF(AJ105="Jahre",12,1),0)))))</f>
        <v/>
      </c>
      <c r="K105" s="107">
        <f>IF(J105="","",J105-TODAY())</f>
        <v/>
      </c>
      <c r="L105" s="57">
        <f>IF(H105="","Intervall fehlt",IF(NOT(ISNUMBER(AK105)),"Intervall prüfen",IF(I105="","nicht erfasst",IF(K105&lt;0,"überfällig",IF(K105&lt;=MIN(P_Vorwarn,ROUND(AK105/4,0)),"fällig","in Ordnung")))))</f>
        <v/>
      </c>
      <c r="M105" s="103" t="n"/>
      <c r="N105" s="103" t="n"/>
      <c r="O105" s="108" t="n"/>
      <c r="P105" s="103" t="n"/>
      <c r="Q105" s="108" t="n">
        <v>3</v>
      </c>
      <c r="R105" s="108" t="n">
        <v>3</v>
      </c>
      <c r="S105" s="108" t="n">
        <v>2</v>
      </c>
      <c r="T105" s="108" t="n">
        <v>3</v>
      </c>
      <c r="U105" s="108" t="n">
        <v>4</v>
      </c>
      <c r="V105" s="108" t="n">
        <v>2</v>
      </c>
      <c r="W105" s="108" t="n">
        <v>2</v>
      </c>
      <c r="X105" s="108" t="n">
        <v>3</v>
      </c>
      <c r="Y105" s="109">
        <f>P_SF</f>
        <v/>
      </c>
      <c r="Z105" s="109">
        <f>IF(COUNT(Q105:V105)=6,SQRT(SUMSQ(Q105:V105))/2,"")</f>
        <v/>
      </c>
      <c r="AA105" s="80">
        <f>IF(COUNT(W105:Z105)=4,Z105*W105*X105*Y105,"")</f>
        <v/>
      </c>
      <c r="AB105" s="68">
        <f>IF(AA105="","unvollständig",IF(AA105&gt;P_Grenze_kritisch,"kritisch",IF(AA105&gt;=P_Grenze_hoch,"hoch",IF(AA105&gt;=P_Grenze_mittel,"mittel","gering"))))</f>
        <v/>
      </c>
      <c r="AC105" s="68">
        <f>TRIM(IF(N(T105)&gt;=P_Krit,"AS ","")&amp;IF(N(S105)&gt;=P_Krit,"Q ","")&amp;IF(N(U105)&gt;=P_Krit,"US",""))</f>
        <v/>
      </c>
      <c r="AD105" s="102">
        <f>IF(ISNUMBER(R105),INDEX(IH_Text,R105),"")</f>
        <v/>
      </c>
      <c r="AE105" s="108" t="n"/>
      <c r="AF105" s="68" t="n"/>
      <c r="AG105" s="110" t="inlineStr">
        <is>
          <t>Hydraulikaggregat</t>
        </is>
      </c>
      <c r="AH105" s="110" t="inlineStr">
        <is>
          <t>Maßnahme</t>
        </is>
      </c>
      <c r="AI105" s="68">
        <f>IF(H105="","",IFERROR(INDEX(Iv_Anzahl,MATCH(H105,Iv_Name,0)),IFERROR(VALUE(LEFT(TRIM(SUBSTITUTE(LOWER(H105),"alle ","")),FIND(" ",TRIM(SUBSTITUTE(LOWER(H105),"alle ",""))&amp;" ")-1)),"")))</f>
        <v/>
      </c>
      <c r="AJ105" s="68">
        <f>IF(H105="","",IFERROR(INDEX(Iv_Einheit,MATCH(H105,Iv_Name,0)),IF(ISNUMBER(SEARCH("jahr",H105)),"Jahre",IF(ISNUMBER(SEARCH("monat",H105)),"Monate",IF(ISNUMBER(SEARCH("woche",H105)),"Wochen",IF(ISNUMBER(SEARCH("tag",H105)),"Tage",""))))))</f>
        <v/>
      </c>
      <c r="AK105" s="107">
        <f>IF(AND(ISNUMBER(AI105),AJ105&lt;&gt;""),IF(AI105&gt;0,AI105*IF(AJ105="Tage",1,IF(AJ105="Wochen",7,IF(AJ105="Monate",365/12,365))),""),"")</f>
        <v/>
      </c>
      <c r="AL105" s="111">
        <f>IF(ISNUMBER(AK105),365/AK105,"")</f>
        <v/>
      </c>
      <c r="AM105" s="111">
        <f>IF(AND(ISNUMBER(AL105),ISNUMBER(AE105)),AL105*AE105/60,"")</f>
        <v/>
      </c>
      <c r="AN105" s="102">
        <f>IF(ISNUMBER(AA105),AA105-ROW()/100000,"")</f>
        <v/>
      </c>
      <c r="AO105" s="102">
        <f>IF(OR(L105="überfällig",L105="fällig"),J105+ROW()/100000,"")</f>
        <v/>
      </c>
      <c r="AP105" s="112" t="inlineStr">
        <is>
          <t>16.3</t>
        </is>
      </c>
      <c r="AQ105" s="113" t="inlineStr">
        <is>
          <t>Hydraulikanschlüsse auf Dichtheit und Beschädigungen prüfen</t>
        </is>
      </c>
    </row>
    <row r="106" ht="19" customHeight="1">
      <c r="A106" s="101" t="inlineStr">
        <is>
          <t>16.4</t>
        </is>
      </c>
      <c r="B106" s="102" t="inlineStr">
        <is>
          <t>Befestigung der Ventile prüfen</t>
        </is>
      </c>
      <c r="C106" s="103" t="inlineStr">
        <is>
          <t>Inspektion</t>
        </is>
      </c>
      <c r="D106" s="102" t="n"/>
      <c r="E106" s="114" t="inlineStr">
        <is>
          <t>Fest</t>
        </is>
      </c>
      <c r="F106" s="102" t="n"/>
      <c r="G106" s="68">
        <f>IF(AB106="unvollständig","Bewertung fehlt",INDEX(Kl_Intervall,MATCH(AB106,Kl_Name,0)))</f>
        <v/>
      </c>
      <c r="H106" s="8">
        <f>IF(G106="Bewertung fehlt","",G106)</f>
        <v/>
      </c>
      <c r="I106" s="105" t="n"/>
      <c r="J106" s="106">
        <f>IF(OR(I106="",NOT(ISNUMBER(AK106))),"",IF(AJ106="Tage",I106+AI106,IF(AJ106="Wochen",I106+7*AI106,EDATE(I106,ROUND(AI106*IF(AJ106="Jahre",12,1),0)))))</f>
        <v/>
      </c>
      <c r="K106" s="107">
        <f>IF(J106="","",J106-TODAY())</f>
        <v/>
      </c>
      <c r="L106" s="57">
        <f>IF(H106="","Intervall fehlt",IF(NOT(ISNUMBER(AK106)),"Intervall prüfen",IF(I106="","nicht erfasst",IF(K106&lt;0,"überfällig",IF(K106&lt;=MIN(P_Vorwarn,ROUND(AK106/4,0)),"fällig","in Ordnung")))))</f>
        <v/>
      </c>
      <c r="M106" s="103" t="n"/>
      <c r="N106" s="103" t="n"/>
      <c r="O106" s="108" t="n"/>
      <c r="P106" s="103" t="n"/>
      <c r="Q106" s="108" t="n">
        <v>2</v>
      </c>
      <c r="R106" s="108" t="n">
        <v>3</v>
      </c>
      <c r="S106" s="108" t="n">
        <v>3</v>
      </c>
      <c r="T106" s="108" t="n">
        <v>2</v>
      </c>
      <c r="U106" s="108" t="n">
        <v>3</v>
      </c>
      <c r="V106" s="108" t="n">
        <v>2</v>
      </c>
      <c r="W106" s="108" t="n">
        <v>2</v>
      </c>
      <c r="X106" s="108" t="n">
        <v>2</v>
      </c>
      <c r="Y106" s="109">
        <f>P_SF</f>
        <v/>
      </c>
      <c r="Z106" s="109">
        <f>IF(COUNT(Q106:V106)=6,SQRT(SUMSQ(Q106:V106))/2,"")</f>
        <v/>
      </c>
      <c r="AA106" s="80">
        <f>IF(COUNT(W106:Z106)=4,Z106*W106*X106*Y106,"")</f>
        <v/>
      </c>
      <c r="AB106" s="68">
        <f>IF(AA106="","unvollständig",IF(AA106&gt;P_Grenze_kritisch,"kritisch",IF(AA106&gt;=P_Grenze_hoch,"hoch",IF(AA106&gt;=P_Grenze_mittel,"mittel","gering"))))</f>
        <v/>
      </c>
      <c r="AC106" s="68">
        <f>TRIM(IF(N(T106)&gt;=P_Krit,"AS ","")&amp;IF(N(S106)&gt;=P_Krit,"Q ","")&amp;IF(N(U106)&gt;=P_Krit,"US",""))</f>
        <v/>
      </c>
      <c r="AD106" s="102">
        <f>IF(ISNUMBER(R106),INDEX(IH_Text,R106),"")</f>
        <v/>
      </c>
      <c r="AE106" s="108" t="n"/>
      <c r="AF106" s="68" t="n"/>
      <c r="AG106" s="110" t="inlineStr">
        <is>
          <t>Hydraulikaggregat</t>
        </is>
      </c>
      <c r="AH106" s="110" t="inlineStr">
        <is>
          <t>Maßnahme</t>
        </is>
      </c>
      <c r="AI106" s="68">
        <f>IF(H106="","",IFERROR(INDEX(Iv_Anzahl,MATCH(H106,Iv_Name,0)),IFERROR(VALUE(LEFT(TRIM(SUBSTITUTE(LOWER(H106),"alle ","")),FIND(" ",TRIM(SUBSTITUTE(LOWER(H106),"alle ",""))&amp;" ")-1)),"")))</f>
        <v/>
      </c>
      <c r="AJ106" s="68">
        <f>IF(H106="","",IFERROR(INDEX(Iv_Einheit,MATCH(H106,Iv_Name,0)),IF(ISNUMBER(SEARCH("jahr",H106)),"Jahre",IF(ISNUMBER(SEARCH("monat",H106)),"Monate",IF(ISNUMBER(SEARCH("woche",H106)),"Wochen",IF(ISNUMBER(SEARCH("tag",H106)),"Tage",""))))))</f>
        <v/>
      </c>
      <c r="AK106" s="107">
        <f>IF(AND(ISNUMBER(AI106),AJ106&lt;&gt;""),IF(AI106&gt;0,AI106*IF(AJ106="Tage",1,IF(AJ106="Wochen",7,IF(AJ106="Monate",365/12,365))),""),"")</f>
        <v/>
      </c>
      <c r="AL106" s="111">
        <f>IF(ISNUMBER(AK106),365/AK106,"")</f>
        <v/>
      </c>
      <c r="AM106" s="111">
        <f>IF(AND(ISNUMBER(AL106),ISNUMBER(AE106)),AL106*AE106/60,"")</f>
        <v/>
      </c>
      <c r="AN106" s="102">
        <f>IF(ISNUMBER(AA106),AA106-ROW()/100000,"")</f>
        <v/>
      </c>
      <c r="AO106" s="102">
        <f>IF(OR(L106="überfällig",L106="fällig"),J106+ROW()/100000,"")</f>
        <v/>
      </c>
      <c r="AP106" s="112" t="inlineStr">
        <is>
          <t>16.4</t>
        </is>
      </c>
      <c r="AQ106" s="113" t="inlineStr">
        <is>
          <t>Prüfe Befestigung der Ventile</t>
        </is>
      </c>
    </row>
    <row r="107" ht="32" customHeight="1">
      <c r="A107" s="101" t="inlineStr">
        <is>
          <t>16.5</t>
        </is>
      </c>
      <c r="B107" s="102" t="inlineStr">
        <is>
          <t>Funktion der Ventile prüfen</t>
        </is>
      </c>
      <c r="C107" s="103" t="inlineStr">
        <is>
          <t>Funktionsprüfung</t>
        </is>
      </c>
      <c r="D107" s="102" t="n"/>
      <c r="E107" s="114" t="inlineStr">
        <is>
          <t>Ventile schalten einwandfrei</t>
        </is>
      </c>
      <c r="F107" s="102" t="n"/>
      <c r="G107" s="68">
        <f>IF(AB107="unvollständig","Bewertung fehlt",INDEX(Kl_Intervall,MATCH(AB107,Kl_Name,0)))</f>
        <v/>
      </c>
      <c r="H107" s="8">
        <f>IF(G107="Bewertung fehlt","",G107)</f>
        <v/>
      </c>
      <c r="I107" s="105" t="n"/>
      <c r="J107" s="106">
        <f>IF(OR(I107="",NOT(ISNUMBER(AK107))),"",IF(AJ107="Tage",I107+AI107,IF(AJ107="Wochen",I107+7*AI107,EDATE(I107,ROUND(AI107*IF(AJ107="Jahre",12,1),0)))))</f>
        <v/>
      </c>
      <c r="K107" s="107">
        <f>IF(J107="","",J107-TODAY())</f>
        <v/>
      </c>
      <c r="L107" s="57">
        <f>IF(H107="","Intervall fehlt",IF(NOT(ISNUMBER(AK107)),"Intervall prüfen",IF(I107="","nicht erfasst",IF(K107&lt;0,"überfällig",IF(K107&lt;=MIN(P_Vorwarn,ROUND(AK107/4,0)),"fällig","in Ordnung")))))</f>
        <v/>
      </c>
      <c r="M107" s="103" t="n"/>
      <c r="N107" s="103" t="n"/>
      <c r="O107" s="108" t="n"/>
      <c r="P107" s="103" t="n"/>
      <c r="Q107" s="108" t="n">
        <v>2</v>
      </c>
      <c r="R107" s="108" t="n">
        <v>3</v>
      </c>
      <c r="S107" s="108" t="n">
        <v>2</v>
      </c>
      <c r="T107" s="108" t="n">
        <v>3</v>
      </c>
      <c r="U107" s="108" t="n">
        <v>3</v>
      </c>
      <c r="V107" s="108" t="n">
        <v>3</v>
      </c>
      <c r="W107" s="108" t="n">
        <v>2</v>
      </c>
      <c r="X107" s="108" t="n">
        <v>2</v>
      </c>
      <c r="Y107" s="109">
        <f>P_SF</f>
        <v/>
      </c>
      <c r="Z107" s="109">
        <f>IF(COUNT(Q107:V107)=6,SQRT(SUMSQ(Q107:V107))/2,"")</f>
        <v/>
      </c>
      <c r="AA107" s="80">
        <f>IF(COUNT(W107:Z107)=4,Z107*W107*X107*Y107,"")</f>
        <v/>
      </c>
      <c r="AB107" s="68">
        <f>IF(AA107="","unvollständig",IF(AA107&gt;P_Grenze_kritisch,"kritisch",IF(AA107&gt;=P_Grenze_hoch,"hoch",IF(AA107&gt;=P_Grenze_mittel,"mittel","gering"))))</f>
        <v/>
      </c>
      <c r="AC107" s="68">
        <f>TRIM(IF(N(T107)&gt;=P_Krit,"AS ","")&amp;IF(N(S107)&gt;=P_Krit,"Q ","")&amp;IF(N(U107)&gt;=P_Krit,"US",""))</f>
        <v/>
      </c>
      <c r="AD107" s="102">
        <f>IF(ISNUMBER(R107),INDEX(IH_Text,R107),"")</f>
        <v/>
      </c>
      <c r="AE107" s="108" t="n"/>
      <c r="AF107" s="68" t="n"/>
      <c r="AG107" s="110" t="inlineStr">
        <is>
          <t>Hydraulikaggregat</t>
        </is>
      </c>
      <c r="AH107" s="110" t="inlineStr">
        <is>
          <t>Maßnahme</t>
        </is>
      </c>
      <c r="AI107" s="68">
        <f>IF(H107="","",IFERROR(INDEX(Iv_Anzahl,MATCH(H107,Iv_Name,0)),IFERROR(VALUE(LEFT(TRIM(SUBSTITUTE(LOWER(H107),"alle ","")),FIND(" ",TRIM(SUBSTITUTE(LOWER(H107),"alle ",""))&amp;" ")-1)),"")))</f>
        <v/>
      </c>
      <c r="AJ107" s="68">
        <f>IF(H107="","",IFERROR(INDEX(Iv_Einheit,MATCH(H107,Iv_Name,0)),IF(ISNUMBER(SEARCH("jahr",H107)),"Jahre",IF(ISNUMBER(SEARCH("monat",H107)),"Monate",IF(ISNUMBER(SEARCH("woche",H107)),"Wochen",IF(ISNUMBER(SEARCH("tag",H107)),"Tage",""))))))</f>
        <v/>
      </c>
      <c r="AK107" s="107">
        <f>IF(AND(ISNUMBER(AI107),AJ107&lt;&gt;""),IF(AI107&gt;0,AI107*IF(AJ107="Tage",1,IF(AJ107="Wochen",7,IF(AJ107="Monate",365/12,365))),""),"")</f>
        <v/>
      </c>
      <c r="AL107" s="111">
        <f>IF(ISNUMBER(AK107),365/AK107,"")</f>
        <v/>
      </c>
      <c r="AM107" s="111">
        <f>IF(AND(ISNUMBER(AL107),ISNUMBER(AE107)),AL107*AE107/60,"")</f>
        <v/>
      </c>
      <c r="AN107" s="102">
        <f>IF(ISNUMBER(AA107),AA107-ROW()/100000,"")</f>
        <v/>
      </c>
      <c r="AO107" s="102">
        <f>IF(OR(L107="überfällig",L107="fällig"),J107+ROW()/100000,"")</f>
        <v/>
      </c>
      <c r="AP107" s="112" t="inlineStr">
        <is>
          <t>16.5</t>
        </is>
      </c>
      <c r="AQ107" s="113" t="inlineStr">
        <is>
          <t>Prüfe Funktion der Ventile</t>
        </is>
      </c>
    </row>
    <row r="108" ht="32" customHeight="1">
      <c r="A108" s="101" t="inlineStr">
        <is>
          <t>16.6</t>
        </is>
      </c>
      <c r="B108" s="102" t="inlineStr">
        <is>
          <t>Dichtungen zwischen den Hydraulikventilen auf Öl-Leckage prüfen (Sichtkontrolle)</t>
        </is>
      </c>
      <c r="C108" s="103" t="inlineStr">
        <is>
          <t>Inspektion</t>
        </is>
      </c>
      <c r="D108" s="102" t="n"/>
      <c r="E108" s="114" t="inlineStr">
        <is>
          <t>Keine Öl-Leckage</t>
        </is>
      </c>
      <c r="F108" s="102" t="n"/>
      <c r="G108" s="68">
        <f>IF(AB108="unvollständig","Bewertung fehlt",INDEX(Kl_Intervall,MATCH(AB108,Kl_Name,0)))</f>
        <v/>
      </c>
      <c r="H108" s="8">
        <f>IF(G108="Bewertung fehlt","",G108)</f>
        <v/>
      </c>
      <c r="I108" s="105" t="n"/>
      <c r="J108" s="106">
        <f>IF(OR(I108="",NOT(ISNUMBER(AK108))),"",IF(AJ108="Tage",I108+AI108,IF(AJ108="Wochen",I108+7*AI108,EDATE(I108,ROUND(AI108*IF(AJ108="Jahre",12,1),0)))))</f>
        <v/>
      </c>
      <c r="K108" s="107">
        <f>IF(J108="","",J108-TODAY())</f>
        <v/>
      </c>
      <c r="L108" s="57">
        <f>IF(H108="","Intervall fehlt",IF(NOT(ISNUMBER(AK108)),"Intervall prüfen",IF(I108="","nicht erfasst",IF(K108&lt;0,"überfällig",IF(K108&lt;=MIN(P_Vorwarn,ROUND(AK108/4,0)),"fällig","in Ordnung")))))</f>
        <v/>
      </c>
      <c r="M108" s="103" t="n"/>
      <c r="N108" s="103" t="n"/>
      <c r="O108" s="108" t="n"/>
      <c r="P108" s="103" t="n"/>
      <c r="Q108" s="108" t="n">
        <v>3</v>
      </c>
      <c r="R108" s="108" t="n">
        <v>4</v>
      </c>
      <c r="S108" s="108" t="n">
        <v>3</v>
      </c>
      <c r="T108" s="108" t="n">
        <v>3</v>
      </c>
      <c r="U108" s="108" t="n">
        <v>4</v>
      </c>
      <c r="V108" s="108" t="n">
        <v>3</v>
      </c>
      <c r="W108" s="108" t="n">
        <v>2</v>
      </c>
      <c r="X108" s="108" t="n">
        <v>2</v>
      </c>
      <c r="Y108" s="109">
        <f>P_SF</f>
        <v/>
      </c>
      <c r="Z108" s="109">
        <f>IF(COUNT(Q108:V108)=6,SQRT(SUMSQ(Q108:V108))/2,"")</f>
        <v/>
      </c>
      <c r="AA108" s="80">
        <f>IF(COUNT(W108:Z108)=4,Z108*W108*X108*Y108,"")</f>
        <v/>
      </c>
      <c r="AB108" s="68">
        <f>IF(AA108="","unvollständig",IF(AA108&gt;P_Grenze_kritisch,"kritisch",IF(AA108&gt;=P_Grenze_hoch,"hoch",IF(AA108&gt;=P_Grenze_mittel,"mittel","gering"))))</f>
        <v/>
      </c>
      <c r="AC108" s="68">
        <f>TRIM(IF(N(T108)&gt;=P_Krit,"AS ","")&amp;IF(N(S108)&gt;=P_Krit,"Q ","")&amp;IF(N(U108)&gt;=P_Krit,"US",""))</f>
        <v/>
      </c>
      <c r="AD108" s="102">
        <f>IF(ISNUMBER(R108),INDEX(IH_Text,R108),"")</f>
        <v/>
      </c>
      <c r="AE108" s="108" t="n"/>
      <c r="AF108" s="68" t="n"/>
      <c r="AG108" s="110" t="inlineStr">
        <is>
          <t>Hydraulikaggregat</t>
        </is>
      </c>
      <c r="AH108" s="110" t="inlineStr">
        <is>
          <t>Maßnahme</t>
        </is>
      </c>
      <c r="AI108" s="68">
        <f>IF(H108="","",IFERROR(INDEX(Iv_Anzahl,MATCH(H108,Iv_Name,0)),IFERROR(VALUE(LEFT(TRIM(SUBSTITUTE(LOWER(H108),"alle ","")),FIND(" ",TRIM(SUBSTITUTE(LOWER(H108),"alle ",""))&amp;" ")-1)),"")))</f>
        <v/>
      </c>
      <c r="AJ108" s="68">
        <f>IF(H108="","",IFERROR(INDEX(Iv_Einheit,MATCH(H108,Iv_Name,0)),IF(ISNUMBER(SEARCH("jahr",H108)),"Jahre",IF(ISNUMBER(SEARCH("monat",H108)),"Monate",IF(ISNUMBER(SEARCH("woche",H108)),"Wochen",IF(ISNUMBER(SEARCH("tag",H108)),"Tage",""))))))</f>
        <v/>
      </c>
      <c r="AK108" s="107">
        <f>IF(AND(ISNUMBER(AI108),AJ108&lt;&gt;""),IF(AI108&gt;0,AI108*IF(AJ108="Tage",1,IF(AJ108="Wochen",7,IF(AJ108="Monate",365/12,365))),""),"")</f>
        <v/>
      </c>
      <c r="AL108" s="111">
        <f>IF(ISNUMBER(AK108),365/AK108,"")</f>
        <v/>
      </c>
      <c r="AM108" s="111">
        <f>IF(AND(ISNUMBER(AL108),ISNUMBER(AE108)),AL108*AE108/60,"")</f>
        <v/>
      </c>
      <c r="AN108" s="102">
        <f>IF(ISNUMBER(AA108),AA108-ROW()/100000,"")</f>
        <v/>
      </c>
      <c r="AO108" s="102">
        <f>IF(OR(L108="überfällig",L108="fällig"),J108+ROW()/100000,"")</f>
        <v/>
      </c>
      <c r="AP108" s="112" t="inlineStr">
        <is>
          <t>16.6</t>
        </is>
      </c>
      <c r="AQ108" s="113" t="inlineStr">
        <is>
          <t>Prüfe Dichtungen zwischen Hydraulikventile auf Öl-Leckage (Sichtkontrolle)</t>
        </is>
      </c>
    </row>
    <row r="109" ht="32" customHeight="1">
      <c r="A109" s="101" t="inlineStr">
        <is>
          <t>16.7</t>
        </is>
      </c>
      <c r="B109" s="102" t="inlineStr">
        <is>
          <t>Festsitz der elektrischen Anschlüsse prüfen</t>
        </is>
      </c>
      <c r="C109" s="103" t="inlineStr">
        <is>
          <t>Inspektion</t>
        </is>
      </c>
      <c r="D109" s="102" t="n"/>
      <c r="E109" s="114" t="inlineStr">
        <is>
          <t>Alle Anschlüsse fest</t>
        </is>
      </c>
      <c r="F109" s="102" t="n"/>
      <c r="G109" s="68">
        <f>IF(AB109="unvollständig","Bewertung fehlt",INDEX(Kl_Intervall,MATCH(AB109,Kl_Name,0)))</f>
        <v/>
      </c>
      <c r="H109" s="8">
        <f>IF(G109="Bewertung fehlt","",G109)</f>
        <v/>
      </c>
      <c r="I109" s="105" t="n"/>
      <c r="J109" s="106">
        <f>IF(OR(I109="",NOT(ISNUMBER(AK109))),"",IF(AJ109="Tage",I109+AI109,IF(AJ109="Wochen",I109+7*AI109,EDATE(I109,ROUND(AI109*IF(AJ109="Jahre",12,1),0)))))</f>
        <v/>
      </c>
      <c r="K109" s="107">
        <f>IF(J109="","",J109-TODAY())</f>
        <v/>
      </c>
      <c r="L109" s="57">
        <f>IF(H109="","Intervall fehlt",IF(NOT(ISNUMBER(AK109)),"Intervall prüfen",IF(I109="","nicht erfasst",IF(K109&lt;0,"überfällig",IF(K109&lt;=MIN(P_Vorwarn,ROUND(AK109/4,0)),"fällig","in Ordnung")))))</f>
        <v/>
      </c>
      <c r="M109" s="103" t="n"/>
      <c r="N109" s="103" t="n"/>
      <c r="O109" s="108" t="n"/>
      <c r="P109" s="103" t="n"/>
      <c r="Q109" s="108" t="n">
        <v>2</v>
      </c>
      <c r="R109" s="108" t="n">
        <v>3</v>
      </c>
      <c r="S109" s="108" t="n">
        <v>1</v>
      </c>
      <c r="T109" s="108" t="n">
        <v>4</v>
      </c>
      <c r="U109" s="108" t="n">
        <v>1</v>
      </c>
      <c r="V109" s="108" t="n">
        <v>2</v>
      </c>
      <c r="W109" s="108" t="n">
        <v>2</v>
      </c>
      <c r="X109" s="108" t="n">
        <v>2</v>
      </c>
      <c r="Y109" s="109">
        <f>P_SF</f>
        <v/>
      </c>
      <c r="Z109" s="109">
        <f>IF(COUNT(Q109:V109)=6,SQRT(SUMSQ(Q109:V109))/2,"")</f>
        <v/>
      </c>
      <c r="AA109" s="80">
        <f>IF(COUNT(W109:Z109)=4,Z109*W109*X109*Y109,"")</f>
        <v/>
      </c>
      <c r="AB109" s="68">
        <f>IF(AA109="","unvollständig",IF(AA109&gt;P_Grenze_kritisch,"kritisch",IF(AA109&gt;=P_Grenze_hoch,"hoch",IF(AA109&gt;=P_Grenze_mittel,"mittel","gering"))))</f>
        <v/>
      </c>
      <c r="AC109" s="68">
        <f>TRIM(IF(N(T109)&gt;=P_Krit,"AS ","")&amp;IF(N(S109)&gt;=P_Krit,"Q ","")&amp;IF(N(U109)&gt;=P_Krit,"US",""))</f>
        <v/>
      </c>
      <c r="AD109" s="102">
        <f>IF(ISNUMBER(R109),INDEX(IH_Text,R109),"")</f>
        <v/>
      </c>
      <c r="AE109" s="108" t="n"/>
      <c r="AF109" s="68" t="n"/>
      <c r="AG109" s="110" t="inlineStr">
        <is>
          <t>Hydraulikaggregat</t>
        </is>
      </c>
      <c r="AH109" s="110" t="inlineStr">
        <is>
          <t>Maßnahme</t>
        </is>
      </c>
      <c r="AI109" s="68">
        <f>IF(H109="","",IFERROR(INDEX(Iv_Anzahl,MATCH(H109,Iv_Name,0)),IFERROR(VALUE(LEFT(TRIM(SUBSTITUTE(LOWER(H109),"alle ","")),FIND(" ",TRIM(SUBSTITUTE(LOWER(H109),"alle ",""))&amp;" ")-1)),"")))</f>
        <v/>
      </c>
      <c r="AJ109" s="68">
        <f>IF(H109="","",IFERROR(INDEX(Iv_Einheit,MATCH(H109,Iv_Name,0)),IF(ISNUMBER(SEARCH("jahr",H109)),"Jahre",IF(ISNUMBER(SEARCH("monat",H109)),"Monate",IF(ISNUMBER(SEARCH("woche",H109)),"Wochen",IF(ISNUMBER(SEARCH("tag",H109)),"Tage",""))))))</f>
        <v/>
      </c>
      <c r="AK109" s="107">
        <f>IF(AND(ISNUMBER(AI109),AJ109&lt;&gt;""),IF(AI109&gt;0,AI109*IF(AJ109="Tage",1,IF(AJ109="Wochen",7,IF(AJ109="Monate",365/12,365))),""),"")</f>
        <v/>
      </c>
      <c r="AL109" s="111">
        <f>IF(ISNUMBER(AK109),365/AK109,"")</f>
        <v/>
      </c>
      <c r="AM109" s="111">
        <f>IF(AND(ISNUMBER(AL109),ISNUMBER(AE109)),AL109*AE109/60,"")</f>
        <v/>
      </c>
      <c r="AN109" s="102">
        <f>IF(ISNUMBER(AA109),AA109-ROW()/100000,"")</f>
        <v/>
      </c>
      <c r="AO109" s="102">
        <f>IF(OR(L109="überfällig",L109="fällig"),J109+ROW()/100000,"")</f>
        <v/>
      </c>
      <c r="AP109" s="112" t="inlineStr">
        <is>
          <t>16.7</t>
        </is>
      </c>
      <c r="AQ109" s="113" t="inlineStr">
        <is>
          <t xml:space="preserve">Prüfe Festsitz der elektr. Anschlüsse  </t>
        </is>
      </c>
    </row>
    <row r="110" ht="32" customHeight="1">
      <c r="A110" s="96" t="inlineStr">
        <is>
          <t>17</t>
        </is>
      </c>
      <c r="B110" s="97" t="inlineStr">
        <is>
          <t>Hydraulik-Druckfilter (mit Filtereinsatz)   (Pos. 26)</t>
        </is>
      </c>
      <c r="C110" s="97" t="n"/>
      <c r="D110" s="97" t="n"/>
      <c r="E110" s="97" t="n"/>
      <c r="F110" s="97" t="n"/>
      <c r="G110" s="97" t="n"/>
      <c r="H110" s="97" t="n"/>
      <c r="I110" s="97" t="n"/>
      <c r="J110" s="97" t="n"/>
      <c r="K110" s="97" t="n"/>
      <c r="L110" s="97" t="n"/>
      <c r="M110" s="97" t="n"/>
      <c r="N110" s="97" t="n"/>
      <c r="O110" s="97" t="n"/>
      <c r="P110" s="97" t="n"/>
      <c r="Q110" s="97" t="n"/>
      <c r="R110" s="97" t="n"/>
      <c r="S110" s="97" t="n"/>
      <c r="T110" s="97" t="n"/>
      <c r="U110" s="97" t="n"/>
      <c r="V110" s="97" t="n"/>
      <c r="W110" s="97" t="n"/>
      <c r="X110" s="97" t="n"/>
      <c r="Y110" s="97" t="n"/>
      <c r="Z110" s="97" t="n"/>
      <c r="AA110" s="97" t="n"/>
      <c r="AB110" s="97" t="n"/>
      <c r="AC110" s="97" t="n"/>
      <c r="AD110" s="97" t="n"/>
      <c r="AE110" s="97" t="n"/>
      <c r="AF110" s="97" t="n"/>
      <c r="AG110" s="98" t="inlineStr">
        <is>
          <t>Hydraulik-Druckfilter (mit Filtereinsatz)</t>
        </is>
      </c>
      <c r="AH110" s="98" t="inlineStr">
        <is>
          <t>Baugruppe</t>
        </is>
      </c>
      <c r="AI110" s="97" t="n"/>
      <c r="AJ110" s="97" t="n"/>
      <c r="AK110" s="97" t="n"/>
      <c r="AL110" s="97" t="n"/>
      <c r="AM110" s="97" t="n"/>
      <c r="AN110" s="97" t="n"/>
      <c r="AO110" s="97" t="n"/>
      <c r="AP110" s="99" t="inlineStr">
        <is>
          <t>17</t>
        </is>
      </c>
      <c r="AQ110" s="100" t="inlineStr">
        <is>
          <t>26.) Hydraulik-Druckfilter (mit Filtereinsatz) prüfe auf Leckage</t>
        </is>
      </c>
    </row>
    <row r="111" ht="45" customHeight="1">
      <c r="A111" s="101" t="inlineStr">
        <is>
          <t>17.1</t>
        </is>
      </c>
      <c r="B111" s="102" t="inlineStr">
        <is>
          <t>Druckfilter auf Leckage prüfen</t>
        </is>
      </c>
      <c r="C111" s="103" t="inlineStr">
        <is>
          <t>Inspektion</t>
        </is>
      </c>
      <c r="D111" s="102" t="n"/>
      <c r="E111" s="114" t="inlineStr">
        <is>
          <t>Keine Leckage; Verschmutzungsanzeige im grünen Bereich</t>
        </is>
      </c>
      <c r="F111" s="102" t="n"/>
      <c r="G111" s="68">
        <f>IF(AB111="unvollständig","Bewertung fehlt",INDEX(Kl_Intervall,MATCH(AB111,Kl_Name,0)))</f>
        <v/>
      </c>
      <c r="H111" s="8">
        <f>IF(G111="Bewertung fehlt","",G111)</f>
        <v/>
      </c>
      <c r="I111" s="105" t="n"/>
      <c r="J111" s="106">
        <f>IF(OR(I111="",NOT(ISNUMBER(AK111))),"",IF(AJ111="Tage",I111+AI111,IF(AJ111="Wochen",I111+7*AI111,EDATE(I111,ROUND(AI111*IF(AJ111="Jahre",12,1),0)))))</f>
        <v/>
      </c>
      <c r="K111" s="107">
        <f>IF(J111="","",J111-TODAY())</f>
        <v/>
      </c>
      <c r="L111" s="57">
        <f>IF(H111="","Intervall fehlt",IF(NOT(ISNUMBER(AK111)),"Intervall prüfen",IF(I111="","nicht erfasst",IF(K111&lt;0,"überfällig",IF(K111&lt;=MIN(P_Vorwarn,ROUND(AK111/4,0)),"fällig","in Ordnung")))))</f>
        <v/>
      </c>
      <c r="M111" s="103" t="n"/>
      <c r="N111" s="103" t="n"/>
      <c r="O111" s="108" t="n"/>
      <c r="P111" s="103" t="n"/>
      <c r="Q111" s="108" t="n"/>
      <c r="R111" s="108" t="n"/>
      <c r="S111" s="108" t="n"/>
      <c r="T111" s="108" t="n"/>
      <c r="U111" s="108" t="n"/>
      <c r="V111" s="108" t="n"/>
      <c r="W111" s="108" t="n"/>
      <c r="X111" s="108" t="n"/>
      <c r="Y111" s="109">
        <f>P_SF</f>
        <v/>
      </c>
      <c r="Z111" s="109">
        <f>IF(COUNT(Q111:V111)=6,SQRT(SUMSQ(Q111:V111))/2,"")</f>
        <v/>
      </c>
      <c r="AA111" s="80">
        <f>IF(COUNT(W111:Z111)=4,Z111*W111*X111*Y111,"")</f>
        <v/>
      </c>
      <c r="AB111" s="68">
        <f>IF(AA111="","unvollständig",IF(AA111&gt;P_Grenze_kritisch,"kritisch",IF(AA111&gt;=P_Grenze_hoch,"hoch",IF(AA111&gt;=P_Grenze_mittel,"mittel","gering"))))</f>
        <v/>
      </c>
      <c r="AC111" s="68">
        <f>TRIM(IF(N(T111)&gt;=P_Krit,"AS ","")&amp;IF(N(S111)&gt;=P_Krit,"Q ","")&amp;IF(N(U111)&gt;=P_Krit,"US",""))</f>
        <v/>
      </c>
      <c r="AD111" s="102">
        <f>IF(ISNUMBER(R111),INDEX(IH_Text,R111),"")</f>
        <v/>
      </c>
      <c r="AE111" s="108" t="n"/>
      <c r="AF111" s="68" t="n"/>
      <c r="AG111" s="110" t="inlineStr">
        <is>
          <t>Hydraulik-Druckfilter (mit Filtereinsatz)</t>
        </is>
      </c>
      <c r="AH111" s="110" t="inlineStr">
        <is>
          <t>Maßnahme</t>
        </is>
      </c>
      <c r="AI111" s="68">
        <f>IF(H111="","",IFERROR(INDEX(Iv_Anzahl,MATCH(H111,Iv_Name,0)),IFERROR(VALUE(LEFT(TRIM(SUBSTITUTE(LOWER(H111),"alle ","")),FIND(" ",TRIM(SUBSTITUTE(LOWER(H111),"alle ",""))&amp;" ")-1)),"")))</f>
        <v/>
      </c>
      <c r="AJ111" s="68">
        <f>IF(H111="","",IFERROR(INDEX(Iv_Einheit,MATCH(H111,Iv_Name,0)),IF(ISNUMBER(SEARCH("jahr",H111)),"Jahre",IF(ISNUMBER(SEARCH("monat",H111)),"Monate",IF(ISNUMBER(SEARCH("woche",H111)),"Wochen",IF(ISNUMBER(SEARCH("tag",H111)),"Tage",""))))))</f>
        <v/>
      </c>
      <c r="AK111" s="107">
        <f>IF(AND(ISNUMBER(AI111),AJ111&lt;&gt;""),IF(AI111&gt;0,AI111*IF(AJ111="Tage",1,IF(AJ111="Wochen",7,IF(AJ111="Monate",365/12,365))),""),"")</f>
        <v/>
      </c>
      <c r="AL111" s="111">
        <f>IF(ISNUMBER(AK111),365/AK111,"")</f>
        <v/>
      </c>
      <c r="AM111" s="111">
        <f>IF(AND(ISNUMBER(AL111),ISNUMBER(AE111)),AL111*AE111/60,"")</f>
        <v/>
      </c>
      <c r="AN111" s="102">
        <f>IF(ISNUMBER(AA111),AA111-ROW()/100000,"")</f>
        <v/>
      </c>
      <c r="AO111" s="102">
        <f>IF(OR(L111="überfällig",L111="fällig"),J111+ROW()/100000,"")</f>
        <v/>
      </c>
      <c r="AP111" s="112" t="inlineStr">
        <is>
          <t>17</t>
        </is>
      </c>
      <c r="AQ111" s="113" t="inlineStr">
        <is>
          <t>26.) Hydraulik-Druckfilter (mit Filtereinsatz) prüfe auf Leckage</t>
        </is>
      </c>
    </row>
    <row r="112" ht="20" customHeight="1">
      <c r="A112" s="96" t="inlineStr">
        <is>
          <t>18</t>
        </is>
      </c>
      <c r="B112" s="97" t="inlineStr">
        <is>
          <t>Druckübersetzer   (Pos. 30)</t>
        </is>
      </c>
      <c r="C112" s="97" t="n"/>
      <c r="D112" s="97" t="n"/>
      <c r="E112" s="97" t="n"/>
      <c r="F112" s="97" t="n"/>
      <c r="G112" s="97" t="n"/>
      <c r="H112" s="97" t="n"/>
      <c r="I112" s="97" t="n"/>
      <c r="J112" s="97" t="n"/>
      <c r="K112" s="97" t="n"/>
      <c r="L112" s="97" t="n"/>
      <c r="M112" s="97" t="n"/>
      <c r="N112" s="97" t="n"/>
      <c r="O112" s="97" t="n"/>
      <c r="P112" s="97" t="n"/>
      <c r="Q112" s="97" t="n"/>
      <c r="R112" s="97" t="n"/>
      <c r="S112" s="97" t="n"/>
      <c r="T112" s="97" t="n"/>
      <c r="U112" s="97" t="n"/>
      <c r="V112" s="97" t="n"/>
      <c r="W112" s="97" t="n"/>
      <c r="X112" s="97" t="n"/>
      <c r="Y112" s="97" t="n"/>
      <c r="Z112" s="97" t="n"/>
      <c r="AA112" s="97" t="n"/>
      <c r="AB112" s="97" t="n"/>
      <c r="AC112" s="97" t="n"/>
      <c r="AD112" s="97" t="n"/>
      <c r="AE112" s="97" t="n"/>
      <c r="AF112" s="97" t="n"/>
      <c r="AG112" s="98" t="inlineStr">
        <is>
          <t>Druckübersetzer</t>
        </is>
      </c>
      <c r="AH112" s="98" t="inlineStr">
        <is>
          <t>Baugruppe</t>
        </is>
      </c>
      <c r="AI112" s="97" t="n"/>
      <c r="AJ112" s="97" t="n"/>
      <c r="AK112" s="97" t="n"/>
      <c r="AL112" s="97" t="n"/>
      <c r="AM112" s="97" t="n"/>
      <c r="AN112" s="97" t="n"/>
      <c r="AO112" s="97" t="n"/>
      <c r="AP112" s="99" t="inlineStr">
        <is>
          <t>18</t>
        </is>
      </c>
      <c r="AQ112" s="100" t="inlineStr">
        <is>
          <t>30.) Druckübersetzer</t>
        </is>
      </c>
    </row>
    <row r="113" ht="32" customHeight="1">
      <c r="A113" s="101" t="inlineStr">
        <is>
          <t>18.1</t>
        </is>
      </c>
      <c r="B113" s="102" t="inlineStr">
        <is>
          <t>Hydraulik- und Wasseranschlüsse auf Dichtheit und Beschädigungen prüfen</t>
        </is>
      </c>
      <c r="C113" s="103" t="inlineStr">
        <is>
          <t>Inspektion</t>
        </is>
      </c>
      <c r="D113" s="102" t="n"/>
      <c r="E113" s="114" t="inlineStr">
        <is>
          <t>Dicht, unbeschädigt</t>
        </is>
      </c>
      <c r="F113" s="102" t="n"/>
      <c r="G113" s="68">
        <f>IF(AB113="unvollständig","Bewertung fehlt",INDEX(Kl_Intervall,MATCH(AB113,Kl_Name,0)))</f>
        <v/>
      </c>
      <c r="H113" s="8">
        <f>IF(G113="Bewertung fehlt","",G113)</f>
        <v/>
      </c>
      <c r="I113" s="105" t="n"/>
      <c r="J113" s="106">
        <f>IF(OR(I113="",NOT(ISNUMBER(AK113))),"",IF(AJ113="Tage",I113+AI113,IF(AJ113="Wochen",I113+7*AI113,EDATE(I113,ROUND(AI113*IF(AJ113="Jahre",12,1),0)))))</f>
        <v/>
      </c>
      <c r="K113" s="107">
        <f>IF(J113="","",J113-TODAY())</f>
        <v/>
      </c>
      <c r="L113" s="57">
        <f>IF(H113="","Intervall fehlt",IF(NOT(ISNUMBER(AK113)),"Intervall prüfen",IF(I113="","nicht erfasst",IF(K113&lt;0,"überfällig",IF(K113&lt;=MIN(P_Vorwarn,ROUND(AK113/4,0)),"fällig","in Ordnung")))))</f>
        <v/>
      </c>
      <c r="M113" s="103" t="n"/>
      <c r="N113" s="103" t="n"/>
      <c r="O113" s="108" t="n"/>
      <c r="P113" s="103" t="n"/>
      <c r="Q113" s="108" t="n">
        <v>5</v>
      </c>
      <c r="R113" s="108" t="n">
        <v>5</v>
      </c>
      <c r="S113" s="108" t="n">
        <v>3</v>
      </c>
      <c r="T113" s="108" t="n">
        <v>3</v>
      </c>
      <c r="U113" s="108" t="n">
        <v>2</v>
      </c>
      <c r="V113" s="108" t="n">
        <v>3</v>
      </c>
      <c r="W113" s="108" t="n">
        <v>2</v>
      </c>
      <c r="X113" s="108" t="n">
        <v>4</v>
      </c>
      <c r="Y113" s="109">
        <f>P_SF</f>
        <v/>
      </c>
      <c r="Z113" s="109">
        <f>IF(COUNT(Q113:V113)=6,SQRT(SUMSQ(Q113:V113))/2,"")</f>
        <v/>
      </c>
      <c r="AA113" s="80">
        <f>IF(COUNT(W113:Z113)=4,Z113*W113*X113*Y113,"")</f>
        <v/>
      </c>
      <c r="AB113" s="68">
        <f>IF(AA113="","unvollständig",IF(AA113&gt;P_Grenze_kritisch,"kritisch",IF(AA113&gt;=P_Grenze_hoch,"hoch",IF(AA113&gt;=P_Grenze_mittel,"mittel","gering"))))</f>
        <v/>
      </c>
      <c r="AC113" s="68">
        <f>TRIM(IF(N(T113)&gt;=P_Krit,"AS ","")&amp;IF(N(S113)&gt;=P_Krit,"Q ","")&amp;IF(N(U113)&gt;=P_Krit,"US",""))</f>
        <v/>
      </c>
      <c r="AD113" s="102">
        <f>IF(ISNUMBER(R113),INDEX(IH_Text,R113),"")</f>
        <v/>
      </c>
      <c r="AE113" s="108" t="n"/>
      <c r="AF113" s="68" t="n"/>
      <c r="AG113" s="110" t="inlineStr">
        <is>
          <t>Druckübersetzer</t>
        </is>
      </c>
      <c r="AH113" s="110" t="inlineStr">
        <is>
          <t>Maßnahme</t>
        </is>
      </c>
      <c r="AI113" s="68">
        <f>IF(H113="","",IFERROR(INDEX(Iv_Anzahl,MATCH(H113,Iv_Name,0)),IFERROR(VALUE(LEFT(TRIM(SUBSTITUTE(LOWER(H113),"alle ","")),FIND(" ",TRIM(SUBSTITUTE(LOWER(H113),"alle ",""))&amp;" ")-1)),"")))</f>
        <v/>
      </c>
      <c r="AJ113" s="68">
        <f>IF(H113="","",IFERROR(INDEX(Iv_Einheit,MATCH(H113,Iv_Name,0)),IF(ISNUMBER(SEARCH("jahr",H113)),"Jahre",IF(ISNUMBER(SEARCH("monat",H113)),"Monate",IF(ISNUMBER(SEARCH("woche",H113)),"Wochen",IF(ISNUMBER(SEARCH("tag",H113)),"Tage",""))))))</f>
        <v/>
      </c>
      <c r="AK113" s="107">
        <f>IF(AND(ISNUMBER(AI113),AJ113&lt;&gt;""),IF(AI113&gt;0,AI113*IF(AJ113="Tage",1,IF(AJ113="Wochen",7,IF(AJ113="Monate",365/12,365))),""),"")</f>
        <v/>
      </c>
      <c r="AL113" s="111">
        <f>IF(ISNUMBER(AK113),365/AK113,"")</f>
        <v/>
      </c>
      <c r="AM113" s="111">
        <f>IF(AND(ISNUMBER(AL113),ISNUMBER(AE113)),AL113*AE113/60,"")</f>
        <v/>
      </c>
      <c r="AN113" s="102">
        <f>IF(ISNUMBER(AA113),AA113-ROW()/100000,"")</f>
        <v/>
      </c>
      <c r="AO113" s="102">
        <f>IF(OR(L113="überfällig",L113="fällig"),J113+ROW()/100000,"")</f>
        <v/>
      </c>
      <c r="AP113" s="112" t="inlineStr">
        <is>
          <t>18.1</t>
        </is>
      </c>
      <c r="AQ113" s="113" t="inlineStr">
        <is>
          <t>Hydraulikanschlüsse/Wasseranschlüsse auf Dichtheit und Beschädigungen prüfen</t>
        </is>
      </c>
    </row>
    <row r="114" ht="19" customHeight="1">
      <c r="A114" s="101" t="inlineStr">
        <is>
          <t>18.2</t>
        </is>
      </c>
      <c r="B114" s="102" t="inlineStr">
        <is>
          <t>Druckübersetzer auf Dichtheit prüfen</t>
        </is>
      </c>
      <c r="C114" s="103" t="inlineStr">
        <is>
          <t>Inspektion</t>
        </is>
      </c>
      <c r="D114" s="104" t="inlineStr">
        <is>
          <t>ℹ Hinweis beachten</t>
        </is>
      </c>
      <c r="E114" s="114" t="inlineStr">
        <is>
          <t>Keine Leckage</t>
        </is>
      </c>
      <c r="F114" s="102" t="n"/>
      <c r="G114" s="68">
        <f>IF(AB114="unvollständig","Bewertung fehlt",INDEX(Kl_Intervall,MATCH(AB114,Kl_Name,0)))</f>
        <v/>
      </c>
      <c r="H114" s="8">
        <f>IF(G114="Bewertung fehlt","",G114)</f>
        <v/>
      </c>
      <c r="I114" s="105" t="n"/>
      <c r="J114" s="106">
        <f>IF(OR(I114="",NOT(ISNUMBER(AK114))),"",IF(AJ114="Tage",I114+AI114,IF(AJ114="Wochen",I114+7*AI114,EDATE(I114,ROUND(AI114*IF(AJ114="Jahre",12,1),0)))))</f>
        <v/>
      </c>
      <c r="K114" s="107">
        <f>IF(J114="","",J114-TODAY())</f>
        <v/>
      </c>
      <c r="L114" s="57">
        <f>IF(H114="","Intervall fehlt",IF(NOT(ISNUMBER(AK114)),"Intervall prüfen",IF(I114="","nicht erfasst",IF(K114&lt;0,"überfällig",IF(K114&lt;=MIN(P_Vorwarn,ROUND(AK114/4,0)),"fällig","in Ordnung")))))</f>
        <v/>
      </c>
      <c r="M114" s="103" t="n"/>
      <c r="N114" s="103" t="n"/>
      <c r="O114" s="108" t="n"/>
      <c r="P114" s="103" t="n"/>
      <c r="Q114" s="108" t="n">
        <v>5</v>
      </c>
      <c r="R114" s="108" t="n">
        <v>5</v>
      </c>
      <c r="S114" s="108" t="n">
        <v>3</v>
      </c>
      <c r="T114" s="108" t="n">
        <v>3</v>
      </c>
      <c r="U114" s="108" t="n">
        <v>2</v>
      </c>
      <c r="V114" s="108" t="n">
        <v>3</v>
      </c>
      <c r="W114" s="108" t="n">
        <v>2</v>
      </c>
      <c r="X114" s="108" t="n">
        <v>4</v>
      </c>
      <c r="Y114" s="109">
        <f>P_SF</f>
        <v/>
      </c>
      <c r="Z114" s="109">
        <f>IF(COUNT(Q114:V114)=6,SQRT(SUMSQ(Q114:V114))/2,"")</f>
        <v/>
      </c>
      <c r="AA114" s="80">
        <f>IF(COUNT(W114:Z114)=4,Z114*W114*X114*Y114,"")</f>
        <v/>
      </c>
      <c r="AB114" s="68">
        <f>IF(AA114="","unvollständig",IF(AA114&gt;P_Grenze_kritisch,"kritisch",IF(AA114&gt;=P_Grenze_hoch,"hoch",IF(AA114&gt;=P_Grenze_mittel,"mittel","gering"))))</f>
        <v/>
      </c>
      <c r="AC114" s="68">
        <f>TRIM(IF(N(T114)&gt;=P_Krit,"AS ","")&amp;IF(N(S114)&gt;=P_Krit,"Q ","")&amp;IF(N(U114)&gt;=P_Krit,"US",""))</f>
        <v/>
      </c>
      <c r="AD114" s="102">
        <f>IF(ISNUMBER(R114),INDEX(IH_Text,R114),"")</f>
        <v/>
      </c>
      <c r="AE114" s="108" t="n"/>
      <c r="AF114" s="68" t="n"/>
      <c r="AG114" s="110" t="inlineStr">
        <is>
          <t>Druckübersetzer</t>
        </is>
      </c>
      <c r="AH114" s="110" t="inlineStr">
        <is>
          <t>Maßnahme</t>
        </is>
      </c>
      <c r="AI114" s="68">
        <f>IF(H114="","",IFERROR(INDEX(Iv_Anzahl,MATCH(H114,Iv_Name,0)),IFERROR(VALUE(LEFT(TRIM(SUBSTITUTE(LOWER(H114),"alle ","")),FIND(" ",TRIM(SUBSTITUTE(LOWER(H114),"alle ",""))&amp;" ")-1)),"")))</f>
        <v/>
      </c>
      <c r="AJ114" s="68">
        <f>IF(H114="","",IFERROR(INDEX(Iv_Einheit,MATCH(H114,Iv_Name,0)),IF(ISNUMBER(SEARCH("jahr",H114)),"Jahre",IF(ISNUMBER(SEARCH("monat",H114)),"Monate",IF(ISNUMBER(SEARCH("woche",H114)),"Wochen",IF(ISNUMBER(SEARCH("tag",H114)),"Tage",""))))))</f>
        <v/>
      </c>
      <c r="AK114" s="107">
        <f>IF(AND(ISNUMBER(AI114),AJ114&lt;&gt;""),IF(AI114&gt;0,AI114*IF(AJ114="Tage",1,IF(AJ114="Wochen",7,IF(AJ114="Monate",365/12,365))),""),"")</f>
        <v/>
      </c>
      <c r="AL114" s="111">
        <f>IF(ISNUMBER(AK114),365/AK114,"")</f>
        <v/>
      </c>
      <c r="AM114" s="111">
        <f>IF(AND(ISNUMBER(AL114),ISNUMBER(AE114)),AL114*AE114/60,"")</f>
        <v/>
      </c>
      <c r="AN114" s="102">
        <f>IF(ISNUMBER(AA114),AA114-ROW()/100000,"")</f>
        <v/>
      </c>
      <c r="AO114" s="102">
        <f>IF(OR(L114="überfällig",L114="fällig"),J114+ROW()/100000,"")</f>
        <v/>
      </c>
      <c r="AP114" s="112" t="inlineStr">
        <is>
          <t>18.2</t>
        </is>
      </c>
      <c r="AQ114" s="113" t="inlineStr">
        <is>
          <t>Überprüfe Druckübersetzer auf Dichtigkeit</t>
        </is>
      </c>
    </row>
    <row r="115" ht="20" customHeight="1">
      <c r="A115" s="96" t="inlineStr">
        <is>
          <t>19</t>
        </is>
      </c>
      <c r="B115" s="97" t="inlineStr">
        <is>
          <t>Schmierung allgemein (HSIM)</t>
        </is>
      </c>
      <c r="C115" s="97" t="n"/>
      <c r="D115" s="97" t="n"/>
      <c r="E115" s="97" t="n"/>
      <c r="F115" s="97" t="n"/>
      <c r="G115" s="97" t="n"/>
      <c r="H115" s="97" t="n"/>
      <c r="I115" s="97" t="n"/>
      <c r="J115" s="97" t="n"/>
      <c r="K115" s="97" t="n"/>
      <c r="L115" s="97" t="n"/>
      <c r="M115" s="97" t="n"/>
      <c r="N115" s="97" t="n"/>
      <c r="O115" s="97" t="n"/>
      <c r="P115" s="97" t="n"/>
      <c r="Q115" s="97" t="n"/>
      <c r="R115" s="97" t="n"/>
      <c r="S115" s="97" t="n"/>
      <c r="T115" s="97" t="n"/>
      <c r="U115" s="97" t="n"/>
      <c r="V115" s="97" t="n"/>
      <c r="W115" s="97" t="n"/>
      <c r="X115" s="97" t="n"/>
      <c r="Y115" s="97" t="n"/>
      <c r="Z115" s="97" t="n"/>
      <c r="AA115" s="97" t="n"/>
      <c r="AB115" s="97" t="n"/>
      <c r="AC115" s="97" t="n"/>
      <c r="AD115" s="97" t="n"/>
      <c r="AE115" s="97" t="n"/>
      <c r="AF115" s="97" t="n"/>
      <c r="AG115" s="98" t="inlineStr">
        <is>
          <t>Schmierung allgemein (HSIM)</t>
        </is>
      </c>
      <c r="AH115" s="98" t="inlineStr">
        <is>
          <t>Baugruppe</t>
        </is>
      </c>
      <c r="AI115" s="97" t="n"/>
      <c r="AJ115" s="97" t="n"/>
      <c r="AK115" s="97" t="n"/>
      <c r="AL115" s="97" t="n"/>
      <c r="AM115" s="97" t="n"/>
      <c r="AN115" s="97" t="n"/>
      <c r="AO115" s="97" t="n"/>
      <c r="AP115" s="99" t="inlineStr">
        <is>
          <t>19</t>
        </is>
      </c>
      <c r="AQ115" s="100" t="inlineStr">
        <is>
          <t>HSIM abschmieren allg.</t>
        </is>
      </c>
    </row>
    <row r="116" ht="45" customHeight="1">
      <c r="A116" s="101" t="inlineStr">
        <is>
          <t>19.1</t>
        </is>
      </c>
      <c r="B116" s="102" t="inlineStr">
        <is>
          <t>Schmieren laut Schmierplan</t>
        </is>
      </c>
      <c r="C116" s="103" t="inlineStr">
        <is>
          <t>Schmierung</t>
        </is>
      </c>
      <c r="D116" s="102" t="inlineStr">
        <is>
          <r>
            <rPr>
              <rFont val="Arial"/>
              <b val="1"/>
              <color rgb="00C00000"/>
              <sz val="8"/>
            </rPr>
            <t xml:space="preserve">ℹ Hinweis beachten
</t>
          </r>
          <r>
            <rPr>
              <rFont val="Arial"/>
              <sz val="9"/>
            </rPr>
            <t>Schmierplan hängt an der Maschine</t>
          </r>
        </is>
      </c>
      <c r="E116" s="114" t="inlineStr">
        <is>
          <t>Alle Schmierstellen laut Schmierplan versorgt</t>
        </is>
      </c>
      <c r="F116" s="102" t="n"/>
      <c r="G116" s="68">
        <f>IF(AB116="unvollständig","Bewertung fehlt",INDEX(Kl_Intervall,MATCH(AB116,Kl_Name,0)))</f>
        <v/>
      </c>
      <c r="H116" s="8">
        <f>IF(G116="Bewertung fehlt","",G116)</f>
        <v/>
      </c>
      <c r="I116" s="105" t="n"/>
      <c r="J116" s="106">
        <f>IF(OR(I116="",NOT(ISNUMBER(AK116))),"",IF(AJ116="Tage",I116+AI116,IF(AJ116="Wochen",I116+7*AI116,EDATE(I116,ROUND(AI116*IF(AJ116="Jahre",12,1),0)))))</f>
        <v/>
      </c>
      <c r="K116" s="107">
        <f>IF(J116="","",J116-TODAY())</f>
        <v/>
      </c>
      <c r="L116" s="57">
        <f>IF(H116="","Intervall fehlt",IF(NOT(ISNUMBER(AK116)),"Intervall prüfen",IF(I116="","nicht erfasst",IF(K116&lt;0,"überfällig",IF(K116&lt;=MIN(P_Vorwarn,ROUND(AK116/4,0)),"fällig","in Ordnung")))))</f>
        <v/>
      </c>
      <c r="M116" s="103" t="n"/>
      <c r="N116" s="103" t="n"/>
      <c r="O116" s="108" t="n"/>
      <c r="P116" s="103" t="n"/>
      <c r="Q116" s="108" t="n">
        <v>3</v>
      </c>
      <c r="R116" s="108" t="n">
        <v>3</v>
      </c>
      <c r="S116" s="108" t="n">
        <v>3</v>
      </c>
      <c r="T116" s="108" t="n">
        <v>3</v>
      </c>
      <c r="U116" s="108" t="n">
        <v>3</v>
      </c>
      <c r="V116" s="108" t="n">
        <v>3</v>
      </c>
      <c r="W116" s="108" t="n">
        <v>3</v>
      </c>
      <c r="X116" s="108" t="n">
        <v>2</v>
      </c>
      <c r="Y116" s="109">
        <f>P_SF</f>
        <v/>
      </c>
      <c r="Z116" s="109">
        <f>IF(COUNT(Q116:V116)=6,SQRT(SUMSQ(Q116:V116))/2,"")</f>
        <v/>
      </c>
      <c r="AA116" s="80">
        <f>IF(COUNT(W116:Z116)=4,Z116*W116*X116*Y116,"")</f>
        <v/>
      </c>
      <c r="AB116" s="68">
        <f>IF(AA116="","unvollständig",IF(AA116&gt;P_Grenze_kritisch,"kritisch",IF(AA116&gt;=P_Grenze_hoch,"hoch",IF(AA116&gt;=P_Grenze_mittel,"mittel","gering"))))</f>
        <v/>
      </c>
      <c r="AC116" s="68">
        <f>TRIM(IF(N(T116)&gt;=P_Krit,"AS ","")&amp;IF(N(S116)&gt;=P_Krit,"Q ","")&amp;IF(N(U116)&gt;=P_Krit,"US",""))</f>
        <v/>
      </c>
      <c r="AD116" s="102">
        <f>IF(ISNUMBER(R116),INDEX(IH_Text,R116),"")</f>
        <v/>
      </c>
      <c r="AE116" s="108" t="n"/>
      <c r="AF116" s="68" t="n"/>
      <c r="AG116" s="110" t="inlineStr">
        <is>
          <t>Schmierung allgemein (HSIM)</t>
        </is>
      </c>
      <c r="AH116" s="110" t="inlineStr">
        <is>
          <t>Maßnahme</t>
        </is>
      </c>
      <c r="AI116" s="68">
        <f>IF(H116="","",IFERROR(INDEX(Iv_Anzahl,MATCH(H116,Iv_Name,0)),IFERROR(VALUE(LEFT(TRIM(SUBSTITUTE(LOWER(H116),"alle ","")),FIND(" ",TRIM(SUBSTITUTE(LOWER(H116),"alle ",""))&amp;" ")-1)),"")))</f>
        <v/>
      </c>
      <c r="AJ116" s="68">
        <f>IF(H116="","",IFERROR(INDEX(Iv_Einheit,MATCH(H116,Iv_Name,0)),IF(ISNUMBER(SEARCH("jahr",H116)),"Jahre",IF(ISNUMBER(SEARCH("monat",H116)),"Monate",IF(ISNUMBER(SEARCH("woche",H116)),"Wochen",IF(ISNUMBER(SEARCH("tag",H116)),"Tage",""))))))</f>
        <v/>
      </c>
      <c r="AK116" s="107">
        <f>IF(AND(ISNUMBER(AI116),AJ116&lt;&gt;""),IF(AI116&gt;0,AI116*IF(AJ116="Tage",1,IF(AJ116="Wochen",7,IF(AJ116="Monate",365/12,365))),""),"")</f>
        <v/>
      </c>
      <c r="AL116" s="111">
        <f>IF(ISNUMBER(AK116),365/AK116,"")</f>
        <v/>
      </c>
      <c r="AM116" s="111">
        <f>IF(AND(ISNUMBER(AL116),ISNUMBER(AE116)),AL116*AE116/60,"")</f>
        <v/>
      </c>
      <c r="AN116" s="102">
        <f>IF(ISNUMBER(AA116),AA116-ROW()/100000,"")</f>
        <v/>
      </c>
      <c r="AO116" s="102">
        <f>IF(OR(L116="überfällig",L116="fällig"),J116+ROW()/100000,"")</f>
        <v/>
      </c>
      <c r="AP116" s="112" t="inlineStr">
        <is>
          <t>19.1</t>
        </is>
      </c>
      <c r="AQ116" s="113" t="inlineStr">
        <is>
          <t xml:space="preserve">Schmieren laut Schmierplan </t>
        </is>
      </c>
    </row>
    <row r="117" ht="45" customHeight="1">
      <c r="A117" s="101" t="inlineStr">
        <is>
          <t>19.2</t>
        </is>
      </c>
      <c r="B117" s="102" t="inlineStr">
        <is>
          <t>Führungen kontrollieren und schmieren</t>
        </is>
      </c>
      <c r="C117" s="103" t="inlineStr">
        <is>
          <t>Schmierung</t>
        </is>
      </c>
      <c r="D117" s="102" t="inlineStr">
        <is>
          <t>DTE 21; Profi Spezial Grease (Profi Star)</t>
        </is>
      </c>
      <c r="E117" s="114" t="inlineStr">
        <is>
          <t>Führungen mit ausreichendem Schmierfilm</t>
        </is>
      </c>
      <c r="F117" s="102" t="n"/>
      <c r="G117" s="68">
        <f>IF(AB117="unvollständig","Bewertung fehlt",INDEX(Kl_Intervall,MATCH(AB117,Kl_Name,0)))</f>
        <v/>
      </c>
      <c r="H117" s="8">
        <f>IF(G117="Bewertung fehlt","",G117)</f>
        <v/>
      </c>
      <c r="I117" s="105" t="n"/>
      <c r="J117" s="106">
        <f>IF(OR(I117="",NOT(ISNUMBER(AK117))),"",IF(AJ117="Tage",I117+AI117,IF(AJ117="Wochen",I117+7*AI117,EDATE(I117,ROUND(AI117*IF(AJ117="Jahre",12,1),0)))))</f>
        <v/>
      </c>
      <c r="K117" s="107">
        <f>IF(J117="","",J117-TODAY())</f>
        <v/>
      </c>
      <c r="L117" s="57">
        <f>IF(H117="","Intervall fehlt",IF(NOT(ISNUMBER(AK117)),"Intervall prüfen",IF(I117="","nicht erfasst",IF(K117&lt;0,"überfällig",IF(K117&lt;=MIN(P_Vorwarn,ROUND(AK117/4,0)),"fällig","in Ordnung")))))</f>
        <v/>
      </c>
      <c r="M117" s="103" t="n"/>
      <c r="N117" s="103" t="n"/>
      <c r="O117" s="108" t="n"/>
      <c r="P117" s="103" t="n"/>
      <c r="Q117" s="108" t="n">
        <v>3</v>
      </c>
      <c r="R117" s="108" t="n">
        <v>3</v>
      </c>
      <c r="S117" s="108" t="n">
        <v>3</v>
      </c>
      <c r="T117" s="108" t="n">
        <v>3</v>
      </c>
      <c r="U117" s="108" t="n">
        <v>3</v>
      </c>
      <c r="V117" s="108" t="n">
        <v>3</v>
      </c>
      <c r="W117" s="108" t="n">
        <v>3</v>
      </c>
      <c r="X117" s="108" t="n">
        <v>2</v>
      </c>
      <c r="Y117" s="109">
        <f>P_SF</f>
        <v/>
      </c>
      <c r="Z117" s="109">
        <f>IF(COUNT(Q117:V117)=6,SQRT(SUMSQ(Q117:V117))/2,"")</f>
        <v/>
      </c>
      <c r="AA117" s="80">
        <f>IF(COUNT(W117:Z117)=4,Z117*W117*X117*Y117,"")</f>
        <v/>
      </c>
      <c r="AB117" s="68">
        <f>IF(AA117="","unvollständig",IF(AA117&gt;P_Grenze_kritisch,"kritisch",IF(AA117&gt;=P_Grenze_hoch,"hoch",IF(AA117&gt;=P_Grenze_mittel,"mittel","gering"))))</f>
        <v/>
      </c>
      <c r="AC117" s="68">
        <f>TRIM(IF(N(T117)&gt;=P_Krit,"AS ","")&amp;IF(N(S117)&gt;=P_Krit,"Q ","")&amp;IF(N(U117)&gt;=P_Krit,"US",""))</f>
        <v/>
      </c>
      <c r="AD117" s="102">
        <f>IF(ISNUMBER(R117),INDEX(IH_Text,R117),"")</f>
        <v/>
      </c>
      <c r="AE117" s="108" t="n"/>
      <c r="AF117" s="68" t="n"/>
      <c r="AG117" s="110" t="inlineStr">
        <is>
          <t>Schmierung allgemein (HSIM)</t>
        </is>
      </c>
      <c r="AH117" s="110" t="inlineStr">
        <is>
          <t>Maßnahme</t>
        </is>
      </c>
      <c r="AI117" s="68">
        <f>IF(H117="","",IFERROR(INDEX(Iv_Anzahl,MATCH(H117,Iv_Name,0)),IFERROR(VALUE(LEFT(TRIM(SUBSTITUTE(LOWER(H117),"alle ","")),FIND(" ",TRIM(SUBSTITUTE(LOWER(H117),"alle ",""))&amp;" ")-1)),"")))</f>
        <v/>
      </c>
      <c r="AJ117" s="68">
        <f>IF(H117="","",IFERROR(INDEX(Iv_Einheit,MATCH(H117,Iv_Name,0)),IF(ISNUMBER(SEARCH("jahr",H117)),"Jahre",IF(ISNUMBER(SEARCH("monat",H117)),"Monate",IF(ISNUMBER(SEARCH("woche",H117)),"Wochen",IF(ISNUMBER(SEARCH("tag",H117)),"Tage",""))))))</f>
        <v/>
      </c>
      <c r="AK117" s="107">
        <f>IF(AND(ISNUMBER(AI117),AJ117&lt;&gt;""),IF(AI117&gt;0,AI117*IF(AJ117="Tage",1,IF(AJ117="Wochen",7,IF(AJ117="Monate",365/12,365))),""),"")</f>
        <v/>
      </c>
      <c r="AL117" s="111">
        <f>IF(ISNUMBER(AK117),365/AK117,"")</f>
        <v/>
      </c>
      <c r="AM117" s="111">
        <f>IF(AND(ISNUMBER(AL117),ISNUMBER(AE117)),AL117*AE117/60,"")</f>
        <v/>
      </c>
      <c r="AN117" s="102">
        <f>IF(ISNUMBER(AA117),AA117-ROW()/100000,"")</f>
        <v/>
      </c>
      <c r="AO117" s="102">
        <f>IF(OR(L117="überfällig",L117="fällig"),J117+ROW()/100000,"")</f>
        <v/>
      </c>
      <c r="AP117" s="112" t="inlineStr">
        <is>
          <t>19.2</t>
        </is>
      </c>
      <c r="AQ117" s="113" t="inlineStr">
        <is>
          <t>Kontrolle der Führungen &gt; schmieren mit DTE 21, Profi Spezial Grease (Profi Star)</t>
        </is>
      </c>
    </row>
    <row r="118" ht="20" customHeight="1">
      <c r="A118" s="96" t="inlineStr">
        <is>
          <t>20</t>
        </is>
      </c>
      <c r="B118" s="97" t="inlineStr">
        <is>
          <t>Schutzeinrichtungen</t>
        </is>
      </c>
      <c r="C118" s="97" t="n"/>
      <c r="D118" s="97" t="n"/>
      <c r="E118" s="97" t="n"/>
      <c r="F118" s="97" t="n"/>
      <c r="G118" s="97" t="n"/>
      <c r="H118" s="97" t="n"/>
      <c r="I118" s="97" t="n"/>
      <c r="J118" s="97" t="n"/>
      <c r="K118" s="97" t="n"/>
      <c r="L118" s="97" t="n"/>
      <c r="M118" s="97" t="n"/>
      <c r="N118" s="97" t="n"/>
      <c r="O118" s="97" t="n"/>
      <c r="P118" s="97" t="n"/>
      <c r="Q118" s="97" t="n"/>
      <c r="R118" s="97" t="n"/>
      <c r="S118" s="97" t="n"/>
      <c r="T118" s="97" t="n"/>
      <c r="U118" s="97" t="n"/>
      <c r="V118" s="97" t="n"/>
      <c r="W118" s="97" t="n"/>
      <c r="X118" s="97" t="n"/>
      <c r="Y118" s="97" t="n"/>
      <c r="Z118" s="97" t="n"/>
      <c r="AA118" s="97" t="n"/>
      <c r="AB118" s="97" t="n"/>
      <c r="AC118" s="97" t="n"/>
      <c r="AD118" s="97" t="n"/>
      <c r="AE118" s="97" t="n"/>
      <c r="AF118" s="97" t="n"/>
      <c r="AG118" s="98" t="inlineStr">
        <is>
          <t>Schutzeinrichtungen</t>
        </is>
      </c>
      <c r="AH118" s="98" t="inlineStr">
        <is>
          <t>Baugruppe</t>
        </is>
      </c>
      <c r="AI118" s="97" t="n"/>
      <c r="AJ118" s="97" t="n"/>
      <c r="AK118" s="97" t="n"/>
      <c r="AL118" s="97" t="n"/>
      <c r="AM118" s="97" t="n"/>
      <c r="AN118" s="97" t="n"/>
      <c r="AO118" s="97" t="n"/>
      <c r="AP118" s="99" t="inlineStr">
        <is>
          <t>20</t>
        </is>
      </c>
      <c r="AQ118" s="100" t="inlineStr">
        <is>
          <t>Schutzeinrichtungen</t>
        </is>
      </c>
    </row>
    <row r="119" ht="45" customHeight="1">
      <c r="A119" s="101" t="inlineStr">
        <is>
          <t>20.1</t>
        </is>
      </c>
      <c r="B119" s="102" t="inlineStr">
        <is>
          <t>Sicherheitsschalter und Schutzeinrichtungen auf Funktion und Beschädigung prüfen</t>
        </is>
      </c>
      <c r="C119" s="103" t="inlineStr">
        <is>
          <t>Funktionsprüfung</t>
        </is>
      </c>
      <c r="D119" s="104" t="inlineStr">
        <is>
          <t>⚠ Gefahrenstelle</t>
        </is>
      </c>
      <c r="E119" s="114" t="inlineStr">
        <is>
          <t>Alle Schutzeinrichtungen wirksam; Maschine stoppt bei Öffnen</t>
        </is>
      </c>
      <c r="F119" s="102" t="n"/>
      <c r="G119" s="68">
        <f>IF(AB119="unvollständig","Bewertung fehlt",INDEX(Kl_Intervall,MATCH(AB119,Kl_Name,0)))</f>
        <v/>
      </c>
      <c r="H119" s="8">
        <f>IF(G119="Bewertung fehlt","",G119)</f>
        <v/>
      </c>
      <c r="I119" s="105" t="n"/>
      <c r="J119" s="106">
        <f>IF(OR(I119="",NOT(ISNUMBER(AK119))),"",IF(AJ119="Tage",I119+AI119,IF(AJ119="Wochen",I119+7*AI119,EDATE(I119,ROUND(AI119*IF(AJ119="Jahre",12,1),0)))))</f>
        <v/>
      </c>
      <c r="K119" s="107">
        <f>IF(J119="","",J119-TODAY())</f>
        <v/>
      </c>
      <c r="L119" s="57">
        <f>IF(H119="","Intervall fehlt",IF(NOT(ISNUMBER(AK119)),"Intervall prüfen",IF(I119="","nicht erfasst",IF(K119&lt;0,"überfällig",IF(K119&lt;=MIN(P_Vorwarn,ROUND(AK119/4,0)),"fällig","in Ordnung")))))</f>
        <v/>
      </c>
      <c r="M119" s="103" t="n"/>
      <c r="N119" s="103" t="n"/>
      <c r="O119" s="108" t="n"/>
      <c r="P119" s="103" t="n"/>
      <c r="Q119" s="108" t="n">
        <v>2</v>
      </c>
      <c r="R119" s="108" t="n">
        <v>3</v>
      </c>
      <c r="S119" s="108" t="n">
        <v>1</v>
      </c>
      <c r="T119" s="108" t="n">
        <v>5</v>
      </c>
      <c r="U119" s="108" t="n">
        <v>1</v>
      </c>
      <c r="V119" s="108" t="n">
        <v>3</v>
      </c>
      <c r="W119" s="108" t="n">
        <v>2</v>
      </c>
      <c r="X119" s="108" t="n">
        <v>2</v>
      </c>
      <c r="Y119" s="109">
        <f>P_SF</f>
        <v/>
      </c>
      <c r="Z119" s="109">
        <f>IF(COUNT(Q119:V119)=6,SQRT(SUMSQ(Q119:V119))/2,"")</f>
        <v/>
      </c>
      <c r="AA119" s="80">
        <f>IF(COUNT(W119:Z119)=4,Z119*W119*X119*Y119,"")</f>
        <v/>
      </c>
      <c r="AB119" s="68">
        <f>IF(AA119="","unvollständig",IF(AA119&gt;P_Grenze_kritisch,"kritisch",IF(AA119&gt;=P_Grenze_hoch,"hoch",IF(AA119&gt;=P_Grenze_mittel,"mittel","gering"))))</f>
        <v/>
      </c>
      <c r="AC119" s="68">
        <f>TRIM(IF(N(T119)&gt;=P_Krit,"AS ","")&amp;IF(N(S119)&gt;=P_Krit,"Q ","")&amp;IF(N(U119)&gt;=P_Krit,"US",""))</f>
        <v/>
      </c>
      <c r="AD119" s="102">
        <f>IF(ISNUMBER(R119),INDEX(IH_Text,R119),"")</f>
        <v/>
      </c>
      <c r="AE119" s="108" t="n"/>
      <c r="AF119" s="68" t="n"/>
      <c r="AG119" s="110" t="inlineStr">
        <is>
          <t>Schutzeinrichtungen</t>
        </is>
      </c>
      <c r="AH119" s="110" t="inlineStr">
        <is>
          <t>Maßnahme</t>
        </is>
      </c>
      <c r="AI119" s="68">
        <f>IF(H119="","",IFERROR(INDEX(Iv_Anzahl,MATCH(H119,Iv_Name,0)),IFERROR(VALUE(LEFT(TRIM(SUBSTITUTE(LOWER(H119),"alle ","")),FIND(" ",TRIM(SUBSTITUTE(LOWER(H119),"alle ",""))&amp;" ")-1)),"")))</f>
        <v/>
      </c>
      <c r="AJ119" s="68">
        <f>IF(H119="","",IFERROR(INDEX(Iv_Einheit,MATCH(H119,Iv_Name,0)),IF(ISNUMBER(SEARCH("jahr",H119)),"Jahre",IF(ISNUMBER(SEARCH("monat",H119)),"Monate",IF(ISNUMBER(SEARCH("woche",H119)),"Wochen",IF(ISNUMBER(SEARCH("tag",H119)),"Tage",""))))))</f>
        <v/>
      </c>
      <c r="AK119" s="107">
        <f>IF(AND(ISNUMBER(AI119),AJ119&lt;&gt;""),IF(AI119&gt;0,AI119*IF(AJ119="Tage",1,IF(AJ119="Wochen",7,IF(AJ119="Monate",365/12,365))),""),"")</f>
        <v/>
      </c>
      <c r="AL119" s="111">
        <f>IF(ISNUMBER(AK119),365/AK119,"")</f>
        <v/>
      </c>
      <c r="AM119" s="111">
        <f>IF(AND(ISNUMBER(AL119),ISNUMBER(AE119)),AL119*AE119/60,"")</f>
        <v/>
      </c>
      <c r="AN119" s="102">
        <f>IF(ISNUMBER(AA119),AA119-ROW()/100000,"")</f>
        <v/>
      </c>
      <c r="AO119" s="102">
        <f>IF(OR(L119="überfällig",L119="fällig"),J119+ROW()/100000,"")</f>
        <v/>
      </c>
      <c r="AP119" s="112" t="inlineStr">
        <is>
          <t>20.1</t>
        </is>
      </c>
      <c r="AQ119" s="113" t="inlineStr">
        <is>
          <t>Prüfe Sicherheitsschalter und Schutzeinrichtungen auf Funktion und Beschädigung</t>
        </is>
      </c>
    </row>
    <row r="120" ht="20" customHeight="1">
      <c r="A120" s="96" t="inlineStr">
        <is>
          <t>21</t>
        </is>
      </c>
      <c r="B120" s="97" t="inlineStr">
        <is>
          <t>Kühlaggregat für Öl und Wasser</t>
        </is>
      </c>
      <c r="C120" s="97" t="n"/>
      <c r="D120" s="97" t="n"/>
      <c r="E120" s="97" t="n"/>
      <c r="F120" s="97" t="n"/>
      <c r="G120" s="97" t="n"/>
      <c r="H120" s="97" t="n"/>
      <c r="I120" s="97" t="n"/>
      <c r="J120" s="97" t="n"/>
      <c r="K120" s="97" t="n"/>
      <c r="L120" s="97" t="n"/>
      <c r="M120" s="97" t="n"/>
      <c r="N120" s="97" t="n"/>
      <c r="O120" s="97" t="n"/>
      <c r="P120" s="97" t="n"/>
      <c r="Q120" s="97" t="n"/>
      <c r="R120" s="97" t="n"/>
      <c r="S120" s="97" t="n"/>
      <c r="T120" s="97" t="n"/>
      <c r="U120" s="97" t="n"/>
      <c r="V120" s="97" t="n"/>
      <c r="W120" s="97" t="n"/>
      <c r="X120" s="97" t="n"/>
      <c r="Y120" s="97" t="n"/>
      <c r="Z120" s="97" t="n"/>
      <c r="AA120" s="97" t="n"/>
      <c r="AB120" s="97" t="n"/>
      <c r="AC120" s="97" t="n"/>
      <c r="AD120" s="97" t="n"/>
      <c r="AE120" s="97" t="n"/>
      <c r="AF120" s="97" t="n"/>
      <c r="AG120" s="98" t="inlineStr">
        <is>
          <t>Kühlaggregat für Öl und Wasser</t>
        </is>
      </c>
      <c r="AH120" s="98" t="inlineStr">
        <is>
          <t>Baugruppe</t>
        </is>
      </c>
      <c r="AI120" s="97" t="n"/>
      <c r="AJ120" s="97" t="n"/>
      <c r="AK120" s="97" t="n"/>
      <c r="AL120" s="97" t="n"/>
      <c r="AM120" s="97" t="n"/>
      <c r="AN120" s="97" t="n"/>
      <c r="AO120" s="97" t="n"/>
      <c r="AP120" s="99" t="inlineStr">
        <is>
          <t>21</t>
        </is>
      </c>
      <c r="AQ120" s="100" t="inlineStr">
        <is>
          <t>Kühlaggregat für Öl und für Wasser</t>
        </is>
      </c>
    </row>
    <row r="121" ht="32" customHeight="1">
      <c r="A121" s="101" t="inlineStr">
        <is>
          <t>21.1</t>
        </is>
      </c>
      <c r="B121" s="102" t="inlineStr">
        <is>
          <t>Wasserstand und Wasserzustand prüfen (Farbe, Verunreinigung), ggf. nachfüllen</t>
        </is>
      </c>
      <c r="C121" s="103" t="inlineStr">
        <is>
          <t>Inspektion</t>
        </is>
      </c>
      <c r="D121" s="102" t="n"/>
      <c r="E121" s="114" t="inlineStr">
        <is>
          <t>Wasserstand i.O.; Wasser klar</t>
        </is>
      </c>
      <c r="F121" s="102" t="n"/>
      <c r="G121" s="68">
        <f>IF(AB121="unvollständig","Bewertung fehlt",INDEX(Kl_Intervall,MATCH(AB121,Kl_Name,0)))</f>
        <v/>
      </c>
      <c r="H121" s="8">
        <f>IF(G121="Bewertung fehlt","",G121)</f>
        <v/>
      </c>
      <c r="I121" s="105" t="n"/>
      <c r="J121" s="106">
        <f>IF(OR(I121="",NOT(ISNUMBER(AK121))),"",IF(AJ121="Tage",I121+AI121,IF(AJ121="Wochen",I121+7*AI121,EDATE(I121,ROUND(AI121*IF(AJ121="Jahre",12,1),0)))))</f>
        <v/>
      </c>
      <c r="K121" s="107">
        <f>IF(J121="","",J121-TODAY())</f>
        <v/>
      </c>
      <c r="L121" s="57">
        <f>IF(H121="","Intervall fehlt",IF(NOT(ISNUMBER(AK121)),"Intervall prüfen",IF(I121="","nicht erfasst",IF(K121&lt;0,"überfällig",IF(K121&lt;=MIN(P_Vorwarn,ROUND(AK121/4,0)),"fällig","in Ordnung")))))</f>
        <v/>
      </c>
      <c r="M121" s="103" t="n"/>
      <c r="N121" s="103" t="n"/>
      <c r="O121" s="108" t="n"/>
      <c r="P121" s="103" t="n"/>
      <c r="Q121" s="108" t="n">
        <v>4</v>
      </c>
      <c r="R121" s="108" t="n">
        <v>3</v>
      </c>
      <c r="S121" s="108" t="n">
        <v>4</v>
      </c>
      <c r="T121" s="108" t="n">
        <v>3</v>
      </c>
      <c r="U121" s="108" t="n">
        <v>3</v>
      </c>
      <c r="V121" s="108" t="n">
        <v>3</v>
      </c>
      <c r="W121" s="108" t="n">
        <v>2</v>
      </c>
      <c r="X121" s="108" t="n">
        <v>2</v>
      </c>
      <c r="Y121" s="109">
        <f>P_SF</f>
        <v/>
      </c>
      <c r="Z121" s="109">
        <f>IF(COUNT(Q121:V121)=6,SQRT(SUMSQ(Q121:V121))/2,"")</f>
        <v/>
      </c>
      <c r="AA121" s="80">
        <f>IF(COUNT(W121:Z121)=4,Z121*W121*X121*Y121,"")</f>
        <v/>
      </c>
      <c r="AB121" s="68">
        <f>IF(AA121="","unvollständig",IF(AA121&gt;P_Grenze_kritisch,"kritisch",IF(AA121&gt;=P_Grenze_hoch,"hoch",IF(AA121&gt;=P_Grenze_mittel,"mittel","gering"))))</f>
        <v/>
      </c>
      <c r="AC121" s="68">
        <f>TRIM(IF(N(T121)&gt;=P_Krit,"AS ","")&amp;IF(N(S121)&gt;=P_Krit,"Q ","")&amp;IF(N(U121)&gt;=P_Krit,"US",""))</f>
        <v/>
      </c>
      <c r="AD121" s="102">
        <f>IF(ISNUMBER(R121),INDEX(IH_Text,R121),"")</f>
        <v/>
      </c>
      <c r="AE121" s="108" t="n"/>
      <c r="AF121" s="68" t="n"/>
      <c r="AG121" s="110" t="inlineStr">
        <is>
          <t>Kühlaggregat für Öl und Wasser</t>
        </is>
      </c>
      <c r="AH121" s="110" t="inlineStr">
        <is>
          <t>Maßnahme</t>
        </is>
      </c>
      <c r="AI121" s="68">
        <f>IF(H121="","",IFERROR(INDEX(Iv_Anzahl,MATCH(H121,Iv_Name,0)),IFERROR(VALUE(LEFT(TRIM(SUBSTITUTE(LOWER(H121),"alle ","")),FIND(" ",TRIM(SUBSTITUTE(LOWER(H121),"alle ",""))&amp;" ")-1)),"")))</f>
        <v/>
      </c>
      <c r="AJ121" s="68">
        <f>IF(H121="","",IFERROR(INDEX(Iv_Einheit,MATCH(H121,Iv_Name,0)),IF(ISNUMBER(SEARCH("jahr",H121)),"Jahre",IF(ISNUMBER(SEARCH("monat",H121)),"Monate",IF(ISNUMBER(SEARCH("woche",H121)),"Wochen",IF(ISNUMBER(SEARCH("tag",H121)),"Tage",""))))))</f>
        <v/>
      </c>
      <c r="AK121" s="107">
        <f>IF(AND(ISNUMBER(AI121),AJ121&lt;&gt;""),IF(AI121&gt;0,AI121*IF(AJ121="Tage",1,IF(AJ121="Wochen",7,IF(AJ121="Monate",365/12,365))),""),"")</f>
        <v/>
      </c>
      <c r="AL121" s="111">
        <f>IF(ISNUMBER(AK121),365/AK121,"")</f>
        <v/>
      </c>
      <c r="AM121" s="111">
        <f>IF(AND(ISNUMBER(AL121),ISNUMBER(AE121)),AL121*AE121/60,"")</f>
        <v/>
      </c>
      <c r="AN121" s="102">
        <f>IF(ISNUMBER(AA121),AA121-ROW()/100000,"")</f>
        <v/>
      </c>
      <c r="AO121" s="102">
        <f>IF(OR(L121="überfällig",L121="fällig"),J121+ROW()/100000,"")</f>
        <v/>
      </c>
      <c r="AP121" s="112" t="inlineStr">
        <is>
          <t>21.1</t>
        </is>
      </c>
      <c r="AQ121" s="113" t="inlineStr">
        <is>
          <t>Prüfe Wasserstand und Zustand (Farbe, Verunreinigung) ggf. nachfüllen</t>
        </is>
      </c>
    </row>
    <row r="122" ht="45" customHeight="1">
      <c r="A122" s="101" t="inlineStr">
        <is>
          <t>21.2</t>
        </is>
      </c>
      <c r="B122" s="102" t="inlineStr">
        <is>
          <t>Wasser- und Hydraulikventile prüfen (Tätigkeit in der Vorversion nicht näher beschrieben)</t>
        </is>
      </c>
      <c r="C122" s="103" t="inlineStr">
        <is>
          <t>Inspektion</t>
        </is>
      </c>
      <c r="D122" s="102" t="n"/>
      <c r="E122" s="114" t="inlineStr">
        <is>
          <t>Ventile dicht und funktionsfähig</t>
        </is>
      </c>
      <c r="F122" s="102" t="n"/>
      <c r="G122" s="68">
        <f>IF(AB122="unvollständig","Bewertung fehlt",INDEX(Kl_Intervall,MATCH(AB122,Kl_Name,0)))</f>
        <v/>
      </c>
      <c r="H122" s="8">
        <f>IF(G122="Bewertung fehlt","",G122)</f>
        <v/>
      </c>
      <c r="I122" s="105" t="n"/>
      <c r="J122" s="106">
        <f>IF(OR(I122="",NOT(ISNUMBER(AK122))),"",IF(AJ122="Tage",I122+AI122,IF(AJ122="Wochen",I122+7*AI122,EDATE(I122,ROUND(AI122*IF(AJ122="Jahre",12,1),0)))))</f>
        <v/>
      </c>
      <c r="K122" s="107">
        <f>IF(J122="","",J122-TODAY())</f>
        <v/>
      </c>
      <c r="L122" s="57">
        <f>IF(H122="","Intervall fehlt",IF(NOT(ISNUMBER(AK122)),"Intervall prüfen",IF(I122="","nicht erfasst",IF(K122&lt;0,"überfällig",IF(K122&lt;=MIN(P_Vorwarn,ROUND(AK122/4,0)),"fällig","in Ordnung")))))</f>
        <v/>
      </c>
      <c r="M122" s="103" t="n"/>
      <c r="N122" s="103" t="n"/>
      <c r="O122" s="108" t="n"/>
      <c r="P122" s="103" t="n"/>
      <c r="Q122" s="108" t="n">
        <v>4</v>
      </c>
      <c r="R122" s="108" t="n">
        <v>3</v>
      </c>
      <c r="S122" s="108" t="n">
        <v>4</v>
      </c>
      <c r="T122" s="108" t="n">
        <v>3</v>
      </c>
      <c r="U122" s="108" t="n">
        <v>3</v>
      </c>
      <c r="V122" s="108" t="n">
        <v>3</v>
      </c>
      <c r="W122" s="108" t="n">
        <v>2</v>
      </c>
      <c r="X122" s="108" t="n">
        <v>2</v>
      </c>
      <c r="Y122" s="109">
        <f>P_SF</f>
        <v/>
      </c>
      <c r="Z122" s="109">
        <f>IF(COUNT(Q122:V122)=6,SQRT(SUMSQ(Q122:V122))/2,"")</f>
        <v/>
      </c>
      <c r="AA122" s="80">
        <f>IF(COUNT(W122:Z122)=4,Z122*W122*X122*Y122,"")</f>
        <v/>
      </c>
      <c r="AB122" s="68">
        <f>IF(AA122="","unvollständig",IF(AA122&gt;P_Grenze_kritisch,"kritisch",IF(AA122&gt;=P_Grenze_hoch,"hoch",IF(AA122&gt;=P_Grenze_mittel,"mittel","gering"))))</f>
        <v/>
      </c>
      <c r="AC122" s="68">
        <f>TRIM(IF(N(T122)&gt;=P_Krit,"AS ","")&amp;IF(N(S122)&gt;=P_Krit,"Q ","")&amp;IF(N(U122)&gt;=P_Krit,"US",""))</f>
        <v/>
      </c>
      <c r="AD122" s="102">
        <f>IF(ISNUMBER(R122),INDEX(IH_Text,R122),"")</f>
        <v/>
      </c>
      <c r="AE122" s="108" t="n"/>
      <c r="AF122" s="68" t="n"/>
      <c r="AG122" s="110" t="inlineStr">
        <is>
          <t>Kühlaggregat für Öl und Wasser</t>
        </is>
      </c>
      <c r="AH122" s="110" t="inlineStr">
        <is>
          <t>Maßnahme</t>
        </is>
      </c>
      <c r="AI122" s="68">
        <f>IF(H122="","",IFERROR(INDEX(Iv_Anzahl,MATCH(H122,Iv_Name,0)),IFERROR(VALUE(LEFT(TRIM(SUBSTITUTE(LOWER(H122),"alle ","")),FIND(" ",TRIM(SUBSTITUTE(LOWER(H122),"alle ",""))&amp;" ")-1)),"")))</f>
        <v/>
      </c>
      <c r="AJ122" s="68">
        <f>IF(H122="","",IFERROR(INDEX(Iv_Einheit,MATCH(H122,Iv_Name,0)),IF(ISNUMBER(SEARCH("jahr",H122)),"Jahre",IF(ISNUMBER(SEARCH("monat",H122)),"Monate",IF(ISNUMBER(SEARCH("woche",H122)),"Wochen",IF(ISNUMBER(SEARCH("tag",H122)),"Tage",""))))))</f>
        <v/>
      </c>
      <c r="AK122" s="107">
        <f>IF(AND(ISNUMBER(AI122),AJ122&lt;&gt;""),IF(AI122&gt;0,AI122*IF(AJ122="Tage",1,IF(AJ122="Wochen",7,IF(AJ122="Monate",365/12,365))),""),"")</f>
        <v/>
      </c>
      <c r="AL122" s="111">
        <f>IF(ISNUMBER(AK122),365/AK122,"")</f>
        <v/>
      </c>
      <c r="AM122" s="111">
        <f>IF(AND(ISNUMBER(AL122),ISNUMBER(AE122)),AL122*AE122/60,"")</f>
        <v/>
      </c>
      <c r="AN122" s="102">
        <f>IF(ISNUMBER(AA122),AA122-ROW()/100000,"")</f>
        <v/>
      </c>
      <c r="AO122" s="102">
        <f>IF(OR(L122="überfällig",L122="fällig"),J122+ROW()/100000,"")</f>
        <v/>
      </c>
      <c r="AP122" s="112" t="inlineStr">
        <is>
          <t>21.2</t>
        </is>
      </c>
      <c r="AQ122" s="113" t="inlineStr">
        <is>
          <t>Wasserventile und Hydraulikventile</t>
        </is>
      </c>
    </row>
    <row r="123" ht="80" customHeight="1">
      <c r="A123" s="101" t="inlineStr">
        <is>
          <t>21.3</t>
        </is>
      </c>
      <c r="B123" s="102" t="inlineStr">
        <is>
          <t>Wasser-/Hydraulikventile auf Funktion kontrollieren; Sichtkontrolle auf Leckage</t>
        </is>
      </c>
      <c r="C123" s="103" t="inlineStr">
        <is>
          <t>Funktionsprüfung</t>
        </is>
      </c>
      <c r="D123" s="102" t="n"/>
      <c r="E123" s="114" t="inlineStr">
        <is>
          <t>Ventile schalten; keine Leckage</t>
        </is>
      </c>
      <c r="F123" s="102" t="n"/>
      <c r="G123" s="68">
        <f>IF(AB123="unvollständig","Bewertung fehlt",INDEX(Kl_Intervall,MATCH(AB123,Kl_Name,0)))</f>
        <v/>
      </c>
      <c r="H123" s="8">
        <f>IF(G123="Bewertung fehlt","",G123)</f>
        <v/>
      </c>
      <c r="I123" s="105" t="n"/>
      <c r="J123" s="106">
        <f>IF(OR(I123="",NOT(ISNUMBER(AK123))),"",IF(AJ123="Tage",I123+AI123,IF(AJ123="Wochen",I123+7*AI123,EDATE(I123,ROUND(AI123*IF(AJ123="Jahre",12,1),0)))))</f>
        <v/>
      </c>
      <c r="K123" s="107">
        <f>IF(J123="","",J123-TODAY())</f>
        <v/>
      </c>
      <c r="L123" s="57">
        <f>IF(H123="","Intervall fehlt",IF(NOT(ISNUMBER(AK123)),"Intervall prüfen",IF(I123="","nicht erfasst",IF(K123&lt;0,"überfällig",IF(K123&lt;=MIN(P_Vorwarn,ROUND(AK123/4,0)),"fällig","in Ordnung")))))</f>
        <v/>
      </c>
      <c r="M123" s="103" t="n"/>
      <c r="N123" s="103" t="n"/>
      <c r="O123" s="108" t="n"/>
      <c r="P123" s="103" t="n"/>
      <c r="Q123" s="108" t="n">
        <v>4</v>
      </c>
      <c r="R123" s="108" t="n">
        <v>3</v>
      </c>
      <c r="S123" s="108" t="n">
        <v>4</v>
      </c>
      <c r="T123" s="108" t="n">
        <v>3</v>
      </c>
      <c r="U123" s="108" t="n">
        <v>3</v>
      </c>
      <c r="V123" s="108" t="n">
        <v>3</v>
      </c>
      <c r="W123" s="108" t="n">
        <v>2</v>
      </c>
      <c r="X123" s="108" t="n">
        <v>2</v>
      </c>
      <c r="Y123" s="109">
        <f>P_SF</f>
        <v/>
      </c>
      <c r="Z123" s="109">
        <f>IF(COUNT(Q123:V123)=6,SQRT(SUMSQ(Q123:V123))/2,"")</f>
        <v/>
      </c>
      <c r="AA123" s="80">
        <f>IF(COUNT(W123:Z123)=4,Z123*W123*X123*Y123,"")</f>
        <v/>
      </c>
      <c r="AB123" s="68">
        <f>IF(AA123="","unvollständig",IF(AA123&gt;P_Grenze_kritisch,"kritisch",IF(AA123&gt;=P_Grenze_hoch,"hoch",IF(AA123&gt;=P_Grenze_mittel,"mittel","gering"))))</f>
        <v/>
      </c>
      <c r="AC123" s="68">
        <f>TRIM(IF(N(T123)&gt;=P_Krit,"AS ","")&amp;IF(N(S123)&gt;=P_Krit,"Q ","")&amp;IF(N(U123)&gt;=P_Krit,"US",""))</f>
        <v/>
      </c>
      <c r="AD123" s="102">
        <f>IF(ISNUMBER(R123),INDEX(IH_Text,R123),"")</f>
        <v/>
      </c>
      <c r="AE123" s="108" t="n"/>
      <c r="AF123" s="68" t="n"/>
      <c r="AG123" s="110" t="inlineStr">
        <is>
          <t>Kühlaggregat für Öl und Wasser</t>
        </is>
      </c>
      <c r="AH123" s="110" t="inlineStr">
        <is>
          <t>Maßnahme</t>
        </is>
      </c>
      <c r="AI123" s="68">
        <f>IF(H123="","",IFERROR(INDEX(Iv_Anzahl,MATCH(H123,Iv_Name,0)),IFERROR(VALUE(LEFT(TRIM(SUBSTITUTE(LOWER(H123),"alle ","")),FIND(" ",TRIM(SUBSTITUTE(LOWER(H123),"alle ",""))&amp;" ")-1)),"")))</f>
        <v/>
      </c>
      <c r="AJ123" s="68">
        <f>IF(H123="","",IFERROR(INDEX(Iv_Einheit,MATCH(H123,Iv_Name,0)),IF(ISNUMBER(SEARCH("jahr",H123)),"Jahre",IF(ISNUMBER(SEARCH("monat",H123)),"Monate",IF(ISNUMBER(SEARCH("woche",H123)),"Wochen",IF(ISNUMBER(SEARCH("tag",H123)),"Tage",""))))))</f>
        <v/>
      </c>
      <c r="AK123" s="107">
        <f>IF(AND(ISNUMBER(AI123),AJ123&lt;&gt;""),IF(AI123&gt;0,AI123*IF(AJ123="Tage",1,IF(AJ123="Wochen",7,IF(AJ123="Monate",365/12,365))),""),"")</f>
        <v/>
      </c>
      <c r="AL123" s="111">
        <f>IF(ISNUMBER(AK123),365/AK123,"")</f>
        <v/>
      </c>
      <c r="AM123" s="111">
        <f>IF(AND(ISNUMBER(AL123),ISNUMBER(AE123)),AL123*AE123/60,"")</f>
        <v/>
      </c>
      <c r="AN123" s="102">
        <f>IF(ISNUMBER(AA123),AA123-ROW()/100000,"")</f>
        <v/>
      </c>
      <c r="AO123" s="102">
        <f>IF(OR(L123="überfällig",L123="fällig"),J123+ROW()/100000,"")</f>
        <v/>
      </c>
      <c r="AP123" s="112" t="inlineStr">
        <is>
          <t>21.3</t>
        </is>
      </c>
      <c r="AQ123" s="113" t="inlineStr">
        <is>
          <t>kontrolliere Wasser-Hydraulikventile auf Funktion, Sichtkontrolle auf Leckage</t>
        </is>
      </c>
    </row>
  </sheetData>
  <mergeCells count="6">
    <mergeCell ref="M4:P4"/>
    <mergeCell ref="Q4:AF4"/>
    <mergeCell ref="A4:F4"/>
    <mergeCell ref="G4:L4"/>
    <mergeCell ref="AG4:AO4"/>
    <mergeCell ref="AP4:AQ4"/>
  </mergeCells>
  <conditionalFormatting sqref="L6:L323">
    <cfRule type="cellIs" priority="1" operator="equal" dxfId="0">
      <formula>"überfällig"</formula>
    </cfRule>
    <cfRule type="cellIs" priority="2" operator="equal" dxfId="1">
      <formula>"fällig"</formula>
    </cfRule>
    <cfRule type="cellIs" priority="3" operator="equal" dxfId="2">
      <formula>"in Ordnung"</formula>
    </cfRule>
    <cfRule type="cellIs" priority="4" operator="equal" dxfId="5">
      <formula>"nicht erfasst"</formula>
    </cfRule>
    <cfRule type="cellIs" priority="5" operator="equal" dxfId="6">
      <formula>"Intervall prüfen"</formula>
    </cfRule>
    <cfRule type="cellIs" priority="6" operator="equal" dxfId="6">
      <formula>"Intervall fehlt"</formula>
    </cfRule>
  </conditionalFormatting>
  <conditionalFormatting sqref="J6:K323">
    <cfRule type="expression" priority="7" dxfId="7">
      <formula>AND(ISNUMBER($K6),$K6&lt;0)</formula>
    </cfRule>
  </conditionalFormatting>
  <conditionalFormatting sqref="H6:H323">
    <cfRule type="expression" priority="8" dxfId="0">
      <formula>$L6="Intervall prüfen"</formula>
    </cfRule>
    <cfRule type="expression" priority="9" dxfId="8">
      <formula>AND($AH6="Maßnahme",$H6&lt;&gt;"",$H6&lt;&gt;$G6)</formula>
    </cfRule>
  </conditionalFormatting>
  <conditionalFormatting sqref="G6:G323">
    <cfRule type="expression" priority="10" dxfId="9">
      <formula>$AB6="gering"</formula>
    </cfRule>
    <cfRule type="expression" priority="12" dxfId="1">
      <formula>$AB6="mittel"</formula>
    </cfRule>
    <cfRule type="expression" priority="14" dxfId="0">
      <formula>$AB6="hoch"</formula>
    </cfRule>
    <cfRule type="expression" priority="16" dxfId="3">
      <formula>$AB6="kritisch"</formula>
    </cfRule>
    <cfRule type="expression" priority="18" dxfId="4">
      <formula>$AB6="unvollständig"</formula>
    </cfRule>
  </conditionalFormatting>
  <conditionalFormatting sqref="AB6:AB323">
    <cfRule type="cellIs" priority="11" operator="equal" dxfId="2">
      <formula>"gering"</formula>
    </cfRule>
    <cfRule type="cellIs" priority="13" operator="equal" dxfId="1">
      <formula>"mittel"</formula>
    </cfRule>
    <cfRule type="cellIs" priority="15" operator="equal" dxfId="0">
      <formula>"hoch"</formula>
    </cfRule>
    <cfRule type="cellIs" priority="17" operator="equal" dxfId="3">
      <formula>"kritisch"</formula>
    </cfRule>
    <cfRule type="cellIs" priority="19" operator="equal" dxfId="4">
      <formula>"unvollständig"</formula>
    </cfRule>
  </conditionalFormatting>
  <conditionalFormatting sqref="O6:O323">
    <cfRule type="expression" priority="20" dxfId="10">
      <formula>LEFT($O6,6)="n.i.O."</formula>
    </cfRule>
  </conditionalFormatting>
  <conditionalFormatting sqref="Q6:V323">
    <cfRule type="cellIs" priority="21" operator="equal" dxfId="11">
      <formula>5</formula>
    </cfRule>
    <cfRule type="cellIs" priority="22" operator="equal" dxfId="12">
      <formula>4</formula>
    </cfRule>
  </conditionalFormatting>
  <conditionalFormatting sqref="W6:X323">
    <cfRule type="cellIs" priority="23" operator="greaterThanOrEqual" dxfId="12">
      <formula>4</formula>
    </cfRule>
  </conditionalFormatting>
  <conditionalFormatting sqref="AA6:AA323">
    <cfRule type="dataBar" priority="24">
      <dataBar showValue="1">
        <cfvo type="num" val="0"/>
        <cfvo type="num" val="125"/>
        <color rgb="008EA9DB"/>
      </dataBar>
    </cfRule>
  </conditionalFormatting>
  <dataValidations count="15">
    <dataValidation sqref="Q6:Q323" showDropDown="0" showInputMessage="0" showErrorMessage="0" allowBlank="1" errorTitle="Ungültige Bewertung" error="Bitte ganze Zahl von 1 bis 5 eingeben." promptTitle="Bewertung F (1–5)" prompt="1 kaum wahrnehmbar · 2 gering · 3 mäßig · 4 hoch · 5 Anlage wird zerstört" type="whole" operator="between">
      <formula1>1</formula1>
      <formula2>5</formula2>
    </dataValidation>
    <dataValidation sqref="R6:R323" showDropDown="0" showInputMessage="0" showErrorMessage="0" allowBlank="1" errorTitle="Ungültige Bewertung" error="Bitte ganze Zahl von 1 bis 5 eingeben." promptTitle="Bewertung IH (1–5)" prompt="1 &lt;10 min, Bediener · 2 10–30 min, IH allein · 3 30–60 min · 4 1–3 h, ≥2 MA · 5 &gt;3 h, Spezialisten" type="whole" operator="between">
      <formula1>1</formula1>
      <formula2>5</formula2>
    </dataValidation>
    <dataValidation sqref="S6:S323" showDropDown="0" showInputMessage="0" showErrorMessage="0" allowBlank="1" errorTitle="Ungültige Bewertung" error="Bitte ganze Zahl von 1 bis 5 eingeben." promptTitle="Bewertung Q (1–5)" prompt="1 kaum wahrnehmbar · 2 gering · 3 mäßig · 4 Verärgerung des Kunden · 5 Verlust des Kunden" type="whole" operator="between">
      <formula1>1</formula1>
      <formula2>5</formula2>
    </dataValidation>
    <dataValidation sqref="T6:T323" showDropDown="0" showInputMessage="0" showErrorMessage="0" allowBlank="1" errorTitle="Ungültige Bewertung" error="Bitte ganze Zahl von 1 bis 5 eingeben." promptTitle="Bewertung AS (1–5)" prompt="1 kaum wahrnehmbar · 2 gering · 3 mäßig · 4 hoch · 5 Schaden an Leib und Leben" type="whole" operator="between">
      <formula1>1</formula1>
      <formula2>5</formula2>
    </dataValidation>
    <dataValidation sqref="U6:U323" showDropDown="0" showInputMessage="0" showErrorMessage="0" allowBlank="1" errorTitle="Ungültige Bewertung" error="Bitte ganze Zahl von 1 bis 5 eingeben." promptTitle="Bewertung US (1–5)" prompt="1 kaum wahrnehmbar · 2 gering · 3 mäßig · 4 hoch · 5 Umweltschutzbehörde" type="whole" operator="between">
      <formula1>1</formula1>
      <formula2>5</formula2>
    </dataValidation>
    <dataValidation sqref="V6:V323" showDropDown="0" showInputMessage="0" showErrorMessage="0" allowBlank="1" errorTitle="Ungültige Bewertung" error="Bitte ganze Zahl von 1 bis 5 eingeben." promptTitle="Bewertung S (1–5)" prompt="1 kaum wahrnehmbar · 2 gering · 3 mäßig · 4 hoch · 5 Generalüberholung" type="whole" operator="between">
      <formula1>1</formula1>
      <formula2>5</formula2>
    </dataValidation>
    <dataValidation sqref="W6:W323" showDropDown="0" showInputMessage="0" showErrorMessage="0" allowBlank="1" errorTitle="Ungültige Bewertung" error="Bitte ganze Zahl von 1 bis 5 eingeben." promptTitle="Bewertung A (1–5)" prompt="1 &gt;3 Jahre · 2 &gt;1 Jahr · 3 4–12 Monate · 4 alle 8–16 Wochen · 5 alle 6–8 Wochen" type="whole" operator="between">
      <formula1>1</formula1>
      <formula2>5</formula2>
    </dataValidation>
    <dataValidation sqref="X6:X323" showDropDown="0" showInputMessage="0" showErrorMessage="0" allowBlank="1" errorTitle="Ungültige Bewertung" error="Bitte ganze Zahl von 1 bis 5 eingeben." promptTitle="Bewertung E (1–5)" prompt="Entdeckt: 1 sofort · 2 nach 10 min · 3 nach 7 Std. · 4 nach 1 Woche · 5 nach 1 Monat" type="whole" operator="between">
      <formula1>1</formula1>
      <formula2>5</formula2>
    </dataValidation>
    <dataValidation sqref="H6:H323" showDropDown="0" showInputMessage="0" showErrorMessage="0" allowBlank="1" promptTitle="Intervall" prompt="Aus der Liste wählen oder frei eintippen: Zahl + Einheit, z. B. „2 Jahre“, „10 Tage“, „18 Monate“." type="list">
      <formula1>=Iv_Liste</formula1>
    </dataValidation>
    <dataValidation sqref="I6:I323" showDropDown="0" showInputMessage="0" showErrorMessage="0" allowBlank="1" errorTitle="Ungültiges Datum" error="Bitte Datum im Format TT.MM.JJJJ eingeben." promptTitle="Zuletzt durchgeführt" prompt="Datum der Durchführung eintragen (TT.MM.JJJJ). Tipp: Strg + . für heute." type="date" operator="between">
      <formula1>DATE(2000,1,1)</formula1>
      <formula2>DATE(2100,12,31)</formula2>
    </dataValidation>
    <dataValidation sqref="C6:C323" showDropDown="0" showInputMessage="0" showErrorMessage="0" allowBlank="1" type="list">
      <formula1>=L_Art</formula1>
    </dataValidation>
    <dataValidation sqref="M6:M323" showDropDown="0" showInputMessage="0" showErrorMessage="0" allowBlank="1" type="list">
      <formula1>=L_Ausfuehrung</formula1>
    </dataValidation>
    <dataValidation sqref="O6:O323" showDropDown="0" showInputMessage="0" showErrorMessage="0" allowBlank="1" type="list">
      <formula1>=L_Befund</formula1>
    </dataValidation>
    <dataValidation sqref="Y6:Y323" showDropDown="0" showInputMessage="0" showErrorMessage="0" allowBlank="1" type="decimal" operator="between">
      <formula1>0</formula1>
      <formula2>1</formula2>
    </dataValidation>
    <dataValidation sqref="AE6:AE323" showDropDown="0" showInputMessage="0" showErrorMessage="0" allowBlank="1" type="whole" operator="between">
      <formula1>0</formula1>
      <formula2>10000</formula2>
    </dataValidation>
  </dataValidations>
  <printOptions horizontalCentered="1"/>
  <pageMargins left="0.4" right="0.4" top="0.6" bottom="0.6" header="0.5" footer="0.5"/>
  <pageSetup orientation="landscape" paperSize="8" fitToHeight="0" fitToWidth="1"/>
  <headerFooter>
    <oddHeader>&amp;R&amp;"Arial"&amp;8 &amp;A</oddHeader>
    <oddFooter>&amp;L&amp;"Arial"&amp;8 Verantwortlich für Änderungen: fz-pA / H. Mrugalla&amp;C&amp;"Arial"&amp;8 Seite &amp;P von &amp;N&amp;R&amp;"Arial"&amp;8 Stand 03 (Entwurf) / 17.10.2026     Druckdatum: &amp;D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tabColor rgb="008EA9DB"/>
    <outlinePr summaryBelow="1" summaryRight="1"/>
    <pageSetUpPr fitToPage="1"/>
  </sheetPr>
  <dimension ref="B1:I44"/>
  <sheetViews>
    <sheetView showGridLines="0" tabSelected="0" zoomScale="90" workbookViewId="0">
      <selection activeCell="A1" sqref="A1"/>
    </sheetView>
  </sheetViews>
  <sheetFormatPr baseColWidth="8" defaultRowHeight="15"/>
  <cols>
    <col width="2" customWidth="1" min="1" max="1"/>
    <col width="7" customWidth="1" min="2" max="2"/>
    <col width="24" customWidth="1" min="3" max="3"/>
    <col width="28" customWidth="1" min="4" max="4"/>
    <col width="22" customWidth="1" min="5" max="5"/>
    <col width="22" customWidth="1" min="6" max="6"/>
    <col width="22" customWidth="1" min="7" max="7"/>
    <col width="22" customWidth="1" min="8" max="8"/>
    <col width="24" customWidth="1" min="9" max="9"/>
  </cols>
  <sheetData>
    <row r="1" ht="26" customHeight="1">
      <c r="B1" s="29" t="inlineStr">
        <is>
          <t>Bewertung &amp; Methodik</t>
        </is>
      </c>
    </row>
    <row r="2">
      <c r="B2" s="2" t="inlineStr">
        <is>
          <t>Wie aus der Bewertung (Skala 1–5) die Risikoprioritätszahl und das empfohlene Intervall entstehen</t>
        </is>
      </c>
    </row>
    <row r="3">
      <c r="B3" s="3" t="n"/>
      <c r="C3" s="3" t="n"/>
      <c r="D3" s="3" t="n"/>
      <c r="E3" s="3" t="n"/>
      <c r="F3" s="3" t="n"/>
      <c r="G3" s="3" t="n"/>
      <c r="H3" s="3" t="n"/>
      <c r="I3" s="3" t="n"/>
    </row>
    <row r="5" ht="28" customHeight="1">
      <c r="B5" s="123" t="inlineStr">
        <is>
          <t>RPZ = B × A × E × SF</t>
        </is>
      </c>
      <c r="G5" s="4" t="inlineStr">
        <is>
          <t>Risikoklassen (aus Einstellungen)</t>
        </is>
      </c>
    </row>
    <row r="6" ht="18" customHeight="1">
      <c r="B6" s="124" t="inlineStr">
        <is>
          <t>B</t>
        </is>
      </c>
      <c r="C6" s="66" t="inlineStr">
        <is>
          <t>Bedeutung</t>
        </is>
      </c>
      <c r="D6" s="6" t="inlineStr">
        <is>
          <t>B = √(F² + IH² + Q² + AS² + US² + S²) / 2   (1,22 … 6,12)</t>
        </is>
      </c>
      <c r="E6" s="7" t="n"/>
      <c r="F6" s="7" t="n"/>
      <c r="G6" s="22" t="inlineStr">
        <is>
          <t>Klasse</t>
        </is>
      </c>
      <c r="H6" s="22" t="inlineStr">
        <is>
          <t>RPZ</t>
        </is>
      </c>
      <c r="I6" s="22" t="inlineStr">
        <is>
          <t>Empfehlung</t>
        </is>
      </c>
    </row>
    <row r="7">
      <c r="B7" s="124" t="inlineStr">
        <is>
          <t>A</t>
        </is>
      </c>
      <c r="C7" s="66" t="inlineStr">
        <is>
          <t>Ausfallwahrscheinlichkeit</t>
        </is>
      </c>
      <c r="D7" s="6" t="inlineStr">
        <is>
          <t>Skala 1 … 5 (Erfahrungswerte)</t>
        </is>
      </c>
      <c r="E7" s="7" t="n"/>
      <c r="F7" s="7" t="n"/>
      <c r="G7" s="13">
        <f>Einstellungen!B37</f>
        <v/>
      </c>
      <c r="H7" s="68">
        <f>IF(ISNUMBER(Einstellungen!C37),"ab "&amp;Einstellungen!C37,Einstellungen!C37)</f>
        <v/>
      </c>
      <c r="I7" s="57">
        <f>Einstellungen!E37</f>
        <v/>
      </c>
    </row>
    <row r="8">
      <c r="B8" s="124" t="inlineStr">
        <is>
          <t>E</t>
        </is>
      </c>
      <c r="C8" s="66" t="inlineStr">
        <is>
          <t>Entdeckungswahrscheinlichkeit</t>
        </is>
      </c>
      <c r="D8" s="6" t="inlineStr">
        <is>
          <t>Skala 1 … 5 (1 = sofort erkannt)</t>
        </is>
      </c>
      <c r="E8" s="7" t="n"/>
      <c r="F8" s="7" t="n"/>
      <c r="G8" s="12">
        <f>Einstellungen!B38</f>
        <v/>
      </c>
      <c r="H8" s="68">
        <f>IF(ISNUMBER(Einstellungen!C38),"ab "&amp;Einstellungen!C38,Einstellungen!C38)</f>
        <v/>
      </c>
      <c r="I8" s="57">
        <f>Einstellungen!E38</f>
        <v/>
      </c>
    </row>
    <row r="9">
      <c r="B9" s="124" t="inlineStr">
        <is>
          <t>SF</t>
        </is>
      </c>
      <c r="C9" s="66" t="inlineStr">
        <is>
          <t>Schichtfaktor</t>
        </is>
      </c>
      <c r="D9" s="6" t="inlineStr">
        <is>
          <t>0,33 (1-Schicht) · 0,66 (2-Schicht) · 1 (3-Schicht)</t>
        </is>
      </c>
      <c r="E9" s="7" t="n"/>
      <c r="F9" s="7" t="n"/>
      <c r="G9" s="11">
        <f>Einstellungen!B39</f>
        <v/>
      </c>
      <c r="H9" s="68">
        <f>IF(ISNUMBER(Einstellungen!C39),"ab "&amp;Einstellungen!C39,Einstellungen!C39)</f>
        <v/>
      </c>
      <c r="I9" s="57">
        <f>Einstellungen!E39</f>
        <v/>
      </c>
    </row>
    <row r="10">
      <c r="B10" s="124" t="inlineStr">
        <is>
          <t>RPZ</t>
        </is>
      </c>
      <c r="C10" s="66" t="inlineStr">
        <is>
          <t>Risikoprioritätszahl</t>
        </is>
      </c>
      <c r="D10" s="6" t="inlineStr">
        <is>
          <t>0,40 … 153 → Risikoklasse → empfohlenes Intervall</t>
        </is>
      </c>
      <c r="E10" s="7" t="n"/>
      <c r="F10" s="7" t="n"/>
      <c r="G10" s="74">
        <f>Einstellungen!B40</f>
        <v/>
      </c>
      <c r="H10" s="68">
        <f>IF(ISNUMBER(Einstellungen!C40),"ab "&amp;Einstellungen!C40,Einstellungen!C40)</f>
        <v/>
      </c>
      <c r="I10" s="57">
        <f>Einstellungen!E40</f>
        <v/>
      </c>
    </row>
    <row r="12">
      <c r="B12" s="4" t="inlineStr">
        <is>
          <t>Rechenbeispiel (live aus dem Wartungsplan, Maßnahme 1.1 Not-Aus)</t>
        </is>
      </c>
    </row>
    <row r="13" ht="16" customHeight="1">
      <c r="B13" s="22" t="inlineStr">
        <is>
          <t>F</t>
        </is>
      </c>
      <c r="C13" s="22" t="inlineStr">
        <is>
          <t>IH</t>
        </is>
      </c>
      <c r="D13" s="22" t="inlineStr">
        <is>
          <t>Q</t>
        </is>
      </c>
      <c r="E13" s="22" t="inlineStr">
        <is>
          <t>AS</t>
        </is>
      </c>
      <c r="F13" s="22" t="inlineStr">
        <is>
          <t>US</t>
        </is>
      </c>
      <c r="G13" s="22" t="inlineStr">
        <is>
          <t>S</t>
        </is>
      </c>
    </row>
    <row r="14">
      <c r="B14" s="57">
        <f>Wartungsplan!Q7</f>
        <v/>
      </c>
      <c r="C14" s="57">
        <f>Wartungsplan!R7</f>
        <v/>
      </c>
      <c r="D14" s="57">
        <f>Wartungsplan!S7</f>
        <v/>
      </c>
      <c r="E14" s="57">
        <f>Wartungsplan!T7</f>
        <v/>
      </c>
      <c r="F14" s="57">
        <f>Wartungsplan!U7</f>
        <v/>
      </c>
      <c r="G14" s="57">
        <f>Wartungsplan!V7</f>
        <v/>
      </c>
    </row>
    <row r="15">
      <c r="B15" s="63" t="inlineStr">
        <is>
          <t>Die Werte rechts werden live aus dem Wartungsplan gelesen.</t>
        </is>
      </c>
      <c r="G15" s="71" t="inlineStr">
        <is>
          <t>B</t>
        </is>
      </c>
      <c r="H15" s="125">
        <f>SQRT(SUMSQ(B14:G14))/2</f>
        <v/>
      </c>
    </row>
    <row r="16">
      <c r="G16" s="71" t="inlineStr">
        <is>
          <t>A</t>
        </is>
      </c>
      <c r="H16" s="61">
        <f>Wartungsplan!W7</f>
        <v/>
      </c>
    </row>
    <row r="17">
      <c r="G17" s="71" t="inlineStr">
        <is>
          <t>E</t>
        </is>
      </c>
      <c r="H17" s="61">
        <f>Wartungsplan!X7</f>
        <v/>
      </c>
    </row>
    <row r="18">
      <c r="G18" s="71" t="inlineStr">
        <is>
          <t>SF</t>
        </is>
      </c>
      <c r="H18" s="125">
        <f>Wartungsplan!Y7</f>
        <v/>
      </c>
    </row>
    <row r="19">
      <c r="G19" s="71" t="inlineStr">
        <is>
          <t>RPZ</t>
        </is>
      </c>
      <c r="H19" s="125">
        <f>H15*H16*H17*H18</f>
        <v/>
      </c>
    </row>
    <row r="20">
      <c r="G20" s="71" t="inlineStr">
        <is>
          <t>Klasse</t>
        </is>
      </c>
      <c r="H20" s="57">
        <f>Wartungsplan!AB7</f>
        <v/>
      </c>
    </row>
    <row r="21">
      <c r="G21" s="71" t="inlineStr">
        <is>
          <t>Empfehlung</t>
        </is>
      </c>
      <c r="H21" s="57">
        <f>Wartungsplan!G7</f>
        <v/>
      </c>
    </row>
    <row r="23">
      <c r="B23" s="4" t="inlineStr">
        <is>
          <t>Bewertungskatalog – Skalen 1 bis 5</t>
        </is>
      </c>
    </row>
    <row r="24" ht="22" customHeight="1">
      <c r="B24" s="22" t="inlineStr">
        <is>
          <t>Kürzel</t>
        </is>
      </c>
      <c r="C24" s="22" t="inlineStr">
        <is>
          <t>Kriterium</t>
        </is>
      </c>
      <c r="D24" s="22" t="inlineStr">
        <is>
          <t>Leitfrage</t>
        </is>
      </c>
      <c r="E24" s="22" t="inlineStr">
        <is>
          <t>1  sehr gering</t>
        </is>
      </c>
      <c r="F24" s="22" t="inlineStr">
        <is>
          <t>2  gering</t>
        </is>
      </c>
      <c r="G24" s="22" t="inlineStr">
        <is>
          <t>3  mittel</t>
        </is>
      </c>
      <c r="H24" s="22" t="inlineStr">
        <is>
          <t>4  hoch</t>
        </is>
      </c>
      <c r="I24" s="22" t="inlineStr">
        <is>
          <t>5  sehr hoch</t>
        </is>
      </c>
    </row>
    <row r="25">
      <c r="B25" s="70" t="n"/>
      <c r="C25" s="70" t="n"/>
      <c r="D25" s="126" t="inlineStr">
        <is>
          <t>Bezeichnung in der Vorversion</t>
        </is>
      </c>
      <c r="E25" s="127" t="inlineStr">
        <is>
          <t>sehr gut</t>
        </is>
      </c>
      <c r="F25" s="127" t="inlineStr">
        <is>
          <t>gut</t>
        </is>
      </c>
      <c r="G25" s="127" t="inlineStr">
        <is>
          <t>mittel</t>
        </is>
      </c>
      <c r="H25" s="127" t="inlineStr">
        <is>
          <t>schlecht</t>
        </is>
      </c>
      <c r="I25" s="127" t="inlineStr">
        <is>
          <t>sehr schlecht</t>
        </is>
      </c>
    </row>
    <row r="26" ht="18" customHeight="1">
      <c r="B26" s="128" t="inlineStr">
        <is>
          <t>Bedeutung B – Folgen eines Ausfalls</t>
        </is>
      </c>
      <c r="C26" s="129" t="n"/>
      <c r="D26" s="129" t="n"/>
      <c r="E26" s="129" t="n"/>
      <c r="F26" s="129" t="n"/>
      <c r="G26" s="129" t="n"/>
      <c r="H26" s="129" t="n"/>
      <c r="I26" s="129" t="n"/>
    </row>
    <row r="27" ht="50" customHeight="1">
      <c r="B27" s="130" t="inlineStr">
        <is>
          <t>F</t>
        </is>
      </c>
      <c r="C27" s="66" t="inlineStr">
        <is>
          <t>Funktionalität der Anlage</t>
        </is>
      </c>
      <c r="D27" s="131" t="inlineStr">
        <is>
          <t>Welche Auswirkung hat der Ausfall auf die Funktion der Anlage?</t>
        </is>
      </c>
      <c r="E27" s="132" t="inlineStr">
        <is>
          <t>kaum wahrnehmbare Auswirkungen</t>
        </is>
      </c>
      <c r="F27" s="133" t="inlineStr">
        <is>
          <t>geringe Auswirkungen auf die Funktionalität der Anlage</t>
        </is>
      </c>
      <c r="G27" s="134" t="inlineStr">
        <is>
          <t>mäßige Auswirkungen auf die Funktionalität der Anlage</t>
        </is>
      </c>
      <c r="H27" s="135" t="inlineStr">
        <is>
          <t>hohe Auswirkungen auf die Funktionalität der Anlage</t>
        </is>
      </c>
      <c r="I27" s="136" t="inlineStr">
        <is>
          <t>Anlage wird zerstört; Verschleiß ist enorm hoch</t>
        </is>
      </c>
    </row>
    <row r="28" ht="50" customHeight="1">
      <c r="B28" s="130" t="inlineStr">
        <is>
          <t>IH</t>
        </is>
      </c>
      <c r="C28" s="66" t="inlineStr">
        <is>
          <t>Instandsetzungsaufwand bei Ausfall</t>
        </is>
      </c>
      <c r="D28" s="131" t="inlineStr">
        <is>
          <t>Wie lange dauert die Instandsetzung und wer kann sie durchführen?</t>
        </is>
      </c>
      <c r="E28" s="132" t="inlineStr">
        <is>
          <t>Zeit &lt; 10 min; kann durch geschulten Anlagenbediener durchgeführt werden</t>
        </is>
      </c>
      <c r="F28" s="133" t="inlineStr">
        <is>
          <t>Zeit 10–30 min; kann vom Instandhalter allein durchgeführt werden</t>
        </is>
      </c>
      <c r="G28" s="134" t="inlineStr">
        <is>
          <t>Zeit 30–60 min; kann von Instandhalter und Anlagenbediener durchgeführt werden</t>
        </is>
      </c>
      <c r="H28" s="135" t="inlineStr">
        <is>
          <t>Zeit 1–3 h; mindestens 2 Mitarbeiter erforderlich</t>
        </is>
      </c>
      <c r="I28" s="136" t="inlineStr">
        <is>
          <t>Zeit &gt; 3 h; mindestens 2 Mitarbeiter / Spezialisten erforderlich</t>
        </is>
      </c>
    </row>
    <row r="29" ht="50" customHeight="1">
      <c r="B29" s="130" t="inlineStr">
        <is>
          <t>Q</t>
        </is>
      </c>
      <c r="C29" s="66" t="inlineStr">
        <is>
          <t>Qualität (Auswirkung auf den Kunden)</t>
        </is>
      </c>
      <c r="D29" s="131" t="inlineStr">
        <is>
          <t>Welche Auswirkung hat der Ausfall auf die Produktqualität beim Kunden?</t>
        </is>
      </c>
      <c r="E29" s="132" t="inlineStr">
        <is>
          <t>kaum wahrnehmbare Auswirkungen</t>
        </is>
      </c>
      <c r="F29" s="133" t="inlineStr">
        <is>
          <t>geringe Auswirkungen auf den Kunden</t>
        </is>
      </c>
      <c r="G29" s="134" t="inlineStr">
        <is>
          <t>mäßige Auswirkungen auf den Kunden</t>
        </is>
      </c>
      <c r="H29" s="135" t="inlineStr">
        <is>
          <t>Verärgerung des Kunden</t>
        </is>
      </c>
      <c r="I29" s="136" t="inlineStr">
        <is>
          <t>Verlust des Kunden</t>
        </is>
      </c>
    </row>
    <row r="30" ht="50" customHeight="1">
      <c r="B30" s="130" t="inlineStr">
        <is>
          <t>AS</t>
        </is>
      </c>
      <c r="C30" s="66" t="inlineStr">
        <is>
          <t>Arbeitssicherheit</t>
        </is>
      </c>
      <c r="D30" s="131" t="inlineStr">
        <is>
          <t>Welche Gefährdung für Personen entsteht?</t>
        </is>
      </c>
      <c r="E30" s="132" t="inlineStr">
        <is>
          <t>kaum wahrnehmbare Auswirkungen</t>
        </is>
      </c>
      <c r="F30" s="133" t="inlineStr">
        <is>
          <t>geringe Auswirkungen auf die Arbeitssicherheit</t>
        </is>
      </c>
      <c r="G30" s="134" t="inlineStr">
        <is>
          <t>mäßige Auswirkungen auf die Arbeitssicherheit</t>
        </is>
      </c>
      <c r="H30" s="135" t="inlineStr">
        <is>
          <t>hohe Auswirkungen auf die Arbeitssicherheit</t>
        </is>
      </c>
      <c r="I30" s="136" t="inlineStr">
        <is>
          <t>Schaden an Leib und Leben</t>
        </is>
      </c>
    </row>
    <row r="31" ht="50" customHeight="1">
      <c r="B31" s="130" t="inlineStr">
        <is>
          <t>US</t>
        </is>
      </c>
      <c r="C31" s="66" t="inlineStr">
        <is>
          <t>Umweltschutz</t>
        </is>
      </c>
      <c r="D31" s="131" t="inlineStr">
        <is>
          <t>Welche Umweltauswirkung entsteht (z. B. Öl-/Wasseraustritt)?</t>
        </is>
      </c>
      <c r="E31" s="132" t="inlineStr">
        <is>
          <t>kaum wahrnehmbare Auswirkungen</t>
        </is>
      </c>
      <c r="F31" s="133" t="inlineStr">
        <is>
          <t>geringe Auswirkungen auf den Umweltschutz</t>
        </is>
      </c>
      <c r="G31" s="134" t="inlineStr">
        <is>
          <t>mäßige Auswirkungen auf den Umweltschutz</t>
        </is>
      </c>
      <c r="H31" s="135" t="inlineStr">
        <is>
          <t>hohe Auswirkungen auf den Umweltschutz</t>
        </is>
      </c>
      <c r="I31" s="136" t="inlineStr">
        <is>
          <t>sehr hohe Auswirkungen auf den Umweltschutz / Umweltschutzbehörde betroffen</t>
        </is>
      </c>
    </row>
    <row r="32" ht="50" customHeight="1">
      <c r="B32" s="130" t="inlineStr">
        <is>
          <t>S</t>
        </is>
      </c>
      <c r="C32" s="66" t="inlineStr">
        <is>
          <t>Höhe des Schadens bei Ausfall</t>
        </is>
      </c>
      <c r="D32" s="131" t="inlineStr">
        <is>
          <t>Wie hoch ist der Sachschaden bei einem Ausfall?</t>
        </is>
      </c>
      <c r="E32" s="132" t="inlineStr">
        <is>
          <t>kaum wahrnehmbare Auswirkungen</t>
        </is>
      </c>
      <c r="F32" s="133" t="inlineStr">
        <is>
          <t>geringe Auswirkungen</t>
        </is>
      </c>
      <c r="G32" s="134" t="inlineStr">
        <is>
          <t>mäßige Auswirkungen</t>
        </is>
      </c>
      <c r="H32" s="135" t="inlineStr">
        <is>
          <t>hohe Auswirkungen</t>
        </is>
      </c>
      <c r="I32" s="136" t="inlineStr">
        <is>
          <t>sehr hohe Auswirkungen / Generalüberholung notwendig</t>
        </is>
      </c>
    </row>
    <row r="33" ht="18" customHeight="1">
      <c r="B33" s="128" t="inlineStr">
        <is>
          <t>Wahrscheinlichkeiten</t>
        </is>
      </c>
      <c r="C33" s="129" t="n"/>
      <c r="D33" s="129" t="n"/>
      <c r="E33" s="129" t="n"/>
      <c r="F33" s="129" t="n"/>
      <c r="G33" s="129" t="n"/>
      <c r="H33" s="129" t="n"/>
      <c r="I33" s="129" t="n"/>
    </row>
    <row r="34" ht="50" customHeight="1">
      <c r="B34" s="130" t="inlineStr">
        <is>
          <t>A</t>
        </is>
      </c>
      <c r="C34" s="66" t="inlineStr">
        <is>
          <t>Ausfallwahrscheinlichkeit</t>
        </is>
      </c>
      <c r="D34" s="131" t="inlineStr">
        <is>
          <t>Mit welcher Wahrscheinlichkeit tritt der Fehler / Ausfall auf (Erfahrungswerte)?</t>
        </is>
      </c>
      <c r="E34" s="132" t="inlineStr">
        <is>
          <t>Auftreten des Ausfalls ist unwahrscheinlich
(&gt; 3 Jahre)</t>
        </is>
      </c>
      <c r="F34" s="133" t="inlineStr">
        <is>
          <t>Ausfall tritt nur äußerst selten oder unter bestimmten Umständen auf
(&gt; 1 Jahr)</t>
        </is>
      </c>
      <c r="G34" s="134" t="inlineStr">
        <is>
          <t>Ausfall tritt gelegentlich / sporadisch auf
(4–12 Monate)</t>
        </is>
      </c>
      <c r="H34" s="135" t="inlineStr">
        <is>
          <t>Ausfall tritt wiederholt, aber unregelmäßig auf
(alle 8–16 Wochen)</t>
        </is>
      </c>
      <c r="I34" s="136" t="inlineStr">
        <is>
          <t>Ausfall tritt häufig und regelmäßig auf
(alle 6–8 Wochen)</t>
        </is>
      </c>
    </row>
    <row r="35" ht="50" customHeight="1">
      <c r="B35" s="130" t="inlineStr">
        <is>
          <t>E</t>
        </is>
      </c>
      <c r="C35" s="66" t="inlineStr">
        <is>
          <t>Entdeckungswahrscheinlichkeit</t>
        </is>
      </c>
      <c r="D35" s="131" t="inlineStr">
        <is>
          <t>Mit welcher Wahrscheinlichkeit wird der Fehler erkannt (Zeit bis zur Entdeckung)?</t>
        </is>
      </c>
      <c r="E35" s="132" t="inlineStr">
        <is>
          <t>sehr hoch
(sofort)</t>
        </is>
      </c>
      <c r="F35" s="133" t="inlineStr">
        <is>
          <t>hoch
(nach ca. 10 min)</t>
        </is>
      </c>
      <c r="G35" s="134" t="inlineStr">
        <is>
          <t>mäßig
(nach ca. 7 Std.)</t>
        </is>
      </c>
      <c r="H35" s="135" t="inlineStr">
        <is>
          <t>gering
(nach ca. 1 Woche)</t>
        </is>
      </c>
      <c r="I35" s="136" t="inlineStr">
        <is>
          <t>sehr gering
(nach ca. 1 Monat)</t>
        </is>
      </c>
    </row>
    <row r="37">
      <c r="B37" s="4" t="inlineStr">
        <is>
          <t>Bewertungsregeln und Hinweise</t>
        </is>
      </c>
    </row>
    <row r="38" ht="24" customHeight="1">
      <c r="B38" s="137" t="inlineStr">
        <is>
          <t>• Bewertung im Team (Instandhaltung, Produktion, Qualitätsmanagement); bei AS/US ≥ 4 Fachkraft für Arbeitssicherheit bzw. Umweltbeauftragte hinzuziehen.</t>
        </is>
      </c>
    </row>
    <row r="39" ht="24" customHeight="1">
      <c r="B39" s="137" t="inlineStr">
        <is>
          <t>• Bewertet wird die realistisch schlimmste Folge eines Ausfalls des Objekts – nicht der Aufwand der Wartungsmaßnahme.</t>
        </is>
      </c>
    </row>
    <row r="40" ht="24" customHeight="1">
      <c r="B40" s="137" t="inlineStr">
        <is>
          <t>• A möglichst aus der Störhistorie (SAP-PM) ableiten; ohne Daten Erfahrungswert des Teams.</t>
        </is>
      </c>
    </row>
    <row r="41" ht="24" customHeight="1">
      <c r="B41" s="137" t="inlineStr">
        <is>
          <t>• Gleichartige Objekte dürfen Bewertungen übernehmen (Spalte „Bewertung übernommen von“); je Baugruppe plausibilisieren.</t>
        </is>
      </c>
    </row>
    <row r="42" ht="24" customHeight="1">
      <c r="B42" s="137" t="inlineStr">
        <is>
          <t>• Die RPZ ist eine Priorisierungshilfe. Maßnahmen mit AS = 5 sind unabhängig von der RPZ sicherheitsrelevant (Spalte „Relevanz AS/Q/US“).</t>
        </is>
      </c>
    </row>
    <row r="43" ht="24" customHeight="1">
      <c r="B43" s="137" t="inlineStr">
        <is>
          <t>• Die Vorversion dokumentierte „16 &lt; RPZ &lt; 65“; maßgeblich ist die Formel (≥ 15 / ≥ 66). RPZ &gt; 125 ergab früher keine Auswertung – jetzt Klasse „kritisch“.</t>
        </is>
      </c>
    </row>
    <row r="44" ht="24" customHeight="1">
      <c r="B44" s="137" t="inlineStr">
        <is>
          <t>• Überprüfung der Bewertung: jährlich sowie nach Störungen, Anlagenänderungen, Reklamationen oder Unfällen.</t>
        </is>
      </c>
    </row>
  </sheetData>
  <mergeCells count="14">
    <mergeCell ref="B44:I44"/>
    <mergeCell ref="B40:I40"/>
    <mergeCell ref="B26:I26"/>
    <mergeCell ref="B33:I33"/>
    <mergeCell ref="B39:I39"/>
    <mergeCell ref="B38:I38"/>
    <mergeCell ref="B42:I42"/>
    <mergeCell ref="D9:F9"/>
    <mergeCell ref="B41:I41"/>
    <mergeCell ref="B43:I43"/>
    <mergeCell ref="D7:F7"/>
    <mergeCell ref="D8:F8"/>
    <mergeCell ref="D6:F6"/>
    <mergeCell ref="D10:F10"/>
  </mergeCells>
  <printOptions horizontalCentered="1"/>
  <pageMargins left="0.4" right="0.4" top="0.6" bottom="0.6" header="0.5" footer="0.5"/>
  <pageSetup orientation="landscape" paperSize="9" fitToHeight="0" fitToWidth="1"/>
  <headerFooter>
    <oddHeader>&amp;R&amp;"Arial"&amp;8 &amp;A</oddHeader>
    <oddFooter>&amp;L&amp;"Arial"&amp;8 Verantwortlich für Änderungen: fz-pA / H. Mrugalla&amp;C&amp;"Arial"&amp;8 Seite &amp;P von &amp;N&amp;R&amp;"Arial"&amp;8 Stand 03 (Entwurf) / 17.10.2026     Druckdatum: &amp;D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8EA9DB"/>
    <outlinePr summaryBelow="1" summaryRight="1"/>
    <pageSetUpPr fitToPage="1"/>
  </sheetPr>
  <dimension ref="B1:N39"/>
  <sheetViews>
    <sheetView showGridLines="0" tabSelected="0" zoomScale="90" workbookViewId="0">
      <selection activeCell="A1" sqref="A1"/>
    </sheetView>
  </sheetViews>
  <sheetFormatPr baseColWidth="8" defaultRowHeight="15"/>
  <cols>
    <col width="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3" customWidth="1" min="10" max="10"/>
    <col width="7" customWidth="1" min="11" max="11"/>
    <col width="40" customWidth="1" min="12" max="12"/>
    <col width="12" customWidth="1" min="13" max="13"/>
    <col width="30" customWidth="1" min="14" max="14"/>
  </cols>
  <sheetData>
    <row r="1" ht="26" customHeight="1">
      <c r="B1" s="29" t="inlineStr">
        <is>
          <t>Anlagenübersicht – Positionen der Übersichtszeichnung</t>
        </is>
      </c>
    </row>
    <row r="2">
      <c r="B2" s="2" t="inlineStr">
        <is>
          <t>Zuordnung der Positionsnummern zu den Abschnitten des Wartungsplans</t>
        </is>
      </c>
    </row>
    <row r="3"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5" ht="22" customHeight="1">
      <c r="K5" s="22" t="inlineStr">
        <is>
          <t>Pos.</t>
        </is>
      </c>
      <c r="L5" s="22" t="inlineStr">
        <is>
          <t>Baugruppe</t>
        </is>
      </c>
      <c r="M5" s="22" t="inlineStr">
        <is>
          <t>Abschnitt im Plan</t>
        </is>
      </c>
      <c r="N5" s="22" t="inlineStr">
        <is>
          <t>Status</t>
        </is>
      </c>
    </row>
    <row r="6">
      <c r="K6" s="68" t="n">
        <v>1</v>
      </c>
      <c r="L6" s="6" t="inlineStr">
        <is>
          <t>Bedienpult</t>
        </is>
      </c>
      <c r="M6" s="68" t="inlineStr">
        <is>
          <t>2</t>
        </is>
      </c>
      <c r="N6" s="138" t="inlineStr">
        <is>
          <t>im Wartungsplan enthalten</t>
        </is>
      </c>
    </row>
    <row r="7">
      <c r="K7" s="68" t="n">
        <v>2</v>
      </c>
      <c r="L7" s="6" t="inlineStr">
        <is>
          <t>Staucheinheit</t>
        </is>
      </c>
      <c r="M7" s="68" t="inlineStr">
        <is>
          <t>3</t>
        </is>
      </c>
      <c r="N7" s="138" t="inlineStr">
        <is>
          <t>im Wartungsplan enthalten</t>
        </is>
      </c>
    </row>
    <row r="8">
      <c r="K8" s="68" t="n">
        <v>3</v>
      </c>
      <c r="L8" s="6" t="inlineStr">
        <is>
          <t>Oberer Werkzeugträger</t>
        </is>
      </c>
      <c r="M8" s="68" t="inlineStr">
        <is>
          <t>4</t>
        </is>
      </c>
      <c r="N8" s="138" t="inlineStr">
        <is>
          <t>im Wartungsplan enthalten</t>
        </is>
      </c>
    </row>
    <row r="9">
      <c r="K9" s="139" t="n">
        <v>4</v>
      </c>
      <c r="L9" s="131" t="inlineStr">
        <is>
          <t>(Bezeichnung in der Vorversion nicht angegeben)</t>
        </is>
      </c>
      <c r="M9" s="139" t="inlineStr">
        <is>
          <t>–</t>
        </is>
      </c>
      <c r="N9" s="140" t="inlineStr">
        <is>
          <t>nicht im Wartungsplan – prüfen</t>
        </is>
      </c>
    </row>
    <row r="10">
      <c r="K10" s="68" t="n">
        <v>5</v>
      </c>
      <c r="L10" s="6" t="inlineStr">
        <is>
          <t>Verschlussbalken</t>
        </is>
      </c>
      <c r="M10" s="68" t="inlineStr">
        <is>
          <t>5</t>
        </is>
      </c>
      <c r="N10" s="138" t="inlineStr">
        <is>
          <t>im Wartungsplan enthalten</t>
        </is>
      </c>
    </row>
    <row r="11">
      <c r="K11" s="68" t="n">
        <v>6</v>
      </c>
      <c r="L11" s="6" t="inlineStr">
        <is>
          <t>Unterer Werkzeugträger</t>
        </is>
      </c>
      <c r="M11" s="68" t="inlineStr">
        <is>
          <t>4</t>
        </is>
      </c>
      <c r="N11" s="138" t="inlineStr">
        <is>
          <t>im Wartungsplan enthalten</t>
        </is>
      </c>
    </row>
    <row r="12">
      <c r="K12" s="139" t="n">
        <v>7</v>
      </c>
      <c r="L12" s="131" t="inlineStr">
        <is>
          <t>(Bezeichnung in der Vorversion nicht angegeben)</t>
        </is>
      </c>
      <c r="M12" s="139" t="inlineStr">
        <is>
          <t>–</t>
        </is>
      </c>
      <c r="N12" s="140" t="inlineStr">
        <is>
          <t>nicht im Wartungsplan – prüfen</t>
        </is>
      </c>
    </row>
    <row r="13">
      <c r="K13" s="68" t="n">
        <v>8</v>
      </c>
      <c r="L13" s="6" t="inlineStr">
        <is>
          <t>Entnahmehandling (Handling Balggreifer)</t>
        </is>
      </c>
      <c r="M13" s="68" t="inlineStr">
        <is>
          <t>9</t>
        </is>
      </c>
      <c r="N13" s="138" t="inlineStr">
        <is>
          <t>im Wartungsplan enthalten</t>
        </is>
      </c>
    </row>
    <row r="14">
      <c r="K14" s="139" t="n">
        <v>9</v>
      </c>
      <c r="L14" s="131" t="inlineStr">
        <is>
          <t>(Bezeichnung in der Vorversion nicht angegeben)</t>
        </is>
      </c>
      <c r="M14" s="139" t="inlineStr">
        <is>
          <t>–</t>
        </is>
      </c>
      <c r="N14" s="140" t="inlineStr">
        <is>
          <t>nicht im Wartungsplan – prüfen</t>
        </is>
      </c>
    </row>
    <row r="15">
      <c r="K15" s="139" t="n">
        <v>10</v>
      </c>
      <c r="L15" s="131" t="inlineStr">
        <is>
          <t>(Bezeichnung in der Vorversion nicht angegeben)</t>
        </is>
      </c>
      <c r="M15" s="139" t="inlineStr">
        <is>
          <t>–</t>
        </is>
      </c>
      <c r="N15" s="140" t="inlineStr">
        <is>
          <t>nicht im Wartungsplan – prüfen</t>
        </is>
      </c>
    </row>
    <row r="16">
      <c r="K16" s="68" t="n">
        <v>11</v>
      </c>
      <c r="L16" s="6" t="inlineStr">
        <is>
          <t>Wasserbehälter für Umformmedium</t>
        </is>
      </c>
      <c r="M16" s="68" t="inlineStr">
        <is>
          <t>7</t>
        </is>
      </c>
      <c r="N16" s="138" t="inlineStr">
        <is>
          <t>im Wartungsplan enthalten</t>
        </is>
      </c>
    </row>
    <row r="17">
      <c r="K17" s="139" t="n">
        <v>12</v>
      </c>
      <c r="L17" s="131" t="inlineStr">
        <is>
          <t>(Bezeichnung in der Vorversion nicht angegeben)</t>
        </is>
      </c>
      <c r="M17" s="139" t="inlineStr">
        <is>
          <t>–</t>
        </is>
      </c>
      <c r="N17" s="140" t="inlineStr">
        <is>
          <t>nicht im Wartungsplan – prüfen</t>
        </is>
      </c>
    </row>
    <row r="18">
      <c r="K18" s="68" t="n">
        <v>13</v>
      </c>
      <c r="L18" s="6" t="inlineStr">
        <is>
          <t>Auslaufrinne</t>
        </is>
      </c>
      <c r="M18" s="68" t="inlineStr">
        <is>
          <t>8</t>
        </is>
      </c>
      <c r="N18" s="138" t="inlineStr">
        <is>
          <t>im Wartungsplan enthalten</t>
        </is>
      </c>
    </row>
    <row r="19">
      <c r="K19" s="68" t="n">
        <v>14</v>
      </c>
      <c r="L19" s="6" t="inlineStr">
        <is>
          <t>Beladehandling (Handling Glattrohrgreifer)</t>
        </is>
      </c>
      <c r="M19" s="68" t="inlineStr">
        <is>
          <t>9</t>
        </is>
      </c>
      <c r="N19" s="138" t="inlineStr">
        <is>
          <t>im Wartungsplan enthalten</t>
        </is>
      </c>
    </row>
    <row r="20">
      <c r="K20" s="68" t="n">
        <v>15</v>
      </c>
      <c r="L20" s="6" t="inlineStr">
        <is>
          <t>Wartungseinheit (falls vorhanden)</t>
        </is>
      </c>
      <c r="M20" s="68" t="inlineStr">
        <is>
          <t>10</t>
        </is>
      </c>
      <c r="N20" s="138" t="inlineStr">
        <is>
          <t>im Wartungsplan enthalten</t>
        </is>
      </c>
    </row>
    <row r="21">
      <c r="K21" s="68" t="n">
        <v>16</v>
      </c>
      <c r="L21" s="6" t="inlineStr">
        <is>
          <t>Glattrohrzuführung</t>
        </is>
      </c>
      <c r="M21" s="68" t="inlineStr">
        <is>
          <t>11</t>
        </is>
      </c>
      <c r="N21" s="138" t="inlineStr">
        <is>
          <t>im Wartungsplan enthalten</t>
        </is>
      </c>
    </row>
    <row r="22">
      <c r="K22" s="68" t="n">
        <v>17</v>
      </c>
      <c r="L22" s="6" t="inlineStr">
        <is>
          <t>Vereinzeler/Rohrstopper</t>
        </is>
      </c>
      <c r="M22" s="68" t="inlineStr">
        <is>
          <t>11</t>
        </is>
      </c>
      <c r="N22" s="138" t="inlineStr">
        <is>
          <t>im Wartungsplan enthalten</t>
        </is>
      </c>
    </row>
    <row r="23">
      <c r="K23" s="139" t="n">
        <v>18</v>
      </c>
      <c r="L23" s="131" t="inlineStr">
        <is>
          <t>(Bezeichnung in der Vorversion nicht angegeben)</t>
        </is>
      </c>
      <c r="M23" s="139" t="inlineStr">
        <is>
          <t>–</t>
        </is>
      </c>
      <c r="N23" s="140" t="inlineStr">
        <is>
          <t>nicht im Wartungsplan – prüfen</t>
        </is>
      </c>
    </row>
    <row r="24">
      <c r="K24" s="68" t="n">
        <v>19</v>
      </c>
      <c r="L24" s="6" t="inlineStr">
        <is>
          <t>Handbediengerät</t>
        </is>
      </c>
      <c r="M24" s="68" t="inlineStr">
        <is>
          <t>12</t>
        </is>
      </c>
      <c r="N24" s="138" t="inlineStr">
        <is>
          <t>im Wartungsplan enthalten</t>
        </is>
      </c>
    </row>
    <row r="25">
      <c r="K25" s="68" t="n">
        <v>20</v>
      </c>
      <c r="L25" s="6" t="inlineStr">
        <is>
          <t>Klimagerät für Schaltschrank</t>
        </is>
      </c>
      <c r="M25" s="68" t="inlineStr">
        <is>
          <t>13</t>
        </is>
      </c>
      <c r="N25" s="138" t="inlineStr">
        <is>
          <t>im Wartungsplan enthalten</t>
        </is>
      </c>
    </row>
    <row r="26">
      <c r="K26" s="139" t="n">
        <v>21</v>
      </c>
      <c r="L26" s="131" t="inlineStr">
        <is>
          <t>(Bezeichnung in der Vorversion nicht angegeben)</t>
        </is>
      </c>
      <c r="M26" s="139" t="inlineStr">
        <is>
          <t>–</t>
        </is>
      </c>
      <c r="N26" s="140" t="inlineStr">
        <is>
          <t>nicht im Wartungsplan – prüfen</t>
        </is>
      </c>
    </row>
    <row r="27">
      <c r="K27" s="68" t="n">
        <v>22</v>
      </c>
      <c r="L27" s="6" t="inlineStr">
        <is>
          <t>Schaltschrank</t>
        </is>
      </c>
      <c r="M27" s="68" t="inlineStr">
        <is>
          <t>14</t>
        </is>
      </c>
      <c r="N27" s="138" t="inlineStr">
        <is>
          <t>im Wartungsplan enthalten</t>
        </is>
      </c>
    </row>
    <row r="28">
      <c r="K28" s="139" t="n">
        <v>23</v>
      </c>
      <c r="L28" s="131" t="inlineStr">
        <is>
          <t>(Bezeichnung in der Vorversion nicht angegeben)</t>
        </is>
      </c>
      <c r="M28" s="139" t="inlineStr">
        <is>
          <t>–</t>
        </is>
      </c>
      <c r="N28" s="140" t="inlineStr">
        <is>
          <t>nicht im Wartungsplan – prüfen</t>
        </is>
      </c>
    </row>
    <row r="29">
      <c r="K29" s="68" t="n">
        <v>24</v>
      </c>
      <c r="L29" s="6" t="inlineStr">
        <is>
          <t>Ölkühler/Wasserkühler</t>
        </is>
      </c>
      <c r="M29" s="68" t="inlineStr">
        <is>
          <t>15</t>
        </is>
      </c>
      <c r="N29" s="138" t="inlineStr">
        <is>
          <t>im Wartungsplan enthalten</t>
        </is>
      </c>
    </row>
    <row r="30">
      <c r="K30" s="68" t="n">
        <v>25</v>
      </c>
      <c r="L30" s="6" t="inlineStr">
        <is>
          <t>Hydraulikaggregat</t>
        </is>
      </c>
      <c r="M30" s="68" t="inlineStr">
        <is>
          <t>16</t>
        </is>
      </c>
      <c r="N30" s="138" t="inlineStr">
        <is>
          <t>im Wartungsplan enthalten</t>
        </is>
      </c>
    </row>
    <row r="31">
      <c r="K31" s="68" t="n">
        <v>26</v>
      </c>
      <c r="L31" s="6" t="inlineStr">
        <is>
          <t>Hydraulik-Druckfilter (mit Filtereinsatz)</t>
        </is>
      </c>
      <c r="M31" s="68" t="inlineStr">
        <is>
          <t>17</t>
        </is>
      </c>
      <c r="N31" s="138" t="inlineStr">
        <is>
          <t>im Wartungsplan enthalten</t>
        </is>
      </c>
    </row>
    <row r="32">
      <c r="B32" s="141" t="inlineStr">
        <is>
          <t>Hinweis: Die Positionen 4, 7, 9, 10, 12, 18, 21, 23, 27 und 28 sind in der Zeichnung nummeriert, aber im Wartungsplan nicht berücksichtigt (siehe Dokumentation → Offene Punkte).</t>
        </is>
      </c>
      <c r="K32" s="139" t="n">
        <v>27</v>
      </c>
      <c r="L32" s="131" t="inlineStr">
        <is>
          <t>(Bezeichnung in der Vorversion nicht angegeben)</t>
        </is>
      </c>
      <c r="M32" s="139" t="inlineStr">
        <is>
          <t>–</t>
        </is>
      </c>
      <c r="N32" s="140" t="inlineStr">
        <is>
          <t>nicht im Wartungsplan – prüfen</t>
        </is>
      </c>
    </row>
    <row r="33">
      <c r="K33" s="139" t="n">
        <v>28</v>
      </c>
      <c r="L33" s="131" t="inlineStr">
        <is>
          <t>(Bezeichnung in der Vorversion nicht angegeben)</t>
        </is>
      </c>
      <c r="M33" s="139" t="inlineStr">
        <is>
          <t>–</t>
        </is>
      </c>
      <c r="N33" s="140" t="inlineStr">
        <is>
          <t>nicht im Wartungsplan – prüfen</t>
        </is>
      </c>
    </row>
    <row r="34">
      <c r="K34" s="68" t="n">
        <v>29</v>
      </c>
      <c r="L34" s="6" t="inlineStr">
        <is>
          <t>Stauchspindel (Kugelgewindespindel)</t>
        </is>
      </c>
      <c r="M34" s="68" t="inlineStr">
        <is>
          <t>3</t>
        </is>
      </c>
      <c r="N34" s="138" t="inlineStr">
        <is>
          <t>im Wartungsplan enthalten</t>
        </is>
      </c>
    </row>
    <row r="35">
      <c r="K35" s="68" t="n">
        <v>30</v>
      </c>
      <c r="L35" s="6" t="inlineStr">
        <is>
          <t>Druckübersetzer</t>
        </is>
      </c>
      <c r="M35" s="68" t="inlineStr">
        <is>
          <t>18</t>
        </is>
      </c>
      <c r="N35" s="138" t="inlineStr">
        <is>
          <t>im Wartungsplan enthalten</t>
        </is>
      </c>
    </row>
    <row r="37">
      <c r="K37" s="142" t="inlineStr">
        <is>
          <t>Pos. 33 = Schmierbohrung in der Stauchspindel (Bild bei Maßnahme 3.1.5). Abschnitte 1, 6, 19, 20 und 21 sind keiner Position zugeordnet.</t>
        </is>
      </c>
    </row>
    <row r="38"/>
    <row r="39"/>
  </sheetData>
  <mergeCells count="2">
    <mergeCell ref="K37:N39"/>
    <mergeCell ref="B32:I35"/>
  </mergeCells>
  <printOptions horizontalCentered="1"/>
  <pageMargins left="0.4" right="0.4" top="0.6" bottom="0.6" header="0.5" footer="0.5"/>
  <pageSetup orientation="landscape" paperSize="9" fitToHeight="0" fitToWidth="1"/>
  <headerFooter>
    <oddHeader>&amp;R&amp;"Arial"&amp;8 &amp;A</oddHeader>
    <oddFooter>&amp;L&amp;"Arial"&amp;8 Verantwortlich für Änderungen: fz-pA / H. Mrugalla&amp;C&amp;"Arial"&amp;8 Seite &amp;P von &amp;N&amp;R&amp;"Arial"&amp;8 Stand 03 (Entwurf) / 17.10.2026     Druckdatum: &amp;D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A6A6A6"/>
    <outlinePr summaryBelow="1" summaryRight="1"/>
    <pageSetUpPr fitToPage="1"/>
  </sheetPr>
  <dimension ref="B1:G71"/>
  <sheetViews>
    <sheetView showGridLines="0" tabSelected="0" zoomScale="90" workbookViewId="0">
      <selection activeCell="A1" sqref="A1"/>
    </sheetView>
  </sheetViews>
  <sheetFormatPr baseColWidth="8" defaultRowHeight="15"/>
  <cols>
    <col width="2" customWidth="1" min="1" max="1"/>
    <col width="24" customWidth="1" min="2" max="2"/>
    <col width="12" customWidth="1" min="3" max="3"/>
    <col width="13" customWidth="1" min="4" max="4"/>
    <col width="16" customWidth="1" min="5" max="5"/>
    <col width="60" customWidth="1" min="6" max="6"/>
    <col width="2" customWidth="1" min="7" max="7"/>
  </cols>
  <sheetData>
    <row r="1" ht="26" customHeight="1">
      <c r="B1" s="29" t="inlineStr">
        <is>
          <t>Einstellungen</t>
        </is>
      </c>
    </row>
    <row r="2">
      <c r="B2" s="2" t="inlineStr">
        <is>
          <t>Zentrale Vorgaben für Intervalle, Risikobewertung und Auswahllisten. Nur gelbe Felder ändern – alles andere passt sich automatisch an.</t>
        </is>
      </c>
    </row>
    <row r="3">
      <c r="B3" s="3" t="n"/>
      <c r="C3" s="3" t="n"/>
      <c r="D3" s="3" t="n"/>
      <c r="E3" s="3" t="n"/>
      <c r="F3" s="3" t="n"/>
      <c r="G3" s="3" t="n"/>
    </row>
    <row r="5">
      <c r="B5" s="4" t="inlineStr">
        <is>
          <t>1  Intervallkatalog – erscheint als Auswahlliste in der Spalte „Intervall“</t>
        </is>
      </c>
    </row>
    <row r="6" ht="20" customHeight="1">
      <c r="B6" s="22" t="inlineStr">
        <is>
          <t>Bezeichnung</t>
        </is>
      </c>
      <c r="C6" s="22" t="inlineStr">
        <is>
          <t>Anzahl</t>
        </is>
      </c>
      <c r="D6" s="22" t="inlineStr">
        <is>
          <t>Einheit</t>
        </is>
      </c>
      <c r="E6" s="22" t="inlineStr">
        <is>
          <t>Gruppe</t>
        </is>
      </c>
      <c r="F6" s="22" t="inlineStr">
        <is>
          <t>Hinweis</t>
        </is>
      </c>
    </row>
    <row r="7">
      <c r="B7" s="17" t="inlineStr">
        <is>
          <t>wöchentlich</t>
        </is>
      </c>
      <c r="C7" s="108" t="n">
        <v>1</v>
      </c>
      <c r="D7" s="108" t="inlineStr">
        <is>
          <t>Wochen</t>
        </is>
      </c>
      <c r="E7" s="108" t="inlineStr">
        <is>
          <t>Standard</t>
        </is>
      </c>
      <c r="F7" s="143" t="inlineStr">
        <is>
          <t>1 Woche</t>
        </is>
      </c>
    </row>
    <row r="8">
      <c r="B8" s="17" t="inlineStr">
        <is>
          <t>monatlich</t>
        </is>
      </c>
      <c r="C8" s="108" t="n">
        <v>1</v>
      </c>
      <c r="D8" s="108" t="inlineStr">
        <is>
          <t>Monate</t>
        </is>
      </c>
      <c r="E8" s="108" t="inlineStr">
        <is>
          <t>Standard</t>
        </is>
      </c>
      <c r="F8" s="143" t="inlineStr">
        <is>
          <t>1 Monat (kalendergenau)</t>
        </is>
      </c>
    </row>
    <row r="9">
      <c r="B9" s="17" t="inlineStr">
        <is>
          <t>alle 3 Monate</t>
        </is>
      </c>
      <c r="C9" s="108" t="n">
        <v>3</v>
      </c>
      <c r="D9" s="108" t="inlineStr">
        <is>
          <t>Monate</t>
        </is>
      </c>
      <c r="E9" s="108" t="inlineStr">
        <is>
          <t>Standard</t>
        </is>
      </c>
      <c r="F9" s="143" t="inlineStr">
        <is>
          <t>quartalsweise</t>
        </is>
      </c>
    </row>
    <row r="10">
      <c r="B10" s="17" t="inlineStr">
        <is>
          <t>alle 4 Monate</t>
        </is>
      </c>
      <c r="C10" s="108" t="n">
        <v>4</v>
      </c>
      <c r="D10" s="108" t="inlineStr">
        <is>
          <t>Monate</t>
        </is>
      </c>
      <c r="E10" s="108" t="inlineStr">
        <is>
          <t>Standard</t>
        </is>
      </c>
      <c r="F10" s="143" t="inlineStr">
        <is>
          <t>dreimal pro Jahr</t>
        </is>
      </c>
    </row>
    <row r="11">
      <c r="B11" s="17" t="inlineStr">
        <is>
          <t>halbjährlich</t>
        </is>
      </c>
      <c r="C11" s="108" t="n">
        <v>6</v>
      </c>
      <c r="D11" s="108" t="inlineStr">
        <is>
          <t>Monate</t>
        </is>
      </c>
      <c r="E11" s="108" t="inlineStr">
        <is>
          <t>Standard</t>
        </is>
      </c>
      <c r="F11" s="143" t="inlineStr">
        <is>
          <t>6 Monate</t>
        </is>
      </c>
    </row>
    <row r="12">
      <c r="B12" s="17" t="inlineStr">
        <is>
          <t>jährlich</t>
        </is>
      </c>
      <c r="C12" s="108" t="n">
        <v>1</v>
      </c>
      <c r="D12" s="108" t="inlineStr">
        <is>
          <t>Jahre</t>
        </is>
      </c>
      <c r="E12" s="108" t="inlineStr">
        <is>
          <t>Standard</t>
        </is>
      </c>
      <c r="F12" s="143" t="inlineStr">
        <is>
          <t>12 Monate</t>
        </is>
      </c>
    </row>
    <row r="13">
      <c r="B13" s="17" t="inlineStr">
        <is>
          <t>8 Wochen</t>
        </is>
      </c>
      <c r="C13" s="108" t="n">
        <v>8</v>
      </c>
      <c r="D13" s="108" t="inlineStr">
        <is>
          <t>Wochen</t>
        </is>
      </c>
      <c r="E13" s="108" t="inlineStr">
        <is>
          <t>RPZ-Empfehlung</t>
        </is>
      </c>
      <c r="F13" s="143" t="inlineStr">
        <is>
          <t>Ergebnis Risikoklasse „hoch“ (Methode der Vorversion)</t>
        </is>
      </c>
    </row>
    <row r="14">
      <c r="B14" s="17" t="inlineStr">
        <is>
          <t>16 Wochen</t>
        </is>
      </c>
      <c r="C14" s="108" t="n">
        <v>16</v>
      </c>
      <c r="D14" s="108" t="inlineStr">
        <is>
          <t>Wochen</t>
        </is>
      </c>
      <c r="E14" s="108" t="inlineStr">
        <is>
          <t>RPZ-Empfehlung</t>
        </is>
      </c>
      <c r="F14" s="143" t="inlineStr">
        <is>
          <t>Ergebnis Risikoklasse „mittel“ (Methode der Vorversion)</t>
        </is>
      </c>
    </row>
    <row r="15">
      <c r="B15" s="17" t="inlineStr">
        <is>
          <t>2 Jahre</t>
        </is>
      </c>
      <c r="C15" s="108" t="n">
        <v>2</v>
      </c>
      <c r="D15" s="108" t="inlineStr">
        <is>
          <t>Jahre</t>
        </is>
      </c>
      <c r="E15" s="108" t="inlineStr">
        <is>
          <t>Weitere</t>
        </is>
      </c>
      <c r="F15" s="143" t="inlineStr">
        <is>
          <t>z. B. Prüfungen mit längerer Frist</t>
        </is>
      </c>
    </row>
    <row r="16">
      <c r="B16" s="17" t="inlineStr">
        <is>
          <t>5 Jahre</t>
        </is>
      </c>
      <c r="C16" s="108" t="n">
        <v>5</v>
      </c>
      <c r="D16" s="108" t="inlineStr">
        <is>
          <t>Jahre</t>
        </is>
      </c>
      <c r="E16" s="108" t="inlineStr">
        <is>
          <t>Weitere</t>
        </is>
      </c>
      <c r="F16" s="143" t="inlineStr">
        <is>
          <t>z. B. Austausch von Verschleißteilen</t>
        </is>
      </c>
    </row>
    <row r="17">
      <c r="B17" s="17" t="n"/>
      <c r="C17" s="108" t="n"/>
      <c r="D17" s="108" t="n"/>
      <c r="E17" s="108" t="n"/>
      <c r="F17" s="143" t="n"/>
    </row>
    <row r="18">
      <c r="B18" s="17" t="n"/>
      <c r="C18" s="108" t="n"/>
      <c r="D18" s="108" t="n"/>
      <c r="E18" s="108" t="n"/>
      <c r="F18" s="143" t="n"/>
    </row>
    <row r="19">
      <c r="B19" s="17" t="n"/>
      <c r="C19" s="108" t="n"/>
      <c r="D19" s="108" t="n"/>
      <c r="E19" s="108" t="n"/>
      <c r="F19" s="143" t="n"/>
    </row>
    <row r="20">
      <c r="B20" s="17" t="n"/>
      <c r="C20" s="108" t="n"/>
      <c r="D20" s="108" t="n"/>
      <c r="E20" s="108" t="n"/>
      <c r="F20" s="143" t="n"/>
    </row>
    <row r="21">
      <c r="B21" s="17" t="n"/>
      <c r="C21" s="108" t="n"/>
      <c r="D21" s="108" t="n"/>
      <c r="E21" s="108" t="n"/>
      <c r="F21" s="143" t="n"/>
    </row>
    <row r="22">
      <c r="B22" s="17" t="n"/>
      <c r="C22" s="108" t="n"/>
      <c r="D22" s="108" t="n"/>
      <c r="E22" s="108" t="n"/>
      <c r="F22" s="143" t="n"/>
    </row>
    <row r="23">
      <c r="B23" s="17" t="n"/>
      <c r="C23" s="108" t="n"/>
      <c r="D23" s="108" t="n"/>
      <c r="E23" s="108" t="n"/>
      <c r="F23" s="143" t="n"/>
    </row>
    <row r="24">
      <c r="B24" s="17" t="n"/>
      <c r="C24" s="108" t="n"/>
      <c r="D24" s="108" t="n"/>
      <c r="E24" s="108" t="n"/>
      <c r="F24" s="143" t="n"/>
    </row>
    <row r="25">
      <c r="B25" s="17" t="n"/>
      <c r="C25" s="108" t="n"/>
      <c r="D25" s="108" t="n"/>
      <c r="E25" s="108" t="n"/>
      <c r="F25" s="143" t="n"/>
    </row>
    <row r="26">
      <c r="B26" s="17" t="n"/>
      <c r="C26" s="108" t="n"/>
      <c r="D26" s="108" t="n"/>
      <c r="E26" s="108" t="n"/>
      <c r="F26" s="143" t="n"/>
    </row>
    <row r="27">
      <c r="B27" s="142" t="inlineStr">
        <is>
          <t>Neue Einträge einfach in die nächste freie Zeile schreiben (Bezeichnung, Anzahl, Einheit). Im Wartungsplan kann zusätzlich jedes Intervall frei eingetippt werden: Zahl + Einheit, z. B. „2 Jahre“, „10 Tage“, „6 Wochen“, „18 Monate“.</t>
        </is>
      </c>
    </row>
    <row r="28"/>
    <row r="30">
      <c r="B30" s="4" t="inlineStr">
        <is>
          <t>2  Risikobewertung: Grenzwerte und empfohlenes Intervall je Risikoklasse</t>
        </is>
      </c>
    </row>
    <row r="31" ht="20" customHeight="1">
      <c r="B31" s="22" t="inlineStr">
        <is>
          <t>Grenzwert</t>
        </is>
      </c>
      <c r="C31" s="22" t="inlineStr">
        <is>
          <t>RPZ</t>
        </is>
      </c>
      <c r="D31" s="22" t="inlineStr"/>
      <c r="E31" s="24" t="n"/>
      <c r="F31" s="22" t="inlineStr">
        <is>
          <t>Bedeutung</t>
        </is>
      </c>
    </row>
    <row r="32">
      <c r="B32" s="6" t="inlineStr">
        <is>
          <t>Untergrenze „mittel“ (≥)</t>
        </is>
      </c>
      <c r="C32" s="108" t="n">
        <v>15</v>
      </c>
      <c r="D32" s="144" t="n"/>
      <c r="E32" s="7" t="n"/>
      <c r="F32" s="143" t="inlineStr">
        <is>
          <t>Vorversion</t>
        </is>
      </c>
    </row>
    <row r="33">
      <c r="B33" s="6" t="inlineStr">
        <is>
          <t>Untergrenze „hoch“ (≥)</t>
        </is>
      </c>
      <c r="C33" s="108" t="n">
        <v>66</v>
      </c>
      <c r="D33" s="144" t="n"/>
      <c r="E33" s="7" t="n"/>
      <c r="F33" s="143" t="inlineStr">
        <is>
          <t>Vorversion</t>
        </is>
      </c>
    </row>
    <row r="34">
      <c r="B34" s="6" t="inlineStr">
        <is>
          <t>Obergrenze „hoch“ (≤)</t>
        </is>
      </c>
      <c r="C34" s="108" t="n">
        <v>125</v>
      </c>
      <c r="D34" s="144" t="n"/>
      <c r="E34" s="7" t="n"/>
      <c r="F34" s="143" t="inlineStr">
        <is>
          <t>darüber „kritisch“ (ergänzt in Stand 02)</t>
        </is>
      </c>
    </row>
    <row r="36" ht="30" customHeight="1">
      <c r="B36" s="22" t="inlineStr">
        <is>
          <t>Risikoklasse</t>
        </is>
      </c>
      <c r="C36" s="22" t="inlineStr">
        <is>
          <t>RPZ von</t>
        </is>
      </c>
      <c r="D36" s="22" t="inlineStr">
        <is>
          <t>RPZ bis</t>
        </is>
      </c>
      <c r="E36" s="22" t="inlineStr">
        <is>
          <t>Empfohlenes Intervall</t>
        </is>
      </c>
      <c r="F36" s="22" t="inlineStr">
        <is>
          <t>Handlungsbedarf</t>
        </is>
      </c>
    </row>
    <row r="37" ht="26" customHeight="1">
      <c r="B37" s="13" t="inlineStr">
        <is>
          <t>gering</t>
        </is>
      </c>
      <c r="C37" s="107">
        <f>0</f>
        <v/>
      </c>
      <c r="D37" s="68">
        <f>"&lt; "&amp;P_Grenze_mittel</f>
        <v/>
      </c>
      <c r="E37" s="8" t="inlineStr">
        <is>
          <t>jährlich</t>
        </is>
      </c>
      <c r="F37" s="6" t="inlineStr">
        <is>
          <t>Risiko gering; jährliche Wartung genügt</t>
        </is>
      </c>
    </row>
    <row r="38" ht="26" customHeight="1">
      <c r="B38" s="12" t="inlineStr">
        <is>
          <t>mittel</t>
        </is>
      </c>
      <c r="C38" s="107">
        <f>P_Grenze_mittel</f>
        <v/>
      </c>
      <c r="D38" s="68">
        <f>"&lt; "&amp;P_Grenze_hoch</f>
        <v/>
      </c>
      <c r="E38" s="8" t="inlineStr">
        <is>
          <t>16 Wochen</t>
        </is>
      </c>
      <c r="F38" s="6" t="inlineStr">
        <is>
          <t>Mittlere Risikolage; Inspektion/Wartung nötig (Intervall 9–16 Wochen)</t>
        </is>
      </c>
    </row>
    <row r="39" ht="26" customHeight="1">
      <c r="B39" s="11" t="inlineStr">
        <is>
          <t>hoch</t>
        </is>
      </c>
      <c r="C39" s="107">
        <f>P_Grenze_hoch</f>
        <v/>
      </c>
      <c r="D39" s="68">
        <f>"≤ "&amp;P_Grenze_kritisch</f>
        <v/>
      </c>
      <c r="E39" s="8" t="inlineStr">
        <is>
          <t>8 Wochen</t>
        </is>
      </c>
      <c r="F39" s="6" t="inlineStr">
        <is>
          <t>Hohes Risiko; Inspektion/Wartung nötig (Intervall 1–8 Wochen)</t>
        </is>
      </c>
    </row>
    <row r="40" ht="26" customHeight="1">
      <c r="B40" s="74" t="inlineStr">
        <is>
          <t>kritisch</t>
        </is>
      </c>
      <c r="C40" s="107">
        <f>"&gt; "&amp;P_Grenze_kritisch</f>
        <v/>
      </c>
      <c r="D40" s="68" t="inlineStr">
        <is>
          <t>–</t>
        </is>
      </c>
      <c r="E40" s="8" t="inlineStr">
        <is>
          <t>monatlich</t>
        </is>
      </c>
      <c r="F40" s="6" t="inlineStr">
        <is>
          <t>Sehr hohes Risiko; kurzes Intervall UND technische Maßnahme zur Risikominderung prüfen</t>
        </is>
      </c>
    </row>
    <row r="41">
      <c r="B41" s="142" t="inlineStr">
        <is>
          <t>Das empfohlene Intervall wird im Wartungsplan als Vorgabe übernommen. Soll statt 8/16 Wochen mit Standardintervallen gearbeitet werden, hier z. B. „monatlich“ bzw. „alle 3 Monate“ wählen – alle Maßnahmen ohne manuelle Festlegung ändern sich automatisch.</t>
        </is>
      </c>
    </row>
    <row r="42"/>
    <row r="44">
      <c r="B44" s="4" t="inlineStr">
        <is>
          <t>3  Allgemein</t>
        </is>
      </c>
    </row>
    <row r="45" ht="20" customHeight="1">
      <c r="B45" s="22" t="inlineStr">
        <is>
          <t>Einstellung</t>
        </is>
      </c>
      <c r="C45" s="22" t="inlineStr">
        <is>
          <t>Wert</t>
        </is>
      </c>
      <c r="D45" s="22" t="inlineStr"/>
      <c r="E45" s="24" t="n"/>
      <c r="F45" s="22" t="inlineStr">
        <is>
          <t>Erläuterung</t>
        </is>
      </c>
    </row>
    <row r="46" ht="26" customHeight="1">
      <c r="B46" s="6" t="inlineStr">
        <is>
          <t>Vorwarnzeit [Tage]</t>
        </is>
      </c>
      <c r="C46" s="108" t="n">
        <v>14</v>
      </c>
      <c r="D46" s="144" t="n"/>
      <c r="E46" s="7" t="n"/>
      <c r="F46" s="6" t="inlineStr">
        <is>
          <t>Ab so vielen Tagen vor dem Termin gilt eine Maßnahme als „fällig“ (gelb). Bei kurzen Intervallen automatisch höchstens ¼ des Intervalls.</t>
        </is>
      </c>
    </row>
    <row r="47" ht="26" customHeight="1">
      <c r="B47" s="6" t="inlineStr">
        <is>
          <t>Relevanzschwelle AS/Q/US (≥)</t>
        </is>
      </c>
      <c r="C47" s="108" t="n">
        <v>4</v>
      </c>
      <c r="D47" s="144" t="n"/>
      <c r="E47" s="7" t="n"/>
      <c r="F47" s="6" t="inlineStr">
        <is>
          <t>Ab dieser Bewertung gilt eine Maßnahme als arbeitssicherheits-, qualitäts- bzw. umweltrelevant.</t>
        </is>
      </c>
    </row>
    <row r="49">
      <c r="B49" s="4" t="inlineStr">
        <is>
          <t>4  Schichtfaktor SF</t>
        </is>
      </c>
    </row>
    <row r="50" ht="20" customHeight="1">
      <c r="B50" s="22" t="inlineStr">
        <is>
          <t>Schichtmodell</t>
        </is>
      </c>
      <c r="C50" s="22" t="inlineStr">
        <is>
          <t>SF</t>
        </is>
      </c>
      <c r="D50" s="22" t="inlineStr"/>
      <c r="E50" s="24" t="n"/>
      <c r="F50" s="22" t="inlineStr">
        <is>
          <t>Erläuterung</t>
        </is>
      </c>
    </row>
    <row r="51">
      <c r="B51" s="6" t="inlineStr">
        <is>
          <t>1-Schicht</t>
        </is>
      </c>
      <c r="C51" s="145" t="n">
        <v>0.33</v>
      </c>
      <c r="D51" s="144" t="n"/>
      <c r="E51" s="7" t="n"/>
      <c r="F51" s="6" t="inlineStr">
        <is>
          <t>SF 0,33 bei 1-Schicht-Betrieb (Vorversion)</t>
        </is>
      </c>
    </row>
    <row r="52">
      <c r="B52" s="6" t="inlineStr">
        <is>
          <t>2-Schicht</t>
        </is>
      </c>
      <c r="C52" s="145" t="n">
        <v>0.66</v>
      </c>
      <c r="D52" s="144" t="n"/>
      <c r="E52" s="7" t="n"/>
      <c r="F52" s="6" t="inlineStr">
        <is>
          <t>SF 0,66 bei 2-Schicht-Betrieb (Vorversion)</t>
        </is>
      </c>
    </row>
    <row r="53">
      <c r="B53" s="6" t="inlineStr">
        <is>
          <t>3-Schicht</t>
        </is>
      </c>
      <c r="C53" s="145" t="n">
        <v>1</v>
      </c>
      <c r="D53" s="144" t="n"/>
      <c r="E53" s="7" t="n"/>
      <c r="F53" s="6" t="inlineStr">
        <is>
          <t>SF 1 bei 3-Schicht-Betrieb (Vorversion)</t>
        </is>
      </c>
    </row>
    <row r="55">
      <c r="B55" s="4" t="inlineStr">
        <is>
          <t>5  Instandsetzung bei Ausfall (aus Kriterium IH)</t>
        </is>
      </c>
    </row>
    <row r="56" ht="20" customHeight="1">
      <c r="B56" s="22" t="inlineStr">
        <is>
          <t>IH-Stufe</t>
        </is>
      </c>
      <c r="C56" s="22" t="inlineStr">
        <is>
          <t>Kurztext</t>
        </is>
      </c>
      <c r="D56" s="23" t="n"/>
      <c r="E56" s="24" t="n"/>
      <c r="F56" s="22" t="inlineStr">
        <is>
          <t>Bedeutung</t>
        </is>
      </c>
    </row>
    <row r="57">
      <c r="B57" s="68" t="n">
        <v>1</v>
      </c>
      <c r="C57" s="6" t="inlineStr">
        <is>
          <t>&lt; 10 min · Bediener</t>
        </is>
      </c>
      <c r="D57" s="7" t="n"/>
      <c r="E57" s="7" t="n"/>
      <c r="F57" s="6" t="inlineStr">
        <is>
          <t>Zeit &lt; 10 min; kann durch geschulten Anlagenbediener durchgeführt werden</t>
        </is>
      </c>
    </row>
    <row r="58">
      <c r="B58" s="68" t="n">
        <v>2</v>
      </c>
      <c r="C58" s="6" t="inlineStr">
        <is>
          <t>10–30 min · IH allein</t>
        </is>
      </c>
      <c r="D58" s="7" t="n"/>
      <c r="E58" s="7" t="n"/>
      <c r="F58" s="6" t="inlineStr">
        <is>
          <t>Zeit 10–30 min; kann vom Instandhalter allein durchgeführt werden</t>
        </is>
      </c>
    </row>
    <row r="59">
      <c r="B59" s="68" t="n">
        <v>3</v>
      </c>
      <c r="C59" s="6" t="inlineStr">
        <is>
          <t>30–60 min · IH + Bediener</t>
        </is>
      </c>
      <c r="D59" s="7" t="n"/>
      <c r="E59" s="7" t="n"/>
      <c r="F59" s="6" t="inlineStr">
        <is>
          <t>Zeit 30–60 min; kann von Instandhalter und Anlagenbediener durchgeführt werden</t>
        </is>
      </c>
    </row>
    <row r="60">
      <c r="B60" s="68" t="n">
        <v>4</v>
      </c>
      <c r="C60" s="6" t="inlineStr">
        <is>
          <t>1–3 h · mind. 2 MA</t>
        </is>
      </c>
      <c r="D60" s="7" t="n"/>
      <c r="E60" s="7" t="n"/>
      <c r="F60" s="6" t="inlineStr">
        <is>
          <t>Zeit 1–3 h; mindestens 2 Mitarbeiter erforderlich</t>
        </is>
      </c>
    </row>
    <row r="61">
      <c r="B61" s="68" t="n">
        <v>5</v>
      </c>
      <c r="C61" s="6" t="inlineStr">
        <is>
          <t>&gt; 3 h · Spezialisten</t>
        </is>
      </c>
      <c r="D61" s="7" t="n"/>
      <c r="E61" s="7" t="n"/>
      <c r="F61" s="6" t="inlineStr">
        <is>
          <t>Zeit &gt; 3 h; mindestens 2 Mitarbeiter / Spezialisten erforderlich</t>
        </is>
      </c>
    </row>
    <row r="63">
      <c r="B63" s="4" t="inlineStr">
        <is>
          <t>6  Auswahllisten</t>
        </is>
      </c>
    </row>
    <row r="64" ht="20" customHeight="1">
      <c r="B64" s="22" t="inlineStr">
        <is>
          <t>Art der Maßnahme</t>
        </is>
      </c>
      <c r="C64" s="24" t="n"/>
      <c r="D64" s="22" t="inlineStr">
        <is>
          <t>Ausführung durch</t>
        </is>
      </c>
      <c r="E64" s="24" t="n"/>
      <c r="F64" s="22" t="inlineStr">
        <is>
          <t>Befund</t>
        </is>
      </c>
    </row>
    <row r="65">
      <c r="B65" s="17" t="inlineStr">
        <is>
          <t>Inspektion</t>
        </is>
      </c>
      <c r="C65" s="18" t="n"/>
      <c r="D65" s="17" t="inlineStr">
        <is>
          <t>Anlagenbediener</t>
        </is>
      </c>
      <c r="E65" s="18" t="n"/>
      <c r="F65" s="17" t="inlineStr">
        <is>
          <t>i.O.</t>
        </is>
      </c>
    </row>
    <row r="66">
      <c r="B66" s="17" t="inlineStr">
        <is>
          <t>Funktionsprüfung</t>
        </is>
      </c>
      <c r="C66" s="18" t="n"/>
      <c r="D66" s="17" t="inlineStr">
        <is>
          <t>IH Mechanik</t>
        </is>
      </c>
      <c r="E66" s="18" t="n"/>
      <c r="F66" s="17" t="inlineStr">
        <is>
          <t>n.i.O. – behoben</t>
        </is>
      </c>
    </row>
    <row r="67">
      <c r="B67" s="17" t="inlineStr">
        <is>
          <t>Messung</t>
        </is>
      </c>
      <c r="C67" s="18" t="n"/>
      <c r="D67" s="17" t="inlineStr">
        <is>
          <t>IH Elektrik</t>
        </is>
      </c>
      <c r="E67" s="18" t="n"/>
      <c r="F67" s="17" t="inlineStr">
        <is>
          <t>n.i.O. – Folgeauftrag</t>
        </is>
      </c>
    </row>
    <row r="68">
      <c r="B68" s="17" t="inlineStr">
        <is>
          <t>Schmierung</t>
        </is>
      </c>
      <c r="C68" s="18" t="n"/>
      <c r="D68" s="17" t="inlineStr">
        <is>
          <t>IH Mechanik + Elektrik</t>
        </is>
      </c>
      <c r="E68" s="18" t="n"/>
      <c r="F68" s="17" t="n"/>
    </row>
    <row r="69">
      <c r="B69" s="17" t="inlineStr">
        <is>
          <t>Reinigung</t>
        </is>
      </c>
      <c r="C69" s="18" t="n"/>
      <c r="D69" s="17" t="inlineStr">
        <is>
          <t>Fremdfirma</t>
        </is>
      </c>
      <c r="E69" s="18" t="n"/>
      <c r="F69" s="17" t="n"/>
    </row>
    <row r="70">
      <c r="B70" s="17" t="inlineStr">
        <is>
          <t>Wartung</t>
        </is>
      </c>
      <c r="C70" s="18" t="n"/>
      <c r="D70" s="17" t="n"/>
      <c r="E70" s="18" t="n"/>
      <c r="F70" s="17" t="n"/>
    </row>
    <row r="71">
      <c r="B71" s="17" t="inlineStr">
        <is>
          <t>Austausch</t>
        </is>
      </c>
      <c r="C71" s="18" t="n"/>
      <c r="D71" s="17" t="n"/>
      <c r="E71" s="18" t="n"/>
      <c r="F71" s="17" t="n"/>
    </row>
  </sheetData>
  <mergeCells count="35">
    <mergeCell ref="D69:E69"/>
    <mergeCell ref="D34:E34"/>
    <mergeCell ref="D46:E46"/>
    <mergeCell ref="C56:E56"/>
    <mergeCell ref="B66:C66"/>
    <mergeCell ref="C59:E59"/>
    <mergeCell ref="D31:E31"/>
    <mergeCell ref="B71:C71"/>
    <mergeCell ref="D65:E65"/>
    <mergeCell ref="D45:E45"/>
    <mergeCell ref="C60:E60"/>
    <mergeCell ref="B70:C70"/>
    <mergeCell ref="D52:E52"/>
    <mergeCell ref="C61:E61"/>
    <mergeCell ref="B67:C67"/>
    <mergeCell ref="D32:E32"/>
    <mergeCell ref="D70:E70"/>
    <mergeCell ref="D66:E66"/>
    <mergeCell ref="D53:E53"/>
    <mergeCell ref="B69:C69"/>
    <mergeCell ref="D47:E47"/>
    <mergeCell ref="C57:E57"/>
    <mergeCell ref="B41:F42"/>
    <mergeCell ref="D71:E71"/>
    <mergeCell ref="B65:C65"/>
    <mergeCell ref="B27:F28"/>
    <mergeCell ref="C58:E58"/>
    <mergeCell ref="B68:C68"/>
    <mergeCell ref="B64:C64"/>
    <mergeCell ref="D68:E68"/>
    <mergeCell ref="D64:E64"/>
    <mergeCell ref="D33:E33"/>
    <mergeCell ref="D67:E67"/>
    <mergeCell ref="D51:E51"/>
    <mergeCell ref="D50:E50"/>
  </mergeCells>
  <dataValidations count="2">
    <dataValidation sqref="D7:D26" showDropDown="0" showInputMessage="0" showErrorMessage="0" allowBlank="1" type="list">
      <formula1>"Tage,Wochen,Monate,Jahre"</formula1>
    </dataValidation>
    <dataValidation sqref="E37:E40" showDropDown="0" showInputMessage="0" showErrorMessage="0" allowBlank="0" type="list">
      <formula1>=Iv_Liste</formula1>
    </dataValidation>
  </dataValidations>
  <printOptions horizontalCentered="1"/>
  <pageMargins left="0.4" right="0.4" top="0.6" bottom="0.6" header="0.5" footer="0.5"/>
  <pageSetup orientation="portrait" paperSize="9" fitToHeight="0" fitToWidth="1"/>
  <headerFooter>
    <oddHeader>&amp;R&amp;"Arial"&amp;8 &amp;A</oddHeader>
    <oddFooter>&amp;L&amp;"Arial"&amp;8 Verantwortlich für Änderungen: fz-pA / H. Mrugalla&amp;C&amp;"Arial"&amp;8 Seite &amp;P von &amp;N&amp;R&amp;"Arial"&amp;8 Stand 03 (Entwurf) / 17.10.2026     Druckdatum: &amp;D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A6A6A6"/>
    <outlinePr summaryBelow="1" summaryRight="1"/>
    <pageSetUpPr fitToPage="1"/>
  </sheetPr>
  <dimension ref="B1:J45"/>
  <sheetViews>
    <sheetView showGridLines="0" tabSelected="0"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18" customWidth="1" min="3" max="3"/>
    <col width="46" customWidth="1" min="4" max="4"/>
    <col width="30" customWidth="1" min="5" max="5"/>
    <col width="42" customWidth="1" min="6" max="6"/>
    <col width="9" customWidth="1" min="7" max="7"/>
    <col width="14" customWidth="1" min="8" max="8"/>
    <col width="11" customWidth="1" min="9" max="9"/>
    <col width="11" customWidth="1" min="10" max="10"/>
  </cols>
  <sheetData>
    <row r="1" ht="26" customHeight="1">
      <c r="B1" s="29" t="inlineStr">
        <is>
          <t>Dokumentation</t>
        </is>
      </c>
    </row>
    <row r="2">
      <c r="B2" s="2" t="inlineStr">
        <is>
          <t>A Offene Punkte  ·  B Änderungsprotokoll  ·  C Vorschläge zur Weiterentwicklung</t>
        </is>
      </c>
    </row>
    <row r="3"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5">
      <c r="B5" s="4" t="inlineStr">
        <is>
          <t>A  Offene Punkte – fachlich im Team zu klären (gelbe Spalten pflegen)</t>
        </is>
      </c>
    </row>
    <row r="6" ht="22" customHeight="1">
      <c r="B6" s="22" t="inlineStr">
        <is>
          <t>Nr.</t>
        </is>
      </c>
      <c r="C6" s="22" t="inlineStr">
        <is>
          <t>Bereich</t>
        </is>
      </c>
      <c r="D6" s="22" t="inlineStr">
        <is>
          <t>Befund</t>
        </is>
      </c>
      <c r="E6" s="22" t="inlineStr">
        <is>
          <t>Auswirkung</t>
        </is>
      </c>
      <c r="F6" s="22" t="inlineStr">
        <is>
          <t>Empfohlene Maßnahme</t>
        </is>
      </c>
      <c r="G6" s="22" t="inlineStr">
        <is>
          <t>Priorität</t>
        </is>
      </c>
      <c r="H6" s="22" t="inlineStr">
        <is>
          <t>Verantwortlich</t>
        </is>
      </c>
      <c r="I6" s="22" t="inlineStr">
        <is>
          <t>Termin</t>
        </is>
      </c>
      <c r="J6" s="22" t="inlineStr">
        <is>
          <t>Status</t>
        </is>
      </c>
    </row>
    <row r="7" ht="71" customHeight="1">
      <c r="B7" s="68" t="n">
        <v>1</v>
      </c>
      <c r="C7" s="102" t="inlineStr">
        <is>
          <t>Intervalle 8 / 16 Wochen</t>
        </is>
      </c>
      <c r="D7" s="102" t="inlineStr">
        <is>
          <t>Die RPZ-Methode liefert 8 bzw. 16 Wochen; die neuen Standardintervalle sind monatsbasiert.</t>
        </is>
      </c>
      <c r="E7" s="102" t="inlineStr">
        <is>
          <t>62 Maßnahmen laufen auf Wochenintervallen, nicht auf Standardintervallen.</t>
        </is>
      </c>
      <c r="F7" s="102" t="inlineStr">
        <is>
          <t>Entscheiden, ob „hoch“ → monatlich und „mittel“ → alle 3 oder 4 Monate gelten soll; dann in Einstellungen Abschnitt 2 umstellen (wirkt sofort auf alle Maßnahmen).</t>
        </is>
      </c>
      <c r="G7" s="68" t="inlineStr">
        <is>
          <t>hoch</t>
        </is>
      </c>
      <c r="H7" s="108" t="n"/>
      <c r="I7" s="105" t="n"/>
      <c r="J7" s="108" t="inlineStr">
        <is>
          <t>offen</t>
        </is>
      </c>
    </row>
    <row r="8" ht="32" customHeight="1">
      <c r="B8" s="68" t="n">
        <v>2</v>
      </c>
      <c r="C8" s="102" t="inlineStr">
        <is>
          <t>4.1.4</t>
        </is>
      </c>
      <c r="D8" s="102" t="inlineStr">
        <is>
          <t>Hauptführung Y-Schlitten: A und E fehlen (Vorversion RPZ 0, kein Intervall).</t>
        </is>
      </c>
      <c r="E8" s="102" t="inlineStr">
        <is>
          <t>Maßnahme ohne Intervall.</t>
        </is>
      </c>
      <c r="F8" s="102" t="inlineStr">
        <is>
          <t>A und E bewerten (Vergleich 4.1.3: A = 5, E = 2 → RPZ 45).</t>
        </is>
      </c>
      <c r="G8" s="68" t="inlineStr">
        <is>
          <t>hoch</t>
        </is>
      </c>
      <c r="H8" s="108" t="n"/>
      <c r="I8" s="105" t="n"/>
      <c r="J8" s="108" t="inlineStr">
        <is>
          <t>offen</t>
        </is>
      </c>
    </row>
    <row r="9" ht="32" customHeight="1">
      <c r="B9" s="68" t="n">
        <v>3</v>
      </c>
      <c r="C9" s="102" t="inlineStr">
        <is>
          <t>17.1</t>
        </is>
      </c>
      <c r="D9" s="102" t="inlineStr">
        <is>
          <t>Hydraulik-Druckfilter ohne Bewertung (stand nur als Überschrift).</t>
        </is>
      </c>
      <c r="E9" s="102" t="inlineStr">
        <is>
          <t>Kein Intervall.</t>
        </is>
      </c>
      <c r="F9" s="102" t="inlineStr">
        <is>
          <t>Bewerten; Filterelementwechsel ergänzen.</t>
        </is>
      </c>
      <c r="G9" s="68" t="inlineStr">
        <is>
          <t>hoch</t>
        </is>
      </c>
      <c r="H9" s="108" t="n"/>
      <c r="I9" s="105" t="n"/>
      <c r="J9" s="108" t="inlineStr">
        <is>
          <t>offen</t>
        </is>
      </c>
    </row>
    <row r="10" ht="58" customHeight="1">
      <c r="B10" s="68" t="n">
        <v>4</v>
      </c>
      <c r="C10" s="102" t="inlineStr">
        <is>
          <t>1.1 Not-Aus</t>
        </is>
      </c>
      <c r="D10" s="102" t="inlineStr">
        <is>
          <t>Empfehlung „jährlich“; Sollzustand fordert tägliche Prüfung vor Arbeitsbeginn.</t>
        </is>
      </c>
      <c r="E10" s="102" t="inlineStr">
        <is>
          <t>Tägliche Prüfung nicht terminiert.</t>
        </is>
      </c>
      <c r="F10" s="102" t="inlineStr">
        <is>
          <t>Tägliche Bedienerprüfung in TPM-Checkliste (oder Intervall „1 Tag“); jährliche Prüfung durch befähigte Person beibehalten.</t>
        </is>
      </c>
      <c r="G10" s="68" t="inlineStr">
        <is>
          <t>hoch</t>
        </is>
      </c>
      <c r="H10" s="108" t="n"/>
      <c r="I10" s="105" t="n"/>
      <c r="J10" s="108" t="inlineStr">
        <is>
          <t>offen</t>
        </is>
      </c>
    </row>
    <row r="11" ht="45" customHeight="1">
      <c r="B11" s="68" t="n">
        <v>5</v>
      </c>
      <c r="C11" s="102" t="inlineStr">
        <is>
          <t>Gesetzliche Prüfungen</t>
        </is>
      </c>
      <c r="D11" s="102" t="inlineStr">
        <is>
          <t>DGUV V3, BetrSichV, Hydraulikschlauch-Austausch (DGUV Regel 113-020), Ölwechsel/-analyse fehlen.</t>
        </is>
      </c>
      <c r="E11" s="102" t="inlineStr">
        <is>
          <t>Pflichten nicht nachweisbar.</t>
        </is>
      </c>
      <c r="F11" s="102" t="inlineStr">
        <is>
          <t>Als Maßnahmen ergänzen – z. B. mit Intervall „5 Jahre“ / „6 Jahre“ (freie Eingabe).</t>
        </is>
      </c>
      <c r="G11" s="68" t="inlineStr">
        <is>
          <t>hoch</t>
        </is>
      </c>
      <c r="H11" s="108" t="n"/>
      <c r="I11" s="105" t="n"/>
      <c r="J11" s="108" t="inlineStr">
        <is>
          <t>offen</t>
        </is>
      </c>
    </row>
    <row r="12" ht="32" customHeight="1">
      <c r="B12" s="68" t="n">
        <v>6</v>
      </c>
      <c r="C12" s="102" t="inlineStr">
        <is>
          <t>Abschnitt 6</t>
        </is>
      </c>
      <c r="D12" s="102" t="inlineStr">
        <is>
          <t>Baugruppe der Zylinder/Sensoren nicht benannt.</t>
        </is>
      </c>
      <c r="E12" s="102" t="inlineStr">
        <is>
          <t>Zuordnung unklar.</t>
        </is>
      </c>
      <c r="F12" s="102" t="inlineStr">
        <is>
          <t>Baugruppe benennen.</t>
        </is>
      </c>
      <c r="G12" s="68" t="inlineStr">
        <is>
          <t>mittel</t>
        </is>
      </c>
      <c r="H12" s="108" t="n"/>
      <c r="I12" s="105" t="n"/>
      <c r="J12" s="108" t="inlineStr">
        <is>
          <t>offen</t>
        </is>
      </c>
    </row>
    <row r="13" ht="32" customHeight="1">
      <c r="B13" s="68" t="n">
        <v>7</v>
      </c>
      <c r="C13" s="102" t="inlineStr">
        <is>
          <t>11.1.x Pneumatik</t>
        </is>
      </c>
      <c r="D13" s="102" t="inlineStr">
        <is>
          <t>Bewertungen 1:1 von Hydraulik übernommen (z. B. US = 5).</t>
        </is>
      </c>
      <c r="E13" s="102" t="inlineStr">
        <is>
          <t>Vermutlich überbewertet.</t>
        </is>
      </c>
      <c r="F13" s="102" t="inlineStr">
        <is>
          <t>Eigenständig bewerten.</t>
        </is>
      </c>
      <c r="G13" s="68" t="inlineStr">
        <is>
          <t>mittel</t>
        </is>
      </c>
      <c r="H13" s="108" t="n"/>
      <c r="I13" s="105" t="n"/>
      <c r="J13" s="108" t="inlineStr">
        <is>
          <t>offen</t>
        </is>
      </c>
    </row>
    <row r="14" ht="32" customHeight="1">
      <c r="B14" s="68" t="n">
        <v>8</v>
      </c>
      <c r="C14" s="102" t="inlineStr">
        <is>
          <t>Übernommene Bewertungen</t>
        </is>
      </c>
      <c r="D14" s="102" t="inlineStr">
        <is>
          <t>29 Bewertungen per Verknüpfung übernommen.</t>
        </is>
      </c>
      <c r="E14" s="102" t="inlineStr">
        <is>
          <t>Änderungen wirken unbemerkt weiter.</t>
        </is>
      </c>
      <c r="F14" s="102" t="inlineStr">
        <is>
          <t>Je Baugruppe plausibilisieren.</t>
        </is>
      </c>
      <c r="G14" s="68" t="inlineStr">
        <is>
          <t>mittel</t>
        </is>
      </c>
      <c r="H14" s="108" t="n"/>
      <c r="I14" s="105" t="n"/>
      <c r="J14" s="108" t="inlineStr">
        <is>
          <t>offen</t>
        </is>
      </c>
    </row>
    <row r="15" ht="32" customHeight="1">
      <c r="B15" s="68" t="n">
        <v>9</v>
      </c>
      <c r="C15" s="102" t="inlineStr">
        <is>
          <t>Anlagenübersicht</t>
        </is>
      </c>
      <c r="D15" s="102" t="inlineStr">
        <is>
          <t>Positionen 4, 7, 9, 10, 12, 18, 21, 23, 27, 28 nicht im Plan.</t>
        </is>
      </c>
      <c r="E15" s="102" t="inlineStr">
        <is>
          <t>Mögliche Wartungslücken.</t>
        </is>
      </c>
      <c r="F15" s="102" t="inlineStr">
        <is>
          <t>Benennen und bewerten.</t>
        </is>
      </c>
      <c r="G15" s="68" t="inlineStr">
        <is>
          <t>mittel</t>
        </is>
      </c>
      <c r="H15" s="108" t="n"/>
      <c r="I15" s="105" t="n"/>
      <c r="J15" s="108" t="inlineStr">
        <is>
          <t>offen</t>
        </is>
      </c>
    </row>
    <row r="16" ht="32" customHeight="1">
      <c r="B16" s="68" t="n">
        <v>10</v>
      </c>
      <c r="C16" s="102" t="inlineStr">
        <is>
          <t>Stammdaten</t>
        </is>
      </c>
      <c r="D16" s="102" t="inlineStr">
        <is>
          <t>Equipmentnummer, Standort, Hersteller/Baujahr fehlen.</t>
        </is>
      </c>
      <c r="E16" s="102" t="inlineStr">
        <is>
          <t>Keine eindeutige Zuordnung.</t>
        </is>
      </c>
      <c r="F16" s="102" t="inlineStr">
        <is>
          <t>Auf Blatt Start ergänzen.</t>
        </is>
      </c>
      <c r="G16" s="68" t="inlineStr">
        <is>
          <t>mittel</t>
        </is>
      </c>
      <c r="H16" s="108" t="n"/>
      <c r="I16" s="105" t="n"/>
      <c r="J16" s="108" t="inlineStr">
        <is>
          <t>offen</t>
        </is>
      </c>
    </row>
    <row r="17" ht="32" customHeight="1">
      <c r="B17" s="68" t="n">
        <v>11</v>
      </c>
      <c r="C17" s="102" t="inlineStr">
        <is>
          <t>Sollzustände</t>
        </is>
      </c>
      <c r="D17" s="102" t="inlineStr">
        <is>
          <t>Neue Sollzustände sind Vorschläge (grau kursiv).</t>
        </is>
      </c>
      <c r="E17" s="102" t="inlineStr">
        <is>
          <t>Ohne Freigabe keine verbindliche i.O.-Entscheidung.</t>
        </is>
      </c>
      <c r="F17" s="102" t="inlineStr">
        <is>
          <t>Prüfen, mit Messwerten konkretisieren, freigeben.</t>
        </is>
      </c>
      <c r="G17" s="68" t="inlineStr">
        <is>
          <t>mittel</t>
        </is>
      </c>
      <c r="H17" s="108" t="n"/>
      <c r="I17" s="105" t="n"/>
      <c r="J17" s="108" t="inlineStr">
        <is>
          <t>offen</t>
        </is>
      </c>
    </row>
    <row r="18" ht="32" customHeight="1">
      <c r="B18" s="68" t="n">
        <v>12</v>
      </c>
      <c r="C18" s="102" t="inlineStr">
        <is>
          <t>21.2</t>
        </is>
      </c>
      <c r="D18" s="102" t="inlineStr">
        <is>
          <t>Maßnahme ohne Tätigkeitsbeschreibung.</t>
        </is>
      </c>
      <c r="E18" s="102" t="inlineStr">
        <is>
          <t>Unklar; Überschneidung mit 21.3.</t>
        </is>
      </c>
      <c r="F18" s="102" t="inlineStr">
        <is>
          <t>Konkretisieren oder zusammenführen.</t>
        </is>
      </c>
      <c r="G18" s="68" t="inlineStr">
        <is>
          <t>niedrig</t>
        </is>
      </c>
      <c r="H18" s="108" t="n"/>
      <c r="I18" s="105" t="n"/>
      <c r="J18" s="108" t="inlineStr">
        <is>
          <t>offen</t>
        </is>
      </c>
    </row>
    <row r="19" ht="32" customHeight="1">
      <c r="B19" s="68" t="n">
        <v>13</v>
      </c>
      <c r="C19" s="102" t="inlineStr">
        <is>
          <t>12.2 / 4.1.1</t>
        </is>
      </c>
      <c r="D19" s="102" t="inlineStr">
        <is>
          <t>Kopierfehler korrigiert („Handbediengerät reinigen“, „Spindel“).</t>
        </is>
      </c>
      <c r="E19" s="102" t="inlineStr">
        <is>
          <t>–</t>
        </is>
      </c>
      <c r="F19" s="102" t="inlineStr">
        <is>
          <t>Bitte bestätigen.</t>
        </is>
      </c>
      <c r="G19" s="68" t="inlineStr">
        <is>
          <t>niedrig</t>
        </is>
      </c>
      <c r="H19" s="108" t="n"/>
      <c r="I19" s="105" t="n"/>
      <c r="J19" s="108" t="inlineStr">
        <is>
          <t>offen</t>
        </is>
      </c>
    </row>
    <row r="22">
      <c r="B22" s="4" t="inlineStr">
        <is>
          <t>B  Änderungsprotokoll</t>
        </is>
      </c>
    </row>
    <row r="23" ht="20" customHeight="1">
      <c r="B23" s="22" t="inlineStr">
        <is>
          <t>Nr.</t>
        </is>
      </c>
      <c r="C23" s="22" t="inlineStr">
        <is>
          <t>Stand / Bereich</t>
        </is>
      </c>
      <c r="D23" s="22" t="inlineStr">
        <is>
          <t>Änderung</t>
        </is>
      </c>
      <c r="E23" s="24" t="n"/>
      <c r="F23" s="22" t="inlineStr">
        <is>
          <t>Begründung / Nutzen</t>
        </is>
      </c>
      <c r="G23" s="23" t="n"/>
      <c r="H23" s="23" t="n"/>
      <c r="I23" s="23" t="n"/>
      <c r="J23" s="24" t="n"/>
    </row>
    <row r="24" ht="45" customHeight="1">
      <c r="B24" s="68" t="n">
        <v>1</v>
      </c>
      <c r="C24" s="146" t="inlineStr">
        <is>
          <t>03 Struktur</t>
        </is>
      </c>
      <c r="D24" s="102" t="inlineStr">
        <is>
          <t>7 statt 11 Blätter: Deckblatt → „Start“; Bewertungskatalog + RPZ-Methodik → „Bewertung &amp; Methodik“; Parameter → „Einstellungen“; Offene Punkte, Änderungsprotokoll, Weiterentwicklung → „Dokumentation“.</t>
        </is>
      </c>
      <c r="E24" s="7" t="n"/>
      <c r="F24" s="102" t="inlineStr">
        <is>
          <t>Weniger Blattwechsel, klare Rollen: Arbeiten (Plan), Überblick (Dashboard), Hintergrund (Methodik), Steuerung (Einstellungen).</t>
        </is>
      </c>
      <c r="G24" s="7" t="n"/>
      <c r="H24" s="7" t="n"/>
      <c r="I24" s="7" t="n"/>
      <c r="J24" s="7" t="n"/>
    </row>
    <row r="25" ht="32" customHeight="1">
      <c r="B25" s="68" t="n">
        <v>2</v>
      </c>
      <c r="C25" s="146" t="inlineStr">
        <is>
          <t>03 Wartungsplan</t>
        </is>
      </c>
      <c r="D25" s="102" t="inlineStr">
        <is>
          <t>Durchführungsnachweis in den Wartungsplan integriert (Zuletzt durchgeführt, Nächster Termin, Tage, Status, Befund, Durchgeführt von).</t>
        </is>
      </c>
      <c r="E25" s="7" t="n"/>
      <c r="F25" s="102" t="inlineStr">
        <is>
          <t>Eine Zeile pro Maßnahme für alles – keine doppelte Pflege, kein Abgleich zweier Blätter.</t>
        </is>
      </c>
      <c r="G25" s="7" t="n"/>
      <c r="H25" s="7" t="n"/>
      <c r="I25" s="7" t="n"/>
      <c r="J25" s="7" t="n"/>
    </row>
    <row r="26" ht="58" customHeight="1">
      <c r="B26" s="68" t="n">
        <v>3</v>
      </c>
      <c r="C26" s="146" t="inlineStr">
        <is>
          <t>03 Intervalle</t>
        </is>
      </c>
      <c r="D26" s="102" t="inlineStr">
        <is>
          <t>Neue Intervalllogik: Auswahlliste (wöchentlich, monatlich, alle 3 Monate, alle 4 Monate, halbjährlich, jährlich, 8/16 Wochen, 2/5 Jahre) ODER freie Eingabe „Zahl + Einheit“ (Tage/Wochen/Monate/Jahre). Termine bei Monaten/Jahren kalendergenau (EDATE).</t>
        </is>
      </c>
      <c r="E26" s="7" t="n"/>
      <c r="F26" s="102" t="inlineStr">
        <is>
          <t>Intuitiv, beliebige Fristen möglich (auch mehrjährige Prüfungen), Katalog in Einstellungen erweiterbar.</t>
        </is>
      </c>
      <c r="G26" s="7" t="n"/>
      <c r="H26" s="7" t="n"/>
      <c r="I26" s="7" t="n"/>
      <c r="J26" s="7" t="n"/>
    </row>
    <row r="27" ht="45" customHeight="1">
      <c r="B27" s="68" t="n">
        <v>4</v>
      </c>
      <c r="C27" s="146" t="inlineStr">
        <is>
          <t>03 Intervalle</t>
        </is>
      </c>
      <c r="D27" s="102" t="inlineStr">
        <is>
          <t>Spalten „Intervall berechnet“, „Intervall festgelegt“ und „Intervall [Wochen]“ zu „Empfehlung (RPZ)“ + „Intervall“ zusammengeführt; Abweichungen werden blau markiert.</t>
        </is>
      </c>
      <c r="E27" s="7" t="n"/>
      <c r="F27" s="102" t="inlineStr">
        <is>
          <t>Eine Eingabespalte statt drei; Empfehlung bleibt sichtbar (farbig nach Risikoklasse).</t>
        </is>
      </c>
      <c r="G27" s="7" t="n"/>
      <c r="H27" s="7" t="n"/>
      <c r="I27" s="7" t="n"/>
      <c r="J27" s="7" t="n"/>
    </row>
    <row r="28" ht="45" customHeight="1">
      <c r="B28" s="68" t="n">
        <v>5</v>
      </c>
      <c r="C28" s="146" t="inlineStr">
        <is>
          <t>03 Ampel</t>
        </is>
      </c>
      <c r="D28" s="102" t="inlineStr">
        <is>
          <t>Status rot (überfällig) / gelb (fällig innerhalb Vorwarnzeit, max. ¼ des Intervalls) / grün (in Ordnung) / grau (nicht erfasst, Intervall fehlt/prüfen); fehlerhafte Intervall-Eingaben werden rot markiert.</t>
        </is>
      </c>
      <c r="E28" s="7" t="n"/>
      <c r="F28" s="102" t="inlineStr">
        <is>
          <t>Handlungsbedarf sofort sichtbar; Tippfehler fallen auf.</t>
        </is>
      </c>
      <c r="G28" s="7" t="n"/>
      <c r="H28" s="7" t="n"/>
      <c r="I28" s="7" t="n"/>
      <c r="J28" s="7" t="n"/>
    </row>
    <row r="29" ht="58" customHeight="1">
      <c r="B29" s="68" t="n">
        <v>6</v>
      </c>
      <c r="C29" s="146" t="inlineStr">
        <is>
          <t>03 Spalten</t>
        </is>
      </c>
      <c r="D29" s="102" t="inlineStr">
        <is>
          <t>Zusammengeführt: Hinweis + Hilfsmittel; Begründung + Bemerkung; Positionsnummer in den Baugruppentitel. Risikobewertung und Planungsdaten als aufklappbare Gruppe [+], Vorversion-Spalten ebenfalls; technische Hilfsspalten ausgeblendet.</t>
        </is>
      </c>
      <c r="E29" s="7" t="n"/>
      <c r="F29" s="102" t="inlineStr">
        <is>
          <t>Tagesansicht mit 16 statt 36 Spalten; nichts gelöscht.</t>
        </is>
      </c>
      <c r="G29" s="7" t="n"/>
      <c r="H29" s="7" t="n"/>
      <c r="I29" s="7" t="n"/>
      <c r="J29" s="7" t="n"/>
    </row>
    <row r="30" ht="45" customHeight="1">
      <c r="B30" s="68" t="n">
        <v>7</v>
      </c>
      <c r="C30" s="146" t="inlineStr">
        <is>
          <t>03 Dashboard</t>
        </is>
      </c>
      <c r="D30" s="102" t="inlineStr">
        <is>
          <t>Neu: Kacheln Überfällig / Fällig / In Ordnung / Erfüllungsgrad, Erfassungsgrad, Liste „Zu erledigen“ nach Termin, Maßnahmen pro Intervall, Status je Baugruppe. Risikoauswertungen aus Stand 02 beibehalten.</t>
        </is>
      </c>
      <c r="E30" s="7" t="n"/>
      <c r="F30" s="102" t="inlineStr">
        <is>
          <t>Tägliche Steuerung und Managementsicht auf einer Seite.</t>
        </is>
      </c>
      <c r="G30" s="7" t="n"/>
      <c r="H30" s="7" t="n"/>
      <c r="I30" s="7" t="n"/>
      <c r="J30" s="7" t="n"/>
    </row>
    <row r="31" ht="32" customHeight="1">
      <c r="B31" s="68" t="n">
        <v>8</v>
      </c>
      <c r="C31" s="146" t="inlineStr">
        <is>
          <t>03 Einstellungen</t>
        </is>
      </c>
      <c r="D31" s="102" t="inlineStr">
        <is>
          <t>Empfohlenes Intervall je Risikoklasse frei wählbar; Klasse „kritisch“ jetzt „monatlich“ (Stand 02: 4 Wochen).</t>
        </is>
      </c>
      <c r="E31" s="7" t="n"/>
      <c r="F31" s="102" t="inlineStr">
        <is>
          <t>Umstellung auf Standardintervalle mit einem Klick möglich.</t>
        </is>
      </c>
      <c r="G31" s="7" t="n"/>
      <c r="H31" s="7" t="n"/>
      <c r="I31" s="7" t="n"/>
      <c r="J31" s="7" t="n"/>
    </row>
    <row r="32" ht="45" customHeight="1">
      <c r="B32" s="68" t="n">
        <v>9</v>
      </c>
      <c r="C32" s="146" t="inlineStr">
        <is>
          <t>02</t>
        </is>
      </c>
      <c r="D32" s="102" t="inlineStr">
        <is>
          <t>Strukturelle Überarbeitung der Vorversion: einheitliche Nummerierung/Formulierungen, Ampel, Bewertungskatalog, Dashboard, Nachweis, Parameter, offene Punkte; makrofreie .xlsx; tote externe Bezüge entfernt.</t>
        </is>
      </c>
      <c r="E32" s="7" t="n"/>
      <c r="F32" s="102" t="inlineStr">
        <is>
          <t>Siehe Analyse_und_Aenderungen.md im Projektordner.</t>
        </is>
      </c>
      <c r="G32" s="7" t="n"/>
      <c r="H32" s="7" t="n"/>
      <c r="I32" s="7" t="n"/>
      <c r="J32" s="7" t="n"/>
    </row>
    <row r="33" ht="45" customHeight="1">
      <c r="B33" s="68" t="n">
        <v>10</v>
      </c>
      <c r="C33" s="146" t="inlineStr">
        <is>
          <t>02 Bewertung</t>
        </is>
      </c>
      <c r="D33" s="102" t="inlineStr">
        <is>
          <t>Alle 87 Bewertungen und Verknüpfungen unverändert übernommen; RPZ und Empfehlung je Maßnahme identisch zur Vorversion (geprüft). Formellücke RPZ &gt; 125 geschlossen.</t>
        </is>
      </c>
      <c r="E33" s="7" t="n"/>
      <c r="F33" s="102" t="inlineStr">
        <is>
          <t>Bewertungssystematik bleibt erhalten.</t>
        </is>
      </c>
      <c r="G33" s="7" t="n"/>
      <c r="H33" s="7" t="n"/>
      <c r="I33" s="7" t="n"/>
      <c r="J33" s="7" t="n"/>
    </row>
    <row r="36">
      <c r="B36" s="4" t="inlineStr">
        <is>
          <t>C  Vorschläge zur Weiterentwicklung</t>
        </is>
      </c>
    </row>
    <row r="37" ht="20" customHeight="1">
      <c r="B37" s="22" t="inlineStr">
        <is>
          <t>Nr.</t>
        </is>
      </c>
      <c r="C37" s="22" t="inlineStr">
        <is>
          <t>Thema</t>
        </is>
      </c>
      <c r="D37" s="22" t="inlineStr">
        <is>
          <t>Nutzen</t>
        </is>
      </c>
      <c r="E37" s="24" t="n"/>
      <c r="F37" s="22" t="inlineStr">
        <is>
          <t>Umsetzung / Status</t>
        </is>
      </c>
      <c r="G37" s="23" t="n"/>
      <c r="H37" s="23" t="n"/>
      <c r="I37" s="23" t="n"/>
      <c r="J37" s="24" t="n"/>
    </row>
    <row r="38" ht="30" customHeight="1">
      <c r="B38" s="68" t="n">
        <v>1</v>
      </c>
      <c r="C38" s="146" t="inlineStr">
        <is>
          <t>Historie der Durchführungen</t>
        </is>
      </c>
      <c r="D38" s="102" t="inlineStr">
        <is>
          <t>Lückenloser Nachweis aller Termine (nicht nur der letzten Durchführung)</t>
        </is>
      </c>
      <c r="E38" s="7" t="n"/>
      <c r="F38" s="102" t="inlineStr">
        <is>
          <t>Vorschlag: Rückmeldung in SAP-PM oder Zusatzblatt „Historie“ (Datum, Nr., Befund) – auf Wunsch ergänzbar</t>
        </is>
      </c>
      <c r="G38" s="7" t="n"/>
      <c r="H38" s="7" t="n"/>
      <c r="I38" s="7" t="n"/>
      <c r="J38" s="7" t="n"/>
    </row>
    <row r="39" ht="30" customHeight="1">
      <c r="B39" s="68" t="n">
        <v>2</v>
      </c>
      <c r="C39" s="146" t="inlineStr">
        <is>
          <t>Maschinenzustand / LOTO</t>
        </is>
      </c>
      <c r="D39" s="102" t="inlineStr">
        <is>
          <t>Arbeitsschutz und Stillstandsplanung</t>
        </is>
      </c>
      <c r="E39" s="7" t="n"/>
      <c r="F39" s="102" t="inlineStr">
        <is>
          <t>Vorschlag: zusätzliche Auswahlspalte</t>
        </is>
      </c>
      <c r="G39" s="7" t="n"/>
      <c r="H39" s="7" t="n"/>
      <c r="I39" s="7" t="n"/>
      <c r="J39" s="7" t="n"/>
    </row>
    <row r="40" ht="30" customHeight="1">
      <c r="B40" s="68" t="n">
        <v>3</v>
      </c>
      <c r="C40" s="146" t="inlineStr">
        <is>
          <t>Gesetzliche Prüfgrundlage</t>
        </is>
      </c>
      <c r="D40" s="102" t="inlineStr">
        <is>
          <t>BetrSichV, DGUV V3, DGUV Regel 113-020 kennzeichnen</t>
        </is>
      </c>
      <c r="E40" s="7" t="n"/>
      <c r="F40" s="102" t="inlineStr">
        <is>
          <t>Vorschlag: Spalte „Prüfgrundlage“; Fristen über freie Intervalle (z. B. „6 Jahre“)</t>
        </is>
      </c>
      <c r="G40" s="7" t="n"/>
      <c r="H40" s="7" t="n"/>
      <c r="I40" s="7" t="n"/>
      <c r="J40" s="7" t="n"/>
    </row>
    <row r="41" ht="30" customHeight="1">
      <c r="B41" s="68" t="n">
        <v>4</v>
      </c>
      <c r="C41" s="146" t="inlineStr">
        <is>
          <t>Ersatzteile / Material (SAP-Nr.)</t>
        </is>
      </c>
      <c r="D41" s="102" t="inlineStr">
        <is>
          <t>Teileverfügbarkeit, Wiederbeschaffungszeit als Risikofaktor</t>
        </is>
      </c>
      <c r="E41" s="7" t="n"/>
      <c r="F41" s="102" t="inlineStr">
        <is>
          <t>Vorschlag</t>
        </is>
      </c>
      <c r="G41" s="7" t="n"/>
      <c r="H41" s="7" t="n"/>
      <c r="I41" s="7" t="n"/>
      <c r="J41" s="7" t="n"/>
    </row>
    <row r="42" ht="30" customHeight="1">
      <c r="B42" s="68" t="n">
        <v>5</v>
      </c>
      <c r="C42" s="146" t="inlineStr">
        <is>
          <t>Bezug zu PFMEA / Control Plan</t>
        </is>
      </c>
      <c r="D42" s="102" t="inlineStr">
        <is>
          <t>Maßnahmen mit Q ≥ 4 mit besonderen Merkmalen verknüpfen</t>
        </is>
      </c>
      <c r="E42" s="7" t="n"/>
      <c r="F42" s="102" t="inlineStr">
        <is>
          <t>Vorschlag</t>
        </is>
      </c>
      <c r="G42" s="7" t="n"/>
      <c r="H42" s="7" t="n"/>
      <c r="I42" s="7" t="n"/>
      <c r="J42" s="7" t="n"/>
    </row>
    <row r="43" ht="30" customHeight="1">
      <c r="B43" s="68" t="n">
        <v>6</v>
      </c>
      <c r="C43" s="146" t="inlineStr">
        <is>
          <t>Zustandsorientierte Instandhaltung</t>
        </is>
      </c>
      <c r="D43" s="102" t="inlineStr">
        <is>
          <t>Für A ≥ 4 und E ≥ 4 Sensorik/Thermografie statt fixer Intervalle</t>
        </is>
      </c>
      <c r="E43" s="7" t="n"/>
      <c r="F43" s="102" t="inlineStr">
        <is>
          <t>vorbereitet (Risikomatrix im Dashboard)</t>
        </is>
      </c>
      <c r="G43" s="7" t="n"/>
      <c r="H43" s="7" t="n"/>
      <c r="I43" s="7" t="n"/>
      <c r="J43" s="7" t="n"/>
    </row>
    <row r="44" ht="30" customHeight="1">
      <c r="B44" s="68" t="n">
        <v>7</v>
      </c>
      <c r="C44" s="146" t="inlineStr">
        <is>
          <t>KPI OEE, MTBF, MTTR, Anteil geplanter IH</t>
        </is>
      </c>
      <c r="D44" s="102" t="inlineStr">
        <is>
          <t>IATF 16949 Kap. 8.5.1.5</t>
        </is>
      </c>
      <c r="E44" s="7" t="n"/>
      <c r="F44" s="102" t="inlineStr">
        <is>
          <t>Vorschlag (Datenquelle MES / SAP-PM)</t>
        </is>
      </c>
      <c r="G44" s="7" t="n"/>
      <c r="H44" s="7" t="n"/>
      <c r="I44" s="7" t="n"/>
      <c r="J44" s="7" t="n"/>
    </row>
    <row r="45" ht="30" customHeight="1">
      <c r="B45" s="68" t="n">
        <v>8</v>
      </c>
      <c r="C45" s="146" t="inlineStr">
        <is>
          <t>Umgesetzt</t>
        </is>
      </c>
      <c r="D45" s="102" t="inlineStr">
        <is>
          <t>Erfüllungsgrad, Überfällige, Fällige, Maßnahmen pro Intervall, Aufwand, Risikoverteilung, Top-10, Status je Baugruppe</t>
        </is>
      </c>
      <c r="E45" s="7" t="n"/>
      <c r="F45" s="147" t="inlineStr">
        <is>
          <t>umgesetzt (Dashboard)</t>
        </is>
      </c>
      <c r="G45" s="7" t="n"/>
      <c r="H45" s="7" t="n"/>
      <c r="I45" s="7" t="n"/>
      <c r="J45" s="7" t="n"/>
    </row>
  </sheetData>
  <mergeCells count="40">
    <mergeCell ref="F44:J44"/>
    <mergeCell ref="F29:J29"/>
    <mergeCell ref="F25:J25"/>
    <mergeCell ref="D40:E40"/>
    <mergeCell ref="D31:E31"/>
    <mergeCell ref="D45:E45"/>
    <mergeCell ref="F40:J40"/>
    <mergeCell ref="F30:J30"/>
    <mergeCell ref="F24:J24"/>
    <mergeCell ref="D27:E27"/>
    <mergeCell ref="F42:J42"/>
    <mergeCell ref="D32:E32"/>
    <mergeCell ref="F33:J33"/>
    <mergeCell ref="F45:J45"/>
    <mergeCell ref="D41:E41"/>
    <mergeCell ref="F41:J41"/>
    <mergeCell ref="F32:J32"/>
    <mergeCell ref="F26:J26"/>
    <mergeCell ref="F23:J23"/>
    <mergeCell ref="F38:J38"/>
    <mergeCell ref="D43:E43"/>
    <mergeCell ref="D37:E37"/>
    <mergeCell ref="F28:J28"/>
    <mergeCell ref="D28:E28"/>
    <mergeCell ref="F31:J31"/>
    <mergeCell ref="F27:J27"/>
    <mergeCell ref="D39:E39"/>
    <mergeCell ref="D25:E25"/>
    <mergeCell ref="F43:J43"/>
    <mergeCell ref="D24:E24"/>
    <mergeCell ref="D30:E30"/>
    <mergeCell ref="F37:J37"/>
    <mergeCell ref="F39:J39"/>
    <mergeCell ref="D33:E33"/>
    <mergeCell ref="D42:E42"/>
    <mergeCell ref="D29:E29"/>
    <mergeCell ref="D23:E23"/>
    <mergeCell ref="D38:E38"/>
    <mergeCell ref="D26:E26"/>
    <mergeCell ref="D44:E44"/>
  </mergeCells>
  <conditionalFormatting sqref="G7:G49">
    <cfRule type="cellIs" priority="1" operator="equal" dxfId="0">
      <formula>"hoch"</formula>
    </cfRule>
    <cfRule type="cellIs" priority="2" operator="equal" dxfId="1">
      <formula>"mittel"</formula>
    </cfRule>
    <cfRule type="cellIs" priority="3" operator="equal" dxfId="2">
      <formula>"niedrig"</formula>
    </cfRule>
  </conditionalFormatting>
  <conditionalFormatting sqref="J7:J49">
    <cfRule type="cellIs" priority="4" operator="equal" dxfId="13">
      <formula>"erledigt"</formula>
    </cfRule>
  </conditionalFormatting>
  <dataValidations count="2">
    <dataValidation sqref="J7:J49" showDropDown="0" showInputMessage="0" showErrorMessage="0" allowBlank="1" type="list">
      <formula1>"offen,in Arbeit,erledigt,verworfen"</formula1>
    </dataValidation>
    <dataValidation sqref="G7:G49" showDropDown="0" showInputMessage="0" showErrorMessage="0" allowBlank="1" type="list">
      <formula1>"hoch,mittel,niedrig"</formula1>
    </dataValidation>
  </dataValidations>
  <printOptions horizontalCentered="1"/>
  <pageMargins left="0.4" right="0.4" top="0.6" bottom="0.6" header="0.5" footer="0.5"/>
  <pageSetup orientation="landscape" paperSize="9" fitToHeight="0" fitToWidth="1"/>
  <headerFooter>
    <oddHeader>&amp;R&amp;"Arial"&amp;8 &amp;A</oddHeader>
    <oddFooter>&amp;L&amp;"Arial"&amp;8 Verantwortlich für Änderungen: fz-pA / H. Mrugalla&amp;C&amp;"Arial"&amp;8 Seite &amp;P von &amp;N&amp;R&amp;"Arial"&amp;8 Stand 03 (Entwurf) / 17.10.2026     Druckdatum: &amp;D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fz-pA / H. Mrugalla</dc:creator>
  <dc:title xmlns:dc="http://purl.org/dc/elements/1.1/">Wartungsplan große Wartung – HSIM</dc:title>
  <dcterms:created xmlns:dcterms="http://purl.org/dc/terms/" xmlns:xsi="http://www.w3.org/2001/XMLSchema-instance" xsi:type="dcterms:W3CDTF">2026-10-17T18:37:37Z</dcterms:created>
  <dcterms:modified xmlns:dcterms="http://purl.org/dc/terms/" xmlns:xsi="http://www.w3.org/2001/XMLSchema-instance" xsi:type="dcterms:W3CDTF">2026-10-17T18:37:37Z</dcterms:modified>
</cp:coreProperties>
</file>