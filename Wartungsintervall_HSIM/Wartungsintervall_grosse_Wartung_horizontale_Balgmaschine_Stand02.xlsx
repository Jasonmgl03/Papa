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kblatt" sheetId="1" state="visible" r:id="rId1"/>
    <sheet xmlns:r="http://schemas.openxmlformats.org/officeDocument/2006/relationships" name="Dashboard" sheetId="2" state="visible" r:id="rId2"/>
    <sheet xmlns:r="http://schemas.openxmlformats.org/officeDocument/2006/relationships" name="Wartungsplan" sheetId="3" state="visible" r:id="rId3"/>
    <sheet xmlns:r="http://schemas.openxmlformats.org/officeDocument/2006/relationships" name="Durchführungsnachweis" sheetId="4" state="visible" r:id="rId4"/>
    <sheet xmlns:r="http://schemas.openxmlformats.org/officeDocument/2006/relationships" name="Anlagenübersicht" sheetId="5" state="visible" r:id="rId5"/>
    <sheet xmlns:r="http://schemas.openxmlformats.org/officeDocument/2006/relationships" name="Bewertungskatalog" sheetId="6" state="visible" r:id="rId6"/>
    <sheet xmlns:r="http://schemas.openxmlformats.org/officeDocument/2006/relationships" name="RPZ-Methodik" sheetId="7" state="visible" r:id="rId7"/>
    <sheet xmlns:r="http://schemas.openxmlformats.org/officeDocument/2006/relationships" name="Parameter" sheetId="8" state="visible" r:id="rId8"/>
    <sheet xmlns:r="http://schemas.openxmlformats.org/officeDocument/2006/relationships" name="Offene Punkte" sheetId="9" state="visible" r:id="rId9"/>
    <sheet xmlns:r="http://schemas.openxmlformats.org/officeDocument/2006/relationships" name="Weiterentwicklung" sheetId="10" state="visible" r:id="rId10"/>
    <sheet xmlns:r="http://schemas.openxmlformats.org/officeDocument/2006/relationships" name="Änderungsprotokoll" sheetId="11" state="visible" r:id="rId11"/>
  </sheets>
  <definedNames>
    <definedName name="P_Grenze_mittel">Parameter!$C$7</definedName>
    <definedName name="P_Grenze_hoch">Parameter!$C$8</definedName>
    <definedName name="P_Grenze_kritisch">Parameter!$C$9</definedName>
    <definedName name="Kl_Name">Parameter!$B$13:$B$16</definedName>
    <definedName name="Kl_Intervall">Parameter!$E$13:$E$16</definedName>
    <definedName name="Iv_Name">Parameter!$B$20:$B$26</definedName>
    <definedName name="Iv_Wochen">Parameter!$C$20:$C$26</definedName>
    <definedName name="SF_Modell">Parameter!$B$30:$B$32</definedName>
    <definedName name="SF_Wert">Parameter!$C$30:$C$32</definedName>
    <definedName name="IH_Text">Parameter!$C$36:$C$40</definedName>
    <definedName name="P_Krit">Parameter!$C$44</definedName>
    <definedName name="P_Vorwarn">Parameter!$C$45</definedName>
    <definedName name="L_Art">Parameter!$B$49:$B$55</definedName>
    <definedName name="L_Ausfuehrung">Parameter!$D$49:$D$53</definedName>
    <definedName name="L_Befund">Parameter!$F$49:$F$51</definedName>
    <definedName name="L_Status">Parameter!$G$49:$G$52</definedName>
    <definedName name="P_SF">Deckblatt!$C$12</definedName>
    <definedName name="M_Name">Deckblatt!$C$7</definedName>
    <definedName name="M_Equipment">Deckblatt!$C$8</definedName>
    <definedName name="_xlnm.Print_Area" localSheetId="0">'Deckblatt'!$A$1:$H$64</definedName>
    <definedName name="_xlnm.Print_Area" localSheetId="1">'Dashboard'!$A$1:$N$79</definedName>
    <definedName name="_xlnm.Print_Titles" localSheetId="2">'Wartungsplan'!$4:$5</definedName>
    <definedName name="_xlnm.Print_Area" localSheetId="2">'Wartungsplan'!$A$1:$AB$123</definedName>
    <definedName name="_xlnm.Print_Titles" localSheetId="3">'Durchführungsnachweis'!$5:$5</definedName>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
  </numFmts>
  <fonts count="40">
    <font>
      <name val="Calibri"/>
      <family val="2"/>
      <color theme="1"/>
      <sz val="11"/>
      <scheme val="minor"/>
    </font>
    <font>
      <name val="Arial"/>
      <b val="1"/>
      <color rgb="001F3864"/>
      <sz val="16"/>
    </font>
    <font>
      <name val="Arial"/>
      <color rgb="007F7F7F"/>
      <sz val="10"/>
    </font>
    <font>
      <name val="Arial"/>
      <b val="1"/>
      <color rgb="001F3864"/>
      <sz val="11"/>
    </font>
    <font>
      <name val="Arial"/>
      <b val="1"/>
      <color rgb="00FFFFFF"/>
      <sz val="9"/>
    </font>
    <font>
      <name val="Arial"/>
      <color rgb="00000000"/>
      <sz val="9"/>
    </font>
    <font>
      <name val="Arial"/>
      <color rgb="000000FF"/>
      <sz val="9"/>
    </font>
    <font>
      <name val="Arial"/>
      <color rgb="007F7F7F"/>
      <sz val="9"/>
    </font>
    <font>
      <name val="Arial"/>
      <b val="1"/>
      <color rgb="00006100"/>
      <sz val="9"/>
    </font>
    <font>
      <name val="Arial"/>
      <b val="1"/>
      <color rgb="009C5700"/>
      <sz val="9"/>
    </font>
    <font>
      <name val="Arial"/>
      <b val="1"/>
      <color rgb="009C0006"/>
      <sz val="9"/>
    </font>
    <font>
      <name val="Arial"/>
      <b val="1"/>
      <color rgb="001F3864"/>
      <sz val="18"/>
    </font>
    <font>
      <name val="Arial"/>
      <b val="1"/>
      <color rgb="00000000"/>
      <sz val="9"/>
    </font>
    <font>
      <name val="Arial"/>
      <color rgb="007F7F7F"/>
      <sz val="8"/>
    </font>
    <font>
      <name val="Arial"/>
      <b val="1"/>
      <color rgb="002F5597"/>
      <sz val="9"/>
    </font>
    <font>
      <name val="Arial"/>
      <b val="1"/>
      <color rgb="000000FF"/>
      <sz val="9"/>
    </font>
    <font>
      <name val="Arial"/>
      <b val="1"/>
      <i val="1"/>
      <color rgb="007F7F7F"/>
      <sz val="9"/>
    </font>
    <font>
      <name val="Arial"/>
      <b val="1"/>
      <color rgb="001F3864"/>
      <sz val="9"/>
    </font>
    <font>
      <name val="Arial"/>
      <b val="1"/>
      <color rgb="00404040"/>
      <sz val="9"/>
    </font>
    <font>
      <name val="Arial"/>
      <b val="1"/>
      <color rgb="001F3864"/>
      <sz val="14"/>
    </font>
    <font>
      <name val="Arial"/>
      <b val="1"/>
      <color rgb="00FFFFFF"/>
      <sz val="8"/>
    </font>
    <font>
      <name val="Arial"/>
      <b val="1"/>
      <color rgb="001F3864"/>
      <sz val="10"/>
    </font>
    <font>
      <name val="Arial"/>
      <b val="1"/>
      <color rgb="00C00000"/>
      <sz val="8"/>
    </font>
    <font>
      <name val="Arial"/>
      <i val="1"/>
      <color rgb="007F7F7F"/>
      <sz val="8"/>
    </font>
    <font>
      <name val="Arial"/>
      <i val="1"/>
      <color rgb="007F7F7F"/>
      <sz val="9"/>
    </font>
    <font>
      <name val="Arial"/>
      <b val="1"/>
      <i val="1"/>
      <color rgb="002F5597"/>
      <sz val="9"/>
    </font>
    <font>
      <name val="Arial"/>
      <color rgb="00008000"/>
      <sz val="9"/>
    </font>
    <font>
      <name val="Arial"/>
      <color rgb="00006100"/>
      <sz val="9"/>
    </font>
    <font>
      <name val="Arial"/>
      <color rgb="009C0006"/>
      <sz val="9"/>
    </font>
    <font>
      <name val="Arial"/>
      <b val="1"/>
      <color rgb="00000000"/>
      <sz val="8"/>
    </font>
    <font>
      <name val="Arial"/>
      <b val="1"/>
      <color rgb="00C00000"/>
      <sz val="12"/>
    </font>
    <font>
      <name val="Arial"/>
      <b val="1"/>
      <color rgb="00C00000"/>
      <sz val="10"/>
    </font>
    <font>
      <name val="Arial"/>
      <b val="1"/>
      <color rgb="00C00000"/>
      <sz val="20"/>
    </font>
    <font>
      <name val="Arial"/>
      <b val="1"/>
      <color rgb="00C00000"/>
      <sz val="11"/>
    </font>
    <font>
      <name val="Arial"/>
      <b val="1"/>
      <color rgb="001F3864"/>
      <sz val="12"/>
    </font>
    <font>
      <name val="Arial"/>
      <b val="1"/>
      <color rgb="00C00000"/>
      <sz val="9"/>
    </font>
    <font>
      <name val="Arial"/>
      <color rgb="00000000"/>
      <sz val="7"/>
    </font>
    <font>
      <name val="Arial"/>
      <color rgb="00000000"/>
      <sz val="8"/>
    </font>
    <font>
      <name val="Arial"/>
      <b val="1"/>
      <color rgb="007F7F7F"/>
      <sz val="8"/>
    </font>
    <font>
      <name val="Arial"/>
      <b val="1"/>
      <color rgb="00595959"/>
      <sz val="9"/>
    </font>
  </fonts>
  <fills count="24">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7B0000"/>
        <bgColor rgb="007B0000"/>
      </patternFill>
    </fill>
    <fill>
      <patternFill patternType="solid">
        <fgColor rgb="00D9E2F3"/>
        <bgColor rgb="00D9E2F3"/>
      </patternFill>
    </fill>
    <fill>
      <patternFill patternType="solid">
        <fgColor rgb="00FFFFFF"/>
        <bgColor rgb="00FFFFFF"/>
      </patternFill>
    </fill>
    <fill>
      <patternFill patternType="solid">
        <fgColor rgb="00D6DCE5"/>
        <bgColor rgb="00D6DCE5"/>
      </patternFill>
    </fill>
    <fill>
      <patternFill patternType="solid">
        <fgColor rgb="00D9D9D9"/>
        <bgColor rgb="00D9D9D9"/>
      </patternFill>
    </fill>
    <fill>
      <patternFill patternType="solid">
        <fgColor rgb="00C00000"/>
        <bgColor rgb="00C00000"/>
      </patternFill>
    </fill>
    <fill>
      <patternFill patternType="solid">
        <fgColor rgb="007030A0"/>
        <bgColor rgb="007030A0"/>
      </patternFill>
    </fill>
    <fill>
      <patternFill patternType="solid">
        <fgColor rgb="00375623"/>
        <bgColor rgb="00375623"/>
      </patternFill>
    </fill>
    <fill>
      <patternFill patternType="solid">
        <fgColor rgb="00806000"/>
        <bgColor rgb="00806000"/>
      </patternFill>
    </fill>
    <fill>
      <patternFill patternType="solid">
        <fgColor rgb="00595959"/>
        <bgColor rgb="00595959"/>
      </patternFill>
    </fill>
    <fill>
      <patternFill patternType="solid">
        <fgColor rgb="00EEF2F8"/>
        <bgColor rgb="00EEF2F8"/>
      </patternFill>
    </fill>
    <fill>
      <patternFill patternType="solid">
        <fgColor rgb="002F5597"/>
        <bgColor rgb="002F5597"/>
      </patternFill>
    </fill>
    <fill>
      <patternFill patternType="solid">
        <fgColor rgb="00E2EFDA"/>
        <bgColor rgb="00E2EFDA"/>
      </patternFill>
    </fill>
    <fill>
      <patternFill patternType="solid">
        <fgColor rgb="00F2F7EC"/>
        <bgColor rgb="00F2F7EC"/>
      </patternFill>
    </fill>
    <fill>
      <patternFill patternType="solid">
        <fgColor rgb="00FFF9E5"/>
        <bgColor rgb="00FFF9E5"/>
      </patternFill>
    </fill>
    <fill>
      <patternFill patternType="solid">
        <fgColor rgb="00FCE4D6"/>
        <bgColor rgb="00FCE4D6"/>
      </patternFill>
    </fill>
    <fill>
      <patternFill patternType="solid">
        <fgColor rgb="00F8CBAD"/>
        <bgColor rgb="00F8CBAD"/>
      </patternFill>
    </fill>
  </fills>
  <borders count="7">
    <border>
      <left/>
      <right/>
      <top/>
      <bottom/>
      <diagonal/>
    </border>
    <border>
      <top style="medium">
        <color rgb="001F3864"/>
      </top>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127">
    <xf numFmtId="0" fontId="0" fillId="0" borderId="0" pivotButton="0" quotePrefix="0" xfId="0"/>
    <xf numFmtId="0" fontId="11" fillId="0" borderId="0" pivotButton="0" quotePrefix="0" xfId="0"/>
    <xf numFmtId="0" fontId="2" fillId="0" borderId="0" pivotButton="0" quotePrefix="0" xfId="0"/>
    <xf numFmtId="0" fontId="0" fillId="0" borderId="1" pivotButton="0" quotePrefix="0" xfId="0"/>
    <xf numFmtId="0" fontId="3" fillId="0" borderId="0" pivotButton="0" quotePrefix="0" xfId="0"/>
    <xf numFmtId="0" fontId="12" fillId="8" borderId="2" applyAlignment="1" pivotButton="0" quotePrefix="0" xfId="0">
      <alignment horizontal="left" vertical="center" wrapText="1"/>
    </xf>
    <xf numFmtId="0" fontId="6" fillId="3" borderId="2" applyAlignment="1" pivotButton="0" quotePrefix="0" xfId="0">
      <alignment horizontal="left" vertical="center" wrapText="1"/>
    </xf>
    <xf numFmtId="0" fontId="0" fillId="0" borderId="2" pivotButton="0" quotePrefix="0" xfId="0"/>
    <xf numFmtId="2" fontId="5" fillId="0" borderId="2" applyAlignment="1" pivotButton="0" quotePrefix="0" xfId="0">
      <alignment horizontal="left" vertical="center" wrapText="1"/>
    </xf>
    <xf numFmtId="0" fontId="13" fillId="0" borderId="2" applyAlignment="1" pivotButton="0" quotePrefix="0" xfId="0">
      <alignment horizontal="left" vertical="center" wrapText="1"/>
    </xf>
    <xf numFmtId="164" fontId="6" fillId="3" borderId="2" applyAlignment="1" pivotButton="0" quotePrefix="0" xfId="0">
      <alignment horizontal="left" vertical="center" wrapText="1"/>
    </xf>
    <xf numFmtId="164" fontId="5" fillId="0" borderId="2" applyAlignment="1" pivotButton="0" quotePrefix="0" xfId="0">
      <alignment horizontal="left" vertical="center" wrapText="1"/>
    </xf>
    <xf numFmtId="0" fontId="4" fillId="2" borderId="2" applyAlignment="1" pivotButton="0" quotePrefix="0" xfId="0">
      <alignment horizontal="center"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center" wrapText="1"/>
    </xf>
    <xf numFmtId="0" fontId="5" fillId="3" borderId="2" pivotButton="0" quotePrefix="0" xfId="0"/>
    <xf numFmtId="164" fontId="5" fillId="3" borderId="2" pivotButton="0" quotePrefix="0" xfId="0"/>
    <xf numFmtId="0" fontId="0" fillId="3" borderId="2" pivotButton="0" quotePrefix="0" xfId="0"/>
    <xf numFmtId="0" fontId="5" fillId="0" borderId="2" applyAlignment="1" pivotButton="0" quotePrefix="0" xfId="0">
      <alignment vertical="top" wrapText="1"/>
    </xf>
    <xf numFmtId="0" fontId="5" fillId="3" borderId="2" applyAlignment="1" pivotButton="0" quotePrefix="0" xfId="0">
      <alignment horizontal="left" vertical="center" wrapText="1"/>
    </xf>
    <xf numFmtId="0" fontId="14" fillId="0" borderId="2" applyAlignment="1" pivotButton="0" quotePrefix="0" xfId="0">
      <alignment horizontal="left" vertical="center" wrapText="1"/>
    </xf>
    <xf numFmtId="0" fontId="5" fillId="0" borderId="0" applyAlignment="1" pivotButton="0" quotePrefix="0" xfId="0">
      <alignment vertical="top" wrapText="1"/>
    </xf>
    <xf numFmtId="0" fontId="15" fillId="3" borderId="2" applyAlignment="1" pivotButton="0" quotePrefix="0" xfId="0">
      <alignment horizontal="center" vertical="center" wrapText="1"/>
    </xf>
    <xf numFmtId="0" fontId="5" fillId="0" borderId="0" applyAlignment="1" pivotButton="0" quotePrefix="0" xfId="0">
      <alignment horizontal="left" vertical="center" wrapText="1"/>
    </xf>
    <xf numFmtId="0" fontId="12" fillId="9" borderId="2" applyAlignment="1" pivotButton="0" quotePrefix="0" xfId="0">
      <alignment horizontal="center" vertical="center" wrapText="1"/>
    </xf>
    <xf numFmtId="0" fontId="16" fillId="9" borderId="2" applyAlignment="1" pivotButton="0" quotePrefix="0" xfId="0">
      <alignment horizontal="center" vertical="center" wrapText="1"/>
    </xf>
    <xf numFmtId="0" fontId="17" fillId="10" borderId="2" applyAlignment="1" pivotButton="0" quotePrefix="0" xfId="0">
      <alignment horizontal="center" vertical="center" wrapText="1"/>
    </xf>
    <xf numFmtId="0" fontId="8" fillId="4" borderId="2" applyAlignment="1" pivotButton="0" quotePrefix="0" xfId="0">
      <alignment horizontal="center" vertical="center" wrapText="1"/>
    </xf>
    <xf numFmtId="0" fontId="9" fillId="5" borderId="2" applyAlignment="1" pivotButton="0" quotePrefix="0" xfId="0">
      <alignment horizontal="center" vertical="center" wrapText="1"/>
    </xf>
    <xf numFmtId="0" fontId="10"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18" fillId="11" borderId="2" applyAlignment="1" pivotButton="0" quotePrefix="0" xfId="0">
      <alignment horizontal="center" vertical="center" wrapText="1"/>
    </xf>
    <xf numFmtId="0" fontId="1" fillId="0" borderId="0" pivotButton="0" quotePrefix="0" xfId="0"/>
    <xf numFmtId="0" fontId="7" fillId="0" borderId="0" pivotButton="0" quotePrefix="0" xfId="0"/>
    <xf numFmtId="0" fontId="4" fillId="2" borderId="2" applyAlignment="1" pivotButton="0" quotePrefix="0" xfId="0">
      <alignment horizontal="left" vertical="center" wrapText="1"/>
    </xf>
    <xf numFmtId="0" fontId="12" fillId="0" borderId="2" applyAlignment="1" pivotButton="0" quotePrefix="0" xfId="0">
      <alignment horizontal="left" vertical="center" wrapText="1"/>
    </xf>
    <xf numFmtId="1" fontId="34" fillId="0" borderId="2" applyAlignment="1" pivotButton="0" quotePrefix="0" xfId="0">
      <alignment horizontal="center" vertical="center" wrapText="1"/>
    </xf>
    <xf numFmtId="165" fontId="34" fillId="0" borderId="2" applyAlignment="1" pivotButton="0" quotePrefix="0" xfId="0">
      <alignment horizontal="center" vertical="center" wrapText="1"/>
    </xf>
    <xf numFmtId="9" fontId="34"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2" fillId="0" borderId="2" applyAlignment="1" pivotButton="0" quotePrefix="0" xfId="0">
      <alignment horizontal="center" vertical="center" wrapText="1"/>
    </xf>
    <xf numFmtId="9" fontId="5" fillId="0" borderId="2" applyAlignment="1" pivotButton="0" quotePrefix="0" xfId="0">
      <alignment horizontal="center" vertical="center" wrapText="1"/>
    </xf>
    <xf numFmtId="0" fontId="5" fillId="0" borderId="2" applyAlignment="1" pivotButton="0" quotePrefix="0" xfId="0">
      <alignment horizontal="center" vertical="center" wrapText="1"/>
    </xf>
    <xf numFmtId="0" fontId="12" fillId="8" borderId="2" applyAlignment="1" pivotButton="0" quotePrefix="0" xfId="0">
      <alignment horizontal="center" vertical="center" wrapText="1"/>
    </xf>
    <xf numFmtId="9" fontId="12" fillId="8" borderId="2" applyAlignment="1" pivotButton="0" quotePrefix="0" xfId="0">
      <alignment horizontal="center" vertical="center" wrapText="1"/>
    </xf>
    <xf numFmtId="0" fontId="5" fillId="8" borderId="2" pivotButton="0" quotePrefix="0" xfId="0"/>
    <xf numFmtId="1" fontId="5" fillId="0" borderId="2" applyAlignment="1" pivotButton="0" quotePrefix="0" xfId="0">
      <alignment horizontal="center" vertical="center" wrapText="1"/>
    </xf>
    <xf numFmtId="165" fontId="5" fillId="0" borderId="2" applyAlignment="1" pivotButton="0" quotePrefix="0" xfId="0">
      <alignment horizontal="center" vertical="center" wrapText="1"/>
    </xf>
    <xf numFmtId="0" fontId="35" fillId="0" borderId="2" applyAlignment="1" pivotButton="0" quotePrefix="0" xfId="0">
      <alignment horizontal="center" vertical="center" wrapText="1"/>
    </xf>
    <xf numFmtId="165" fontId="12" fillId="0" borderId="2" applyAlignment="1" pivotButton="0" quotePrefix="0" xfId="0">
      <alignment horizontal="center" vertical="center" wrapText="1"/>
    </xf>
    <xf numFmtId="0" fontId="36" fillId="0" borderId="2" applyAlignment="1" pivotButton="0" quotePrefix="0" xfId="0">
      <alignment horizontal="left" vertical="center" wrapText="1"/>
    </xf>
    <xf numFmtId="0" fontId="13" fillId="0" borderId="0" applyAlignment="1" pivotButton="0" quotePrefix="0" xfId="0">
      <alignment vertical="top" wrapText="1"/>
    </xf>
    <xf numFmtId="0" fontId="38" fillId="0" borderId="0" pivotButton="0" quotePrefix="0" xfId="0"/>
    <xf numFmtId="0" fontId="37" fillId="0" borderId="2" applyAlignment="1" pivotButton="0" quotePrefix="0" xfId="0">
      <alignment horizontal="left" vertical="center" wrapText="1"/>
    </xf>
    <xf numFmtId="0" fontId="13" fillId="0" borderId="0" pivotButton="0" quotePrefix="0" xfId="0"/>
    <xf numFmtId="0" fontId="19" fillId="0" borderId="0" pivotButton="0" quotePrefix="0" xfId="0"/>
    <xf numFmtId="0" fontId="0" fillId="2" borderId="2" pivotButton="0" quotePrefix="0" xfId="0"/>
    <xf numFmtId="0" fontId="4" fillId="12" borderId="2" applyAlignment="1" pivotButton="0" quotePrefix="0" xfId="0">
      <alignment horizontal="center" vertical="center" wrapText="1"/>
    </xf>
    <xf numFmtId="0" fontId="0" fillId="12" borderId="2" pivotButton="0" quotePrefix="0" xfId="0"/>
    <xf numFmtId="0" fontId="4" fillId="13" borderId="2" applyAlignment="1" pivotButton="0" quotePrefix="0" xfId="0">
      <alignment horizontal="center" vertical="center" wrapText="1"/>
    </xf>
    <xf numFmtId="0" fontId="0" fillId="13" borderId="2" pivotButton="0" quotePrefix="0" xfId="0"/>
    <xf numFmtId="0" fontId="4" fillId="14" borderId="2" applyAlignment="1" pivotButton="0" quotePrefix="0" xfId="0">
      <alignment horizontal="center" vertical="center" wrapText="1"/>
    </xf>
    <xf numFmtId="0" fontId="0" fillId="14" borderId="2" pivotButton="0" quotePrefix="0" xfId="0"/>
    <xf numFmtId="0" fontId="4" fillId="15" borderId="2" applyAlignment="1" pivotButton="0" quotePrefix="0" xfId="0">
      <alignment horizontal="center" vertical="center" wrapText="1"/>
    </xf>
    <xf numFmtId="0" fontId="0" fillId="15" borderId="2" pivotButton="0" quotePrefix="0" xfId="0"/>
    <xf numFmtId="0" fontId="4" fillId="16" borderId="2" applyAlignment="1" pivotButton="0" quotePrefix="0" xfId="0">
      <alignment horizontal="center" vertical="center" wrapText="1"/>
    </xf>
    <xf numFmtId="0" fontId="0" fillId="16" borderId="2" pivotButton="0" quotePrefix="0" xfId="0"/>
    <xf numFmtId="0" fontId="20" fillId="2" borderId="2" applyAlignment="1" pivotButton="0" quotePrefix="0" xfId="0">
      <alignment horizontal="center" vertical="center" wrapText="1"/>
    </xf>
    <xf numFmtId="0" fontId="20" fillId="12" borderId="2" applyAlignment="1" pivotButton="0" quotePrefix="0" xfId="0">
      <alignment horizontal="center" vertical="center" wrapText="1"/>
    </xf>
    <xf numFmtId="0" fontId="20" fillId="13" borderId="2" applyAlignment="1" pivotButton="0" quotePrefix="0" xfId="0">
      <alignment horizontal="center" vertical="center" wrapText="1"/>
    </xf>
    <xf numFmtId="0" fontId="20" fillId="14" borderId="2" applyAlignment="1" pivotButton="0" quotePrefix="0" xfId="0">
      <alignment horizontal="center" vertical="center" wrapText="1"/>
    </xf>
    <xf numFmtId="0" fontId="20" fillId="15" borderId="2" applyAlignment="1" pivotButton="0" quotePrefix="0" xfId="0">
      <alignment horizontal="center" vertical="center" wrapText="1"/>
    </xf>
    <xf numFmtId="0" fontId="20" fillId="16" borderId="2" applyAlignment="1" pivotButton="0" quotePrefix="0" xfId="0">
      <alignment horizontal="center" vertical="center" wrapText="1"/>
    </xf>
    <xf numFmtId="49" fontId="21" fillId="10" borderId="2" applyAlignment="1" pivotButton="0" quotePrefix="0" xfId="0">
      <alignment horizontal="left" vertical="center" wrapText="1"/>
    </xf>
    <xf numFmtId="0" fontId="21" fillId="10" borderId="2" applyAlignment="1" pivotButton="0" quotePrefix="0" xfId="0">
      <alignment horizontal="left" vertical="center" wrapText="1"/>
    </xf>
    <xf numFmtId="0" fontId="22" fillId="10" borderId="2" applyAlignment="1" pivotButton="0" quotePrefix="0" xfId="0">
      <alignment horizontal="left" vertical="center" wrapText="1"/>
    </xf>
    <xf numFmtId="0" fontId="13" fillId="10" borderId="2" applyAlignment="1" pivotButton="0" quotePrefix="0" xfId="0">
      <alignment vertical="top" wrapText="1"/>
    </xf>
    <xf numFmtId="49" fontId="13" fillId="10" borderId="2" applyAlignment="1" pivotButton="0" quotePrefix="0" xfId="0">
      <alignment vertical="top" wrapText="1"/>
    </xf>
    <xf numFmtId="0" fontId="23" fillId="10" borderId="2" applyAlignment="1" pivotButton="0" quotePrefix="0" xfId="0">
      <alignment vertical="top" wrapText="1"/>
    </xf>
    <xf numFmtId="49" fontId="5" fillId="0" borderId="2" applyAlignment="1" pivotButton="0" quotePrefix="0" xfId="0">
      <alignment vertical="top" wrapText="1"/>
    </xf>
    <xf numFmtId="0" fontId="6" fillId="3" borderId="2" applyAlignment="1" pivotButton="0" quotePrefix="0" xfId="0">
      <alignment vertical="top" wrapText="1"/>
    </xf>
    <xf numFmtId="0" fontId="22" fillId="0" borderId="2" applyAlignment="1" pivotButton="0" quotePrefix="0" xfId="0">
      <alignment vertical="top" wrapText="1"/>
    </xf>
    <xf numFmtId="0" fontId="6" fillId="3" borderId="2" applyAlignment="1" pivotButton="0" quotePrefix="0" xfId="0">
      <alignment horizontal="center" vertical="center" wrapText="1"/>
    </xf>
    <xf numFmtId="2" fontId="5" fillId="0" borderId="2" applyAlignment="1" pivotButton="0" quotePrefix="0" xfId="0">
      <alignment horizontal="center" vertical="center" wrapText="1"/>
    </xf>
    <xf numFmtId="166" fontId="5" fillId="0" borderId="2" applyAlignment="1" pivotButton="0" quotePrefix="0" xfId="0">
      <alignment horizontal="center" vertical="center" wrapText="1"/>
    </xf>
    <xf numFmtId="0" fontId="13" fillId="0" borderId="2" applyAlignment="1" pivotButton="0" quotePrefix="0" xfId="0">
      <alignment vertical="top" wrapText="1"/>
    </xf>
    <xf numFmtId="49" fontId="13" fillId="0" borderId="2" applyAlignment="1" pivotButton="0" quotePrefix="0" xfId="0">
      <alignment vertical="top" wrapText="1"/>
    </xf>
    <xf numFmtId="0" fontId="23" fillId="0" borderId="2" applyAlignment="1" pivotButton="0" quotePrefix="0" xfId="0">
      <alignment vertical="top" wrapText="1"/>
    </xf>
    <xf numFmtId="0" fontId="24" fillId="0" borderId="2" applyAlignment="1" pivotButton="0" quotePrefix="0" xfId="0">
      <alignment vertical="top" wrapText="1"/>
    </xf>
    <xf numFmtId="49" fontId="25" fillId="17" borderId="2" applyAlignment="1" pivotButton="0" quotePrefix="0" xfId="0">
      <alignment horizontal="left" vertical="center" wrapText="1"/>
    </xf>
    <xf numFmtId="0" fontId="25" fillId="17" borderId="2" applyAlignment="1" pivotButton="0" quotePrefix="0" xfId="0">
      <alignment horizontal="left" vertical="center" wrapText="1"/>
    </xf>
    <xf numFmtId="0" fontId="13" fillId="17" borderId="2" applyAlignment="1" pivotButton="0" quotePrefix="0" xfId="0">
      <alignment vertical="top" wrapText="1"/>
    </xf>
    <xf numFmtId="49" fontId="13" fillId="17" borderId="2" applyAlignment="1" pivotButton="0" quotePrefix="0" xfId="0">
      <alignment vertical="top" wrapText="1"/>
    </xf>
    <xf numFmtId="0" fontId="23" fillId="17" borderId="2" applyAlignment="1" pivotButton="0" quotePrefix="0" xfId="0">
      <alignment vertical="top" wrapText="1"/>
    </xf>
    <xf numFmtId="0" fontId="26" fillId="0" borderId="2" applyAlignment="1" pivotButton="0" quotePrefix="0" xfId="0">
      <alignment horizontal="center" vertical="center" wrapText="1"/>
    </xf>
    <xf numFmtId="0" fontId="22" fillId="17" borderId="2" applyAlignment="1" pivotButton="0" quotePrefix="0" xfId="0">
      <alignment horizontal="left" vertical="center" wrapText="1"/>
    </xf>
    <xf numFmtId="49" fontId="5" fillId="0" borderId="2" applyAlignment="1" pivotButton="0" quotePrefix="0" xfId="0">
      <alignment horizontal="center" vertical="center" wrapText="1"/>
    </xf>
    <xf numFmtId="164" fontId="6" fillId="3" borderId="2" applyAlignment="1" pivotButton="0" quotePrefix="0" xfId="0">
      <alignment horizontal="center" vertical="center" wrapText="1"/>
    </xf>
    <xf numFmtId="164" fontId="5" fillId="0" borderId="2" applyAlignment="1" pivotButton="0" quotePrefix="0" xfId="0">
      <alignment horizontal="center" vertical="center" wrapText="1"/>
    </xf>
    <xf numFmtId="0" fontId="27" fillId="0" borderId="2" applyAlignment="1" pivotButton="0" quotePrefix="0" xfId="0">
      <alignment horizontal="left" vertical="center" wrapText="1"/>
    </xf>
    <xf numFmtId="0" fontId="7" fillId="0" borderId="2" applyAlignment="1" pivotButton="0" quotePrefix="0" xfId="0">
      <alignment horizontal="center" vertical="center" wrapText="1"/>
    </xf>
    <xf numFmtId="0" fontId="24" fillId="0" borderId="2" applyAlignment="1" pivotButton="0" quotePrefix="0" xfId="0">
      <alignment horizontal="left" vertical="center" wrapText="1"/>
    </xf>
    <xf numFmtId="0" fontId="28" fillId="0" borderId="2" applyAlignment="1" pivotButton="0" quotePrefix="0" xfId="0">
      <alignment horizontal="left" vertical="center" wrapText="1"/>
    </xf>
    <xf numFmtId="0" fontId="28" fillId="0" borderId="0" applyAlignment="1" pivotButton="0" quotePrefix="0" xfId="0">
      <alignment vertical="top" wrapText="1"/>
    </xf>
    <xf numFmtId="0" fontId="29" fillId="8" borderId="2" applyAlignment="1" pivotButton="0" quotePrefix="0" xfId="0">
      <alignment horizontal="left" vertical="center" wrapText="1"/>
    </xf>
    <xf numFmtId="0" fontId="29" fillId="8" borderId="2" applyAlignment="1" pivotButton="0" quotePrefix="0" xfId="0">
      <alignment horizontal="center" vertical="center" wrapText="1"/>
    </xf>
    <xf numFmtId="0" fontId="13" fillId="8" borderId="2" applyAlignment="1" pivotButton="0" quotePrefix="0" xfId="0">
      <alignment horizontal="left" vertical="center" wrapText="1"/>
    </xf>
    <xf numFmtId="0" fontId="13" fillId="8" borderId="2" applyAlignment="1" pivotButton="0" quotePrefix="0" xfId="0">
      <alignment horizontal="center" vertical="center" wrapText="1"/>
    </xf>
    <xf numFmtId="0" fontId="4" fillId="18" borderId="0" applyAlignment="1" pivotButton="0" quotePrefix="0" xfId="0">
      <alignment horizontal="left" vertical="center" wrapText="1"/>
    </xf>
    <xf numFmtId="0" fontId="30" fillId="0" borderId="2" applyAlignment="1" pivotButton="0" quotePrefix="0" xfId="0">
      <alignment horizontal="center" vertical="center" wrapText="1"/>
    </xf>
    <xf numFmtId="0" fontId="5" fillId="19" borderId="2" applyAlignment="1" pivotButton="0" quotePrefix="0" xfId="0">
      <alignment horizontal="center" vertical="center" wrapText="1"/>
    </xf>
    <xf numFmtId="0" fontId="5" fillId="20" borderId="2" applyAlignment="1" pivotButton="0" quotePrefix="0" xfId="0">
      <alignment horizontal="center" vertical="center" wrapText="1"/>
    </xf>
    <xf numFmtId="0" fontId="5" fillId="21" borderId="2" applyAlignment="1" pivotButton="0" quotePrefix="0" xfId="0">
      <alignment horizontal="center" vertical="center" wrapText="1"/>
    </xf>
    <xf numFmtId="0" fontId="5" fillId="22" borderId="2" applyAlignment="1" pivotButton="0" quotePrefix="0" xfId="0">
      <alignment horizontal="center" vertical="center" wrapText="1"/>
    </xf>
    <xf numFmtId="0" fontId="5" fillId="23" borderId="2" applyAlignment="1" pivotButton="0" quotePrefix="0" xfId="0">
      <alignment horizontal="center" vertical="center" wrapText="1"/>
    </xf>
    <xf numFmtId="0" fontId="31" fillId="0" borderId="2" applyAlignment="1" pivotButton="0" quotePrefix="0" xfId="0">
      <alignment horizontal="center" vertical="center" wrapText="1"/>
    </xf>
    <xf numFmtId="0" fontId="32" fillId="0" borderId="0" pivotButton="0" quotePrefix="0" xfId="0"/>
    <xf numFmtId="0" fontId="33" fillId="0" borderId="2" applyAlignment="1" pivotButton="0" quotePrefix="0" xfId="0">
      <alignment horizontal="center" vertical="center" wrapText="1"/>
    </xf>
    <xf numFmtId="2" fontId="12" fillId="0" borderId="2" applyAlignment="1" pivotButton="0" quotePrefix="0" xfId="0">
      <alignment horizontal="center" vertical="center" wrapText="1"/>
    </xf>
    <xf numFmtId="1" fontId="12" fillId="0" borderId="2" applyAlignment="1" pivotButton="0" quotePrefix="0" xfId="0">
      <alignment horizontal="center" vertical="center" wrapText="1"/>
    </xf>
    <xf numFmtId="0" fontId="7" fillId="0" borderId="2" applyAlignment="1" pivotButton="0" quotePrefix="0" xfId="0">
      <alignment horizontal="left" vertical="center" wrapText="1"/>
    </xf>
    <xf numFmtId="2" fontId="6" fillId="3" borderId="2" applyAlignment="1" pivotButton="0" quotePrefix="0" xfId="0">
      <alignment horizontal="center" vertical="center" wrapText="1"/>
    </xf>
    <xf numFmtId="0" fontId="12" fillId="0" borderId="2" applyAlignment="1" pivotButton="0" quotePrefix="0" xfId="0">
      <alignment vertical="top" wrapText="1"/>
    </xf>
    <xf numFmtId="0" fontId="8" fillId="0" borderId="2" applyAlignment="1" pivotButton="0" quotePrefix="0" xfId="0">
      <alignment vertical="top" wrapText="1"/>
    </xf>
    <xf numFmtId="0" fontId="39" fillId="0" borderId="2" applyAlignment="1" pivotButton="0" quotePrefix="0" xfId="0">
      <alignment vertical="top" wrapText="1"/>
    </xf>
    <xf numFmtId="0" fontId="9" fillId="0" borderId="2" applyAlignment="1" pivotButton="0" quotePrefix="0" xfId="0">
      <alignment vertical="top" wrapText="1"/>
    </xf>
  </cellXfs>
  <cellStyles count="1">
    <cellStyle name="Normal" xfId="0" builtinId="0" hidden="0"/>
  </cellStyles>
  <dxfs count="12">
    <dxf>
      <font>
        <name val="Arial"/>
        <b val="1"/>
        <color rgb="00006100"/>
      </font>
      <fill>
        <patternFill patternType="solid">
          <fgColor rgb="00C6EFCE"/>
          <bgColor rgb="00C6EFCE"/>
        </patternFill>
      </fill>
    </dxf>
    <dxf>
      <font>
        <name val="Arial"/>
        <b val="1"/>
        <color rgb="009C5700"/>
      </font>
      <fill>
        <patternFill patternType="solid">
          <fgColor rgb="00FFEB9C"/>
          <bgColor rgb="00FFEB9C"/>
        </patternFill>
      </fill>
    </dxf>
    <dxf>
      <font>
        <name val="Arial"/>
        <b val="1"/>
        <color rgb="009C0006"/>
      </font>
      <fill>
        <patternFill patternType="solid">
          <fgColor rgb="00FFC7CE"/>
          <bgColor rgb="00FFC7CE"/>
        </patternFill>
      </fill>
    </dxf>
    <dxf>
      <font>
        <name val="Arial"/>
        <b val="1"/>
        <color rgb="00FFFFFF"/>
      </font>
      <fill>
        <patternFill patternType="solid">
          <fgColor rgb="007B0000"/>
          <bgColor rgb="007B0000"/>
        </patternFill>
      </fill>
    </dxf>
    <dxf>
      <font>
        <name val="Arial"/>
        <b val="1"/>
        <color rgb="00404040"/>
      </font>
      <fill>
        <patternFill patternType="solid">
          <fgColor rgb="00D9D9D9"/>
          <bgColor rgb="00D9D9D9"/>
        </patternFill>
      </fill>
    </dxf>
    <dxf>
      <font>
        <name val="Arial"/>
        <b val="1"/>
        <color rgb="00C00000"/>
      </font>
      <fill>
        <patternFill patternType="solid">
          <fgColor rgb="00D9D9D9"/>
          <bgColor rgb="00D9D9D9"/>
        </patternFill>
      </fill>
    </dxf>
    <dxf>
      <fill>
        <patternFill patternType="solid">
          <fgColor rgb="00BDD7EE"/>
          <bgColor rgb="00BDD7EE"/>
        </patternFill>
      </fill>
    </dxf>
    <dxf>
      <fill>
        <patternFill patternType="solid">
          <fgColor rgb="00F8CBAD"/>
          <bgColor rgb="00F8CBAD"/>
        </patternFill>
      </fill>
    </dxf>
    <dxf>
      <fill>
        <patternFill patternType="solid">
          <fgColor rgb="00FCE4D6"/>
          <bgColor rgb="00FCE4D6"/>
        </patternFill>
      </fill>
    </dxf>
    <dxf>
      <font>
        <name val="Arial"/>
        <b val="1"/>
        <color rgb="00595959"/>
      </font>
      <fill>
        <patternFill patternType="solid">
          <fgColor rgb="00EDEDED"/>
          <bgColor rgb="00EDEDED"/>
        </patternFill>
      </fill>
    </dxf>
    <dxf>
      <font>
        <name val="Arial"/>
        <color rgb="009C0006"/>
      </font>
      <fill>
        <patternFill patternType="solid">
          <fgColor rgb="00FFC7CE"/>
          <bgColor rgb="00FFC7CE"/>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Maßnahmen je Risikoklasse</a:t>
            </a:r>
          </a:p>
        </rich>
      </tx>
    </title>
    <plotArea>
      <barChart>
        <barDir val="col"/>
        <grouping val="clustered"/>
        <ser>
          <idx val="0"/>
          <order val="0"/>
          <tx>
            <strRef>
              <f>'Dashboard'!C19</f>
            </strRef>
          </tx>
          <spPr>
            <a:ln xmlns:a="http://schemas.openxmlformats.org/drawingml/2006/main">
              <a:prstDash val="solid"/>
            </a:ln>
          </spPr>
          <dPt>
            <idx val="0"/>
            <spPr>
              <a:solidFill xmlns:a="http://schemas.openxmlformats.org/drawingml/2006/main">
                <a:srgbClr val="70AD47"/>
              </a:solidFill>
              <a:ln xmlns:a="http://schemas.openxmlformats.org/drawingml/2006/main">
                <a:solidFill>
                  <a:srgbClr val="70AD47"/>
                </a:solidFill>
                <a:prstDash val="solid"/>
              </a:ln>
            </spPr>
          </dPt>
          <dPt>
            <idx val="1"/>
            <spPr>
              <a:solidFill xmlns:a="http://schemas.openxmlformats.org/drawingml/2006/main">
                <a:srgbClr val="FFC000"/>
              </a:solidFill>
              <a:ln xmlns:a="http://schemas.openxmlformats.org/drawingml/2006/main">
                <a:solidFill>
                  <a:srgbClr val="FFC000"/>
                </a:solidFill>
                <a:prstDash val="solid"/>
              </a:ln>
            </spPr>
          </dPt>
          <dPt>
            <idx val="2"/>
            <spPr>
              <a:solidFill xmlns:a="http://schemas.openxmlformats.org/drawingml/2006/main">
                <a:srgbClr val="FF5050"/>
              </a:solidFill>
              <a:ln xmlns:a="http://schemas.openxmlformats.org/drawingml/2006/main">
                <a:solidFill>
                  <a:srgbClr val="FF5050"/>
                </a:solidFill>
                <a:prstDash val="solid"/>
              </a:ln>
            </spPr>
          </dPt>
          <dPt>
            <idx val="3"/>
            <spPr>
              <a:solidFill xmlns:a="http://schemas.openxmlformats.org/drawingml/2006/main">
                <a:srgbClr val="7B0000"/>
              </a:solidFill>
              <a:ln xmlns:a="http://schemas.openxmlformats.org/drawingml/2006/main">
                <a:solidFill>
                  <a:srgbClr val="7B0000"/>
                </a:solidFill>
                <a:prstDash val="solid"/>
              </a:ln>
            </spPr>
          </dPt>
          <dPt>
            <idx val="4"/>
            <spPr>
              <a:solidFill xmlns:a="http://schemas.openxmlformats.org/drawingml/2006/main">
                <a:srgbClr val="A6A6A6"/>
              </a:solidFill>
              <a:ln xmlns:a="http://schemas.openxmlformats.org/drawingml/2006/main">
                <a:solidFill>
                  <a:srgbClr val="A6A6A6"/>
                </a:solidFill>
                <a:prstDash val="solid"/>
              </a:ln>
            </spPr>
          </dPt>
          <cat>
            <numRef>
              <f>'Dashboard'!$B$20:$B$24</f>
            </numRef>
          </cat>
          <val>
            <numRef>
              <f>'Dashboard'!$C$20:$C$24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Anzahl</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Ø RPZ je Baugruppe</a:t>
            </a:r>
          </a:p>
        </rich>
      </tx>
    </title>
    <plotArea>
      <barChart>
        <barDir val="bar"/>
        <grouping val="clustered"/>
        <ser>
          <idx val="0"/>
          <order val="0"/>
          <tx>
            <strRef>
              <f>'Dashboard'!D57</f>
            </strRef>
          </tx>
          <spPr>
            <a:solidFill xmlns:a="http://schemas.openxmlformats.org/drawingml/2006/main">
              <a:srgbClr val="2F5597"/>
            </a:solidFill>
            <a:ln xmlns:a="http://schemas.openxmlformats.org/drawingml/2006/main">
              <a:prstDash val="solid"/>
            </a:ln>
          </spPr>
          <cat>
            <numRef>
              <f>'Dashboard'!$P$58:$P$78</f>
            </numRef>
          </cat>
          <val>
            <numRef>
              <f>'Dashboard'!$D$58:$D$78</f>
            </numRef>
          </val>
        </ser>
        <dLbls>
          <numFmt formatCode="0"/>
          <showLegendKey val="0"/>
          <showVal val="1"/>
          <showCatName val="0"/>
          <showSerName val="0"/>
          <showPercent val="0"/>
        </dLbls>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Überarbeitung</author>
  </authors>
  <commentList>
    <comment ref="H5" authorId="0" shapeId="0">
      <text>
        <t>F – Funktionalität der Anlage: Auswirkung des Ausfalls auf die Funktion (1 kaum wahrnehmbar … 5 Anlage wird zerstört)</t>
      </text>
    </comment>
    <comment ref="I5" authorId="0" shapeId="0">
      <text>
        <t>IH – Instandsetzungsaufwand bei Ausfall (1 &lt; 10 min, Bediener … 5 &gt; 3 h, Spezialisten)</t>
      </text>
    </comment>
    <comment ref="J5" authorId="0" shapeId="0">
      <text>
        <t>Q – Qualität / Auswirkung auf den Kunden (1 kaum wahrnehmbar … 5 Verlust des Kunden)</t>
      </text>
    </comment>
    <comment ref="K5" authorId="0" shapeId="0">
      <text>
        <t>AS – Arbeitssicherheit (1 kaum wahrnehmbar … 5 Schaden an Leib und Leben)</t>
      </text>
    </comment>
    <comment ref="L5" authorId="0" shapeId="0">
      <text>
        <t>US – Umweltschutz (1 kaum wahrnehmbar … 5 sehr hohe Auswirkung / Umweltschutzbehörde)</t>
      </text>
    </comment>
    <comment ref="M5" authorId="0" shapeId="0">
      <text>
        <t>S – Höhe des Schadens bei Ausfall (1 kaum wahrnehmbar … 5 Generalüberholung notwendig)</t>
      </text>
    </comment>
    <comment ref="N5" authorId="0" shapeId="0">
      <text>
        <t>B – Bedeutung = √(F²+IH²+Q²+AS²+US²+S²) / 2 (Wertebereich 1,22 … 6,12)</t>
      </text>
    </comment>
    <comment ref="O5" authorId="0" shapeId="0">
      <text>
        <t>A – Ausfallwahrscheinlichkeit (1 &gt; 3 Jahre … 5 alle 6–8 Wochen)</t>
      </text>
    </comment>
    <comment ref="P5" authorId="0" shapeId="0">
      <text>
        <t>E – Entdeckungswahrscheinlichkeit (1 sofort … 5 erst nach ca. 1 Monat)</t>
      </text>
    </comment>
    <comment ref="Q5" authorId="0" shapeId="0">
      <text>
        <t>SF – Schichtfaktor (0,33 / 0,66 / 1 bei 1-/2-/3-Schicht). Standard vom Deckblatt; zeilenweise überschreibbar.</t>
      </text>
    </comment>
    <comment ref="R5" authorId="0" shapeId="0">
      <text>
        <t>Risikoprioritätszahl RPZ = B × A × E × SF</t>
      </text>
    </comment>
    <comment ref="U5" authorId="0" shapeId="0">
      <text>
        <t>Standard = berechnetes Intervall. Bei Abweichung (Herstellervorgabe, gesetzliche Prüfpflicht, Erfahrung) Intervall wählen und in der Folgespalte begründen.</t>
      </text>
    </comment>
    <comment ref="X5" authorId="0" shapeId="0">
      <text>
        <t>Zeigt, ob Arbeitssicherheit (AS), Qualität (Q) oder Umwelt (US) mit ≥ Relevanzschwelle (Parameter) bewertet sind.</t>
      </text>
    </comment>
    <comment ref="Y5" authorId="0" shapeId="0">
      <text>
        <t>Aus der IH-Bewertung abgeleitet: erwartete Dauer und Personal für die Instandsetzung bei Ausfall.</t>
      </text>
    </comment>
    <comment ref="AA5" authorId="0" shapeId="0">
      <text>
        <t>Eingabe: geplante Dauer einer Durchführung der Wartungsmaßnahme in Minuten (Basis für Kapazitätsplanung).</t>
      </text>
    </comment>
    <comment ref="AF5" authorId="0" shapeId="0">
      <text>
        <t>In der Vorversion wurden diese Bewertungen per Formel von der genannten Maßnahme übernommen (Verknüpfung bleibt erhalten).</t>
      </text>
    </comment>
    <comment ref="AH5" authorId="0" shapeId="0">
      <text>
        <t>Unveränderter Text der Vorversion (Stand 01) zur Rückverfolgbarkeit.</t>
      </text>
    </comment>
    <comment ref="AJ5" authorId="0" shapeId="0">
      <text>
        <t>Hilfsspalte für die Top-10-Auswertung im Dashboard.</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jpeg" Id="rId2"/><Relationship Type="http://schemas.openxmlformats.org/officeDocument/2006/relationships/image" Target="/xl/media/image5.jpeg" Id="rId3"/><Relationship Type="http://schemas.openxmlformats.org/officeDocument/2006/relationships/image" Target="/xl/media/image6.png" Id="rId4"/><Relationship Type="http://schemas.openxmlformats.org/officeDocument/2006/relationships/image" Target="/xl/media/image7.jpeg" Id="rId5"/><Relationship Type="http://schemas.openxmlformats.org/officeDocument/2006/relationships/image" Target="/xl/media/image8.jpeg" Id="rId6"/><Relationship Type="http://schemas.openxmlformats.org/officeDocument/2006/relationships/image" Target="/xl/media/image9.jpeg" Id="rId7"/><Relationship Type="http://schemas.openxmlformats.org/officeDocument/2006/relationships/image" Target="/xl/media/image10.jpeg" Id="rId8"/><Relationship Type="http://schemas.openxmlformats.org/officeDocument/2006/relationships/image" Target="/xl/media/image11.jpeg" Id="rId9"/><Relationship Type="http://schemas.openxmlformats.org/officeDocument/2006/relationships/image" Target="/xl/media/image12.jpeg" Id="rId10"/><Relationship Type="http://schemas.openxmlformats.org/officeDocument/2006/relationships/image" Target="/xl/media/image13.jpeg" Id="rId11"/><Relationship Type="http://schemas.openxmlformats.org/officeDocument/2006/relationships/image" Target="/xl/media/image14.jpeg" Id="rId12"/></Relationships>
</file>

<file path=xl/drawings/_rels/drawing4.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oneCellAnchor>
    <from>
      <col>5</col>
      <colOff>28575</colOff>
      <row>1</row>
      <rowOff>28575</rowOff>
    </from>
    <ext cx="2381250" cy="485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17</row>
      <rowOff>0</rowOff>
    </from>
    <ext cx="43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55</row>
      <rowOff>0</rowOff>
    </from>
    <ext cx="612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28575</colOff>
      <row>0</row>
      <rowOff>28575</rowOff>
    </from>
    <ext cx="2095500" cy="419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4</col>
      <colOff>28575</colOff>
      <row>14</row>
      <rowOff>28575</rowOff>
    </from>
    <ext cx="142875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28575</colOff>
      <row>17</row>
      <rowOff>28575</rowOff>
    </from>
    <ext cx="1428750" cy="838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28575</colOff>
      <row>22</row>
      <rowOff>28575</rowOff>
    </from>
    <ext cx="1428750" cy="847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28575</colOff>
      <row>24</row>
      <rowOff>28575</rowOff>
    </from>
    <ext cx="1428750" cy="723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28575</colOff>
      <row>46</row>
      <rowOff>28575</rowOff>
    </from>
    <ext cx="1428750" cy="9239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28575</colOff>
      <row>61</row>
      <rowOff>28575</rowOff>
    </from>
    <ext cx="1428750" cy="781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28575</colOff>
      <row>64</row>
      <rowOff>28575</rowOff>
    </from>
    <ext cx="1419225" cy="933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28575</colOff>
      <row>65</row>
      <rowOff>28575</rowOff>
    </from>
    <ext cx="1400175" cy="933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28575</colOff>
      <row>66</row>
      <rowOff>28575</rowOff>
    </from>
    <ext cx="1419225" cy="933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28575</colOff>
      <row>69</row>
      <rowOff>28575</rowOff>
    </from>
    <ext cx="142875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28575</colOff>
      <row>72</row>
      <rowOff>28575</rowOff>
    </from>
    <ext cx="142875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28575</colOff>
      <row>122</row>
      <rowOff>28575</rowOff>
    </from>
    <ext cx="1333500" cy="933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28575</colOff>
      <row>4</row>
      <rowOff>28575</rowOff>
    </from>
    <ext cx="6096000" cy="4591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blWartungsplan" displayName="tblWartungsplan" ref="A5:AJ123" headerRowCount="1">
  <autoFilter ref="A5:AJ123"/>
  <tableColumns count="36">
    <tableColumn id="1" name="Nr."/>
    <tableColumn id="2" name="Auszuführende Maßnahme"/>
    <tableColumn id="3" name="Art der Maßnahme"/>
    <tableColumn id="4" name="Hinweis"/>
    <tableColumn id="5" name="Objekt / Bild"/>
    <tableColumn id="6" name="Hilfs-/Betriebsmittel, Einstellwerte"/>
    <tableColumn id="7" name="Sollzustand / Prüfkriterium"/>
    <tableColumn id="8" name="F"/>
    <tableColumn id="9" name="IH"/>
    <tableColumn id="10" name="Q"/>
    <tableColumn id="11" name="AS"/>
    <tableColumn id="12" name="US"/>
    <tableColumn id="13" name="S"/>
    <tableColumn id="14" name="B"/>
    <tableColumn id="15" name="A"/>
    <tableColumn id="16" name="E"/>
    <tableColumn id="17" name="SF"/>
    <tableColumn id="18" name="RPZ"/>
    <tableColumn id="19" name="Risikoklasse"/>
    <tableColumn id="20" name="Intervall berechnet"/>
    <tableColumn id="21" name="Intervall festgelegt"/>
    <tableColumn id="22" name="Intervall [Wochen]"/>
    <tableColumn id="23" name="Begründung Abweichung / Bemerkung"/>
    <tableColumn id="24" name="Relevanz AS/Q/US"/>
    <tableColumn id="25" name="Instandsetzung bei Ausfall (lt. IH)"/>
    <tableColumn id="26" name="Ausführung durch"/>
    <tableColumn id="27" name="Plan-Zeit [min]"/>
    <tableColumn id="28" name="Aufwand [h/Jahr]"/>
    <tableColumn id="29" name="Baugruppe"/>
    <tableColumn id="30" name="Pos. Übersicht"/>
    <tableColumn id="31" name="Zeilentyp"/>
    <tableColumn id="32" name="Bewertung übernommen von"/>
    <tableColumn id="33" name="Nr. Vorversion"/>
    <tableColumn id="34" name="Originaltext Vorversion"/>
    <tableColumn id="35" name="Reihenfolge"/>
    <tableColumn id="36" name="Rangschlüssel"/>
  </tableColumns>
  <tableStyleInfo name="TableStyleLight1" showRowStripes="0" showColumnStripes="0"/>
</table>
</file>

<file path=xl/tables/table2.xml><?xml version="1.0" encoding="utf-8"?>
<table xmlns="http://schemas.openxmlformats.org/spreadsheetml/2006/main" id="2" name="tblNachweis" displayName="tblNachweis" ref="A5:M93" headerRowCount="1">
  <autoFilter ref="A5:M93"/>
  <tableColumns count="13">
    <tableColumn id="1" name="Nr."/>
    <tableColumn id="2" name="Baugruppe"/>
    <tableColumn id="3" name="Maßnahme"/>
    <tableColumn id="4" name="Intervall festgelegt"/>
    <tableColumn id="5" name="Intervall [Wochen]"/>
    <tableColumn id="6" name="Ausführung durch"/>
    <tableColumn id="7" name="Letzte Durchführung"/>
    <tableColumn id="8" name="Nächste Fälligkeit"/>
    <tableColumn id="9" name="Tage bis Fälligkeit"/>
    <tableColumn id="10" name="Status"/>
    <tableColumn id="11" name="Befund"/>
    <tableColumn id="12" name="Durchgeführt von"/>
    <tableColumn id="13" name="Bemerkung / Folgeauftrag (SAP-Nr.)"/>
  </tableColumns>
  <tableStyleInfo name="TableStyleLight1" showRowStripes="0"/>
</table>
</file>

<file path=xl/tables/table3.xml><?xml version="1.0" encoding="utf-8"?>
<table xmlns="http://schemas.openxmlformats.org/spreadsheetml/2006/main" id="3" name="tblOffenePunkte" displayName="tblOffenePunkte" ref="B5:J18" headerRowCount="1">
  <autoFilter ref="B5:J18"/>
  <tableColumns count="9">
    <tableColumn id="2" name="Nr."/>
    <tableColumn id="3" name="Bereich / Maßnahme"/>
    <tableColumn id="4" name="Befund"/>
    <tableColumn id="5" name="Auswirkung"/>
    <tableColumn id="6" name="Empfohlene Maßnahme"/>
    <tableColumn id="7" name="Priorität"/>
    <tableColumn id="8" name="Verantwortlich"/>
    <tableColumn id="9" name="Termin"/>
    <tableColumn id="10" name="Statu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Wartungsplan'!A1" TargetMode="External" Id="rId2"/><Relationship Type="http://schemas.openxmlformats.org/officeDocument/2006/relationships/hyperlink" Target="#'Durchf&#252;hrungsnachweis'!A1" TargetMode="External" Id="rId3"/><Relationship Type="http://schemas.openxmlformats.org/officeDocument/2006/relationships/hyperlink" Target="#'Anlagen&#252;bersicht'!A1" TargetMode="External" Id="rId4"/><Relationship Type="http://schemas.openxmlformats.org/officeDocument/2006/relationships/hyperlink" Target="#'Bewertungskatalog'!A1" TargetMode="External" Id="rId5"/><Relationship Type="http://schemas.openxmlformats.org/officeDocument/2006/relationships/hyperlink" Target="#'RPZ-Methodik'!A1" TargetMode="External" Id="rId6"/><Relationship Type="http://schemas.openxmlformats.org/officeDocument/2006/relationships/hyperlink" Target="#'Parameter'!A1" TargetMode="External" Id="rId7"/><Relationship Type="http://schemas.openxmlformats.org/officeDocument/2006/relationships/hyperlink" Target="#'Offene Punkte'!A1" TargetMode="External" Id="rId8"/><Relationship Type="http://schemas.openxmlformats.org/officeDocument/2006/relationships/hyperlink" Target="#'Weiterentwicklung'!A1" TargetMode="External" Id="rId9"/><Relationship Type="http://schemas.openxmlformats.org/officeDocument/2006/relationships/hyperlink" Target="#'&#196;nderungsprotokoll'!A1" TargetMode="External" Id="rId10"/><Relationship Type="http://schemas.openxmlformats.org/officeDocument/2006/relationships/drawing" Target="/xl/drawings/drawing1.xml" Id="rId1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1F3864"/>
    <outlinePr summaryBelow="1" summaryRight="1"/>
    <pageSetUpPr fitToPage="1"/>
  </sheetPr>
  <dimension ref="B2:G64"/>
  <sheetViews>
    <sheetView showGridLines="0" tabSelected="1" zoomScale="90" workbookViewId="0">
      <selection activeCell="A1" sqref="A1"/>
    </sheetView>
  </sheetViews>
  <sheetFormatPr baseColWidth="8" defaultRowHeight="15"/>
  <cols>
    <col width="2" customWidth="1" min="1" max="1"/>
    <col width="34" customWidth="1" min="2" max="2"/>
    <col width="22" customWidth="1" min="3" max="3"/>
    <col width="22" customWidth="1" min="4" max="4"/>
    <col width="22" customWidth="1" min="5" max="5"/>
    <col width="22" customWidth="1" min="6" max="6"/>
    <col width="22" customWidth="1" min="7" max="7"/>
    <col width="2" customWidth="1" min="8" max="8"/>
  </cols>
  <sheetData>
    <row r="2" ht="28" customHeight="1">
      <c r="B2" s="1" t="inlineStr">
        <is>
          <t>Wartungsintervallberechnung – große Wartung</t>
        </is>
      </c>
    </row>
    <row r="3">
      <c r="B3" s="2" t="inlineStr">
        <is>
          <t>Horizontale hydraulische Simultanbalgmaschine (HSIM) · risikobasierte Festlegung der Wartungsintervalle (RPZ)</t>
        </is>
      </c>
    </row>
    <row r="4">
      <c r="B4" s="3" t="n"/>
      <c r="C4" s="3" t="n"/>
      <c r="D4" s="3" t="n"/>
      <c r="E4" s="3" t="n"/>
      <c r="F4" s="3" t="n"/>
      <c r="G4" s="3" t="n"/>
    </row>
    <row r="6">
      <c r="B6" s="4" t="inlineStr">
        <is>
          <t>Stammdaten der Anlage</t>
        </is>
      </c>
    </row>
    <row r="7">
      <c r="B7" s="5" t="inlineStr">
        <is>
          <t>Maschinenbezeichnung</t>
        </is>
      </c>
      <c r="C7" s="6" t="inlineStr">
        <is>
          <t>Horizontale hydraulische Simultanbalgmaschine (HSIM)</t>
        </is>
      </c>
      <c r="D7" s="7" t="n"/>
      <c r="E7" s="7" t="n"/>
      <c r="F7" s="7" t="n"/>
      <c r="G7" s="7" t="n"/>
    </row>
    <row r="8">
      <c r="B8" s="5" t="inlineStr">
        <is>
          <t>Equipmentnummer (SAP)</t>
        </is>
      </c>
      <c r="C8" s="6" t="n"/>
      <c r="D8" s="7" t="n"/>
      <c r="E8" s="7" t="n"/>
      <c r="F8" s="7" t="n"/>
      <c r="G8" s="7" t="n"/>
    </row>
    <row r="9">
      <c r="B9" s="5" t="inlineStr">
        <is>
          <t>Standort / Kostenstelle</t>
        </is>
      </c>
      <c r="C9" s="6" t="n"/>
      <c r="D9" s="7" t="n"/>
      <c r="E9" s="7" t="n"/>
      <c r="F9" s="7" t="n"/>
      <c r="G9" s="7" t="n"/>
    </row>
    <row r="10">
      <c r="B10" s="5" t="inlineStr">
        <is>
          <t>Hersteller / Baujahr</t>
        </is>
      </c>
      <c r="C10" s="6" t="n"/>
      <c r="D10" s="7" t="n"/>
      <c r="E10" s="7" t="n"/>
      <c r="F10" s="7" t="n"/>
      <c r="G10" s="7" t="n"/>
    </row>
    <row r="11">
      <c r="B11" s="5" t="inlineStr">
        <is>
          <t>Schichtmodell</t>
        </is>
      </c>
      <c r="C11" s="6" t="inlineStr">
        <is>
          <t>3-Schicht</t>
        </is>
      </c>
      <c r="D11" s="7" t="n"/>
      <c r="E11" s="7" t="n"/>
      <c r="F11" s="7" t="n"/>
      <c r="G11" s="7" t="n"/>
    </row>
    <row r="12">
      <c r="B12" s="5" t="inlineStr">
        <is>
          <t>Schichtfaktor SF (automatisch)</t>
        </is>
      </c>
      <c r="C12" s="8">
        <f>IFERROR(INDEX(SF_Wert,MATCH(C11,SF_Modell,0)),1)</f>
        <v/>
      </c>
      <c r="D12" s="7" t="n"/>
      <c r="E12" s="7" t="n"/>
      <c r="F12" s="7" t="n"/>
      <c r="G12" s="7" t="n"/>
    </row>
    <row r="13">
      <c r="B13" s="5" t="inlineStr">
        <is>
          <t>Ablage</t>
        </is>
      </c>
      <c r="C13" s="9">
        <f>CELL("filename")</f>
        <v/>
      </c>
      <c r="D13" s="7" t="n"/>
      <c r="E13" s="7" t="n"/>
      <c r="F13" s="7" t="n"/>
      <c r="G13" s="7" t="n"/>
    </row>
    <row r="15">
      <c r="B15" s="4" t="inlineStr">
        <is>
          <t>Dokumentenlenkung</t>
        </is>
      </c>
    </row>
    <row r="16">
      <c r="B16" s="5" t="inlineStr">
        <is>
          <t>Verantwortlich für Änderungen</t>
        </is>
      </c>
      <c r="C16" s="6" t="inlineStr">
        <is>
          <t>fz-pA / H. Mrugalla</t>
        </is>
      </c>
      <c r="D16" s="7" t="n"/>
      <c r="E16" s="7" t="n"/>
      <c r="F16" s="7" t="n"/>
      <c r="G16" s="7" t="n"/>
    </row>
    <row r="17">
      <c r="B17" s="5" t="inlineStr">
        <is>
          <t>Stand / Version</t>
        </is>
      </c>
      <c r="C17" s="6" t="inlineStr">
        <is>
          <t>02 (Entwurf – Freigabe ausstehend)</t>
        </is>
      </c>
      <c r="D17" s="7" t="n"/>
      <c r="E17" s="7" t="n"/>
      <c r="F17" s="7" t="n"/>
      <c r="G17" s="7" t="n"/>
    </row>
    <row r="18">
      <c r="B18" s="5" t="inlineStr">
        <is>
          <t>Datum Stand</t>
        </is>
      </c>
      <c r="C18" s="10">
        <f>DATE(2026,10,17)</f>
        <v/>
      </c>
      <c r="D18" s="7" t="n"/>
      <c r="E18" s="7" t="n"/>
      <c r="F18" s="7" t="n"/>
      <c r="G18" s="7" t="n"/>
    </row>
    <row r="19">
      <c r="B19" s="5" t="inlineStr">
        <is>
          <t>Überarbeitet von</t>
        </is>
      </c>
      <c r="C19" s="6" t="n"/>
      <c r="D19" s="7" t="n"/>
      <c r="E19" s="7" t="n"/>
      <c r="F19" s="7" t="n"/>
      <c r="G19" s="7" t="n"/>
    </row>
    <row r="20">
      <c r="B20" s="5" t="inlineStr">
        <is>
          <t>Nächste Überprüfung der Bewertung</t>
        </is>
      </c>
      <c r="C20" s="11">
        <f>EDATE(C18,12)</f>
        <v/>
      </c>
      <c r="D20" s="7" t="n"/>
      <c r="E20" s="7" t="n"/>
      <c r="F20" s="7" t="n"/>
      <c r="G20" s="7" t="n"/>
    </row>
    <row r="22">
      <c r="B22" s="4" t="inlineStr">
        <is>
          <t>Freigabe (interdisziplinäres Team)</t>
        </is>
      </c>
    </row>
    <row r="23" ht="20" customHeight="1">
      <c r="B23" s="12" t="inlineStr">
        <is>
          <t>Funktion</t>
        </is>
      </c>
      <c r="C23" s="12" t="inlineStr">
        <is>
          <t>Name</t>
        </is>
      </c>
      <c r="D23" s="12" t="inlineStr">
        <is>
          <t>Datum</t>
        </is>
      </c>
      <c r="E23" s="12" t="inlineStr">
        <is>
          <t>Unterschrift</t>
        </is>
      </c>
      <c r="F23" s="13" t="n"/>
      <c r="G23" s="14" t="n"/>
    </row>
    <row r="24" ht="24" customHeight="1">
      <c r="B24" s="15" t="inlineStr">
        <is>
          <t>Instandhaltung (Ersteller)</t>
        </is>
      </c>
      <c r="C24" s="16" t="n"/>
      <c r="D24" s="17" t="n"/>
      <c r="E24" s="18" t="n"/>
      <c r="F24" s="18" t="n"/>
      <c r="G24" s="18" t="n"/>
    </row>
    <row r="25" ht="24" customHeight="1">
      <c r="B25" s="15" t="inlineStr">
        <is>
          <t>Produktion / Fertigung</t>
        </is>
      </c>
      <c r="C25" s="16" t="n"/>
      <c r="D25" s="17" t="n"/>
      <c r="E25" s="18" t="n"/>
      <c r="F25" s="18" t="n"/>
      <c r="G25" s="18" t="n"/>
    </row>
    <row r="26" ht="24" customHeight="1">
      <c r="B26" s="15" t="inlineStr">
        <is>
          <t>Qualitätsmanagement</t>
        </is>
      </c>
      <c r="C26" s="16" t="n"/>
      <c r="D26" s="17" t="n"/>
      <c r="E26" s="18" t="n"/>
      <c r="F26" s="18" t="n"/>
      <c r="G26" s="18" t="n"/>
    </row>
    <row r="27" ht="24" customHeight="1">
      <c r="B27" s="15" t="inlineStr">
        <is>
          <t>Arbeitssicherheit / Umwelt</t>
        </is>
      </c>
      <c r="C27" s="16" t="n"/>
      <c r="D27" s="17" t="n"/>
      <c r="E27" s="18" t="n"/>
      <c r="F27" s="18" t="n"/>
      <c r="G27" s="18" t="n"/>
    </row>
    <row r="29">
      <c r="B29" s="4" t="inlineStr">
        <is>
          <t>Änderungshistorie</t>
        </is>
      </c>
    </row>
    <row r="30" ht="20" customHeight="1">
      <c r="B30" s="12" t="inlineStr">
        <is>
          <t>Stand</t>
        </is>
      </c>
      <c r="C30" s="12" t="inlineStr">
        <is>
          <t>Datum</t>
        </is>
      </c>
      <c r="D30" s="12" t="inlineStr">
        <is>
          <t>Änderung</t>
        </is>
      </c>
      <c r="E30" s="13" t="n"/>
      <c r="F30" s="14" t="n"/>
      <c r="G30" s="12" t="inlineStr">
        <is>
          <t>Bearbeiter</t>
        </is>
      </c>
    </row>
    <row r="31">
      <c r="B31" s="15" t="inlineStr">
        <is>
          <t>01</t>
        </is>
      </c>
      <c r="C31" s="15" t="inlineStr">
        <is>
          <t>03.02.2009</t>
        </is>
      </c>
      <c r="D31" s="19" t="inlineStr">
        <is>
          <t>Ersterstellung Wartungsintervallberechnung</t>
        </is>
      </c>
      <c r="E31" s="7" t="n"/>
      <c r="F31" s="7" t="n"/>
      <c r="G31" s="15" t="inlineStr">
        <is>
          <t>fz-pA / H. Mrugalla</t>
        </is>
      </c>
    </row>
    <row r="32" ht="52" customHeight="1">
      <c r="B32" s="15" t="inlineStr">
        <is>
          <t>02 (Entwurf)</t>
        </is>
      </c>
      <c r="C32" s="15" t="inlineStr">
        <is>
          <t>17.10.2026</t>
        </is>
      </c>
      <c r="D32" s="19" t="inlineStr">
        <is>
          <t>Strukturelle Überarbeitung: einheitliche Nummerierung und Formulierungen, Ampellogik, Dashboard, Durchführungsnachweis, konsolidierter Bewertungskatalog, Parameterblatt, offene Punkte. Alle Bewertungen unverändert übernommen (Details: Blatt „Änderungsprotokoll“).</t>
        </is>
      </c>
      <c r="E32" s="7" t="n"/>
      <c r="F32" s="7" t="n"/>
      <c r="G32" s="20" t="n"/>
    </row>
    <row r="33">
      <c r="B33" s="16" t="n"/>
      <c r="C33" s="7" t="n"/>
      <c r="D33" s="7" t="n"/>
      <c r="E33" s="7" t="n"/>
      <c r="F33" s="7" t="n"/>
      <c r="G33" s="7" t="n"/>
    </row>
    <row r="35">
      <c r="B35" s="4" t="inlineStr">
        <is>
          <t>Aufbau der Datei</t>
        </is>
      </c>
    </row>
    <row r="36" ht="20" customHeight="1">
      <c r="B36" s="12" t="inlineStr">
        <is>
          <t>Blatt</t>
        </is>
      </c>
      <c r="C36" s="12" t="inlineStr">
        <is>
          <t>Inhalt / Zweck</t>
        </is>
      </c>
      <c r="D36" s="13" t="n"/>
      <c r="E36" s="13" t="n"/>
      <c r="F36" s="14" t="n"/>
      <c r="G36" s="12" t="inlineStr">
        <is>
          <t>Zielgruppe</t>
        </is>
      </c>
    </row>
    <row r="37" ht="26" customHeight="1">
      <c r="B37" s="21" t="inlineStr">
        <is>
          <t>Dashboard</t>
        </is>
      </c>
      <c r="C37" s="15" t="inlineStr">
        <is>
          <t>Kennzahlen, Risikoverteilung, Top-10-Risiken, Risikomatrix, Auswertung je Baugruppe, Durchführungsstatus</t>
        </is>
      </c>
      <c r="D37" s="7" t="n"/>
      <c r="E37" s="7" t="n"/>
      <c r="F37" s="7" t="n"/>
      <c r="G37" s="15" t="inlineStr">
        <is>
          <t>Management, QM, IH-Leitung</t>
        </is>
      </c>
    </row>
    <row r="38" ht="26" customHeight="1">
      <c r="B38" s="21" t="inlineStr">
        <is>
          <t>Wartungsplan</t>
        </is>
      </c>
      <c r="C38" s="15" t="inlineStr">
        <is>
          <t>Alle Wartungsmaßnahmen mit Bewertung (F, IH, Q, AS, US, S, A, E, SF), RPZ, Risikoklasse (Ampel) und Intervall</t>
        </is>
      </c>
      <c r="D38" s="7" t="n"/>
      <c r="E38" s="7" t="n"/>
      <c r="F38" s="7" t="n"/>
      <c r="G38" s="15" t="inlineStr">
        <is>
          <t>Instandhaltung, Produktion</t>
        </is>
      </c>
    </row>
    <row r="39" ht="26" customHeight="1">
      <c r="B39" s="21" t="inlineStr">
        <is>
          <t>Durchführungsnachweis</t>
        </is>
      </c>
      <c r="C39" s="15" t="inlineStr">
        <is>
          <t>Letzte Durchführung je Maßnahme, nächste Fälligkeit, Status (überfällig / bald fällig / i.O.), Befund</t>
        </is>
      </c>
      <c r="D39" s="7" t="n"/>
      <c r="E39" s="7" t="n"/>
      <c r="F39" s="7" t="n"/>
      <c r="G39" s="15" t="inlineStr">
        <is>
          <t>Instandhaltung, QM (Audit)</t>
        </is>
      </c>
    </row>
    <row r="40" ht="26" customHeight="1">
      <c r="B40" s="21" t="inlineStr">
        <is>
          <t>Anlagenübersicht</t>
        </is>
      </c>
      <c r="C40" s="15" t="inlineStr">
        <is>
          <t>Übersichtszeichnung mit Positionsnummern und Zuordnung zu den Abschnitten des Wartungsplans</t>
        </is>
      </c>
      <c r="D40" s="7" t="n"/>
      <c r="E40" s="7" t="n"/>
      <c r="F40" s="7" t="n"/>
      <c r="G40" s="15" t="inlineStr">
        <is>
          <t>alle</t>
        </is>
      </c>
    </row>
    <row r="41" ht="26" customHeight="1">
      <c r="B41" s="21" t="inlineStr">
        <is>
          <t>Bewertungskatalog</t>
        </is>
      </c>
      <c r="C41" s="15" t="inlineStr">
        <is>
          <t>Bewertungsskalen 1–5 aller Kriterien auf einem Blatt (ersetzt 8 Einzelblätter der Vorversion)</t>
        </is>
      </c>
      <c r="D41" s="7" t="n"/>
      <c r="E41" s="7" t="n"/>
      <c r="F41" s="7" t="n"/>
      <c r="G41" s="15" t="inlineStr">
        <is>
          <t>Bewertungsteam</t>
        </is>
      </c>
    </row>
    <row r="42" ht="26" customHeight="1">
      <c r="B42" s="21" t="inlineStr">
        <is>
          <t>RPZ-Methodik</t>
        </is>
      </c>
      <c r="C42" s="15" t="inlineStr">
        <is>
          <t>Berechnungslogik der RPZ, Wertebereiche, Rechenbeispiel</t>
        </is>
      </c>
      <c r="D42" s="7" t="n"/>
      <c r="E42" s="7" t="n"/>
      <c r="F42" s="7" t="n"/>
      <c r="G42" s="15" t="inlineStr">
        <is>
          <t>Bewertungsteam, QM, Management</t>
        </is>
      </c>
    </row>
    <row r="43" ht="26" customHeight="1">
      <c r="B43" s="21" t="inlineStr">
        <is>
          <t>Parameter</t>
        </is>
      </c>
      <c r="C43" s="15" t="inlineStr">
        <is>
          <t>Grenzwerte, Intervalle, Schichtfaktor, Auswahllisten – zentrale Stellschrauben</t>
        </is>
      </c>
      <c r="D43" s="7" t="n"/>
      <c r="E43" s="7" t="n"/>
      <c r="F43" s="7" t="n"/>
      <c r="G43" s="15" t="inlineStr">
        <is>
          <t>IH-Leitung</t>
        </is>
      </c>
    </row>
    <row r="44" ht="26" customHeight="1">
      <c r="B44" s="21" t="inlineStr">
        <is>
          <t>Offene Punkte</t>
        </is>
      </c>
      <c r="C44" s="15" t="inlineStr">
        <is>
          <t>Bei der Überarbeitung festgestellte Lücken/Unstimmigkeiten mit Maßnahmenverfolgung</t>
        </is>
      </c>
      <c r="D44" s="7" t="n"/>
      <c r="E44" s="7" t="n"/>
      <c r="F44" s="7" t="n"/>
      <c r="G44" s="15" t="inlineStr">
        <is>
          <t>Bewertungsteam</t>
        </is>
      </c>
    </row>
    <row r="45" ht="26" customHeight="1">
      <c r="B45" s="21" t="inlineStr">
        <is>
          <t>Weiterentwicklung</t>
        </is>
      </c>
      <c r="C45" s="15" t="inlineStr">
        <is>
          <t>Vorschläge für zusätzliche Kriterien und Kennzahlen (IATF 16949, TPM)</t>
        </is>
      </c>
      <c r="D45" s="7" t="n"/>
      <c r="E45" s="7" t="n"/>
      <c r="F45" s="7" t="n"/>
      <c r="G45" s="15" t="inlineStr">
        <is>
          <t>Management, QM</t>
        </is>
      </c>
    </row>
    <row r="46" ht="26" customHeight="1">
      <c r="B46" s="21" t="inlineStr">
        <is>
          <t>Änderungsprotokoll</t>
        </is>
      </c>
      <c r="C46" s="15" t="inlineStr">
        <is>
          <t>Alle wesentlichen Änderungen gegenüber der Vorversion mit Begründung</t>
        </is>
      </c>
      <c r="D46" s="7" t="n"/>
      <c r="E46" s="7" t="n"/>
      <c r="F46" s="7" t="n"/>
      <c r="G46" s="15" t="inlineStr">
        <is>
          <t>QM, Dokumentenlenkung</t>
        </is>
      </c>
    </row>
    <row r="48">
      <c r="B48" s="4" t="inlineStr">
        <is>
          <t>Anwendung in 5 Schritten</t>
        </is>
      </c>
    </row>
    <row r="49" ht="26" customHeight="1">
      <c r="B49" s="22" t="inlineStr">
        <is>
          <t>1. Stammdaten und Schichtmodell oben eintragen (gelbe Felder). Der Schichtfaktor wird automatisch für alle Maßnahmen übernommen.</t>
        </is>
      </c>
    </row>
    <row r="50" ht="26" customHeight="1">
      <c r="B50" s="22" t="inlineStr">
        <is>
          <t>2. Im Blatt „Wartungsplan“ je Maßnahme die Kriterien F, IH, Q, AS, US, S sowie A und E von 1 (gering) bis 5 (sehr hoch) bewerten – Skalen siehe „Bewertungskatalog“ bzw. Eingabehilfe in der Zelle.</t>
        </is>
      </c>
    </row>
    <row r="51" ht="26" customHeight="1">
      <c r="B51" s="22" t="inlineStr">
        <is>
          <t>3. RPZ, Risikoklasse und berechnetes Intervall entstehen automatisch. Abweichendes Intervall (z. B. Herstellervorgabe, gesetzliche Prüfung) in „Intervall festgelegt“ wählen und begründen.</t>
        </is>
      </c>
    </row>
    <row r="52" ht="26" customHeight="1">
      <c r="B52" s="22" t="inlineStr">
        <is>
          <t>4. Nach jeder Durchführung im Blatt „Durchführungsnachweis“ Datum, Befund und Namen eintragen – Fälligkeit und Status berechnen sich selbst.</t>
        </is>
      </c>
    </row>
    <row r="53" ht="26" customHeight="1">
      <c r="B53" s="22" t="inlineStr">
        <is>
          <t>5. Bewertung mindestens jährlich sowie nach Störungen, Anlagenänderungen oder Reklamationen im Team (IH, Produktion, QM) überprüfen und freigeben.</t>
        </is>
      </c>
    </row>
    <row r="55">
      <c r="B55" s="4" t="inlineStr">
        <is>
          <t>Legende</t>
        </is>
      </c>
    </row>
    <row r="56">
      <c r="B56" s="23" t="inlineStr">
        <is>
          <t>Beispiel</t>
        </is>
      </c>
      <c r="C56" s="24" t="inlineStr">
        <is>
          <t>Eingabefeld (blaue Schrift auf gelb) – darf geändert werden</t>
        </is>
      </c>
    </row>
    <row r="57">
      <c r="B57" s="25" t="inlineStr">
        <is>
          <t>Beispiel</t>
        </is>
      </c>
      <c r="C57" s="24" t="inlineStr">
        <is>
          <t>Berechnetes Feld (Formel) – nicht überschreiben</t>
        </is>
      </c>
    </row>
    <row r="58">
      <c r="B58" s="26" t="inlineStr">
        <is>
          <t>Beispiel</t>
        </is>
      </c>
      <c r="C58" s="24" t="inlineStr">
        <is>
          <t>Vorschlag aus der Überarbeitung (grau kursiv) – durch Instandhaltung prüfen und freigeben</t>
        </is>
      </c>
    </row>
    <row r="59">
      <c r="B59" s="27" t="inlineStr">
        <is>
          <t>Beispiel</t>
        </is>
      </c>
      <c r="C59" s="24" t="inlineStr">
        <is>
          <t>Baugruppe (Gliederungszeile)</t>
        </is>
      </c>
    </row>
    <row r="60">
      <c r="B60" s="28" t="inlineStr">
        <is>
          <t>Beispiel</t>
        </is>
      </c>
      <c r="C60" s="24" t="inlineStr">
        <is>
          <t>Risikoklasse gering → jährlich</t>
        </is>
      </c>
    </row>
    <row r="61">
      <c r="B61" s="29" t="inlineStr">
        <is>
          <t>Beispiel</t>
        </is>
      </c>
      <c r="C61" s="24" t="inlineStr">
        <is>
          <t>Risikoklasse mittel → 16 Wochen</t>
        </is>
      </c>
    </row>
    <row r="62">
      <c r="B62" s="30" t="inlineStr">
        <is>
          <t>Beispiel</t>
        </is>
      </c>
      <c r="C62" s="24" t="inlineStr">
        <is>
          <t>Risikoklasse hoch → 8 Wochen</t>
        </is>
      </c>
    </row>
    <row r="63">
      <c r="B63" s="31" t="inlineStr">
        <is>
          <t>Beispiel</t>
        </is>
      </c>
      <c r="C63" s="24" t="inlineStr">
        <is>
          <t>Risikoklasse kritisch → 4 Wochen + Risikominderung (neu)</t>
        </is>
      </c>
    </row>
    <row r="64">
      <c r="B64" s="32" t="inlineStr">
        <is>
          <t>Beispiel</t>
        </is>
      </c>
      <c r="C64" s="24" t="inlineStr">
        <is>
          <t>Bewertung unvollständig → kein Intervall ermittelbar</t>
        </is>
      </c>
    </row>
  </sheetData>
  <mergeCells count="45">
    <mergeCell ref="C39:F39"/>
    <mergeCell ref="C62:G62"/>
    <mergeCell ref="D32:F32"/>
    <mergeCell ref="C58:G58"/>
    <mergeCell ref="C38:F38"/>
    <mergeCell ref="B53:G53"/>
    <mergeCell ref="C37:F37"/>
    <mergeCell ref="C64:G64"/>
    <mergeCell ref="C20:G20"/>
    <mergeCell ref="E27:G27"/>
    <mergeCell ref="C10:G10"/>
    <mergeCell ref="C16:G16"/>
    <mergeCell ref="C63:G63"/>
    <mergeCell ref="B49:G49"/>
    <mergeCell ref="E26:G26"/>
    <mergeCell ref="D30:F30"/>
    <mergeCell ref="C42:F42"/>
    <mergeCell ref="C9:G9"/>
    <mergeCell ref="E25:G25"/>
    <mergeCell ref="C56:G56"/>
    <mergeCell ref="B51:G51"/>
    <mergeCell ref="C59:G59"/>
    <mergeCell ref="C45:F45"/>
    <mergeCell ref="C12:G12"/>
    <mergeCell ref="C60:G60"/>
    <mergeCell ref="C11:G11"/>
    <mergeCell ref="B50:G50"/>
    <mergeCell ref="C61:G61"/>
    <mergeCell ref="C41:F41"/>
    <mergeCell ref="C8:G8"/>
    <mergeCell ref="C17:G17"/>
    <mergeCell ref="C44:F44"/>
    <mergeCell ref="C40:F40"/>
    <mergeCell ref="E24:G24"/>
    <mergeCell ref="C7:G7"/>
    <mergeCell ref="E23:G23"/>
    <mergeCell ref="D31:F31"/>
    <mergeCell ref="C43:F43"/>
    <mergeCell ref="C46:F46"/>
    <mergeCell ref="C19:G19"/>
    <mergeCell ref="C57:G57"/>
    <mergeCell ref="B52:G52"/>
    <mergeCell ref="C13:G13"/>
    <mergeCell ref="C18:G18"/>
    <mergeCell ref="C36:F36"/>
  </mergeCells>
  <dataValidations count="1">
    <dataValidation sqref="C11" showDropDown="0" showInputMessage="0" showErrorMessage="0" allowBlank="0" promptTitle="Schichtmodell" prompt="Bestimmt den Schichtfaktor SF (Blatt Parameter)." type="list">
      <formula1>=SF_Modell</formula1>
    </dataValidation>
  </dataValidations>
  <hyperlinks>
    <hyperlink xmlns:r="http://schemas.openxmlformats.org/officeDocument/2006/relationships" ref="B37" r:id="rId1"/>
    <hyperlink xmlns:r="http://schemas.openxmlformats.org/officeDocument/2006/relationships" ref="B38" r:id="rId2"/>
    <hyperlink xmlns:r="http://schemas.openxmlformats.org/officeDocument/2006/relationships" ref="B39" r:id="rId3"/>
    <hyperlink xmlns:r="http://schemas.openxmlformats.org/officeDocument/2006/relationships" ref="B40" r:id="rId4"/>
    <hyperlink xmlns:r="http://schemas.openxmlformats.org/officeDocument/2006/relationships" ref="B41" r:id="rId5"/>
    <hyperlink xmlns:r="http://schemas.openxmlformats.org/officeDocument/2006/relationships" ref="B42" r:id="rId6"/>
    <hyperlink xmlns:r="http://schemas.openxmlformats.org/officeDocument/2006/relationships" ref="B43" r:id="rId7"/>
    <hyperlink xmlns:r="http://schemas.openxmlformats.org/officeDocument/2006/relationships" ref="B44" r:id="rId8"/>
    <hyperlink xmlns:r="http://schemas.openxmlformats.org/officeDocument/2006/relationships" ref="B45" r:id="rId9"/>
    <hyperlink xmlns:r="http://schemas.openxmlformats.org/officeDocument/2006/relationships" ref="B46" r:id="rId10"/>
  </hyperlinks>
  <printOptions horizontalCentered="1"/>
  <pageMargins left="0.4" right="0.4" top="0.6" bottom="0.6" header="0.5" footer="0.5"/>
  <pageSetup orientation="portrait"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drawing xmlns:r="http://schemas.openxmlformats.org/officeDocument/2006/relationships" r:id="rId11"/>
</worksheet>
</file>

<file path=xl/worksheets/sheet2.xml><?xml version="1.0" encoding="utf-8"?>
<worksheet xmlns="http://schemas.openxmlformats.org/spreadsheetml/2006/main">
  <sheetPr>
    <tabColor rgb="00C00000"/>
    <outlinePr summaryBelow="1" summaryRight="1"/>
    <pageSetUpPr fitToPage="1"/>
  </sheetPr>
  <dimension ref="B1:P78"/>
  <sheetViews>
    <sheetView showGridLines="0" tabSelected="0" zoomScale="90" workbookViewId="0">
      <selection activeCell="A1" sqref="A1"/>
    </sheetView>
  </sheetViews>
  <sheetFormatPr baseColWidth="8" defaultRowHeight="15"/>
  <cols>
    <col width="2" customWidth="1" min="1" max="1"/>
    <col width="34" customWidth="1" min="2" max="2"/>
    <col width="11" customWidth="1" min="3" max="3"/>
    <col width="11" customWidth="1" min="4" max="4"/>
    <col width="11" customWidth="1" min="5" max="5"/>
    <col width="11" customWidth="1" min="6" max="6"/>
    <col width="11" customWidth="1" min="7" max="7"/>
    <col width="3" customWidth="1" min="8" max="8"/>
    <col width="8" customWidth="1" min="9" max="9"/>
    <col width="42" customWidth="1" min="10" max="10"/>
    <col width="24" customWidth="1" min="11" max="11"/>
    <col width="9" customWidth="1" min="12" max="12"/>
    <col width="12" customWidth="1" min="13" max="13"/>
    <col width="13" customWidth="1" min="14" max="14"/>
    <col width="30" customWidth="1" min="16" max="16"/>
  </cols>
  <sheetData>
    <row r="1">
      <c r="B1" s="33" t="inlineStr">
        <is>
          <t>Dashboard – Wartungsplan &amp; Risikobewertung</t>
        </is>
      </c>
    </row>
    <row r="2">
      <c r="B2" s="34">
        <f>M_Name&amp;"   ·   Equipment-Nr.: "&amp;IF(M_Equipment="","–",M_Equipment)&amp;"   ·   Stand der Auswertung: "&amp;TEXT(TODAY(),"DD.MM.YYYY")</f>
        <v/>
      </c>
    </row>
    <row r="3">
      <c r="B3" s="3" t="n"/>
      <c r="C3" s="3" t="n"/>
      <c r="D3" s="3" t="n"/>
      <c r="E3" s="3" t="n"/>
      <c r="F3" s="3" t="n"/>
      <c r="G3" s="3" t="n"/>
      <c r="H3" s="3" t="n"/>
      <c r="I3" s="3" t="n"/>
      <c r="J3" s="3" t="n"/>
      <c r="K3" s="3" t="n"/>
      <c r="L3" s="3" t="n"/>
      <c r="M3" s="3" t="n"/>
      <c r="N3" s="3" t="n"/>
    </row>
    <row r="5">
      <c r="B5" s="4" t="inlineStr">
        <is>
          <t>Risiko &amp; Bewertung</t>
        </is>
      </c>
      <c r="J5" s="4" t="inlineStr">
        <is>
          <t>Durchführung &amp; Aufwand</t>
        </is>
      </c>
    </row>
    <row r="6" ht="18" customHeight="1">
      <c r="B6" s="12" t="inlineStr">
        <is>
          <t>Kennzahl</t>
        </is>
      </c>
      <c r="C6" s="12" t="inlineStr">
        <is>
          <t>Wert</t>
        </is>
      </c>
      <c r="D6" s="35" t="inlineStr">
        <is>
          <t>Erläuterung</t>
        </is>
      </c>
      <c r="E6" s="13" t="n"/>
      <c r="F6" s="13" t="n"/>
      <c r="G6" s="14" t="n"/>
      <c r="J6" s="12" t="inlineStr">
        <is>
          <t>Kennzahl</t>
        </is>
      </c>
      <c r="K6" s="14" t="n"/>
      <c r="L6" s="12" t="inlineStr">
        <is>
          <t>Wert</t>
        </is>
      </c>
      <c r="M6" s="35" t="inlineStr">
        <is>
          <t>Erläuterung</t>
        </is>
      </c>
      <c r="N6" s="14" t="n"/>
    </row>
    <row r="7" ht="22" customHeight="1">
      <c r="B7" s="36" t="inlineStr">
        <is>
          <t>Wartungsmaßnahmen gesamt</t>
        </is>
      </c>
      <c r="C7" s="37">
        <f>COUNTIF(Wartungsplan!$AE$6:$AE$323,"Maßnahme")</f>
        <v/>
      </c>
      <c r="D7" s="9" t="inlineStr">
        <is>
          <t>Anzahl Maßnahmenzeilen im Wartungsplan</t>
        </is>
      </c>
      <c r="E7" s="13" t="n"/>
      <c r="F7" s="13" t="n"/>
      <c r="G7" s="14" t="n"/>
      <c r="J7" s="36" t="inlineStr">
        <is>
          <t>Überfällige Maßnahmen</t>
        </is>
      </c>
      <c r="K7" s="7" t="n"/>
      <c r="L7" s="37">
        <f>COUNTIF('Durchführungsnachweis'!$J$6:$J$293,"überfällig")</f>
        <v/>
      </c>
      <c r="M7" s="9" t="inlineStr">
        <is>
          <t>Fälligkeit überschritten</t>
        </is>
      </c>
      <c r="N7" s="14" t="n"/>
    </row>
    <row r="8" ht="22" customHeight="1">
      <c r="B8" s="36" t="inlineStr">
        <is>
          <t>davon vollständig bewertet</t>
        </is>
      </c>
      <c r="C8" s="37">
        <f>COUNT(Wartungsplan!$R$6:$R$323)</f>
        <v/>
      </c>
      <c r="D8" s="9" t="inlineStr">
        <is>
          <t>Maßnahmen mit berechneter RPZ</t>
        </is>
      </c>
      <c r="E8" s="13" t="n"/>
      <c r="F8" s="13" t="n"/>
      <c r="G8" s="14" t="n"/>
      <c r="J8" s="36" t="inlineStr">
        <is>
          <t>Bald fällig</t>
        </is>
      </c>
      <c r="K8" s="7" t="n"/>
      <c r="L8" s="37">
        <f>COUNTIF('Durchführungsnachweis'!$J$6:$J$293,"bald fällig")</f>
        <v/>
      </c>
      <c r="M8" s="9" t="inlineStr">
        <is>
          <t>innerhalb Vorwarnzeit</t>
        </is>
      </c>
      <c r="N8" s="14" t="n"/>
    </row>
    <row r="9" ht="22" customHeight="1">
      <c r="B9" s="36" t="inlineStr">
        <is>
          <t>Bewertung unvollständig</t>
        </is>
      </c>
      <c r="C9" s="37">
        <f>COUNTIFS(Wartungsplan!$AE$6:$AE$323,"Maßnahme",Wartungsplan!$S$6:$S$323,"unvollständig")</f>
        <v/>
      </c>
      <c r="D9" s="9" t="inlineStr">
        <is>
          <t>Kein Intervall ermittelbar → siehe Offene Punkte</t>
        </is>
      </c>
      <c r="E9" s="13" t="n"/>
      <c r="F9" s="13" t="n"/>
      <c r="G9" s="14" t="n"/>
      <c r="J9" s="36" t="inlineStr">
        <is>
          <t>In Ordnung</t>
        </is>
      </c>
      <c r="K9" s="7" t="n"/>
      <c r="L9" s="37">
        <f>COUNTIF('Durchführungsnachweis'!$J$6:$J$293,"in Ordnung")</f>
        <v/>
      </c>
      <c r="M9" s="9" t="inlineStr">
        <is>
          <t>fristgerecht durchgeführt</t>
        </is>
      </c>
      <c r="N9" s="14" t="n"/>
    </row>
    <row r="10" ht="22" customHeight="1">
      <c r="B10" s="36" t="inlineStr">
        <is>
          <t>Ø RPZ</t>
        </is>
      </c>
      <c r="C10" s="38">
        <f>IFERROR(AVERAGE(Wartungsplan!$R$6:$R$323),0)</f>
        <v/>
      </c>
      <c r="D10" s="9" t="inlineStr">
        <is>
          <t>Mittelwert aller bewerteten Maßnahmen</t>
        </is>
      </c>
      <c r="E10" s="13" t="n"/>
      <c r="F10" s="13" t="n"/>
      <c r="G10" s="14" t="n"/>
      <c r="J10" s="36" t="inlineStr">
        <is>
          <t>Noch nicht erfasst</t>
        </is>
      </c>
      <c r="K10" s="7" t="n"/>
      <c r="L10" s="37">
        <f>COUNTIF('Durchführungsnachweis'!$J$6:$J$293,"nicht erfasst")</f>
        <v/>
      </c>
      <c r="M10" s="9" t="inlineStr">
        <is>
          <t>ohne Durchführungsdatum</t>
        </is>
      </c>
      <c r="N10" s="14" t="n"/>
    </row>
    <row r="11" ht="22" customHeight="1">
      <c r="B11" s="36" t="inlineStr">
        <is>
          <t>Maximale RPZ</t>
        </is>
      </c>
      <c r="C11" s="38">
        <f>IFERROR(MAX(Wartungsplan!$R$6:$R$323),0)</f>
        <v/>
      </c>
      <c r="D11" s="9" t="inlineStr">
        <is>
          <t>Höchstes Einzelrisiko (Grenze „kritisch“ &gt; 125)</t>
        </is>
      </c>
      <c r="E11" s="13" t="n"/>
      <c r="F11" s="13" t="n"/>
      <c r="G11" s="14" t="n"/>
      <c r="J11" s="36" t="inlineStr">
        <is>
          <t>Termintreue (PM-Compliance)</t>
        </is>
      </c>
      <c r="K11" s="7" t="n"/>
      <c r="L11" s="39">
        <f>IFERROR((L9+L8)/(L7+L8+L9),"–")</f>
        <v/>
      </c>
      <c r="M11" s="9" t="inlineStr">
        <is>
          <t>nicht überfällige / erfasste Maßnahmen (IATF 8.5.1.5)</t>
        </is>
      </c>
      <c r="N11" s="14" t="n"/>
    </row>
    <row r="12" ht="22" customHeight="1">
      <c r="B12" s="36" t="inlineStr">
        <is>
          <t>Hohes oder kritisches Risiko</t>
        </is>
      </c>
      <c r="C12" s="37">
        <f>COUNTIF(Wartungsplan!$S$6:$S$323,"hoch")+COUNTIF(Wartungsplan!$S$6:$S$323,"kritisch")</f>
        <v/>
      </c>
      <c r="D12" s="9" t="inlineStr">
        <is>
          <t>Maßnahmen mit Intervall ≤ 8 Wochen</t>
        </is>
      </c>
      <c r="E12" s="13" t="n"/>
      <c r="F12" s="13" t="n"/>
      <c r="G12" s="14" t="n"/>
      <c r="J12" s="36" t="inlineStr">
        <is>
          <t>Befunde n.i.O.</t>
        </is>
      </c>
      <c r="K12" s="7" t="n"/>
      <c r="L12" s="37">
        <f>COUNTIF('Durchführungsnachweis'!$K$6:$K$293,"n.i.O.*")</f>
        <v/>
      </c>
      <c r="M12" s="9" t="inlineStr">
        <is>
          <t>Abweichungen bei letzter Durchführung</t>
        </is>
      </c>
      <c r="N12" s="14" t="n"/>
    </row>
    <row r="13" ht="22" customHeight="1">
      <c r="B13" s="36" t="inlineStr">
        <is>
          <t>Arbeitssicherheitsrelevant (AS ≥ Schwelle)</t>
        </is>
      </c>
      <c r="C13" s="37">
        <f>COUNTIFS(Wartungsplan!$AE$6:$AE$323,"Maßnahme",Wartungsplan!$K$6:$K$323,"&gt;="&amp;P_Krit)</f>
        <v/>
      </c>
      <c r="D13" s="9" t="inlineStr">
        <is>
          <t>Bewertung AS ≥ Relevanzschwelle (Parameter)</t>
        </is>
      </c>
      <c r="E13" s="13" t="n"/>
      <c r="F13" s="13" t="n"/>
      <c r="G13" s="14" t="n"/>
      <c r="J13" s="36" t="inlineStr">
        <is>
          <t>Durchführungen pro Jahr (Soll)</t>
        </is>
      </c>
      <c r="K13" s="7" t="n"/>
      <c r="L13" s="37">
        <f>SUMPRODUCT((Wartungsplan!$AE$6:$AE$323="Maßnahme")*IFERROR(52/Wartungsplan!$V$6:$V$323,0))</f>
        <v/>
      </c>
      <c r="M13" s="9" t="inlineStr">
        <is>
          <t>Summe aus festgelegten Intervallen</t>
        </is>
      </c>
      <c r="N13" s="14" t="n"/>
    </row>
    <row r="14" ht="22" customHeight="1">
      <c r="B14" s="36" t="inlineStr">
        <is>
          <t>Qualitätsrelevant (Q ≥ Schwelle)</t>
        </is>
      </c>
      <c r="C14" s="37">
        <f>COUNTIFS(Wartungsplan!$AE$6:$AE$323,"Maßnahme",Wartungsplan!$J$6:$J$323,"&gt;="&amp;P_Krit)</f>
        <v/>
      </c>
      <c r="D14" s="9" t="inlineStr">
        <is>
          <t>Bewertung Q ≥ Relevanzschwelle – Bezug zu Control Plan / FMEA prüfen</t>
        </is>
      </c>
      <c r="E14" s="13" t="n"/>
      <c r="F14" s="13" t="n"/>
      <c r="G14" s="14" t="n"/>
      <c r="J14" s="36" t="inlineStr">
        <is>
          <t>Geplanter Aufwand [h/Jahr]</t>
        </is>
      </c>
      <c r="K14" s="7" t="n"/>
      <c r="L14" s="38">
        <f>SUM(Wartungsplan!$AB$6:$AB$323)</f>
        <v/>
      </c>
      <c r="M14" s="9" t="inlineStr">
        <is>
          <t>aus Plan-Zeiten; Basis Kapazitätsplanung</t>
        </is>
      </c>
      <c r="N14" s="14" t="n"/>
    </row>
    <row r="15" ht="22" customHeight="1">
      <c r="B15" s="36" t="inlineStr">
        <is>
          <t>Umweltrelevant (US ≥ Schwelle)</t>
        </is>
      </c>
      <c r="C15" s="37">
        <f>COUNTIFS(Wartungsplan!$AE$6:$AE$323,"Maßnahme",Wartungsplan!$L$6:$L$323,"&gt;="&amp;P_Krit)</f>
        <v/>
      </c>
      <c r="D15" s="9" t="inlineStr">
        <is>
          <t>Bewertung US ≥ Relevanzschwelle</t>
        </is>
      </c>
      <c r="E15" s="13" t="n"/>
      <c r="F15" s="13" t="n"/>
      <c r="G15" s="14" t="n"/>
      <c r="J15" s="36" t="inlineStr">
        <is>
          <t>Plan-Zeiten erfasst</t>
        </is>
      </c>
      <c r="K15" s="7" t="n"/>
      <c r="L15" s="40">
        <f>COUNT(Wartungsplan!$AA$6:$AA$323)&amp;" von "&amp;C7</f>
        <v/>
      </c>
      <c r="M15" s="9" t="inlineStr">
        <is>
          <t>Aufwand ist erst bei vollständigen Plan-Zeiten aussagekräftig</t>
        </is>
      </c>
      <c r="N15" s="14" t="n"/>
    </row>
    <row r="16" ht="22" customHeight="1">
      <c r="B16" s="36" t="inlineStr">
        <is>
          <t>Abweichend festgelegte Intervalle</t>
        </is>
      </c>
      <c r="C16" s="37">
        <f>SUMPRODUCT((Wartungsplan!$AE$6:$AE$323="Maßnahme")*(Wartungsplan!$U$6:$U$323&lt;&gt;Wartungsplan!$T$6:$T$323))</f>
        <v/>
      </c>
      <c r="D16" s="9" t="inlineStr">
        <is>
          <t>Festgelegt ≠ berechnet (Begründung erforderlich)</t>
        </is>
      </c>
      <c r="E16" s="13" t="n"/>
      <c r="F16" s="13" t="n"/>
      <c r="G16" s="14" t="n"/>
      <c r="J16" s="36" t="inlineStr">
        <is>
          <t>Maßnahmen mit Ausführungszuordnung</t>
        </is>
      </c>
      <c r="K16" s="7" t="n"/>
      <c r="L16" s="40">
        <f>COUNTIFS(Wartungsplan!$AE$6:$AE$323,"Maßnahme",Wartungsplan!$Z$6:$Z$323,"?*")&amp;" von "&amp;C7</f>
        <v/>
      </c>
      <c r="M16" s="9" t="inlineStr">
        <is>
          <t>Spalte „Ausführung durch“ im Wartungsplan</t>
        </is>
      </c>
      <c r="N16" s="14" t="n"/>
    </row>
    <row r="18">
      <c r="B18" s="4" t="inlineStr">
        <is>
          <t>Risikoverteilung</t>
        </is>
      </c>
    </row>
    <row r="19" ht="18" customHeight="1">
      <c r="B19" s="12" t="inlineStr">
        <is>
          <t>Risikoklasse</t>
        </is>
      </c>
      <c r="C19" s="12" t="inlineStr">
        <is>
          <t>Anzahl</t>
        </is>
      </c>
      <c r="D19" s="12" t="inlineStr">
        <is>
          <t>Anteil</t>
        </is>
      </c>
      <c r="E19" s="12" t="inlineStr">
        <is>
          <t>Intervall</t>
        </is>
      </c>
    </row>
    <row r="20">
      <c r="B20" s="28" t="inlineStr">
        <is>
          <t>gering</t>
        </is>
      </c>
      <c r="C20" s="41">
        <f>COUNTIFS(Wartungsplan!$AE$6:$AE$323,"Maßnahme",Wartungsplan!$S$6:$S$323,B20)</f>
        <v/>
      </c>
      <c r="D20" s="42">
        <f>IFERROR(C20/$C$25,0)</f>
        <v/>
      </c>
      <c r="E20" s="43">
        <f>IFERROR(INDEX(Kl_Intervall,MATCH(B20,Kl_Name,0)),"–")</f>
        <v/>
      </c>
    </row>
    <row r="21">
      <c r="B21" s="29" t="inlineStr">
        <is>
          <t>mittel</t>
        </is>
      </c>
      <c r="C21" s="41">
        <f>COUNTIFS(Wartungsplan!$AE$6:$AE$323,"Maßnahme",Wartungsplan!$S$6:$S$323,B21)</f>
        <v/>
      </c>
      <c r="D21" s="42">
        <f>IFERROR(C21/$C$25,0)</f>
        <v/>
      </c>
      <c r="E21" s="43">
        <f>IFERROR(INDEX(Kl_Intervall,MATCH(B21,Kl_Name,0)),"–")</f>
        <v/>
      </c>
    </row>
    <row r="22">
      <c r="B22" s="30" t="inlineStr">
        <is>
          <t>hoch</t>
        </is>
      </c>
      <c r="C22" s="41">
        <f>COUNTIFS(Wartungsplan!$AE$6:$AE$323,"Maßnahme",Wartungsplan!$S$6:$S$323,B22)</f>
        <v/>
      </c>
      <c r="D22" s="42">
        <f>IFERROR(C22/$C$25,0)</f>
        <v/>
      </c>
      <c r="E22" s="43">
        <f>IFERROR(INDEX(Kl_Intervall,MATCH(B22,Kl_Name,0)),"–")</f>
        <v/>
      </c>
    </row>
    <row r="23">
      <c r="B23" s="31" t="inlineStr">
        <is>
          <t>kritisch</t>
        </is>
      </c>
      <c r="C23" s="41">
        <f>COUNTIFS(Wartungsplan!$AE$6:$AE$323,"Maßnahme",Wartungsplan!$S$6:$S$323,B23)</f>
        <v/>
      </c>
      <c r="D23" s="42">
        <f>IFERROR(C23/$C$25,0)</f>
        <v/>
      </c>
      <c r="E23" s="43">
        <f>IFERROR(INDEX(Kl_Intervall,MATCH(B23,Kl_Name,0)),"–")</f>
        <v/>
      </c>
    </row>
    <row r="24">
      <c r="B24" s="32" t="inlineStr">
        <is>
          <t>unvollständig</t>
        </is>
      </c>
      <c r="C24" s="41">
        <f>COUNTIFS(Wartungsplan!$AE$6:$AE$323,"Maßnahme",Wartungsplan!$S$6:$S$323,B24)</f>
        <v/>
      </c>
      <c r="D24" s="42">
        <f>IFERROR(C24/$C$25,0)</f>
        <v/>
      </c>
      <c r="E24" s="43">
        <f>IFERROR(INDEX(Kl_Intervall,MATCH(B24,Kl_Name,0)),"–")</f>
        <v/>
      </c>
    </row>
    <row r="25">
      <c r="B25" s="5" t="inlineStr">
        <is>
          <t>Summe</t>
        </is>
      </c>
      <c r="C25" s="44">
        <f>SUM(C20:C24)</f>
        <v/>
      </c>
      <c r="D25" s="45">
        <f>SUM(D20:D24)</f>
        <v/>
      </c>
      <c r="E25" s="46" t="n"/>
    </row>
    <row r="27">
      <c r="B27" s="4" t="inlineStr">
        <is>
          <t>Maßnahmen je festgelegtem Intervall</t>
        </is>
      </c>
    </row>
    <row r="28" ht="18" customHeight="1">
      <c r="B28" s="12" t="inlineStr">
        <is>
          <t>Intervall</t>
        </is>
      </c>
      <c r="C28" s="12" t="inlineStr">
        <is>
          <t>Anzahl</t>
        </is>
      </c>
      <c r="D28" s="12" t="inlineStr">
        <is>
          <t>Durchf./Jahr</t>
        </is>
      </c>
      <c r="E28" s="12" t="inlineStr">
        <is>
          <t>Aufwand h/Jahr</t>
        </is>
      </c>
    </row>
    <row r="29">
      <c r="B29" s="15" t="inlineStr">
        <is>
          <t>täglich</t>
        </is>
      </c>
      <c r="C29" s="41">
        <f>COUNTIFS(Wartungsplan!$AE$6:$AE$323,"Maßnahme",Wartungsplan!$U$6:$U$323,B29)</f>
        <v/>
      </c>
      <c r="D29" s="47">
        <f>IFERROR(C29*52/INDEX(Iv_Wochen,MATCH(B29,Iv_Name,0)),0)</f>
        <v/>
      </c>
      <c r="E29" s="48">
        <f>SUMIFS(Wartungsplan!$AB$6:$AB$323,Wartungsplan!$U$6:$U$323,B29)</f>
        <v/>
      </c>
    </row>
    <row r="30">
      <c r="B30" s="15" t="inlineStr">
        <is>
          <t>wöchentlich</t>
        </is>
      </c>
      <c r="C30" s="41">
        <f>COUNTIFS(Wartungsplan!$AE$6:$AE$323,"Maßnahme",Wartungsplan!$U$6:$U$323,B30)</f>
        <v/>
      </c>
      <c r="D30" s="47">
        <f>IFERROR(C30*52/INDEX(Iv_Wochen,MATCH(B30,Iv_Name,0)),0)</f>
        <v/>
      </c>
      <c r="E30" s="48">
        <f>SUMIFS(Wartungsplan!$AB$6:$AB$323,Wartungsplan!$U$6:$U$323,B30)</f>
        <v/>
      </c>
    </row>
    <row r="31">
      <c r="B31" s="15" t="inlineStr">
        <is>
          <t>4 Wochen</t>
        </is>
      </c>
      <c r="C31" s="41">
        <f>COUNTIFS(Wartungsplan!$AE$6:$AE$323,"Maßnahme",Wartungsplan!$U$6:$U$323,B31)</f>
        <v/>
      </c>
      <c r="D31" s="47">
        <f>IFERROR(C31*52/INDEX(Iv_Wochen,MATCH(B31,Iv_Name,0)),0)</f>
        <v/>
      </c>
      <c r="E31" s="48">
        <f>SUMIFS(Wartungsplan!$AB$6:$AB$323,Wartungsplan!$U$6:$U$323,B31)</f>
        <v/>
      </c>
    </row>
    <row r="32">
      <c r="B32" s="15" t="inlineStr">
        <is>
          <t>8 Wochen</t>
        </is>
      </c>
      <c r="C32" s="41">
        <f>COUNTIFS(Wartungsplan!$AE$6:$AE$323,"Maßnahme",Wartungsplan!$U$6:$U$323,B32)</f>
        <v/>
      </c>
      <c r="D32" s="47">
        <f>IFERROR(C32*52/INDEX(Iv_Wochen,MATCH(B32,Iv_Name,0)),0)</f>
        <v/>
      </c>
      <c r="E32" s="48">
        <f>SUMIFS(Wartungsplan!$AB$6:$AB$323,Wartungsplan!$U$6:$U$323,B32)</f>
        <v/>
      </c>
      <c r="J32" s="4" t="inlineStr">
        <is>
          <t>Kriterienprofil (Ø Bewertung aller Maßnahmen)</t>
        </is>
      </c>
    </row>
    <row r="33" ht="18" customHeight="1">
      <c r="B33" s="15" t="inlineStr">
        <is>
          <t>16 Wochen</t>
        </is>
      </c>
      <c r="C33" s="41">
        <f>COUNTIFS(Wartungsplan!$AE$6:$AE$323,"Maßnahme",Wartungsplan!$U$6:$U$323,B33)</f>
        <v/>
      </c>
      <c r="D33" s="47">
        <f>IFERROR(C33*52/INDEX(Iv_Wochen,MATCH(B33,Iv_Name,0)),0)</f>
        <v/>
      </c>
      <c r="E33" s="48">
        <f>SUMIFS(Wartungsplan!$AB$6:$AB$323,Wartungsplan!$U$6:$U$323,B33)</f>
        <v/>
      </c>
      <c r="J33" s="12" t="inlineStr">
        <is>
          <t>Kriterium</t>
        </is>
      </c>
      <c r="K33" s="12" t="inlineStr">
        <is>
          <t>Kürzel</t>
        </is>
      </c>
      <c r="L33" s="12" t="inlineStr">
        <is>
          <t>Ø Bewertung</t>
        </is>
      </c>
      <c r="M33" s="12" t="inlineStr">
        <is>
          <t>Anzahl ≥ 4</t>
        </is>
      </c>
    </row>
    <row r="34">
      <c r="B34" s="15" t="inlineStr">
        <is>
          <t>halbjährlich</t>
        </is>
      </c>
      <c r="C34" s="41">
        <f>COUNTIFS(Wartungsplan!$AE$6:$AE$323,"Maßnahme",Wartungsplan!$U$6:$U$323,B34)</f>
        <v/>
      </c>
      <c r="D34" s="47">
        <f>IFERROR(C34*52/INDEX(Iv_Wochen,MATCH(B34,Iv_Name,0)),0)</f>
        <v/>
      </c>
      <c r="E34" s="48">
        <f>SUMIFS(Wartungsplan!$AB$6:$AB$323,Wartungsplan!$U$6:$U$323,B34)</f>
        <v/>
      </c>
      <c r="J34" s="15" t="inlineStr">
        <is>
          <t>Funktionalität der Anlage</t>
        </is>
      </c>
      <c r="K34" s="49" t="inlineStr">
        <is>
          <t>F</t>
        </is>
      </c>
      <c r="L34" s="50">
        <f>IFERROR(AVERAGE(Wartungsplan!$H$6:$H$323),0)</f>
        <v/>
      </c>
      <c r="M34" s="43">
        <f>COUNTIF(Wartungsplan!$H$6:$H$323,"&gt;=4")</f>
        <v/>
      </c>
    </row>
    <row r="35">
      <c r="B35" s="15" t="inlineStr">
        <is>
          <t>jährlich</t>
        </is>
      </c>
      <c r="C35" s="41">
        <f>COUNTIFS(Wartungsplan!$AE$6:$AE$323,"Maßnahme",Wartungsplan!$U$6:$U$323,B35)</f>
        <v/>
      </c>
      <c r="D35" s="47">
        <f>IFERROR(C35*52/INDEX(Iv_Wochen,MATCH(B35,Iv_Name,0)),0)</f>
        <v/>
      </c>
      <c r="E35" s="48">
        <f>SUMIFS(Wartungsplan!$AB$6:$AB$323,Wartungsplan!$U$6:$U$323,B35)</f>
        <v/>
      </c>
      <c r="J35" s="15" t="inlineStr">
        <is>
          <t>Instandsetzungsaufwand</t>
        </is>
      </c>
      <c r="K35" s="49" t="inlineStr">
        <is>
          <t>IH</t>
        </is>
      </c>
      <c r="L35" s="50">
        <f>IFERROR(AVERAGE(Wartungsplan!$I$6:$I$323),0)</f>
        <v/>
      </c>
      <c r="M35" s="43">
        <f>COUNTIF(Wartungsplan!$I$6:$I$323,"&gt;=4")</f>
        <v/>
      </c>
    </row>
    <row r="36">
      <c r="B36" s="15" t="inlineStr">
        <is>
          <t>Bewertung fehlt</t>
        </is>
      </c>
      <c r="C36" s="41">
        <f>COUNTIFS(Wartungsplan!$AE$6:$AE$323,"Maßnahme",Wartungsplan!$U$6:$U$323,B36)</f>
        <v/>
      </c>
      <c r="D36" s="47">
        <f>IFERROR(C36*52/INDEX(Iv_Wochen,MATCH(B36,Iv_Name,0)),0)</f>
        <v/>
      </c>
      <c r="E36" s="48">
        <f>SUMIFS(Wartungsplan!$AB$6:$AB$323,Wartungsplan!$U$6:$U$323,B36)</f>
        <v/>
      </c>
      <c r="J36" s="15" t="inlineStr">
        <is>
          <t>Qualität / Kunde</t>
        </is>
      </c>
      <c r="K36" s="49" t="inlineStr">
        <is>
          <t>Q</t>
        </is>
      </c>
      <c r="L36" s="50">
        <f>IFERROR(AVERAGE(Wartungsplan!$J$6:$J$323),0)</f>
        <v/>
      </c>
      <c r="M36" s="43">
        <f>COUNTIF(Wartungsplan!$J$6:$J$323,"&gt;=4")</f>
        <v/>
      </c>
    </row>
    <row r="37">
      <c r="J37" s="15" t="inlineStr">
        <is>
          <t>Arbeitssicherheit</t>
        </is>
      </c>
      <c r="K37" s="49" t="inlineStr">
        <is>
          <t>AS</t>
        </is>
      </c>
      <c r="L37" s="50">
        <f>IFERROR(AVERAGE(Wartungsplan!$K$6:$K$323),0)</f>
        <v/>
      </c>
      <c r="M37" s="43">
        <f>COUNTIF(Wartungsplan!$K$6:$K$323,"&gt;=4")</f>
        <v/>
      </c>
    </row>
    <row r="38">
      <c r="J38" s="15" t="inlineStr">
        <is>
          <t>Umweltschutz</t>
        </is>
      </c>
      <c r="K38" s="49" t="inlineStr">
        <is>
          <t>US</t>
        </is>
      </c>
      <c r="L38" s="50">
        <f>IFERROR(AVERAGE(Wartungsplan!$L$6:$L$323),0)</f>
        <v/>
      </c>
      <c r="M38" s="43">
        <f>COUNTIF(Wartungsplan!$L$6:$L$323,"&gt;=4")</f>
        <v/>
      </c>
    </row>
    <row r="39">
      <c r="B39" s="4" t="inlineStr">
        <is>
          <t>Risikomatrix: Ausfall- (A) × Entdeckungswahrscheinlichkeit (E)</t>
        </is>
      </c>
      <c r="J39" s="15" t="inlineStr">
        <is>
          <t>Schadenshöhe</t>
        </is>
      </c>
      <c r="K39" s="49" t="inlineStr">
        <is>
          <t>S</t>
        </is>
      </c>
      <c r="L39" s="50">
        <f>IFERROR(AVERAGE(Wartungsplan!$M$6:$M$323),0)</f>
        <v/>
      </c>
      <c r="M39" s="43">
        <f>COUNTIF(Wartungsplan!$M$6:$M$323,"&gt;=4")</f>
        <v/>
      </c>
    </row>
    <row r="40">
      <c r="B40" s="12" t="inlineStr">
        <is>
          <t>A ↓  /  E →</t>
        </is>
      </c>
      <c r="C40" s="12" t="n">
        <v>1</v>
      </c>
      <c r="D40" s="12" t="n">
        <v>2</v>
      </c>
      <c r="E40" s="12" t="n">
        <v>3</v>
      </c>
      <c r="F40" s="12" t="n">
        <v>4</v>
      </c>
      <c r="G40" s="12" t="n">
        <v>5</v>
      </c>
      <c r="J40" s="15" t="inlineStr">
        <is>
          <t>Ausfallwahrscheinlichkeit</t>
        </is>
      </c>
      <c r="K40" s="49" t="inlineStr">
        <is>
          <t>A</t>
        </is>
      </c>
      <c r="L40" s="50">
        <f>IFERROR(AVERAGE(Wartungsplan!$O$6:$O$323),0)</f>
        <v/>
      </c>
      <c r="M40" s="43">
        <f>COUNTIF(Wartungsplan!$O$6:$O$323,"&gt;=4")</f>
        <v/>
      </c>
    </row>
    <row r="41" ht="20" customHeight="1">
      <c r="B41" s="44" t="inlineStr">
        <is>
          <t>A = 5</t>
        </is>
      </c>
      <c r="C41" s="41">
        <f>COUNTIFS(Wartungsplan!$O$6:$O$323,5,Wartungsplan!$P$6:$P$323,1)</f>
        <v/>
      </c>
      <c r="D41" s="41">
        <f>COUNTIFS(Wartungsplan!$O$6:$O$323,5,Wartungsplan!$P$6:$P$323,2)</f>
        <v/>
      </c>
      <c r="E41" s="41">
        <f>COUNTIFS(Wartungsplan!$O$6:$O$323,5,Wartungsplan!$P$6:$P$323,3)</f>
        <v/>
      </c>
      <c r="F41" s="41">
        <f>COUNTIFS(Wartungsplan!$O$6:$O$323,5,Wartungsplan!$P$6:$P$323,4)</f>
        <v/>
      </c>
      <c r="G41" s="41">
        <f>COUNTIFS(Wartungsplan!$O$6:$O$323,5,Wartungsplan!$P$6:$P$323,5)</f>
        <v/>
      </c>
      <c r="J41" s="15" t="inlineStr">
        <is>
          <t>Entdeckungswahrscheinlichkeit</t>
        </is>
      </c>
      <c r="K41" s="49" t="inlineStr">
        <is>
          <t>E</t>
        </is>
      </c>
      <c r="L41" s="50">
        <f>IFERROR(AVERAGE(Wartungsplan!$P$6:$P$323),0)</f>
        <v/>
      </c>
      <c r="M41" s="43">
        <f>COUNTIF(Wartungsplan!$P$6:$P$323,"&gt;=4")</f>
        <v/>
      </c>
    </row>
    <row r="42" ht="20" customHeight="1">
      <c r="B42" s="44" t="inlineStr">
        <is>
          <t>A = 4</t>
        </is>
      </c>
      <c r="C42" s="41">
        <f>COUNTIFS(Wartungsplan!$O$6:$O$323,4,Wartungsplan!$P$6:$P$323,1)</f>
        <v/>
      </c>
      <c r="D42" s="41">
        <f>COUNTIFS(Wartungsplan!$O$6:$O$323,4,Wartungsplan!$P$6:$P$323,2)</f>
        <v/>
      </c>
      <c r="E42" s="41">
        <f>COUNTIFS(Wartungsplan!$O$6:$O$323,4,Wartungsplan!$P$6:$P$323,3)</f>
        <v/>
      </c>
      <c r="F42" s="41">
        <f>COUNTIFS(Wartungsplan!$O$6:$O$323,4,Wartungsplan!$P$6:$P$323,4)</f>
        <v/>
      </c>
      <c r="G42" s="41">
        <f>COUNTIFS(Wartungsplan!$O$6:$O$323,4,Wartungsplan!$P$6:$P$323,5)</f>
        <v/>
      </c>
    </row>
    <row r="43" ht="20" customHeight="1">
      <c r="B43" s="44" t="inlineStr">
        <is>
          <t>A = 3</t>
        </is>
      </c>
      <c r="C43" s="41">
        <f>COUNTIFS(Wartungsplan!$O$6:$O$323,3,Wartungsplan!$P$6:$P$323,1)</f>
        <v/>
      </c>
      <c r="D43" s="41">
        <f>COUNTIFS(Wartungsplan!$O$6:$O$323,3,Wartungsplan!$P$6:$P$323,2)</f>
        <v/>
      </c>
      <c r="E43" s="41">
        <f>COUNTIFS(Wartungsplan!$O$6:$O$323,3,Wartungsplan!$P$6:$P$323,3)</f>
        <v/>
      </c>
      <c r="F43" s="41">
        <f>COUNTIFS(Wartungsplan!$O$6:$O$323,3,Wartungsplan!$P$6:$P$323,4)</f>
        <v/>
      </c>
      <c r="G43" s="41">
        <f>COUNTIFS(Wartungsplan!$O$6:$O$323,3,Wartungsplan!$P$6:$P$323,5)</f>
        <v/>
      </c>
      <c r="J43" s="4" t="inlineStr">
        <is>
          <t>Top-10-Risiken (höchste RPZ)</t>
        </is>
      </c>
    </row>
    <row r="44" ht="18" customHeight="1">
      <c r="B44" s="44" t="inlineStr">
        <is>
          <t>A = 2</t>
        </is>
      </c>
      <c r="C44" s="41">
        <f>COUNTIFS(Wartungsplan!$O$6:$O$323,2,Wartungsplan!$P$6:$P$323,1)</f>
        <v/>
      </c>
      <c r="D44" s="41">
        <f>COUNTIFS(Wartungsplan!$O$6:$O$323,2,Wartungsplan!$P$6:$P$323,2)</f>
        <v/>
      </c>
      <c r="E44" s="41">
        <f>COUNTIFS(Wartungsplan!$O$6:$O$323,2,Wartungsplan!$P$6:$P$323,3)</f>
        <v/>
      </c>
      <c r="F44" s="41">
        <f>COUNTIFS(Wartungsplan!$O$6:$O$323,2,Wartungsplan!$P$6:$P$323,4)</f>
        <v/>
      </c>
      <c r="G44" s="41">
        <f>COUNTIFS(Wartungsplan!$O$6:$O$323,2,Wartungsplan!$P$6:$P$323,5)</f>
        <v/>
      </c>
      <c r="I44" s="12" t="inlineStr">
        <is>
          <t>Nr.</t>
        </is>
      </c>
      <c r="J44" s="12" t="inlineStr">
        <is>
          <t>Maßnahme</t>
        </is>
      </c>
      <c r="K44" s="12" t="inlineStr">
        <is>
          <t>Baugruppe</t>
        </is>
      </c>
      <c r="L44" s="12" t="inlineStr">
        <is>
          <t>RPZ</t>
        </is>
      </c>
      <c r="M44" s="12" t="inlineStr">
        <is>
          <t>Klasse</t>
        </is>
      </c>
      <c r="N44" s="12" t="inlineStr">
        <is>
          <t>Intervall</t>
        </is>
      </c>
    </row>
    <row r="45" ht="40" customHeight="1">
      <c r="B45" s="44" t="inlineStr">
        <is>
          <t>A = 1</t>
        </is>
      </c>
      <c r="C45" s="41">
        <f>COUNTIFS(Wartungsplan!$O$6:$O$323,1,Wartungsplan!$P$6:$P$323,1)</f>
        <v/>
      </c>
      <c r="D45" s="41">
        <f>COUNTIFS(Wartungsplan!$O$6:$O$323,1,Wartungsplan!$P$6:$P$323,2)</f>
        <v/>
      </c>
      <c r="E45" s="41">
        <f>COUNTIFS(Wartungsplan!$O$6:$O$323,1,Wartungsplan!$P$6:$P$323,3)</f>
        <v/>
      </c>
      <c r="F45" s="41">
        <f>COUNTIFS(Wartungsplan!$O$6:$O$323,1,Wartungsplan!$P$6:$P$323,4)</f>
        <v/>
      </c>
      <c r="G45" s="41">
        <f>COUNTIFS(Wartungsplan!$O$6:$O$323,1,Wartungsplan!$P$6:$P$323,5)</f>
        <v/>
      </c>
      <c r="I45" s="41">
        <f>IFERROR(INDEX(Wartungsplan!$A$6:$A$323,MATCH(LARGE(Wartungsplan!$AJ$6:$AJ$323,1),Wartungsplan!$AJ$6:$AJ$323,0)),"")</f>
        <v/>
      </c>
      <c r="J45" s="15">
        <f>IFERROR(INDEX(Wartungsplan!$B$6:$B$323,MATCH(LARGE(Wartungsplan!$AJ$6:$AJ$323,1),Wartungsplan!$AJ$6:$AJ$323,0)),"")</f>
        <v/>
      </c>
      <c r="K45" s="51">
        <f>IFERROR(INDEX(Wartungsplan!$AC$6:$AC$323,MATCH(LARGE(Wartungsplan!$AJ$6:$AJ$323,1),Wartungsplan!$AJ$6:$AJ$323,0)),"")</f>
        <v/>
      </c>
      <c r="L45" s="50">
        <f>IFERROR(INDEX(Wartungsplan!$R$6:$R$323,MATCH(LARGE(Wartungsplan!$AJ$6:$AJ$323,1),Wartungsplan!$AJ$6:$AJ$323,0)),"")</f>
        <v/>
      </c>
      <c r="M45" s="41">
        <f>IFERROR(INDEX(Wartungsplan!$S$6:$S$323,MATCH(LARGE(Wartungsplan!$AJ$6:$AJ$323,1),Wartungsplan!$AJ$6:$AJ$323,0)),"")</f>
        <v/>
      </c>
      <c r="N45" s="43">
        <f>IFERROR(INDEX(Wartungsplan!$U$6:$U$323,MATCH(LARGE(Wartungsplan!$AJ$6:$AJ$323,1),Wartungsplan!$AJ$6:$AJ$323,0)),"")</f>
        <v/>
      </c>
    </row>
    <row r="46" ht="40" customHeight="1">
      <c r="B46" s="52" t="inlineStr">
        <is>
          <t>Zahl = Anzahl Maßnahmen je Kombination. Oben rechts (häufiger Ausfall, späte Entdeckung) = höchster Handlungsbedarf, z. B. Zustandsüberwachung einführen.</t>
        </is>
      </c>
      <c r="I46" s="41">
        <f>IFERROR(INDEX(Wartungsplan!$A$6:$A$323,MATCH(LARGE(Wartungsplan!$AJ$6:$AJ$323,2),Wartungsplan!$AJ$6:$AJ$323,0)),"")</f>
        <v/>
      </c>
      <c r="J46" s="15">
        <f>IFERROR(INDEX(Wartungsplan!$B$6:$B$323,MATCH(LARGE(Wartungsplan!$AJ$6:$AJ$323,2),Wartungsplan!$AJ$6:$AJ$323,0)),"")</f>
        <v/>
      </c>
      <c r="K46" s="51">
        <f>IFERROR(INDEX(Wartungsplan!$AC$6:$AC$323,MATCH(LARGE(Wartungsplan!$AJ$6:$AJ$323,2),Wartungsplan!$AJ$6:$AJ$323,0)),"")</f>
        <v/>
      </c>
      <c r="L46" s="50">
        <f>IFERROR(INDEX(Wartungsplan!$R$6:$R$323,MATCH(LARGE(Wartungsplan!$AJ$6:$AJ$323,2),Wartungsplan!$AJ$6:$AJ$323,0)),"")</f>
        <v/>
      </c>
      <c r="M46" s="41">
        <f>IFERROR(INDEX(Wartungsplan!$S$6:$S$323,MATCH(LARGE(Wartungsplan!$AJ$6:$AJ$323,2),Wartungsplan!$AJ$6:$AJ$323,0)),"")</f>
        <v/>
      </c>
      <c r="N46" s="43">
        <f>IFERROR(INDEX(Wartungsplan!$U$6:$U$323,MATCH(LARGE(Wartungsplan!$AJ$6:$AJ$323,2),Wartungsplan!$AJ$6:$AJ$323,0)),"")</f>
        <v/>
      </c>
    </row>
    <row r="47" ht="40" customHeight="1">
      <c r="I47" s="41">
        <f>IFERROR(INDEX(Wartungsplan!$A$6:$A$323,MATCH(LARGE(Wartungsplan!$AJ$6:$AJ$323,3),Wartungsplan!$AJ$6:$AJ$323,0)),"")</f>
        <v/>
      </c>
      <c r="J47" s="15">
        <f>IFERROR(INDEX(Wartungsplan!$B$6:$B$323,MATCH(LARGE(Wartungsplan!$AJ$6:$AJ$323,3),Wartungsplan!$AJ$6:$AJ$323,0)),"")</f>
        <v/>
      </c>
      <c r="K47" s="51">
        <f>IFERROR(INDEX(Wartungsplan!$AC$6:$AC$323,MATCH(LARGE(Wartungsplan!$AJ$6:$AJ$323,3),Wartungsplan!$AJ$6:$AJ$323,0)),"")</f>
        <v/>
      </c>
      <c r="L47" s="50">
        <f>IFERROR(INDEX(Wartungsplan!$R$6:$R$323,MATCH(LARGE(Wartungsplan!$AJ$6:$AJ$323,3),Wartungsplan!$AJ$6:$AJ$323,0)),"")</f>
        <v/>
      </c>
      <c r="M47" s="41">
        <f>IFERROR(INDEX(Wartungsplan!$S$6:$S$323,MATCH(LARGE(Wartungsplan!$AJ$6:$AJ$323,3),Wartungsplan!$AJ$6:$AJ$323,0)),"")</f>
        <v/>
      </c>
      <c r="N47" s="43">
        <f>IFERROR(INDEX(Wartungsplan!$U$6:$U$323,MATCH(LARGE(Wartungsplan!$AJ$6:$AJ$323,3),Wartungsplan!$AJ$6:$AJ$323,0)),"")</f>
        <v/>
      </c>
    </row>
    <row r="48" ht="40" customHeight="1">
      <c r="I48" s="41">
        <f>IFERROR(INDEX(Wartungsplan!$A$6:$A$323,MATCH(LARGE(Wartungsplan!$AJ$6:$AJ$323,4),Wartungsplan!$AJ$6:$AJ$323,0)),"")</f>
        <v/>
      </c>
      <c r="J48" s="15">
        <f>IFERROR(INDEX(Wartungsplan!$B$6:$B$323,MATCH(LARGE(Wartungsplan!$AJ$6:$AJ$323,4),Wartungsplan!$AJ$6:$AJ$323,0)),"")</f>
        <v/>
      </c>
      <c r="K48" s="51">
        <f>IFERROR(INDEX(Wartungsplan!$AC$6:$AC$323,MATCH(LARGE(Wartungsplan!$AJ$6:$AJ$323,4),Wartungsplan!$AJ$6:$AJ$323,0)),"")</f>
        <v/>
      </c>
      <c r="L48" s="50">
        <f>IFERROR(INDEX(Wartungsplan!$R$6:$R$323,MATCH(LARGE(Wartungsplan!$AJ$6:$AJ$323,4),Wartungsplan!$AJ$6:$AJ$323,0)),"")</f>
        <v/>
      </c>
      <c r="M48" s="41">
        <f>IFERROR(INDEX(Wartungsplan!$S$6:$S$323,MATCH(LARGE(Wartungsplan!$AJ$6:$AJ$323,4),Wartungsplan!$AJ$6:$AJ$323,0)),"")</f>
        <v/>
      </c>
      <c r="N48" s="43">
        <f>IFERROR(INDEX(Wartungsplan!$U$6:$U$323,MATCH(LARGE(Wartungsplan!$AJ$6:$AJ$323,4),Wartungsplan!$AJ$6:$AJ$323,0)),"")</f>
        <v/>
      </c>
    </row>
    <row r="49" ht="40" customHeight="1">
      <c r="I49" s="41">
        <f>IFERROR(INDEX(Wartungsplan!$A$6:$A$323,MATCH(LARGE(Wartungsplan!$AJ$6:$AJ$323,5),Wartungsplan!$AJ$6:$AJ$323,0)),"")</f>
        <v/>
      </c>
      <c r="J49" s="15">
        <f>IFERROR(INDEX(Wartungsplan!$B$6:$B$323,MATCH(LARGE(Wartungsplan!$AJ$6:$AJ$323,5),Wartungsplan!$AJ$6:$AJ$323,0)),"")</f>
        <v/>
      </c>
      <c r="K49" s="51">
        <f>IFERROR(INDEX(Wartungsplan!$AC$6:$AC$323,MATCH(LARGE(Wartungsplan!$AJ$6:$AJ$323,5),Wartungsplan!$AJ$6:$AJ$323,0)),"")</f>
        <v/>
      </c>
      <c r="L49" s="50">
        <f>IFERROR(INDEX(Wartungsplan!$R$6:$R$323,MATCH(LARGE(Wartungsplan!$AJ$6:$AJ$323,5),Wartungsplan!$AJ$6:$AJ$323,0)),"")</f>
        <v/>
      </c>
      <c r="M49" s="41">
        <f>IFERROR(INDEX(Wartungsplan!$S$6:$S$323,MATCH(LARGE(Wartungsplan!$AJ$6:$AJ$323,5),Wartungsplan!$AJ$6:$AJ$323,0)),"")</f>
        <v/>
      </c>
      <c r="N49" s="43">
        <f>IFERROR(INDEX(Wartungsplan!$U$6:$U$323,MATCH(LARGE(Wartungsplan!$AJ$6:$AJ$323,5),Wartungsplan!$AJ$6:$AJ$323,0)),"")</f>
        <v/>
      </c>
    </row>
    <row r="50" ht="40" customHeight="1">
      <c r="I50" s="41">
        <f>IFERROR(INDEX(Wartungsplan!$A$6:$A$323,MATCH(LARGE(Wartungsplan!$AJ$6:$AJ$323,6),Wartungsplan!$AJ$6:$AJ$323,0)),"")</f>
        <v/>
      </c>
      <c r="J50" s="15">
        <f>IFERROR(INDEX(Wartungsplan!$B$6:$B$323,MATCH(LARGE(Wartungsplan!$AJ$6:$AJ$323,6),Wartungsplan!$AJ$6:$AJ$323,0)),"")</f>
        <v/>
      </c>
      <c r="K50" s="51">
        <f>IFERROR(INDEX(Wartungsplan!$AC$6:$AC$323,MATCH(LARGE(Wartungsplan!$AJ$6:$AJ$323,6),Wartungsplan!$AJ$6:$AJ$323,0)),"")</f>
        <v/>
      </c>
      <c r="L50" s="50">
        <f>IFERROR(INDEX(Wartungsplan!$R$6:$R$323,MATCH(LARGE(Wartungsplan!$AJ$6:$AJ$323,6),Wartungsplan!$AJ$6:$AJ$323,0)),"")</f>
        <v/>
      </c>
      <c r="M50" s="41">
        <f>IFERROR(INDEX(Wartungsplan!$S$6:$S$323,MATCH(LARGE(Wartungsplan!$AJ$6:$AJ$323,6),Wartungsplan!$AJ$6:$AJ$323,0)),"")</f>
        <v/>
      </c>
      <c r="N50" s="43">
        <f>IFERROR(INDEX(Wartungsplan!$U$6:$U$323,MATCH(LARGE(Wartungsplan!$AJ$6:$AJ$323,6),Wartungsplan!$AJ$6:$AJ$323,0)),"")</f>
        <v/>
      </c>
    </row>
    <row r="51" ht="40" customHeight="1">
      <c r="I51" s="41">
        <f>IFERROR(INDEX(Wartungsplan!$A$6:$A$323,MATCH(LARGE(Wartungsplan!$AJ$6:$AJ$323,7),Wartungsplan!$AJ$6:$AJ$323,0)),"")</f>
        <v/>
      </c>
      <c r="J51" s="15">
        <f>IFERROR(INDEX(Wartungsplan!$B$6:$B$323,MATCH(LARGE(Wartungsplan!$AJ$6:$AJ$323,7),Wartungsplan!$AJ$6:$AJ$323,0)),"")</f>
        <v/>
      </c>
      <c r="K51" s="51">
        <f>IFERROR(INDEX(Wartungsplan!$AC$6:$AC$323,MATCH(LARGE(Wartungsplan!$AJ$6:$AJ$323,7),Wartungsplan!$AJ$6:$AJ$323,0)),"")</f>
        <v/>
      </c>
      <c r="L51" s="50">
        <f>IFERROR(INDEX(Wartungsplan!$R$6:$R$323,MATCH(LARGE(Wartungsplan!$AJ$6:$AJ$323,7),Wartungsplan!$AJ$6:$AJ$323,0)),"")</f>
        <v/>
      </c>
      <c r="M51" s="41">
        <f>IFERROR(INDEX(Wartungsplan!$S$6:$S$323,MATCH(LARGE(Wartungsplan!$AJ$6:$AJ$323,7),Wartungsplan!$AJ$6:$AJ$323,0)),"")</f>
        <v/>
      </c>
      <c r="N51" s="43">
        <f>IFERROR(INDEX(Wartungsplan!$U$6:$U$323,MATCH(LARGE(Wartungsplan!$AJ$6:$AJ$323,7),Wartungsplan!$AJ$6:$AJ$323,0)),"")</f>
        <v/>
      </c>
    </row>
    <row r="52" ht="40" customHeight="1">
      <c r="I52" s="41">
        <f>IFERROR(INDEX(Wartungsplan!$A$6:$A$323,MATCH(LARGE(Wartungsplan!$AJ$6:$AJ$323,8),Wartungsplan!$AJ$6:$AJ$323,0)),"")</f>
        <v/>
      </c>
      <c r="J52" s="15">
        <f>IFERROR(INDEX(Wartungsplan!$B$6:$B$323,MATCH(LARGE(Wartungsplan!$AJ$6:$AJ$323,8),Wartungsplan!$AJ$6:$AJ$323,0)),"")</f>
        <v/>
      </c>
      <c r="K52" s="51">
        <f>IFERROR(INDEX(Wartungsplan!$AC$6:$AC$323,MATCH(LARGE(Wartungsplan!$AJ$6:$AJ$323,8),Wartungsplan!$AJ$6:$AJ$323,0)),"")</f>
        <v/>
      </c>
      <c r="L52" s="50">
        <f>IFERROR(INDEX(Wartungsplan!$R$6:$R$323,MATCH(LARGE(Wartungsplan!$AJ$6:$AJ$323,8),Wartungsplan!$AJ$6:$AJ$323,0)),"")</f>
        <v/>
      </c>
      <c r="M52" s="41">
        <f>IFERROR(INDEX(Wartungsplan!$S$6:$S$323,MATCH(LARGE(Wartungsplan!$AJ$6:$AJ$323,8),Wartungsplan!$AJ$6:$AJ$323,0)),"")</f>
        <v/>
      </c>
      <c r="N52" s="43">
        <f>IFERROR(INDEX(Wartungsplan!$U$6:$U$323,MATCH(LARGE(Wartungsplan!$AJ$6:$AJ$323,8),Wartungsplan!$AJ$6:$AJ$323,0)),"")</f>
        <v/>
      </c>
    </row>
    <row r="53" ht="40" customHeight="1">
      <c r="I53" s="41">
        <f>IFERROR(INDEX(Wartungsplan!$A$6:$A$323,MATCH(LARGE(Wartungsplan!$AJ$6:$AJ$323,9),Wartungsplan!$AJ$6:$AJ$323,0)),"")</f>
        <v/>
      </c>
      <c r="J53" s="15">
        <f>IFERROR(INDEX(Wartungsplan!$B$6:$B$323,MATCH(LARGE(Wartungsplan!$AJ$6:$AJ$323,9),Wartungsplan!$AJ$6:$AJ$323,0)),"")</f>
        <v/>
      </c>
      <c r="K53" s="51">
        <f>IFERROR(INDEX(Wartungsplan!$AC$6:$AC$323,MATCH(LARGE(Wartungsplan!$AJ$6:$AJ$323,9),Wartungsplan!$AJ$6:$AJ$323,0)),"")</f>
        <v/>
      </c>
      <c r="L53" s="50">
        <f>IFERROR(INDEX(Wartungsplan!$R$6:$R$323,MATCH(LARGE(Wartungsplan!$AJ$6:$AJ$323,9),Wartungsplan!$AJ$6:$AJ$323,0)),"")</f>
        <v/>
      </c>
      <c r="M53" s="41">
        <f>IFERROR(INDEX(Wartungsplan!$S$6:$S$323,MATCH(LARGE(Wartungsplan!$AJ$6:$AJ$323,9),Wartungsplan!$AJ$6:$AJ$323,0)),"")</f>
        <v/>
      </c>
      <c r="N53" s="43">
        <f>IFERROR(INDEX(Wartungsplan!$U$6:$U$323,MATCH(LARGE(Wartungsplan!$AJ$6:$AJ$323,9),Wartungsplan!$AJ$6:$AJ$323,0)),"")</f>
        <v/>
      </c>
    </row>
    <row r="54" ht="40" customHeight="1">
      <c r="I54" s="41">
        <f>IFERROR(INDEX(Wartungsplan!$A$6:$A$323,MATCH(LARGE(Wartungsplan!$AJ$6:$AJ$323,10),Wartungsplan!$AJ$6:$AJ$323,0)),"")</f>
        <v/>
      </c>
      <c r="J54" s="15">
        <f>IFERROR(INDEX(Wartungsplan!$B$6:$B$323,MATCH(LARGE(Wartungsplan!$AJ$6:$AJ$323,10),Wartungsplan!$AJ$6:$AJ$323,0)),"")</f>
        <v/>
      </c>
      <c r="K54" s="51">
        <f>IFERROR(INDEX(Wartungsplan!$AC$6:$AC$323,MATCH(LARGE(Wartungsplan!$AJ$6:$AJ$323,10),Wartungsplan!$AJ$6:$AJ$323,0)),"")</f>
        <v/>
      </c>
      <c r="L54" s="50">
        <f>IFERROR(INDEX(Wartungsplan!$R$6:$R$323,MATCH(LARGE(Wartungsplan!$AJ$6:$AJ$323,10),Wartungsplan!$AJ$6:$AJ$323,0)),"")</f>
        <v/>
      </c>
      <c r="M54" s="41">
        <f>IFERROR(INDEX(Wartungsplan!$S$6:$S$323,MATCH(LARGE(Wartungsplan!$AJ$6:$AJ$323,10),Wartungsplan!$AJ$6:$AJ$323,0)),"")</f>
        <v/>
      </c>
      <c r="N54" s="43">
        <f>IFERROR(INDEX(Wartungsplan!$U$6:$U$323,MATCH(LARGE(Wartungsplan!$AJ$6:$AJ$323,10),Wartungsplan!$AJ$6:$AJ$323,0)),"")</f>
        <v/>
      </c>
    </row>
    <row r="56">
      <c r="B56" s="4" t="inlineStr">
        <is>
          <t>Auswertung je Baugruppe</t>
        </is>
      </c>
    </row>
    <row r="57" ht="30" customHeight="1">
      <c r="B57" s="12" t="inlineStr">
        <is>
          <t>Baugruppe</t>
        </is>
      </c>
      <c r="C57" s="12" t="inlineStr">
        <is>
          <t>Maßnahmen</t>
        </is>
      </c>
      <c r="D57" s="12" t="inlineStr">
        <is>
          <t>Ø RPZ</t>
        </is>
      </c>
      <c r="E57" s="12" t="inlineStr">
        <is>
          <t>max. RPZ</t>
        </is>
      </c>
      <c r="F57" s="12" t="inlineStr">
        <is>
          <t>hoch / kritisch</t>
        </is>
      </c>
      <c r="G57" s="12" t="inlineStr">
        <is>
          <t>Aufwand h/Jahr</t>
        </is>
      </c>
      <c r="P57" s="53" t="inlineStr">
        <is>
          <t>Diagrammbeschriftung</t>
        </is>
      </c>
    </row>
    <row r="58" ht="16" customHeight="1">
      <c r="B58" s="54" t="inlineStr">
        <is>
          <t>1  Not-Aus</t>
        </is>
      </c>
      <c r="C58" s="43">
        <f>COUNTIFS(Wartungsplan!$AC$6:$AC$323,"Not-Aus",Wartungsplan!$AE$6:$AE$323,"Maßnahme")</f>
        <v/>
      </c>
      <c r="D58" s="50">
        <f>IFERROR(AVERAGEIFS(Wartungsplan!$R$6:$R$323,Wartungsplan!$AC$6:$AC$323,"Not-Aus"),0)</f>
        <v/>
      </c>
      <c r="E58" s="48">
        <f>_xlfn.MAXIFS(Wartungsplan!$R$6:$R$323,Wartungsplan!$AC$6:$AC$323,"Not-Aus")</f>
        <v/>
      </c>
      <c r="F58" s="43">
        <f>COUNTIFS(Wartungsplan!$AC$6:$AC$323,"Not-Aus",Wartungsplan!$S$6:$S$323,"hoch")+COUNTIFS(Wartungsplan!$AC$6:$AC$323,"Not-Aus",Wartungsplan!$S$6:$S$323,"kritisch")</f>
        <v/>
      </c>
      <c r="G58" s="48">
        <f>SUMIFS(Wartungsplan!$AB$6:$AB$323,Wartungsplan!$AC$6:$AC$323,"Not-Aus")</f>
        <v/>
      </c>
      <c r="P58" s="55" t="inlineStr">
        <is>
          <t>1 Not-Aus</t>
        </is>
      </c>
    </row>
    <row r="59" ht="16" customHeight="1">
      <c r="B59" s="54" t="inlineStr">
        <is>
          <t>2  Bedienpult</t>
        </is>
      </c>
      <c r="C59" s="43">
        <f>COUNTIFS(Wartungsplan!$AC$6:$AC$323,"Bedienpult",Wartungsplan!$AE$6:$AE$323,"Maßnahme")</f>
        <v/>
      </c>
      <c r="D59" s="50">
        <f>IFERROR(AVERAGEIFS(Wartungsplan!$R$6:$R$323,Wartungsplan!$AC$6:$AC$323,"Bedienpult"),0)</f>
        <v/>
      </c>
      <c r="E59" s="48">
        <f>_xlfn.MAXIFS(Wartungsplan!$R$6:$R$323,Wartungsplan!$AC$6:$AC$323,"Bedienpult")</f>
        <v/>
      </c>
      <c r="F59" s="43">
        <f>COUNTIFS(Wartungsplan!$AC$6:$AC$323,"Bedienpult",Wartungsplan!$S$6:$S$323,"hoch")+COUNTIFS(Wartungsplan!$AC$6:$AC$323,"Bedienpult",Wartungsplan!$S$6:$S$323,"kritisch")</f>
        <v/>
      </c>
      <c r="G59" s="48">
        <f>SUMIFS(Wartungsplan!$AB$6:$AB$323,Wartungsplan!$AC$6:$AC$323,"Bedienpult")</f>
        <v/>
      </c>
      <c r="P59" s="55" t="inlineStr">
        <is>
          <t>2 Bedienpult</t>
        </is>
      </c>
    </row>
    <row r="60" ht="24" customHeight="1">
      <c r="B60" s="54" t="inlineStr">
        <is>
          <t>3  Staucheinheit (Stauchdorn, Stauchspindel, Elemente für Abdichthub von rechts); Pos. 29 Stauchspindel (Kugelgewindespindel)</t>
        </is>
      </c>
      <c r="C60" s="43">
        <f>COUNTIFS(Wartungsplan!$AC$6:$AC$323,"Staucheinheit (Stauchdorn, Stauchspindel, Elemente für Abdichthub von rechts); Pos. 29 Stauchspindel (Kugelgewindespindel)",Wartungsplan!$AE$6:$AE$323,"Maßnahme")</f>
        <v/>
      </c>
      <c r="D60" s="50">
        <f>IFERROR(AVERAGEIFS(Wartungsplan!$R$6:$R$323,Wartungsplan!$AC$6:$AC$323,"Staucheinheit (Stauchdorn, Stauchspindel, Elemente für Abdichthub von rechts); Pos. 29 Stauchspindel (Kugelgewindespindel)"),0)</f>
        <v/>
      </c>
      <c r="E60" s="48">
        <f>_xlfn.MAXIFS(Wartungsplan!$R$6:$R$323,Wartungsplan!$AC$6:$AC$323,"Staucheinheit (Stauchdorn, Stauchspindel, Elemente für Abdichthub von rechts); Pos. 29 Stauchspindel (Kugelgewindespindel)")</f>
        <v/>
      </c>
      <c r="F60" s="43">
        <f>COUNTIFS(Wartungsplan!$AC$6:$AC$323,"Staucheinheit (Stauchdorn, Stauchspindel, Elemente für Abdichthub von rechts); Pos. 29 Stauchspindel (Kugelgewindespindel)",Wartungsplan!$S$6:$S$323,"hoch")+COUNTIFS(Wartungsplan!$AC$6:$AC$323,"Staucheinheit (Stauchdorn, Stauchspindel, Elemente für Abdichthub von rechts); Pos. 29 Stauchspindel (Kugelgewindespindel)",Wartungsplan!$S$6:$S$323,"kritisch")</f>
        <v/>
      </c>
      <c r="G60" s="48">
        <f>SUMIFS(Wartungsplan!$AB$6:$AB$323,Wartungsplan!$AC$6:$AC$323,"Staucheinheit (Stauchdorn, Stauchspindel, Elemente für Abdichthub von rechts); Pos. 29 Stauchspindel (Kugelgewindespindel)")</f>
        <v/>
      </c>
      <c r="P60" s="55" t="inlineStr">
        <is>
          <t>3 Staucheinheit</t>
        </is>
      </c>
    </row>
    <row r="61" ht="16" customHeight="1">
      <c r="B61" s="54" t="inlineStr">
        <is>
          <t>4  Oberer und unterer Werkzeugträger</t>
        </is>
      </c>
      <c r="C61" s="43">
        <f>COUNTIFS(Wartungsplan!$AC$6:$AC$323,"Oberer und unterer Werkzeugträger",Wartungsplan!$AE$6:$AE$323,"Maßnahme")</f>
        <v/>
      </c>
      <c r="D61" s="50">
        <f>IFERROR(AVERAGEIFS(Wartungsplan!$R$6:$R$323,Wartungsplan!$AC$6:$AC$323,"Oberer und unterer Werkzeugträger"),0)</f>
        <v/>
      </c>
      <c r="E61" s="48">
        <f>_xlfn.MAXIFS(Wartungsplan!$R$6:$R$323,Wartungsplan!$AC$6:$AC$323,"Oberer und unterer Werkzeugträger")</f>
        <v/>
      </c>
      <c r="F61" s="43">
        <f>COUNTIFS(Wartungsplan!$AC$6:$AC$323,"Oberer und unterer Werkzeugträger",Wartungsplan!$S$6:$S$323,"hoch")+COUNTIFS(Wartungsplan!$AC$6:$AC$323,"Oberer und unterer Werkzeugträger",Wartungsplan!$S$6:$S$323,"kritisch")</f>
        <v/>
      </c>
      <c r="G61" s="48">
        <f>SUMIFS(Wartungsplan!$AB$6:$AB$323,Wartungsplan!$AC$6:$AC$323,"Oberer und unterer Werkzeugträger")</f>
        <v/>
      </c>
      <c r="P61" s="55" t="inlineStr">
        <is>
          <t>4 Oberer und unterer Werkzeugträger</t>
        </is>
      </c>
    </row>
    <row r="62" ht="16" customHeight="1">
      <c r="B62" s="54" t="inlineStr">
        <is>
          <t>5  Verschlussbalken</t>
        </is>
      </c>
      <c r="C62" s="43">
        <f>COUNTIFS(Wartungsplan!$AC$6:$AC$323,"Verschlussbalken",Wartungsplan!$AE$6:$AE$323,"Maßnahme")</f>
        <v/>
      </c>
      <c r="D62" s="50">
        <f>IFERROR(AVERAGEIFS(Wartungsplan!$R$6:$R$323,Wartungsplan!$AC$6:$AC$323,"Verschlussbalken"),0)</f>
        <v/>
      </c>
      <c r="E62" s="48">
        <f>_xlfn.MAXIFS(Wartungsplan!$R$6:$R$323,Wartungsplan!$AC$6:$AC$323,"Verschlussbalken")</f>
        <v/>
      </c>
      <c r="F62" s="43">
        <f>COUNTIFS(Wartungsplan!$AC$6:$AC$323,"Verschlussbalken",Wartungsplan!$S$6:$S$323,"hoch")+COUNTIFS(Wartungsplan!$AC$6:$AC$323,"Verschlussbalken",Wartungsplan!$S$6:$S$323,"kritisch")</f>
        <v/>
      </c>
      <c r="G62" s="48">
        <f>SUMIFS(Wartungsplan!$AB$6:$AB$323,Wartungsplan!$AC$6:$AC$323,"Verschlussbalken")</f>
        <v/>
      </c>
      <c r="P62" s="55" t="inlineStr">
        <is>
          <t>5 Verschlussbalken</t>
        </is>
      </c>
    </row>
    <row r="63" ht="24" customHeight="1">
      <c r="B63" s="54" t="inlineStr">
        <is>
          <t>6  Hydraulik-/Pneumatikzylinder (Baugruppe in der Vorversion nicht benannt)</t>
        </is>
      </c>
      <c r="C63" s="43">
        <f>COUNTIFS(Wartungsplan!$AC$6:$AC$323,"Hydraulik-/Pneumatikzylinder (Baugruppe in der Vorversion nicht benannt)",Wartungsplan!$AE$6:$AE$323,"Maßnahme")</f>
        <v/>
      </c>
      <c r="D63" s="50">
        <f>IFERROR(AVERAGEIFS(Wartungsplan!$R$6:$R$323,Wartungsplan!$AC$6:$AC$323,"Hydraulik-/Pneumatikzylinder (Baugruppe in der Vorversion nicht benannt)"),0)</f>
        <v/>
      </c>
      <c r="E63" s="48">
        <f>_xlfn.MAXIFS(Wartungsplan!$R$6:$R$323,Wartungsplan!$AC$6:$AC$323,"Hydraulik-/Pneumatikzylinder (Baugruppe in der Vorversion nicht benannt)")</f>
        <v/>
      </c>
      <c r="F63" s="43">
        <f>COUNTIFS(Wartungsplan!$AC$6:$AC$323,"Hydraulik-/Pneumatikzylinder (Baugruppe in der Vorversion nicht benannt)",Wartungsplan!$S$6:$S$323,"hoch")+COUNTIFS(Wartungsplan!$AC$6:$AC$323,"Hydraulik-/Pneumatikzylinder (Baugruppe in der Vorversion nicht benannt)",Wartungsplan!$S$6:$S$323,"kritisch")</f>
        <v/>
      </c>
      <c r="G63" s="48">
        <f>SUMIFS(Wartungsplan!$AB$6:$AB$323,Wartungsplan!$AC$6:$AC$323,"Hydraulik-/Pneumatikzylinder (Baugruppe in der Vorversion nicht benannt)")</f>
        <v/>
      </c>
      <c r="P63" s="55" t="inlineStr">
        <is>
          <t>6 Hydraulik-/Pneumatikzylinder</t>
        </is>
      </c>
    </row>
    <row r="64" ht="16" customHeight="1">
      <c r="B64" s="54" t="inlineStr">
        <is>
          <t>7  Wasserbehälter für Umformmedium</t>
        </is>
      </c>
      <c r="C64" s="43">
        <f>COUNTIFS(Wartungsplan!$AC$6:$AC$323,"Wasserbehälter für Umformmedium",Wartungsplan!$AE$6:$AE$323,"Maßnahme")</f>
        <v/>
      </c>
      <c r="D64" s="50">
        <f>IFERROR(AVERAGEIFS(Wartungsplan!$R$6:$R$323,Wartungsplan!$AC$6:$AC$323,"Wasserbehälter für Umformmedium"),0)</f>
        <v/>
      </c>
      <c r="E64" s="48">
        <f>_xlfn.MAXIFS(Wartungsplan!$R$6:$R$323,Wartungsplan!$AC$6:$AC$323,"Wasserbehälter für Umformmedium")</f>
        <v/>
      </c>
      <c r="F64" s="43">
        <f>COUNTIFS(Wartungsplan!$AC$6:$AC$323,"Wasserbehälter für Umformmedium",Wartungsplan!$S$6:$S$323,"hoch")+COUNTIFS(Wartungsplan!$AC$6:$AC$323,"Wasserbehälter für Umformmedium",Wartungsplan!$S$6:$S$323,"kritisch")</f>
        <v/>
      </c>
      <c r="G64" s="48">
        <f>SUMIFS(Wartungsplan!$AB$6:$AB$323,Wartungsplan!$AC$6:$AC$323,"Wasserbehälter für Umformmedium")</f>
        <v/>
      </c>
      <c r="P64" s="55" t="inlineStr">
        <is>
          <t>7 Wasserbehälter für Umformmedium</t>
        </is>
      </c>
    </row>
    <row r="65" ht="16" customHeight="1">
      <c r="B65" s="54" t="inlineStr">
        <is>
          <t>8  Auslaufrinne</t>
        </is>
      </c>
      <c r="C65" s="43">
        <f>COUNTIFS(Wartungsplan!$AC$6:$AC$323,"Auslaufrinne",Wartungsplan!$AE$6:$AE$323,"Maßnahme")</f>
        <v/>
      </c>
      <c r="D65" s="50">
        <f>IFERROR(AVERAGEIFS(Wartungsplan!$R$6:$R$323,Wartungsplan!$AC$6:$AC$323,"Auslaufrinne"),0)</f>
        <v/>
      </c>
      <c r="E65" s="48">
        <f>_xlfn.MAXIFS(Wartungsplan!$R$6:$R$323,Wartungsplan!$AC$6:$AC$323,"Auslaufrinne")</f>
        <v/>
      </c>
      <c r="F65" s="43">
        <f>COUNTIFS(Wartungsplan!$AC$6:$AC$323,"Auslaufrinne",Wartungsplan!$S$6:$S$323,"hoch")+COUNTIFS(Wartungsplan!$AC$6:$AC$323,"Auslaufrinne",Wartungsplan!$S$6:$S$323,"kritisch")</f>
        <v/>
      </c>
      <c r="G65" s="48">
        <f>SUMIFS(Wartungsplan!$AB$6:$AB$323,Wartungsplan!$AC$6:$AC$323,"Auslaufrinne")</f>
        <v/>
      </c>
      <c r="P65" s="55" t="inlineStr">
        <is>
          <t>8 Auslaufrinne</t>
        </is>
      </c>
    </row>
    <row r="66" ht="24" customHeight="1">
      <c r="B66" s="54" t="inlineStr">
        <is>
          <t>9  Beladehandling (Handling Glattrohrgreifer) und Entnahmehandling (Handling Balggreifer)</t>
        </is>
      </c>
      <c r="C66" s="43">
        <f>COUNTIFS(Wartungsplan!$AC$6:$AC$323,"Beladehandling (Handling Glattrohrgreifer) und Entnahmehandling (Handling Balggreifer)",Wartungsplan!$AE$6:$AE$323,"Maßnahme")</f>
        <v/>
      </c>
      <c r="D66" s="50">
        <f>IFERROR(AVERAGEIFS(Wartungsplan!$R$6:$R$323,Wartungsplan!$AC$6:$AC$323,"Beladehandling (Handling Glattrohrgreifer) und Entnahmehandling (Handling Balggreifer)"),0)</f>
        <v/>
      </c>
      <c r="E66" s="48">
        <f>_xlfn.MAXIFS(Wartungsplan!$R$6:$R$323,Wartungsplan!$AC$6:$AC$323,"Beladehandling (Handling Glattrohrgreifer) und Entnahmehandling (Handling Balggreifer)")</f>
        <v/>
      </c>
      <c r="F66" s="43">
        <f>COUNTIFS(Wartungsplan!$AC$6:$AC$323,"Beladehandling (Handling Glattrohrgreifer) und Entnahmehandling (Handling Balggreifer)",Wartungsplan!$S$6:$S$323,"hoch")+COUNTIFS(Wartungsplan!$AC$6:$AC$323,"Beladehandling (Handling Glattrohrgreifer) und Entnahmehandling (Handling Balggreifer)",Wartungsplan!$S$6:$S$323,"kritisch")</f>
        <v/>
      </c>
      <c r="G66" s="48">
        <f>SUMIFS(Wartungsplan!$AB$6:$AB$323,Wartungsplan!$AC$6:$AC$323,"Beladehandling (Handling Glattrohrgreifer) und Entnahmehandling (Handling Balggreifer)")</f>
        <v/>
      </c>
      <c r="P66" s="55" t="inlineStr">
        <is>
          <t>9 Beladehandling</t>
        </is>
      </c>
    </row>
    <row r="67" ht="16" customHeight="1">
      <c r="B67" s="54" t="inlineStr">
        <is>
          <t>10  Wartungseinheit (falls vorhanden)</t>
        </is>
      </c>
      <c r="C67" s="43">
        <f>COUNTIFS(Wartungsplan!$AC$6:$AC$323,"Wartungseinheit (falls vorhanden)",Wartungsplan!$AE$6:$AE$323,"Maßnahme")</f>
        <v/>
      </c>
      <c r="D67" s="50">
        <f>IFERROR(AVERAGEIFS(Wartungsplan!$R$6:$R$323,Wartungsplan!$AC$6:$AC$323,"Wartungseinheit (falls vorhanden)"),0)</f>
        <v/>
      </c>
      <c r="E67" s="48">
        <f>_xlfn.MAXIFS(Wartungsplan!$R$6:$R$323,Wartungsplan!$AC$6:$AC$323,"Wartungseinheit (falls vorhanden)")</f>
        <v/>
      </c>
      <c r="F67" s="43">
        <f>COUNTIFS(Wartungsplan!$AC$6:$AC$323,"Wartungseinheit (falls vorhanden)",Wartungsplan!$S$6:$S$323,"hoch")+COUNTIFS(Wartungsplan!$AC$6:$AC$323,"Wartungseinheit (falls vorhanden)",Wartungsplan!$S$6:$S$323,"kritisch")</f>
        <v/>
      </c>
      <c r="G67" s="48">
        <f>SUMIFS(Wartungsplan!$AB$6:$AB$323,Wartungsplan!$AC$6:$AC$323,"Wartungseinheit (falls vorhanden)")</f>
        <v/>
      </c>
      <c r="P67" s="55" t="inlineStr">
        <is>
          <t>10 Wartungseinheit</t>
        </is>
      </c>
    </row>
    <row r="68" ht="24" customHeight="1">
      <c r="B68" s="54" t="inlineStr">
        <is>
          <t>11  Glattrohrzuführung und Vereinzeler/Rohrstopper</t>
        </is>
      </c>
      <c r="C68" s="43">
        <f>COUNTIFS(Wartungsplan!$AC$6:$AC$323,"Glattrohrzuführung und Vereinzeler/Rohrstopper",Wartungsplan!$AE$6:$AE$323,"Maßnahme")</f>
        <v/>
      </c>
      <c r="D68" s="50">
        <f>IFERROR(AVERAGEIFS(Wartungsplan!$R$6:$R$323,Wartungsplan!$AC$6:$AC$323,"Glattrohrzuführung und Vereinzeler/Rohrstopper"),0)</f>
        <v/>
      </c>
      <c r="E68" s="48">
        <f>_xlfn.MAXIFS(Wartungsplan!$R$6:$R$323,Wartungsplan!$AC$6:$AC$323,"Glattrohrzuführung und Vereinzeler/Rohrstopper")</f>
        <v/>
      </c>
      <c r="F68" s="43">
        <f>COUNTIFS(Wartungsplan!$AC$6:$AC$323,"Glattrohrzuführung und Vereinzeler/Rohrstopper",Wartungsplan!$S$6:$S$323,"hoch")+COUNTIFS(Wartungsplan!$AC$6:$AC$323,"Glattrohrzuführung und Vereinzeler/Rohrstopper",Wartungsplan!$S$6:$S$323,"kritisch")</f>
        <v/>
      </c>
      <c r="G68" s="48">
        <f>SUMIFS(Wartungsplan!$AB$6:$AB$323,Wartungsplan!$AC$6:$AC$323,"Glattrohrzuführung und Vereinzeler/Rohrstopper")</f>
        <v/>
      </c>
      <c r="P68" s="55" t="inlineStr">
        <is>
          <t>11 Glattrohrzuführung und Vereinzel…</t>
        </is>
      </c>
    </row>
    <row r="69" ht="16" customHeight="1">
      <c r="B69" s="54" t="inlineStr">
        <is>
          <t>12  Handbediengerät</t>
        </is>
      </c>
      <c r="C69" s="43">
        <f>COUNTIFS(Wartungsplan!$AC$6:$AC$323,"Handbediengerät",Wartungsplan!$AE$6:$AE$323,"Maßnahme")</f>
        <v/>
      </c>
      <c r="D69" s="50">
        <f>IFERROR(AVERAGEIFS(Wartungsplan!$R$6:$R$323,Wartungsplan!$AC$6:$AC$323,"Handbediengerät"),0)</f>
        <v/>
      </c>
      <c r="E69" s="48">
        <f>_xlfn.MAXIFS(Wartungsplan!$R$6:$R$323,Wartungsplan!$AC$6:$AC$323,"Handbediengerät")</f>
        <v/>
      </c>
      <c r="F69" s="43">
        <f>COUNTIFS(Wartungsplan!$AC$6:$AC$323,"Handbediengerät",Wartungsplan!$S$6:$S$323,"hoch")+COUNTIFS(Wartungsplan!$AC$6:$AC$323,"Handbediengerät",Wartungsplan!$S$6:$S$323,"kritisch")</f>
        <v/>
      </c>
      <c r="G69" s="48">
        <f>SUMIFS(Wartungsplan!$AB$6:$AB$323,Wartungsplan!$AC$6:$AC$323,"Handbediengerät")</f>
        <v/>
      </c>
      <c r="P69" s="55" t="inlineStr">
        <is>
          <t>12 Handbediengerät</t>
        </is>
      </c>
    </row>
    <row r="70" ht="16" customHeight="1">
      <c r="B70" s="54" t="inlineStr">
        <is>
          <t>13  Klimagerät für Schaltschrank</t>
        </is>
      </c>
      <c r="C70" s="43">
        <f>COUNTIFS(Wartungsplan!$AC$6:$AC$323,"Klimagerät für Schaltschrank",Wartungsplan!$AE$6:$AE$323,"Maßnahme")</f>
        <v/>
      </c>
      <c r="D70" s="50">
        <f>IFERROR(AVERAGEIFS(Wartungsplan!$R$6:$R$323,Wartungsplan!$AC$6:$AC$323,"Klimagerät für Schaltschrank"),0)</f>
        <v/>
      </c>
      <c r="E70" s="48">
        <f>_xlfn.MAXIFS(Wartungsplan!$R$6:$R$323,Wartungsplan!$AC$6:$AC$323,"Klimagerät für Schaltschrank")</f>
        <v/>
      </c>
      <c r="F70" s="43">
        <f>COUNTIFS(Wartungsplan!$AC$6:$AC$323,"Klimagerät für Schaltschrank",Wartungsplan!$S$6:$S$323,"hoch")+COUNTIFS(Wartungsplan!$AC$6:$AC$323,"Klimagerät für Schaltschrank",Wartungsplan!$S$6:$S$323,"kritisch")</f>
        <v/>
      </c>
      <c r="G70" s="48">
        <f>SUMIFS(Wartungsplan!$AB$6:$AB$323,Wartungsplan!$AC$6:$AC$323,"Klimagerät für Schaltschrank")</f>
        <v/>
      </c>
      <c r="P70" s="55" t="inlineStr">
        <is>
          <t>13 Klimagerät für Schaltschrank</t>
        </is>
      </c>
    </row>
    <row r="71" ht="16" customHeight="1">
      <c r="B71" s="54" t="inlineStr">
        <is>
          <t>14  Schaltschrank</t>
        </is>
      </c>
      <c r="C71" s="43">
        <f>COUNTIFS(Wartungsplan!$AC$6:$AC$323,"Schaltschrank",Wartungsplan!$AE$6:$AE$323,"Maßnahme")</f>
        <v/>
      </c>
      <c r="D71" s="50">
        <f>IFERROR(AVERAGEIFS(Wartungsplan!$R$6:$R$323,Wartungsplan!$AC$6:$AC$323,"Schaltschrank"),0)</f>
        <v/>
      </c>
      <c r="E71" s="48">
        <f>_xlfn.MAXIFS(Wartungsplan!$R$6:$R$323,Wartungsplan!$AC$6:$AC$323,"Schaltschrank")</f>
        <v/>
      </c>
      <c r="F71" s="43">
        <f>COUNTIFS(Wartungsplan!$AC$6:$AC$323,"Schaltschrank",Wartungsplan!$S$6:$S$323,"hoch")+COUNTIFS(Wartungsplan!$AC$6:$AC$323,"Schaltschrank",Wartungsplan!$S$6:$S$323,"kritisch")</f>
        <v/>
      </c>
      <c r="G71" s="48">
        <f>SUMIFS(Wartungsplan!$AB$6:$AB$323,Wartungsplan!$AC$6:$AC$323,"Schaltschrank")</f>
        <v/>
      </c>
      <c r="P71" s="55" t="inlineStr">
        <is>
          <t>14 Schaltschrank</t>
        </is>
      </c>
    </row>
    <row r="72" ht="16" customHeight="1">
      <c r="B72" s="54" t="inlineStr">
        <is>
          <t>15  Ölkühler/Wasserkühler</t>
        </is>
      </c>
      <c r="C72" s="43">
        <f>COUNTIFS(Wartungsplan!$AC$6:$AC$323,"Ölkühler/Wasserkühler",Wartungsplan!$AE$6:$AE$323,"Maßnahme")</f>
        <v/>
      </c>
      <c r="D72" s="50">
        <f>IFERROR(AVERAGEIFS(Wartungsplan!$R$6:$R$323,Wartungsplan!$AC$6:$AC$323,"Ölkühler/Wasserkühler"),0)</f>
        <v/>
      </c>
      <c r="E72" s="48">
        <f>_xlfn.MAXIFS(Wartungsplan!$R$6:$R$323,Wartungsplan!$AC$6:$AC$323,"Ölkühler/Wasserkühler")</f>
        <v/>
      </c>
      <c r="F72" s="43">
        <f>COUNTIFS(Wartungsplan!$AC$6:$AC$323,"Ölkühler/Wasserkühler",Wartungsplan!$S$6:$S$323,"hoch")+COUNTIFS(Wartungsplan!$AC$6:$AC$323,"Ölkühler/Wasserkühler",Wartungsplan!$S$6:$S$323,"kritisch")</f>
        <v/>
      </c>
      <c r="G72" s="48">
        <f>SUMIFS(Wartungsplan!$AB$6:$AB$323,Wartungsplan!$AC$6:$AC$323,"Ölkühler/Wasserkühler")</f>
        <v/>
      </c>
      <c r="P72" s="55" t="inlineStr">
        <is>
          <t>15 Ölkühler/Wasserkühler</t>
        </is>
      </c>
    </row>
    <row r="73" ht="16" customHeight="1">
      <c r="B73" s="54" t="inlineStr">
        <is>
          <t>16  Hydraulikaggregat</t>
        </is>
      </c>
      <c r="C73" s="43">
        <f>COUNTIFS(Wartungsplan!$AC$6:$AC$323,"Hydraulikaggregat",Wartungsplan!$AE$6:$AE$323,"Maßnahme")</f>
        <v/>
      </c>
      <c r="D73" s="50">
        <f>IFERROR(AVERAGEIFS(Wartungsplan!$R$6:$R$323,Wartungsplan!$AC$6:$AC$323,"Hydraulikaggregat"),0)</f>
        <v/>
      </c>
      <c r="E73" s="48">
        <f>_xlfn.MAXIFS(Wartungsplan!$R$6:$R$323,Wartungsplan!$AC$6:$AC$323,"Hydraulikaggregat")</f>
        <v/>
      </c>
      <c r="F73" s="43">
        <f>COUNTIFS(Wartungsplan!$AC$6:$AC$323,"Hydraulikaggregat",Wartungsplan!$S$6:$S$323,"hoch")+COUNTIFS(Wartungsplan!$AC$6:$AC$323,"Hydraulikaggregat",Wartungsplan!$S$6:$S$323,"kritisch")</f>
        <v/>
      </c>
      <c r="G73" s="48">
        <f>SUMIFS(Wartungsplan!$AB$6:$AB$323,Wartungsplan!$AC$6:$AC$323,"Hydraulikaggregat")</f>
        <v/>
      </c>
      <c r="P73" s="55" t="inlineStr">
        <is>
          <t>16 Hydraulikaggregat</t>
        </is>
      </c>
    </row>
    <row r="74" ht="16" customHeight="1">
      <c r="B74" s="54" t="inlineStr">
        <is>
          <t>17  Hydraulik-Druckfilter (mit Filtereinsatz)</t>
        </is>
      </c>
      <c r="C74" s="43">
        <f>COUNTIFS(Wartungsplan!$AC$6:$AC$323,"Hydraulik-Druckfilter (mit Filtereinsatz)",Wartungsplan!$AE$6:$AE$323,"Maßnahme")</f>
        <v/>
      </c>
      <c r="D74" s="50">
        <f>IFERROR(AVERAGEIFS(Wartungsplan!$R$6:$R$323,Wartungsplan!$AC$6:$AC$323,"Hydraulik-Druckfilter (mit Filtereinsatz)"),0)</f>
        <v/>
      </c>
      <c r="E74" s="48">
        <f>_xlfn.MAXIFS(Wartungsplan!$R$6:$R$323,Wartungsplan!$AC$6:$AC$323,"Hydraulik-Druckfilter (mit Filtereinsatz)")</f>
        <v/>
      </c>
      <c r="F74" s="43">
        <f>COUNTIFS(Wartungsplan!$AC$6:$AC$323,"Hydraulik-Druckfilter (mit Filtereinsatz)",Wartungsplan!$S$6:$S$323,"hoch")+COUNTIFS(Wartungsplan!$AC$6:$AC$323,"Hydraulik-Druckfilter (mit Filtereinsatz)",Wartungsplan!$S$6:$S$323,"kritisch")</f>
        <v/>
      </c>
      <c r="G74" s="48">
        <f>SUMIFS(Wartungsplan!$AB$6:$AB$323,Wartungsplan!$AC$6:$AC$323,"Hydraulik-Druckfilter (mit Filtereinsatz)")</f>
        <v/>
      </c>
      <c r="P74" s="55" t="inlineStr">
        <is>
          <t>17 Hydraulik-Druckfilter</t>
        </is>
      </c>
    </row>
    <row r="75" ht="16" customHeight="1">
      <c r="B75" s="54" t="inlineStr">
        <is>
          <t>18  Druckübersetzer</t>
        </is>
      </c>
      <c r="C75" s="43">
        <f>COUNTIFS(Wartungsplan!$AC$6:$AC$323,"Druckübersetzer",Wartungsplan!$AE$6:$AE$323,"Maßnahme")</f>
        <v/>
      </c>
      <c r="D75" s="50">
        <f>IFERROR(AVERAGEIFS(Wartungsplan!$R$6:$R$323,Wartungsplan!$AC$6:$AC$323,"Druckübersetzer"),0)</f>
        <v/>
      </c>
      <c r="E75" s="48">
        <f>_xlfn.MAXIFS(Wartungsplan!$R$6:$R$323,Wartungsplan!$AC$6:$AC$323,"Druckübersetzer")</f>
        <v/>
      </c>
      <c r="F75" s="43">
        <f>COUNTIFS(Wartungsplan!$AC$6:$AC$323,"Druckübersetzer",Wartungsplan!$S$6:$S$323,"hoch")+COUNTIFS(Wartungsplan!$AC$6:$AC$323,"Druckübersetzer",Wartungsplan!$S$6:$S$323,"kritisch")</f>
        <v/>
      </c>
      <c r="G75" s="48">
        <f>SUMIFS(Wartungsplan!$AB$6:$AB$323,Wartungsplan!$AC$6:$AC$323,"Druckübersetzer")</f>
        <v/>
      </c>
      <c r="P75" s="55" t="inlineStr">
        <is>
          <t>18 Druckübersetzer</t>
        </is>
      </c>
    </row>
    <row r="76" ht="16" customHeight="1">
      <c r="B76" s="54" t="inlineStr">
        <is>
          <t>19  Schmierung allgemein (HSIM)</t>
        </is>
      </c>
      <c r="C76" s="43">
        <f>COUNTIFS(Wartungsplan!$AC$6:$AC$323,"Schmierung allgemein (HSIM)",Wartungsplan!$AE$6:$AE$323,"Maßnahme")</f>
        <v/>
      </c>
      <c r="D76" s="50">
        <f>IFERROR(AVERAGEIFS(Wartungsplan!$R$6:$R$323,Wartungsplan!$AC$6:$AC$323,"Schmierung allgemein (HSIM)"),0)</f>
        <v/>
      </c>
      <c r="E76" s="48">
        <f>_xlfn.MAXIFS(Wartungsplan!$R$6:$R$323,Wartungsplan!$AC$6:$AC$323,"Schmierung allgemein (HSIM)")</f>
        <v/>
      </c>
      <c r="F76" s="43">
        <f>COUNTIFS(Wartungsplan!$AC$6:$AC$323,"Schmierung allgemein (HSIM)",Wartungsplan!$S$6:$S$323,"hoch")+COUNTIFS(Wartungsplan!$AC$6:$AC$323,"Schmierung allgemein (HSIM)",Wartungsplan!$S$6:$S$323,"kritisch")</f>
        <v/>
      </c>
      <c r="G76" s="48">
        <f>SUMIFS(Wartungsplan!$AB$6:$AB$323,Wartungsplan!$AC$6:$AC$323,"Schmierung allgemein (HSIM)")</f>
        <v/>
      </c>
      <c r="P76" s="55" t="inlineStr">
        <is>
          <t>19 Schmierung allgemein</t>
        </is>
      </c>
    </row>
    <row r="77" ht="16" customHeight="1">
      <c r="B77" s="54" t="inlineStr">
        <is>
          <t>20  Schutzeinrichtungen</t>
        </is>
      </c>
      <c r="C77" s="43">
        <f>COUNTIFS(Wartungsplan!$AC$6:$AC$323,"Schutzeinrichtungen",Wartungsplan!$AE$6:$AE$323,"Maßnahme")</f>
        <v/>
      </c>
      <c r="D77" s="50">
        <f>IFERROR(AVERAGEIFS(Wartungsplan!$R$6:$R$323,Wartungsplan!$AC$6:$AC$323,"Schutzeinrichtungen"),0)</f>
        <v/>
      </c>
      <c r="E77" s="48">
        <f>_xlfn.MAXIFS(Wartungsplan!$R$6:$R$323,Wartungsplan!$AC$6:$AC$323,"Schutzeinrichtungen")</f>
        <v/>
      </c>
      <c r="F77" s="43">
        <f>COUNTIFS(Wartungsplan!$AC$6:$AC$323,"Schutzeinrichtungen",Wartungsplan!$S$6:$S$323,"hoch")+COUNTIFS(Wartungsplan!$AC$6:$AC$323,"Schutzeinrichtungen",Wartungsplan!$S$6:$S$323,"kritisch")</f>
        <v/>
      </c>
      <c r="G77" s="48">
        <f>SUMIFS(Wartungsplan!$AB$6:$AB$323,Wartungsplan!$AC$6:$AC$323,"Schutzeinrichtungen")</f>
        <v/>
      </c>
      <c r="P77" s="55" t="inlineStr">
        <is>
          <t>20 Schutzeinrichtungen</t>
        </is>
      </c>
    </row>
    <row r="78" ht="16" customHeight="1">
      <c r="B78" s="54" t="inlineStr">
        <is>
          <t>21  Kühlaggregat für Öl und Wasser</t>
        </is>
      </c>
      <c r="C78" s="43">
        <f>COUNTIFS(Wartungsplan!$AC$6:$AC$323,"Kühlaggregat für Öl und Wasser",Wartungsplan!$AE$6:$AE$323,"Maßnahme")</f>
        <v/>
      </c>
      <c r="D78" s="50">
        <f>IFERROR(AVERAGEIFS(Wartungsplan!$R$6:$R$323,Wartungsplan!$AC$6:$AC$323,"Kühlaggregat für Öl und Wasser"),0)</f>
        <v/>
      </c>
      <c r="E78" s="48">
        <f>_xlfn.MAXIFS(Wartungsplan!$R$6:$R$323,Wartungsplan!$AC$6:$AC$323,"Kühlaggregat für Öl und Wasser")</f>
        <v/>
      </c>
      <c r="F78" s="43">
        <f>COUNTIFS(Wartungsplan!$AC$6:$AC$323,"Kühlaggregat für Öl und Wasser",Wartungsplan!$S$6:$S$323,"hoch")+COUNTIFS(Wartungsplan!$AC$6:$AC$323,"Kühlaggregat für Öl und Wasser",Wartungsplan!$S$6:$S$323,"kritisch")</f>
        <v/>
      </c>
      <c r="G78" s="48">
        <f>SUMIFS(Wartungsplan!$AB$6:$AB$323,Wartungsplan!$AC$6:$AC$323,"Kühlaggregat für Öl und Wasser")</f>
        <v/>
      </c>
      <c r="P78" s="55" t="inlineStr">
        <is>
          <t>21 Kühlaggregat für Öl und Wasser</t>
        </is>
      </c>
    </row>
  </sheetData>
  <mergeCells count="34">
    <mergeCell ref="D9:G9"/>
    <mergeCell ref="D12:G12"/>
    <mergeCell ref="D8:G8"/>
    <mergeCell ref="J14:K14"/>
    <mergeCell ref="J10:K10"/>
    <mergeCell ref="M9:N9"/>
    <mergeCell ref="D15:G15"/>
    <mergeCell ref="J13:K13"/>
    <mergeCell ref="D14:G14"/>
    <mergeCell ref="J9:K9"/>
    <mergeCell ref="M11:N11"/>
    <mergeCell ref="J6:K6"/>
    <mergeCell ref="M10:N10"/>
    <mergeCell ref="J15:K15"/>
    <mergeCell ref="D10:G10"/>
    <mergeCell ref="M13:N13"/>
    <mergeCell ref="M16:N16"/>
    <mergeCell ref="B46:G47"/>
    <mergeCell ref="M7:N7"/>
    <mergeCell ref="J11:K11"/>
    <mergeCell ref="M15:N15"/>
    <mergeCell ref="M6:N6"/>
    <mergeCell ref="M12:N12"/>
    <mergeCell ref="J16:K16"/>
    <mergeCell ref="D6:G6"/>
    <mergeCell ref="J7:K7"/>
    <mergeCell ref="D11:G11"/>
    <mergeCell ref="D13:G13"/>
    <mergeCell ref="M8:N8"/>
    <mergeCell ref="J12:K12"/>
    <mergeCell ref="D16:G16"/>
    <mergeCell ref="M14:N14"/>
    <mergeCell ref="D7:G7"/>
    <mergeCell ref="J8:K8"/>
  </mergeCells>
  <conditionalFormatting sqref="L34:L41">
    <cfRule type="colorScale" priority="1">
      <colorScale>
        <cfvo type="num" val="1"/>
        <cfvo type="num" val="3"/>
        <cfvo type="num" val="5"/>
        <color rgb="00C6EFCE"/>
        <color rgb="00FFEB9C"/>
        <color rgb="00F8696B"/>
      </colorScale>
    </cfRule>
  </conditionalFormatting>
  <conditionalFormatting sqref="C41:G45">
    <cfRule type="colorScale" priority="2">
      <colorScale>
        <cfvo type="num" val="0"/>
        <cfvo type="max"/>
        <color rgb="00FFFFFF"/>
        <color rgb="00F8696B"/>
      </colorScale>
    </cfRule>
  </conditionalFormatting>
  <conditionalFormatting sqref="M45:M54">
    <cfRule type="cellIs" priority="3" operator="equal" dxfId="0">
      <formula>"gering"</formula>
    </cfRule>
    <cfRule type="cellIs" priority="4" operator="equal" dxfId="1">
      <formula>"mittel"</formula>
    </cfRule>
    <cfRule type="cellIs" priority="5" operator="equal" dxfId="2">
      <formula>"hoch"</formula>
    </cfRule>
    <cfRule type="cellIs" priority="6" operator="equal" dxfId="3">
      <formula>"kritisch"</formula>
    </cfRule>
    <cfRule type="cellIs" priority="7" operator="equal" dxfId="4">
      <formula>"unvollständig"</formula>
    </cfRule>
  </conditionalFormatting>
  <conditionalFormatting sqref="D58:D78">
    <cfRule type="dataBar" priority="8">
      <dataBar showValue="1">
        <cfvo type="num" val="0"/>
        <cfvo type="num" val="125"/>
        <color rgb="00F4B183"/>
      </dataBar>
    </cfRule>
  </conditionalFormatting>
  <printOptions horizontalCentered="1"/>
  <pageMargins left="0.4" right="0.4" top="0.6" bottom="0.6" header="0.5" footer="0.5"/>
  <pageSetup orientation="landscape" paperSize="8"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F5597"/>
    <outlinePr summaryBelow="1" summaryRight="1"/>
    <pageSetUpPr fitToPage="1"/>
  </sheetPr>
  <dimension ref="A1:AJ123"/>
  <sheetViews>
    <sheetView showGridLines="0" tabSelected="0" zoomScale="90"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3" customWidth="1" min="3" max="3"/>
    <col width="12" customWidth="1" min="4" max="4"/>
    <col width="22" customWidth="1" min="5" max="5"/>
    <col width="19" customWidth="1" min="6" max="6"/>
    <col width="30" customWidth="1" min="7" max="7"/>
    <col width="4.6" customWidth="1" min="8" max="8"/>
    <col width="4.6" customWidth="1" min="9" max="9"/>
    <col width="4.6" customWidth="1" min="10" max="10"/>
    <col width="4.6" customWidth="1" min="11" max="11"/>
    <col width="4.6" customWidth="1" min="12" max="12"/>
    <col width="4.6" customWidth="1" min="13" max="13"/>
    <col width="6" customWidth="1" min="14" max="14"/>
    <col width="4.6" customWidth="1" min="15" max="15"/>
    <col width="4.6" customWidth="1" min="16" max="16"/>
    <col width="5.2" customWidth="1" min="17" max="17"/>
    <col width="7" customWidth="1" min="18" max="18"/>
    <col width="12" customWidth="1" min="19" max="19"/>
    <col width="12" customWidth="1" min="20" max="20"/>
    <col width="13" customWidth="1" min="21" max="21"/>
    <col width="9" customWidth="1" min="22" max="22"/>
    <col width="26" customWidth="1" min="23" max="23"/>
    <col width="10" customWidth="1" min="24" max="24"/>
    <col width="20" customWidth="1" min="25" max="25"/>
    <col width="16" customWidth="1" min="26" max="26"/>
    <col width="8" customWidth="1" min="27" max="27"/>
    <col width="8" customWidth="1" min="28" max="28"/>
    <col width="30" customWidth="1" min="29" max="29"/>
    <col width="8" customWidth="1" min="30" max="30"/>
    <col width="11" customWidth="1" min="31" max="31"/>
    <col width="11" customWidth="1" min="32" max="32"/>
    <col hidden="1" outlineLevel="1" width="9" customWidth="1" min="33" max="36"/>
    <col hidden="1" width="13" customWidth="1" min="36" max="36"/>
  </cols>
  <sheetData>
    <row r="1">
      <c r="A1" s="56" t="inlineStr">
        <is>
          <t>Wartungsplan – risikobasierte Wartungsintervallberechnung (große Wartung)</t>
        </is>
      </c>
    </row>
    <row r="2">
      <c r="A2" s="34">
        <f>"Maschine: "&amp;M_Name&amp;"   ·   Equipment-Nr.: "&amp;IF(M_Equipment="","(bitte auf Deckblatt eintragen)",M_Equipment)&amp;"   ·   Schichtfaktor SF: "&amp;TEXT(P_SF,"0.00")</f>
        <v/>
      </c>
    </row>
    <row r="3">
      <c r="A3" s="55" t="inlineStr">
        <is>
          <t>Legende: gelb = Eingabe · weiß = Formel · grau kursiv = Vorschlag (freizugeben) · Bewertung 1 = gering … 5 = sehr hoch · B = √(F²+IH²+Q²+AS²+US²+S²)/2 · RPZ = B × A × E × SF</t>
        </is>
      </c>
    </row>
    <row r="4" ht="18" customHeight="1">
      <c r="A4" s="12" t="inlineStr">
        <is>
          <t>Maßnahme</t>
        </is>
      </c>
      <c r="B4" s="57" t="n"/>
      <c r="C4" s="57" t="n"/>
      <c r="D4" s="57" t="n"/>
      <c r="E4" s="57" t="n"/>
      <c r="F4" s="57" t="n"/>
      <c r="G4" s="57" t="n"/>
      <c r="H4" s="58" t="inlineStr">
        <is>
          <t>Bedeutung B – Folgen bei Ausfall (1–5)</t>
        </is>
      </c>
      <c r="I4" s="59" t="n"/>
      <c r="J4" s="59" t="n"/>
      <c r="K4" s="59" t="n"/>
      <c r="L4" s="59" t="n"/>
      <c r="M4" s="59" t="n"/>
      <c r="N4" s="60" t="inlineStr">
        <is>
          <t>Risikobewertung</t>
        </is>
      </c>
      <c r="O4" s="61" t="n"/>
      <c r="P4" s="61" t="n"/>
      <c r="Q4" s="61" t="n"/>
      <c r="R4" s="61" t="n"/>
      <c r="S4" s="62" t="inlineStr">
        <is>
          <t>Ergebnis &amp; Festlegung</t>
        </is>
      </c>
      <c r="T4" s="63" t="n"/>
      <c r="U4" s="63" t="n"/>
      <c r="V4" s="63" t="n"/>
      <c r="W4" s="63" t="n"/>
      <c r="X4" s="64" t="inlineStr">
        <is>
          <t>Planungsdaten</t>
        </is>
      </c>
      <c r="Y4" s="65" t="n"/>
      <c r="Z4" s="65" t="n"/>
      <c r="AA4" s="65" t="n"/>
      <c r="AB4" s="65" t="n"/>
      <c r="AC4" s="66" t="inlineStr">
        <is>
          <t>Gliederung &amp; Rückverfolgbarkeit</t>
        </is>
      </c>
      <c r="AD4" s="67" t="n"/>
      <c r="AE4" s="67" t="n"/>
      <c r="AF4" s="67" t="n"/>
      <c r="AG4" s="67" t="n"/>
      <c r="AH4" s="67" t="n"/>
      <c r="AI4" s="67" t="n"/>
      <c r="AJ4" s="67" t="n"/>
    </row>
    <row r="5" ht="42" customHeight="1">
      <c r="A5" s="68" t="inlineStr">
        <is>
          <t>Nr.</t>
        </is>
      </c>
      <c r="B5" s="68" t="inlineStr">
        <is>
          <t>Auszuführende Maßnahme</t>
        </is>
      </c>
      <c r="C5" s="68" t="inlineStr">
        <is>
          <t>Art der Maßnahme</t>
        </is>
      </c>
      <c r="D5" s="68" t="inlineStr">
        <is>
          <t>Hinweis</t>
        </is>
      </c>
      <c r="E5" s="68" t="inlineStr">
        <is>
          <t>Objekt / Bild</t>
        </is>
      </c>
      <c r="F5" s="68" t="inlineStr">
        <is>
          <t>Hilfs-/Betriebsmittel, Einstellwerte</t>
        </is>
      </c>
      <c r="G5" s="68" t="inlineStr">
        <is>
          <t>Sollzustand / Prüfkriterium</t>
        </is>
      </c>
      <c r="H5" s="69" t="inlineStr">
        <is>
          <t>F</t>
        </is>
      </c>
      <c r="I5" s="69" t="inlineStr">
        <is>
          <t>IH</t>
        </is>
      </c>
      <c r="J5" s="69" t="inlineStr">
        <is>
          <t>Q</t>
        </is>
      </c>
      <c r="K5" s="69" t="inlineStr">
        <is>
          <t>AS</t>
        </is>
      </c>
      <c r="L5" s="69" t="inlineStr">
        <is>
          <t>US</t>
        </is>
      </c>
      <c r="M5" s="69" t="inlineStr">
        <is>
          <t>S</t>
        </is>
      </c>
      <c r="N5" s="70" t="inlineStr">
        <is>
          <t>B</t>
        </is>
      </c>
      <c r="O5" s="70" t="inlineStr">
        <is>
          <t>A</t>
        </is>
      </c>
      <c r="P5" s="70" t="inlineStr">
        <is>
          <t>E</t>
        </is>
      </c>
      <c r="Q5" s="70" t="inlineStr">
        <is>
          <t>SF</t>
        </is>
      </c>
      <c r="R5" s="70" t="inlineStr">
        <is>
          <t>RPZ</t>
        </is>
      </c>
      <c r="S5" s="71" t="inlineStr">
        <is>
          <t>Risikoklasse</t>
        </is>
      </c>
      <c r="T5" s="71" t="inlineStr">
        <is>
          <t>Intervall berechnet</t>
        </is>
      </c>
      <c r="U5" s="71" t="inlineStr">
        <is>
          <t>Intervall festgelegt</t>
        </is>
      </c>
      <c r="V5" s="71" t="inlineStr">
        <is>
          <t>Intervall [Wochen]</t>
        </is>
      </c>
      <c r="W5" s="71" t="inlineStr">
        <is>
          <t>Begründung Abweichung / Bemerkung</t>
        </is>
      </c>
      <c r="X5" s="72" t="inlineStr">
        <is>
          <t>Relevanz AS/Q/US</t>
        </is>
      </c>
      <c r="Y5" s="72" t="inlineStr">
        <is>
          <t>Instandsetzung bei Ausfall (lt. IH)</t>
        </is>
      </c>
      <c r="Z5" s="72" t="inlineStr">
        <is>
          <t>Ausführung durch</t>
        </is>
      </c>
      <c r="AA5" s="72" t="inlineStr">
        <is>
          <t>Plan-Zeit [min]</t>
        </is>
      </c>
      <c r="AB5" s="72" t="inlineStr">
        <is>
          <t>Aufwand [h/Jahr]</t>
        </is>
      </c>
      <c r="AC5" s="73" t="inlineStr">
        <is>
          <t>Baugruppe</t>
        </is>
      </c>
      <c r="AD5" s="73" t="inlineStr">
        <is>
          <t>Pos. Übersicht</t>
        </is>
      </c>
      <c r="AE5" s="73" t="inlineStr">
        <is>
          <t>Zeilentyp</t>
        </is>
      </c>
      <c r="AF5" s="73" t="inlineStr">
        <is>
          <t>Bewertung übernommen von</t>
        </is>
      </c>
      <c r="AG5" s="73" t="inlineStr">
        <is>
          <t>Nr. Vorversion</t>
        </is>
      </c>
      <c r="AH5" s="73" t="inlineStr">
        <is>
          <t>Originaltext Vorversion</t>
        </is>
      </c>
      <c r="AI5" s="73" t="inlineStr">
        <is>
          <t>Reihenfolge</t>
        </is>
      </c>
      <c r="AJ5" s="73" t="inlineStr">
        <is>
          <t>Rangschlüssel</t>
        </is>
      </c>
    </row>
    <row r="6" ht="20" customHeight="1">
      <c r="A6" s="74" t="inlineStr">
        <is>
          <t>1</t>
        </is>
      </c>
      <c r="B6" s="75" t="inlineStr">
        <is>
          <t>Not-Aus</t>
        </is>
      </c>
      <c r="C6" s="75" t="n"/>
      <c r="D6" s="76" t="n"/>
      <c r="E6" s="75" t="n"/>
      <c r="F6" s="75" t="n"/>
      <c r="G6" s="75" t="n"/>
      <c r="H6" s="75" t="n"/>
      <c r="I6" s="75" t="n"/>
      <c r="J6" s="75" t="n"/>
      <c r="K6" s="75" t="n"/>
      <c r="L6" s="75" t="n"/>
      <c r="M6" s="75" t="n"/>
      <c r="N6" s="75" t="n"/>
      <c r="O6" s="75" t="n"/>
      <c r="P6" s="75" t="n"/>
      <c r="Q6" s="75" t="n"/>
      <c r="R6" s="75" t="n"/>
      <c r="S6" s="75" t="n"/>
      <c r="T6" s="75" t="n"/>
      <c r="U6" s="75" t="n"/>
      <c r="V6" s="75" t="n"/>
      <c r="W6" s="75" t="n"/>
      <c r="X6" s="75" t="n"/>
      <c r="Y6" s="75" t="n"/>
      <c r="Z6" s="75" t="n"/>
      <c r="AA6" s="75" t="n"/>
      <c r="AB6" s="75" t="n"/>
      <c r="AC6" s="77" t="inlineStr">
        <is>
          <t>Not-Aus</t>
        </is>
      </c>
      <c r="AD6" s="77" t="inlineStr">
        <is>
          <t>–</t>
        </is>
      </c>
      <c r="AE6" s="77" t="inlineStr">
        <is>
          <t>Baugruppe</t>
        </is>
      </c>
      <c r="AF6" s="75" t="n"/>
      <c r="AG6" s="78" t="inlineStr">
        <is>
          <t>1</t>
        </is>
      </c>
      <c r="AH6" s="79" t="inlineStr">
        <is>
          <t>Not-Aus</t>
        </is>
      </c>
      <c r="AI6" s="77" t="n">
        <v>1</v>
      </c>
      <c r="AJ6" s="75" t="n"/>
    </row>
    <row r="7" ht="58" customHeight="1">
      <c r="A7" s="80" t="inlineStr">
        <is>
          <t>1.1</t>
        </is>
      </c>
      <c r="B7" s="19" t="inlineStr">
        <is>
          <t>Funktion prüfen (Rasterung, Schaltwirkung)</t>
        </is>
      </c>
      <c r="C7" s="81" t="inlineStr">
        <is>
          <t>Funktionsprüfung</t>
        </is>
      </c>
      <c r="D7" s="82" t="inlineStr">
        <is>
          <t>⚠ Gefahrenstelle</t>
        </is>
      </c>
      <c r="E7" s="19" t="n"/>
      <c r="F7" s="19" t="n"/>
      <c r="G7" s="19" t="inlineStr">
        <is>
          <t>Not-Aus sowie sicherheitsrelevante Einrichtungen werden täglich vor Arbeitsbeginn geprüft (Sichtkontrolle).</t>
        </is>
      </c>
      <c r="H7" s="83" t="n">
        <v>3</v>
      </c>
      <c r="I7" s="83" t="n">
        <v>3</v>
      </c>
      <c r="J7" s="83" t="n">
        <v>1</v>
      </c>
      <c r="K7" s="83" t="n">
        <v>5</v>
      </c>
      <c r="L7" s="83" t="n">
        <v>1</v>
      </c>
      <c r="M7" s="83" t="n">
        <v>2</v>
      </c>
      <c r="N7" s="84">
        <f>IF(COUNT(H7:M7)=6,SQRT(SUMSQ(H7:M7))/2,"")</f>
        <v/>
      </c>
      <c r="O7" s="83" t="n">
        <v>2</v>
      </c>
      <c r="P7" s="83" t="n">
        <v>1</v>
      </c>
      <c r="Q7" s="84">
        <f>P_SF</f>
        <v/>
      </c>
      <c r="R7" s="50">
        <f>IF(COUNT(N7:Q7)=4,N7*O7*P7*Q7,"")</f>
        <v/>
      </c>
      <c r="S7" s="41">
        <f>IF(R7="","unvollständig",IF(R7&gt;P_Grenze_kritisch,"kritisch",IF(R7&gt;=P_Grenze_hoch,"hoch",IF(R7&gt;=P_Grenze_mittel,"mittel","gering"))))</f>
        <v/>
      </c>
      <c r="T7" s="43">
        <f>IF(S7="unvollständig","Bewertung fehlt",INDEX(Kl_Intervall,MATCH(S7,Kl_Name,0)))</f>
        <v/>
      </c>
      <c r="U7" s="23">
        <f>T7</f>
        <v/>
      </c>
      <c r="V7" s="85">
        <f>IFERROR(INDEX(Iv_Wochen,MATCH(U7,Iv_Name,0)),"")</f>
        <v/>
      </c>
      <c r="W7" s="81" t="n"/>
      <c r="X7" s="43">
        <f>TRIM(IF(N(K7)&gt;=P_Krit,"AS ","")&amp;IF(N(J7)&gt;=P_Krit,"Q ","")&amp;IF(N(L7)&gt;=P_Krit,"US",""))</f>
        <v/>
      </c>
      <c r="Y7" s="19">
        <f>IF(ISNUMBER(I7),INDEX(IH_Text,I7),"")</f>
        <v/>
      </c>
      <c r="Z7" s="81" t="n"/>
      <c r="AA7" s="83" t="n"/>
      <c r="AB7" s="48">
        <f>IF(AND(ISNUMBER(V7),ISNUMBER(AA7)),52/V7*AA7/60,"")</f>
        <v/>
      </c>
      <c r="AC7" s="86" t="inlineStr">
        <is>
          <t>Not-Aus</t>
        </is>
      </c>
      <c r="AD7" s="86" t="inlineStr">
        <is>
          <t>–</t>
        </is>
      </c>
      <c r="AE7" s="86" t="inlineStr">
        <is>
          <t>Maßnahme</t>
        </is>
      </c>
      <c r="AF7" s="43" t="n"/>
      <c r="AG7" s="87" t="inlineStr">
        <is>
          <t>1.1</t>
        </is>
      </c>
      <c r="AH7" s="88" t="inlineStr">
        <is>
          <t>Prüfe die Funktion (Rasterung, Schaltwirkung)</t>
        </is>
      </c>
      <c r="AI7" s="86" t="n">
        <v>2</v>
      </c>
      <c r="AJ7" s="19">
        <f>IF(ISNUMBER(R7),R7-AI7/100000,"")</f>
        <v/>
      </c>
    </row>
    <row r="8" ht="20" customHeight="1">
      <c r="A8" s="74" t="inlineStr">
        <is>
          <t>2</t>
        </is>
      </c>
      <c r="B8" s="75" t="inlineStr">
        <is>
          <t>Bedienpult</t>
        </is>
      </c>
      <c r="C8" s="75" t="n"/>
      <c r="D8" s="76" t="n"/>
      <c r="E8" s="75" t="n"/>
      <c r="F8" s="75" t="n"/>
      <c r="G8" s="75" t="n"/>
      <c r="H8" s="75" t="n"/>
      <c r="I8" s="75" t="n"/>
      <c r="J8" s="75" t="n"/>
      <c r="K8" s="75" t="n"/>
      <c r="L8" s="75" t="n"/>
      <c r="M8" s="75" t="n"/>
      <c r="N8" s="75" t="n"/>
      <c r="O8" s="75" t="n"/>
      <c r="P8" s="75" t="n"/>
      <c r="Q8" s="75" t="n"/>
      <c r="R8" s="75" t="n"/>
      <c r="S8" s="75" t="n"/>
      <c r="T8" s="75" t="n"/>
      <c r="U8" s="75" t="n"/>
      <c r="V8" s="75" t="n"/>
      <c r="W8" s="75" t="n"/>
      <c r="X8" s="75" t="n"/>
      <c r="Y8" s="75" t="n"/>
      <c r="Z8" s="75" t="n"/>
      <c r="AA8" s="75" t="n"/>
      <c r="AB8" s="75" t="n"/>
      <c r="AC8" s="77" t="inlineStr">
        <is>
          <t>Bedienpult</t>
        </is>
      </c>
      <c r="AD8" s="77" t="inlineStr">
        <is>
          <t>1</t>
        </is>
      </c>
      <c r="AE8" s="77" t="inlineStr">
        <is>
          <t>Baugruppe</t>
        </is>
      </c>
      <c r="AF8" s="75" t="n"/>
      <c r="AG8" s="78" t="inlineStr">
        <is>
          <t>2</t>
        </is>
      </c>
      <c r="AH8" s="79" t="inlineStr">
        <is>
          <t>1.) Bedienpult</t>
        </is>
      </c>
      <c r="AI8" s="77" t="n">
        <v>3</v>
      </c>
      <c r="AJ8" s="75" t="n"/>
    </row>
    <row r="9" ht="45" customHeight="1">
      <c r="A9" s="80" t="inlineStr">
        <is>
          <t>2.1</t>
        </is>
      </c>
      <c r="B9" s="19" t="inlineStr">
        <is>
          <t>Funktion aller Bedienelemente prüfen</t>
        </is>
      </c>
      <c r="C9" s="81" t="inlineStr">
        <is>
          <t>Funktionsprüfung</t>
        </is>
      </c>
      <c r="D9" s="82" t="n"/>
      <c r="E9" s="19" t="n"/>
      <c r="F9" s="19" t="n"/>
      <c r="G9" s="89" t="inlineStr">
        <is>
          <t>Alle Bedienelemente schalten einwandfrei; keine Beschädigung</t>
        </is>
      </c>
      <c r="H9" s="83" t="n">
        <v>3</v>
      </c>
      <c r="I9" s="83" t="n">
        <v>2</v>
      </c>
      <c r="J9" s="83" t="n">
        <v>1</v>
      </c>
      <c r="K9" s="83" t="n">
        <v>3</v>
      </c>
      <c r="L9" s="83" t="n">
        <v>1</v>
      </c>
      <c r="M9" s="83" t="n">
        <v>3</v>
      </c>
      <c r="N9" s="84">
        <f>IF(COUNT(H9:M9)=6,SQRT(SUMSQ(H9:M9))/2,"")</f>
        <v/>
      </c>
      <c r="O9" s="83" t="n">
        <v>2</v>
      </c>
      <c r="P9" s="83" t="n">
        <v>1</v>
      </c>
      <c r="Q9" s="84">
        <f>P_SF</f>
        <v/>
      </c>
      <c r="R9" s="50">
        <f>IF(COUNT(N9:Q9)=4,N9*O9*P9*Q9,"")</f>
        <v/>
      </c>
      <c r="S9" s="41">
        <f>IF(R9="","unvollständig",IF(R9&gt;P_Grenze_kritisch,"kritisch",IF(R9&gt;=P_Grenze_hoch,"hoch",IF(R9&gt;=P_Grenze_mittel,"mittel","gering"))))</f>
        <v/>
      </c>
      <c r="T9" s="43">
        <f>IF(S9="unvollständig","Bewertung fehlt",INDEX(Kl_Intervall,MATCH(S9,Kl_Name,0)))</f>
        <v/>
      </c>
      <c r="U9" s="23">
        <f>T9</f>
        <v/>
      </c>
      <c r="V9" s="85">
        <f>IFERROR(INDEX(Iv_Wochen,MATCH(U9,Iv_Name,0)),"")</f>
        <v/>
      </c>
      <c r="W9" s="81" t="n"/>
      <c r="X9" s="43">
        <f>TRIM(IF(N(K9)&gt;=P_Krit,"AS ","")&amp;IF(N(J9)&gt;=P_Krit,"Q ","")&amp;IF(N(L9)&gt;=P_Krit,"US",""))</f>
        <v/>
      </c>
      <c r="Y9" s="19">
        <f>IF(ISNUMBER(I9),INDEX(IH_Text,I9),"")</f>
        <v/>
      </c>
      <c r="Z9" s="81" t="n"/>
      <c r="AA9" s="83" t="n"/>
      <c r="AB9" s="48">
        <f>IF(AND(ISNUMBER(V9),ISNUMBER(AA9)),52/V9*AA9/60,"")</f>
        <v/>
      </c>
      <c r="AC9" s="86" t="inlineStr">
        <is>
          <t>Bedienpult</t>
        </is>
      </c>
      <c r="AD9" s="86" t="inlineStr">
        <is>
          <t>1</t>
        </is>
      </c>
      <c r="AE9" s="86" t="inlineStr">
        <is>
          <t>Maßnahme</t>
        </is>
      </c>
      <c r="AF9" s="43" t="n"/>
      <c r="AG9" s="87" t="inlineStr">
        <is>
          <t>2.1</t>
        </is>
      </c>
      <c r="AH9" s="88" t="inlineStr">
        <is>
          <t>Prüfe die Funktion aller Bedienelemente</t>
        </is>
      </c>
      <c r="AI9" s="86" t="n">
        <v>4</v>
      </c>
      <c r="AJ9" s="19">
        <f>IF(ISNUMBER(R9),R9-AI9/100000,"")</f>
        <v/>
      </c>
    </row>
    <row r="10" ht="32" customHeight="1">
      <c r="A10" s="80" t="inlineStr">
        <is>
          <t>2.2</t>
        </is>
      </c>
      <c r="B10" s="19" t="inlineStr">
        <is>
          <t>Bedienpult reinigen</t>
        </is>
      </c>
      <c r="C10" s="81" t="inlineStr">
        <is>
          <t>Reinigung</t>
        </is>
      </c>
      <c r="D10" s="82" t="n"/>
      <c r="E10" s="19" t="n"/>
      <c r="F10" s="19" t="n"/>
      <c r="G10" s="89" t="inlineStr">
        <is>
          <t>Bedienpult sauber; Anzeigen und Beschriftungen lesbar</t>
        </is>
      </c>
      <c r="H10" s="83" t="n">
        <v>1</v>
      </c>
      <c r="I10" s="83" t="n">
        <v>2</v>
      </c>
      <c r="J10" s="83" t="n">
        <v>1</v>
      </c>
      <c r="K10" s="83" t="n">
        <v>2</v>
      </c>
      <c r="L10" s="83" t="n">
        <v>1</v>
      </c>
      <c r="M10" s="83" t="n">
        <v>2</v>
      </c>
      <c r="N10" s="84">
        <f>IF(COUNT(H10:M10)=6,SQRT(SUMSQ(H10:M10))/2,"")</f>
        <v/>
      </c>
      <c r="O10" s="83" t="n">
        <v>2</v>
      </c>
      <c r="P10" s="83" t="n">
        <v>1</v>
      </c>
      <c r="Q10" s="84">
        <f>P_SF</f>
        <v/>
      </c>
      <c r="R10" s="50">
        <f>IF(COUNT(N10:Q10)=4,N10*O10*P10*Q10,"")</f>
        <v/>
      </c>
      <c r="S10" s="41">
        <f>IF(R10="","unvollständig",IF(R10&gt;P_Grenze_kritisch,"kritisch",IF(R10&gt;=P_Grenze_hoch,"hoch",IF(R10&gt;=P_Grenze_mittel,"mittel","gering"))))</f>
        <v/>
      </c>
      <c r="T10" s="43">
        <f>IF(S10="unvollständig","Bewertung fehlt",INDEX(Kl_Intervall,MATCH(S10,Kl_Name,0)))</f>
        <v/>
      </c>
      <c r="U10" s="23">
        <f>T10</f>
        <v/>
      </c>
      <c r="V10" s="85">
        <f>IFERROR(INDEX(Iv_Wochen,MATCH(U10,Iv_Name,0)),"")</f>
        <v/>
      </c>
      <c r="W10" s="81" t="n"/>
      <c r="X10" s="43">
        <f>TRIM(IF(N(K10)&gt;=P_Krit,"AS ","")&amp;IF(N(J10)&gt;=P_Krit,"Q ","")&amp;IF(N(L10)&gt;=P_Krit,"US",""))</f>
        <v/>
      </c>
      <c r="Y10" s="19">
        <f>IF(ISNUMBER(I10),INDEX(IH_Text,I10),"")</f>
        <v/>
      </c>
      <c r="Z10" s="81" t="n"/>
      <c r="AA10" s="83" t="n"/>
      <c r="AB10" s="48">
        <f>IF(AND(ISNUMBER(V10),ISNUMBER(AA10)),52/V10*AA10/60,"")</f>
        <v/>
      </c>
      <c r="AC10" s="86" t="inlineStr">
        <is>
          <t>Bedienpult</t>
        </is>
      </c>
      <c r="AD10" s="86" t="inlineStr">
        <is>
          <t>1</t>
        </is>
      </c>
      <c r="AE10" s="86" t="inlineStr">
        <is>
          <t>Maßnahme</t>
        </is>
      </c>
      <c r="AF10" s="43" t="n"/>
      <c r="AG10" s="87" t="inlineStr">
        <is>
          <t>2.2</t>
        </is>
      </c>
      <c r="AH10" s="88" t="inlineStr">
        <is>
          <t>Bedienpult reinigen</t>
        </is>
      </c>
      <c r="AI10" s="86" t="n">
        <v>5</v>
      </c>
      <c r="AJ10" s="19">
        <f>IF(ISNUMBER(R10),R10-AI10/100000,"")</f>
        <v/>
      </c>
    </row>
    <row r="11" ht="32" customHeight="1">
      <c r="A11" s="80" t="inlineStr">
        <is>
          <t>2.3</t>
        </is>
      </c>
      <c r="B11" s="19" t="inlineStr">
        <is>
          <t>24-V-Glühbirnen (Meldeleuchten) prüfen, ggf. austauschen</t>
        </is>
      </c>
      <c r="C11" s="81" t="inlineStr">
        <is>
          <t>Inspektion</t>
        </is>
      </c>
      <c r="D11" s="82" t="n"/>
      <c r="E11" s="19" t="n"/>
      <c r="F11" s="19" t="n"/>
      <c r="G11" s="89" t="inlineStr">
        <is>
          <t>Alle Meldeleuchten funktionsfähig</t>
        </is>
      </c>
      <c r="H11" s="83" t="n">
        <v>3</v>
      </c>
      <c r="I11" s="83" t="n">
        <v>2</v>
      </c>
      <c r="J11" s="83" t="n">
        <v>1</v>
      </c>
      <c r="K11" s="83" t="n">
        <v>3</v>
      </c>
      <c r="L11" s="83" t="n">
        <v>1</v>
      </c>
      <c r="M11" s="83" t="n">
        <v>3</v>
      </c>
      <c r="N11" s="84">
        <f>IF(COUNT(H11:M11)=6,SQRT(SUMSQ(H11:M11))/2,"")</f>
        <v/>
      </c>
      <c r="O11" s="83" t="n">
        <v>2</v>
      </c>
      <c r="P11" s="83" t="n">
        <v>1</v>
      </c>
      <c r="Q11" s="84">
        <f>P_SF</f>
        <v/>
      </c>
      <c r="R11" s="50">
        <f>IF(COUNT(N11:Q11)=4,N11*O11*P11*Q11,"")</f>
        <v/>
      </c>
      <c r="S11" s="41">
        <f>IF(R11="","unvollständig",IF(R11&gt;P_Grenze_kritisch,"kritisch",IF(R11&gt;=P_Grenze_hoch,"hoch",IF(R11&gt;=P_Grenze_mittel,"mittel","gering"))))</f>
        <v/>
      </c>
      <c r="T11" s="43">
        <f>IF(S11="unvollständig","Bewertung fehlt",INDEX(Kl_Intervall,MATCH(S11,Kl_Name,0)))</f>
        <v/>
      </c>
      <c r="U11" s="23">
        <f>T11</f>
        <v/>
      </c>
      <c r="V11" s="85">
        <f>IFERROR(INDEX(Iv_Wochen,MATCH(U11,Iv_Name,0)),"")</f>
        <v/>
      </c>
      <c r="W11" s="81" t="n"/>
      <c r="X11" s="43">
        <f>TRIM(IF(N(K11)&gt;=P_Krit,"AS ","")&amp;IF(N(J11)&gt;=P_Krit,"Q ","")&amp;IF(N(L11)&gt;=P_Krit,"US",""))</f>
        <v/>
      </c>
      <c r="Y11" s="19">
        <f>IF(ISNUMBER(I11),INDEX(IH_Text,I11),"")</f>
        <v/>
      </c>
      <c r="Z11" s="81" t="n"/>
      <c r="AA11" s="83" t="n"/>
      <c r="AB11" s="48">
        <f>IF(AND(ISNUMBER(V11),ISNUMBER(AA11)),52/V11*AA11/60,"")</f>
        <v/>
      </c>
      <c r="AC11" s="86" t="inlineStr">
        <is>
          <t>Bedienpult</t>
        </is>
      </c>
      <c r="AD11" s="86" t="inlineStr">
        <is>
          <t>1</t>
        </is>
      </c>
      <c r="AE11" s="86" t="inlineStr">
        <is>
          <t>Maßnahme</t>
        </is>
      </c>
      <c r="AF11" s="43" t="n"/>
      <c r="AG11" s="87" t="inlineStr">
        <is>
          <t>2.3</t>
        </is>
      </c>
      <c r="AH11" s="88" t="inlineStr">
        <is>
          <t>Prüfe 24V Glühbirnen; ggf. austauschen</t>
        </is>
      </c>
      <c r="AI11" s="86" t="n">
        <v>6</v>
      </c>
      <c r="AJ11" s="19">
        <f>IF(ISNUMBER(R11),R11-AI11/100000,"")</f>
        <v/>
      </c>
    </row>
    <row r="12" ht="45" customHeight="1">
      <c r="A12" s="74" t="inlineStr">
        <is>
          <t>3</t>
        </is>
      </c>
      <c r="B12" s="75" t="inlineStr">
        <is>
          <t>Staucheinheit (Stauchdorn, Stauchspindel, Elemente für Abdichthub von rechts); Pos. 29 Stauchspindel (Kugelgewindespindel)</t>
        </is>
      </c>
      <c r="C12" s="75" t="n"/>
      <c r="D12" s="76" t="n"/>
      <c r="E12" s="75" t="n"/>
      <c r="F12" s="75" t="n"/>
      <c r="G12" s="75" t="n"/>
      <c r="H12" s="75" t="n"/>
      <c r="I12" s="75" t="n"/>
      <c r="J12" s="75" t="n"/>
      <c r="K12" s="75" t="n"/>
      <c r="L12" s="75" t="n"/>
      <c r="M12" s="75" t="n"/>
      <c r="N12" s="75" t="n"/>
      <c r="O12" s="75" t="n"/>
      <c r="P12" s="75" t="n"/>
      <c r="Q12" s="75" t="n"/>
      <c r="R12" s="75" t="n"/>
      <c r="S12" s="75" t="n"/>
      <c r="T12" s="75" t="n"/>
      <c r="U12" s="75" t="n"/>
      <c r="V12" s="75" t="n"/>
      <c r="W12" s="75" t="n"/>
      <c r="X12" s="75" t="n"/>
      <c r="Y12" s="75" t="n"/>
      <c r="Z12" s="75" t="n"/>
      <c r="AA12" s="75" t="n"/>
      <c r="AB12" s="75" t="n"/>
      <c r="AC12" s="77" t="inlineStr">
        <is>
          <t>Staucheinheit (Stauchdorn, Stauchspindel, Elemente für Abdichthub von rechts); Pos. 29 Stauchspindel (Kugelgewindespindel)</t>
        </is>
      </c>
      <c r="AD12" s="77" t="inlineStr">
        <is>
          <t>2 / 29</t>
        </is>
      </c>
      <c r="AE12" s="77" t="inlineStr">
        <is>
          <t>Baugruppe</t>
        </is>
      </c>
      <c r="AF12" s="75" t="n"/>
      <c r="AG12" s="78" t="inlineStr">
        <is>
          <t>3</t>
        </is>
      </c>
      <c r="AH12" s="79" t="inlineStr">
        <is>
          <t>2.) Staucheinheit (bestehend aus Stauchdorn, Stauchspindel und Elementen für Abdichthub von rechts)  Pos. 29 Stauchspindel (Kugelgewindespindel)</t>
        </is>
      </c>
      <c r="AI12" s="77" t="n">
        <v>7</v>
      </c>
      <c r="AJ12" s="75" t="n"/>
    </row>
    <row r="13" ht="18" customHeight="1">
      <c r="A13" s="90" t="inlineStr">
        <is>
          <t>3.1</t>
        </is>
      </c>
      <c r="B13" s="91" t="inlineStr">
        <is>
          <t>Stauchspindel nach folgenden Kriterien inspizieren:</t>
        </is>
      </c>
      <c r="C13" s="91" t="n"/>
      <c r="D13" s="91" t="n"/>
      <c r="E13" s="91" t="n"/>
      <c r="F13" s="91" t="n"/>
      <c r="G13" s="91" t="n"/>
      <c r="H13" s="91" t="n"/>
      <c r="I13" s="91" t="n"/>
      <c r="J13" s="91" t="n"/>
      <c r="K13" s="91" t="n"/>
      <c r="L13" s="91" t="n"/>
      <c r="M13" s="91" t="n"/>
      <c r="N13" s="91" t="n"/>
      <c r="O13" s="91" t="n"/>
      <c r="P13" s="91" t="n"/>
      <c r="Q13" s="91" t="n"/>
      <c r="R13" s="91" t="n"/>
      <c r="S13" s="91" t="n"/>
      <c r="T13" s="91" t="n"/>
      <c r="U13" s="91" t="n"/>
      <c r="V13" s="91" t="n"/>
      <c r="W13" s="91" t="n"/>
      <c r="X13" s="91" t="n"/>
      <c r="Y13" s="91" t="n"/>
      <c r="Z13" s="91" t="n"/>
      <c r="AA13" s="91" t="n"/>
      <c r="AB13" s="91" t="n"/>
      <c r="AC13" s="92" t="inlineStr">
        <is>
          <t>Staucheinheit (Stauchdorn, Stauchspindel, Elemente für Abdichthub von rechts); Pos. 29 Stauchspindel (Kugelgewindespindel)</t>
        </is>
      </c>
      <c r="AD13" s="92" t="inlineStr">
        <is>
          <t>2 / 29</t>
        </is>
      </c>
      <c r="AE13" s="92" t="inlineStr">
        <is>
          <t>Prüfgruppe</t>
        </is>
      </c>
      <c r="AF13" s="91" t="n"/>
      <c r="AG13" s="93" t="inlineStr">
        <is>
          <t>3.1</t>
        </is>
      </c>
      <c r="AH13" s="94" t="inlineStr">
        <is>
          <t>Inspiziere Stauchspindel nach folgenden Kriterien:</t>
        </is>
      </c>
      <c r="AI13" s="92" t="n">
        <v>8</v>
      </c>
      <c r="AJ13" s="91" t="n"/>
    </row>
    <row r="14" ht="32" customHeight="1">
      <c r="A14" s="80" t="inlineStr">
        <is>
          <t>3.1.1</t>
        </is>
      </c>
      <c r="B14" s="19" t="inlineStr">
        <is>
          <t>Stauchspindel auf Beschädigungen prüfen: Oberfläche (Riefen, Kratzer), Geräusche, Laufruhe</t>
        </is>
      </c>
      <c r="C14" s="81" t="inlineStr">
        <is>
          <t>Inspektion</t>
        </is>
      </c>
      <c r="D14" s="82" t="n"/>
      <c r="E14" s="19" t="n"/>
      <c r="F14" s="19" t="n"/>
      <c r="G14" s="89" t="inlineStr">
        <is>
          <t>Keine Riefen/Kratzer; ruhiger, geräuscharmer Lauf</t>
        </is>
      </c>
      <c r="H14" s="83" t="n">
        <v>4</v>
      </c>
      <c r="I14" s="83" t="n">
        <v>4</v>
      </c>
      <c r="J14" s="83" t="n">
        <v>4</v>
      </c>
      <c r="K14" s="83" t="n">
        <v>2</v>
      </c>
      <c r="L14" s="83" t="n">
        <v>1</v>
      </c>
      <c r="M14" s="83" t="n">
        <v>1</v>
      </c>
      <c r="N14" s="84">
        <f>IF(COUNT(H14:M14)=6,SQRT(SUMSQ(H14:M14))/2,"")</f>
        <v/>
      </c>
      <c r="O14" s="83" t="n">
        <v>2</v>
      </c>
      <c r="P14" s="83" t="n">
        <v>3</v>
      </c>
      <c r="Q14" s="84">
        <f>P_SF</f>
        <v/>
      </c>
      <c r="R14" s="50">
        <f>IF(COUNT(N14:Q14)=4,N14*O14*P14*Q14,"")</f>
        <v/>
      </c>
      <c r="S14" s="41">
        <f>IF(R14="","unvollständig",IF(R14&gt;P_Grenze_kritisch,"kritisch",IF(R14&gt;=P_Grenze_hoch,"hoch",IF(R14&gt;=P_Grenze_mittel,"mittel","gering"))))</f>
        <v/>
      </c>
      <c r="T14" s="43">
        <f>IF(S14="unvollständig","Bewertung fehlt",INDEX(Kl_Intervall,MATCH(S14,Kl_Name,0)))</f>
        <v/>
      </c>
      <c r="U14" s="23">
        <f>T14</f>
        <v/>
      </c>
      <c r="V14" s="85">
        <f>IFERROR(INDEX(Iv_Wochen,MATCH(U14,Iv_Name,0)),"")</f>
        <v/>
      </c>
      <c r="W14" s="81" t="n"/>
      <c r="X14" s="43">
        <f>TRIM(IF(N(K14)&gt;=P_Krit,"AS ","")&amp;IF(N(J14)&gt;=P_Krit,"Q ","")&amp;IF(N(L14)&gt;=P_Krit,"US",""))</f>
        <v/>
      </c>
      <c r="Y14" s="19">
        <f>IF(ISNUMBER(I14),INDEX(IH_Text,I14),"")</f>
        <v/>
      </c>
      <c r="Z14" s="81" t="n"/>
      <c r="AA14" s="83" t="n"/>
      <c r="AB14" s="48">
        <f>IF(AND(ISNUMBER(V14),ISNUMBER(AA14)),52/V14*AA14/60,"")</f>
        <v/>
      </c>
      <c r="AC14" s="86" t="inlineStr">
        <is>
          <t>Staucheinheit (Stauchdorn, Stauchspindel, Elemente für Abdichthub von rechts); Pos. 29 Stauchspindel (Kugelgewindespindel)</t>
        </is>
      </c>
      <c r="AD14" s="86" t="inlineStr">
        <is>
          <t>2 / 29</t>
        </is>
      </c>
      <c r="AE14" s="86" t="inlineStr">
        <is>
          <t>Maßnahme</t>
        </is>
      </c>
      <c r="AF14" s="43" t="n"/>
      <c r="AG14" s="87" t="inlineStr">
        <is>
          <t>3.1.1</t>
        </is>
      </c>
      <c r="AH14" s="88" t="inlineStr">
        <is>
          <t>Stauchspindel auf Beschädigungen prüfen (Oberfläche (Riffen, Kratzer) d. Stauchspindel  prüfen; Stauchspindel auf Geräusche, Laufruhe prüfen</t>
        </is>
      </c>
      <c r="AI14" s="86" t="n">
        <v>9</v>
      </c>
      <c r="AJ14" s="19">
        <f>IF(ISNUMBER(R14),R14-AI14/100000,"")</f>
        <v/>
      </c>
    </row>
    <row r="15" ht="80" customHeight="1">
      <c r="A15" s="80" t="inlineStr">
        <is>
          <t>3.1.2</t>
        </is>
      </c>
      <c r="B15" s="19" t="inlineStr">
        <is>
          <t>Stauchspindel auf Verschmutzung prüfen, ggf. reinigen</t>
        </is>
      </c>
      <c r="C15" s="81" t="inlineStr">
        <is>
          <t>Inspektion</t>
        </is>
      </c>
      <c r="D15" s="82" t="n"/>
      <c r="E15" s="19" t="n"/>
      <c r="F15" s="19" t="n"/>
      <c r="G15" s="89" t="inlineStr">
        <is>
          <t>Spindel sauber, frei von Ablagerungen</t>
        </is>
      </c>
      <c r="H15" s="83" t="n">
        <v>4</v>
      </c>
      <c r="I15" s="83" t="n">
        <v>4</v>
      </c>
      <c r="J15" s="83" t="n">
        <v>4</v>
      </c>
      <c r="K15" s="83" t="n">
        <v>2</v>
      </c>
      <c r="L15" s="83" t="n">
        <v>1</v>
      </c>
      <c r="M15" s="83" t="n">
        <v>1</v>
      </c>
      <c r="N15" s="84">
        <f>IF(COUNT(H15:M15)=6,SQRT(SUMSQ(H15:M15))/2,"")</f>
        <v/>
      </c>
      <c r="O15" s="83" t="n">
        <v>2</v>
      </c>
      <c r="P15" s="83" t="n">
        <v>3</v>
      </c>
      <c r="Q15" s="84">
        <f>P_SF</f>
        <v/>
      </c>
      <c r="R15" s="50">
        <f>IF(COUNT(N15:Q15)=4,N15*O15*P15*Q15,"")</f>
        <v/>
      </c>
      <c r="S15" s="41">
        <f>IF(R15="","unvollständig",IF(R15&gt;P_Grenze_kritisch,"kritisch",IF(R15&gt;=P_Grenze_hoch,"hoch",IF(R15&gt;=P_Grenze_mittel,"mittel","gering"))))</f>
        <v/>
      </c>
      <c r="T15" s="43">
        <f>IF(S15="unvollständig","Bewertung fehlt",INDEX(Kl_Intervall,MATCH(S15,Kl_Name,0)))</f>
        <v/>
      </c>
      <c r="U15" s="23">
        <f>T15</f>
        <v/>
      </c>
      <c r="V15" s="85">
        <f>IFERROR(INDEX(Iv_Wochen,MATCH(U15,Iv_Name,0)),"")</f>
        <v/>
      </c>
      <c r="W15" s="81" t="n"/>
      <c r="X15" s="43">
        <f>TRIM(IF(N(K15)&gt;=P_Krit,"AS ","")&amp;IF(N(J15)&gt;=P_Krit,"Q ","")&amp;IF(N(L15)&gt;=P_Krit,"US",""))</f>
        <v/>
      </c>
      <c r="Y15" s="19">
        <f>IF(ISNUMBER(I15),INDEX(IH_Text,I15),"")</f>
        <v/>
      </c>
      <c r="Z15" s="81" t="n"/>
      <c r="AA15" s="83" t="n"/>
      <c r="AB15" s="48">
        <f>IF(AND(ISNUMBER(V15),ISNUMBER(AA15)),52/V15*AA15/60,"")</f>
        <v/>
      </c>
      <c r="AC15" s="86" t="inlineStr">
        <is>
          <t>Staucheinheit (Stauchdorn, Stauchspindel, Elemente für Abdichthub von rechts); Pos. 29 Stauchspindel (Kugelgewindespindel)</t>
        </is>
      </c>
      <c r="AD15" s="86" t="inlineStr">
        <is>
          <t>2 / 29</t>
        </is>
      </c>
      <c r="AE15" s="86" t="inlineStr">
        <is>
          <t>Maßnahme</t>
        </is>
      </c>
      <c r="AF15" s="43" t="n"/>
      <c r="AG15" s="87" t="inlineStr">
        <is>
          <t>3.1.2</t>
        </is>
      </c>
      <c r="AH15" s="88" t="inlineStr">
        <is>
          <t>Stauchspindel auf Verschmutzung prüfen ggf. reinigen</t>
        </is>
      </c>
      <c r="AI15" s="86" t="n">
        <v>10</v>
      </c>
      <c r="AJ15" s="19">
        <f>IF(ISNUMBER(R15),R15-AI15/100000,"")</f>
        <v/>
      </c>
    </row>
    <row r="16" ht="32" customHeight="1">
      <c r="A16" s="80" t="inlineStr">
        <is>
          <t>3.1.3</t>
        </is>
      </c>
      <c r="B16" s="19" t="inlineStr">
        <is>
          <t>Stauchspindel abschmieren (siehe Schmierplan)</t>
        </is>
      </c>
      <c r="C16" s="81" t="inlineStr">
        <is>
          <t>Schmierung</t>
        </is>
      </c>
      <c r="D16" s="82" t="n"/>
      <c r="E16" s="19" t="n"/>
      <c r="F16" s="19" t="n"/>
      <c r="G16" s="89" t="inlineStr">
        <is>
          <t>Gleichmäßiger Schmierfilm vorhanden</t>
        </is>
      </c>
      <c r="H16" s="83" t="n">
        <v>5</v>
      </c>
      <c r="I16" s="83" t="n">
        <v>5</v>
      </c>
      <c r="J16" s="83" t="n">
        <v>3</v>
      </c>
      <c r="K16" s="83" t="n">
        <v>3</v>
      </c>
      <c r="L16" s="83" t="n">
        <v>2</v>
      </c>
      <c r="M16" s="83" t="n">
        <v>3</v>
      </c>
      <c r="N16" s="84">
        <f>IF(COUNT(H16:M16)=6,SQRT(SUMSQ(H16:M16))/2,"")</f>
        <v/>
      </c>
      <c r="O16" s="83" t="n">
        <v>5</v>
      </c>
      <c r="P16" s="83" t="n">
        <v>4</v>
      </c>
      <c r="Q16" s="84">
        <f>P_SF</f>
        <v/>
      </c>
      <c r="R16" s="50">
        <f>IF(COUNT(N16:Q16)=4,N16*O16*P16*Q16,"")</f>
        <v/>
      </c>
      <c r="S16" s="41">
        <f>IF(R16="","unvollständig",IF(R16&gt;P_Grenze_kritisch,"kritisch",IF(R16&gt;=P_Grenze_hoch,"hoch",IF(R16&gt;=P_Grenze_mittel,"mittel","gering"))))</f>
        <v/>
      </c>
      <c r="T16" s="43">
        <f>IF(S16="unvollständig","Bewertung fehlt",INDEX(Kl_Intervall,MATCH(S16,Kl_Name,0)))</f>
        <v/>
      </c>
      <c r="U16" s="23">
        <f>T16</f>
        <v/>
      </c>
      <c r="V16" s="85">
        <f>IFERROR(INDEX(Iv_Wochen,MATCH(U16,Iv_Name,0)),"")</f>
        <v/>
      </c>
      <c r="W16" s="81" t="n"/>
      <c r="X16" s="43">
        <f>TRIM(IF(N(K16)&gt;=P_Krit,"AS ","")&amp;IF(N(J16)&gt;=P_Krit,"Q ","")&amp;IF(N(L16)&gt;=P_Krit,"US",""))</f>
        <v/>
      </c>
      <c r="Y16" s="19">
        <f>IF(ISNUMBER(I16),INDEX(IH_Text,I16),"")</f>
        <v/>
      </c>
      <c r="Z16" s="81" t="n"/>
      <c r="AA16" s="83" t="n"/>
      <c r="AB16" s="48">
        <f>IF(AND(ISNUMBER(V16),ISNUMBER(AA16)),52/V16*AA16/60,"")</f>
        <v/>
      </c>
      <c r="AC16" s="86" t="inlineStr">
        <is>
          <t>Staucheinheit (Stauchdorn, Stauchspindel, Elemente für Abdichthub von rechts); Pos. 29 Stauchspindel (Kugelgewindespindel)</t>
        </is>
      </c>
      <c r="AD16" s="86" t="inlineStr">
        <is>
          <t>2 / 29</t>
        </is>
      </c>
      <c r="AE16" s="86" t="inlineStr">
        <is>
          <t>Maßnahme</t>
        </is>
      </c>
      <c r="AF16" s="43" t="n"/>
      <c r="AG16" s="87" t="inlineStr">
        <is>
          <t>3.1.3</t>
        </is>
      </c>
      <c r="AH16" s="88" t="inlineStr">
        <is>
          <t>Stauchspindel abschmieren (siehe Schmierplan)</t>
        </is>
      </c>
      <c r="AI16" s="86" t="n">
        <v>11</v>
      </c>
      <c r="AJ16" s="19">
        <f>IF(ISNUMBER(R16),R16-AI16/100000,"")</f>
        <v/>
      </c>
    </row>
    <row r="17" ht="45" customHeight="1">
      <c r="A17" s="80" t="inlineStr">
        <is>
          <t>3.1.4</t>
        </is>
      </c>
      <c r="B17" s="19" t="inlineStr">
        <is>
          <t>Zustand der Stauchspindel auf Schmierfilm und Verschleiß prüfen; bei ausreichendem Schmierfilm ist keine Schmierung notwendig</t>
        </is>
      </c>
      <c r="C17" s="81" t="inlineStr">
        <is>
          <t>Inspektion</t>
        </is>
      </c>
      <c r="D17" s="82" t="n"/>
      <c r="E17" s="19" t="n"/>
      <c r="F17" s="19" t="n"/>
      <c r="G17" s="89" t="inlineStr">
        <is>
          <t>Ausreichender Schmierfilm; kein sichtbarer Verschleiß</t>
        </is>
      </c>
      <c r="H17" s="83" t="n">
        <v>5</v>
      </c>
      <c r="I17" s="83" t="n">
        <v>5</v>
      </c>
      <c r="J17" s="83" t="n">
        <v>3</v>
      </c>
      <c r="K17" s="83" t="n">
        <v>3</v>
      </c>
      <c r="L17" s="83" t="n">
        <v>2</v>
      </c>
      <c r="M17" s="83" t="n">
        <v>3</v>
      </c>
      <c r="N17" s="84">
        <f>IF(COUNT(H17:M17)=6,SQRT(SUMSQ(H17:M17))/2,"")</f>
        <v/>
      </c>
      <c r="O17" s="83" t="n">
        <v>5</v>
      </c>
      <c r="P17" s="83" t="n">
        <v>4</v>
      </c>
      <c r="Q17" s="84">
        <f>P_SF</f>
        <v/>
      </c>
      <c r="R17" s="50">
        <f>IF(COUNT(N17:Q17)=4,N17*O17*P17*Q17,"")</f>
        <v/>
      </c>
      <c r="S17" s="41">
        <f>IF(R17="","unvollständig",IF(R17&gt;P_Grenze_kritisch,"kritisch",IF(R17&gt;=P_Grenze_hoch,"hoch",IF(R17&gt;=P_Grenze_mittel,"mittel","gering"))))</f>
        <v/>
      </c>
      <c r="T17" s="43">
        <f>IF(S17="unvollständig","Bewertung fehlt",INDEX(Kl_Intervall,MATCH(S17,Kl_Name,0)))</f>
        <v/>
      </c>
      <c r="U17" s="23">
        <f>T17</f>
        <v/>
      </c>
      <c r="V17" s="85">
        <f>IFERROR(INDEX(Iv_Wochen,MATCH(U17,Iv_Name,0)),"")</f>
        <v/>
      </c>
      <c r="W17" s="81" t="n"/>
      <c r="X17" s="43">
        <f>TRIM(IF(N(K17)&gt;=P_Krit,"AS ","")&amp;IF(N(J17)&gt;=P_Krit,"Q ","")&amp;IF(N(L17)&gt;=P_Krit,"US",""))</f>
        <v/>
      </c>
      <c r="Y17" s="19">
        <f>IF(ISNUMBER(I17),INDEX(IH_Text,I17),"")</f>
        <v/>
      </c>
      <c r="Z17" s="81" t="n"/>
      <c r="AA17" s="83" t="n"/>
      <c r="AB17" s="48">
        <f>IF(AND(ISNUMBER(V17),ISNUMBER(AA17)),52/V17*AA17/60,"")</f>
        <v/>
      </c>
      <c r="AC17" s="86" t="inlineStr">
        <is>
          <t>Staucheinheit (Stauchdorn, Stauchspindel, Elemente für Abdichthub von rechts); Pos. 29 Stauchspindel (Kugelgewindespindel)</t>
        </is>
      </c>
      <c r="AD17" s="86" t="inlineStr">
        <is>
          <t>2 / 29</t>
        </is>
      </c>
      <c r="AE17" s="86" t="inlineStr">
        <is>
          <t>Maßnahme</t>
        </is>
      </c>
      <c r="AF17" s="43" t="n"/>
      <c r="AG17" s="87" t="inlineStr">
        <is>
          <t>3.1.4</t>
        </is>
      </c>
      <c r="AH17" s="88" t="inlineStr">
        <is>
          <t>überprüfe den Zustand der Stauch-Spindel auf Schmierfilm und Verschleiß. Bei ausreichendem Schmierfilm; --&gt; Schmierung nicht notwendig</t>
        </is>
      </c>
      <c r="AI17" s="86" t="n">
        <v>12</v>
      </c>
      <c r="AJ17" s="19">
        <f>IF(ISNUMBER(R17),R17-AI17/100000,"")</f>
        <v/>
      </c>
    </row>
    <row r="18" ht="80" customHeight="1">
      <c r="A18" s="80" t="inlineStr">
        <is>
          <t>3.1.5</t>
        </is>
      </c>
      <c r="B18" s="19" t="inlineStr">
        <is>
          <t>Abdeckung abschrauben; Schmierung über Bohrung Pos. 33 in der Spindel. ACHTUNG: Spindel dazu unbedingt auf Maximalhub ausfahren. 6–10 Hübe je Schmiernippel; Spindel mit sauberem Pinsel abschmieren (Teflon-Fett)</t>
        </is>
      </c>
      <c r="C18" s="81" t="inlineStr">
        <is>
          <t>Schmierung</t>
        </is>
      </c>
      <c r="D18" s="82" t="inlineStr">
        <is>
          <t>⚠ Gefahrenstelle</t>
        </is>
      </c>
      <c r="E18" s="19" t="n"/>
      <c r="F18" s="19" t="inlineStr">
        <is>
          <t>Profi Spezial Grease (Profi Star)</t>
        </is>
      </c>
      <c r="G18" s="89" t="inlineStr">
        <is>
          <t>Spindel vollständig abgeschmiert; Abdeckung wieder montiert</t>
        </is>
      </c>
      <c r="H18" s="83" t="n">
        <v>5</v>
      </c>
      <c r="I18" s="83" t="n">
        <v>5</v>
      </c>
      <c r="J18" s="83" t="n">
        <v>3</v>
      </c>
      <c r="K18" s="83" t="n">
        <v>3</v>
      </c>
      <c r="L18" s="83" t="n">
        <v>2</v>
      </c>
      <c r="M18" s="83" t="n">
        <v>3</v>
      </c>
      <c r="N18" s="84">
        <f>IF(COUNT(H18:M18)=6,SQRT(SUMSQ(H18:M18))/2,"")</f>
        <v/>
      </c>
      <c r="O18" s="83" t="n">
        <v>5</v>
      </c>
      <c r="P18" s="83" t="n">
        <v>4</v>
      </c>
      <c r="Q18" s="84">
        <f>P_SF</f>
        <v/>
      </c>
      <c r="R18" s="50">
        <f>IF(COUNT(N18:Q18)=4,N18*O18*P18*Q18,"")</f>
        <v/>
      </c>
      <c r="S18" s="41">
        <f>IF(R18="","unvollständig",IF(R18&gt;P_Grenze_kritisch,"kritisch",IF(R18&gt;=P_Grenze_hoch,"hoch",IF(R18&gt;=P_Grenze_mittel,"mittel","gering"))))</f>
        <v/>
      </c>
      <c r="T18" s="43">
        <f>IF(S18="unvollständig","Bewertung fehlt",INDEX(Kl_Intervall,MATCH(S18,Kl_Name,0)))</f>
        <v/>
      </c>
      <c r="U18" s="23">
        <f>T18</f>
        <v/>
      </c>
      <c r="V18" s="85">
        <f>IFERROR(INDEX(Iv_Wochen,MATCH(U18,Iv_Name,0)),"")</f>
        <v/>
      </c>
      <c r="W18" s="81" t="n"/>
      <c r="X18" s="43">
        <f>TRIM(IF(N(K18)&gt;=P_Krit,"AS ","")&amp;IF(N(J18)&gt;=P_Krit,"Q ","")&amp;IF(N(L18)&gt;=P_Krit,"US",""))</f>
        <v/>
      </c>
      <c r="Y18" s="19">
        <f>IF(ISNUMBER(I18),INDEX(IH_Text,I18),"")</f>
        <v/>
      </c>
      <c r="Z18" s="81" t="n"/>
      <c r="AA18" s="83" t="n"/>
      <c r="AB18" s="48">
        <f>IF(AND(ISNUMBER(V18),ISNUMBER(AA18)),52/V18*AA18/60,"")</f>
        <v/>
      </c>
      <c r="AC18" s="86" t="inlineStr">
        <is>
          <t>Staucheinheit (Stauchdorn, Stauchspindel, Elemente für Abdichthub von rechts); Pos. 29 Stauchspindel (Kugelgewindespindel)</t>
        </is>
      </c>
      <c r="AD18" s="86" t="inlineStr">
        <is>
          <t>2 / 29</t>
        </is>
      </c>
      <c r="AE18" s="86" t="inlineStr">
        <is>
          <t>Maßnahme</t>
        </is>
      </c>
      <c r="AF18" s="43" t="n"/>
      <c r="AG18" s="87" t="inlineStr">
        <is>
          <t>3.1.5</t>
        </is>
      </c>
      <c r="AH18" s="88" t="inlineStr">
        <is>
          <t>Abdeckung abschrauben --&gt; Schmierung erfolgt über Bohrung Pos. 33 in der Spindel     Achtung: Spindel dazu unbedingt auf Maximalhub ausfahren --&gt; Schmieren 6-10 Hübe/Schmiernippel + Spindel mit sauberen Pinsel abschmieren (Teflon-Fett)</t>
        </is>
      </c>
      <c r="AI18" s="86" t="n">
        <v>13</v>
      </c>
      <c r="AJ18" s="19">
        <f>IF(ISNUMBER(R18),R18-AI18/100000,"")</f>
        <v/>
      </c>
    </row>
    <row r="19" ht="32" customHeight="1">
      <c r="A19" s="80" t="inlineStr">
        <is>
          <t>3.1.6</t>
        </is>
      </c>
      <c r="B19" s="19" t="inlineStr">
        <is>
          <t>Getriebe kontrollieren (Sichtkontrolle auf Öl-Leckage)</t>
        </is>
      </c>
      <c r="C19" s="81" t="inlineStr">
        <is>
          <t>Inspektion</t>
        </is>
      </c>
      <c r="D19" s="82" t="n"/>
      <c r="E19" s="19" t="n"/>
      <c r="F19" s="19" t="n"/>
      <c r="G19" s="89" t="inlineStr">
        <is>
          <t>Keine Öl-Leckage</t>
        </is>
      </c>
      <c r="H19" s="83" t="n">
        <v>4</v>
      </c>
      <c r="I19" s="83" t="n">
        <v>4</v>
      </c>
      <c r="J19" s="83" t="n">
        <v>4</v>
      </c>
      <c r="K19" s="83" t="n">
        <v>2</v>
      </c>
      <c r="L19" s="83" t="n">
        <v>1</v>
      </c>
      <c r="M19" s="83" t="n">
        <v>1</v>
      </c>
      <c r="N19" s="84">
        <f>IF(COUNT(H19:M19)=6,SQRT(SUMSQ(H19:M19))/2,"")</f>
        <v/>
      </c>
      <c r="O19" s="83" t="n">
        <v>2</v>
      </c>
      <c r="P19" s="83" t="n">
        <v>4</v>
      </c>
      <c r="Q19" s="84">
        <f>P_SF</f>
        <v/>
      </c>
      <c r="R19" s="50">
        <f>IF(COUNT(N19:Q19)=4,N19*O19*P19*Q19,"")</f>
        <v/>
      </c>
      <c r="S19" s="41">
        <f>IF(R19="","unvollständig",IF(R19&gt;P_Grenze_kritisch,"kritisch",IF(R19&gt;=P_Grenze_hoch,"hoch",IF(R19&gt;=P_Grenze_mittel,"mittel","gering"))))</f>
        <v/>
      </c>
      <c r="T19" s="43">
        <f>IF(S19="unvollständig","Bewertung fehlt",INDEX(Kl_Intervall,MATCH(S19,Kl_Name,0)))</f>
        <v/>
      </c>
      <c r="U19" s="23">
        <f>T19</f>
        <v/>
      </c>
      <c r="V19" s="85">
        <f>IFERROR(INDEX(Iv_Wochen,MATCH(U19,Iv_Name,0)),"")</f>
        <v/>
      </c>
      <c r="W19" s="81" t="n"/>
      <c r="X19" s="43">
        <f>TRIM(IF(N(K19)&gt;=P_Krit,"AS ","")&amp;IF(N(J19)&gt;=P_Krit,"Q ","")&amp;IF(N(L19)&gt;=P_Krit,"US",""))</f>
        <v/>
      </c>
      <c r="Y19" s="19">
        <f>IF(ISNUMBER(I19),INDEX(IH_Text,I19),"")</f>
        <v/>
      </c>
      <c r="Z19" s="81" t="n"/>
      <c r="AA19" s="83" t="n"/>
      <c r="AB19" s="48">
        <f>IF(AND(ISNUMBER(V19),ISNUMBER(AA19)),52/V19*AA19/60,"")</f>
        <v/>
      </c>
      <c r="AC19" s="86" t="inlineStr">
        <is>
          <t>Staucheinheit (Stauchdorn, Stauchspindel, Elemente für Abdichthub von rechts); Pos. 29 Stauchspindel (Kugelgewindespindel)</t>
        </is>
      </c>
      <c r="AD19" s="86" t="inlineStr">
        <is>
          <t>2 / 29</t>
        </is>
      </c>
      <c r="AE19" s="86" t="inlineStr">
        <is>
          <t>Maßnahme</t>
        </is>
      </c>
      <c r="AF19" s="43" t="n"/>
      <c r="AG19" s="87" t="inlineStr">
        <is>
          <t>3.1.6</t>
        </is>
      </c>
      <c r="AH19" s="88" t="inlineStr">
        <is>
          <t>kontrolliere Getriebe (Sichtkontrolle auf Öl-Leckage )</t>
        </is>
      </c>
      <c r="AI19" s="86" t="n">
        <v>14</v>
      </c>
      <c r="AJ19" s="19">
        <f>IF(ISNUMBER(R19),R19-AI19/100000,"")</f>
        <v/>
      </c>
    </row>
    <row r="20" ht="32" customHeight="1">
      <c r="A20" s="80" t="inlineStr">
        <is>
          <t>3.1.7</t>
        </is>
      </c>
      <c r="B20" s="19" t="inlineStr">
        <is>
          <t>Elektromotor kontrollieren (Funktion, Verschmutzung, Laufruhe, Kabel)</t>
        </is>
      </c>
      <c r="C20" s="81" t="inlineStr">
        <is>
          <t>Inspektion</t>
        </is>
      </c>
      <c r="D20" s="82" t="n"/>
      <c r="E20" s="19" t="n"/>
      <c r="F20" s="19" t="n"/>
      <c r="G20" s="89" t="inlineStr">
        <is>
          <t>Motor sauber, ruhiger Lauf; Kabel unbeschädigt</t>
        </is>
      </c>
      <c r="H20" s="83" t="n">
        <v>4</v>
      </c>
      <c r="I20" s="83" t="n">
        <v>4</v>
      </c>
      <c r="J20" s="83" t="n">
        <v>4</v>
      </c>
      <c r="K20" s="83" t="n">
        <v>2</v>
      </c>
      <c r="L20" s="83" t="n">
        <v>1</v>
      </c>
      <c r="M20" s="83" t="n">
        <v>1</v>
      </c>
      <c r="N20" s="84">
        <f>IF(COUNT(H20:M20)=6,SQRT(SUMSQ(H20:M20))/2,"")</f>
        <v/>
      </c>
      <c r="O20" s="83" t="n">
        <v>2</v>
      </c>
      <c r="P20" s="83" t="n">
        <v>4</v>
      </c>
      <c r="Q20" s="84">
        <f>P_SF</f>
        <v/>
      </c>
      <c r="R20" s="50">
        <f>IF(COUNT(N20:Q20)=4,N20*O20*P20*Q20,"")</f>
        <v/>
      </c>
      <c r="S20" s="41">
        <f>IF(R20="","unvollständig",IF(R20&gt;P_Grenze_kritisch,"kritisch",IF(R20&gt;=P_Grenze_hoch,"hoch",IF(R20&gt;=P_Grenze_mittel,"mittel","gering"))))</f>
        <v/>
      </c>
      <c r="T20" s="43">
        <f>IF(S20="unvollständig","Bewertung fehlt",INDEX(Kl_Intervall,MATCH(S20,Kl_Name,0)))</f>
        <v/>
      </c>
      <c r="U20" s="23">
        <f>T20</f>
        <v/>
      </c>
      <c r="V20" s="85">
        <f>IFERROR(INDEX(Iv_Wochen,MATCH(U20,Iv_Name,0)),"")</f>
        <v/>
      </c>
      <c r="W20" s="81" t="n"/>
      <c r="X20" s="43">
        <f>TRIM(IF(N(K20)&gt;=P_Krit,"AS ","")&amp;IF(N(J20)&gt;=P_Krit,"Q ","")&amp;IF(N(L20)&gt;=P_Krit,"US",""))</f>
        <v/>
      </c>
      <c r="Y20" s="19">
        <f>IF(ISNUMBER(I20),INDEX(IH_Text,I20),"")</f>
        <v/>
      </c>
      <c r="Z20" s="81" t="n"/>
      <c r="AA20" s="83" t="n"/>
      <c r="AB20" s="48">
        <f>IF(AND(ISNUMBER(V20),ISNUMBER(AA20)),52/V20*AA20/60,"")</f>
        <v/>
      </c>
      <c r="AC20" s="86" t="inlineStr">
        <is>
          <t>Staucheinheit (Stauchdorn, Stauchspindel, Elemente für Abdichthub von rechts); Pos. 29 Stauchspindel (Kugelgewindespindel)</t>
        </is>
      </c>
      <c r="AD20" s="86" t="inlineStr">
        <is>
          <t>2 / 29</t>
        </is>
      </c>
      <c r="AE20" s="86" t="inlineStr">
        <is>
          <t>Maßnahme</t>
        </is>
      </c>
      <c r="AF20" s="43" t="n"/>
      <c r="AG20" s="87" t="inlineStr">
        <is>
          <t>3.1.7</t>
        </is>
      </c>
      <c r="AH20" s="88" t="inlineStr">
        <is>
          <t>Kontrolliere Elektromotor (Funktion/Verschmutzung/Laufruhe/Kabeln)</t>
        </is>
      </c>
      <c r="AI20" s="86" t="n">
        <v>15</v>
      </c>
      <c r="AJ20" s="19">
        <f>IF(ISNUMBER(R20),R20-AI20/100000,"")</f>
        <v/>
      </c>
    </row>
    <row r="21" ht="20" customHeight="1">
      <c r="A21" s="74" t="inlineStr">
        <is>
          <t>4</t>
        </is>
      </c>
      <c r="B21" s="75" t="inlineStr">
        <is>
          <t>Oberer und unterer Werkzeugträger</t>
        </is>
      </c>
      <c r="C21" s="75" t="n"/>
      <c r="D21" s="76" t="n"/>
      <c r="E21" s="75" t="n"/>
      <c r="F21" s="75" t="n"/>
      <c r="G21" s="75" t="n"/>
      <c r="H21" s="75" t="n"/>
      <c r="I21" s="75" t="n"/>
      <c r="J21" s="75" t="n"/>
      <c r="K21" s="75" t="n"/>
      <c r="L21" s="75" t="n"/>
      <c r="M21" s="75" t="n"/>
      <c r="N21" s="75" t="n"/>
      <c r="O21" s="75" t="n"/>
      <c r="P21" s="75" t="n"/>
      <c r="Q21" s="75" t="n"/>
      <c r="R21" s="75" t="n"/>
      <c r="S21" s="75" t="n"/>
      <c r="T21" s="75" t="n"/>
      <c r="U21" s="75" t="n"/>
      <c r="V21" s="75" t="n"/>
      <c r="W21" s="75" t="n"/>
      <c r="X21" s="75" t="n"/>
      <c r="Y21" s="75" t="n"/>
      <c r="Z21" s="75" t="n"/>
      <c r="AA21" s="75" t="n"/>
      <c r="AB21" s="75" t="n"/>
      <c r="AC21" s="77" t="inlineStr">
        <is>
          <t>Oberer und unterer Werkzeugträger</t>
        </is>
      </c>
      <c r="AD21" s="77" t="inlineStr">
        <is>
          <t>3 / 6</t>
        </is>
      </c>
      <c r="AE21" s="77" t="inlineStr">
        <is>
          <t>Baugruppe</t>
        </is>
      </c>
      <c r="AF21" s="75" t="n"/>
      <c r="AG21" s="78" t="inlineStr">
        <is>
          <t>4</t>
        </is>
      </c>
      <c r="AH21" s="79" t="inlineStr">
        <is>
          <t>3.) u. 6.) Oberer Werkzeugträger/Unterer Werkzeugträger</t>
        </is>
      </c>
      <c r="AI21" s="77" t="n">
        <v>16</v>
      </c>
      <c r="AJ21" s="75" t="n"/>
    </row>
    <row r="22" ht="18" customHeight="1">
      <c r="A22" s="90" t="inlineStr">
        <is>
          <t>4.1</t>
        </is>
      </c>
      <c r="B22" s="91" t="inlineStr">
        <is>
          <t>Alle Werkzeugträger nach folgenden Kriterien inspizieren:</t>
        </is>
      </c>
      <c r="C22" s="91" t="n"/>
      <c r="D22" s="91" t="n"/>
      <c r="E22" s="91" t="n"/>
      <c r="F22" s="91" t="n"/>
      <c r="G22" s="91" t="n"/>
      <c r="H22" s="91" t="n"/>
      <c r="I22" s="91" t="n"/>
      <c r="J22" s="91" t="n"/>
      <c r="K22" s="91" t="n"/>
      <c r="L22" s="91" t="n"/>
      <c r="M22" s="91" t="n"/>
      <c r="N22" s="91" t="n"/>
      <c r="O22" s="91" t="n"/>
      <c r="P22" s="91" t="n"/>
      <c r="Q22" s="91" t="n"/>
      <c r="R22" s="91" t="n"/>
      <c r="S22" s="91" t="n"/>
      <c r="T22" s="91" t="n"/>
      <c r="U22" s="91" t="n"/>
      <c r="V22" s="91" t="n"/>
      <c r="W22" s="91" t="n"/>
      <c r="X22" s="91" t="n"/>
      <c r="Y22" s="91" t="n"/>
      <c r="Z22" s="91" t="n"/>
      <c r="AA22" s="91" t="n"/>
      <c r="AB22" s="91" t="n"/>
      <c r="AC22" s="92" t="inlineStr">
        <is>
          <t>Oberer und unterer Werkzeugträger</t>
        </is>
      </c>
      <c r="AD22" s="92" t="inlineStr">
        <is>
          <t>3 / 6</t>
        </is>
      </c>
      <c r="AE22" s="92" t="inlineStr">
        <is>
          <t>Prüfgruppe</t>
        </is>
      </c>
      <c r="AF22" s="91" t="n"/>
      <c r="AG22" s="93" t="inlineStr">
        <is>
          <t>4.1</t>
        </is>
      </c>
      <c r="AH22" s="94" t="inlineStr">
        <is>
          <t>Inspiziere alle Werkzeugträger nach folgenden Kriterien:</t>
        </is>
      </c>
      <c r="AI22" s="92" t="n">
        <v>17</v>
      </c>
      <c r="AJ22" s="91" t="n"/>
    </row>
    <row r="23" ht="80" customHeight="1">
      <c r="A23" s="80" t="inlineStr">
        <is>
          <t>4.1.1</t>
        </is>
      </c>
      <c r="B23" s="19" t="inlineStr">
        <is>
          <t>Spindel auf Beschädigungen prüfen: Oberfläche (Riefen, Kratzer), Geräusche, Laufruhe</t>
        </is>
      </c>
      <c r="C23" s="81" t="inlineStr">
        <is>
          <t>Inspektion</t>
        </is>
      </c>
      <c r="D23" s="82" t="n"/>
      <c r="E23" s="19" t="n"/>
      <c r="F23" s="19" t="n"/>
      <c r="G23" s="89" t="inlineStr">
        <is>
          <t>Keine Riefen/Kratzer; ruhiger, geräuscharmer Lauf</t>
        </is>
      </c>
      <c r="H23" s="83" t="n">
        <v>5</v>
      </c>
      <c r="I23" s="83" t="n">
        <v>5</v>
      </c>
      <c r="J23" s="83" t="n">
        <v>3</v>
      </c>
      <c r="K23" s="83" t="n">
        <v>3</v>
      </c>
      <c r="L23" s="83" t="n">
        <v>2</v>
      </c>
      <c r="M23" s="83" t="n">
        <v>3</v>
      </c>
      <c r="N23" s="84">
        <f>IF(COUNT(H23:M23)=6,SQRT(SUMSQ(H23:M23))/2,"")</f>
        <v/>
      </c>
      <c r="O23" s="83" t="n">
        <v>5</v>
      </c>
      <c r="P23" s="83" t="n">
        <v>4</v>
      </c>
      <c r="Q23" s="84">
        <f>P_SF</f>
        <v/>
      </c>
      <c r="R23" s="50">
        <f>IF(COUNT(N23:Q23)=4,N23*O23*P23*Q23,"")</f>
        <v/>
      </c>
      <c r="S23" s="41">
        <f>IF(R23="","unvollständig",IF(R23&gt;P_Grenze_kritisch,"kritisch",IF(R23&gt;=P_Grenze_hoch,"hoch",IF(R23&gt;=P_Grenze_mittel,"mittel","gering"))))</f>
        <v/>
      </c>
      <c r="T23" s="43">
        <f>IF(S23="unvollständig","Bewertung fehlt",INDEX(Kl_Intervall,MATCH(S23,Kl_Name,0)))</f>
        <v/>
      </c>
      <c r="U23" s="23">
        <f>T23</f>
        <v/>
      </c>
      <c r="V23" s="85">
        <f>IFERROR(INDEX(Iv_Wochen,MATCH(U23,Iv_Name,0)),"")</f>
        <v/>
      </c>
      <c r="W23" s="81" t="n"/>
      <c r="X23" s="43">
        <f>TRIM(IF(N(K23)&gt;=P_Krit,"AS ","")&amp;IF(N(J23)&gt;=P_Krit,"Q ","")&amp;IF(N(L23)&gt;=P_Krit,"US",""))</f>
        <v/>
      </c>
      <c r="Y23" s="19">
        <f>IF(ISNUMBER(I23),INDEX(IH_Text,I23),"")</f>
        <v/>
      </c>
      <c r="Z23" s="81" t="n"/>
      <c r="AA23" s="83" t="n"/>
      <c r="AB23" s="48">
        <f>IF(AND(ISNUMBER(V23),ISNUMBER(AA23)),52/V23*AA23/60,"")</f>
        <v/>
      </c>
      <c r="AC23" s="86" t="inlineStr">
        <is>
          <t>Oberer und unterer Werkzeugträger</t>
        </is>
      </c>
      <c r="AD23" s="86" t="inlineStr">
        <is>
          <t>3 / 6</t>
        </is>
      </c>
      <c r="AE23" s="86" t="inlineStr">
        <is>
          <t>Maßnahme</t>
        </is>
      </c>
      <c r="AF23" s="43" t="n"/>
      <c r="AG23" s="87" t="inlineStr">
        <is>
          <t>4.1.1</t>
        </is>
      </c>
      <c r="AH23" s="88" t="inlineStr">
        <is>
          <t>Spindel auf Beschädigungen prüfen (Oberfläche (Riffen, Kratzer) d. Spindel  prüfen; Stauchspindel auf Geräusche, Laufruhe prüfen</t>
        </is>
      </c>
      <c r="AI23" s="86" t="n">
        <v>18</v>
      </c>
      <c r="AJ23" s="19">
        <f>IF(ISNUMBER(R23),R23-AI23/100000,"")</f>
        <v/>
      </c>
    </row>
    <row r="24" ht="32" customHeight="1">
      <c r="A24" s="80" t="inlineStr">
        <is>
          <t>4.1.2</t>
        </is>
      </c>
      <c r="B24" s="19" t="inlineStr">
        <is>
          <t>Spindel auf Verschmutzung prüfen, ggf. reinigen</t>
        </is>
      </c>
      <c r="C24" s="81" t="inlineStr">
        <is>
          <t>Inspektion</t>
        </is>
      </c>
      <c r="D24" s="82" t="n"/>
      <c r="E24" s="19" t="n"/>
      <c r="F24" s="19" t="n"/>
      <c r="G24" s="89" t="inlineStr">
        <is>
          <t>Spindel sauber, frei von Ablagerungen</t>
        </is>
      </c>
      <c r="H24" s="83" t="n">
        <v>2</v>
      </c>
      <c r="I24" s="83" t="n">
        <v>2</v>
      </c>
      <c r="J24" s="83" t="n">
        <v>1</v>
      </c>
      <c r="K24" s="83" t="n">
        <v>1</v>
      </c>
      <c r="L24" s="83" t="n">
        <v>3</v>
      </c>
      <c r="M24" s="83" t="n">
        <v>1</v>
      </c>
      <c r="N24" s="84">
        <f>IF(COUNT(H24:M24)=6,SQRT(SUMSQ(H24:M24))/2,"")</f>
        <v/>
      </c>
      <c r="O24" s="83" t="n">
        <v>5</v>
      </c>
      <c r="P24" s="83" t="n">
        <v>2</v>
      </c>
      <c r="Q24" s="84">
        <f>P_SF</f>
        <v/>
      </c>
      <c r="R24" s="50">
        <f>IF(COUNT(N24:Q24)=4,N24*O24*P24*Q24,"")</f>
        <v/>
      </c>
      <c r="S24" s="41">
        <f>IF(R24="","unvollständig",IF(R24&gt;P_Grenze_kritisch,"kritisch",IF(R24&gt;=P_Grenze_hoch,"hoch",IF(R24&gt;=P_Grenze_mittel,"mittel","gering"))))</f>
        <v/>
      </c>
      <c r="T24" s="43">
        <f>IF(S24="unvollständig","Bewertung fehlt",INDEX(Kl_Intervall,MATCH(S24,Kl_Name,0)))</f>
        <v/>
      </c>
      <c r="U24" s="23">
        <f>T24</f>
        <v/>
      </c>
      <c r="V24" s="85">
        <f>IFERROR(INDEX(Iv_Wochen,MATCH(U24,Iv_Name,0)),"")</f>
        <v/>
      </c>
      <c r="W24" s="81" t="n"/>
      <c r="X24" s="43">
        <f>TRIM(IF(N(K24)&gt;=P_Krit,"AS ","")&amp;IF(N(J24)&gt;=P_Krit,"Q ","")&amp;IF(N(L24)&gt;=P_Krit,"US",""))</f>
        <v/>
      </c>
      <c r="Y24" s="19">
        <f>IF(ISNUMBER(I24),INDEX(IH_Text,I24),"")</f>
        <v/>
      </c>
      <c r="Z24" s="81" t="n"/>
      <c r="AA24" s="83" t="n"/>
      <c r="AB24" s="48">
        <f>IF(AND(ISNUMBER(V24),ISNUMBER(AA24)),52/V24*AA24/60,"")</f>
        <v/>
      </c>
      <c r="AC24" s="86" t="inlineStr">
        <is>
          <t>Oberer und unterer Werkzeugträger</t>
        </is>
      </c>
      <c r="AD24" s="86" t="inlineStr">
        <is>
          <t>3 / 6</t>
        </is>
      </c>
      <c r="AE24" s="86" t="inlineStr">
        <is>
          <t>Maßnahme</t>
        </is>
      </c>
      <c r="AF24" s="43" t="n"/>
      <c r="AG24" s="87" t="inlineStr">
        <is>
          <t>4.1.2</t>
        </is>
      </c>
      <c r="AH24" s="88" t="inlineStr">
        <is>
          <t>Spindel auf Verschmutzung prüfen ggf. reinigen</t>
        </is>
      </c>
      <c r="AI24" s="86" t="n">
        <v>19</v>
      </c>
      <c r="AJ24" s="19">
        <f>IF(ISNUMBER(R24),R24-AI24/100000,"")</f>
        <v/>
      </c>
    </row>
    <row r="25" ht="80" customHeight="1">
      <c r="A25" s="80" t="inlineStr">
        <is>
          <t>4.1.3</t>
        </is>
      </c>
      <c r="B25" s="19" t="inlineStr">
        <is>
          <t>Spindel abschmieren (siehe Schmierplan): Spindelmutter Y-Schlitten, 6 Hübe je Schmiernippel. Werkzeugträger zusammenfahren und prüfen, ob genügend Schmierfilm auf der Spindel vorhanden ist; ggf. nochmals abschmieren</t>
        </is>
      </c>
      <c r="C25" s="81" t="inlineStr">
        <is>
          <t>Schmierung</t>
        </is>
      </c>
      <c r="D25" s="82" t="inlineStr">
        <is>
          <t>⚠ Gefahrenstelle / ℹ Hinweis beachten</t>
        </is>
      </c>
      <c r="E25" s="19" t="n"/>
      <c r="F25" s="19" t="inlineStr">
        <is>
          <t>Profi Spezial Grease (Profi Star)</t>
        </is>
      </c>
      <c r="G25" s="89" t="inlineStr">
        <is>
          <t>Ausreichender Schmierfilm auf der Spindel</t>
        </is>
      </c>
      <c r="H25" s="83" t="n">
        <v>5</v>
      </c>
      <c r="I25" s="83" t="n">
        <v>5</v>
      </c>
      <c r="J25" s="83" t="n">
        <v>3</v>
      </c>
      <c r="K25" s="83" t="n">
        <v>3</v>
      </c>
      <c r="L25" s="83" t="n">
        <v>2</v>
      </c>
      <c r="M25" s="83" t="n">
        <v>3</v>
      </c>
      <c r="N25" s="84">
        <f>IF(COUNT(H25:M25)=6,SQRT(SUMSQ(H25:M25))/2,"")</f>
        <v/>
      </c>
      <c r="O25" s="83" t="n">
        <v>5</v>
      </c>
      <c r="P25" s="83" t="n">
        <v>2</v>
      </c>
      <c r="Q25" s="84">
        <f>P_SF</f>
        <v/>
      </c>
      <c r="R25" s="50">
        <f>IF(COUNT(N25:Q25)=4,N25*O25*P25*Q25,"")</f>
        <v/>
      </c>
      <c r="S25" s="41">
        <f>IF(R25="","unvollständig",IF(R25&gt;P_Grenze_kritisch,"kritisch",IF(R25&gt;=P_Grenze_hoch,"hoch",IF(R25&gt;=P_Grenze_mittel,"mittel","gering"))))</f>
        <v/>
      </c>
      <c r="T25" s="43">
        <f>IF(S25="unvollständig","Bewertung fehlt",INDEX(Kl_Intervall,MATCH(S25,Kl_Name,0)))</f>
        <v/>
      </c>
      <c r="U25" s="23">
        <f>T25</f>
        <v/>
      </c>
      <c r="V25" s="85">
        <f>IFERROR(INDEX(Iv_Wochen,MATCH(U25,Iv_Name,0)),"")</f>
        <v/>
      </c>
      <c r="W25" s="81" t="n"/>
      <c r="X25" s="43">
        <f>TRIM(IF(N(K25)&gt;=P_Krit,"AS ","")&amp;IF(N(J25)&gt;=P_Krit,"Q ","")&amp;IF(N(L25)&gt;=P_Krit,"US",""))</f>
        <v/>
      </c>
      <c r="Y25" s="19">
        <f>IF(ISNUMBER(I25),INDEX(IH_Text,I25),"")</f>
        <v/>
      </c>
      <c r="Z25" s="81" t="n"/>
      <c r="AA25" s="83" t="n"/>
      <c r="AB25" s="48">
        <f>IF(AND(ISNUMBER(V25),ISNUMBER(AA25)),52/V25*AA25/60,"")</f>
        <v/>
      </c>
      <c r="AC25" s="86" t="inlineStr">
        <is>
          <t>Oberer und unterer Werkzeugträger</t>
        </is>
      </c>
      <c r="AD25" s="86" t="inlineStr">
        <is>
          <t>3 / 6</t>
        </is>
      </c>
      <c r="AE25" s="86" t="inlineStr">
        <is>
          <t>Maßnahme</t>
        </is>
      </c>
      <c r="AF25" s="43" t="n"/>
      <c r="AG25" s="87" t="inlineStr">
        <is>
          <t>4.1.3</t>
        </is>
      </c>
      <c r="AH25" s="88" t="inlineStr">
        <is>
          <t>Spindel abschmieren (siehe Schmierplan) Spindelmutter Y-Schlitten --&gt; Schmieren (6) Hübe/Schmiernippel. Werkzuegträger zusammenfahren und überprüfen ob genügend Schmierfilm auf Spindel vorhanden ggf. nochmal abschmieren</t>
        </is>
      </c>
      <c r="AI25" s="86" t="n">
        <v>20</v>
      </c>
      <c r="AJ25" s="19">
        <f>IF(ISNUMBER(R25),R25-AI25/100000,"")</f>
        <v/>
      </c>
    </row>
    <row r="26" ht="45" customHeight="1">
      <c r="A26" s="80" t="inlineStr">
        <is>
          <t>4.1.4</t>
        </is>
      </c>
      <c r="B26" s="19" t="inlineStr">
        <is>
          <t>Hauptführung Y-Schlitten kontrollieren (!) – Schmierplan Pos. 1–5: Führungen abschmieren, 6 Hübe je Schmiernippel</t>
        </is>
      </c>
      <c r="C26" s="81" t="inlineStr">
        <is>
          <t>Schmierung</t>
        </is>
      </c>
      <c r="D26" s="82" t="inlineStr">
        <is>
          <t>⚠ Gefahrenstelle / ℹ Hinweis beachten</t>
        </is>
      </c>
      <c r="E26" s="19" t="n"/>
      <c r="F26" s="19" t="inlineStr">
        <is>
          <t>Profi Spezial Grease (Profi Star)</t>
        </is>
      </c>
      <c r="G26" s="19" t="inlineStr">
        <is>
          <t>abgeschmiert</t>
        </is>
      </c>
      <c r="H26" s="83" t="n">
        <v>5</v>
      </c>
      <c r="I26" s="83" t="n">
        <v>5</v>
      </c>
      <c r="J26" s="83" t="n">
        <v>3</v>
      </c>
      <c r="K26" s="83" t="n">
        <v>3</v>
      </c>
      <c r="L26" s="83" t="n">
        <v>2</v>
      </c>
      <c r="M26" s="83" t="n">
        <v>3</v>
      </c>
      <c r="N26" s="84">
        <f>IF(COUNT(H26:M26)=6,SQRT(SUMSQ(H26:M26))/2,"")</f>
        <v/>
      </c>
      <c r="O26" s="83" t="n"/>
      <c r="P26" s="83" t="n"/>
      <c r="Q26" s="84">
        <f>P_SF</f>
        <v/>
      </c>
      <c r="R26" s="50">
        <f>IF(COUNT(N26:Q26)=4,N26*O26*P26*Q26,"")</f>
        <v/>
      </c>
      <c r="S26" s="41">
        <f>IF(R26="","unvollständig",IF(R26&gt;P_Grenze_kritisch,"kritisch",IF(R26&gt;=P_Grenze_hoch,"hoch",IF(R26&gt;=P_Grenze_mittel,"mittel","gering"))))</f>
        <v/>
      </c>
      <c r="T26" s="43">
        <f>IF(S26="unvollständig","Bewertung fehlt",INDEX(Kl_Intervall,MATCH(S26,Kl_Name,0)))</f>
        <v/>
      </c>
      <c r="U26" s="23">
        <f>T26</f>
        <v/>
      </c>
      <c r="V26" s="85">
        <f>IFERROR(INDEX(Iv_Wochen,MATCH(U26,Iv_Name,0)),"")</f>
        <v/>
      </c>
      <c r="W26" s="81" t="n"/>
      <c r="X26" s="43">
        <f>TRIM(IF(N(K26)&gt;=P_Krit,"AS ","")&amp;IF(N(J26)&gt;=P_Krit,"Q ","")&amp;IF(N(L26)&gt;=P_Krit,"US",""))</f>
        <v/>
      </c>
      <c r="Y26" s="19">
        <f>IF(ISNUMBER(I26),INDEX(IH_Text,I26),"")</f>
        <v/>
      </c>
      <c r="Z26" s="81" t="n"/>
      <c r="AA26" s="83" t="n"/>
      <c r="AB26" s="48">
        <f>IF(AND(ISNUMBER(V26),ISNUMBER(AA26)),52/V26*AA26/60,"")</f>
        <v/>
      </c>
      <c r="AC26" s="86" t="inlineStr">
        <is>
          <t>Oberer und unterer Werkzeugträger</t>
        </is>
      </c>
      <c r="AD26" s="86" t="inlineStr">
        <is>
          <t>3 / 6</t>
        </is>
      </c>
      <c r="AE26" s="86" t="inlineStr">
        <is>
          <t>Maßnahme</t>
        </is>
      </c>
      <c r="AF26" s="43" t="n"/>
      <c r="AG26" s="87" t="inlineStr">
        <is>
          <t>4.1.4</t>
        </is>
      </c>
      <c r="AH26" s="88" t="inlineStr">
        <is>
          <t>Hauptführung Y-Schlitten kontrollieren  !!!                                         Schmierplan Pos. 1-5                                               Führungen abschmiern (6) Hübe/Schmiernippel</t>
        </is>
      </c>
      <c r="AI26" s="86" t="n">
        <v>21</v>
      </c>
      <c r="AJ26" s="19">
        <f>IF(ISNUMBER(R26),R26-AI26/100000,"")</f>
        <v/>
      </c>
    </row>
    <row r="27" ht="32" customHeight="1">
      <c r="A27" s="80" t="inlineStr">
        <is>
          <t>4.1.5</t>
        </is>
      </c>
      <c r="B27" s="19" t="inlineStr">
        <is>
          <t>Elektromotor kontrollieren (Funktion, Verschmutzung, Laufruhe, Kabel)</t>
        </is>
      </c>
      <c r="C27" s="81" t="inlineStr">
        <is>
          <t>Inspektion</t>
        </is>
      </c>
      <c r="D27" s="82" t="n"/>
      <c r="E27" s="19" t="n"/>
      <c r="F27" s="19" t="n"/>
      <c r="G27" s="89" t="inlineStr">
        <is>
          <t>Motor sauber, ruhiger Lauf; Kabel unbeschädigt</t>
        </is>
      </c>
      <c r="H27" s="83" t="n">
        <v>3</v>
      </c>
      <c r="I27" s="83" t="n">
        <v>3</v>
      </c>
      <c r="J27" s="83" t="n">
        <v>2</v>
      </c>
      <c r="K27" s="83" t="n">
        <v>2</v>
      </c>
      <c r="L27" s="83" t="n">
        <v>2</v>
      </c>
      <c r="M27" s="83" t="n">
        <v>3</v>
      </c>
      <c r="N27" s="84">
        <f>IF(COUNT(H27:M27)=6,SQRT(SUMSQ(H27:M27))/2,"")</f>
        <v/>
      </c>
      <c r="O27" s="83" t="n">
        <v>2</v>
      </c>
      <c r="P27" s="83" t="n">
        <v>3</v>
      </c>
      <c r="Q27" s="84">
        <f>P_SF</f>
        <v/>
      </c>
      <c r="R27" s="50">
        <f>IF(COUNT(N27:Q27)=4,N27*O27*P27*Q27,"")</f>
        <v/>
      </c>
      <c r="S27" s="41">
        <f>IF(R27="","unvollständig",IF(R27&gt;P_Grenze_kritisch,"kritisch",IF(R27&gt;=P_Grenze_hoch,"hoch",IF(R27&gt;=P_Grenze_mittel,"mittel","gering"))))</f>
        <v/>
      </c>
      <c r="T27" s="43">
        <f>IF(S27="unvollständig","Bewertung fehlt",INDEX(Kl_Intervall,MATCH(S27,Kl_Name,0)))</f>
        <v/>
      </c>
      <c r="U27" s="23">
        <f>T27</f>
        <v/>
      </c>
      <c r="V27" s="85">
        <f>IFERROR(INDEX(Iv_Wochen,MATCH(U27,Iv_Name,0)),"")</f>
        <v/>
      </c>
      <c r="W27" s="81" t="n"/>
      <c r="X27" s="43">
        <f>TRIM(IF(N(K27)&gt;=P_Krit,"AS ","")&amp;IF(N(J27)&gt;=P_Krit,"Q ","")&amp;IF(N(L27)&gt;=P_Krit,"US",""))</f>
        <v/>
      </c>
      <c r="Y27" s="19">
        <f>IF(ISNUMBER(I27),INDEX(IH_Text,I27),"")</f>
        <v/>
      </c>
      <c r="Z27" s="81" t="n"/>
      <c r="AA27" s="83" t="n"/>
      <c r="AB27" s="48">
        <f>IF(AND(ISNUMBER(V27),ISNUMBER(AA27)),52/V27*AA27/60,"")</f>
        <v/>
      </c>
      <c r="AC27" s="86" t="inlineStr">
        <is>
          <t>Oberer und unterer Werkzeugträger</t>
        </is>
      </c>
      <c r="AD27" s="86" t="inlineStr">
        <is>
          <t>3 / 6</t>
        </is>
      </c>
      <c r="AE27" s="86" t="inlineStr">
        <is>
          <t>Maßnahme</t>
        </is>
      </c>
      <c r="AF27" s="43" t="n"/>
      <c r="AG27" s="87" t="inlineStr">
        <is>
          <t>4.1.5</t>
        </is>
      </c>
      <c r="AH27" s="88" t="inlineStr">
        <is>
          <t>Kontrolliere Elektromotor (Funktion/Verschmutzung/Laufruhe/Kabeln)</t>
        </is>
      </c>
      <c r="AI27" s="86" t="n">
        <v>22</v>
      </c>
      <c r="AJ27" s="19">
        <f>IF(ISNUMBER(R27),R27-AI27/100000,"")</f>
        <v/>
      </c>
    </row>
    <row r="28" ht="20" customHeight="1">
      <c r="A28" s="74" t="inlineStr">
        <is>
          <t>5</t>
        </is>
      </c>
      <c r="B28" s="75" t="inlineStr">
        <is>
          <t>Verschlussbalken</t>
        </is>
      </c>
      <c r="C28" s="75" t="n"/>
      <c r="D28" s="76" t="n"/>
      <c r="E28" s="75" t="n"/>
      <c r="F28" s="75" t="n"/>
      <c r="G28" s="75" t="n"/>
      <c r="H28" s="75" t="n"/>
      <c r="I28" s="75" t="n"/>
      <c r="J28" s="75" t="n"/>
      <c r="K28" s="75" t="n"/>
      <c r="L28" s="75" t="n"/>
      <c r="M28" s="75" t="n"/>
      <c r="N28" s="75" t="n"/>
      <c r="O28" s="75" t="n"/>
      <c r="P28" s="75" t="n"/>
      <c r="Q28" s="75" t="n"/>
      <c r="R28" s="75" t="n"/>
      <c r="S28" s="75" t="n"/>
      <c r="T28" s="75" t="n"/>
      <c r="U28" s="75" t="n"/>
      <c r="V28" s="75" t="n"/>
      <c r="W28" s="75" t="n"/>
      <c r="X28" s="75" t="n"/>
      <c r="Y28" s="75" t="n"/>
      <c r="Z28" s="75" t="n"/>
      <c r="AA28" s="75" t="n"/>
      <c r="AB28" s="75" t="n"/>
      <c r="AC28" s="77" t="inlineStr">
        <is>
          <t>Verschlussbalken</t>
        </is>
      </c>
      <c r="AD28" s="77" t="inlineStr">
        <is>
          <t>5</t>
        </is>
      </c>
      <c r="AE28" s="77" t="inlineStr">
        <is>
          <t>Baugruppe</t>
        </is>
      </c>
      <c r="AF28" s="75" t="n"/>
      <c r="AG28" s="78" t="inlineStr">
        <is>
          <t>5</t>
        </is>
      </c>
      <c r="AH28" s="79" t="inlineStr">
        <is>
          <t>5.) Verschlussbalken</t>
        </is>
      </c>
      <c r="AI28" s="77" t="n">
        <v>23</v>
      </c>
      <c r="AJ28" s="75" t="n"/>
    </row>
    <row r="29" ht="32" customHeight="1">
      <c r="A29" s="80" t="inlineStr">
        <is>
          <t>5.1</t>
        </is>
      </c>
      <c r="B29" s="19" t="inlineStr">
        <is>
          <t>Verschlussbalken abschmieren, 6 Hübe je Schmiernippel</t>
        </is>
      </c>
      <c r="C29" s="81" t="inlineStr">
        <is>
          <t>Schmierung</t>
        </is>
      </c>
      <c r="D29" s="82" t="inlineStr">
        <is>
          <t>ℹ Hinweis beachten</t>
        </is>
      </c>
      <c r="E29" s="19" t="n"/>
      <c r="F29" s="19" t="inlineStr">
        <is>
          <t>Profi Spezial Grease (Profi Star)</t>
        </is>
      </c>
      <c r="G29" s="89" t="inlineStr">
        <is>
          <t>Alle Schmierstellen abgeschmiert</t>
        </is>
      </c>
      <c r="H29" s="83" t="n">
        <v>5</v>
      </c>
      <c r="I29" s="83" t="n">
        <v>5</v>
      </c>
      <c r="J29" s="83" t="n">
        <v>3</v>
      </c>
      <c r="K29" s="83" t="n">
        <v>3</v>
      </c>
      <c r="L29" s="83" t="n">
        <v>2</v>
      </c>
      <c r="M29" s="83" t="n">
        <v>3</v>
      </c>
      <c r="N29" s="84">
        <f>IF(COUNT(H29:M29)=6,SQRT(SUMSQ(H29:M29))/2,"")</f>
        <v/>
      </c>
      <c r="O29" s="83" t="n">
        <v>4</v>
      </c>
      <c r="P29" s="83" t="n">
        <v>4</v>
      </c>
      <c r="Q29" s="84">
        <f>P_SF</f>
        <v/>
      </c>
      <c r="R29" s="50">
        <f>IF(COUNT(N29:Q29)=4,N29*O29*P29*Q29,"")</f>
        <v/>
      </c>
      <c r="S29" s="41">
        <f>IF(R29="","unvollständig",IF(R29&gt;P_Grenze_kritisch,"kritisch",IF(R29&gt;=P_Grenze_hoch,"hoch",IF(R29&gt;=P_Grenze_mittel,"mittel","gering"))))</f>
        <v/>
      </c>
      <c r="T29" s="43">
        <f>IF(S29="unvollständig","Bewertung fehlt",INDEX(Kl_Intervall,MATCH(S29,Kl_Name,0)))</f>
        <v/>
      </c>
      <c r="U29" s="23">
        <f>T29</f>
        <v/>
      </c>
      <c r="V29" s="85">
        <f>IFERROR(INDEX(Iv_Wochen,MATCH(U29,Iv_Name,0)),"")</f>
        <v/>
      </c>
      <c r="W29" s="81" t="n"/>
      <c r="X29" s="43">
        <f>TRIM(IF(N(K29)&gt;=P_Krit,"AS ","")&amp;IF(N(J29)&gt;=P_Krit,"Q ","")&amp;IF(N(L29)&gt;=P_Krit,"US",""))</f>
        <v/>
      </c>
      <c r="Y29" s="19">
        <f>IF(ISNUMBER(I29),INDEX(IH_Text,I29),"")</f>
        <v/>
      </c>
      <c r="Z29" s="81" t="n"/>
      <c r="AA29" s="83" t="n"/>
      <c r="AB29" s="48">
        <f>IF(AND(ISNUMBER(V29),ISNUMBER(AA29)),52/V29*AA29/60,"")</f>
        <v/>
      </c>
      <c r="AC29" s="86" t="inlineStr">
        <is>
          <t>Verschlussbalken</t>
        </is>
      </c>
      <c r="AD29" s="86" t="inlineStr">
        <is>
          <t>5</t>
        </is>
      </c>
      <c r="AE29" s="86" t="inlineStr">
        <is>
          <t>Maßnahme</t>
        </is>
      </c>
      <c r="AF29" s="43" t="n"/>
      <c r="AG29" s="87" t="inlineStr">
        <is>
          <t>5.1.2</t>
        </is>
      </c>
      <c r="AH29" s="88" t="inlineStr">
        <is>
          <t>Verschlußbalcken abschmieren (6) Hübe/Schmiernippel</t>
        </is>
      </c>
      <c r="AI29" s="86" t="n">
        <v>24</v>
      </c>
      <c r="AJ29" s="19">
        <f>IF(ISNUMBER(R29),R29-AI29/100000,"")</f>
        <v/>
      </c>
    </row>
    <row r="30" ht="18" customHeight="1">
      <c r="A30" s="90" t="inlineStr">
        <is>
          <t>5.2</t>
        </is>
      </c>
      <c r="B30" s="91" t="inlineStr">
        <is>
          <t>Alle Hydraulikzylinder nach folgenden Kriterien inspizieren:</t>
        </is>
      </c>
      <c r="C30" s="91" t="n"/>
      <c r="D30" s="91" t="n"/>
      <c r="E30" s="91" t="n"/>
      <c r="F30" s="91" t="n"/>
      <c r="G30" s="91" t="n"/>
      <c r="H30" s="91" t="n"/>
      <c r="I30" s="91" t="n"/>
      <c r="J30" s="91" t="n"/>
      <c r="K30" s="91" t="n"/>
      <c r="L30" s="91" t="n"/>
      <c r="M30" s="91" t="n"/>
      <c r="N30" s="91" t="n"/>
      <c r="O30" s="91" t="n"/>
      <c r="P30" s="91" t="n"/>
      <c r="Q30" s="91" t="n"/>
      <c r="R30" s="91" t="n"/>
      <c r="S30" s="91" t="n"/>
      <c r="T30" s="91" t="n"/>
      <c r="U30" s="91" t="n"/>
      <c r="V30" s="91" t="n"/>
      <c r="W30" s="91" t="n"/>
      <c r="X30" s="91" t="n"/>
      <c r="Y30" s="91" t="n"/>
      <c r="Z30" s="91" t="n"/>
      <c r="AA30" s="91" t="n"/>
      <c r="AB30" s="91" t="n"/>
      <c r="AC30" s="92" t="inlineStr">
        <is>
          <t>Verschlussbalken</t>
        </is>
      </c>
      <c r="AD30" s="92" t="inlineStr">
        <is>
          <t>5</t>
        </is>
      </c>
      <c r="AE30" s="92" t="inlineStr">
        <is>
          <t>Prüfgruppe</t>
        </is>
      </c>
      <c r="AF30" s="91" t="n"/>
      <c r="AG30" s="93" t="inlineStr">
        <is>
          <t>5.1.1</t>
        </is>
      </c>
      <c r="AH30" s="94" t="inlineStr">
        <is>
          <t>Inspiziere alle Hydraulikzylinder nach folgenden Kriterien:</t>
        </is>
      </c>
      <c r="AI30" s="92" t="n">
        <v>25</v>
      </c>
      <c r="AJ30" s="91" t="n"/>
    </row>
    <row r="31" ht="32" customHeight="1">
      <c r="A31" s="80" t="inlineStr">
        <is>
          <t>5.2.1</t>
        </is>
      </c>
      <c r="B31" s="19" t="inlineStr">
        <is>
          <t>Kolbenspiel kontrollieren</t>
        </is>
      </c>
      <c r="C31" s="81" t="inlineStr">
        <is>
          <t>Inspektion</t>
        </is>
      </c>
      <c r="D31" s="82" t="n"/>
      <c r="E31" s="19" t="n"/>
      <c r="F31" s="19" t="n"/>
      <c r="G31" s="89" t="inlineStr">
        <is>
          <t>Kein unzulässiges Kolbenspiel</t>
        </is>
      </c>
      <c r="H31" s="83" t="n">
        <v>3</v>
      </c>
      <c r="I31" s="83" t="n">
        <v>4</v>
      </c>
      <c r="J31" s="83" t="n">
        <v>2</v>
      </c>
      <c r="K31" s="83" t="n">
        <v>2</v>
      </c>
      <c r="L31" s="83" t="n">
        <v>3</v>
      </c>
      <c r="M31" s="83" t="n">
        <v>3</v>
      </c>
      <c r="N31" s="84">
        <f>IF(COUNT(H31:M31)=6,SQRT(SUMSQ(H31:M31))/2,"")</f>
        <v/>
      </c>
      <c r="O31" s="83" t="n">
        <v>3</v>
      </c>
      <c r="P31" s="83" t="n">
        <v>5</v>
      </c>
      <c r="Q31" s="84">
        <f>P_SF</f>
        <v/>
      </c>
      <c r="R31" s="50">
        <f>IF(COUNT(N31:Q31)=4,N31*O31*P31*Q31,"")</f>
        <v/>
      </c>
      <c r="S31" s="41">
        <f>IF(R31="","unvollständig",IF(R31&gt;P_Grenze_kritisch,"kritisch",IF(R31&gt;=P_Grenze_hoch,"hoch",IF(R31&gt;=P_Grenze_mittel,"mittel","gering"))))</f>
        <v/>
      </c>
      <c r="T31" s="43">
        <f>IF(S31="unvollständig","Bewertung fehlt",INDEX(Kl_Intervall,MATCH(S31,Kl_Name,0)))</f>
        <v/>
      </c>
      <c r="U31" s="23">
        <f>T31</f>
        <v/>
      </c>
      <c r="V31" s="85">
        <f>IFERROR(INDEX(Iv_Wochen,MATCH(U31,Iv_Name,0)),"")</f>
        <v/>
      </c>
      <c r="W31" s="81" t="n"/>
      <c r="X31" s="43">
        <f>TRIM(IF(N(K31)&gt;=P_Krit,"AS ","")&amp;IF(N(J31)&gt;=P_Krit,"Q ","")&amp;IF(N(L31)&gt;=P_Krit,"US",""))</f>
        <v/>
      </c>
      <c r="Y31" s="19">
        <f>IF(ISNUMBER(I31),INDEX(IH_Text,I31),"")</f>
        <v/>
      </c>
      <c r="Z31" s="81" t="n"/>
      <c r="AA31" s="83" t="n"/>
      <c r="AB31" s="48">
        <f>IF(AND(ISNUMBER(V31),ISNUMBER(AA31)),52/V31*AA31/60,"")</f>
        <v/>
      </c>
      <c r="AC31" s="86" t="inlineStr">
        <is>
          <t>Verschlussbalken</t>
        </is>
      </c>
      <c r="AD31" s="86" t="inlineStr">
        <is>
          <t>5</t>
        </is>
      </c>
      <c r="AE31" s="86" t="inlineStr">
        <is>
          <t>Maßnahme</t>
        </is>
      </c>
      <c r="AF31" s="43" t="n"/>
      <c r="AG31" s="87" t="inlineStr">
        <is>
          <t>5.1.3</t>
        </is>
      </c>
      <c r="AH31" s="88" t="inlineStr">
        <is>
          <t>kontrolliere Kolbenspiel</t>
        </is>
      </c>
      <c r="AI31" s="86" t="n">
        <v>26</v>
      </c>
      <c r="AJ31" s="19">
        <f>IF(ISNUMBER(R31),R31-AI31/100000,"")</f>
        <v/>
      </c>
    </row>
    <row r="32" ht="32" customHeight="1">
      <c r="A32" s="80" t="inlineStr">
        <is>
          <t>5.2.2</t>
        </is>
      </c>
      <c r="B32" s="19" t="inlineStr">
        <is>
          <t>Dichtungen kontrollieren (Sichtkontrolle auf Öl-Leckage)</t>
        </is>
      </c>
      <c r="C32" s="81" t="inlineStr">
        <is>
          <t>Inspektion</t>
        </is>
      </c>
      <c r="D32" s="82" t="n"/>
      <c r="E32" s="19" t="n"/>
      <c r="F32" s="19" t="n"/>
      <c r="G32" s="89" t="inlineStr">
        <is>
          <t>Keine Öl-Leckage</t>
        </is>
      </c>
      <c r="H32" s="83" t="n">
        <v>3</v>
      </c>
      <c r="I32" s="83" t="n">
        <v>4</v>
      </c>
      <c r="J32" s="83" t="n">
        <v>2</v>
      </c>
      <c r="K32" s="83" t="n">
        <v>3</v>
      </c>
      <c r="L32" s="83" t="n">
        <v>5</v>
      </c>
      <c r="M32" s="83" t="n">
        <v>3</v>
      </c>
      <c r="N32" s="84">
        <f>IF(COUNT(H32:M32)=6,SQRT(SUMSQ(H32:M32))/2,"")</f>
        <v/>
      </c>
      <c r="O32" s="83" t="n">
        <v>3</v>
      </c>
      <c r="P32" s="83" t="n">
        <v>4</v>
      </c>
      <c r="Q32" s="84">
        <f>P_SF</f>
        <v/>
      </c>
      <c r="R32" s="50">
        <f>IF(COUNT(N32:Q32)=4,N32*O32*P32*Q32,"")</f>
        <v/>
      </c>
      <c r="S32" s="41">
        <f>IF(R32="","unvollständig",IF(R32&gt;P_Grenze_kritisch,"kritisch",IF(R32&gt;=P_Grenze_hoch,"hoch",IF(R32&gt;=P_Grenze_mittel,"mittel","gering"))))</f>
        <v/>
      </c>
      <c r="T32" s="43">
        <f>IF(S32="unvollständig","Bewertung fehlt",INDEX(Kl_Intervall,MATCH(S32,Kl_Name,0)))</f>
        <v/>
      </c>
      <c r="U32" s="23">
        <f>T32</f>
        <v/>
      </c>
      <c r="V32" s="85">
        <f>IFERROR(INDEX(Iv_Wochen,MATCH(U32,Iv_Name,0)),"")</f>
        <v/>
      </c>
      <c r="W32" s="81" t="n"/>
      <c r="X32" s="43">
        <f>TRIM(IF(N(K32)&gt;=P_Krit,"AS ","")&amp;IF(N(J32)&gt;=P_Krit,"Q ","")&amp;IF(N(L32)&gt;=P_Krit,"US",""))</f>
        <v/>
      </c>
      <c r="Y32" s="19">
        <f>IF(ISNUMBER(I32),INDEX(IH_Text,I32),"")</f>
        <v/>
      </c>
      <c r="Z32" s="81" t="n"/>
      <c r="AA32" s="83" t="n"/>
      <c r="AB32" s="48">
        <f>IF(AND(ISNUMBER(V32),ISNUMBER(AA32)),52/V32*AA32/60,"")</f>
        <v/>
      </c>
      <c r="AC32" s="86" t="inlineStr">
        <is>
          <t>Verschlussbalken</t>
        </is>
      </c>
      <c r="AD32" s="86" t="inlineStr">
        <is>
          <t>5</t>
        </is>
      </c>
      <c r="AE32" s="86" t="inlineStr">
        <is>
          <t>Maßnahme</t>
        </is>
      </c>
      <c r="AF32" s="43" t="n"/>
      <c r="AG32" s="87" t="inlineStr">
        <is>
          <t>5.1.4</t>
        </is>
      </c>
      <c r="AH32" s="88" t="inlineStr">
        <is>
          <t>kontrolliere Dichtungen (Sichtkontrolle auf Öl-Leckage )</t>
        </is>
      </c>
      <c r="AI32" s="86" t="n">
        <v>27</v>
      </c>
      <c r="AJ32" s="19">
        <f>IF(ISNUMBER(R32),R32-AI32/100000,"")</f>
        <v/>
      </c>
    </row>
    <row r="33" ht="32" customHeight="1">
      <c r="A33" s="80" t="inlineStr">
        <is>
          <t>5.2.3</t>
        </is>
      </c>
      <c r="B33" s="19" t="inlineStr">
        <is>
          <t>Anschlüsse auf Dichtheit und Beschädigungen prüfen</t>
        </is>
      </c>
      <c r="C33" s="81" t="inlineStr">
        <is>
          <t>Inspektion</t>
        </is>
      </c>
      <c r="D33" s="82" t="n"/>
      <c r="E33" s="19" t="n"/>
      <c r="F33" s="19" t="n"/>
      <c r="G33" s="89" t="inlineStr">
        <is>
          <t>Dicht, unbeschädigt</t>
        </is>
      </c>
      <c r="H33" s="83" t="n">
        <v>3</v>
      </c>
      <c r="I33" s="83" t="n">
        <v>3</v>
      </c>
      <c r="J33" s="83" t="n">
        <v>2</v>
      </c>
      <c r="K33" s="83" t="n">
        <v>3</v>
      </c>
      <c r="L33" s="83" t="n">
        <v>5</v>
      </c>
      <c r="M33" s="83" t="n">
        <v>3</v>
      </c>
      <c r="N33" s="84">
        <f>IF(COUNT(H33:M33)=6,SQRT(SUMSQ(H33:M33))/2,"")</f>
        <v/>
      </c>
      <c r="O33" s="83" t="n">
        <v>1</v>
      </c>
      <c r="P33" s="83" t="n">
        <v>5</v>
      </c>
      <c r="Q33" s="84">
        <f>P_SF</f>
        <v/>
      </c>
      <c r="R33" s="50">
        <f>IF(COUNT(N33:Q33)=4,N33*O33*P33*Q33,"")</f>
        <v/>
      </c>
      <c r="S33" s="41">
        <f>IF(R33="","unvollständig",IF(R33&gt;P_Grenze_kritisch,"kritisch",IF(R33&gt;=P_Grenze_hoch,"hoch",IF(R33&gt;=P_Grenze_mittel,"mittel","gering"))))</f>
        <v/>
      </c>
      <c r="T33" s="43">
        <f>IF(S33="unvollständig","Bewertung fehlt",INDEX(Kl_Intervall,MATCH(S33,Kl_Name,0)))</f>
        <v/>
      </c>
      <c r="U33" s="23">
        <f>T33</f>
        <v/>
      </c>
      <c r="V33" s="85">
        <f>IFERROR(INDEX(Iv_Wochen,MATCH(U33,Iv_Name,0)),"")</f>
        <v/>
      </c>
      <c r="W33" s="81" t="n"/>
      <c r="X33" s="43">
        <f>TRIM(IF(N(K33)&gt;=P_Krit,"AS ","")&amp;IF(N(J33)&gt;=P_Krit,"Q ","")&amp;IF(N(L33)&gt;=P_Krit,"US",""))</f>
        <v/>
      </c>
      <c r="Y33" s="19">
        <f>IF(ISNUMBER(I33),INDEX(IH_Text,I33),"")</f>
        <v/>
      </c>
      <c r="Z33" s="81" t="n"/>
      <c r="AA33" s="83" t="n"/>
      <c r="AB33" s="48">
        <f>IF(AND(ISNUMBER(V33),ISNUMBER(AA33)),52/V33*AA33/60,"")</f>
        <v/>
      </c>
      <c r="AC33" s="86" t="inlineStr">
        <is>
          <t>Verschlussbalken</t>
        </is>
      </c>
      <c r="AD33" s="86" t="inlineStr">
        <is>
          <t>5</t>
        </is>
      </c>
      <c r="AE33" s="86" t="inlineStr">
        <is>
          <t>Maßnahme</t>
        </is>
      </c>
      <c r="AF33" s="43" t="n"/>
      <c r="AG33" s="87" t="inlineStr">
        <is>
          <t>5.1.5</t>
        </is>
      </c>
      <c r="AH33" s="88" t="inlineStr">
        <is>
          <t>Anschlüsse auf Dichtheit und Beschädigungen prüfen</t>
        </is>
      </c>
      <c r="AI33" s="86" t="n">
        <v>28</v>
      </c>
      <c r="AJ33" s="19">
        <f>IF(ISNUMBER(R33),R33-AI33/100000,"")</f>
        <v/>
      </c>
    </row>
    <row r="34" ht="32" customHeight="1">
      <c r="A34" s="80" t="inlineStr">
        <is>
          <t>5.2.4</t>
        </is>
      </c>
      <c r="B34" s="19" t="inlineStr">
        <is>
          <t>Befestigung des Zylinders prüfen (wenn möglich)</t>
        </is>
      </c>
      <c r="C34" s="81" t="inlineStr">
        <is>
          <t>Inspektion</t>
        </is>
      </c>
      <c r="D34" s="82" t="n"/>
      <c r="E34" s="19" t="n"/>
      <c r="F34" s="19" t="n"/>
      <c r="G34" s="89" t="inlineStr">
        <is>
          <t>Fest, kein Spiel</t>
        </is>
      </c>
      <c r="H34" s="83" t="n">
        <v>3</v>
      </c>
      <c r="I34" s="83" t="n">
        <v>3</v>
      </c>
      <c r="J34" s="83" t="n">
        <v>2</v>
      </c>
      <c r="K34" s="83" t="n">
        <v>2</v>
      </c>
      <c r="L34" s="83" t="n">
        <v>3</v>
      </c>
      <c r="M34" s="83" t="n">
        <v>3</v>
      </c>
      <c r="N34" s="84">
        <f>IF(COUNT(H34:M34)=6,SQRT(SUMSQ(H34:M34))/2,"")</f>
        <v/>
      </c>
      <c r="O34" s="83" t="n">
        <v>2</v>
      </c>
      <c r="P34" s="83" t="n">
        <v>4</v>
      </c>
      <c r="Q34" s="84">
        <f>P_SF</f>
        <v/>
      </c>
      <c r="R34" s="50">
        <f>IF(COUNT(N34:Q34)=4,N34*O34*P34*Q34,"")</f>
        <v/>
      </c>
      <c r="S34" s="41">
        <f>IF(R34="","unvollständig",IF(R34&gt;P_Grenze_kritisch,"kritisch",IF(R34&gt;=P_Grenze_hoch,"hoch",IF(R34&gt;=P_Grenze_mittel,"mittel","gering"))))</f>
        <v/>
      </c>
      <c r="T34" s="43">
        <f>IF(S34="unvollständig","Bewertung fehlt",INDEX(Kl_Intervall,MATCH(S34,Kl_Name,0)))</f>
        <v/>
      </c>
      <c r="U34" s="23">
        <f>T34</f>
        <v/>
      </c>
      <c r="V34" s="85">
        <f>IFERROR(INDEX(Iv_Wochen,MATCH(U34,Iv_Name,0)),"")</f>
        <v/>
      </c>
      <c r="W34" s="81" t="n"/>
      <c r="X34" s="43">
        <f>TRIM(IF(N(K34)&gt;=P_Krit,"AS ","")&amp;IF(N(J34)&gt;=P_Krit,"Q ","")&amp;IF(N(L34)&gt;=P_Krit,"US",""))</f>
        <v/>
      </c>
      <c r="Y34" s="19">
        <f>IF(ISNUMBER(I34),INDEX(IH_Text,I34),"")</f>
        <v/>
      </c>
      <c r="Z34" s="81" t="n"/>
      <c r="AA34" s="83" t="n"/>
      <c r="AB34" s="48">
        <f>IF(AND(ISNUMBER(V34),ISNUMBER(AA34)),52/V34*AA34/60,"")</f>
        <v/>
      </c>
      <c r="AC34" s="86" t="inlineStr">
        <is>
          <t>Verschlussbalken</t>
        </is>
      </c>
      <c r="AD34" s="86" t="inlineStr">
        <is>
          <t>5</t>
        </is>
      </c>
      <c r="AE34" s="86" t="inlineStr">
        <is>
          <t>Maßnahme</t>
        </is>
      </c>
      <c r="AF34" s="43" t="n"/>
      <c r="AG34" s="87" t="inlineStr">
        <is>
          <t>5.1.6</t>
        </is>
      </c>
      <c r="AH34" s="88" t="inlineStr">
        <is>
          <t>überprüfe die Befestigung des Zylinders (wenn möglich)</t>
        </is>
      </c>
      <c r="AI34" s="86" t="n">
        <v>29</v>
      </c>
      <c r="AJ34" s="19">
        <f>IF(ISNUMBER(R34),R34-AI34/100000,"")</f>
        <v/>
      </c>
    </row>
    <row r="35" ht="32" customHeight="1">
      <c r="A35" s="80" t="inlineStr">
        <is>
          <t>5.2.5</t>
        </is>
      </c>
      <c r="B35" s="19" t="inlineStr">
        <is>
          <t>Funktion des Zylinders testen</t>
        </is>
      </c>
      <c r="C35" s="81" t="inlineStr">
        <is>
          <t>Funktionsprüfung</t>
        </is>
      </c>
      <c r="D35" s="82" t="n"/>
      <c r="E35" s="19" t="n"/>
      <c r="F35" s="19" t="n"/>
      <c r="G35" s="89" t="inlineStr">
        <is>
          <t>Gleichmäßige Bewegung über den gesamten Hub</t>
        </is>
      </c>
      <c r="H35" s="83" t="n">
        <v>3</v>
      </c>
      <c r="I35" s="83" t="n">
        <v>3</v>
      </c>
      <c r="J35" s="83" t="n">
        <v>2</v>
      </c>
      <c r="K35" s="83" t="n">
        <v>1</v>
      </c>
      <c r="L35" s="83" t="n">
        <v>1</v>
      </c>
      <c r="M35" s="83" t="n">
        <v>3</v>
      </c>
      <c r="N35" s="84">
        <f>IF(COUNT(H35:M35)=6,SQRT(SUMSQ(H35:M35))/2,"")</f>
        <v/>
      </c>
      <c r="O35" s="83" t="n">
        <v>2</v>
      </c>
      <c r="P35" s="83" t="n">
        <v>4</v>
      </c>
      <c r="Q35" s="84">
        <f>P_SF</f>
        <v/>
      </c>
      <c r="R35" s="50">
        <f>IF(COUNT(N35:Q35)=4,N35*O35*P35*Q35,"")</f>
        <v/>
      </c>
      <c r="S35" s="41">
        <f>IF(R35="","unvollständig",IF(R35&gt;P_Grenze_kritisch,"kritisch",IF(R35&gt;=P_Grenze_hoch,"hoch",IF(R35&gt;=P_Grenze_mittel,"mittel","gering"))))</f>
        <v/>
      </c>
      <c r="T35" s="43">
        <f>IF(S35="unvollständig","Bewertung fehlt",INDEX(Kl_Intervall,MATCH(S35,Kl_Name,0)))</f>
        <v/>
      </c>
      <c r="U35" s="23">
        <f>T35</f>
        <v/>
      </c>
      <c r="V35" s="85">
        <f>IFERROR(INDEX(Iv_Wochen,MATCH(U35,Iv_Name,0)),"")</f>
        <v/>
      </c>
      <c r="W35" s="81" t="n"/>
      <c r="X35" s="43">
        <f>TRIM(IF(N(K35)&gt;=P_Krit,"AS ","")&amp;IF(N(J35)&gt;=P_Krit,"Q ","")&amp;IF(N(L35)&gt;=P_Krit,"US",""))</f>
        <v/>
      </c>
      <c r="Y35" s="19">
        <f>IF(ISNUMBER(I35),INDEX(IH_Text,I35),"")</f>
        <v/>
      </c>
      <c r="Z35" s="81" t="n"/>
      <c r="AA35" s="83" t="n"/>
      <c r="AB35" s="48">
        <f>IF(AND(ISNUMBER(V35),ISNUMBER(AA35)),52/V35*AA35/60,"")</f>
        <v/>
      </c>
      <c r="AC35" s="86" t="inlineStr">
        <is>
          <t>Verschlussbalken</t>
        </is>
      </c>
      <c r="AD35" s="86" t="inlineStr">
        <is>
          <t>5</t>
        </is>
      </c>
      <c r="AE35" s="86" t="inlineStr">
        <is>
          <t>Maßnahme</t>
        </is>
      </c>
      <c r="AF35" s="43" t="n"/>
      <c r="AG35" s="87" t="inlineStr">
        <is>
          <t>5.1.7</t>
        </is>
      </c>
      <c r="AH35" s="88" t="inlineStr">
        <is>
          <t>Funktion des Zylinders testen</t>
        </is>
      </c>
      <c r="AI35" s="86" t="n">
        <v>30</v>
      </c>
      <c r="AJ35" s="19">
        <f>IF(ISNUMBER(R35),R35-AI35/100000,"")</f>
        <v/>
      </c>
    </row>
    <row r="36" ht="32" customHeight="1">
      <c r="A36" s="80" t="inlineStr">
        <is>
          <t>5.2.6</t>
        </is>
      </c>
      <c r="B36" s="19" t="inlineStr">
        <is>
          <t>Hydraulikverschraubungen kontrollieren, ggf. nachziehen</t>
        </is>
      </c>
      <c r="C36" s="81" t="inlineStr">
        <is>
          <t>Inspektion</t>
        </is>
      </c>
      <c r="D36" s="82" t="n"/>
      <c r="E36" s="19" t="n"/>
      <c r="F36" s="19" t="n"/>
      <c r="G36" s="89" t="inlineStr">
        <is>
          <t>Verschraubungen fest und dicht</t>
        </is>
      </c>
      <c r="H36" s="83" t="n">
        <v>3</v>
      </c>
      <c r="I36" s="83" t="n">
        <v>3</v>
      </c>
      <c r="J36" s="83" t="n">
        <v>2</v>
      </c>
      <c r="K36" s="83" t="n">
        <v>3</v>
      </c>
      <c r="L36" s="83" t="n">
        <v>4</v>
      </c>
      <c r="M36" s="83" t="n">
        <v>3</v>
      </c>
      <c r="N36" s="84">
        <f>IF(COUNT(H36:M36)=6,SQRT(SUMSQ(H36:M36))/2,"")</f>
        <v/>
      </c>
      <c r="O36" s="83" t="n">
        <v>3</v>
      </c>
      <c r="P36" s="83" t="n">
        <v>4</v>
      </c>
      <c r="Q36" s="84">
        <f>P_SF</f>
        <v/>
      </c>
      <c r="R36" s="50">
        <f>IF(COUNT(N36:Q36)=4,N36*O36*P36*Q36,"")</f>
        <v/>
      </c>
      <c r="S36" s="41">
        <f>IF(R36="","unvollständig",IF(R36&gt;P_Grenze_kritisch,"kritisch",IF(R36&gt;=P_Grenze_hoch,"hoch",IF(R36&gt;=P_Grenze_mittel,"mittel","gering"))))</f>
        <v/>
      </c>
      <c r="T36" s="43">
        <f>IF(S36="unvollständig","Bewertung fehlt",INDEX(Kl_Intervall,MATCH(S36,Kl_Name,0)))</f>
        <v/>
      </c>
      <c r="U36" s="23">
        <f>T36</f>
        <v/>
      </c>
      <c r="V36" s="85">
        <f>IFERROR(INDEX(Iv_Wochen,MATCH(U36,Iv_Name,0)),"")</f>
        <v/>
      </c>
      <c r="W36" s="81" t="n"/>
      <c r="X36" s="43">
        <f>TRIM(IF(N(K36)&gt;=P_Krit,"AS ","")&amp;IF(N(J36)&gt;=P_Krit,"Q ","")&amp;IF(N(L36)&gt;=P_Krit,"US",""))</f>
        <v/>
      </c>
      <c r="Y36" s="19">
        <f>IF(ISNUMBER(I36),INDEX(IH_Text,I36),"")</f>
        <v/>
      </c>
      <c r="Z36" s="81" t="n"/>
      <c r="AA36" s="83" t="n"/>
      <c r="AB36" s="48">
        <f>IF(AND(ISNUMBER(V36),ISNUMBER(AA36)),52/V36*AA36/60,"")</f>
        <v/>
      </c>
      <c r="AC36" s="86" t="inlineStr">
        <is>
          <t>Verschlussbalken</t>
        </is>
      </c>
      <c r="AD36" s="86" t="inlineStr">
        <is>
          <t>5</t>
        </is>
      </c>
      <c r="AE36" s="86" t="inlineStr">
        <is>
          <t>Maßnahme</t>
        </is>
      </c>
      <c r="AF36" s="43" t="n"/>
      <c r="AG36" s="87" t="inlineStr">
        <is>
          <t>5.1.8</t>
        </is>
      </c>
      <c r="AH36" s="88" t="inlineStr">
        <is>
          <t>kontrolliere Hydraulikverschraubungen ggf. nachziehen</t>
        </is>
      </c>
      <c r="AI36" s="86" t="n">
        <v>31</v>
      </c>
      <c r="AJ36" s="19">
        <f>IF(ISNUMBER(R36),R36-AI36/100000,"")</f>
        <v/>
      </c>
    </row>
    <row r="37" ht="32" customHeight="1">
      <c r="A37" s="80" t="inlineStr">
        <is>
          <t>5.2.7</t>
        </is>
      </c>
      <c r="B37" s="19" t="inlineStr">
        <is>
          <t>Hydraulikschläuche/-leitungen auf Dichtheit und Beschädigungen prüfen, ggf. nachziehen</t>
        </is>
      </c>
      <c r="C37" s="81" t="inlineStr">
        <is>
          <t>Inspektion</t>
        </is>
      </c>
      <c r="D37" s="82" t="n"/>
      <c r="E37" s="19" t="n"/>
      <c r="F37" s="19" t="n"/>
      <c r="G37" s="89" t="inlineStr">
        <is>
          <t>Dicht; keine Scheuerstellen, Risse oder Knicke</t>
        </is>
      </c>
      <c r="H37" s="83" t="n">
        <v>3</v>
      </c>
      <c r="I37" s="83" t="n">
        <v>3</v>
      </c>
      <c r="J37" s="83" t="n">
        <v>2</v>
      </c>
      <c r="K37" s="83" t="n">
        <v>3</v>
      </c>
      <c r="L37" s="83" t="n">
        <v>5</v>
      </c>
      <c r="M37" s="83" t="n">
        <v>3</v>
      </c>
      <c r="N37" s="84">
        <f>IF(COUNT(H37:M37)=6,SQRT(SUMSQ(H37:M37))/2,"")</f>
        <v/>
      </c>
      <c r="O37" s="83" t="n">
        <v>4</v>
      </c>
      <c r="P37" s="83" t="n">
        <v>4</v>
      </c>
      <c r="Q37" s="84">
        <f>P_SF</f>
        <v/>
      </c>
      <c r="R37" s="50">
        <f>IF(COUNT(N37:Q37)=4,N37*O37*P37*Q37,"")</f>
        <v/>
      </c>
      <c r="S37" s="41">
        <f>IF(R37="","unvollständig",IF(R37&gt;P_Grenze_kritisch,"kritisch",IF(R37&gt;=P_Grenze_hoch,"hoch",IF(R37&gt;=P_Grenze_mittel,"mittel","gering"))))</f>
        <v/>
      </c>
      <c r="T37" s="43">
        <f>IF(S37="unvollständig","Bewertung fehlt",INDEX(Kl_Intervall,MATCH(S37,Kl_Name,0)))</f>
        <v/>
      </c>
      <c r="U37" s="23">
        <f>T37</f>
        <v/>
      </c>
      <c r="V37" s="85">
        <f>IFERROR(INDEX(Iv_Wochen,MATCH(U37,Iv_Name,0)),"")</f>
        <v/>
      </c>
      <c r="W37" s="81" t="n"/>
      <c r="X37" s="43">
        <f>TRIM(IF(N(K37)&gt;=P_Krit,"AS ","")&amp;IF(N(J37)&gt;=P_Krit,"Q ","")&amp;IF(N(L37)&gt;=P_Krit,"US",""))</f>
        <v/>
      </c>
      <c r="Y37" s="19">
        <f>IF(ISNUMBER(I37),INDEX(IH_Text,I37),"")</f>
        <v/>
      </c>
      <c r="Z37" s="81" t="n"/>
      <c r="AA37" s="83" t="n"/>
      <c r="AB37" s="48">
        <f>IF(AND(ISNUMBER(V37),ISNUMBER(AA37)),52/V37*AA37/60,"")</f>
        <v/>
      </c>
      <c r="AC37" s="86" t="inlineStr">
        <is>
          <t>Verschlussbalken</t>
        </is>
      </c>
      <c r="AD37" s="86" t="inlineStr">
        <is>
          <t>5</t>
        </is>
      </c>
      <c r="AE37" s="86" t="inlineStr">
        <is>
          <t>Maßnahme</t>
        </is>
      </c>
      <c r="AF37" s="43" t="n"/>
      <c r="AG37" s="87" t="inlineStr">
        <is>
          <t>5.1.9</t>
        </is>
      </c>
      <c r="AH37" s="88" t="inlineStr">
        <is>
          <t>Hydraulikschläuche/Hydraulikleitungen auf Dichtheit und Beschädigungen prüfen ggf. Nachziehen</t>
        </is>
      </c>
      <c r="AI37" s="86" t="n">
        <v>32</v>
      </c>
      <c r="AJ37" s="19">
        <f>IF(ISNUMBER(R37),R37-AI37/100000,"")</f>
        <v/>
      </c>
    </row>
    <row r="38" ht="18" customHeight="1">
      <c r="A38" s="90" t="inlineStr">
        <is>
          <t>5.3</t>
        </is>
      </c>
      <c r="B38" s="91" t="inlineStr">
        <is>
          <t>Alle Sensoren/Endschalter nach folgenden Kriterien inspizieren:</t>
        </is>
      </c>
      <c r="C38" s="91" t="n"/>
      <c r="D38" s="91" t="n"/>
      <c r="E38" s="91" t="n"/>
      <c r="F38" s="91" t="n"/>
      <c r="G38" s="91" t="n"/>
      <c r="H38" s="91" t="n"/>
      <c r="I38" s="91" t="n"/>
      <c r="J38" s="91" t="n"/>
      <c r="K38" s="91" t="n"/>
      <c r="L38" s="91" t="n"/>
      <c r="M38" s="91" t="n"/>
      <c r="N38" s="91" t="n"/>
      <c r="O38" s="91" t="n"/>
      <c r="P38" s="91" t="n"/>
      <c r="Q38" s="91" t="n"/>
      <c r="R38" s="91" t="n"/>
      <c r="S38" s="91" t="n"/>
      <c r="T38" s="91" t="n"/>
      <c r="U38" s="91" t="n"/>
      <c r="V38" s="91" t="n"/>
      <c r="W38" s="91" t="n"/>
      <c r="X38" s="91" t="n"/>
      <c r="Y38" s="91" t="n"/>
      <c r="Z38" s="91" t="n"/>
      <c r="AA38" s="91" t="n"/>
      <c r="AB38" s="91" t="n"/>
      <c r="AC38" s="92" t="inlineStr">
        <is>
          <t>Verschlussbalken</t>
        </is>
      </c>
      <c r="AD38" s="92" t="inlineStr">
        <is>
          <t>5</t>
        </is>
      </c>
      <c r="AE38" s="92" t="inlineStr">
        <is>
          <t>Prüfgruppe</t>
        </is>
      </c>
      <c r="AF38" s="91" t="n"/>
      <c r="AG38" s="93" t="inlineStr">
        <is>
          <t>5.2</t>
        </is>
      </c>
      <c r="AH38" s="94" t="inlineStr">
        <is>
          <t>Inspiziere alle Sensoren/Endschalter nach folgenden Kriterien:</t>
        </is>
      </c>
      <c r="AI38" s="92" t="n">
        <v>33</v>
      </c>
      <c r="AJ38" s="91" t="n"/>
    </row>
    <row r="39" ht="19" customHeight="1">
      <c r="A39" s="80" t="inlineStr">
        <is>
          <t>5.3.1</t>
        </is>
      </c>
      <c r="B39" s="19" t="inlineStr">
        <is>
          <t>Funktion testen</t>
        </is>
      </c>
      <c r="C39" s="81" t="inlineStr">
        <is>
          <t>Funktionsprüfung</t>
        </is>
      </c>
      <c r="D39" s="82" t="n"/>
      <c r="E39" s="19" t="n"/>
      <c r="F39" s="19" t="n"/>
      <c r="G39" s="89" t="inlineStr">
        <is>
          <t>Schaltsignal kommt sicher</t>
        </is>
      </c>
      <c r="H39" s="83" t="n">
        <v>3</v>
      </c>
      <c r="I39" s="83" t="n">
        <v>1</v>
      </c>
      <c r="J39" s="83" t="n">
        <v>2</v>
      </c>
      <c r="K39" s="83" t="n">
        <v>4</v>
      </c>
      <c r="L39" s="83" t="n">
        <v>1</v>
      </c>
      <c r="M39" s="83" t="n">
        <v>3</v>
      </c>
      <c r="N39" s="84">
        <f>IF(COUNT(H39:M39)=6,SQRT(SUMSQ(H39:M39))/2,"")</f>
        <v/>
      </c>
      <c r="O39" s="83" t="n">
        <v>3</v>
      </c>
      <c r="P39" s="83" t="n">
        <v>2</v>
      </c>
      <c r="Q39" s="84">
        <f>P_SF</f>
        <v/>
      </c>
      <c r="R39" s="50">
        <f>IF(COUNT(N39:Q39)=4,N39*O39*P39*Q39,"")</f>
        <v/>
      </c>
      <c r="S39" s="41">
        <f>IF(R39="","unvollständig",IF(R39&gt;P_Grenze_kritisch,"kritisch",IF(R39&gt;=P_Grenze_hoch,"hoch",IF(R39&gt;=P_Grenze_mittel,"mittel","gering"))))</f>
        <v/>
      </c>
      <c r="T39" s="43">
        <f>IF(S39="unvollständig","Bewertung fehlt",INDEX(Kl_Intervall,MATCH(S39,Kl_Name,0)))</f>
        <v/>
      </c>
      <c r="U39" s="23">
        <f>T39</f>
        <v/>
      </c>
      <c r="V39" s="85">
        <f>IFERROR(INDEX(Iv_Wochen,MATCH(U39,Iv_Name,0)),"")</f>
        <v/>
      </c>
      <c r="W39" s="81" t="n"/>
      <c r="X39" s="43">
        <f>TRIM(IF(N(K39)&gt;=P_Krit,"AS ","")&amp;IF(N(J39)&gt;=P_Krit,"Q ","")&amp;IF(N(L39)&gt;=P_Krit,"US",""))</f>
        <v/>
      </c>
      <c r="Y39" s="19">
        <f>IF(ISNUMBER(I39),INDEX(IH_Text,I39),"")</f>
        <v/>
      </c>
      <c r="Z39" s="81" t="n"/>
      <c r="AA39" s="83" t="n"/>
      <c r="AB39" s="48">
        <f>IF(AND(ISNUMBER(V39),ISNUMBER(AA39)),52/V39*AA39/60,"")</f>
        <v/>
      </c>
      <c r="AC39" s="86" t="inlineStr">
        <is>
          <t>Verschlussbalken</t>
        </is>
      </c>
      <c r="AD39" s="86" t="inlineStr">
        <is>
          <t>5</t>
        </is>
      </c>
      <c r="AE39" s="86" t="inlineStr">
        <is>
          <t>Maßnahme</t>
        </is>
      </c>
      <c r="AF39" s="43" t="n"/>
      <c r="AG39" s="87" t="inlineStr">
        <is>
          <t>5.2.1</t>
        </is>
      </c>
      <c r="AH39" s="88" t="inlineStr">
        <is>
          <t>Funktion testen</t>
        </is>
      </c>
      <c r="AI39" s="86" t="n">
        <v>34</v>
      </c>
      <c r="AJ39" s="19">
        <f>IF(ISNUMBER(R39),R39-AI39/100000,"")</f>
        <v/>
      </c>
    </row>
    <row r="40" ht="19" customHeight="1">
      <c r="A40" s="80" t="inlineStr">
        <is>
          <t>5.3.2</t>
        </is>
      </c>
      <c r="B40" s="19" t="inlineStr">
        <is>
          <t>Anschlüsse kontrollieren</t>
        </is>
      </c>
      <c r="C40" s="81" t="inlineStr">
        <is>
          <t>Inspektion</t>
        </is>
      </c>
      <c r="D40" s="82" t="n"/>
      <c r="E40" s="19" t="n"/>
      <c r="F40" s="19" t="n"/>
      <c r="G40" s="89" t="inlineStr">
        <is>
          <t>Stecker fest, unbeschädigt</t>
        </is>
      </c>
      <c r="H40" s="83" t="n">
        <v>3</v>
      </c>
      <c r="I40" s="83" t="n">
        <v>2</v>
      </c>
      <c r="J40" s="83" t="n">
        <v>2</v>
      </c>
      <c r="K40" s="83" t="n">
        <v>4</v>
      </c>
      <c r="L40" s="83" t="n">
        <v>1</v>
      </c>
      <c r="M40" s="83" t="n">
        <v>3</v>
      </c>
      <c r="N40" s="84">
        <f>IF(COUNT(H40:M40)=6,SQRT(SUMSQ(H40:M40))/2,"")</f>
        <v/>
      </c>
      <c r="O40" s="83" t="n">
        <v>3</v>
      </c>
      <c r="P40" s="83" t="n">
        <v>5</v>
      </c>
      <c r="Q40" s="84">
        <f>P_SF</f>
        <v/>
      </c>
      <c r="R40" s="50">
        <f>IF(COUNT(N40:Q40)=4,N40*O40*P40*Q40,"")</f>
        <v/>
      </c>
      <c r="S40" s="41">
        <f>IF(R40="","unvollständig",IF(R40&gt;P_Grenze_kritisch,"kritisch",IF(R40&gt;=P_Grenze_hoch,"hoch",IF(R40&gt;=P_Grenze_mittel,"mittel","gering"))))</f>
        <v/>
      </c>
      <c r="T40" s="43">
        <f>IF(S40="unvollständig","Bewertung fehlt",INDEX(Kl_Intervall,MATCH(S40,Kl_Name,0)))</f>
        <v/>
      </c>
      <c r="U40" s="23">
        <f>T40</f>
        <v/>
      </c>
      <c r="V40" s="85">
        <f>IFERROR(INDEX(Iv_Wochen,MATCH(U40,Iv_Name,0)),"")</f>
        <v/>
      </c>
      <c r="W40" s="81" t="n"/>
      <c r="X40" s="43">
        <f>TRIM(IF(N(K40)&gt;=P_Krit,"AS ","")&amp;IF(N(J40)&gt;=P_Krit,"Q ","")&amp;IF(N(L40)&gt;=P_Krit,"US",""))</f>
        <v/>
      </c>
      <c r="Y40" s="19">
        <f>IF(ISNUMBER(I40),INDEX(IH_Text,I40),"")</f>
        <v/>
      </c>
      <c r="Z40" s="81" t="n"/>
      <c r="AA40" s="83" t="n"/>
      <c r="AB40" s="48">
        <f>IF(AND(ISNUMBER(V40),ISNUMBER(AA40)),52/V40*AA40/60,"")</f>
        <v/>
      </c>
      <c r="AC40" s="86" t="inlineStr">
        <is>
          <t>Verschlussbalken</t>
        </is>
      </c>
      <c r="AD40" s="86" t="inlineStr">
        <is>
          <t>5</t>
        </is>
      </c>
      <c r="AE40" s="86" t="inlineStr">
        <is>
          <t>Maßnahme</t>
        </is>
      </c>
      <c r="AF40" s="43" t="n"/>
      <c r="AG40" s="87" t="inlineStr">
        <is>
          <t>5.2.2</t>
        </is>
      </c>
      <c r="AH40" s="88" t="inlineStr">
        <is>
          <t>Anschlüsse kontrollieren</t>
        </is>
      </c>
      <c r="AI40" s="86" t="n">
        <v>35</v>
      </c>
      <c r="AJ40" s="19">
        <f>IF(ISNUMBER(R40),R40-AI40/100000,"")</f>
        <v/>
      </c>
    </row>
    <row r="41" ht="19" customHeight="1">
      <c r="A41" s="80" t="inlineStr">
        <is>
          <t>5.3.3</t>
        </is>
      </c>
      <c r="B41" s="19" t="inlineStr">
        <is>
          <t>Befestigung und Position kontrollieren</t>
        </is>
      </c>
      <c r="C41" s="81" t="inlineStr">
        <is>
          <t>Inspektion</t>
        </is>
      </c>
      <c r="D41" s="82" t="n"/>
      <c r="E41" s="19" t="n"/>
      <c r="F41" s="19" t="n"/>
      <c r="G41" s="89" t="inlineStr">
        <is>
          <t>Fest, Position unverändert</t>
        </is>
      </c>
      <c r="H41" s="83" t="n">
        <v>3</v>
      </c>
      <c r="I41" s="83" t="n">
        <v>2</v>
      </c>
      <c r="J41" s="83" t="n">
        <v>2</v>
      </c>
      <c r="K41" s="83" t="n">
        <v>3</v>
      </c>
      <c r="L41" s="83" t="n">
        <v>1</v>
      </c>
      <c r="M41" s="83" t="n">
        <v>3</v>
      </c>
      <c r="N41" s="84">
        <f>IF(COUNT(H41:M41)=6,SQRT(SUMSQ(H41:M41))/2,"")</f>
        <v/>
      </c>
      <c r="O41" s="83" t="n">
        <v>3</v>
      </c>
      <c r="P41" s="83" t="n">
        <v>3</v>
      </c>
      <c r="Q41" s="84">
        <f>P_SF</f>
        <v/>
      </c>
      <c r="R41" s="50">
        <f>IF(COUNT(N41:Q41)=4,N41*O41*P41*Q41,"")</f>
        <v/>
      </c>
      <c r="S41" s="41">
        <f>IF(R41="","unvollständig",IF(R41&gt;P_Grenze_kritisch,"kritisch",IF(R41&gt;=P_Grenze_hoch,"hoch",IF(R41&gt;=P_Grenze_mittel,"mittel","gering"))))</f>
        <v/>
      </c>
      <c r="T41" s="43">
        <f>IF(S41="unvollständig","Bewertung fehlt",INDEX(Kl_Intervall,MATCH(S41,Kl_Name,0)))</f>
        <v/>
      </c>
      <c r="U41" s="23">
        <f>T41</f>
        <v/>
      </c>
      <c r="V41" s="85">
        <f>IFERROR(INDEX(Iv_Wochen,MATCH(U41,Iv_Name,0)),"")</f>
        <v/>
      </c>
      <c r="W41" s="81" t="n"/>
      <c r="X41" s="43">
        <f>TRIM(IF(N(K41)&gt;=P_Krit,"AS ","")&amp;IF(N(J41)&gt;=P_Krit,"Q ","")&amp;IF(N(L41)&gt;=P_Krit,"US",""))</f>
        <v/>
      </c>
      <c r="Y41" s="19">
        <f>IF(ISNUMBER(I41),INDEX(IH_Text,I41),"")</f>
        <v/>
      </c>
      <c r="Z41" s="81" t="n"/>
      <c r="AA41" s="83" t="n"/>
      <c r="AB41" s="48">
        <f>IF(AND(ISNUMBER(V41),ISNUMBER(AA41)),52/V41*AA41/60,"")</f>
        <v/>
      </c>
      <c r="AC41" s="86" t="inlineStr">
        <is>
          <t>Verschlussbalken</t>
        </is>
      </c>
      <c r="AD41" s="86" t="inlineStr">
        <is>
          <t>5</t>
        </is>
      </c>
      <c r="AE41" s="86" t="inlineStr">
        <is>
          <t>Maßnahme</t>
        </is>
      </c>
      <c r="AF41" s="43" t="n"/>
      <c r="AG41" s="87" t="inlineStr">
        <is>
          <t>5.2.3</t>
        </is>
      </c>
      <c r="AH41" s="88" t="inlineStr">
        <is>
          <t xml:space="preserve">Befestigung und Position kontrollieren </t>
        </is>
      </c>
      <c r="AI41" s="86" t="n">
        <v>36</v>
      </c>
      <c r="AJ41" s="19">
        <f>IF(ISNUMBER(R41),R41-AI41/100000,"")</f>
        <v/>
      </c>
    </row>
    <row r="42" ht="19" customHeight="1">
      <c r="A42" s="80" t="inlineStr">
        <is>
          <t>5.3.4</t>
        </is>
      </c>
      <c r="B42" s="19" t="inlineStr">
        <is>
          <t>Sensor auf Beschädigung kontrollieren</t>
        </is>
      </c>
      <c r="C42" s="81" t="inlineStr">
        <is>
          <t>Inspektion</t>
        </is>
      </c>
      <c r="D42" s="82" t="n"/>
      <c r="E42" s="19" t="n"/>
      <c r="F42" s="19" t="n"/>
      <c r="G42" s="89" t="inlineStr">
        <is>
          <t>Keine Beschädigung</t>
        </is>
      </c>
      <c r="H42" s="83" t="n">
        <v>3</v>
      </c>
      <c r="I42" s="83" t="n">
        <v>1</v>
      </c>
      <c r="J42" s="83" t="n">
        <v>2</v>
      </c>
      <c r="K42" s="83" t="n">
        <v>3</v>
      </c>
      <c r="L42" s="83" t="n">
        <v>1</v>
      </c>
      <c r="M42" s="83" t="n">
        <v>3</v>
      </c>
      <c r="N42" s="84">
        <f>IF(COUNT(H42:M42)=6,SQRT(SUMSQ(H42:M42))/2,"")</f>
        <v/>
      </c>
      <c r="O42" s="83" t="n">
        <v>3</v>
      </c>
      <c r="P42" s="83" t="n">
        <v>3</v>
      </c>
      <c r="Q42" s="84">
        <f>P_SF</f>
        <v/>
      </c>
      <c r="R42" s="50">
        <f>IF(COUNT(N42:Q42)=4,N42*O42*P42*Q42,"")</f>
        <v/>
      </c>
      <c r="S42" s="41">
        <f>IF(R42="","unvollständig",IF(R42&gt;P_Grenze_kritisch,"kritisch",IF(R42&gt;=P_Grenze_hoch,"hoch",IF(R42&gt;=P_Grenze_mittel,"mittel","gering"))))</f>
        <v/>
      </c>
      <c r="T42" s="43">
        <f>IF(S42="unvollständig","Bewertung fehlt",INDEX(Kl_Intervall,MATCH(S42,Kl_Name,0)))</f>
        <v/>
      </c>
      <c r="U42" s="23">
        <f>T42</f>
        <v/>
      </c>
      <c r="V42" s="85">
        <f>IFERROR(INDEX(Iv_Wochen,MATCH(U42,Iv_Name,0)),"")</f>
        <v/>
      </c>
      <c r="W42" s="81" t="n"/>
      <c r="X42" s="43">
        <f>TRIM(IF(N(K42)&gt;=P_Krit,"AS ","")&amp;IF(N(J42)&gt;=P_Krit,"Q ","")&amp;IF(N(L42)&gt;=P_Krit,"US",""))</f>
        <v/>
      </c>
      <c r="Y42" s="19">
        <f>IF(ISNUMBER(I42),INDEX(IH_Text,I42),"")</f>
        <v/>
      </c>
      <c r="Z42" s="81" t="n"/>
      <c r="AA42" s="83" t="n"/>
      <c r="AB42" s="48">
        <f>IF(AND(ISNUMBER(V42),ISNUMBER(AA42)),52/V42*AA42/60,"")</f>
        <v/>
      </c>
      <c r="AC42" s="86" t="inlineStr">
        <is>
          <t>Verschlussbalken</t>
        </is>
      </c>
      <c r="AD42" s="86" t="inlineStr">
        <is>
          <t>5</t>
        </is>
      </c>
      <c r="AE42" s="86" t="inlineStr">
        <is>
          <t>Maßnahme</t>
        </is>
      </c>
      <c r="AF42" s="43" t="n"/>
      <c r="AG42" s="87" t="inlineStr">
        <is>
          <t>5.2.4</t>
        </is>
      </c>
      <c r="AH42" s="88" t="inlineStr">
        <is>
          <t xml:space="preserve">Sensor auf Beschädigung kontrollieren </t>
        </is>
      </c>
      <c r="AI42" s="86" t="n">
        <v>37</v>
      </c>
      <c r="AJ42" s="19">
        <f>IF(ISNUMBER(R42),R42-AI42/100000,"")</f>
        <v/>
      </c>
    </row>
    <row r="43" ht="32" customHeight="1">
      <c r="A43" s="80" t="inlineStr">
        <is>
          <t>5.3.5</t>
        </is>
      </c>
      <c r="B43" s="19" t="inlineStr">
        <is>
          <t>Kabelklemmung, Knickschutz, Kabelkasten und Leitungen auf Beschädigung prüfen</t>
        </is>
      </c>
      <c r="C43" s="81" t="inlineStr">
        <is>
          <t>Inspektion</t>
        </is>
      </c>
      <c r="D43" s="82" t="inlineStr">
        <is>
          <t>⚠ Gefahrenstelle</t>
        </is>
      </c>
      <c r="E43" s="19" t="n"/>
      <c r="F43" s="19" t="n"/>
      <c r="G43" s="89" t="inlineStr">
        <is>
          <t>Keine Beschädigung; Zugentlastung wirksam</t>
        </is>
      </c>
      <c r="H43" s="83" t="n">
        <v>3</v>
      </c>
      <c r="I43" s="83" t="n">
        <v>3</v>
      </c>
      <c r="J43" s="83" t="n">
        <v>2</v>
      </c>
      <c r="K43" s="83" t="n">
        <v>5</v>
      </c>
      <c r="L43" s="83" t="n">
        <v>1</v>
      </c>
      <c r="M43" s="83" t="n">
        <v>3</v>
      </c>
      <c r="N43" s="84">
        <f>IF(COUNT(H43:M43)=6,SQRT(SUMSQ(H43:M43))/2,"")</f>
        <v/>
      </c>
      <c r="O43" s="83" t="n">
        <v>1</v>
      </c>
      <c r="P43" s="83" t="n">
        <v>3</v>
      </c>
      <c r="Q43" s="84">
        <f>P_SF</f>
        <v/>
      </c>
      <c r="R43" s="50">
        <f>IF(COUNT(N43:Q43)=4,N43*O43*P43*Q43,"")</f>
        <v/>
      </c>
      <c r="S43" s="41">
        <f>IF(R43="","unvollständig",IF(R43&gt;P_Grenze_kritisch,"kritisch",IF(R43&gt;=P_Grenze_hoch,"hoch",IF(R43&gt;=P_Grenze_mittel,"mittel","gering"))))</f>
        <v/>
      </c>
      <c r="T43" s="43">
        <f>IF(S43="unvollständig","Bewertung fehlt",INDEX(Kl_Intervall,MATCH(S43,Kl_Name,0)))</f>
        <v/>
      </c>
      <c r="U43" s="23">
        <f>T43</f>
        <v/>
      </c>
      <c r="V43" s="85">
        <f>IFERROR(INDEX(Iv_Wochen,MATCH(U43,Iv_Name,0)),"")</f>
        <v/>
      </c>
      <c r="W43" s="81" t="n"/>
      <c r="X43" s="43">
        <f>TRIM(IF(N(K43)&gt;=P_Krit,"AS ","")&amp;IF(N(J43)&gt;=P_Krit,"Q ","")&amp;IF(N(L43)&gt;=P_Krit,"US",""))</f>
        <v/>
      </c>
      <c r="Y43" s="19">
        <f>IF(ISNUMBER(I43),INDEX(IH_Text,I43),"")</f>
        <v/>
      </c>
      <c r="Z43" s="81" t="n"/>
      <c r="AA43" s="83" t="n"/>
      <c r="AB43" s="48">
        <f>IF(AND(ISNUMBER(V43),ISNUMBER(AA43)),52/V43*AA43/60,"")</f>
        <v/>
      </c>
      <c r="AC43" s="86" t="inlineStr">
        <is>
          <t>Verschlussbalken</t>
        </is>
      </c>
      <c r="AD43" s="86" t="inlineStr">
        <is>
          <t>5</t>
        </is>
      </c>
      <c r="AE43" s="86" t="inlineStr">
        <is>
          <t>Maßnahme</t>
        </is>
      </c>
      <c r="AF43" s="43" t="n"/>
      <c r="AG43" s="87" t="inlineStr">
        <is>
          <t>5.2.5</t>
        </is>
      </c>
      <c r="AH43" s="88" t="inlineStr">
        <is>
          <t>Prüfe Kabelklemmung, Knickschutz, Kabelkasten und Leitungen auf Beschädigung</t>
        </is>
      </c>
      <c r="AI43" s="86" t="n">
        <v>38</v>
      </c>
      <c r="AJ43" s="19">
        <f>IF(ISNUMBER(R43),R43-AI43/100000,"")</f>
        <v/>
      </c>
    </row>
    <row r="44" ht="32" customHeight="1">
      <c r="A44" s="74" t="inlineStr">
        <is>
          <t>6</t>
        </is>
      </c>
      <c r="B44" s="75" t="inlineStr">
        <is>
          <t>Hydraulik-/Pneumatikzylinder (Baugruppe in der Vorversion nicht benannt)</t>
        </is>
      </c>
      <c r="C44" s="75" t="n"/>
      <c r="D44" s="76" t="n"/>
      <c r="E44" s="75" t="n"/>
      <c r="F44" s="75" t="n"/>
      <c r="G44" s="75" t="n"/>
      <c r="H44" s="75" t="n"/>
      <c r="I44" s="75" t="n"/>
      <c r="J44" s="75" t="n"/>
      <c r="K44" s="75" t="n"/>
      <c r="L44" s="75" t="n"/>
      <c r="M44" s="75" t="n"/>
      <c r="N44" s="75" t="n"/>
      <c r="O44" s="75" t="n"/>
      <c r="P44" s="75" t="n"/>
      <c r="Q44" s="75" t="n"/>
      <c r="R44" s="75" t="n"/>
      <c r="S44" s="75" t="n"/>
      <c r="T44" s="75" t="n"/>
      <c r="U44" s="75" t="n"/>
      <c r="V44" s="75" t="n"/>
      <c r="W44" s="75" t="n"/>
      <c r="X44" s="75" t="n"/>
      <c r="Y44" s="75" t="n"/>
      <c r="Z44" s="75" t="n"/>
      <c r="AA44" s="75" t="n"/>
      <c r="AB44" s="75" t="n"/>
      <c r="AC44" s="77" t="inlineStr">
        <is>
          <t>Hydraulik-/Pneumatikzylinder (Baugruppe in der Vorversion nicht benannt)</t>
        </is>
      </c>
      <c r="AD44" s="77" t="inlineStr">
        <is>
          <t>–</t>
        </is>
      </c>
      <c r="AE44" s="77" t="inlineStr">
        <is>
          <t>Baugruppe</t>
        </is>
      </c>
      <c r="AF44" s="75" t="n"/>
      <c r="AG44" s="78" t="inlineStr">
        <is>
          <t>–</t>
        </is>
      </c>
      <c r="AH44" s="79" t="inlineStr">
        <is>
          <t>– (in Vorversion nicht vorhanden)</t>
        </is>
      </c>
      <c r="AI44" s="77" t="n">
        <v>39</v>
      </c>
      <c r="AJ44" s="75" t="n"/>
    </row>
    <row r="45" ht="18" customHeight="1">
      <c r="A45" s="90" t="inlineStr">
        <is>
          <t>6.1</t>
        </is>
      </c>
      <c r="B45" s="91" t="inlineStr">
        <is>
          <t>Alle Hydraulik-/Pneumatikzylinder nach folgenden Kriterien inspizieren:</t>
        </is>
      </c>
      <c r="C45" s="91" t="n"/>
      <c r="D45" s="91" t="n"/>
      <c r="E45" s="91" t="n"/>
      <c r="F45" s="91" t="n"/>
      <c r="G45" s="91" t="n"/>
      <c r="H45" s="91" t="n"/>
      <c r="I45" s="91" t="n"/>
      <c r="J45" s="91" t="n"/>
      <c r="K45" s="91" t="n"/>
      <c r="L45" s="91" t="n"/>
      <c r="M45" s="91" t="n"/>
      <c r="N45" s="91" t="n"/>
      <c r="O45" s="91" t="n"/>
      <c r="P45" s="91" t="n"/>
      <c r="Q45" s="91" t="n"/>
      <c r="R45" s="91" t="n"/>
      <c r="S45" s="91" t="n"/>
      <c r="T45" s="91" t="n"/>
      <c r="U45" s="91" t="n"/>
      <c r="V45" s="91" t="n"/>
      <c r="W45" s="91" t="n"/>
      <c r="X45" s="91" t="n"/>
      <c r="Y45" s="91" t="n"/>
      <c r="Z45" s="91" t="n"/>
      <c r="AA45" s="91" t="n"/>
      <c r="AB45" s="91" t="n"/>
      <c r="AC45" s="92" t="inlineStr">
        <is>
          <t>Hydraulik-/Pneumatikzylinder (Baugruppe in der Vorversion nicht benannt)</t>
        </is>
      </c>
      <c r="AD45" s="92" t="inlineStr">
        <is>
          <t>–</t>
        </is>
      </c>
      <c r="AE45" s="92" t="inlineStr">
        <is>
          <t>Prüfgruppe</t>
        </is>
      </c>
      <c r="AF45" s="91" t="n"/>
      <c r="AG45" s="93" t="inlineStr">
        <is>
          <t>6.1</t>
        </is>
      </c>
      <c r="AH45" s="94" t="inlineStr">
        <is>
          <t>Inspiziere alle Hydraulikzylinder/Pneumatikzylinder nach folgenden Kriterien:</t>
        </is>
      </c>
      <c r="AI45" s="92" t="n">
        <v>40</v>
      </c>
      <c r="AJ45" s="91" t="n"/>
    </row>
    <row r="46" ht="32" customHeight="1">
      <c r="A46" s="80" t="inlineStr">
        <is>
          <t>6.1.1</t>
        </is>
      </c>
      <c r="B46" s="19" t="inlineStr">
        <is>
          <t>Kolbenspiel kontrollieren</t>
        </is>
      </c>
      <c r="C46" s="81" t="inlineStr">
        <is>
          <t>Inspektion</t>
        </is>
      </c>
      <c r="D46" s="82" t="n"/>
      <c r="E46" s="19" t="n"/>
      <c r="F46" s="19" t="n"/>
      <c r="G46" s="89" t="inlineStr">
        <is>
          <t>Kein unzulässiges Kolbenspiel</t>
        </is>
      </c>
      <c r="H46" s="95">
        <f>H31</f>
        <v/>
      </c>
      <c r="I46" s="95">
        <f>I31</f>
        <v/>
      </c>
      <c r="J46" s="95">
        <f>J31</f>
        <v/>
      </c>
      <c r="K46" s="95">
        <f>K31</f>
        <v/>
      </c>
      <c r="L46" s="95">
        <f>L31</f>
        <v/>
      </c>
      <c r="M46" s="95">
        <f>M31</f>
        <v/>
      </c>
      <c r="N46" s="84">
        <f>IF(COUNT(H46:M46)=6,SQRT(SUMSQ(H46:M46))/2,"")</f>
        <v/>
      </c>
      <c r="O46" s="95">
        <f>O31</f>
        <v/>
      </c>
      <c r="P46" s="95">
        <f>P31</f>
        <v/>
      </c>
      <c r="Q46" s="84">
        <f>P_SF</f>
        <v/>
      </c>
      <c r="R46" s="50">
        <f>IF(COUNT(N46:Q46)=4,N46*O46*P46*Q46,"")</f>
        <v/>
      </c>
      <c r="S46" s="41">
        <f>IF(R46="","unvollständig",IF(R46&gt;P_Grenze_kritisch,"kritisch",IF(R46&gt;=P_Grenze_hoch,"hoch",IF(R46&gt;=P_Grenze_mittel,"mittel","gering"))))</f>
        <v/>
      </c>
      <c r="T46" s="43">
        <f>IF(S46="unvollständig","Bewertung fehlt",INDEX(Kl_Intervall,MATCH(S46,Kl_Name,0)))</f>
        <v/>
      </c>
      <c r="U46" s="23">
        <f>T46</f>
        <v/>
      </c>
      <c r="V46" s="85">
        <f>IFERROR(INDEX(Iv_Wochen,MATCH(U46,Iv_Name,0)),"")</f>
        <v/>
      </c>
      <c r="W46" s="81" t="n"/>
      <c r="X46" s="43">
        <f>TRIM(IF(N(K46)&gt;=P_Krit,"AS ","")&amp;IF(N(J46)&gt;=P_Krit,"Q ","")&amp;IF(N(L46)&gt;=P_Krit,"US",""))</f>
        <v/>
      </c>
      <c r="Y46" s="19">
        <f>IF(ISNUMBER(I46),INDEX(IH_Text,I46),"")</f>
        <v/>
      </c>
      <c r="Z46" s="81" t="n"/>
      <c r="AA46" s="83" t="n"/>
      <c r="AB46" s="48">
        <f>IF(AND(ISNUMBER(V46),ISNUMBER(AA46)),52/V46*AA46/60,"")</f>
        <v/>
      </c>
      <c r="AC46" s="86" t="inlineStr">
        <is>
          <t>Hydraulik-/Pneumatikzylinder (Baugruppe in der Vorversion nicht benannt)</t>
        </is>
      </c>
      <c r="AD46" s="86" t="inlineStr">
        <is>
          <t>–</t>
        </is>
      </c>
      <c r="AE46" s="86" t="inlineStr">
        <is>
          <t>Maßnahme</t>
        </is>
      </c>
      <c r="AF46" s="43" t="inlineStr">
        <is>
          <t>5.2.1</t>
        </is>
      </c>
      <c r="AG46" s="87" t="inlineStr">
        <is>
          <t>6.1.1</t>
        </is>
      </c>
      <c r="AH46" s="88" t="inlineStr">
        <is>
          <t>kontrolliere Kolbenspiel</t>
        </is>
      </c>
      <c r="AI46" s="86" t="n">
        <v>41</v>
      </c>
      <c r="AJ46" s="19">
        <f>IF(ISNUMBER(R46),R46-AI46/100000,"")</f>
        <v/>
      </c>
    </row>
    <row r="47" ht="80" customHeight="1">
      <c r="A47" s="80" t="inlineStr">
        <is>
          <t>6.1.2</t>
        </is>
      </c>
      <c r="B47" s="19" t="inlineStr">
        <is>
          <t>Dichtungen kontrollieren (Sichtkontrolle auf Öl-Leckage)</t>
        </is>
      </c>
      <c r="C47" s="81" t="inlineStr">
        <is>
          <t>Inspektion</t>
        </is>
      </c>
      <c r="D47" s="82" t="n"/>
      <c r="E47" s="19" t="n"/>
      <c r="F47" s="19" t="n"/>
      <c r="G47" s="89" t="inlineStr">
        <is>
          <t>Keine Leckage</t>
        </is>
      </c>
      <c r="H47" s="95">
        <f>H32</f>
        <v/>
      </c>
      <c r="I47" s="95">
        <f>I32</f>
        <v/>
      </c>
      <c r="J47" s="95">
        <f>J32</f>
        <v/>
      </c>
      <c r="K47" s="95">
        <f>K32</f>
        <v/>
      </c>
      <c r="L47" s="95">
        <f>L32</f>
        <v/>
      </c>
      <c r="M47" s="95">
        <f>M32</f>
        <v/>
      </c>
      <c r="N47" s="84">
        <f>IF(COUNT(H47:M47)=6,SQRT(SUMSQ(H47:M47))/2,"")</f>
        <v/>
      </c>
      <c r="O47" s="95">
        <f>O32</f>
        <v/>
      </c>
      <c r="P47" s="95">
        <f>P32</f>
        <v/>
      </c>
      <c r="Q47" s="84">
        <f>P_SF</f>
        <v/>
      </c>
      <c r="R47" s="50">
        <f>IF(COUNT(N47:Q47)=4,N47*O47*P47*Q47,"")</f>
        <v/>
      </c>
      <c r="S47" s="41">
        <f>IF(R47="","unvollständig",IF(R47&gt;P_Grenze_kritisch,"kritisch",IF(R47&gt;=P_Grenze_hoch,"hoch",IF(R47&gt;=P_Grenze_mittel,"mittel","gering"))))</f>
        <v/>
      </c>
      <c r="T47" s="43">
        <f>IF(S47="unvollständig","Bewertung fehlt",INDEX(Kl_Intervall,MATCH(S47,Kl_Name,0)))</f>
        <v/>
      </c>
      <c r="U47" s="23">
        <f>T47</f>
        <v/>
      </c>
      <c r="V47" s="85">
        <f>IFERROR(INDEX(Iv_Wochen,MATCH(U47,Iv_Name,0)),"")</f>
        <v/>
      </c>
      <c r="W47" s="81" t="n"/>
      <c r="X47" s="43">
        <f>TRIM(IF(N(K47)&gt;=P_Krit,"AS ","")&amp;IF(N(J47)&gt;=P_Krit,"Q ","")&amp;IF(N(L47)&gt;=P_Krit,"US",""))</f>
        <v/>
      </c>
      <c r="Y47" s="19">
        <f>IF(ISNUMBER(I47),INDEX(IH_Text,I47),"")</f>
        <v/>
      </c>
      <c r="Z47" s="81" t="n"/>
      <c r="AA47" s="83" t="n"/>
      <c r="AB47" s="48">
        <f>IF(AND(ISNUMBER(V47),ISNUMBER(AA47)),52/V47*AA47/60,"")</f>
        <v/>
      </c>
      <c r="AC47" s="86" t="inlineStr">
        <is>
          <t>Hydraulik-/Pneumatikzylinder (Baugruppe in der Vorversion nicht benannt)</t>
        </is>
      </c>
      <c r="AD47" s="86" t="inlineStr">
        <is>
          <t>–</t>
        </is>
      </c>
      <c r="AE47" s="86" t="inlineStr">
        <is>
          <t>Maßnahme</t>
        </is>
      </c>
      <c r="AF47" s="43" t="inlineStr">
        <is>
          <t>5.2.2</t>
        </is>
      </c>
      <c r="AG47" s="87" t="inlineStr">
        <is>
          <t>6.1.2</t>
        </is>
      </c>
      <c r="AH47" s="88" t="inlineStr">
        <is>
          <t>kontrolliere Dichtungen (Sichtkontrolle auf Öl-Leckage )</t>
        </is>
      </c>
      <c r="AI47" s="86" t="n">
        <v>42</v>
      </c>
      <c r="AJ47" s="19">
        <f>IF(ISNUMBER(R47),R47-AI47/100000,"")</f>
        <v/>
      </c>
    </row>
    <row r="48" ht="32" customHeight="1">
      <c r="A48" s="80" t="inlineStr">
        <is>
          <t>6.1.3</t>
        </is>
      </c>
      <c r="B48" s="19" t="inlineStr">
        <is>
          <t>Anschlüsse auf Dichtheit und Beschädigungen prüfen</t>
        </is>
      </c>
      <c r="C48" s="81" t="inlineStr">
        <is>
          <t>Inspektion</t>
        </is>
      </c>
      <c r="D48" s="82" t="n"/>
      <c r="E48" s="19" t="n"/>
      <c r="F48" s="19" t="n"/>
      <c r="G48" s="89" t="inlineStr">
        <is>
          <t>Dicht, unbeschädigt</t>
        </is>
      </c>
      <c r="H48" s="95">
        <f>H33</f>
        <v/>
      </c>
      <c r="I48" s="95">
        <f>I33</f>
        <v/>
      </c>
      <c r="J48" s="95">
        <f>J33</f>
        <v/>
      </c>
      <c r="K48" s="95">
        <f>K33</f>
        <v/>
      </c>
      <c r="L48" s="95">
        <f>L33</f>
        <v/>
      </c>
      <c r="M48" s="95">
        <f>M33</f>
        <v/>
      </c>
      <c r="N48" s="84">
        <f>IF(COUNT(H48:M48)=6,SQRT(SUMSQ(H48:M48))/2,"")</f>
        <v/>
      </c>
      <c r="O48" s="95">
        <f>O33</f>
        <v/>
      </c>
      <c r="P48" s="95">
        <f>P33</f>
        <v/>
      </c>
      <c r="Q48" s="84">
        <f>P_SF</f>
        <v/>
      </c>
      <c r="R48" s="50">
        <f>IF(COUNT(N48:Q48)=4,N48*O48*P48*Q48,"")</f>
        <v/>
      </c>
      <c r="S48" s="41">
        <f>IF(R48="","unvollständig",IF(R48&gt;P_Grenze_kritisch,"kritisch",IF(R48&gt;=P_Grenze_hoch,"hoch",IF(R48&gt;=P_Grenze_mittel,"mittel","gering"))))</f>
        <v/>
      </c>
      <c r="T48" s="43">
        <f>IF(S48="unvollständig","Bewertung fehlt",INDEX(Kl_Intervall,MATCH(S48,Kl_Name,0)))</f>
        <v/>
      </c>
      <c r="U48" s="23">
        <f>T48</f>
        <v/>
      </c>
      <c r="V48" s="85">
        <f>IFERROR(INDEX(Iv_Wochen,MATCH(U48,Iv_Name,0)),"")</f>
        <v/>
      </c>
      <c r="W48" s="81" t="n"/>
      <c r="X48" s="43">
        <f>TRIM(IF(N(K48)&gt;=P_Krit,"AS ","")&amp;IF(N(J48)&gt;=P_Krit,"Q ","")&amp;IF(N(L48)&gt;=P_Krit,"US",""))</f>
        <v/>
      </c>
      <c r="Y48" s="19">
        <f>IF(ISNUMBER(I48),INDEX(IH_Text,I48),"")</f>
        <v/>
      </c>
      <c r="Z48" s="81" t="n"/>
      <c r="AA48" s="83" t="n"/>
      <c r="AB48" s="48">
        <f>IF(AND(ISNUMBER(V48),ISNUMBER(AA48)),52/V48*AA48/60,"")</f>
        <v/>
      </c>
      <c r="AC48" s="86" t="inlineStr">
        <is>
          <t>Hydraulik-/Pneumatikzylinder (Baugruppe in der Vorversion nicht benannt)</t>
        </is>
      </c>
      <c r="AD48" s="86" t="inlineStr">
        <is>
          <t>–</t>
        </is>
      </c>
      <c r="AE48" s="86" t="inlineStr">
        <is>
          <t>Maßnahme</t>
        </is>
      </c>
      <c r="AF48" s="43" t="inlineStr">
        <is>
          <t>5.2.3</t>
        </is>
      </c>
      <c r="AG48" s="87" t="inlineStr">
        <is>
          <t>6.1.3</t>
        </is>
      </c>
      <c r="AH48" s="88" t="inlineStr">
        <is>
          <t>Anschlüsse auf Dichtheit und Beschädigungen prüfen</t>
        </is>
      </c>
      <c r="AI48" s="86" t="n">
        <v>43</v>
      </c>
      <c r="AJ48" s="19">
        <f>IF(ISNUMBER(R48),R48-AI48/100000,"")</f>
        <v/>
      </c>
    </row>
    <row r="49" ht="32" customHeight="1">
      <c r="A49" s="80" t="inlineStr">
        <is>
          <t>6.1.4</t>
        </is>
      </c>
      <c r="B49" s="19" t="inlineStr">
        <is>
          <t>Befestigung des Zylinders prüfen (wenn möglich)</t>
        </is>
      </c>
      <c r="C49" s="81" t="inlineStr">
        <is>
          <t>Inspektion</t>
        </is>
      </c>
      <c r="D49" s="82" t="n"/>
      <c r="E49" s="19" t="n"/>
      <c r="F49" s="19" t="n"/>
      <c r="G49" s="89" t="inlineStr">
        <is>
          <t>Fest, kein Spiel</t>
        </is>
      </c>
      <c r="H49" s="95">
        <f>H34</f>
        <v/>
      </c>
      <c r="I49" s="95">
        <f>I34</f>
        <v/>
      </c>
      <c r="J49" s="95">
        <f>J34</f>
        <v/>
      </c>
      <c r="K49" s="95">
        <f>K34</f>
        <v/>
      </c>
      <c r="L49" s="95">
        <f>L34</f>
        <v/>
      </c>
      <c r="M49" s="95">
        <f>M34</f>
        <v/>
      </c>
      <c r="N49" s="84">
        <f>IF(COUNT(H49:M49)=6,SQRT(SUMSQ(H49:M49))/2,"")</f>
        <v/>
      </c>
      <c r="O49" s="95">
        <f>O34</f>
        <v/>
      </c>
      <c r="P49" s="95">
        <f>P34</f>
        <v/>
      </c>
      <c r="Q49" s="84">
        <f>P_SF</f>
        <v/>
      </c>
      <c r="R49" s="50">
        <f>IF(COUNT(N49:Q49)=4,N49*O49*P49*Q49,"")</f>
        <v/>
      </c>
      <c r="S49" s="41">
        <f>IF(R49="","unvollständig",IF(R49&gt;P_Grenze_kritisch,"kritisch",IF(R49&gt;=P_Grenze_hoch,"hoch",IF(R49&gt;=P_Grenze_mittel,"mittel","gering"))))</f>
        <v/>
      </c>
      <c r="T49" s="43">
        <f>IF(S49="unvollständig","Bewertung fehlt",INDEX(Kl_Intervall,MATCH(S49,Kl_Name,0)))</f>
        <v/>
      </c>
      <c r="U49" s="23">
        <f>T49</f>
        <v/>
      </c>
      <c r="V49" s="85">
        <f>IFERROR(INDEX(Iv_Wochen,MATCH(U49,Iv_Name,0)),"")</f>
        <v/>
      </c>
      <c r="W49" s="81" t="n"/>
      <c r="X49" s="43">
        <f>TRIM(IF(N(K49)&gt;=P_Krit,"AS ","")&amp;IF(N(J49)&gt;=P_Krit,"Q ","")&amp;IF(N(L49)&gt;=P_Krit,"US",""))</f>
        <v/>
      </c>
      <c r="Y49" s="19">
        <f>IF(ISNUMBER(I49),INDEX(IH_Text,I49),"")</f>
        <v/>
      </c>
      <c r="Z49" s="81" t="n"/>
      <c r="AA49" s="83" t="n"/>
      <c r="AB49" s="48">
        <f>IF(AND(ISNUMBER(V49),ISNUMBER(AA49)),52/V49*AA49/60,"")</f>
        <v/>
      </c>
      <c r="AC49" s="86" t="inlineStr">
        <is>
          <t>Hydraulik-/Pneumatikzylinder (Baugruppe in der Vorversion nicht benannt)</t>
        </is>
      </c>
      <c r="AD49" s="86" t="inlineStr">
        <is>
          <t>–</t>
        </is>
      </c>
      <c r="AE49" s="86" t="inlineStr">
        <is>
          <t>Maßnahme</t>
        </is>
      </c>
      <c r="AF49" s="43" t="inlineStr">
        <is>
          <t>5.2.4</t>
        </is>
      </c>
      <c r="AG49" s="87" t="inlineStr">
        <is>
          <t>6.1.4</t>
        </is>
      </c>
      <c r="AH49" s="88" t="inlineStr">
        <is>
          <t>überprüfe die Befestigung des Zylinders (wenn möglich)</t>
        </is>
      </c>
      <c r="AI49" s="86" t="n">
        <v>44</v>
      </c>
      <c r="AJ49" s="19">
        <f>IF(ISNUMBER(R49),R49-AI49/100000,"")</f>
        <v/>
      </c>
    </row>
    <row r="50" ht="32" customHeight="1">
      <c r="A50" s="80" t="inlineStr">
        <is>
          <t>6.1.5</t>
        </is>
      </c>
      <c r="B50" s="19" t="inlineStr">
        <is>
          <t>Funktion des Zylinders testen</t>
        </is>
      </c>
      <c r="C50" s="81" t="inlineStr">
        <is>
          <t>Funktionsprüfung</t>
        </is>
      </c>
      <c r="D50" s="82" t="n"/>
      <c r="E50" s="19" t="n"/>
      <c r="F50" s="19" t="n"/>
      <c r="G50" s="89" t="inlineStr">
        <is>
          <t>Gleichmäßige Bewegung über den gesamten Hub</t>
        </is>
      </c>
      <c r="H50" s="95">
        <f>H35</f>
        <v/>
      </c>
      <c r="I50" s="95">
        <f>I35</f>
        <v/>
      </c>
      <c r="J50" s="95">
        <f>J35</f>
        <v/>
      </c>
      <c r="K50" s="95">
        <f>K35</f>
        <v/>
      </c>
      <c r="L50" s="95">
        <f>L35</f>
        <v/>
      </c>
      <c r="M50" s="95">
        <f>M35</f>
        <v/>
      </c>
      <c r="N50" s="84">
        <f>IF(COUNT(H50:M50)=6,SQRT(SUMSQ(H50:M50))/2,"")</f>
        <v/>
      </c>
      <c r="O50" s="95">
        <f>O35</f>
        <v/>
      </c>
      <c r="P50" s="95">
        <f>P35</f>
        <v/>
      </c>
      <c r="Q50" s="84">
        <f>P_SF</f>
        <v/>
      </c>
      <c r="R50" s="50">
        <f>IF(COUNT(N50:Q50)=4,N50*O50*P50*Q50,"")</f>
        <v/>
      </c>
      <c r="S50" s="41">
        <f>IF(R50="","unvollständig",IF(R50&gt;P_Grenze_kritisch,"kritisch",IF(R50&gt;=P_Grenze_hoch,"hoch",IF(R50&gt;=P_Grenze_mittel,"mittel","gering"))))</f>
        <v/>
      </c>
      <c r="T50" s="43">
        <f>IF(S50="unvollständig","Bewertung fehlt",INDEX(Kl_Intervall,MATCH(S50,Kl_Name,0)))</f>
        <v/>
      </c>
      <c r="U50" s="23">
        <f>T50</f>
        <v/>
      </c>
      <c r="V50" s="85">
        <f>IFERROR(INDEX(Iv_Wochen,MATCH(U50,Iv_Name,0)),"")</f>
        <v/>
      </c>
      <c r="W50" s="81" t="n"/>
      <c r="X50" s="43">
        <f>TRIM(IF(N(K50)&gt;=P_Krit,"AS ","")&amp;IF(N(J50)&gt;=P_Krit,"Q ","")&amp;IF(N(L50)&gt;=P_Krit,"US",""))</f>
        <v/>
      </c>
      <c r="Y50" s="19">
        <f>IF(ISNUMBER(I50),INDEX(IH_Text,I50),"")</f>
        <v/>
      </c>
      <c r="Z50" s="81" t="n"/>
      <c r="AA50" s="83" t="n"/>
      <c r="AB50" s="48">
        <f>IF(AND(ISNUMBER(V50),ISNUMBER(AA50)),52/V50*AA50/60,"")</f>
        <v/>
      </c>
      <c r="AC50" s="86" t="inlineStr">
        <is>
          <t>Hydraulik-/Pneumatikzylinder (Baugruppe in der Vorversion nicht benannt)</t>
        </is>
      </c>
      <c r="AD50" s="86" t="inlineStr">
        <is>
          <t>–</t>
        </is>
      </c>
      <c r="AE50" s="86" t="inlineStr">
        <is>
          <t>Maßnahme</t>
        </is>
      </c>
      <c r="AF50" s="43" t="inlineStr">
        <is>
          <t>5.2.5</t>
        </is>
      </c>
      <c r="AG50" s="87" t="inlineStr">
        <is>
          <t>6.1.5</t>
        </is>
      </c>
      <c r="AH50" s="88" t="inlineStr">
        <is>
          <t>Funktion des Zylinders testen</t>
        </is>
      </c>
      <c r="AI50" s="86" t="n">
        <v>45</v>
      </c>
      <c r="AJ50" s="19">
        <f>IF(ISNUMBER(R50),R50-AI50/100000,"")</f>
        <v/>
      </c>
    </row>
    <row r="51" ht="32" customHeight="1">
      <c r="A51" s="80" t="inlineStr">
        <is>
          <t>6.1.6</t>
        </is>
      </c>
      <c r="B51" s="19" t="inlineStr">
        <is>
          <t>Hydraulikverschraubungen kontrollieren, ggf. nachziehen</t>
        </is>
      </c>
      <c r="C51" s="81" t="inlineStr">
        <is>
          <t>Inspektion</t>
        </is>
      </c>
      <c r="D51" s="82" t="n"/>
      <c r="E51" s="19" t="n"/>
      <c r="F51" s="19" t="n"/>
      <c r="G51" s="89" t="inlineStr">
        <is>
          <t>Verschraubungen fest und dicht</t>
        </is>
      </c>
      <c r="H51" s="95">
        <f>H36</f>
        <v/>
      </c>
      <c r="I51" s="95">
        <f>I36</f>
        <v/>
      </c>
      <c r="J51" s="95">
        <f>J36</f>
        <v/>
      </c>
      <c r="K51" s="95">
        <f>K36</f>
        <v/>
      </c>
      <c r="L51" s="95">
        <f>L36</f>
        <v/>
      </c>
      <c r="M51" s="95">
        <f>M36</f>
        <v/>
      </c>
      <c r="N51" s="84">
        <f>IF(COUNT(H51:M51)=6,SQRT(SUMSQ(H51:M51))/2,"")</f>
        <v/>
      </c>
      <c r="O51" s="95">
        <f>O36</f>
        <v/>
      </c>
      <c r="P51" s="95">
        <f>P36</f>
        <v/>
      </c>
      <c r="Q51" s="84">
        <f>P_SF</f>
        <v/>
      </c>
      <c r="R51" s="50">
        <f>IF(COUNT(N51:Q51)=4,N51*O51*P51*Q51,"")</f>
        <v/>
      </c>
      <c r="S51" s="41">
        <f>IF(R51="","unvollständig",IF(R51&gt;P_Grenze_kritisch,"kritisch",IF(R51&gt;=P_Grenze_hoch,"hoch",IF(R51&gt;=P_Grenze_mittel,"mittel","gering"))))</f>
        <v/>
      </c>
      <c r="T51" s="43">
        <f>IF(S51="unvollständig","Bewertung fehlt",INDEX(Kl_Intervall,MATCH(S51,Kl_Name,0)))</f>
        <v/>
      </c>
      <c r="U51" s="23">
        <f>T51</f>
        <v/>
      </c>
      <c r="V51" s="85">
        <f>IFERROR(INDEX(Iv_Wochen,MATCH(U51,Iv_Name,0)),"")</f>
        <v/>
      </c>
      <c r="W51" s="81" t="n"/>
      <c r="X51" s="43">
        <f>TRIM(IF(N(K51)&gt;=P_Krit,"AS ","")&amp;IF(N(J51)&gt;=P_Krit,"Q ","")&amp;IF(N(L51)&gt;=P_Krit,"US",""))</f>
        <v/>
      </c>
      <c r="Y51" s="19">
        <f>IF(ISNUMBER(I51),INDEX(IH_Text,I51),"")</f>
        <v/>
      </c>
      <c r="Z51" s="81" t="n"/>
      <c r="AA51" s="83" t="n"/>
      <c r="AB51" s="48">
        <f>IF(AND(ISNUMBER(V51),ISNUMBER(AA51)),52/V51*AA51/60,"")</f>
        <v/>
      </c>
      <c r="AC51" s="86" t="inlineStr">
        <is>
          <t>Hydraulik-/Pneumatikzylinder (Baugruppe in der Vorversion nicht benannt)</t>
        </is>
      </c>
      <c r="AD51" s="86" t="inlineStr">
        <is>
          <t>–</t>
        </is>
      </c>
      <c r="AE51" s="86" t="inlineStr">
        <is>
          <t>Maßnahme</t>
        </is>
      </c>
      <c r="AF51" s="43" t="inlineStr">
        <is>
          <t>5.2.6</t>
        </is>
      </c>
      <c r="AG51" s="87" t="inlineStr">
        <is>
          <t>6.1.6</t>
        </is>
      </c>
      <c r="AH51" s="88" t="inlineStr">
        <is>
          <t>kontrolliere Hydraulikverschraubungen ggf. nachziehen</t>
        </is>
      </c>
      <c r="AI51" s="86" t="n">
        <v>46</v>
      </c>
      <c r="AJ51" s="19">
        <f>IF(ISNUMBER(R51),R51-AI51/100000,"")</f>
        <v/>
      </c>
    </row>
    <row r="52" ht="32" customHeight="1">
      <c r="A52" s="80" t="inlineStr">
        <is>
          <t>6.1.7</t>
        </is>
      </c>
      <c r="B52" s="19" t="inlineStr">
        <is>
          <t>Hydraulikschläuche/-leitungen auf Dichtheit und Beschädigungen prüfen, ggf. nachziehen</t>
        </is>
      </c>
      <c r="C52" s="81" t="inlineStr">
        <is>
          <t>Inspektion</t>
        </is>
      </c>
      <c r="D52" s="82" t="n"/>
      <c r="E52" s="19" t="n"/>
      <c r="F52" s="19" t="n"/>
      <c r="G52" s="89" t="inlineStr">
        <is>
          <t>Dicht; keine Scheuerstellen, Risse oder Knicke</t>
        </is>
      </c>
      <c r="H52" s="95">
        <f>H37</f>
        <v/>
      </c>
      <c r="I52" s="95">
        <f>I37</f>
        <v/>
      </c>
      <c r="J52" s="95">
        <f>J37</f>
        <v/>
      </c>
      <c r="K52" s="95">
        <f>K37</f>
        <v/>
      </c>
      <c r="L52" s="95">
        <f>L37</f>
        <v/>
      </c>
      <c r="M52" s="95">
        <f>M37</f>
        <v/>
      </c>
      <c r="N52" s="84">
        <f>IF(COUNT(H52:M52)=6,SQRT(SUMSQ(H52:M52))/2,"")</f>
        <v/>
      </c>
      <c r="O52" s="95">
        <f>O37</f>
        <v/>
      </c>
      <c r="P52" s="95">
        <f>P37</f>
        <v/>
      </c>
      <c r="Q52" s="84">
        <f>P_SF</f>
        <v/>
      </c>
      <c r="R52" s="50">
        <f>IF(COUNT(N52:Q52)=4,N52*O52*P52*Q52,"")</f>
        <v/>
      </c>
      <c r="S52" s="41">
        <f>IF(R52="","unvollständig",IF(R52&gt;P_Grenze_kritisch,"kritisch",IF(R52&gt;=P_Grenze_hoch,"hoch",IF(R52&gt;=P_Grenze_mittel,"mittel","gering"))))</f>
        <v/>
      </c>
      <c r="T52" s="43">
        <f>IF(S52="unvollständig","Bewertung fehlt",INDEX(Kl_Intervall,MATCH(S52,Kl_Name,0)))</f>
        <v/>
      </c>
      <c r="U52" s="23">
        <f>T52</f>
        <v/>
      </c>
      <c r="V52" s="85">
        <f>IFERROR(INDEX(Iv_Wochen,MATCH(U52,Iv_Name,0)),"")</f>
        <v/>
      </c>
      <c r="W52" s="81" t="n"/>
      <c r="X52" s="43">
        <f>TRIM(IF(N(K52)&gt;=P_Krit,"AS ","")&amp;IF(N(J52)&gt;=P_Krit,"Q ","")&amp;IF(N(L52)&gt;=P_Krit,"US",""))</f>
        <v/>
      </c>
      <c r="Y52" s="19">
        <f>IF(ISNUMBER(I52),INDEX(IH_Text,I52),"")</f>
        <v/>
      </c>
      <c r="Z52" s="81" t="n"/>
      <c r="AA52" s="83" t="n"/>
      <c r="AB52" s="48">
        <f>IF(AND(ISNUMBER(V52),ISNUMBER(AA52)),52/V52*AA52/60,"")</f>
        <v/>
      </c>
      <c r="AC52" s="86" t="inlineStr">
        <is>
          <t>Hydraulik-/Pneumatikzylinder (Baugruppe in der Vorversion nicht benannt)</t>
        </is>
      </c>
      <c r="AD52" s="86" t="inlineStr">
        <is>
          <t>–</t>
        </is>
      </c>
      <c r="AE52" s="86" t="inlineStr">
        <is>
          <t>Maßnahme</t>
        </is>
      </c>
      <c r="AF52" s="43" t="inlineStr">
        <is>
          <t>5.2.7</t>
        </is>
      </c>
      <c r="AG52" s="87" t="inlineStr">
        <is>
          <t>6.1.7</t>
        </is>
      </c>
      <c r="AH52" s="88" t="inlineStr">
        <is>
          <t>Hydraulikschläuche/Hydraulikleitungen auf Dichtheit und Beschädigungen prüfen ggf. Nachziehen</t>
        </is>
      </c>
      <c r="AI52" s="86" t="n">
        <v>47</v>
      </c>
      <c r="AJ52" s="19">
        <f>IF(ISNUMBER(R52),R52-AI52/100000,"")</f>
        <v/>
      </c>
    </row>
    <row r="53" ht="18" customHeight="1">
      <c r="A53" s="90" t="inlineStr">
        <is>
          <t>6.2</t>
        </is>
      </c>
      <c r="B53" s="91" t="inlineStr">
        <is>
          <t>Alle Sensoren/Endschalter nach folgenden Kriterien inspizieren:</t>
        </is>
      </c>
      <c r="C53" s="91" t="n"/>
      <c r="D53" s="91" t="n"/>
      <c r="E53" s="91" t="n"/>
      <c r="F53" s="91" t="n"/>
      <c r="G53" s="91" t="n"/>
      <c r="H53" s="91" t="n"/>
      <c r="I53" s="91" t="n"/>
      <c r="J53" s="91" t="n"/>
      <c r="K53" s="91" t="n"/>
      <c r="L53" s="91" t="n"/>
      <c r="M53" s="91" t="n"/>
      <c r="N53" s="91" t="n"/>
      <c r="O53" s="91" t="n"/>
      <c r="P53" s="91" t="n"/>
      <c r="Q53" s="91" t="n"/>
      <c r="R53" s="91" t="n"/>
      <c r="S53" s="91" t="n"/>
      <c r="T53" s="91" t="n"/>
      <c r="U53" s="91" t="n"/>
      <c r="V53" s="91" t="n"/>
      <c r="W53" s="91" t="n"/>
      <c r="X53" s="91" t="n"/>
      <c r="Y53" s="91" t="n"/>
      <c r="Z53" s="91" t="n"/>
      <c r="AA53" s="91" t="n"/>
      <c r="AB53" s="91" t="n"/>
      <c r="AC53" s="92" t="inlineStr">
        <is>
          <t>Hydraulik-/Pneumatikzylinder (Baugruppe in der Vorversion nicht benannt)</t>
        </is>
      </c>
      <c r="AD53" s="92" t="inlineStr">
        <is>
          <t>–</t>
        </is>
      </c>
      <c r="AE53" s="92" t="inlineStr">
        <is>
          <t>Prüfgruppe</t>
        </is>
      </c>
      <c r="AF53" s="91" t="n"/>
      <c r="AG53" s="93" t="inlineStr">
        <is>
          <t>6.2</t>
        </is>
      </c>
      <c r="AH53" s="94" t="inlineStr">
        <is>
          <t>Inspiziere alle Sensoren/Endschalter nach folgenden Kriterien:</t>
        </is>
      </c>
      <c r="AI53" s="92" t="n">
        <v>48</v>
      </c>
      <c r="AJ53" s="91" t="n"/>
    </row>
    <row r="54" ht="19" customHeight="1">
      <c r="A54" s="80" t="inlineStr">
        <is>
          <t>6.2.1</t>
        </is>
      </c>
      <c r="B54" s="19" t="inlineStr">
        <is>
          <t>Funktion testen</t>
        </is>
      </c>
      <c r="C54" s="81" t="inlineStr">
        <is>
          <t>Funktionsprüfung</t>
        </is>
      </c>
      <c r="D54" s="82" t="n"/>
      <c r="E54" s="19" t="n"/>
      <c r="F54" s="19" t="n"/>
      <c r="G54" s="89" t="inlineStr">
        <is>
          <t>Schaltsignal kommt sicher</t>
        </is>
      </c>
      <c r="H54" s="95">
        <f>H39</f>
        <v/>
      </c>
      <c r="I54" s="95">
        <f>I39</f>
        <v/>
      </c>
      <c r="J54" s="95">
        <f>J39</f>
        <v/>
      </c>
      <c r="K54" s="95">
        <f>K39</f>
        <v/>
      </c>
      <c r="L54" s="95">
        <f>L39</f>
        <v/>
      </c>
      <c r="M54" s="95">
        <f>M39</f>
        <v/>
      </c>
      <c r="N54" s="84">
        <f>IF(COUNT(H54:M54)=6,SQRT(SUMSQ(H54:M54))/2,"")</f>
        <v/>
      </c>
      <c r="O54" s="95">
        <f>O39</f>
        <v/>
      </c>
      <c r="P54" s="95">
        <f>P39</f>
        <v/>
      </c>
      <c r="Q54" s="84">
        <f>P_SF</f>
        <v/>
      </c>
      <c r="R54" s="50">
        <f>IF(COUNT(N54:Q54)=4,N54*O54*P54*Q54,"")</f>
        <v/>
      </c>
      <c r="S54" s="41">
        <f>IF(R54="","unvollständig",IF(R54&gt;P_Grenze_kritisch,"kritisch",IF(R54&gt;=P_Grenze_hoch,"hoch",IF(R54&gt;=P_Grenze_mittel,"mittel","gering"))))</f>
        <v/>
      </c>
      <c r="T54" s="43">
        <f>IF(S54="unvollständig","Bewertung fehlt",INDEX(Kl_Intervall,MATCH(S54,Kl_Name,0)))</f>
        <v/>
      </c>
      <c r="U54" s="23">
        <f>T54</f>
        <v/>
      </c>
      <c r="V54" s="85">
        <f>IFERROR(INDEX(Iv_Wochen,MATCH(U54,Iv_Name,0)),"")</f>
        <v/>
      </c>
      <c r="W54" s="81" t="n"/>
      <c r="X54" s="43">
        <f>TRIM(IF(N(K54)&gt;=P_Krit,"AS ","")&amp;IF(N(J54)&gt;=P_Krit,"Q ","")&amp;IF(N(L54)&gt;=P_Krit,"US",""))</f>
        <v/>
      </c>
      <c r="Y54" s="19">
        <f>IF(ISNUMBER(I54),INDEX(IH_Text,I54),"")</f>
        <v/>
      </c>
      <c r="Z54" s="81" t="n"/>
      <c r="AA54" s="83" t="n"/>
      <c r="AB54" s="48">
        <f>IF(AND(ISNUMBER(V54),ISNUMBER(AA54)),52/V54*AA54/60,"")</f>
        <v/>
      </c>
      <c r="AC54" s="86" t="inlineStr">
        <is>
          <t>Hydraulik-/Pneumatikzylinder (Baugruppe in der Vorversion nicht benannt)</t>
        </is>
      </c>
      <c r="AD54" s="86" t="inlineStr">
        <is>
          <t>–</t>
        </is>
      </c>
      <c r="AE54" s="86" t="inlineStr">
        <is>
          <t>Maßnahme</t>
        </is>
      </c>
      <c r="AF54" s="43" t="inlineStr">
        <is>
          <t>5.3.1</t>
        </is>
      </c>
      <c r="AG54" s="87" t="inlineStr">
        <is>
          <t>6.2.1</t>
        </is>
      </c>
      <c r="AH54" s="88" t="inlineStr">
        <is>
          <t>Funktion testen</t>
        </is>
      </c>
      <c r="AI54" s="86" t="n">
        <v>49</v>
      </c>
      <c r="AJ54" s="19">
        <f>IF(ISNUMBER(R54),R54-AI54/100000,"")</f>
        <v/>
      </c>
    </row>
    <row r="55" ht="19" customHeight="1">
      <c r="A55" s="80" t="inlineStr">
        <is>
          <t>6.2.2</t>
        </is>
      </c>
      <c r="B55" s="19" t="inlineStr">
        <is>
          <t>Anschlüsse kontrollieren</t>
        </is>
      </c>
      <c r="C55" s="81" t="inlineStr">
        <is>
          <t>Inspektion</t>
        </is>
      </c>
      <c r="D55" s="82" t="n"/>
      <c r="E55" s="19" t="n"/>
      <c r="F55" s="19" t="n"/>
      <c r="G55" s="89" t="inlineStr">
        <is>
          <t>Stecker fest, unbeschädigt</t>
        </is>
      </c>
      <c r="H55" s="95">
        <f>H40</f>
        <v/>
      </c>
      <c r="I55" s="95">
        <f>I40</f>
        <v/>
      </c>
      <c r="J55" s="95">
        <f>J40</f>
        <v/>
      </c>
      <c r="K55" s="95">
        <f>K40</f>
        <v/>
      </c>
      <c r="L55" s="95">
        <f>L40</f>
        <v/>
      </c>
      <c r="M55" s="95">
        <f>M40</f>
        <v/>
      </c>
      <c r="N55" s="84">
        <f>IF(COUNT(H55:M55)=6,SQRT(SUMSQ(H55:M55))/2,"")</f>
        <v/>
      </c>
      <c r="O55" s="95">
        <f>O40</f>
        <v/>
      </c>
      <c r="P55" s="95">
        <f>P40</f>
        <v/>
      </c>
      <c r="Q55" s="84">
        <f>P_SF</f>
        <v/>
      </c>
      <c r="R55" s="50">
        <f>IF(COUNT(N55:Q55)=4,N55*O55*P55*Q55,"")</f>
        <v/>
      </c>
      <c r="S55" s="41">
        <f>IF(R55="","unvollständig",IF(R55&gt;P_Grenze_kritisch,"kritisch",IF(R55&gt;=P_Grenze_hoch,"hoch",IF(R55&gt;=P_Grenze_mittel,"mittel","gering"))))</f>
        <v/>
      </c>
      <c r="T55" s="43">
        <f>IF(S55="unvollständig","Bewertung fehlt",INDEX(Kl_Intervall,MATCH(S55,Kl_Name,0)))</f>
        <v/>
      </c>
      <c r="U55" s="23">
        <f>T55</f>
        <v/>
      </c>
      <c r="V55" s="85">
        <f>IFERROR(INDEX(Iv_Wochen,MATCH(U55,Iv_Name,0)),"")</f>
        <v/>
      </c>
      <c r="W55" s="81" t="n"/>
      <c r="X55" s="43">
        <f>TRIM(IF(N(K55)&gt;=P_Krit,"AS ","")&amp;IF(N(J55)&gt;=P_Krit,"Q ","")&amp;IF(N(L55)&gt;=P_Krit,"US",""))</f>
        <v/>
      </c>
      <c r="Y55" s="19">
        <f>IF(ISNUMBER(I55),INDEX(IH_Text,I55),"")</f>
        <v/>
      </c>
      <c r="Z55" s="81" t="n"/>
      <c r="AA55" s="83" t="n"/>
      <c r="AB55" s="48">
        <f>IF(AND(ISNUMBER(V55),ISNUMBER(AA55)),52/V55*AA55/60,"")</f>
        <v/>
      </c>
      <c r="AC55" s="86" t="inlineStr">
        <is>
          <t>Hydraulik-/Pneumatikzylinder (Baugruppe in der Vorversion nicht benannt)</t>
        </is>
      </c>
      <c r="AD55" s="86" t="inlineStr">
        <is>
          <t>–</t>
        </is>
      </c>
      <c r="AE55" s="86" t="inlineStr">
        <is>
          <t>Maßnahme</t>
        </is>
      </c>
      <c r="AF55" s="43" t="inlineStr">
        <is>
          <t>5.3.2</t>
        </is>
      </c>
      <c r="AG55" s="87" t="inlineStr">
        <is>
          <t>6.2.2</t>
        </is>
      </c>
      <c r="AH55" s="88" t="inlineStr">
        <is>
          <t>Anschlüsse kontrollieren</t>
        </is>
      </c>
      <c r="AI55" s="86" t="n">
        <v>50</v>
      </c>
      <c r="AJ55" s="19">
        <f>IF(ISNUMBER(R55),R55-AI55/100000,"")</f>
        <v/>
      </c>
    </row>
    <row r="56" ht="19" customHeight="1">
      <c r="A56" s="80" t="inlineStr">
        <is>
          <t>6.2.3</t>
        </is>
      </c>
      <c r="B56" s="19" t="inlineStr">
        <is>
          <t>Befestigung und Position kontrollieren</t>
        </is>
      </c>
      <c r="C56" s="81" t="inlineStr">
        <is>
          <t>Inspektion</t>
        </is>
      </c>
      <c r="D56" s="82" t="n"/>
      <c r="E56" s="19" t="n"/>
      <c r="F56" s="19" t="n"/>
      <c r="G56" s="89" t="inlineStr">
        <is>
          <t>Fest, Position unverändert</t>
        </is>
      </c>
      <c r="H56" s="95">
        <f>H41</f>
        <v/>
      </c>
      <c r="I56" s="95">
        <f>I41</f>
        <v/>
      </c>
      <c r="J56" s="95">
        <f>J41</f>
        <v/>
      </c>
      <c r="K56" s="95">
        <f>K41</f>
        <v/>
      </c>
      <c r="L56" s="95">
        <f>L41</f>
        <v/>
      </c>
      <c r="M56" s="95">
        <f>M41</f>
        <v/>
      </c>
      <c r="N56" s="84">
        <f>IF(COUNT(H56:M56)=6,SQRT(SUMSQ(H56:M56))/2,"")</f>
        <v/>
      </c>
      <c r="O56" s="95">
        <f>O41</f>
        <v/>
      </c>
      <c r="P56" s="95">
        <f>P41</f>
        <v/>
      </c>
      <c r="Q56" s="84">
        <f>P_SF</f>
        <v/>
      </c>
      <c r="R56" s="50">
        <f>IF(COUNT(N56:Q56)=4,N56*O56*P56*Q56,"")</f>
        <v/>
      </c>
      <c r="S56" s="41">
        <f>IF(R56="","unvollständig",IF(R56&gt;P_Grenze_kritisch,"kritisch",IF(R56&gt;=P_Grenze_hoch,"hoch",IF(R56&gt;=P_Grenze_mittel,"mittel","gering"))))</f>
        <v/>
      </c>
      <c r="T56" s="43">
        <f>IF(S56="unvollständig","Bewertung fehlt",INDEX(Kl_Intervall,MATCH(S56,Kl_Name,0)))</f>
        <v/>
      </c>
      <c r="U56" s="23">
        <f>T56</f>
        <v/>
      </c>
      <c r="V56" s="85">
        <f>IFERROR(INDEX(Iv_Wochen,MATCH(U56,Iv_Name,0)),"")</f>
        <v/>
      </c>
      <c r="W56" s="81" t="n"/>
      <c r="X56" s="43">
        <f>TRIM(IF(N(K56)&gt;=P_Krit,"AS ","")&amp;IF(N(J56)&gt;=P_Krit,"Q ","")&amp;IF(N(L56)&gt;=P_Krit,"US",""))</f>
        <v/>
      </c>
      <c r="Y56" s="19">
        <f>IF(ISNUMBER(I56),INDEX(IH_Text,I56),"")</f>
        <v/>
      </c>
      <c r="Z56" s="81" t="n"/>
      <c r="AA56" s="83" t="n"/>
      <c r="AB56" s="48">
        <f>IF(AND(ISNUMBER(V56),ISNUMBER(AA56)),52/V56*AA56/60,"")</f>
        <v/>
      </c>
      <c r="AC56" s="86" t="inlineStr">
        <is>
          <t>Hydraulik-/Pneumatikzylinder (Baugruppe in der Vorversion nicht benannt)</t>
        </is>
      </c>
      <c r="AD56" s="86" t="inlineStr">
        <is>
          <t>–</t>
        </is>
      </c>
      <c r="AE56" s="86" t="inlineStr">
        <is>
          <t>Maßnahme</t>
        </is>
      </c>
      <c r="AF56" s="43" t="inlineStr">
        <is>
          <t>5.3.3</t>
        </is>
      </c>
      <c r="AG56" s="87" t="inlineStr">
        <is>
          <t>6.2.3</t>
        </is>
      </c>
      <c r="AH56" s="88" t="inlineStr">
        <is>
          <t>Befestigung und Position kontrollieren</t>
        </is>
      </c>
      <c r="AI56" s="86" t="n">
        <v>51</v>
      </c>
      <c r="AJ56" s="19">
        <f>IF(ISNUMBER(R56),R56-AI56/100000,"")</f>
        <v/>
      </c>
    </row>
    <row r="57" ht="19" customHeight="1">
      <c r="A57" s="80" t="inlineStr">
        <is>
          <t>6.2.4</t>
        </is>
      </c>
      <c r="B57" s="19" t="inlineStr">
        <is>
          <t>Sensor auf Beschädigung kontrollieren</t>
        </is>
      </c>
      <c r="C57" s="81" t="inlineStr">
        <is>
          <t>Inspektion</t>
        </is>
      </c>
      <c r="D57" s="82" t="n"/>
      <c r="E57" s="19" t="n"/>
      <c r="F57" s="19" t="n"/>
      <c r="G57" s="89" t="inlineStr">
        <is>
          <t>Keine Beschädigung</t>
        </is>
      </c>
      <c r="H57" s="95">
        <f>H42</f>
        <v/>
      </c>
      <c r="I57" s="95">
        <f>I42</f>
        <v/>
      </c>
      <c r="J57" s="95">
        <f>J42</f>
        <v/>
      </c>
      <c r="K57" s="95">
        <f>K42</f>
        <v/>
      </c>
      <c r="L57" s="95">
        <f>L42</f>
        <v/>
      </c>
      <c r="M57" s="95">
        <f>M42</f>
        <v/>
      </c>
      <c r="N57" s="84">
        <f>IF(COUNT(H57:M57)=6,SQRT(SUMSQ(H57:M57))/2,"")</f>
        <v/>
      </c>
      <c r="O57" s="95">
        <f>O42</f>
        <v/>
      </c>
      <c r="P57" s="95">
        <f>P42</f>
        <v/>
      </c>
      <c r="Q57" s="84">
        <f>P_SF</f>
        <v/>
      </c>
      <c r="R57" s="50">
        <f>IF(COUNT(N57:Q57)=4,N57*O57*P57*Q57,"")</f>
        <v/>
      </c>
      <c r="S57" s="41">
        <f>IF(R57="","unvollständig",IF(R57&gt;P_Grenze_kritisch,"kritisch",IF(R57&gt;=P_Grenze_hoch,"hoch",IF(R57&gt;=P_Grenze_mittel,"mittel","gering"))))</f>
        <v/>
      </c>
      <c r="T57" s="43">
        <f>IF(S57="unvollständig","Bewertung fehlt",INDEX(Kl_Intervall,MATCH(S57,Kl_Name,0)))</f>
        <v/>
      </c>
      <c r="U57" s="23">
        <f>T57</f>
        <v/>
      </c>
      <c r="V57" s="85">
        <f>IFERROR(INDEX(Iv_Wochen,MATCH(U57,Iv_Name,0)),"")</f>
        <v/>
      </c>
      <c r="W57" s="81" t="n"/>
      <c r="X57" s="43">
        <f>TRIM(IF(N(K57)&gt;=P_Krit,"AS ","")&amp;IF(N(J57)&gt;=P_Krit,"Q ","")&amp;IF(N(L57)&gt;=P_Krit,"US",""))</f>
        <v/>
      </c>
      <c r="Y57" s="19">
        <f>IF(ISNUMBER(I57),INDEX(IH_Text,I57),"")</f>
        <v/>
      </c>
      <c r="Z57" s="81" t="n"/>
      <c r="AA57" s="83" t="n"/>
      <c r="AB57" s="48">
        <f>IF(AND(ISNUMBER(V57),ISNUMBER(AA57)),52/V57*AA57/60,"")</f>
        <v/>
      </c>
      <c r="AC57" s="86" t="inlineStr">
        <is>
          <t>Hydraulik-/Pneumatikzylinder (Baugruppe in der Vorversion nicht benannt)</t>
        </is>
      </c>
      <c r="AD57" s="86" t="inlineStr">
        <is>
          <t>–</t>
        </is>
      </c>
      <c r="AE57" s="86" t="inlineStr">
        <is>
          <t>Maßnahme</t>
        </is>
      </c>
      <c r="AF57" s="43" t="inlineStr">
        <is>
          <t>5.3.4</t>
        </is>
      </c>
      <c r="AG57" s="87" t="inlineStr">
        <is>
          <t>6.2.4</t>
        </is>
      </c>
      <c r="AH57" s="88" t="inlineStr">
        <is>
          <t xml:space="preserve">Sensor auf Beschädigung kontrollieren </t>
        </is>
      </c>
      <c r="AI57" s="86" t="n">
        <v>52</v>
      </c>
      <c r="AJ57" s="19">
        <f>IF(ISNUMBER(R57),R57-AI57/100000,"")</f>
        <v/>
      </c>
    </row>
    <row r="58" ht="32" customHeight="1">
      <c r="A58" s="80" t="inlineStr">
        <is>
          <t>6.2.5</t>
        </is>
      </c>
      <c r="B58" s="19" t="inlineStr">
        <is>
          <t>Kabelklemmung, Knickschutz, Kabelkasten und Leitungen auf Beschädigung prüfen</t>
        </is>
      </c>
      <c r="C58" s="81" t="inlineStr">
        <is>
          <t>Inspektion</t>
        </is>
      </c>
      <c r="D58" s="82" t="inlineStr">
        <is>
          <t>⚠ Gefahrenstelle</t>
        </is>
      </c>
      <c r="E58" s="19" t="n"/>
      <c r="F58" s="19" t="n"/>
      <c r="G58" s="89" t="inlineStr">
        <is>
          <t>Keine Beschädigung; Zugentlastung wirksam</t>
        </is>
      </c>
      <c r="H58" s="95">
        <f>H43</f>
        <v/>
      </c>
      <c r="I58" s="95">
        <f>I43</f>
        <v/>
      </c>
      <c r="J58" s="95">
        <f>J43</f>
        <v/>
      </c>
      <c r="K58" s="95">
        <f>K43</f>
        <v/>
      </c>
      <c r="L58" s="95">
        <f>L43</f>
        <v/>
      </c>
      <c r="M58" s="95">
        <f>M43</f>
        <v/>
      </c>
      <c r="N58" s="84">
        <f>IF(COUNT(H58:M58)=6,SQRT(SUMSQ(H58:M58))/2,"")</f>
        <v/>
      </c>
      <c r="O58" s="95">
        <f>O43</f>
        <v/>
      </c>
      <c r="P58" s="95">
        <f>P43</f>
        <v/>
      </c>
      <c r="Q58" s="84">
        <f>P_SF</f>
        <v/>
      </c>
      <c r="R58" s="50">
        <f>IF(COUNT(N58:Q58)=4,N58*O58*P58*Q58,"")</f>
        <v/>
      </c>
      <c r="S58" s="41">
        <f>IF(R58="","unvollständig",IF(R58&gt;P_Grenze_kritisch,"kritisch",IF(R58&gt;=P_Grenze_hoch,"hoch",IF(R58&gt;=P_Grenze_mittel,"mittel","gering"))))</f>
        <v/>
      </c>
      <c r="T58" s="43">
        <f>IF(S58="unvollständig","Bewertung fehlt",INDEX(Kl_Intervall,MATCH(S58,Kl_Name,0)))</f>
        <v/>
      </c>
      <c r="U58" s="23">
        <f>T58</f>
        <v/>
      </c>
      <c r="V58" s="85">
        <f>IFERROR(INDEX(Iv_Wochen,MATCH(U58,Iv_Name,0)),"")</f>
        <v/>
      </c>
      <c r="W58" s="81" t="n"/>
      <c r="X58" s="43">
        <f>TRIM(IF(N(K58)&gt;=P_Krit,"AS ","")&amp;IF(N(J58)&gt;=P_Krit,"Q ","")&amp;IF(N(L58)&gt;=P_Krit,"US",""))</f>
        <v/>
      </c>
      <c r="Y58" s="19">
        <f>IF(ISNUMBER(I58),INDEX(IH_Text,I58),"")</f>
        <v/>
      </c>
      <c r="Z58" s="81" t="n"/>
      <c r="AA58" s="83" t="n"/>
      <c r="AB58" s="48">
        <f>IF(AND(ISNUMBER(V58),ISNUMBER(AA58)),52/V58*AA58/60,"")</f>
        <v/>
      </c>
      <c r="AC58" s="86" t="inlineStr">
        <is>
          <t>Hydraulik-/Pneumatikzylinder (Baugruppe in der Vorversion nicht benannt)</t>
        </is>
      </c>
      <c r="AD58" s="86" t="inlineStr">
        <is>
          <t>–</t>
        </is>
      </c>
      <c r="AE58" s="86" t="inlineStr">
        <is>
          <t>Maßnahme</t>
        </is>
      </c>
      <c r="AF58" s="43" t="inlineStr">
        <is>
          <t>5.3.5</t>
        </is>
      </c>
      <c r="AG58" s="87" t="inlineStr">
        <is>
          <t>6.2.5</t>
        </is>
      </c>
      <c r="AH58" s="88" t="inlineStr">
        <is>
          <t>Prüfe Kabelklemmung, Knickschutz, Kabelkasten und Leitungen auf Beschädigung</t>
        </is>
      </c>
      <c r="AI58" s="86" t="n">
        <v>53</v>
      </c>
      <c r="AJ58" s="19">
        <f>IF(ISNUMBER(R58),R58-AI58/100000,"")</f>
        <v/>
      </c>
    </row>
    <row r="59" ht="20" customHeight="1">
      <c r="A59" s="74" t="inlineStr">
        <is>
          <t>7</t>
        </is>
      </c>
      <c r="B59" s="75" t="inlineStr">
        <is>
          <t>Wasserbehälter für Umformmedium</t>
        </is>
      </c>
      <c r="C59" s="75" t="n"/>
      <c r="D59" s="76" t="n"/>
      <c r="E59" s="75" t="n"/>
      <c r="F59" s="75" t="n"/>
      <c r="G59" s="75" t="n"/>
      <c r="H59" s="75" t="n"/>
      <c r="I59" s="75" t="n"/>
      <c r="J59" s="75" t="n"/>
      <c r="K59" s="75" t="n"/>
      <c r="L59" s="75" t="n"/>
      <c r="M59" s="75" t="n"/>
      <c r="N59" s="75" t="n"/>
      <c r="O59" s="75" t="n"/>
      <c r="P59" s="75" t="n"/>
      <c r="Q59" s="75" t="n"/>
      <c r="R59" s="75" t="n"/>
      <c r="S59" s="75" t="n"/>
      <c r="T59" s="75" t="n"/>
      <c r="U59" s="75" t="n"/>
      <c r="V59" s="75" t="n"/>
      <c r="W59" s="75" t="n"/>
      <c r="X59" s="75" t="n"/>
      <c r="Y59" s="75" t="n"/>
      <c r="Z59" s="75" t="n"/>
      <c r="AA59" s="75" t="n"/>
      <c r="AB59" s="75" t="n"/>
      <c r="AC59" s="77" t="inlineStr">
        <is>
          <t>Wasserbehälter für Umformmedium</t>
        </is>
      </c>
      <c r="AD59" s="77" t="inlineStr">
        <is>
          <t>11</t>
        </is>
      </c>
      <c r="AE59" s="77" t="inlineStr">
        <is>
          <t>Baugruppe</t>
        </is>
      </c>
      <c r="AF59" s="75" t="n"/>
      <c r="AG59" s="78" t="inlineStr">
        <is>
          <t>7</t>
        </is>
      </c>
      <c r="AH59" s="79" t="inlineStr">
        <is>
          <t>11.) Wasserbehälter für Umformmedium</t>
        </is>
      </c>
      <c r="AI59" s="77" t="n">
        <v>54</v>
      </c>
      <c r="AJ59" s="75" t="n"/>
    </row>
    <row r="60" ht="32" customHeight="1">
      <c r="A60" s="80" t="inlineStr">
        <is>
          <t>7.1</t>
        </is>
      </c>
      <c r="B60" s="19" t="inlineStr">
        <is>
          <t>Wasserbehälter auf Beschädigung kontrollieren</t>
        </is>
      </c>
      <c r="C60" s="81" t="inlineStr">
        <is>
          <t>Inspektion</t>
        </is>
      </c>
      <c r="D60" s="82" t="n"/>
      <c r="E60" s="19" t="n"/>
      <c r="F60" s="19" t="n"/>
      <c r="G60" s="89" t="inlineStr">
        <is>
          <t>Keine Beschädigung, keine Leckage</t>
        </is>
      </c>
      <c r="H60" s="83" t="n">
        <v>3</v>
      </c>
      <c r="I60" s="83" t="n">
        <v>2</v>
      </c>
      <c r="J60" s="83" t="n">
        <v>3</v>
      </c>
      <c r="K60" s="83" t="n">
        <v>2</v>
      </c>
      <c r="L60" s="83" t="n">
        <v>4</v>
      </c>
      <c r="M60" s="83" t="n">
        <v>1</v>
      </c>
      <c r="N60" s="84">
        <f>IF(COUNT(H60:M60)=6,SQRT(SUMSQ(H60:M60))/2,"")</f>
        <v/>
      </c>
      <c r="O60" s="83" t="n">
        <v>1</v>
      </c>
      <c r="P60" s="83" t="n">
        <v>3</v>
      </c>
      <c r="Q60" s="84">
        <f>P_SF</f>
        <v/>
      </c>
      <c r="R60" s="50">
        <f>IF(COUNT(N60:Q60)=4,N60*O60*P60*Q60,"")</f>
        <v/>
      </c>
      <c r="S60" s="41">
        <f>IF(R60="","unvollständig",IF(R60&gt;P_Grenze_kritisch,"kritisch",IF(R60&gt;=P_Grenze_hoch,"hoch",IF(R60&gt;=P_Grenze_mittel,"mittel","gering"))))</f>
        <v/>
      </c>
      <c r="T60" s="43">
        <f>IF(S60="unvollständig","Bewertung fehlt",INDEX(Kl_Intervall,MATCH(S60,Kl_Name,0)))</f>
        <v/>
      </c>
      <c r="U60" s="23">
        <f>T60</f>
        <v/>
      </c>
      <c r="V60" s="85">
        <f>IFERROR(INDEX(Iv_Wochen,MATCH(U60,Iv_Name,0)),"")</f>
        <v/>
      </c>
      <c r="W60" s="81" t="n"/>
      <c r="X60" s="43">
        <f>TRIM(IF(N(K60)&gt;=P_Krit,"AS ","")&amp;IF(N(J60)&gt;=P_Krit,"Q ","")&amp;IF(N(L60)&gt;=P_Krit,"US",""))</f>
        <v/>
      </c>
      <c r="Y60" s="19">
        <f>IF(ISNUMBER(I60),INDEX(IH_Text,I60),"")</f>
        <v/>
      </c>
      <c r="Z60" s="81" t="n"/>
      <c r="AA60" s="83" t="n"/>
      <c r="AB60" s="48">
        <f>IF(AND(ISNUMBER(V60),ISNUMBER(AA60)),52/V60*AA60/60,"")</f>
        <v/>
      </c>
      <c r="AC60" s="86" t="inlineStr">
        <is>
          <t>Wasserbehälter für Umformmedium</t>
        </is>
      </c>
      <c r="AD60" s="86" t="inlineStr">
        <is>
          <t>11</t>
        </is>
      </c>
      <c r="AE60" s="86" t="inlineStr">
        <is>
          <t>Maßnahme</t>
        </is>
      </c>
      <c r="AF60" s="43" t="n"/>
      <c r="AG60" s="87" t="inlineStr">
        <is>
          <t>7.1</t>
        </is>
      </c>
      <c r="AH60" s="88" t="inlineStr">
        <is>
          <t>Wasserbehälter auf Beschädigung kontrollieren</t>
        </is>
      </c>
      <c r="AI60" s="86" t="n">
        <v>55</v>
      </c>
      <c r="AJ60" s="19">
        <f>IF(ISNUMBER(R60),R60-AI60/100000,"")</f>
        <v/>
      </c>
    </row>
    <row r="61" ht="20" customHeight="1">
      <c r="A61" s="74" t="inlineStr">
        <is>
          <t>8</t>
        </is>
      </c>
      <c r="B61" s="75" t="inlineStr">
        <is>
          <t>Auslaufrinne</t>
        </is>
      </c>
      <c r="C61" s="75" t="n"/>
      <c r="D61" s="76" t="inlineStr">
        <is>
          <t>ℹ Hinweis beachten</t>
        </is>
      </c>
      <c r="E61" s="75" t="n"/>
      <c r="F61" s="75" t="n"/>
      <c r="G61" s="75" t="n"/>
      <c r="H61" s="75" t="n"/>
      <c r="I61" s="75" t="n"/>
      <c r="J61" s="75" t="n"/>
      <c r="K61" s="75" t="n"/>
      <c r="L61" s="75" t="n"/>
      <c r="M61" s="75" t="n"/>
      <c r="N61" s="75" t="n"/>
      <c r="O61" s="75" t="n"/>
      <c r="P61" s="75" t="n"/>
      <c r="Q61" s="75" t="n"/>
      <c r="R61" s="75" t="n"/>
      <c r="S61" s="75" t="n"/>
      <c r="T61" s="75" t="n"/>
      <c r="U61" s="75" t="n"/>
      <c r="V61" s="75" t="n"/>
      <c r="W61" s="75" t="n"/>
      <c r="X61" s="75" t="n"/>
      <c r="Y61" s="75" t="n"/>
      <c r="Z61" s="75" t="n"/>
      <c r="AA61" s="75" t="n"/>
      <c r="AB61" s="75" t="n"/>
      <c r="AC61" s="77" t="inlineStr">
        <is>
          <t>Auslaufrinne</t>
        </is>
      </c>
      <c r="AD61" s="77" t="inlineStr">
        <is>
          <t>13</t>
        </is>
      </c>
      <c r="AE61" s="77" t="inlineStr">
        <is>
          <t>Baugruppe</t>
        </is>
      </c>
      <c r="AF61" s="75" t="n"/>
      <c r="AG61" s="78" t="inlineStr">
        <is>
          <t>8</t>
        </is>
      </c>
      <c r="AH61" s="79" t="inlineStr">
        <is>
          <t>13.) Auslaufrinne</t>
        </is>
      </c>
      <c r="AI61" s="77" t="n">
        <v>56</v>
      </c>
      <c r="AJ61" s="75" t="n"/>
    </row>
    <row r="62" ht="80" customHeight="1">
      <c r="A62" s="80" t="inlineStr">
        <is>
          <t>8.1</t>
        </is>
      </c>
      <c r="B62" s="19" t="inlineStr">
        <is>
          <t>Band auf Beschädigungen prüfen (starke Risse)</t>
        </is>
      </c>
      <c r="C62" s="81" t="inlineStr">
        <is>
          <t>Inspektion</t>
        </is>
      </c>
      <c r="D62" s="82" t="n"/>
      <c r="E62" s="19" t="n"/>
      <c r="F62" s="19" t="n"/>
      <c r="G62" s="89" t="inlineStr">
        <is>
          <t>Keine starken Risse</t>
        </is>
      </c>
      <c r="H62" s="83" t="n">
        <v>2</v>
      </c>
      <c r="I62" s="83" t="n">
        <v>2</v>
      </c>
      <c r="J62" s="83" t="n">
        <v>2</v>
      </c>
      <c r="K62" s="83" t="n">
        <v>3</v>
      </c>
      <c r="L62" s="83" t="n">
        <v>1</v>
      </c>
      <c r="M62" s="83" t="n">
        <v>3</v>
      </c>
      <c r="N62" s="84">
        <f>IF(COUNT(H62:M62)=6,SQRT(SUMSQ(H62:M62))/2,"")</f>
        <v/>
      </c>
      <c r="O62" s="83" t="n">
        <v>2</v>
      </c>
      <c r="P62" s="83" t="n">
        <v>2</v>
      </c>
      <c r="Q62" s="84">
        <f>P_SF</f>
        <v/>
      </c>
      <c r="R62" s="50">
        <f>IF(COUNT(N62:Q62)=4,N62*O62*P62*Q62,"")</f>
        <v/>
      </c>
      <c r="S62" s="41">
        <f>IF(R62="","unvollständig",IF(R62&gt;P_Grenze_kritisch,"kritisch",IF(R62&gt;=P_Grenze_hoch,"hoch",IF(R62&gt;=P_Grenze_mittel,"mittel","gering"))))</f>
        <v/>
      </c>
      <c r="T62" s="43">
        <f>IF(S62="unvollständig","Bewertung fehlt",INDEX(Kl_Intervall,MATCH(S62,Kl_Name,0)))</f>
        <v/>
      </c>
      <c r="U62" s="23">
        <f>T62</f>
        <v/>
      </c>
      <c r="V62" s="85">
        <f>IFERROR(INDEX(Iv_Wochen,MATCH(U62,Iv_Name,0)),"")</f>
        <v/>
      </c>
      <c r="W62" s="81" t="n"/>
      <c r="X62" s="43">
        <f>TRIM(IF(N(K62)&gt;=P_Krit,"AS ","")&amp;IF(N(J62)&gt;=P_Krit,"Q ","")&amp;IF(N(L62)&gt;=P_Krit,"US",""))</f>
        <v/>
      </c>
      <c r="Y62" s="19">
        <f>IF(ISNUMBER(I62),INDEX(IH_Text,I62),"")</f>
        <v/>
      </c>
      <c r="Z62" s="81" t="n"/>
      <c r="AA62" s="83" t="n"/>
      <c r="AB62" s="48">
        <f>IF(AND(ISNUMBER(V62),ISNUMBER(AA62)),52/V62*AA62/60,"")</f>
        <v/>
      </c>
      <c r="AC62" s="86" t="inlineStr">
        <is>
          <t>Auslaufrinne</t>
        </is>
      </c>
      <c r="AD62" s="86" t="inlineStr">
        <is>
          <t>13</t>
        </is>
      </c>
      <c r="AE62" s="86" t="inlineStr">
        <is>
          <t>Maßnahme</t>
        </is>
      </c>
      <c r="AF62" s="43" t="n"/>
      <c r="AG62" s="87" t="inlineStr">
        <is>
          <t>8.1</t>
        </is>
      </c>
      <c r="AH62" s="88" t="inlineStr">
        <is>
          <t>Band auf Beschädigungen prüfen (starke Risse)</t>
        </is>
      </c>
      <c r="AI62" s="86" t="n">
        <v>57</v>
      </c>
      <c r="AJ62" s="19">
        <f>IF(ISNUMBER(R62),R62-AI62/100000,"")</f>
        <v/>
      </c>
    </row>
    <row r="63" ht="32" customHeight="1">
      <c r="A63" s="80" t="inlineStr">
        <is>
          <t>8.2</t>
        </is>
      </c>
      <c r="B63" s="19" t="inlineStr">
        <is>
          <t>Elektromotor kontrollieren (Funktion, Verschmutzung, Laufruhe, Kabel)</t>
        </is>
      </c>
      <c r="C63" s="81" t="inlineStr">
        <is>
          <t>Inspektion</t>
        </is>
      </c>
      <c r="D63" s="82" t="n"/>
      <c r="E63" s="19" t="n"/>
      <c r="F63" s="19" t="n"/>
      <c r="G63" s="89" t="inlineStr">
        <is>
          <t>Motor sauber, ruhiger Lauf; Kabel unbeschädigt</t>
        </is>
      </c>
      <c r="H63" s="83" t="n">
        <v>3</v>
      </c>
      <c r="I63" s="83" t="n">
        <v>3</v>
      </c>
      <c r="J63" s="83" t="n">
        <v>2</v>
      </c>
      <c r="K63" s="83" t="n">
        <v>2</v>
      </c>
      <c r="L63" s="83" t="n">
        <v>2</v>
      </c>
      <c r="M63" s="83" t="n">
        <v>3</v>
      </c>
      <c r="N63" s="84">
        <f>IF(COUNT(H63:M63)=6,SQRT(SUMSQ(H63:M63))/2,"")</f>
        <v/>
      </c>
      <c r="O63" s="83" t="n">
        <v>2</v>
      </c>
      <c r="P63" s="83" t="n">
        <v>3</v>
      </c>
      <c r="Q63" s="84">
        <f>P_SF</f>
        <v/>
      </c>
      <c r="R63" s="50">
        <f>IF(COUNT(N63:Q63)=4,N63*O63*P63*Q63,"")</f>
        <v/>
      </c>
      <c r="S63" s="41">
        <f>IF(R63="","unvollständig",IF(R63&gt;P_Grenze_kritisch,"kritisch",IF(R63&gt;=P_Grenze_hoch,"hoch",IF(R63&gt;=P_Grenze_mittel,"mittel","gering"))))</f>
        <v/>
      </c>
      <c r="T63" s="43">
        <f>IF(S63="unvollständig","Bewertung fehlt",INDEX(Kl_Intervall,MATCH(S63,Kl_Name,0)))</f>
        <v/>
      </c>
      <c r="U63" s="23">
        <f>T63</f>
        <v/>
      </c>
      <c r="V63" s="85">
        <f>IFERROR(INDEX(Iv_Wochen,MATCH(U63,Iv_Name,0)),"")</f>
        <v/>
      </c>
      <c r="W63" s="81" t="n"/>
      <c r="X63" s="43">
        <f>TRIM(IF(N(K63)&gt;=P_Krit,"AS ","")&amp;IF(N(J63)&gt;=P_Krit,"Q ","")&amp;IF(N(L63)&gt;=P_Krit,"US",""))</f>
        <v/>
      </c>
      <c r="Y63" s="19">
        <f>IF(ISNUMBER(I63),INDEX(IH_Text,I63),"")</f>
        <v/>
      </c>
      <c r="Z63" s="81" t="n"/>
      <c r="AA63" s="83" t="n"/>
      <c r="AB63" s="48">
        <f>IF(AND(ISNUMBER(V63),ISNUMBER(AA63)),52/V63*AA63/60,"")</f>
        <v/>
      </c>
      <c r="AC63" s="86" t="inlineStr">
        <is>
          <t>Auslaufrinne</t>
        </is>
      </c>
      <c r="AD63" s="86" t="inlineStr">
        <is>
          <t>13</t>
        </is>
      </c>
      <c r="AE63" s="86" t="inlineStr">
        <is>
          <t>Maßnahme</t>
        </is>
      </c>
      <c r="AF63" s="43" t="n"/>
      <c r="AG63" s="87" t="inlineStr">
        <is>
          <t>8.2</t>
        </is>
      </c>
      <c r="AH63" s="88" t="inlineStr">
        <is>
          <t>Kontrolliere Elektromotor (Funktion/Verschmutzung/Laufruhe/Kabeln)</t>
        </is>
      </c>
      <c r="AI63" s="86" t="n">
        <v>58</v>
      </c>
      <c r="AJ63" s="19">
        <f>IF(ISNUMBER(R63),R63-AI63/100000,"")</f>
        <v/>
      </c>
    </row>
    <row r="64" ht="32" customHeight="1">
      <c r="A64" s="74" t="inlineStr">
        <is>
          <t>9</t>
        </is>
      </c>
      <c r="B64" s="75" t="inlineStr">
        <is>
          <t>Beladehandling (Handling Glattrohrgreifer) und Entnahmehandling (Handling Balggreifer)</t>
        </is>
      </c>
      <c r="C64" s="75" t="n"/>
      <c r="D64" s="76" t="n"/>
      <c r="E64" s="75" t="n"/>
      <c r="F64" s="75" t="n"/>
      <c r="G64" s="75" t="n"/>
      <c r="H64" s="75" t="n"/>
      <c r="I64" s="75" t="n"/>
      <c r="J64" s="75" t="n"/>
      <c r="K64" s="75" t="n"/>
      <c r="L64" s="75" t="n"/>
      <c r="M64" s="75" t="n"/>
      <c r="N64" s="75" t="n"/>
      <c r="O64" s="75" t="n"/>
      <c r="P64" s="75" t="n"/>
      <c r="Q64" s="75" t="n"/>
      <c r="R64" s="75" t="n"/>
      <c r="S64" s="75" t="n"/>
      <c r="T64" s="75" t="n"/>
      <c r="U64" s="75" t="n"/>
      <c r="V64" s="75" t="n"/>
      <c r="W64" s="75" t="n"/>
      <c r="X64" s="75" t="n"/>
      <c r="Y64" s="75" t="n"/>
      <c r="Z64" s="75" t="n"/>
      <c r="AA64" s="75" t="n"/>
      <c r="AB64" s="75" t="n"/>
      <c r="AC64" s="77" t="inlineStr">
        <is>
          <t>Beladehandling (Handling Glattrohrgreifer) und Entnahmehandling (Handling Balggreifer)</t>
        </is>
      </c>
      <c r="AD64" s="77" t="inlineStr">
        <is>
          <t>14 / 8</t>
        </is>
      </c>
      <c r="AE64" s="77" t="inlineStr">
        <is>
          <t>Baugruppe</t>
        </is>
      </c>
      <c r="AF64" s="75" t="n"/>
      <c r="AG64" s="78" t="inlineStr">
        <is>
          <t>9</t>
        </is>
      </c>
      <c r="AH64" s="79" t="inlineStr">
        <is>
          <t>14.) Beladehandling (Handling Glattrohrgreifer) 8.) Entnahmehandling (= Handling Balggreifer)</t>
        </is>
      </c>
      <c r="AI64" s="77" t="n">
        <v>59</v>
      </c>
      <c r="AJ64" s="75" t="n"/>
    </row>
    <row r="65" ht="80" customHeight="1">
      <c r="A65" s="80" t="inlineStr">
        <is>
          <t>9.1</t>
        </is>
      </c>
      <c r="B65" s="19" t="inlineStr">
        <is>
          <t>Handling (Balg- und Glattrohrgreifer): Greifer auf Funktion prüfen; Minischlitten auf Spiel prüfen, ggf. festziehen (!)</t>
        </is>
      </c>
      <c r="C65" s="81" t="inlineStr">
        <is>
          <t>Funktionsprüfung</t>
        </is>
      </c>
      <c r="D65" s="82" t="n"/>
      <c r="E65" s="19" t="n"/>
      <c r="F65" s="19" t="n"/>
      <c r="G65" s="89" t="inlineStr">
        <is>
          <t>Greifer greift sicher; Minischlitten ohne Spiel</t>
        </is>
      </c>
      <c r="H65" s="83" t="n">
        <v>4</v>
      </c>
      <c r="I65" s="83" t="n">
        <v>3</v>
      </c>
      <c r="J65" s="83" t="n">
        <v>3</v>
      </c>
      <c r="K65" s="83" t="n">
        <v>2</v>
      </c>
      <c r="L65" s="83" t="n">
        <v>2</v>
      </c>
      <c r="M65" s="83" t="n">
        <v>3</v>
      </c>
      <c r="N65" s="84">
        <f>IF(COUNT(H65:M65)=6,SQRT(SUMSQ(H65:M65))/2,"")</f>
        <v/>
      </c>
      <c r="O65" s="83" t="n">
        <v>3</v>
      </c>
      <c r="P65" s="83" t="n">
        <v>3</v>
      </c>
      <c r="Q65" s="84">
        <f>P_SF</f>
        <v/>
      </c>
      <c r="R65" s="50">
        <f>IF(COUNT(N65:Q65)=4,N65*O65*P65*Q65,"")</f>
        <v/>
      </c>
      <c r="S65" s="41">
        <f>IF(R65="","unvollständig",IF(R65&gt;P_Grenze_kritisch,"kritisch",IF(R65&gt;=P_Grenze_hoch,"hoch",IF(R65&gt;=P_Grenze_mittel,"mittel","gering"))))</f>
        <v/>
      </c>
      <c r="T65" s="43">
        <f>IF(S65="unvollständig","Bewertung fehlt",INDEX(Kl_Intervall,MATCH(S65,Kl_Name,0)))</f>
        <v/>
      </c>
      <c r="U65" s="23">
        <f>T65</f>
        <v/>
      </c>
      <c r="V65" s="85">
        <f>IFERROR(INDEX(Iv_Wochen,MATCH(U65,Iv_Name,0)),"")</f>
        <v/>
      </c>
      <c r="W65" s="81" t="n"/>
      <c r="X65" s="43">
        <f>TRIM(IF(N(K65)&gt;=P_Krit,"AS ","")&amp;IF(N(J65)&gt;=P_Krit,"Q ","")&amp;IF(N(L65)&gt;=P_Krit,"US",""))</f>
        <v/>
      </c>
      <c r="Y65" s="19">
        <f>IF(ISNUMBER(I65),INDEX(IH_Text,I65),"")</f>
        <v/>
      </c>
      <c r="Z65" s="81" t="n"/>
      <c r="AA65" s="83" t="n"/>
      <c r="AB65" s="48">
        <f>IF(AND(ISNUMBER(V65),ISNUMBER(AA65)),52/V65*AA65/60,"")</f>
        <v/>
      </c>
      <c r="AC65" s="86" t="inlineStr">
        <is>
          <t>Beladehandling (Handling Glattrohrgreifer) und Entnahmehandling (Handling Balggreifer)</t>
        </is>
      </c>
      <c r="AD65" s="86" t="inlineStr">
        <is>
          <t>14 / 8</t>
        </is>
      </c>
      <c r="AE65" s="86" t="inlineStr">
        <is>
          <t>Maßnahme</t>
        </is>
      </c>
      <c r="AF65" s="43" t="n"/>
      <c r="AG65" s="87" t="inlineStr">
        <is>
          <t>9.01</t>
        </is>
      </c>
      <c r="AH65" s="88" t="inlineStr">
        <is>
          <t xml:space="preserve">Handling (Balg &amp; Glattrohr) - Greifer auf Funktion prüfen / Minischlitten auf Spiel prüfen ggf. festziehen!!!                  </t>
        </is>
      </c>
      <c r="AI65" s="86" t="n">
        <v>60</v>
      </c>
      <c r="AJ65" s="19">
        <f>IF(ISNUMBER(R65),R65-AI65/100000,"")</f>
        <v/>
      </c>
    </row>
    <row r="66" ht="80" customHeight="1">
      <c r="A66" s="80" t="inlineStr">
        <is>
          <t>9.2</t>
        </is>
      </c>
      <c r="B66" s="19" t="inlineStr">
        <is>
          <t>Stoßdämpfer/Minischlitten auf Funktion prüfen</t>
        </is>
      </c>
      <c r="C66" s="81" t="inlineStr">
        <is>
          <t>Funktionsprüfung</t>
        </is>
      </c>
      <c r="D66" s="82" t="n"/>
      <c r="E66" s="19" t="n"/>
      <c r="F66" s="19" t="n"/>
      <c r="G66" s="89" t="inlineStr">
        <is>
          <t>Gedämpfte Endlage, kein Anschlagen</t>
        </is>
      </c>
      <c r="H66" s="83" t="n">
        <v>4</v>
      </c>
      <c r="I66" s="83" t="n">
        <v>3</v>
      </c>
      <c r="J66" s="83" t="n">
        <v>3</v>
      </c>
      <c r="K66" s="83" t="n">
        <v>2</v>
      </c>
      <c r="L66" s="83" t="n">
        <v>2</v>
      </c>
      <c r="M66" s="83" t="n">
        <v>3</v>
      </c>
      <c r="N66" s="84">
        <f>IF(COUNT(H66:M66)=6,SQRT(SUMSQ(H66:M66))/2,"")</f>
        <v/>
      </c>
      <c r="O66" s="83" t="n">
        <v>3</v>
      </c>
      <c r="P66" s="83" t="n">
        <v>3</v>
      </c>
      <c r="Q66" s="84">
        <f>P_SF</f>
        <v/>
      </c>
      <c r="R66" s="50">
        <f>IF(COUNT(N66:Q66)=4,N66*O66*P66*Q66,"")</f>
        <v/>
      </c>
      <c r="S66" s="41">
        <f>IF(R66="","unvollständig",IF(R66&gt;P_Grenze_kritisch,"kritisch",IF(R66&gt;=P_Grenze_hoch,"hoch",IF(R66&gt;=P_Grenze_mittel,"mittel","gering"))))</f>
        <v/>
      </c>
      <c r="T66" s="43">
        <f>IF(S66="unvollständig","Bewertung fehlt",INDEX(Kl_Intervall,MATCH(S66,Kl_Name,0)))</f>
        <v/>
      </c>
      <c r="U66" s="23">
        <f>T66</f>
        <v/>
      </c>
      <c r="V66" s="85">
        <f>IFERROR(INDEX(Iv_Wochen,MATCH(U66,Iv_Name,0)),"")</f>
        <v/>
      </c>
      <c r="W66" s="81" t="n"/>
      <c r="X66" s="43">
        <f>TRIM(IF(N(K66)&gt;=P_Krit,"AS ","")&amp;IF(N(J66)&gt;=P_Krit,"Q ","")&amp;IF(N(L66)&gt;=P_Krit,"US",""))</f>
        <v/>
      </c>
      <c r="Y66" s="19">
        <f>IF(ISNUMBER(I66),INDEX(IH_Text,I66),"")</f>
        <v/>
      </c>
      <c r="Z66" s="81" t="n"/>
      <c r="AA66" s="83" t="n"/>
      <c r="AB66" s="48">
        <f>IF(AND(ISNUMBER(V66),ISNUMBER(AA66)),52/V66*AA66/60,"")</f>
        <v/>
      </c>
      <c r="AC66" s="86" t="inlineStr">
        <is>
          <t>Beladehandling (Handling Glattrohrgreifer) und Entnahmehandling (Handling Balggreifer)</t>
        </is>
      </c>
      <c r="AD66" s="86" t="inlineStr">
        <is>
          <t>14 / 8</t>
        </is>
      </c>
      <c r="AE66" s="86" t="inlineStr">
        <is>
          <t>Maßnahme</t>
        </is>
      </c>
      <c r="AF66" s="43" t="n"/>
      <c r="AG66" s="87" t="inlineStr">
        <is>
          <t>9.02</t>
        </is>
      </c>
      <c r="AH66" s="88" t="inlineStr">
        <is>
          <t>Stoßdämpfer / Minischlitten auf Funktion prüfen</t>
        </is>
      </c>
      <c r="AI66" s="86" t="n">
        <v>61</v>
      </c>
      <c r="AJ66" s="19">
        <f>IF(ISNUMBER(R66),R66-AI66/100000,"")</f>
        <v/>
      </c>
    </row>
    <row r="67" ht="80" customHeight="1">
      <c r="A67" s="80" t="inlineStr">
        <is>
          <t>9.3</t>
        </is>
      </c>
      <c r="B67" s="19" t="inlineStr">
        <is>
          <t>Schwenkeinheit 66° und 12° auf Funktion prüfen; Stoßdämpfer auf Funktion prüfen</t>
        </is>
      </c>
      <c r="C67" s="81" t="inlineStr">
        <is>
          <t>Funktionsprüfung</t>
        </is>
      </c>
      <c r="D67" s="82" t="n"/>
      <c r="E67" s="19" t="n"/>
      <c r="F67" s="19" t="n"/>
      <c r="G67" s="89" t="inlineStr">
        <is>
          <t>Schwenkwinkel 66° / 12° werden sicher erreicht</t>
        </is>
      </c>
      <c r="H67" s="83" t="n">
        <v>4</v>
      </c>
      <c r="I67" s="83" t="n">
        <v>3</v>
      </c>
      <c r="J67" s="83" t="n">
        <v>3</v>
      </c>
      <c r="K67" s="83" t="n">
        <v>2</v>
      </c>
      <c r="L67" s="83" t="n">
        <v>2</v>
      </c>
      <c r="M67" s="83" t="n">
        <v>3</v>
      </c>
      <c r="N67" s="84">
        <f>IF(COUNT(H67:M67)=6,SQRT(SUMSQ(H67:M67))/2,"")</f>
        <v/>
      </c>
      <c r="O67" s="83" t="n">
        <v>3</v>
      </c>
      <c r="P67" s="83" t="n">
        <v>3</v>
      </c>
      <c r="Q67" s="84">
        <f>P_SF</f>
        <v/>
      </c>
      <c r="R67" s="50">
        <f>IF(COUNT(N67:Q67)=4,N67*O67*P67*Q67,"")</f>
        <v/>
      </c>
      <c r="S67" s="41">
        <f>IF(R67="","unvollständig",IF(R67&gt;P_Grenze_kritisch,"kritisch",IF(R67&gt;=P_Grenze_hoch,"hoch",IF(R67&gt;=P_Grenze_mittel,"mittel","gering"))))</f>
        <v/>
      </c>
      <c r="T67" s="43">
        <f>IF(S67="unvollständig","Bewertung fehlt",INDEX(Kl_Intervall,MATCH(S67,Kl_Name,0)))</f>
        <v/>
      </c>
      <c r="U67" s="23">
        <f>T67</f>
        <v/>
      </c>
      <c r="V67" s="85">
        <f>IFERROR(INDEX(Iv_Wochen,MATCH(U67,Iv_Name,0)),"")</f>
        <v/>
      </c>
      <c r="W67" s="81" t="n"/>
      <c r="X67" s="43">
        <f>TRIM(IF(N(K67)&gt;=P_Krit,"AS ","")&amp;IF(N(J67)&gt;=P_Krit,"Q ","")&amp;IF(N(L67)&gt;=P_Krit,"US",""))</f>
        <v/>
      </c>
      <c r="Y67" s="19">
        <f>IF(ISNUMBER(I67),INDEX(IH_Text,I67),"")</f>
        <v/>
      </c>
      <c r="Z67" s="81" t="n"/>
      <c r="AA67" s="83" t="n"/>
      <c r="AB67" s="48">
        <f>IF(AND(ISNUMBER(V67),ISNUMBER(AA67)),52/V67*AA67/60,"")</f>
        <v/>
      </c>
      <c r="AC67" s="86" t="inlineStr">
        <is>
          <t>Beladehandling (Handling Glattrohrgreifer) und Entnahmehandling (Handling Balggreifer)</t>
        </is>
      </c>
      <c r="AD67" s="86" t="inlineStr">
        <is>
          <t>14 / 8</t>
        </is>
      </c>
      <c r="AE67" s="86" t="inlineStr">
        <is>
          <t>Maßnahme</t>
        </is>
      </c>
      <c r="AF67" s="43" t="n"/>
      <c r="AG67" s="87" t="inlineStr">
        <is>
          <t>9.03</t>
        </is>
      </c>
      <c r="AH67" s="88" t="inlineStr">
        <is>
          <t>Schwenkeinheit 66° &amp; 12° auf Funktion prüfen                                                      Stoßdämpfer auf Funktion prüfen</t>
        </is>
      </c>
      <c r="AI67" s="86" t="n">
        <v>62</v>
      </c>
      <c r="AJ67" s="19">
        <f>IF(ISNUMBER(R67),R67-AI67/100000,"")</f>
        <v/>
      </c>
    </row>
    <row r="68" ht="18" customHeight="1">
      <c r="A68" s="90" t="inlineStr">
        <is>
          <t>9.4</t>
        </is>
      </c>
      <c r="B68" s="91" t="inlineStr">
        <is>
          <t>Alle Sensoren/Endschalter nach folgenden Kriterien inspizieren:</t>
        </is>
      </c>
      <c r="C68" s="91" t="n"/>
      <c r="D68" s="96" t="inlineStr">
        <is>
          <t>⚠ Gefahrenstelle</t>
        </is>
      </c>
      <c r="E68" s="91" t="n"/>
      <c r="F68" s="91" t="n"/>
      <c r="G68" s="91" t="n"/>
      <c r="H68" s="91" t="n"/>
      <c r="I68" s="91" t="n"/>
      <c r="J68" s="91" t="n"/>
      <c r="K68" s="91" t="n"/>
      <c r="L68" s="91" t="n"/>
      <c r="M68" s="91" t="n"/>
      <c r="N68" s="91" t="n"/>
      <c r="O68" s="91" t="n"/>
      <c r="P68" s="91" t="n"/>
      <c r="Q68" s="91" t="n"/>
      <c r="R68" s="91" t="n"/>
      <c r="S68" s="91" t="n"/>
      <c r="T68" s="91" t="n"/>
      <c r="U68" s="91" t="n"/>
      <c r="V68" s="91" t="n"/>
      <c r="W68" s="91" t="n"/>
      <c r="X68" s="91" t="n"/>
      <c r="Y68" s="91" t="n"/>
      <c r="Z68" s="91" t="n"/>
      <c r="AA68" s="91" t="n"/>
      <c r="AB68" s="91" t="n"/>
      <c r="AC68" s="92" t="inlineStr">
        <is>
          <t>Beladehandling (Handling Glattrohrgreifer) und Entnahmehandling (Handling Balggreifer)</t>
        </is>
      </c>
      <c r="AD68" s="92" t="inlineStr">
        <is>
          <t>14 / 8</t>
        </is>
      </c>
      <c r="AE68" s="92" t="inlineStr">
        <is>
          <t>Prüfgruppe</t>
        </is>
      </c>
      <c r="AF68" s="91" t="n"/>
      <c r="AG68" s="93" t="inlineStr">
        <is>
          <t>9.1</t>
        </is>
      </c>
      <c r="AH68" s="94" t="inlineStr">
        <is>
          <t>Inspiziere alle Sensoren/Endschalter nach folgenden Kriterien:</t>
        </is>
      </c>
      <c r="AI68" s="92" t="n">
        <v>63</v>
      </c>
      <c r="AJ68" s="91" t="n"/>
    </row>
    <row r="69" ht="19" customHeight="1">
      <c r="A69" s="80" t="inlineStr">
        <is>
          <t>9.4.1</t>
        </is>
      </c>
      <c r="B69" s="19" t="inlineStr">
        <is>
          <t>Funktion testen</t>
        </is>
      </c>
      <c r="C69" s="81" t="inlineStr">
        <is>
          <t>Funktionsprüfung</t>
        </is>
      </c>
      <c r="D69" s="82" t="n"/>
      <c r="E69" s="19" t="n"/>
      <c r="F69" s="19" t="n"/>
      <c r="G69" s="89" t="inlineStr">
        <is>
          <t>Schaltsignal kommt sicher</t>
        </is>
      </c>
      <c r="H69" s="95">
        <f>H39</f>
        <v/>
      </c>
      <c r="I69" s="95">
        <f>I39</f>
        <v/>
      </c>
      <c r="J69" s="95">
        <f>J39</f>
        <v/>
      </c>
      <c r="K69" s="95">
        <f>K39</f>
        <v/>
      </c>
      <c r="L69" s="95">
        <f>L39</f>
        <v/>
      </c>
      <c r="M69" s="95">
        <f>M39</f>
        <v/>
      </c>
      <c r="N69" s="84">
        <f>IF(COUNT(H69:M69)=6,SQRT(SUMSQ(H69:M69))/2,"")</f>
        <v/>
      </c>
      <c r="O69" s="95">
        <f>O39</f>
        <v/>
      </c>
      <c r="P69" s="95">
        <f>P39</f>
        <v/>
      </c>
      <c r="Q69" s="84">
        <f>P_SF</f>
        <v/>
      </c>
      <c r="R69" s="50">
        <f>IF(COUNT(N69:Q69)=4,N69*O69*P69*Q69,"")</f>
        <v/>
      </c>
      <c r="S69" s="41">
        <f>IF(R69="","unvollständig",IF(R69&gt;P_Grenze_kritisch,"kritisch",IF(R69&gt;=P_Grenze_hoch,"hoch",IF(R69&gt;=P_Grenze_mittel,"mittel","gering"))))</f>
        <v/>
      </c>
      <c r="T69" s="43">
        <f>IF(S69="unvollständig","Bewertung fehlt",INDEX(Kl_Intervall,MATCH(S69,Kl_Name,0)))</f>
        <v/>
      </c>
      <c r="U69" s="23">
        <f>T69</f>
        <v/>
      </c>
      <c r="V69" s="85">
        <f>IFERROR(INDEX(Iv_Wochen,MATCH(U69,Iv_Name,0)),"")</f>
        <v/>
      </c>
      <c r="W69" s="81" t="n"/>
      <c r="X69" s="43">
        <f>TRIM(IF(N(K69)&gt;=P_Krit,"AS ","")&amp;IF(N(J69)&gt;=P_Krit,"Q ","")&amp;IF(N(L69)&gt;=P_Krit,"US",""))</f>
        <v/>
      </c>
      <c r="Y69" s="19">
        <f>IF(ISNUMBER(I69),INDEX(IH_Text,I69),"")</f>
        <v/>
      </c>
      <c r="Z69" s="81" t="n"/>
      <c r="AA69" s="83" t="n"/>
      <c r="AB69" s="48">
        <f>IF(AND(ISNUMBER(V69),ISNUMBER(AA69)),52/V69*AA69/60,"")</f>
        <v/>
      </c>
      <c r="AC69" s="86" t="inlineStr">
        <is>
          <t>Beladehandling (Handling Glattrohrgreifer) und Entnahmehandling (Handling Balggreifer)</t>
        </is>
      </c>
      <c r="AD69" s="86" t="inlineStr">
        <is>
          <t>14 / 8</t>
        </is>
      </c>
      <c r="AE69" s="86" t="inlineStr">
        <is>
          <t>Maßnahme</t>
        </is>
      </c>
      <c r="AF69" s="43" t="inlineStr">
        <is>
          <t>5.3.1</t>
        </is>
      </c>
      <c r="AG69" s="87" t="inlineStr">
        <is>
          <t>9.1.1</t>
        </is>
      </c>
      <c r="AH69" s="88" t="inlineStr">
        <is>
          <t>Funktion testen</t>
        </is>
      </c>
      <c r="AI69" s="86" t="n">
        <v>64</v>
      </c>
      <c r="AJ69" s="19">
        <f>IF(ISNUMBER(R69),R69-AI69/100000,"")</f>
        <v/>
      </c>
    </row>
    <row r="70" ht="80" customHeight="1">
      <c r="A70" s="80" t="inlineStr">
        <is>
          <t>9.4.2</t>
        </is>
      </c>
      <c r="B70" s="19" t="inlineStr">
        <is>
          <t>Anschlüsse kontrollieren</t>
        </is>
      </c>
      <c r="C70" s="81" t="inlineStr">
        <is>
          <t>Inspektion</t>
        </is>
      </c>
      <c r="D70" s="82" t="n"/>
      <c r="E70" s="19" t="n"/>
      <c r="F70" s="19" t="n"/>
      <c r="G70" s="89" t="inlineStr">
        <is>
          <t>Stecker fest, unbeschädigt</t>
        </is>
      </c>
      <c r="H70" s="95">
        <f>H40</f>
        <v/>
      </c>
      <c r="I70" s="95">
        <f>I40</f>
        <v/>
      </c>
      <c r="J70" s="95">
        <f>J40</f>
        <v/>
      </c>
      <c r="K70" s="95">
        <f>K40</f>
        <v/>
      </c>
      <c r="L70" s="95">
        <f>L40</f>
        <v/>
      </c>
      <c r="M70" s="95">
        <f>M40</f>
        <v/>
      </c>
      <c r="N70" s="84">
        <f>IF(COUNT(H70:M70)=6,SQRT(SUMSQ(H70:M70))/2,"")</f>
        <v/>
      </c>
      <c r="O70" s="95">
        <f>O40</f>
        <v/>
      </c>
      <c r="P70" s="95">
        <f>P40</f>
        <v/>
      </c>
      <c r="Q70" s="84">
        <f>P_SF</f>
        <v/>
      </c>
      <c r="R70" s="50">
        <f>IF(COUNT(N70:Q70)=4,N70*O70*P70*Q70,"")</f>
        <v/>
      </c>
      <c r="S70" s="41">
        <f>IF(R70="","unvollständig",IF(R70&gt;P_Grenze_kritisch,"kritisch",IF(R70&gt;=P_Grenze_hoch,"hoch",IF(R70&gt;=P_Grenze_mittel,"mittel","gering"))))</f>
        <v/>
      </c>
      <c r="T70" s="43">
        <f>IF(S70="unvollständig","Bewertung fehlt",INDEX(Kl_Intervall,MATCH(S70,Kl_Name,0)))</f>
        <v/>
      </c>
      <c r="U70" s="23">
        <f>T70</f>
        <v/>
      </c>
      <c r="V70" s="85">
        <f>IFERROR(INDEX(Iv_Wochen,MATCH(U70,Iv_Name,0)),"")</f>
        <v/>
      </c>
      <c r="W70" s="81" t="n"/>
      <c r="X70" s="43">
        <f>TRIM(IF(N(K70)&gt;=P_Krit,"AS ","")&amp;IF(N(J70)&gt;=P_Krit,"Q ","")&amp;IF(N(L70)&gt;=P_Krit,"US",""))</f>
        <v/>
      </c>
      <c r="Y70" s="19">
        <f>IF(ISNUMBER(I70),INDEX(IH_Text,I70),"")</f>
        <v/>
      </c>
      <c r="Z70" s="81" t="n"/>
      <c r="AA70" s="83" t="n"/>
      <c r="AB70" s="48">
        <f>IF(AND(ISNUMBER(V70),ISNUMBER(AA70)),52/V70*AA70/60,"")</f>
        <v/>
      </c>
      <c r="AC70" s="86" t="inlineStr">
        <is>
          <t>Beladehandling (Handling Glattrohrgreifer) und Entnahmehandling (Handling Balggreifer)</t>
        </is>
      </c>
      <c r="AD70" s="86" t="inlineStr">
        <is>
          <t>14 / 8</t>
        </is>
      </c>
      <c r="AE70" s="86" t="inlineStr">
        <is>
          <t>Maßnahme</t>
        </is>
      </c>
      <c r="AF70" s="43" t="inlineStr">
        <is>
          <t>5.3.2</t>
        </is>
      </c>
      <c r="AG70" s="87" t="inlineStr">
        <is>
          <t>9.1.2</t>
        </is>
      </c>
      <c r="AH70" s="88" t="inlineStr">
        <is>
          <t>Anschlüsse kontrollieren</t>
        </is>
      </c>
      <c r="AI70" s="86" t="n">
        <v>65</v>
      </c>
      <c r="AJ70" s="19">
        <f>IF(ISNUMBER(R70),R70-AI70/100000,"")</f>
        <v/>
      </c>
    </row>
    <row r="71" ht="19" customHeight="1">
      <c r="A71" s="80" t="inlineStr">
        <is>
          <t>9.4.3</t>
        </is>
      </c>
      <c r="B71" s="19" t="inlineStr">
        <is>
          <t>Befestigung und Position kontrollieren</t>
        </is>
      </c>
      <c r="C71" s="81" t="inlineStr">
        <is>
          <t>Inspektion</t>
        </is>
      </c>
      <c r="D71" s="82" t="n"/>
      <c r="E71" s="19" t="n"/>
      <c r="F71" s="19" t="n"/>
      <c r="G71" s="89" t="inlineStr">
        <is>
          <t>Fest, Position unverändert</t>
        </is>
      </c>
      <c r="H71" s="95">
        <f>H41</f>
        <v/>
      </c>
      <c r="I71" s="95">
        <f>I41</f>
        <v/>
      </c>
      <c r="J71" s="95">
        <f>J41</f>
        <v/>
      </c>
      <c r="K71" s="95">
        <f>K41</f>
        <v/>
      </c>
      <c r="L71" s="95">
        <f>L41</f>
        <v/>
      </c>
      <c r="M71" s="95">
        <f>M41</f>
        <v/>
      </c>
      <c r="N71" s="84">
        <f>IF(COUNT(H71:M71)=6,SQRT(SUMSQ(H71:M71))/2,"")</f>
        <v/>
      </c>
      <c r="O71" s="95">
        <f>O41</f>
        <v/>
      </c>
      <c r="P71" s="95">
        <f>P41</f>
        <v/>
      </c>
      <c r="Q71" s="84">
        <f>P_SF</f>
        <v/>
      </c>
      <c r="R71" s="50">
        <f>IF(COUNT(N71:Q71)=4,N71*O71*P71*Q71,"")</f>
        <v/>
      </c>
      <c r="S71" s="41">
        <f>IF(R71="","unvollständig",IF(R71&gt;P_Grenze_kritisch,"kritisch",IF(R71&gt;=P_Grenze_hoch,"hoch",IF(R71&gt;=P_Grenze_mittel,"mittel","gering"))))</f>
        <v/>
      </c>
      <c r="T71" s="43">
        <f>IF(S71="unvollständig","Bewertung fehlt",INDEX(Kl_Intervall,MATCH(S71,Kl_Name,0)))</f>
        <v/>
      </c>
      <c r="U71" s="23">
        <f>T71</f>
        <v/>
      </c>
      <c r="V71" s="85">
        <f>IFERROR(INDEX(Iv_Wochen,MATCH(U71,Iv_Name,0)),"")</f>
        <v/>
      </c>
      <c r="W71" s="81" t="n"/>
      <c r="X71" s="43">
        <f>TRIM(IF(N(K71)&gt;=P_Krit,"AS ","")&amp;IF(N(J71)&gt;=P_Krit,"Q ","")&amp;IF(N(L71)&gt;=P_Krit,"US",""))</f>
        <v/>
      </c>
      <c r="Y71" s="19">
        <f>IF(ISNUMBER(I71),INDEX(IH_Text,I71),"")</f>
        <v/>
      </c>
      <c r="Z71" s="81" t="n"/>
      <c r="AA71" s="83" t="n"/>
      <c r="AB71" s="48">
        <f>IF(AND(ISNUMBER(V71),ISNUMBER(AA71)),52/V71*AA71/60,"")</f>
        <v/>
      </c>
      <c r="AC71" s="86" t="inlineStr">
        <is>
          <t>Beladehandling (Handling Glattrohrgreifer) und Entnahmehandling (Handling Balggreifer)</t>
        </is>
      </c>
      <c r="AD71" s="86" t="inlineStr">
        <is>
          <t>14 / 8</t>
        </is>
      </c>
      <c r="AE71" s="86" t="inlineStr">
        <is>
          <t>Maßnahme</t>
        </is>
      </c>
      <c r="AF71" s="43" t="inlineStr">
        <is>
          <t>5.3.3</t>
        </is>
      </c>
      <c r="AG71" s="87" t="inlineStr">
        <is>
          <t>9.1.3</t>
        </is>
      </c>
      <c r="AH71" s="88" t="inlineStr">
        <is>
          <t xml:space="preserve">Befestigung und Position kontrollieren </t>
        </is>
      </c>
      <c r="AI71" s="86" t="n">
        <v>66</v>
      </c>
      <c r="AJ71" s="19">
        <f>IF(ISNUMBER(R71),R71-AI71/100000,"")</f>
        <v/>
      </c>
    </row>
    <row r="72" ht="19" customHeight="1">
      <c r="A72" s="80" t="inlineStr">
        <is>
          <t>9.4.4</t>
        </is>
      </c>
      <c r="B72" s="19" t="inlineStr">
        <is>
          <t>Sensor auf Beschädigung kontrollieren</t>
        </is>
      </c>
      <c r="C72" s="81" t="inlineStr">
        <is>
          <t>Inspektion</t>
        </is>
      </c>
      <c r="D72" s="82" t="n"/>
      <c r="E72" s="19" t="n"/>
      <c r="F72" s="19" t="n"/>
      <c r="G72" s="89" t="inlineStr">
        <is>
          <t>Keine Beschädigung</t>
        </is>
      </c>
      <c r="H72" s="95">
        <f>H42</f>
        <v/>
      </c>
      <c r="I72" s="95">
        <f>I42</f>
        <v/>
      </c>
      <c r="J72" s="95">
        <f>J42</f>
        <v/>
      </c>
      <c r="K72" s="95">
        <f>K42</f>
        <v/>
      </c>
      <c r="L72" s="95">
        <f>L42</f>
        <v/>
      </c>
      <c r="M72" s="95">
        <f>M42</f>
        <v/>
      </c>
      <c r="N72" s="84">
        <f>IF(COUNT(H72:M72)=6,SQRT(SUMSQ(H72:M72))/2,"")</f>
        <v/>
      </c>
      <c r="O72" s="95">
        <f>O42</f>
        <v/>
      </c>
      <c r="P72" s="83" t="n">
        <v>3</v>
      </c>
      <c r="Q72" s="84">
        <f>P_SF</f>
        <v/>
      </c>
      <c r="R72" s="50">
        <f>IF(COUNT(N72:Q72)=4,N72*O72*P72*Q72,"")</f>
        <v/>
      </c>
      <c r="S72" s="41">
        <f>IF(R72="","unvollständig",IF(R72&gt;P_Grenze_kritisch,"kritisch",IF(R72&gt;=P_Grenze_hoch,"hoch",IF(R72&gt;=P_Grenze_mittel,"mittel","gering"))))</f>
        <v/>
      </c>
      <c r="T72" s="43">
        <f>IF(S72="unvollständig","Bewertung fehlt",INDEX(Kl_Intervall,MATCH(S72,Kl_Name,0)))</f>
        <v/>
      </c>
      <c r="U72" s="23">
        <f>T72</f>
        <v/>
      </c>
      <c r="V72" s="85">
        <f>IFERROR(INDEX(Iv_Wochen,MATCH(U72,Iv_Name,0)),"")</f>
        <v/>
      </c>
      <c r="W72" s="81" t="n"/>
      <c r="X72" s="43">
        <f>TRIM(IF(N(K72)&gt;=P_Krit,"AS ","")&amp;IF(N(J72)&gt;=P_Krit,"Q ","")&amp;IF(N(L72)&gt;=P_Krit,"US",""))</f>
        <v/>
      </c>
      <c r="Y72" s="19">
        <f>IF(ISNUMBER(I72),INDEX(IH_Text,I72),"")</f>
        <v/>
      </c>
      <c r="Z72" s="81" t="n"/>
      <c r="AA72" s="83" t="n"/>
      <c r="AB72" s="48">
        <f>IF(AND(ISNUMBER(V72),ISNUMBER(AA72)),52/V72*AA72/60,"")</f>
        <v/>
      </c>
      <c r="AC72" s="86" t="inlineStr">
        <is>
          <t>Beladehandling (Handling Glattrohrgreifer) und Entnahmehandling (Handling Balggreifer)</t>
        </is>
      </c>
      <c r="AD72" s="86" t="inlineStr">
        <is>
          <t>14 / 8</t>
        </is>
      </c>
      <c r="AE72" s="86" t="inlineStr">
        <is>
          <t>Maßnahme</t>
        </is>
      </c>
      <c r="AF72" s="43" t="inlineStr">
        <is>
          <t>5.3.4</t>
        </is>
      </c>
      <c r="AG72" s="87" t="inlineStr">
        <is>
          <t>9.1.4</t>
        </is>
      </c>
      <c r="AH72" s="88" t="inlineStr">
        <is>
          <t xml:space="preserve">Sensor auf Beschädigung kontrollieren </t>
        </is>
      </c>
      <c r="AI72" s="86" t="n">
        <v>67</v>
      </c>
      <c r="AJ72" s="19">
        <f>IF(ISNUMBER(R72),R72-AI72/100000,"")</f>
        <v/>
      </c>
    </row>
    <row r="73" ht="80" customHeight="1">
      <c r="A73" s="80" t="inlineStr">
        <is>
          <t>9.4.5</t>
        </is>
      </c>
      <c r="B73" s="19" t="inlineStr">
        <is>
          <t>Hydraulik- und Pneumatikleitungen/-anschlüsse kontrollieren</t>
        </is>
      </c>
      <c r="C73" s="81" t="inlineStr">
        <is>
          <t>Inspektion</t>
        </is>
      </c>
      <c r="D73" s="82" t="n"/>
      <c r="E73" s="19" t="n"/>
      <c r="F73" s="19" t="n"/>
      <c r="G73" s="89" t="inlineStr">
        <is>
          <t>Dicht, unbeschädigt</t>
        </is>
      </c>
      <c r="H73" s="83" t="n">
        <v>3</v>
      </c>
      <c r="I73" s="83" t="n">
        <v>2</v>
      </c>
      <c r="J73" s="83" t="n">
        <v>2</v>
      </c>
      <c r="K73" s="83" t="n">
        <v>3</v>
      </c>
      <c r="L73" s="83" t="n">
        <v>3</v>
      </c>
      <c r="M73" s="83" t="n">
        <v>2</v>
      </c>
      <c r="N73" s="84">
        <f>IF(COUNT(H73:M73)=6,SQRT(SUMSQ(H73:M73))/2,"")</f>
        <v/>
      </c>
      <c r="O73" s="83" t="n">
        <v>3</v>
      </c>
      <c r="P73" s="83" t="n">
        <v>3</v>
      </c>
      <c r="Q73" s="84">
        <f>P_SF</f>
        <v/>
      </c>
      <c r="R73" s="50">
        <f>IF(COUNT(N73:Q73)=4,N73*O73*P73*Q73,"")</f>
        <v/>
      </c>
      <c r="S73" s="41">
        <f>IF(R73="","unvollständig",IF(R73&gt;P_Grenze_kritisch,"kritisch",IF(R73&gt;=P_Grenze_hoch,"hoch",IF(R73&gt;=P_Grenze_mittel,"mittel","gering"))))</f>
        <v/>
      </c>
      <c r="T73" s="43">
        <f>IF(S73="unvollständig","Bewertung fehlt",INDEX(Kl_Intervall,MATCH(S73,Kl_Name,0)))</f>
        <v/>
      </c>
      <c r="U73" s="23">
        <f>T73</f>
        <v/>
      </c>
      <c r="V73" s="85">
        <f>IFERROR(INDEX(Iv_Wochen,MATCH(U73,Iv_Name,0)),"")</f>
        <v/>
      </c>
      <c r="W73" s="81" t="n"/>
      <c r="X73" s="43">
        <f>TRIM(IF(N(K73)&gt;=P_Krit,"AS ","")&amp;IF(N(J73)&gt;=P_Krit,"Q ","")&amp;IF(N(L73)&gt;=P_Krit,"US",""))</f>
        <v/>
      </c>
      <c r="Y73" s="19">
        <f>IF(ISNUMBER(I73),INDEX(IH_Text,I73),"")</f>
        <v/>
      </c>
      <c r="Z73" s="81" t="n"/>
      <c r="AA73" s="83" t="n"/>
      <c r="AB73" s="48">
        <f>IF(AND(ISNUMBER(V73),ISNUMBER(AA73)),52/V73*AA73/60,"")</f>
        <v/>
      </c>
      <c r="AC73" s="86" t="inlineStr">
        <is>
          <t>Beladehandling (Handling Glattrohrgreifer) und Entnahmehandling (Handling Balggreifer)</t>
        </is>
      </c>
      <c r="AD73" s="86" t="inlineStr">
        <is>
          <t>14 / 8</t>
        </is>
      </c>
      <c r="AE73" s="86" t="inlineStr">
        <is>
          <t>Maßnahme</t>
        </is>
      </c>
      <c r="AF73" s="43" t="n"/>
      <c r="AG73" s="87" t="inlineStr">
        <is>
          <t>9.1.5</t>
        </is>
      </c>
      <c r="AH73" s="88" t="inlineStr">
        <is>
          <t>Hydraulikleitungen/Anschlüsse u. Pneumatikleitungen/Anschlüsse kontrollieren</t>
        </is>
      </c>
      <c r="AI73" s="86" t="n">
        <v>68</v>
      </c>
      <c r="AJ73" s="19">
        <f>IF(ISNUMBER(R73),R73-AI73/100000,"")</f>
        <v/>
      </c>
    </row>
    <row r="74" ht="32" customHeight="1">
      <c r="A74" s="80" t="inlineStr">
        <is>
          <t>9.4.6</t>
        </is>
      </c>
      <c r="B74" s="19" t="inlineStr">
        <is>
          <t>Kabelklemmung, Knickschutz, Kabelkasten und Leitungen auf Beschädigung prüfen</t>
        </is>
      </c>
      <c r="C74" s="81" t="inlineStr">
        <is>
          <t>Inspektion</t>
        </is>
      </c>
      <c r="D74" s="82" t="inlineStr">
        <is>
          <t>⚠ Gefahrenstelle</t>
        </is>
      </c>
      <c r="E74" s="19" t="n"/>
      <c r="F74" s="19" t="n"/>
      <c r="G74" s="89" t="inlineStr">
        <is>
          <t>Keine Beschädigung; Zugentlastung wirksam</t>
        </is>
      </c>
      <c r="H74" s="95">
        <f>H43</f>
        <v/>
      </c>
      <c r="I74" s="95">
        <f>I43</f>
        <v/>
      </c>
      <c r="J74" s="95">
        <f>J43</f>
        <v/>
      </c>
      <c r="K74" s="95">
        <f>K43</f>
        <v/>
      </c>
      <c r="L74" s="95">
        <f>L43</f>
        <v/>
      </c>
      <c r="M74" s="95">
        <f>M43</f>
        <v/>
      </c>
      <c r="N74" s="84">
        <f>IF(COUNT(H74:M74)=6,SQRT(SUMSQ(H74:M74))/2,"")</f>
        <v/>
      </c>
      <c r="O74" s="95">
        <f>O43</f>
        <v/>
      </c>
      <c r="P74" s="95">
        <f>P43</f>
        <v/>
      </c>
      <c r="Q74" s="84">
        <f>P_SF</f>
        <v/>
      </c>
      <c r="R74" s="50">
        <f>IF(COUNT(N74:Q74)=4,N74*O74*P74*Q74,"")</f>
        <v/>
      </c>
      <c r="S74" s="41">
        <f>IF(R74="","unvollständig",IF(R74&gt;P_Grenze_kritisch,"kritisch",IF(R74&gt;=P_Grenze_hoch,"hoch",IF(R74&gt;=P_Grenze_mittel,"mittel","gering"))))</f>
        <v/>
      </c>
      <c r="T74" s="43">
        <f>IF(S74="unvollständig","Bewertung fehlt",INDEX(Kl_Intervall,MATCH(S74,Kl_Name,0)))</f>
        <v/>
      </c>
      <c r="U74" s="23">
        <f>T74</f>
        <v/>
      </c>
      <c r="V74" s="85">
        <f>IFERROR(INDEX(Iv_Wochen,MATCH(U74,Iv_Name,0)),"")</f>
        <v/>
      </c>
      <c r="W74" s="81" t="n"/>
      <c r="X74" s="43">
        <f>TRIM(IF(N(K74)&gt;=P_Krit,"AS ","")&amp;IF(N(J74)&gt;=P_Krit,"Q ","")&amp;IF(N(L74)&gt;=P_Krit,"US",""))</f>
        <v/>
      </c>
      <c r="Y74" s="19">
        <f>IF(ISNUMBER(I74),INDEX(IH_Text,I74),"")</f>
        <v/>
      </c>
      <c r="Z74" s="81" t="n"/>
      <c r="AA74" s="83" t="n"/>
      <c r="AB74" s="48">
        <f>IF(AND(ISNUMBER(V74),ISNUMBER(AA74)),52/V74*AA74/60,"")</f>
        <v/>
      </c>
      <c r="AC74" s="86" t="inlineStr">
        <is>
          <t>Beladehandling (Handling Glattrohrgreifer) und Entnahmehandling (Handling Balggreifer)</t>
        </is>
      </c>
      <c r="AD74" s="86" t="inlineStr">
        <is>
          <t>14 / 8</t>
        </is>
      </c>
      <c r="AE74" s="86" t="inlineStr">
        <is>
          <t>Maßnahme</t>
        </is>
      </c>
      <c r="AF74" s="43" t="inlineStr">
        <is>
          <t>5.3.5</t>
        </is>
      </c>
      <c r="AG74" s="87" t="inlineStr">
        <is>
          <t>9.1.6</t>
        </is>
      </c>
      <c r="AH74" s="88" t="inlineStr">
        <is>
          <t>Prüfe Kabelklemmung, Knickschutz, Kabelkasten und Leitungen auf Beschädigung</t>
        </is>
      </c>
      <c r="AI74" s="86" t="n">
        <v>69</v>
      </c>
      <c r="AJ74" s="19">
        <f>IF(ISNUMBER(R74),R74-AI74/100000,"")</f>
        <v/>
      </c>
    </row>
    <row r="75" ht="20" customHeight="1">
      <c r="A75" s="74" t="inlineStr">
        <is>
          <t>10</t>
        </is>
      </c>
      <c r="B75" s="75" t="inlineStr">
        <is>
          <t>Wartungseinheit (falls vorhanden)</t>
        </is>
      </c>
      <c r="C75" s="75" t="n"/>
      <c r="D75" s="76" t="n"/>
      <c r="E75" s="75" t="n"/>
      <c r="F75" s="75" t="n"/>
      <c r="G75" s="75" t="n"/>
      <c r="H75" s="75" t="n"/>
      <c r="I75" s="75" t="n"/>
      <c r="J75" s="75" t="n"/>
      <c r="K75" s="75" t="n"/>
      <c r="L75" s="75" t="n"/>
      <c r="M75" s="75" t="n"/>
      <c r="N75" s="75" t="n"/>
      <c r="O75" s="75" t="n"/>
      <c r="P75" s="75" t="n"/>
      <c r="Q75" s="75" t="n"/>
      <c r="R75" s="75" t="n"/>
      <c r="S75" s="75" t="n"/>
      <c r="T75" s="75" t="n"/>
      <c r="U75" s="75" t="n"/>
      <c r="V75" s="75" t="n"/>
      <c r="W75" s="75" t="n"/>
      <c r="X75" s="75" t="n"/>
      <c r="Y75" s="75" t="n"/>
      <c r="Z75" s="75" t="n"/>
      <c r="AA75" s="75" t="n"/>
      <c r="AB75" s="75" t="n"/>
      <c r="AC75" s="77" t="inlineStr">
        <is>
          <t>Wartungseinheit (falls vorhanden)</t>
        </is>
      </c>
      <c r="AD75" s="77" t="inlineStr">
        <is>
          <t>15</t>
        </is>
      </c>
      <c r="AE75" s="77" t="inlineStr">
        <is>
          <t>Baugruppe</t>
        </is>
      </c>
      <c r="AF75" s="75" t="n"/>
      <c r="AG75" s="78" t="inlineStr">
        <is>
          <t>10</t>
        </is>
      </c>
      <c r="AH75" s="79" t="inlineStr">
        <is>
          <t>15.) Wartungseinheit (falls vorhanden)</t>
        </is>
      </c>
      <c r="AI75" s="77" t="n">
        <v>70</v>
      </c>
      <c r="AJ75" s="75" t="n"/>
    </row>
    <row r="76" ht="32" customHeight="1">
      <c r="A76" s="80" t="inlineStr">
        <is>
          <t>10.1</t>
        </is>
      </c>
      <c r="B76" s="19" t="inlineStr">
        <is>
          <t>Kondensat ablassen, Filter reinigen, Öl DTE 25 nachfüllen (0,05 l)</t>
        </is>
      </c>
      <c r="C76" s="81" t="inlineStr">
        <is>
          <t>Wartung</t>
        </is>
      </c>
      <c r="D76" s="82" t="n"/>
      <c r="E76" s="19" t="n"/>
      <c r="F76" s="19" t="inlineStr">
        <is>
          <t>Öl DTE 25; 0,05 l</t>
        </is>
      </c>
      <c r="G76" s="89" t="inlineStr">
        <is>
          <t>Kein Kondensat; Filter sauber; Ölstand i.O.</t>
        </is>
      </c>
      <c r="H76" s="83" t="n">
        <v>3</v>
      </c>
      <c r="I76" s="83" t="n">
        <v>2</v>
      </c>
      <c r="J76" s="83" t="n">
        <v>2</v>
      </c>
      <c r="K76" s="83" t="n">
        <v>2</v>
      </c>
      <c r="L76" s="83" t="n">
        <v>4</v>
      </c>
      <c r="M76" s="83" t="n">
        <v>2</v>
      </c>
      <c r="N76" s="84">
        <f>IF(COUNT(H76:M76)=6,SQRT(SUMSQ(H76:M76))/2,"")</f>
        <v/>
      </c>
      <c r="O76" s="83" t="n">
        <v>2</v>
      </c>
      <c r="P76" s="83" t="n">
        <v>4</v>
      </c>
      <c r="Q76" s="84">
        <f>P_SF</f>
        <v/>
      </c>
      <c r="R76" s="50">
        <f>IF(COUNT(N76:Q76)=4,N76*O76*P76*Q76,"")</f>
        <v/>
      </c>
      <c r="S76" s="41">
        <f>IF(R76="","unvollständig",IF(R76&gt;P_Grenze_kritisch,"kritisch",IF(R76&gt;=P_Grenze_hoch,"hoch",IF(R76&gt;=P_Grenze_mittel,"mittel","gering"))))</f>
        <v/>
      </c>
      <c r="T76" s="43">
        <f>IF(S76="unvollständig","Bewertung fehlt",INDEX(Kl_Intervall,MATCH(S76,Kl_Name,0)))</f>
        <v/>
      </c>
      <c r="U76" s="23">
        <f>T76</f>
        <v/>
      </c>
      <c r="V76" s="85">
        <f>IFERROR(INDEX(Iv_Wochen,MATCH(U76,Iv_Name,0)),"")</f>
        <v/>
      </c>
      <c r="W76" s="81" t="n"/>
      <c r="X76" s="43">
        <f>TRIM(IF(N(K76)&gt;=P_Krit,"AS ","")&amp;IF(N(J76)&gt;=P_Krit,"Q ","")&amp;IF(N(L76)&gt;=P_Krit,"US",""))</f>
        <v/>
      </c>
      <c r="Y76" s="19">
        <f>IF(ISNUMBER(I76),INDEX(IH_Text,I76),"")</f>
        <v/>
      </c>
      <c r="Z76" s="81" t="n"/>
      <c r="AA76" s="83" t="n"/>
      <c r="AB76" s="48">
        <f>IF(AND(ISNUMBER(V76),ISNUMBER(AA76)),52/V76*AA76/60,"")</f>
        <v/>
      </c>
      <c r="AC76" s="86" t="inlineStr">
        <is>
          <t>Wartungseinheit (falls vorhanden)</t>
        </is>
      </c>
      <c r="AD76" s="86" t="inlineStr">
        <is>
          <t>15</t>
        </is>
      </c>
      <c r="AE76" s="86" t="inlineStr">
        <is>
          <t>Maßnahme</t>
        </is>
      </c>
      <c r="AF76" s="43" t="n"/>
      <c r="AG76" s="87" t="inlineStr">
        <is>
          <t>10.1</t>
        </is>
      </c>
      <c r="AH76" s="88" t="inlineStr">
        <is>
          <t>Kondensat ablassen, Filter reinigen, Öl DTE 25 nachfüllen (0,05 Liter)</t>
        </is>
      </c>
      <c r="AI76" s="86" t="n">
        <v>71</v>
      </c>
      <c r="AJ76" s="19">
        <f>IF(ISNUMBER(R76),R76-AI76/100000,"")</f>
        <v/>
      </c>
    </row>
    <row r="77" ht="20" customHeight="1">
      <c r="A77" s="74" t="inlineStr">
        <is>
          <t>11</t>
        </is>
      </c>
      <c r="B77" s="75" t="inlineStr">
        <is>
          <t>Glattrohrzuführung und Vereinzeler/Rohrstopper</t>
        </is>
      </c>
      <c r="C77" s="75" t="n"/>
      <c r="D77" s="76" t="n"/>
      <c r="E77" s="75" t="n"/>
      <c r="F77" s="75" t="n"/>
      <c r="G77" s="75" t="n"/>
      <c r="H77" s="75" t="n"/>
      <c r="I77" s="75" t="n"/>
      <c r="J77" s="75" t="n"/>
      <c r="K77" s="75" t="n"/>
      <c r="L77" s="75" t="n"/>
      <c r="M77" s="75" t="n"/>
      <c r="N77" s="75" t="n"/>
      <c r="O77" s="75" t="n"/>
      <c r="P77" s="75" t="n"/>
      <c r="Q77" s="75" t="n"/>
      <c r="R77" s="75" t="n"/>
      <c r="S77" s="75" t="n"/>
      <c r="T77" s="75" t="n"/>
      <c r="U77" s="75" t="n"/>
      <c r="V77" s="75" t="n"/>
      <c r="W77" s="75" t="n"/>
      <c r="X77" s="75" t="n"/>
      <c r="Y77" s="75" t="n"/>
      <c r="Z77" s="75" t="n"/>
      <c r="AA77" s="75" t="n"/>
      <c r="AB77" s="75" t="n"/>
      <c r="AC77" s="77" t="inlineStr">
        <is>
          <t>Glattrohrzuführung und Vereinzeler/Rohrstopper</t>
        </is>
      </c>
      <c r="AD77" s="77" t="inlineStr">
        <is>
          <t>16 / 17</t>
        </is>
      </c>
      <c r="AE77" s="77" t="inlineStr">
        <is>
          <t>Baugruppe</t>
        </is>
      </c>
      <c r="AF77" s="75" t="n"/>
      <c r="AG77" s="78" t="inlineStr">
        <is>
          <t>11</t>
        </is>
      </c>
      <c r="AH77" s="79" t="inlineStr">
        <is>
          <t>16.) Glattrohrzuführung 17.) Vereinzeler/Rohrstopper</t>
        </is>
      </c>
      <c r="AI77" s="77" t="n">
        <v>72</v>
      </c>
      <c r="AJ77" s="75" t="n"/>
    </row>
    <row r="78" ht="18" customHeight="1">
      <c r="A78" s="90" t="inlineStr">
        <is>
          <t>11.1</t>
        </is>
      </c>
      <c r="B78" s="91" t="inlineStr">
        <is>
          <t>Alle Pneumatikventile/Ventilinseln nach folgenden Kriterien prüfen:</t>
        </is>
      </c>
      <c r="C78" s="91" t="n"/>
      <c r="D78" s="91" t="n"/>
      <c r="E78" s="91" t="n"/>
      <c r="F78" s="91" t="n"/>
      <c r="G78" s="91" t="n"/>
      <c r="H78" s="91" t="n"/>
      <c r="I78" s="91" t="n"/>
      <c r="J78" s="91" t="n"/>
      <c r="K78" s="91" t="n"/>
      <c r="L78" s="91" t="n"/>
      <c r="M78" s="91" t="n"/>
      <c r="N78" s="91" t="n"/>
      <c r="O78" s="91" t="n"/>
      <c r="P78" s="91" t="n"/>
      <c r="Q78" s="91" t="n"/>
      <c r="R78" s="91" t="n"/>
      <c r="S78" s="91" t="n"/>
      <c r="T78" s="91" t="n"/>
      <c r="U78" s="91" t="n"/>
      <c r="V78" s="91" t="n"/>
      <c r="W78" s="91" t="n"/>
      <c r="X78" s="91" t="n"/>
      <c r="Y78" s="91" t="n"/>
      <c r="Z78" s="91" t="n"/>
      <c r="AA78" s="91" t="n"/>
      <c r="AB78" s="91" t="n"/>
      <c r="AC78" s="92" t="inlineStr">
        <is>
          <t>Glattrohrzuführung und Vereinzeler/Rohrstopper</t>
        </is>
      </c>
      <c r="AD78" s="92" t="inlineStr">
        <is>
          <t>16 / 17</t>
        </is>
      </c>
      <c r="AE78" s="92" t="inlineStr">
        <is>
          <t>Prüfgruppe</t>
        </is>
      </c>
      <c r="AF78" s="91" t="n"/>
      <c r="AG78" s="93" t="inlineStr">
        <is>
          <t>11.1.1</t>
        </is>
      </c>
      <c r="AH78" s="94" t="inlineStr">
        <is>
          <t>Prüfe alle Pneumatikventile/Ventilinseln nach folgenden Kriterien:</t>
        </is>
      </c>
      <c r="AI78" s="92" t="n">
        <v>73</v>
      </c>
      <c r="AJ78" s="91" t="n"/>
    </row>
    <row r="79" ht="32" customHeight="1">
      <c r="A79" s="80" t="inlineStr">
        <is>
          <t>11.1.1</t>
        </is>
      </c>
      <c r="B79" s="19" t="inlineStr">
        <is>
          <t>Anschlüsse auf Dichtheit und Beschädigungen prüfen</t>
        </is>
      </c>
      <c r="C79" s="81" t="inlineStr">
        <is>
          <t>Inspektion</t>
        </is>
      </c>
      <c r="D79" s="82" t="n"/>
      <c r="E79" s="19" t="n"/>
      <c r="F79" s="19" t="n"/>
      <c r="G79" s="89" t="inlineStr">
        <is>
          <t>Dicht (keine hörbare Leckage), unbeschädigt</t>
        </is>
      </c>
      <c r="H79" s="95">
        <f>H33</f>
        <v/>
      </c>
      <c r="I79" s="95">
        <f>I33</f>
        <v/>
      </c>
      <c r="J79" s="95">
        <f>J33</f>
        <v/>
      </c>
      <c r="K79" s="95">
        <f>K33</f>
        <v/>
      </c>
      <c r="L79" s="95">
        <f>L33</f>
        <v/>
      </c>
      <c r="M79" s="95">
        <f>M33</f>
        <v/>
      </c>
      <c r="N79" s="84">
        <f>IF(COUNT(H79:M79)=6,SQRT(SUMSQ(H79:M79))/2,"")</f>
        <v/>
      </c>
      <c r="O79" s="95">
        <f>O33</f>
        <v/>
      </c>
      <c r="P79" s="95">
        <f>P33</f>
        <v/>
      </c>
      <c r="Q79" s="84">
        <f>P_SF</f>
        <v/>
      </c>
      <c r="R79" s="50">
        <f>IF(COUNT(N79:Q79)=4,N79*O79*P79*Q79,"")</f>
        <v/>
      </c>
      <c r="S79" s="41">
        <f>IF(R79="","unvollständig",IF(R79&gt;P_Grenze_kritisch,"kritisch",IF(R79&gt;=P_Grenze_hoch,"hoch",IF(R79&gt;=P_Grenze_mittel,"mittel","gering"))))</f>
        <v/>
      </c>
      <c r="T79" s="43">
        <f>IF(S79="unvollständig","Bewertung fehlt",INDEX(Kl_Intervall,MATCH(S79,Kl_Name,0)))</f>
        <v/>
      </c>
      <c r="U79" s="23">
        <f>T79</f>
        <v/>
      </c>
      <c r="V79" s="85">
        <f>IFERROR(INDEX(Iv_Wochen,MATCH(U79,Iv_Name,0)),"")</f>
        <v/>
      </c>
      <c r="W79" s="81" t="n"/>
      <c r="X79" s="43">
        <f>TRIM(IF(N(K79)&gt;=P_Krit,"AS ","")&amp;IF(N(J79)&gt;=P_Krit,"Q ","")&amp;IF(N(L79)&gt;=P_Krit,"US",""))</f>
        <v/>
      </c>
      <c r="Y79" s="19">
        <f>IF(ISNUMBER(I79),INDEX(IH_Text,I79),"")</f>
        <v/>
      </c>
      <c r="Z79" s="81" t="n"/>
      <c r="AA79" s="83" t="n"/>
      <c r="AB79" s="48">
        <f>IF(AND(ISNUMBER(V79),ISNUMBER(AA79)),52/V79*AA79/60,"")</f>
        <v/>
      </c>
      <c r="AC79" s="86" t="inlineStr">
        <is>
          <t>Glattrohrzuführung und Vereinzeler/Rohrstopper</t>
        </is>
      </c>
      <c r="AD79" s="86" t="inlineStr">
        <is>
          <t>16 / 17</t>
        </is>
      </c>
      <c r="AE79" s="86" t="inlineStr">
        <is>
          <t>Maßnahme</t>
        </is>
      </c>
      <c r="AF79" s="43" t="inlineStr">
        <is>
          <t>5.2.3</t>
        </is>
      </c>
      <c r="AG79" s="87" t="inlineStr">
        <is>
          <t>11.1.2</t>
        </is>
      </c>
      <c r="AH79" s="88" t="inlineStr">
        <is>
          <t>Anschlüsse auf Dichtheit und Beschädigungen prüfen</t>
        </is>
      </c>
      <c r="AI79" s="86" t="n">
        <v>74</v>
      </c>
      <c r="AJ79" s="19">
        <f>IF(ISNUMBER(R79),R79-AI79/100000,"")</f>
        <v/>
      </c>
    </row>
    <row r="80" ht="19" customHeight="1">
      <c r="A80" s="80" t="inlineStr">
        <is>
          <t>11.1.2</t>
        </is>
      </c>
      <c r="B80" s="19" t="inlineStr">
        <is>
          <t>Befestigung der Ventile prüfen</t>
        </is>
      </c>
      <c r="C80" s="81" t="inlineStr">
        <is>
          <t>Inspektion</t>
        </is>
      </c>
      <c r="D80" s="82" t="n"/>
      <c r="E80" s="19" t="n"/>
      <c r="F80" s="19" t="n"/>
      <c r="G80" s="89" t="inlineStr">
        <is>
          <t>Fest</t>
        </is>
      </c>
      <c r="H80" s="95">
        <f>H34</f>
        <v/>
      </c>
      <c r="I80" s="95">
        <f>I34</f>
        <v/>
      </c>
      <c r="J80" s="95">
        <f>J34</f>
        <v/>
      </c>
      <c r="K80" s="95">
        <f>K34</f>
        <v/>
      </c>
      <c r="L80" s="95">
        <f>L34</f>
        <v/>
      </c>
      <c r="M80" s="95">
        <f>M34</f>
        <v/>
      </c>
      <c r="N80" s="84">
        <f>IF(COUNT(H80:M80)=6,SQRT(SUMSQ(H80:M80))/2,"")</f>
        <v/>
      </c>
      <c r="O80" s="95">
        <f>O34</f>
        <v/>
      </c>
      <c r="P80" s="95">
        <f>P34</f>
        <v/>
      </c>
      <c r="Q80" s="84">
        <f>P_SF</f>
        <v/>
      </c>
      <c r="R80" s="50">
        <f>IF(COUNT(N80:Q80)=4,N80*O80*P80*Q80,"")</f>
        <v/>
      </c>
      <c r="S80" s="41">
        <f>IF(R80="","unvollständig",IF(R80&gt;P_Grenze_kritisch,"kritisch",IF(R80&gt;=P_Grenze_hoch,"hoch",IF(R80&gt;=P_Grenze_mittel,"mittel","gering"))))</f>
        <v/>
      </c>
      <c r="T80" s="43">
        <f>IF(S80="unvollständig","Bewertung fehlt",INDEX(Kl_Intervall,MATCH(S80,Kl_Name,0)))</f>
        <v/>
      </c>
      <c r="U80" s="23">
        <f>T80</f>
        <v/>
      </c>
      <c r="V80" s="85">
        <f>IFERROR(INDEX(Iv_Wochen,MATCH(U80,Iv_Name,0)),"")</f>
        <v/>
      </c>
      <c r="W80" s="81" t="n"/>
      <c r="X80" s="43">
        <f>TRIM(IF(N(K80)&gt;=P_Krit,"AS ","")&amp;IF(N(J80)&gt;=P_Krit,"Q ","")&amp;IF(N(L80)&gt;=P_Krit,"US",""))</f>
        <v/>
      </c>
      <c r="Y80" s="19">
        <f>IF(ISNUMBER(I80),INDEX(IH_Text,I80),"")</f>
        <v/>
      </c>
      <c r="Z80" s="81" t="n"/>
      <c r="AA80" s="83" t="n"/>
      <c r="AB80" s="48">
        <f>IF(AND(ISNUMBER(V80),ISNUMBER(AA80)),52/V80*AA80/60,"")</f>
        <v/>
      </c>
      <c r="AC80" s="86" t="inlineStr">
        <is>
          <t>Glattrohrzuführung und Vereinzeler/Rohrstopper</t>
        </is>
      </c>
      <c r="AD80" s="86" t="inlineStr">
        <is>
          <t>16 / 17</t>
        </is>
      </c>
      <c r="AE80" s="86" t="inlineStr">
        <is>
          <t>Maßnahme</t>
        </is>
      </c>
      <c r="AF80" s="43" t="inlineStr">
        <is>
          <t>5.2.4</t>
        </is>
      </c>
      <c r="AG80" s="87" t="inlineStr">
        <is>
          <t>11.1.3</t>
        </is>
      </c>
      <c r="AH80" s="88" t="inlineStr">
        <is>
          <t>überprüfe die Befestigung d. Ventile</t>
        </is>
      </c>
      <c r="AI80" s="86" t="n">
        <v>75</v>
      </c>
      <c r="AJ80" s="19">
        <f>IF(ISNUMBER(R80),R80-AI80/100000,"")</f>
        <v/>
      </c>
    </row>
    <row r="81" ht="32" customHeight="1">
      <c r="A81" s="80" t="inlineStr">
        <is>
          <t>11.1.3</t>
        </is>
      </c>
      <c r="B81" s="19" t="inlineStr">
        <is>
          <t>Funktion der Ventile testen</t>
        </is>
      </c>
      <c r="C81" s="81" t="inlineStr">
        <is>
          <t>Funktionsprüfung</t>
        </is>
      </c>
      <c r="D81" s="82" t="n"/>
      <c r="E81" s="19" t="n"/>
      <c r="F81" s="19" t="n"/>
      <c r="G81" s="89" t="inlineStr">
        <is>
          <t>Ventile schalten einwandfrei</t>
        </is>
      </c>
      <c r="H81" s="95">
        <f>H35</f>
        <v/>
      </c>
      <c r="I81" s="95">
        <f>I35</f>
        <v/>
      </c>
      <c r="J81" s="95">
        <f>J35</f>
        <v/>
      </c>
      <c r="K81" s="95">
        <f>K35</f>
        <v/>
      </c>
      <c r="L81" s="95">
        <f>L35</f>
        <v/>
      </c>
      <c r="M81" s="95">
        <f>M35</f>
        <v/>
      </c>
      <c r="N81" s="84">
        <f>IF(COUNT(H81:M81)=6,SQRT(SUMSQ(H81:M81))/2,"")</f>
        <v/>
      </c>
      <c r="O81" s="95">
        <f>O35</f>
        <v/>
      </c>
      <c r="P81" s="95">
        <f>P35</f>
        <v/>
      </c>
      <c r="Q81" s="84">
        <f>P_SF</f>
        <v/>
      </c>
      <c r="R81" s="50">
        <f>IF(COUNT(N81:Q81)=4,N81*O81*P81*Q81,"")</f>
        <v/>
      </c>
      <c r="S81" s="41">
        <f>IF(R81="","unvollständig",IF(R81&gt;P_Grenze_kritisch,"kritisch",IF(R81&gt;=P_Grenze_hoch,"hoch",IF(R81&gt;=P_Grenze_mittel,"mittel","gering"))))</f>
        <v/>
      </c>
      <c r="T81" s="43">
        <f>IF(S81="unvollständig","Bewertung fehlt",INDEX(Kl_Intervall,MATCH(S81,Kl_Name,0)))</f>
        <v/>
      </c>
      <c r="U81" s="23">
        <f>T81</f>
        <v/>
      </c>
      <c r="V81" s="85">
        <f>IFERROR(INDEX(Iv_Wochen,MATCH(U81,Iv_Name,0)),"")</f>
        <v/>
      </c>
      <c r="W81" s="81" t="n"/>
      <c r="X81" s="43">
        <f>TRIM(IF(N(K81)&gt;=P_Krit,"AS ","")&amp;IF(N(J81)&gt;=P_Krit,"Q ","")&amp;IF(N(L81)&gt;=P_Krit,"US",""))</f>
        <v/>
      </c>
      <c r="Y81" s="19">
        <f>IF(ISNUMBER(I81),INDEX(IH_Text,I81),"")</f>
        <v/>
      </c>
      <c r="Z81" s="81" t="n"/>
      <c r="AA81" s="83" t="n"/>
      <c r="AB81" s="48">
        <f>IF(AND(ISNUMBER(V81),ISNUMBER(AA81)),52/V81*AA81/60,"")</f>
        <v/>
      </c>
      <c r="AC81" s="86" t="inlineStr">
        <is>
          <t>Glattrohrzuführung und Vereinzeler/Rohrstopper</t>
        </is>
      </c>
      <c r="AD81" s="86" t="inlineStr">
        <is>
          <t>16 / 17</t>
        </is>
      </c>
      <c r="AE81" s="86" t="inlineStr">
        <is>
          <t>Maßnahme</t>
        </is>
      </c>
      <c r="AF81" s="43" t="inlineStr">
        <is>
          <t>5.2.5</t>
        </is>
      </c>
      <c r="AG81" s="87" t="inlineStr">
        <is>
          <t>11.1.4</t>
        </is>
      </c>
      <c r="AH81" s="88" t="inlineStr">
        <is>
          <t>Funktion d. Ventile testen</t>
        </is>
      </c>
      <c r="AI81" s="86" t="n">
        <v>76</v>
      </c>
      <c r="AJ81" s="19">
        <f>IF(ISNUMBER(R81),R81-AI81/100000,"")</f>
        <v/>
      </c>
    </row>
    <row r="82" ht="18" customHeight="1">
      <c r="A82" s="90" t="inlineStr">
        <is>
          <t>11.2</t>
        </is>
      </c>
      <c r="B82" s="91" t="inlineStr">
        <is>
          <t>Alle Sensoren/Endschalter nach folgenden Kriterien inspizieren:</t>
        </is>
      </c>
      <c r="C82" s="91" t="n"/>
      <c r="D82" s="91" t="n"/>
      <c r="E82" s="91" t="n"/>
      <c r="F82" s="91" t="n"/>
      <c r="G82" s="91" t="n"/>
      <c r="H82" s="91" t="n"/>
      <c r="I82" s="91" t="n"/>
      <c r="J82" s="91" t="n"/>
      <c r="K82" s="91" t="n"/>
      <c r="L82" s="91" t="n"/>
      <c r="M82" s="91" t="n"/>
      <c r="N82" s="91" t="n"/>
      <c r="O82" s="91" t="n"/>
      <c r="P82" s="91" t="n"/>
      <c r="Q82" s="91" t="n"/>
      <c r="R82" s="91" t="n"/>
      <c r="S82" s="91" t="n"/>
      <c r="T82" s="91" t="n"/>
      <c r="U82" s="91" t="n"/>
      <c r="V82" s="91" t="n"/>
      <c r="W82" s="91" t="n"/>
      <c r="X82" s="91" t="n"/>
      <c r="Y82" s="91" t="n"/>
      <c r="Z82" s="91" t="n"/>
      <c r="AA82" s="91" t="n"/>
      <c r="AB82" s="91" t="n"/>
      <c r="AC82" s="92" t="inlineStr">
        <is>
          <t>Glattrohrzuführung und Vereinzeler/Rohrstopper</t>
        </is>
      </c>
      <c r="AD82" s="92" t="inlineStr">
        <is>
          <t>16 / 17</t>
        </is>
      </c>
      <c r="AE82" s="92" t="inlineStr">
        <is>
          <t>Prüfgruppe</t>
        </is>
      </c>
      <c r="AF82" s="91" t="n"/>
      <c r="AG82" s="93" t="inlineStr">
        <is>
          <t>11.2</t>
        </is>
      </c>
      <c r="AH82" s="94" t="inlineStr">
        <is>
          <t>Inspiziere alle Sensoren/Endschalter nach folgenden Kriterien:</t>
        </is>
      </c>
      <c r="AI82" s="92" t="n">
        <v>77</v>
      </c>
      <c r="AJ82" s="91" t="n"/>
    </row>
    <row r="83" ht="19" customHeight="1">
      <c r="A83" s="80" t="inlineStr">
        <is>
          <t>11.2.1</t>
        </is>
      </c>
      <c r="B83" s="19" t="inlineStr">
        <is>
          <t>Funktion testen</t>
        </is>
      </c>
      <c r="C83" s="81" t="inlineStr">
        <is>
          <t>Funktionsprüfung</t>
        </is>
      </c>
      <c r="D83" s="82" t="n"/>
      <c r="E83" s="19" t="n"/>
      <c r="F83" s="19" t="n"/>
      <c r="G83" s="89" t="inlineStr">
        <is>
          <t>Schaltsignal kommt sicher</t>
        </is>
      </c>
      <c r="H83" s="95">
        <f>H39</f>
        <v/>
      </c>
      <c r="I83" s="95">
        <f>I39</f>
        <v/>
      </c>
      <c r="J83" s="95">
        <f>J39</f>
        <v/>
      </c>
      <c r="K83" s="95">
        <f>K39</f>
        <v/>
      </c>
      <c r="L83" s="95">
        <f>L39</f>
        <v/>
      </c>
      <c r="M83" s="95">
        <f>M39</f>
        <v/>
      </c>
      <c r="N83" s="84">
        <f>IF(COUNT(H83:M83)=6,SQRT(SUMSQ(H83:M83))/2,"")</f>
        <v/>
      </c>
      <c r="O83" s="95">
        <f>O39</f>
        <v/>
      </c>
      <c r="P83" s="95">
        <f>P39</f>
        <v/>
      </c>
      <c r="Q83" s="84">
        <f>P_SF</f>
        <v/>
      </c>
      <c r="R83" s="50">
        <f>IF(COUNT(N83:Q83)=4,N83*O83*P83*Q83,"")</f>
        <v/>
      </c>
      <c r="S83" s="41">
        <f>IF(R83="","unvollständig",IF(R83&gt;P_Grenze_kritisch,"kritisch",IF(R83&gt;=P_Grenze_hoch,"hoch",IF(R83&gt;=P_Grenze_mittel,"mittel","gering"))))</f>
        <v/>
      </c>
      <c r="T83" s="43">
        <f>IF(S83="unvollständig","Bewertung fehlt",INDEX(Kl_Intervall,MATCH(S83,Kl_Name,0)))</f>
        <v/>
      </c>
      <c r="U83" s="23">
        <f>T83</f>
        <v/>
      </c>
      <c r="V83" s="85">
        <f>IFERROR(INDEX(Iv_Wochen,MATCH(U83,Iv_Name,0)),"")</f>
        <v/>
      </c>
      <c r="W83" s="81" t="n"/>
      <c r="X83" s="43">
        <f>TRIM(IF(N(K83)&gt;=P_Krit,"AS ","")&amp;IF(N(J83)&gt;=P_Krit,"Q ","")&amp;IF(N(L83)&gt;=P_Krit,"US",""))</f>
        <v/>
      </c>
      <c r="Y83" s="19">
        <f>IF(ISNUMBER(I83),INDEX(IH_Text,I83),"")</f>
        <v/>
      </c>
      <c r="Z83" s="81" t="n"/>
      <c r="AA83" s="83" t="n"/>
      <c r="AB83" s="48">
        <f>IF(AND(ISNUMBER(V83),ISNUMBER(AA83)),52/V83*AA83/60,"")</f>
        <v/>
      </c>
      <c r="AC83" s="86" t="inlineStr">
        <is>
          <t>Glattrohrzuführung und Vereinzeler/Rohrstopper</t>
        </is>
      </c>
      <c r="AD83" s="86" t="inlineStr">
        <is>
          <t>16 / 17</t>
        </is>
      </c>
      <c r="AE83" s="86" t="inlineStr">
        <is>
          <t>Maßnahme</t>
        </is>
      </c>
      <c r="AF83" s="43" t="inlineStr">
        <is>
          <t>5.3.1</t>
        </is>
      </c>
      <c r="AG83" s="87" t="inlineStr">
        <is>
          <t>11.2.1</t>
        </is>
      </c>
      <c r="AH83" s="88" t="inlineStr">
        <is>
          <t>Funktion testen</t>
        </is>
      </c>
      <c r="AI83" s="86" t="n">
        <v>78</v>
      </c>
      <c r="AJ83" s="19">
        <f>IF(ISNUMBER(R83),R83-AI83/100000,"")</f>
        <v/>
      </c>
    </row>
    <row r="84" ht="19" customHeight="1">
      <c r="A84" s="80" t="inlineStr">
        <is>
          <t>11.2.2</t>
        </is>
      </c>
      <c r="B84" s="19" t="inlineStr">
        <is>
          <t>Anschlüsse kontrollieren</t>
        </is>
      </c>
      <c r="C84" s="81" t="inlineStr">
        <is>
          <t>Inspektion</t>
        </is>
      </c>
      <c r="D84" s="82" t="n"/>
      <c r="E84" s="19" t="n"/>
      <c r="F84" s="19" t="n"/>
      <c r="G84" s="89" t="inlineStr">
        <is>
          <t>Stecker fest, unbeschädigt</t>
        </is>
      </c>
      <c r="H84" s="95">
        <f>H40</f>
        <v/>
      </c>
      <c r="I84" s="95">
        <f>I40</f>
        <v/>
      </c>
      <c r="J84" s="95">
        <f>J40</f>
        <v/>
      </c>
      <c r="K84" s="95">
        <f>K40</f>
        <v/>
      </c>
      <c r="L84" s="95">
        <f>L40</f>
        <v/>
      </c>
      <c r="M84" s="95">
        <f>M40</f>
        <v/>
      </c>
      <c r="N84" s="84">
        <f>IF(COUNT(H84:M84)=6,SQRT(SUMSQ(H84:M84))/2,"")</f>
        <v/>
      </c>
      <c r="O84" s="95">
        <f>O40</f>
        <v/>
      </c>
      <c r="P84" s="95">
        <f>P40</f>
        <v/>
      </c>
      <c r="Q84" s="84">
        <f>P_SF</f>
        <v/>
      </c>
      <c r="R84" s="50">
        <f>IF(COUNT(N84:Q84)=4,N84*O84*P84*Q84,"")</f>
        <v/>
      </c>
      <c r="S84" s="41">
        <f>IF(R84="","unvollständig",IF(R84&gt;P_Grenze_kritisch,"kritisch",IF(R84&gt;=P_Grenze_hoch,"hoch",IF(R84&gt;=P_Grenze_mittel,"mittel","gering"))))</f>
        <v/>
      </c>
      <c r="T84" s="43">
        <f>IF(S84="unvollständig","Bewertung fehlt",INDEX(Kl_Intervall,MATCH(S84,Kl_Name,0)))</f>
        <v/>
      </c>
      <c r="U84" s="23">
        <f>T84</f>
        <v/>
      </c>
      <c r="V84" s="85">
        <f>IFERROR(INDEX(Iv_Wochen,MATCH(U84,Iv_Name,0)),"")</f>
        <v/>
      </c>
      <c r="W84" s="81" t="n"/>
      <c r="X84" s="43">
        <f>TRIM(IF(N(K84)&gt;=P_Krit,"AS ","")&amp;IF(N(J84)&gt;=P_Krit,"Q ","")&amp;IF(N(L84)&gt;=P_Krit,"US",""))</f>
        <v/>
      </c>
      <c r="Y84" s="19">
        <f>IF(ISNUMBER(I84),INDEX(IH_Text,I84),"")</f>
        <v/>
      </c>
      <c r="Z84" s="81" t="n"/>
      <c r="AA84" s="83" t="n"/>
      <c r="AB84" s="48">
        <f>IF(AND(ISNUMBER(V84),ISNUMBER(AA84)),52/V84*AA84/60,"")</f>
        <v/>
      </c>
      <c r="AC84" s="86" t="inlineStr">
        <is>
          <t>Glattrohrzuführung und Vereinzeler/Rohrstopper</t>
        </is>
      </c>
      <c r="AD84" s="86" t="inlineStr">
        <is>
          <t>16 / 17</t>
        </is>
      </c>
      <c r="AE84" s="86" t="inlineStr">
        <is>
          <t>Maßnahme</t>
        </is>
      </c>
      <c r="AF84" s="43" t="inlineStr">
        <is>
          <t>5.3.2</t>
        </is>
      </c>
      <c r="AG84" s="87" t="inlineStr">
        <is>
          <t>11.2.2</t>
        </is>
      </c>
      <c r="AH84" s="88" t="inlineStr">
        <is>
          <t>Anschlüsse kontrollieren</t>
        </is>
      </c>
      <c r="AI84" s="86" t="n">
        <v>79</v>
      </c>
      <c r="AJ84" s="19">
        <f>IF(ISNUMBER(R84),R84-AI84/100000,"")</f>
        <v/>
      </c>
    </row>
    <row r="85" ht="19" customHeight="1">
      <c r="A85" s="80" t="inlineStr">
        <is>
          <t>11.2.3</t>
        </is>
      </c>
      <c r="B85" s="19" t="inlineStr">
        <is>
          <t>Befestigung und Position kontrollieren</t>
        </is>
      </c>
      <c r="C85" s="81" t="inlineStr">
        <is>
          <t>Inspektion</t>
        </is>
      </c>
      <c r="D85" s="82" t="n"/>
      <c r="E85" s="19" t="n"/>
      <c r="F85" s="19" t="n"/>
      <c r="G85" s="89" t="inlineStr">
        <is>
          <t>Fest, Position unverändert</t>
        </is>
      </c>
      <c r="H85" s="95">
        <f>H41</f>
        <v/>
      </c>
      <c r="I85" s="95">
        <f>I41</f>
        <v/>
      </c>
      <c r="J85" s="95">
        <f>J41</f>
        <v/>
      </c>
      <c r="K85" s="95">
        <f>K41</f>
        <v/>
      </c>
      <c r="L85" s="95">
        <f>L41</f>
        <v/>
      </c>
      <c r="M85" s="95">
        <f>M41</f>
        <v/>
      </c>
      <c r="N85" s="84">
        <f>IF(COUNT(H85:M85)=6,SQRT(SUMSQ(H85:M85))/2,"")</f>
        <v/>
      </c>
      <c r="O85" s="95">
        <f>O41</f>
        <v/>
      </c>
      <c r="P85" s="95">
        <f>P41</f>
        <v/>
      </c>
      <c r="Q85" s="84">
        <f>P_SF</f>
        <v/>
      </c>
      <c r="R85" s="50">
        <f>IF(COUNT(N85:Q85)=4,N85*O85*P85*Q85,"")</f>
        <v/>
      </c>
      <c r="S85" s="41">
        <f>IF(R85="","unvollständig",IF(R85&gt;P_Grenze_kritisch,"kritisch",IF(R85&gt;=P_Grenze_hoch,"hoch",IF(R85&gt;=P_Grenze_mittel,"mittel","gering"))))</f>
        <v/>
      </c>
      <c r="T85" s="43">
        <f>IF(S85="unvollständig","Bewertung fehlt",INDEX(Kl_Intervall,MATCH(S85,Kl_Name,0)))</f>
        <v/>
      </c>
      <c r="U85" s="23">
        <f>T85</f>
        <v/>
      </c>
      <c r="V85" s="85">
        <f>IFERROR(INDEX(Iv_Wochen,MATCH(U85,Iv_Name,0)),"")</f>
        <v/>
      </c>
      <c r="W85" s="81" t="n"/>
      <c r="X85" s="43">
        <f>TRIM(IF(N(K85)&gt;=P_Krit,"AS ","")&amp;IF(N(J85)&gt;=P_Krit,"Q ","")&amp;IF(N(L85)&gt;=P_Krit,"US",""))</f>
        <v/>
      </c>
      <c r="Y85" s="19">
        <f>IF(ISNUMBER(I85),INDEX(IH_Text,I85),"")</f>
        <v/>
      </c>
      <c r="Z85" s="81" t="n"/>
      <c r="AA85" s="83" t="n"/>
      <c r="AB85" s="48">
        <f>IF(AND(ISNUMBER(V85),ISNUMBER(AA85)),52/V85*AA85/60,"")</f>
        <v/>
      </c>
      <c r="AC85" s="86" t="inlineStr">
        <is>
          <t>Glattrohrzuführung und Vereinzeler/Rohrstopper</t>
        </is>
      </c>
      <c r="AD85" s="86" t="inlineStr">
        <is>
          <t>16 / 17</t>
        </is>
      </c>
      <c r="AE85" s="86" t="inlineStr">
        <is>
          <t>Maßnahme</t>
        </is>
      </c>
      <c r="AF85" s="43" t="inlineStr">
        <is>
          <t>5.3.3</t>
        </is>
      </c>
      <c r="AG85" s="87" t="inlineStr">
        <is>
          <t>11.2.3</t>
        </is>
      </c>
      <c r="AH85" s="88" t="inlineStr">
        <is>
          <t xml:space="preserve">Befestigung und Position kontrollieren </t>
        </is>
      </c>
      <c r="AI85" s="86" t="n">
        <v>80</v>
      </c>
      <c r="AJ85" s="19">
        <f>IF(ISNUMBER(R85),R85-AI85/100000,"")</f>
        <v/>
      </c>
    </row>
    <row r="86" ht="19" customHeight="1">
      <c r="A86" s="80" t="inlineStr">
        <is>
          <t>11.2.4</t>
        </is>
      </c>
      <c r="B86" s="19" t="inlineStr">
        <is>
          <t>Sensor auf Beschädigung kontrollieren</t>
        </is>
      </c>
      <c r="C86" s="81" t="inlineStr">
        <is>
          <t>Inspektion</t>
        </is>
      </c>
      <c r="D86" s="82" t="n"/>
      <c r="E86" s="19" t="n"/>
      <c r="F86" s="19" t="n"/>
      <c r="G86" s="89" t="inlineStr">
        <is>
          <t>Keine Beschädigung</t>
        </is>
      </c>
      <c r="H86" s="95">
        <f>H42</f>
        <v/>
      </c>
      <c r="I86" s="95">
        <f>I42</f>
        <v/>
      </c>
      <c r="J86" s="95">
        <f>J42</f>
        <v/>
      </c>
      <c r="K86" s="95">
        <f>K42</f>
        <v/>
      </c>
      <c r="L86" s="95">
        <f>L42</f>
        <v/>
      </c>
      <c r="M86" s="95">
        <f>M42</f>
        <v/>
      </c>
      <c r="N86" s="84">
        <f>IF(COUNT(H86:M86)=6,SQRT(SUMSQ(H86:M86))/2,"")</f>
        <v/>
      </c>
      <c r="O86" s="95">
        <f>O42</f>
        <v/>
      </c>
      <c r="P86" s="95">
        <f>P42</f>
        <v/>
      </c>
      <c r="Q86" s="84">
        <f>P_SF</f>
        <v/>
      </c>
      <c r="R86" s="50">
        <f>IF(COUNT(N86:Q86)=4,N86*O86*P86*Q86,"")</f>
        <v/>
      </c>
      <c r="S86" s="41">
        <f>IF(R86="","unvollständig",IF(R86&gt;P_Grenze_kritisch,"kritisch",IF(R86&gt;=P_Grenze_hoch,"hoch",IF(R86&gt;=P_Grenze_mittel,"mittel","gering"))))</f>
        <v/>
      </c>
      <c r="T86" s="43">
        <f>IF(S86="unvollständig","Bewertung fehlt",INDEX(Kl_Intervall,MATCH(S86,Kl_Name,0)))</f>
        <v/>
      </c>
      <c r="U86" s="23">
        <f>T86</f>
        <v/>
      </c>
      <c r="V86" s="85">
        <f>IFERROR(INDEX(Iv_Wochen,MATCH(U86,Iv_Name,0)),"")</f>
        <v/>
      </c>
      <c r="W86" s="81" t="n"/>
      <c r="X86" s="43">
        <f>TRIM(IF(N(K86)&gt;=P_Krit,"AS ","")&amp;IF(N(J86)&gt;=P_Krit,"Q ","")&amp;IF(N(L86)&gt;=P_Krit,"US",""))</f>
        <v/>
      </c>
      <c r="Y86" s="19">
        <f>IF(ISNUMBER(I86),INDEX(IH_Text,I86),"")</f>
        <v/>
      </c>
      <c r="Z86" s="81" t="n"/>
      <c r="AA86" s="83" t="n"/>
      <c r="AB86" s="48">
        <f>IF(AND(ISNUMBER(V86),ISNUMBER(AA86)),52/V86*AA86/60,"")</f>
        <v/>
      </c>
      <c r="AC86" s="86" t="inlineStr">
        <is>
          <t>Glattrohrzuführung und Vereinzeler/Rohrstopper</t>
        </is>
      </c>
      <c r="AD86" s="86" t="inlineStr">
        <is>
          <t>16 / 17</t>
        </is>
      </c>
      <c r="AE86" s="86" t="inlineStr">
        <is>
          <t>Maßnahme</t>
        </is>
      </c>
      <c r="AF86" s="43" t="inlineStr">
        <is>
          <t>5.3.4</t>
        </is>
      </c>
      <c r="AG86" s="87" t="inlineStr">
        <is>
          <t>11.2.4</t>
        </is>
      </c>
      <c r="AH86" s="88" t="inlineStr">
        <is>
          <t xml:space="preserve">Sensor auf Beschädigung kontrollieren </t>
        </is>
      </c>
      <c r="AI86" s="86" t="n">
        <v>81</v>
      </c>
      <c r="AJ86" s="19">
        <f>IF(ISNUMBER(R86),R86-AI86/100000,"")</f>
        <v/>
      </c>
    </row>
    <row r="87" ht="32" customHeight="1">
      <c r="A87" s="80" t="inlineStr">
        <is>
          <t>11.2.5</t>
        </is>
      </c>
      <c r="B87" s="19" t="inlineStr">
        <is>
          <t>Kabelklemmung, Knickschutz, Kabelkasten und Leitungen auf Beschädigung prüfen</t>
        </is>
      </c>
      <c r="C87" s="81" t="inlineStr">
        <is>
          <t>Inspektion</t>
        </is>
      </c>
      <c r="D87" s="82" t="inlineStr">
        <is>
          <t>⚠ Gefahrenstelle</t>
        </is>
      </c>
      <c r="E87" s="19" t="n"/>
      <c r="F87" s="19" t="n"/>
      <c r="G87" s="89" t="inlineStr">
        <is>
          <t>Keine Beschädigung; Zugentlastung wirksam</t>
        </is>
      </c>
      <c r="H87" s="95">
        <f>H43</f>
        <v/>
      </c>
      <c r="I87" s="95">
        <f>I43</f>
        <v/>
      </c>
      <c r="J87" s="95">
        <f>J43</f>
        <v/>
      </c>
      <c r="K87" s="95">
        <f>K43</f>
        <v/>
      </c>
      <c r="L87" s="95">
        <f>L43</f>
        <v/>
      </c>
      <c r="M87" s="95">
        <f>M43</f>
        <v/>
      </c>
      <c r="N87" s="84">
        <f>IF(COUNT(H87:M87)=6,SQRT(SUMSQ(H87:M87))/2,"")</f>
        <v/>
      </c>
      <c r="O87" s="95">
        <f>O43</f>
        <v/>
      </c>
      <c r="P87" s="95">
        <f>P43</f>
        <v/>
      </c>
      <c r="Q87" s="84">
        <f>P_SF</f>
        <v/>
      </c>
      <c r="R87" s="50">
        <f>IF(COUNT(N87:Q87)=4,N87*O87*P87*Q87,"")</f>
        <v/>
      </c>
      <c r="S87" s="41">
        <f>IF(R87="","unvollständig",IF(R87&gt;P_Grenze_kritisch,"kritisch",IF(R87&gt;=P_Grenze_hoch,"hoch",IF(R87&gt;=P_Grenze_mittel,"mittel","gering"))))</f>
        <v/>
      </c>
      <c r="T87" s="43">
        <f>IF(S87="unvollständig","Bewertung fehlt",INDEX(Kl_Intervall,MATCH(S87,Kl_Name,0)))</f>
        <v/>
      </c>
      <c r="U87" s="23">
        <f>T87</f>
        <v/>
      </c>
      <c r="V87" s="85">
        <f>IFERROR(INDEX(Iv_Wochen,MATCH(U87,Iv_Name,0)),"")</f>
        <v/>
      </c>
      <c r="W87" s="81" t="n"/>
      <c r="X87" s="43">
        <f>TRIM(IF(N(K87)&gt;=P_Krit,"AS ","")&amp;IF(N(J87)&gt;=P_Krit,"Q ","")&amp;IF(N(L87)&gt;=P_Krit,"US",""))</f>
        <v/>
      </c>
      <c r="Y87" s="19">
        <f>IF(ISNUMBER(I87),INDEX(IH_Text,I87),"")</f>
        <v/>
      </c>
      <c r="Z87" s="81" t="n"/>
      <c r="AA87" s="83" t="n"/>
      <c r="AB87" s="48">
        <f>IF(AND(ISNUMBER(V87),ISNUMBER(AA87)),52/V87*AA87/60,"")</f>
        <v/>
      </c>
      <c r="AC87" s="86" t="inlineStr">
        <is>
          <t>Glattrohrzuführung und Vereinzeler/Rohrstopper</t>
        </is>
      </c>
      <c r="AD87" s="86" t="inlineStr">
        <is>
          <t>16 / 17</t>
        </is>
      </c>
      <c r="AE87" s="86" t="inlineStr">
        <is>
          <t>Maßnahme</t>
        </is>
      </c>
      <c r="AF87" s="43" t="inlineStr">
        <is>
          <t>5.3.5</t>
        </is>
      </c>
      <c r="AG87" s="87" t="inlineStr">
        <is>
          <t>11.2.5</t>
        </is>
      </c>
      <c r="AH87" s="88" t="inlineStr">
        <is>
          <t>Prüfe Kabelklemmung, Knickschutz, Kabelkasten und Leitungen auf Beschädigung</t>
        </is>
      </c>
      <c r="AI87" s="86" t="n">
        <v>82</v>
      </c>
      <c r="AJ87" s="19">
        <f>IF(ISNUMBER(R87),R87-AI87/100000,"")</f>
        <v/>
      </c>
    </row>
    <row r="88" ht="20" customHeight="1">
      <c r="A88" s="74" t="inlineStr">
        <is>
          <t>12</t>
        </is>
      </c>
      <c r="B88" s="75" t="inlineStr">
        <is>
          <t>Handbediengerät</t>
        </is>
      </c>
      <c r="C88" s="75" t="n"/>
      <c r="D88" s="76" t="n"/>
      <c r="E88" s="75" t="n"/>
      <c r="F88" s="75" t="n"/>
      <c r="G88" s="75" t="n"/>
      <c r="H88" s="75" t="n"/>
      <c r="I88" s="75" t="n"/>
      <c r="J88" s="75" t="n"/>
      <c r="K88" s="75" t="n"/>
      <c r="L88" s="75" t="n"/>
      <c r="M88" s="75" t="n"/>
      <c r="N88" s="75" t="n"/>
      <c r="O88" s="75" t="n"/>
      <c r="P88" s="75" t="n"/>
      <c r="Q88" s="75" t="n"/>
      <c r="R88" s="75" t="n"/>
      <c r="S88" s="75" t="n"/>
      <c r="T88" s="75" t="n"/>
      <c r="U88" s="75" t="n"/>
      <c r="V88" s="75" t="n"/>
      <c r="W88" s="75" t="n"/>
      <c r="X88" s="75" t="n"/>
      <c r="Y88" s="75" t="n"/>
      <c r="Z88" s="75" t="n"/>
      <c r="AA88" s="75" t="n"/>
      <c r="AB88" s="75" t="n"/>
      <c r="AC88" s="77" t="inlineStr">
        <is>
          <t>Handbediengerät</t>
        </is>
      </c>
      <c r="AD88" s="77" t="inlineStr">
        <is>
          <t>19</t>
        </is>
      </c>
      <c r="AE88" s="77" t="inlineStr">
        <is>
          <t>Baugruppe</t>
        </is>
      </c>
      <c r="AF88" s="75" t="n"/>
      <c r="AG88" s="78" t="inlineStr">
        <is>
          <t>12</t>
        </is>
      </c>
      <c r="AH88" s="79" t="inlineStr">
        <is>
          <t>19.) Handbediengerät</t>
        </is>
      </c>
      <c r="AI88" s="77" t="n">
        <v>83</v>
      </c>
      <c r="AJ88" s="75" t="n"/>
    </row>
    <row r="89" ht="45" customHeight="1">
      <c r="A89" s="80" t="inlineStr">
        <is>
          <t>12.1</t>
        </is>
      </c>
      <c r="B89" s="19" t="inlineStr">
        <is>
          <t>Funktion aller Bedienelemente prüfen</t>
        </is>
      </c>
      <c r="C89" s="81" t="inlineStr">
        <is>
          <t>Funktionsprüfung</t>
        </is>
      </c>
      <c r="D89" s="82" t="n"/>
      <c r="E89" s="19" t="n"/>
      <c r="F89" s="19" t="n"/>
      <c r="G89" s="89" t="inlineStr">
        <is>
          <t>Alle Bedienelemente schalten einwandfrei; keine Beschädigung</t>
        </is>
      </c>
      <c r="H89" s="95">
        <f>H9</f>
        <v/>
      </c>
      <c r="I89" s="95">
        <f>I9</f>
        <v/>
      </c>
      <c r="J89" s="95">
        <f>J9</f>
        <v/>
      </c>
      <c r="K89" s="95">
        <f>K9</f>
        <v/>
      </c>
      <c r="L89" s="95">
        <f>L9</f>
        <v/>
      </c>
      <c r="M89" s="95">
        <f>M9</f>
        <v/>
      </c>
      <c r="N89" s="84">
        <f>IF(COUNT(H89:M89)=6,SQRT(SUMSQ(H89:M89))/2,"")</f>
        <v/>
      </c>
      <c r="O89" s="95">
        <f>O9</f>
        <v/>
      </c>
      <c r="P89" s="95">
        <f>P9</f>
        <v/>
      </c>
      <c r="Q89" s="84">
        <f>P_SF</f>
        <v/>
      </c>
      <c r="R89" s="50">
        <f>IF(COUNT(N89:Q89)=4,N89*O89*P89*Q89,"")</f>
        <v/>
      </c>
      <c r="S89" s="41">
        <f>IF(R89="","unvollständig",IF(R89&gt;P_Grenze_kritisch,"kritisch",IF(R89&gt;=P_Grenze_hoch,"hoch",IF(R89&gt;=P_Grenze_mittel,"mittel","gering"))))</f>
        <v/>
      </c>
      <c r="T89" s="43">
        <f>IF(S89="unvollständig","Bewertung fehlt",INDEX(Kl_Intervall,MATCH(S89,Kl_Name,0)))</f>
        <v/>
      </c>
      <c r="U89" s="23">
        <f>T89</f>
        <v/>
      </c>
      <c r="V89" s="85">
        <f>IFERROR(INDEX(Iv_Wochen,MATCH(U89,Iv_Name,0)),"")</f>
        <v/>
      </c>
      <c r="W89" s="81" t="n"/>
      <c r="X89" s="43">
        <f>TRIM(IF(N(K89)&gt;=P_Krit,"AS ","")&amp;IF(N(J89)&gt;=P_Krit,"Q ","")&amp;IF(N(L89)&gt;=P_Krit,"US",""))</f>
        <v/>
      </c>
      <c r="Y89" s="19">
        <f>IF(ISNUMBER(I89),INDEX(IH_Text,I89),"")</f>
        <v/>
      </c>
      <c r="Z89" s="81" t="n"/>
      <c r="AA89" s="83" t="n"/>
      <c r="AB89" s="48">
        <f>IF(AND(ISNUMBER(V89),ISNUMBER(AA89)),52/V89*AA89/60,"")</f>
        <v/>
      </c>
      <c r="AC89" s="86" t="inlineStr">
        <is>
          <t>Handbediengerät</t>
        </is>
      </c>
      <c r="AD89" s="86" t="inlineStr">
        <is>
          <t>19</t>
        </is>
      </c>
      <c r="AE89" s="86" t="inlineStr">
        <is>
          <t>Maßnahme</t>
        </is>
      </c>
      <c r="AF89" s="43" t="inlineStr">
        <is>
          <t>2.1</t>
        </is>
      </c>
      <c r="AG89" s="87" t="inlineStr">
        <is>
          <t>12.1</t>
        </is>
      </c>
      <c r="AH89" s="88" t="inlineStr">
        <is>
          <t>Prüfe die Funktion aller Bedienelemente</t>
        </is>
      </c>
      <c r="AI89" s="86" t="n">
        <v>84</v>
      </c>
      <c r="AJ89" s="19">
        <f>IF(ISNUMBER(R89),R89-AI89/100000,"")</f>
        <v/>
      </c>
    </row>
    <row r="90" ht="19" customHeight="1">
      <c r="A90" s="80" t="inlineStr">
        <is>
          <t>12.2</t>
        </is>
      </c>
      <c r="B90" s="19" t="inlineStr">
        <is>
          <t>Handbediengerät reinigen</t>
        </is>
      </c>
      <c r="C90" s="81" t="inlineStr">
        <is>
          <t>Reinigung</t>
        </is>
      </c>
      <c r="D90" s="82" t="n"/>
      <c r="E90" s="19" t="n"/>
      <c r="F90" s="19" t="n"/>
      <c r="G90" s="89" t="inlineStr">
        <is>
          <t>Sauber; Anzeige lesbar</t>
        </is>
      </c>
      <c r="H90" s="95">
        <f>H10</f>
        <v/>
      </c>
      <c r="I90" s="95">
        <f>I10</f>
        <v/>
      </c>
      <c r="J90" s="95">
        <f>J10</f>
        <v/>
      </c>
      <c r="K90" s="95">
        <f>K10</f>
        <v/>
      </c>
      <c r="L90" s="95">
        <f>L10</f>
        <v/>
      </c>
      <c r="M90" s="95">
        <f>M10</f>
        <v/>
      </c>
      <c r="N90" s="84">
        <f>IF(COUNT(H90:M90)=6,SQRT(SUMSQ(H90:M90))/2,"")</f>
        <v/>
      </c>
      <c r="O90" s="95">
        <f>O10</f>
        <v/>
      </c>
      <c r="P90" s="95">
        <f>P10</f>
        <v/>
      </c>
      <c r="Q90" s="84">
        <f>P_SF</f>
        <v/>
      </c>
      <c r="R90" s="50">
        <f>IF(COUNT(N90:Q90)=4,N90*O90*P90*Q90,"")</f>
        <v/>
      </c>
      <c r="S90" s="41">
        <f>IF(R90="","unvollständig",IF(R90&gt;P_Grenze_kritisch,"kritisch",IF(R90&gt;=P_Grenze_hoch,"hoch",IF(R90&gt;=P_Grenze_mittel,"mittel","gering"))))</f>
        <v/>
      </c>
      <c r="T90" s="43">
        <f>IF(S90="unvollständig","Bewertung fehlt",INDEX(Kl_Intervall,MATCH(S90,Kl_Name,0)))</f>
        <v/>
      </c>
      <c r="U90" s="23">
        <f>T90</f>
        <v/>
      </c>
      <c r="V90" s="85">
        <f>IFERROR(INDEX(Iv_Wochen,MATCH(U90,Iv_Name,0)),"")</f>
        <v/>
      </c>
      <c r="W90" s="81" t="n"/>
      <c r="X90" s="43">
        <f>TRIM(IF(N(K90)&gt;=P_Krit,"AS ","")&amp;IF(N(J90)&gt;=P_Krit,"Q ","")&amp;IF(N(L90)&gt;=P_Krit,"US",""))</f>
        <v/>
      </c>
      <c r="Y90" s="19">
        <f>IF(ISNUMBER(I90),INDEX(IH_Text,I90),"")</f>
        <v/>
      </c>
      <c r="Z90" s="81" t="n"/>
      <c r="AA90" s="83" t="n"/>
      <c r="AB90" s="48">
        <f>IF(AND(ISNUMBER(V90),ISNUMBER(AA90)),52/V90*AA90/60,"")</f>
        <v/>
      </c>
      <c r="AC90" s="86" t="inlineStr">
        <is>
          <t>Handbediengerät</t>
        </is>
      </c>
      <c r="AD90" s="86" t="inlineStr">
        <is>
          <t>19</t>
        </is>
      </c>
      <c r="AE90" s="86" t="inlineStr">
        <is>
          <t>Maßnahme</t>
        </is>
      </c>
      <c r="AF90" s="43" t="inlineStr">
        <is>
          <t>2.2</t>
        </is>
      </c>
      <c r="AG90" s="87" t="inlineStr">
        <is>
          <t>12.2</t>
        </is>
      </c>
      <c r="AH90" s="88" t="inlineStr">
        <is>
          <t>Bedienpult reinigen</t>
        </is>
      </c>
      <c r="AI90" s="86" t="n">
        <v>85</v>
      </c>
      <c r="AJ90" s="19">
        <f>IF(ISNUMBER(R90),R90-AI90/100000,"")</f>
        <v/>
      </c>
    </row>
    <row r="91" ht="20" customHeight="1">
      <c r="A91" s="74" t="inlineStr">
        <is>
          <t>13</t>
        </is>
      </c>
      <c r="B91" s="75" t="inlineStr">
        <is>
          <t>Klimagerät für Schaltschrank</t>
        </is>
      </c>
      <c r="C91" s="75" t="n"/>
      <c r="D91" s="76" t="n"/>
      <c r="E91" s="75" t="n"/>
      <c r="F91" s="75" t="n"/>
      <c r="G91" s="75" t="n"/>
      <c r="H91" s="75" t="n"/>
      <c r="I91" s="75" t="n"/>
      <c r="J91" s="75" t="n"/>
      <c r="K91" s="75" t="n"/>
      <c r="L91" s="75" t="n"/>
      <c r="M91" s="75" t="n"/>
      <c r="N91" s="75" t="n"/>
      <c r="O91" s="75" t="n"/>
      <c r="P91" s="75" t="n"/>
      <c r="Q91" s="75" t="n"/>
      <c r="R91" s="75" t="n"/>
      <c r="S91" s="75" t="n"/>
      <c r="T91" s="75" t="n"/>
      <c r="U91" s="75" t="n"/>
      <c r="V91" s="75" t="n"/>
      <c r="W91" s="75" t="n"/>
      <c r="X91" s="75" t="n"/>
      <c r="Y91" s="75" t="n"/>
      <c r="Z91" s="75" t="n"/>
      <c r="AA91" s="75" t="n"/>
      <c r="AB91" s="75" t="n"/>
      <c r="AC91" s="77" t="inlineStr">
        <is>
          <t>Klimagerät für Schaltschrank</t>
        </is>
      </c>
      <c r="AD91" s="77" t="inlineStr">
        <is>
          <t>20</t>
        </is>
      </c>
      <c r="AE91" s="77" t="inlineStr">
        <is>
          <t>Baugruppe</t>
        </is>
      </c>
      <c r="AF91" s="75" t="n"/>
      <c r="AG91" s="78" t="inlineStr">
        <is>
          <t>13</t>
        </is>
      </c>
      <c r="AH91" s="79" t="inlineStr">
        <is>
          <t>20.) Klimagerät für Schaltschrank</t>
        </is>
      </c>
      <c r="AI91" s="77" t="n">
        <v>86</v>
      </c>
      <c r="AJ91" s="75" t="n"/>
    </row>
    <row r="92" ht="32" customHeight="1">
      <c r="A92" s="80" t="inlineStr">
        <is>
          <t>13.1</t>
        </is>
      </c>
      <c r="B92" s="19" t="inlineStr">
        <is>
          <t>Filtermatten tauschen</t>
        </is>
      </c>
      <c r="C92" s="81" t="inlineStr">
        <is>
          <t>Austausch</t>
        </is>
      </c>
      <c r="D92" s="82" t="n"/>
      <c r="E92" s="19" t="n"/>
      <c r="F92" s="19" t="n"/>
      <c r="G92" s="89" t="inlineStr">
        <is>
          <t>Neue Filtermatten eingesetzt</t>
        </is>
      </c>
      <c r="H92" s="83" t="n">
        <v>4</v>
      </c>
      <c r="I92" s="83" t="n">
        <v>3</v>
      </c>
      <c r="J92" s="83" t="n">
        <v>1</v>
      </c>
      <c r="K92" s="83" t="n">
        <v>2</v>
      </c>
      <c r="L92" s="83" t="n">
        <v>2</v>
      </c>
      <c r="M92" s="83" t="n">
        <v>3</v>
      </c>
      <c r="N92" s="84">
        <f>IF(COUNT(H92:M92)=6,SQRT(SUMSQ(H92:M92))/2,"")</f>
        <v/>
      </c>
      <c r="O92" s="83" t="n">
        <v>2</v>
      </c>
      <c r="P92" s="83" t="n">
        <v>2</v>
      </c>
      <c r="Q92" s="84">
        <f>P_SF</f>
        <v/>
      </c>
      <c r="R92" s="50">
        <f>IF(COUNT(N92:Q92)=4,N92*O92*P92*Q92,"")</f>
        <v/>
      </c>
      <c r="S92" s="41">
        <f>IF(R92="","unvollständig",IF(R92&gt;P_Grenze_kritisch,"kritisch",IF(R92&gt;=P_Grenze_hoch,"hoch",IF(R92&gt;=P_Grenze_mittel,"mittel","gering"))))</f>
        <v/>
      </c>
      <c r="T92" s="43">
        <f>IF(S92="unvollständig","Bewertung fehlt",INDEX(Kl_Intervall,MATCH(S92,Kl_Name,0)))</f>
        <v/>
      </c>
      <c r="U92" s="23">
        <f>T92</f>
        <v/>
      </c>
      <c r="V92" s="85">
        <f>IFERROR(INDEX(Iv_Wochen,MATCH(U92,Iv_Name,0)),"")</f>
        <v/>
      </c>
      <c r="W92" s="81" t="n"/>
      <c r="X92" s="43">
        <f>TRIM(IF(N(K92)&gt;=P_Krit,"AS ","")&amp;IF(N(J92)&gt;=P_Krit,"Q ","")&amp;IF(N(L92)&gt;=P_Krit,"US",""))</f>
        <v/>
      </c>
      <c r="Y92" s="19">
        <f>IF(ISNUMBER(I92),INDEX(IH_Text,I92),"")</f>
        <v/>
      </c>
      <c r="Z92" s="81" t="n"/>
      <c r="AA92" s="83" t="n"/>
      <c r="AB92" s="48">
        <f>IF(AND(ISNUMBER(V92),ISNUMBER(AA92)),52/V92*AA92/60,"")</f>
        <v/>
      </c>
      <c r="AC92" s="86" t="inlineStr">
        <is>
          <t>Klimagerät für Schaltschrank</t>
        </is>
      </c>
      <c r="AD92" s="86" t="inlineStr">
        <is>
          <t>20</t>
        </is>
      </c>
      <c r="AE92" s="86" t="inlineStr">
        <is>
          <t>Maßnahme</t>
        </is>
      </c>
      <c r="AF92" s="43" t="n"/>
      <c r="AG92" s="87" t="inlineStr">
        <is>
          <t>13.1</t>
        </is>
      </c>
      <c r="AH92" s="88" t="inlineStr">
        <is>
          <t>tausche Filtermatten</t>
        </is>
      </c>
      <c r="AI92" s="86" t="n">
        <v>87</v>
      </c>
      <c r="AJ92" s="19">
        <f>IF(ISNUMBER(R92),R92-AI92/100000,"")</f>
        <v/>
      </c>
    </row>
    <row r="93" ht="20" customHeight="1">
      <c r="A93" s="74" t="inlineStr">
        <is>
          <t>14</t>
        </is>
      </c>
      <c r="B93" s="75" t="inlineStr">
        <is>
          <t>Schaltschrank</t>
        </is>
      </c>
      <c r="C93" s="75" t="n"/>
      <c r="D93" s="76" t="inlineStr">
        <is>
          <t>⚡ Elektrische Spannung</t>
        </is>
      </c>
      <c r="E93" s="75" t="n"/>
      <c r="F93" s="75" t="n"/>
      <c r="G93" s="75" t="n"/>
      <c r="H93" s="75" t="n"/>
      <c r="I93" s="75" t="n"/>
      <c r="J93" s="75" t="n"/>
      <c r="K93" s="75" t="n"/>
      <c r="L93" s="75" t="n"/>
      <c r="M93" s="75" t="n"/>
      <c r="N93" s="75" t="n"/>
      <c r="O93" s="75" t="n"/>
      <c r="P93" s="75" t="n"/>
      <c r="Q93" s="75" t="n"/>
      <c r="R93" s="75" t="n"/>
      <c r="S93" s="75" t="n"/>
      <c r="T93" s="75" t="n"/>
      <c r="U93" s="75" t="n"/>
      <c r="V93" s="75" t="n"/>
      <c r="W93" s="75" t="n"/>
      <c r="X93" s="75" t="n"/>
      <c r="Y93" s="75" t="n"/>
      <c r="Z93" s="75" t="n"/>
      <c r="AA93" s="75" t="n"/>
      <c r="AB93" s="75" t="n"/>
      <c r="AC93" s="77" t="inlineStr">
        <is>
          <t>Schaltschrank</t>
        </is>
      </c>
      <c r="AD93" s="77" t="inlineStr">
        <is>
          <t>22</t>
        </is>
      </c>
      <c r="AE93" s="77" t="inlineStr">
        <is>
          <t>Baugruppe</t>
        </is>
      </c>
      <c r="AF93" s="75" t="n"/>
      <c r="AG93" s="78" t="inlineStr">
        <is>
          <t>14</t>
        </is>
      </c>
      <c r="AH93" s="79" t="inlineStr">
        <is>
          <t>22.) Schaltschrank</t>
        </is>
      </c>
      <c r="AI93" s="77" t="n">
        <v>88</v>
      </c>
      <c r="AJ93" s="75" t="n"/>
    </row>
    <row r="94" ht="32" customHeight="1">
      <c r="A94" s="80" t="inlineStr">
        <is>
          <t>14.1</t>
        </is>
      </c>
      <c r="B94" s="19" t="inlineStr">
        <is>
          <t>Filtermatten (falls vorhanden) austauschen</t>
        </is>
      </c>
      <c r="C94" s="81" t="inlineStr">
        <is>
          <t>Austausch</t>
        </is>
      </c>
      <c r="D94" s="82" t="inlineStr">
        <is>
          <t>⚡ Elektrische Spannung</t>
        </is>
      </c>
      <c r="E94" s="19" t="n"/>
      <c r="F94" s="19" t="n"/>
      <c r="G94" s="89" t="inlineStr">
        <is>
          <t>Neue Filtermatten eingesetzt</t>
        </is>
      </c>
      <c r="H94" s="95">
        <f>H92</f>
        <v/>
      </c>
      <c r="I94" s="95">
        <f>I92</f>
        <v/>
      </c>
      <c r="J94" s="95">
        <f>J92</f>
        <v/>
      </c>
      <c r="K94" s="95">
        <f>K92</f>
        <v/>
      </c>
      <c r="L94" s="95">
        <f>L92</f>
        <v/>
      </c>
      <c r="M94" s="95">
        <f>M92</f>
        <v/>
      </c>
      <c r="N94" s="84">
        <f>IF(COUNT(H94:M94)=6,SQRT(SUMSQ(H94:M94))/2,"")</f>
        <v/>
      </c>
      <c r="O94" s="95">
        <f>O92</f>
        <v/>
      </c>
      <c r="P94" s="95">
        <f>P92</f>
        <v/>
      </c>
      <c r="Q94" s="84">
        <f>P_SF</f>
        <v/>
      </c>
      <c r="R94" s="50">
        <f>IF(COUNT(N94:Q94)=4,N94*O94*P94*Q94,"")</f>
        <v/>
      </c>
      <c r="S94" s="41">
        <f>IF(R94="","unvollständig",IF(R94&gt;P_Grenze_kritisch,"kritisch",IF(R94&gt;=P_Grenze_hoch,"hoch",IF(R94&gt;=P_Grenze_mittel,"mittel","gering"))))</f>
        <v/>
      </c>
      <c r="T94" s="43">
        <f>IF(S94="unvollständig","Bewertung fehlt",INDEX(Kl_Intervall,MATCH(S94,Kl_Name,0)))</f>
        <v/>
      </c>
      <c r="U94" s="23">
        <f>T94</f>
        <v/>
      </c>
      <c r="V94" s="85">
        <f>IFERROR(INDEX(Iv_Wochen,MATCH(U94,Iv_Name,0)),"")</f>
        <v/>
      </c>
      <c r="W94" s="81" t="n"/>
      <c r="X94" s="43">
        <f>TRIM(IF(N(K94)&gt;=P_Krit,"AS ","")&amp;IF(N(J94)&gt;=P_Krit,"Q ","")&amp;IF(N(L94)&gt;=P_Krit,"US",""))</f>
        <v/>
      </c>
      <c r="Y94" s="19">
        <f>IF(ISNUMBER(I94),INDEX(IH_Text,I94),"")</f>
        <v/>
      </c>
      <c r="Z94" s="81" t="n"/>
      <c r="AA94" s="83" t="n"/>
      <c r="AB94" s="48">
        <f>IF(AND(ISNUMBER(V94),ISNUMBER(AA94)),52/V94*AA94/60,"")</f>
        <v/>
      </c>
      <c r="AC94" s="86" t="inlineStr">
        <is>
          <t>Schaltschrank</t>
        </is>
      </c>
      <c r="AD94" s="86" t="inlineStr">
        <is>
          <t>22</t>
        </is>
      </c>
      <c r="AE94" s="86" t="inlineStr">
        <is>
          <t>Maßnahme</t>
        </is>
      </c>
      <c r="AF94" s="43" t="inlineStr">
        <is>
          <t>13.1</t>
        </is>
      </c>
      <c r="AG94" s="87" t="inlineStr">
        <is>
          <t>14.1</t>
        </is>
      </c>
      <c r="AH94" s="88" t="inlineStr">
        <is>
          <t>Filtermatten, wenn vorhanden  austauschen</t>
        </is>
      </c>
      <c r="AI94" s="86" t="n">
        <v>89</v>
      </c>
      <c r="AJ94" s="19">
        <f>IF(ISNUMBER(R94),R94-AI94/100000,"")</f>
        <v/>
      </c>
    </row>
    <row r="95" ht="19" customHeight="1">
      <c r="A95" s="80" t="inlineStr">
        <is>
          <t>14.2</t>
        </is>
      </c>
      <c r="B95" s="19" t="inlineStr">
        <is>
          <t>Staub absaugen</t>
        </is>
      </c>
      <c r="C95" s="81" t="inlineStr">
        <is>
          <t>Reinigung</t>
        </is>
      </c>
      <c r="D95" s="82" t="inlineStr">
        <is>
          <t>⚡ Elektrische Spannung</t>
        </is>
      </c>
      <c r="E95" s="19" t="n"/>
      <c r="F95" s="19" t="n"/>
      <c r="G95" s="89" t="inlineStr">
        <is>
          <t>Schaltschrank staubfrei</t>
        </is>
      </c>
      <c r="H95" s="83" t="n">
        <v>1</v>
      </c>
      <c r="I95" s="83" t="n">
        <v>2</v>
      </c>
      <c r="J95" s="83" t="n">
        <v>1</v>
      </c>
      <c r="K95" s="83" t="n">
        <v>1</v>
      </c>
      <c r="L95" s="83" t="n">
        <v>2</v>
      </c>
      <c r="M95" s="83" t="n">
        <v>3</v>
      </c>
      <c r="N95" s="84">
        <f>IF(COUNT(H95:M95)=6,SQRT(SUMSQ(H95:M95))/2,"")</f>
        <v/>
      </c>
      <c r="O95" s="83" t="n">
        <v>2</v>
      </c>
      <c r="P95" s="83" t="n">
        <v>3</v>
      </c>
      <c r="Q95" s="84">
        <f>P_SF</f>
        <v/>
      </c>
      <c r="R95" s="50">
        <f>IF(COUNT(N95:Q95)=4,N95*O95*P95*Q95,"")</f>
        <v/>
      </c>
      <c r="S95" s="41">
        <f>IF(R95="","unvollständig",IF(R95&gt;P_Grenze_kritisch,"kritisch",IF(R95&gt;=P_Grenze_hoch,"hoch",IF(R95&gt;=P_Grenze_mittel,"mittel","gering"))))</f>
        <v/>
      </c>
      <c r="T95" s="43">
        <f>IF(S95="unvollständig","Bewertung fehlt",INDEX(Kl_Intervall,MATCH(S95,Kl_Name,0)))</f>
        <v/>
      </c>
      <c r="U95" s="23">
        <f>T95</f>
        <v/>
      </c>
      <c r="V95" s="85">
        <f>IFERROR(INDEX(Iv_Wochen,MATCH(U95,Iv_Name,0)),"")</f>
        <v/>
      </c>
      <c r="W95" s="81" t="n"/>
      <c r="X95" s="43">
        <f>TRIM(IF(N(K95)&gt;=P_Krit,"AS ","")&amp;IF(N(J95)&gt;=P_Krit,"Q ","")&amp;IF(N(L95)&gt;=P_Krit,"US",""))</f>
        <v/>
      </c>
      <c r="Y95" s="19">
        <f>IF(ISNUMBER(I95),INDEX(IH_Text,I95),"")</f>
        <v/>
      </c>
      <c r="Z95" s="81" t="n"/>
      <c r="AA95" s="83" t="n"/>
      <c r="AB95" s="48">
        <f>IF(AND(ISNUMBER(V95),ISNUMBER(AA95)),52/V95*AA95/60,"")</f>
        <v/>
      </c>
      <c r="AC95" s="86" t="inlineStr">
        <is>
          <t>Schaltschrank</t>
        </is>
      </c>
      <c r="AD95" s="86" t="inlineStr">
        <is>
          <t>22</t>
        </is>
      </c>
      <c r="AE95" s="86" t="inlineStr">
        <is>
          <t>Maßnahme</t>
        </is>
      </c>
      <c r="AF95" s="43" t="n"/>
      <c r="AG95" s="87" t="inlineStr">
        <is>
          <t>14.2</t>
        </is>
      </c>
      <c r="AH95" s="88" t="inlineStr">
        <is>
          <t>Staub absaugen</t>
        </is>
      </c>
      <c r="AI95" s="86" t="n">
        <v>90</v>
      </c>
      <c r="AJ95" s="19">
        <f>IF(ISNUMBER(R95),R95-AI95/100000,"")</f>
        <v/>
      </c>
    </row>
    <row r="96" ht="32" customHeight="1">
      <c r="A96" s="80" t="inlineStr">
        <is>
          <t>14.3</t>
        </is>
      </c>
      <c r="B96" s="19" t="inlineStr">
        <is>
          <t>Dichtheit von Gehäuse und Tür prüfen</t>
        </is>
      </c>
      <c r="C96" s="81" t="inlineStr">
        <is>
          <t>Inspektion</t>
        </is>
      </c>
      <c r="D96" s="82" t="inlineStr">
        <is>
          <t>⚡ Elektrische Spannung</t>
        </is>
      </c>
      <c r="E96" s="19" t="n"/>
      <c r="F96" s="19" t="n"/>
      <c r="G96" s="89" t="inlineStr">
        <is>
          <t>Dichtungen intakt, Tür schließt dicht</t>
        </is>
      </c>
      <c r="H96" s="83" t="n">
        <v>1</v>
      </c>
      <c r="I96" s="83" t="n">
        <v>2</v>
      </c>
      <c r="J96" s="83" t="n">
        <v>1</v>
      </c>
      <c r="K96" s="83" t="n">
        <v>2</v>
      </c>
      <c r="L96" s="83" t="n">
        <v>2</v>
      </c>
      <c r="M96" s="83" t="n">
        <v>3</v>
      </c>
      <c r="N96" s="84">
        <f>IF(COUNT(H96:M96)=6,SQRT(SUMSQ(H96:M96))/2,"")</f>
        <v/>
      </c>
      <c r="O96" s="83" t="n">
        <v>1</v>
      </c>
      <c r="P96" s="83" t="n">
        <v>3</v>
      </c>
      <c r="Q96" s="84">
        <f>P_SF</f>
        <v/>
      </c>
      <c r="R96" s="50">
        <f>IF(COUNT(N96:Q96)=4,N96*O96*P96*Q96,"")</f>
        <v/>
      </c>
      <c r="S96" s="41">
        <f>IF(R96="","unvollständig",IF(R96&gt;P_Grenze_kritisch,"kritisch",IF(R96&gt;=P_Grenze_hoch,"hoch",IF(R96&gt;=P_Grenze_mittel,"mittel","gering"))))</f>
        <v/>
      </c>
      <c r="T96" s="43">
        <f>IF(S96="unvollständig","Bewertung fehlt",INDEX(Kl_Intervall,MATCH(S96,Kl_Name,0)))</f>
        <v/>
      </c>
      <c r="U96" s="23">
        <f>T96</f>
        <v/>
      </c>
      <c r="V96" s="85">
        <f>IFERROR(INDEX(Iv_Wochen,MATCH(U96,Iv_Name,0)),"")</f>
        <v/>
      </c>
      <c r="W96" s="81" t="n"/>
      <c r="X96" s="43">
        <f>TRIM(IF(N(K96)&gt;=P_Krit,"AS ","")&amp;IF(N(J96)&gt;=P_Krit,"Q ","")&amp;IF(N(L96)&gt;=P_Krit,"US",""))</f>
        <v/>
      </c>
      <c r="Y96" s="19">
        <f>IF(ISNUMBER(I96),INDEX(IH_Text,I96),"")</f>
        <v/>
      </c>
      <c r="Z96" s="81" t="n"/>
      <c r="AA96" s="83" t="n"/>
      <c r="AB96" s="48">
        <f>IF(AND(ISNUMBER(V96),ISNUMBER(AA96)),52/V96*AA96/60,"")</f>
        <v/>
      </c>
      <c r="AC96" s="86" t="inlineStr">
        <is>
          <t>Schaltschrank</t>
        </is>
      </c>
      <c r="AD96" s="86" t="inlineStr">
        <is>
          <t>22</t>
        </is>
      </c>
      <c r="AE96" s="86" t="inlineStr">
        <is>
          <t>Maßnahme</t>
        </is>
      </c>
      <c r="AF96" s="43" t="n"/>
      <c r="AG96" s="87" t="inlineStr">
        <is>
          <t>14.3</t>
        </is>
      </c>
      <c r="AH96" s="88" t="inlineStr">
        <is>
          <t>Prüfe Dichtheit von Gehäuse und Tür</t>
        </is>
      </c>
      <c r="AI96" s="86" t="n">
        <v>91</v>
      </c>
      <c r="AJ96" s="19">
        <f>IF(ISNUMBER(R96),R96-AI96/100000,"")</f>
        <v/>
      </c>
    </row>
    <row r="97" ht="32" customHeight="1">
      <c r="A97" s="80" t="inlineStr">
        <is>
          <t>14.4</t>
        </is>
      </c>
      <c r="B97" s="19" t="inlineStr">
        <is>
          <t>Sichtkontrolle der elektrischen Komponenten</t>
        </is>
      </c>
      <c r="C97" s="81" t="inlineStr">
        <is>
          <t>Inspektion</t>
        </is>
      </c>
      <c r="D97" s="82" t="n"/>
      <c r="E97" s="19" t="n"/>
      <c r="F97" s="19" t="n"/>
      <c r="G97" s="89" t="inlineStr">
        <is>
          <t>Keine Verfärbungen, Schmorstellen oder losen Leitungen</t>
        </is>
      </c>
      <c r="H97" s="83" t="n">
        <v>2</v>
      </c>
      <c r="I97" s="83" t="n">
        <v>3</v>
      </c>
      <c r="J97" s="83" t="n">
        <v>1</v>
      </c>
      <c r="K97" s="83" t="n">
        <v>3</v>
      </c>
      <c r="L97" s="83" t="n">
        <v>1</v>
      </c>
      <c r="M97" s="83" t="n">
        <v>4</v>
      </c>
      <c r="N97" s="84">
        <f>IF(COUNT(H97:M97)=6,SQRT(SUMSQ(H97:M97))/2,"")</f>
        <v/>
      </c>
      <c r="O97" s="83" t="n">
        <v>2</v>
      </c>
      <c r="P97" s="83" t="n">
        <v>2</v>
      </c>
      <c r="Q97" s="84">
        <f>P_SF</f>
        <v/>
      </c>
      <c r="R97" s="50">
        <f>IF(COUNT(N97:Q97)=4,N97*O97*P97*Q97,"")</f>
        <v/>
      </c>
      <c r="S97" s="41">
        <f>IF(R97="","unvollständig",IF(R97&gt;P_Grenze_kritisch,"kritisch",IF(R97&gt;=P_Grenze_hoch,"hoch",IF(R97&gt;=P_Grenze_mittel,"mittel","gering"))))</f>
        <v/>
      </c>
      <c r="T97" s="43">
        <f>IF(S97="unvollständig","Bewertung fehlt",INDEX(Kl_Intervall,MATCH(S97,Kl_Name,0)))</f>
        <v/>
      </c>
      <c r="U97" s="23">
        <f>T97</f>
        <v/>
      </c>
      <c r="V97" s="85">
        <f>IFERROR(INDEX(Iv_Wochen,MATCH(U97,Iv_Name,0)),"")</f>
        <v/>
      </c>
      <c r="W97" s="81" t="n"/>
      <c r="X97" s="43">
        <f>TRIM(IF(N(K97)&gt;=P_Krit,"AS ","")&amp;IF(N(J97)&gt;=P_Krit,"Q ","")&amp;IF(N(L97)&gt;=P_Krit,"US",""))</f>
        <v/>
      </c>
      <c r="Y97" s="19">
        <f>IF(ISNUMBER(I97),INDEX(IH_Text,I97),"")</f>
        <v/>
      </c>
      <c r="Z97" s="81" t="n"/>
      <c r="AA97" s="83" t="n"/>
      <c r="AB97" s="48">
        <f>IF(AND(ISNUMBER(V97),ISNUMBER(AA97)),52/V97*AA97/60,"")</f>
        <v/>
      </c>
      <c r="AC97" s="86" t="inlineStr">
        <is>
          <t>Schaltschrank</t>
        </is>
      </c>
      <c r="AD97" s="86" t="inlineStr">
        <is>
          <t>22</t>
        </is>
      </c>
      <c r="AE97" s="86" t="inlineStr">
        <is>
          <t>Maßnahme</t>
        </is>
      </c>
      <c r="AF97" s="43" t="n"/>
      <c r="AG97" s="87" t="inlineStr">
        <is>
          <t>14.4</t>
        </is>
      </c>
      <c r="AH97" s="88" t="inlineStr">
        <is>
          <t>Sichtkontrolle der elek. Komponenten</t>
        </is>
      </c>
      <c r="AI97" s="86" t="n">
        <v>92</v>
      </c>
      <c r="AJ97" s="19">
        <f>IF(ISNUMBER(R97),R97-AI97/100000,"")</f>
        <v/>
      </c>
    </row>
    <row r="98" ht="19" customHeight="1">
      <c r="A98" s="80" t="inlineStr">
        <is>
          <t>14.5</t>
        </is>
      </c>
      <c r="B98" s="19" t="inlineStr">
        <is>
          <t>Lüfter auf Funktion prüfen</t>
        </is>
      </c>
      <c r="C98" s="81" t="inlineStr">
        <is>
          <t>Funktionsprüfung</t>
        </is>
      </c>
      <c r="D98" s="82" t="n"/>
      <c r="E98" s="19" t="n"/>
      <c r="F98" s="19" t="n"/>
      <c r="G98" s="89" t="inlineStr">
        <is>
          <t>Lüfter läuft</t>
        </is>
      </c>
      <c r="H98" s="95">
        <f>H92</f>
        <v/>
      </c>
      <c r="I98" s="95">
        <f>I92</f>
        <v/>
      </c>
      <c r="J98" s="95">
        <f>J92</f>
        <v/>
      </c>
      <c r="K98" s="95">
        <f>K92</f>
        <v/>
      </c>
      <c r="L98" s="95">
        <f>L92</f>
        <v/>
      </c>
      <c r="M98" s="95">
        <f>M92</f>
        <v/>
      </c>
      <c r="N98" s="84">
        <f>IF(COUNT(H98:M98)=6,SQRT(SUMSQ(H98:M98))/2,"")</f>
        <v/>
      </c>
      <c r="O98" s="95">
        <f>O92</f>
        <v/>
      </c>
      <c r="P98" s="95">
        <f>P92</f>
        <v/>
      </c>
      <c r="Q98" s="84">
        <f>P_SF</f>
        <v/>
      </c>
      <c r="R98" s="50">
        <f>IF(COUNT(N98:Q98)=4,N98*O98*P98*Q98,"")</f>
        <v/>
      </c>
      <c r="S98" s="41">
        <f>IF(R98="","unvollständig",IF(R98&gt;P_Grenze_kritisch,"kritisch",IF(R98&gt;=P_Grenze_hoch,"hoch",IF(R98&gt;=P_Grenze_mittel,"mittel","gering"))))</f>
        <v/>
      </c>
      <c r="T98" s="43">
        <f>IF(S98="unvollständig","Bewertung fehlt",INDEX(Kl_Intervall,MATCH(S98,Kl_Name,0)))</f>
        <v/>
      </c>
      <c r="U98" s="23">
        <f>T98</f>
        <v/>
      </c>
      <c r="V98" s="85">
        <f>IFERROR(INDEX(Iv_Wochen,MATCH(U98,Iv_Name,0)),"")</f>
        <v/>
      </c>
      <c r="W98" s="81" t="n"/>
      <c r="X98" s="43">
        <f>TRIM(IF(N(K98)&gt;=P_Krit,"AS ","")&amp;IF(N(J98)&gt;=P_Krit,"Q ","")&amp;IF(N(L98)&gt;=P_Krit,"US",""))</f>
        <v/>
      </c>
      <c r="Y98" s="19">
        <f>IF(ISNUMBER(I98),INDEX(IH_Text,I98),"")</f>
        <v/>
      </c>
      <c r="Z98" s="81" t="n"/>
      <c r="AA98" s="83" t="n"/>
      <c r="AB98" s="48">
        <f>IF(AND(ISNUMBER(V98),ISNUMBER(AA98)),52/V98*AA98/60,"")</f>
        <v/>
      </c>
      <c r="AC98" s="86" t="inlineStr">
        <is>
          <t>Schaltschrank</t>
        </is>
      </c>
      <c r="AD98" s="86" t="inlineStr">
        <is>
          <t>22</t>
        </is>
      </c>
      <c r="AE98" s="86" t="inlineStr">
        <is>
          <t>Maßnahme</t>
        </is>
      </c>
      <c r="AF98" s="43" t="inlineStr">
        <is>
          <t>13.1</t>
        </is>
      </c>
      <c r="AG98" s="87" t="inlineStr">
        <is>
          <t>14.5</t>
        </is>
      </c>
      <c r="AH98" s="88" t="inlineStr">
        <is>
          <t>Prüfe Lüfter auf Funktion</t>
        </is>
      </c>
      <c r="AI98" s="86" t="n">
        <v>93</v>
      </c>
      <c r="AJ98" s="19">
        <f>IF(ISNUMBER(R98),R98-AI98/100000,"")</f>
        <v/>
      </c>
    </row>
    <row r="99" ht="20" customHeight="1">
      <c r="A99" s="74" t="inlineStr">
        <is>
          <t>15</t>
        </is>
      </c>
      <c r="B99" s="75" t="inlineStr">
        <is>
          <t>Ölkühler/Wasserkühler</t>
        </is>
      </c>
      <c r="C99" s="75" t="n"/>
      <c r="D99" s="76" t="n"/>
      <c r="E99" s="75" t="n"/>
      <c r="F99" s="75" t="n"/>
      <c r="G99" s="75" t="n"/>
      <c r="H99" s="75" t="n"/>
      <c r="I99" s="75" t="n"/>
      <c r="J99" s="75" t="n"/>
      <c r="K99" s="75" t="n"/>
      <c r="L99" s="75" t="n"/>
      <c r="M99" s="75" t="n"/>
      <c r="N99" s="75" t="n"/>
      <c r="O99" s="75" t="n"/>
      <c r="P99" s="75" t="n"/>
      <c r="Q99" s="75" t="n"/>
      <c r="R99" s="75" t="n"/>
      <c r="S99" s="75" t="n"/>
      <c r="T99" s="75" t="n"/>
      <c r="U99" s="75" t="n"/>
      <c r="V99" s="75" t="n"/>
      <c r="W99" s="75" t="n"/>
      <c r="X99" s="75" t="n"/>
      <c r="Y99" s="75" t="n"/>
      <c r="Z99" s="75" t="n"/>
      <c r="AA99" s="75" t="n"/>
      <c r="AB99" s="75" t="n"/>
      <c r="AC99" s="77" t="inlineStr">
        <is>
          <t>Ölkühler/Wasserkühler</t>
        </is>
      </c>
      <c r="AD99" s="77" t="inlineStr">
        <is>
          <t>24</t>
        </is>
      </c>
      <c r="AE99" s="77" t="inlineStr">
        <is>
          <t>Baugruppe</t>
        </is>
      </c>
      <c r="AF99" s="75" t="n"/>
      <c r="AG99" s="78" t="inlineStr">
        <is>
          <t>15</t>
        </is>
      </c>
      <c r="AH99" s="79" t="inlineStr">
        <is>
          <t>24.) Ölkühler/Wasserkühler</t>
        </is>
      </c>
      <c r="AI99" s="77" t="n">
        <v>94</v>
      </c>
      <c r="AJ99" s="75" t="n"/>
    </row>
    <row r="100" ht="32" customHeight="1">
      <c r="A100" s="80" t="inlineStr">
        <is>
          <t>15.1</t>
        </is>
      </c>
      <c r="B100" s="19" t="inlineStr">
        <is>
          <t>Filtermatten tauschen</t>
        </is>
      </c>
      <c r="C100" s="81" t="inlineStr">
        <is>
          <t>Austausch</t>
        </is>
      </c>
      <c r="D100" s="82" t="inlineStr">
        <is>
          <t>ℹ Hinweis beachten</t>
        </is>
      </c>
      <c r="E100" s="19" t="n"/>
      <c r="F100" s="19" t="n"/>
      <c r="G100" s="89" t="inlineStr">
        <is>
          <t>Neue Filtermatten eingesetzt</t>
        </is>
      </c>
      <c r="H100" s="83" t="n">
        <v>4</v>
      </c>
      <c r="I100" s="83" t="n">
        <v>3</v>
      </c>
      <c r="J100" s="83" t="n">
        <v>4</v>
      </c>
      <c r="K100" s="83" t="n">
        <v>3</v>
      </c>
      <c r="L100" s="83" t="n">
        <v>4</v>
      </c>
      <c r="M100" s="83" t="n">
        <v>4</v>
      </c>
      <c r="N100" s="84">
        <f>IF(COUNT(H100:M100)=6,SQRT(SUMSQ(H100:M100))/2,"")</f>
        <v/>
      </c>
      <c r="O100" s="83" t="n">
        <v>5</v>
      </c>
      <c r="P100" s="83" t="n">
        <v>3</v>
      </c>
      <c r="Q100" s="84">
        <f>P_SF</f>
        <v/>
      </c>
      <c r="R100" s="50">
        <f>IF(COUNT(N100:Q100)=4,N100*O100*P100*Q100,"")</f>
        <v/>
      </c>
      <c r="S100" s="41">
        <f>IF(R100="","unvollständig",IF(R100&gt;P_Grenze_kritisch,"kritisch",IF(R100&gt;=P_Grenze_hoch,"hoch",IF(R100&gt;=P_Grenze_mittel,"mittel","gering"))))</f>
        <v/>
      </c>
      <c r="T100" s="43">
        <f>IF(S100="unvollständig","Bewertung fehlt",INDEX(Kl_Intervall,MATCH(S100,Kl_Name,0)))</f>
        <v/>
      </c>
      <c r="U100" s="23">
        <f>T100</f>
        <v/>
      </c>
      <c r="V100" s="85">
        <f>IFERROR(INDEX(Iv_Wochen,MATCH(U100,Iv_Name,0)),"")</f>
        <v/>
      </c>
      <c r="W100" s="81" t="n"/>
      <c r="X100" s="43">
        <f>TRIM(IF(N(K100)&gt;=P_Krit,"AS ","")&amp;IF(N(J100)&gt;=P_Krit,"Q ","")&amp;IF(N(L100)&gt;=P_Krit,"US",""))</f>
        <v/>
      </c>
      <c r="Y100" s="19">
        <f>IF(ISNUMBER(I100),INDEX(IH_Text,I100),"")</f>
        <v/>
      </c>
      <c r="Z100" s="81" t="n"/>
      <c r="AA100" s="83" t="n"/>
      <c r="AB100" s="48">
        <f>IF(AND(ISNUMBER(V100),ISNUMBER(AA100)),52/V100*AA100/60,"")</f>
        <v/>
      </c>
      <c r="AC100" s="86" t="inlineStr">
        <is>
          <t>Ölkühler/Wasserkühler</t>
        </is>
      </c>
      <c r="AD100" s="86" t="inlineStr">
        <is>
          <t>24</t>
        </is>
      </c>
      <c r="AE100" s="86" t="inlineStr">
        <is>
          <t>Maßnahme</t>
        </is>
      </c>
      <c r="AF100" s="43" t="n"/>
      <c r="AG100" s="87" t="inlineStr">
        <is>
          <t>15.1</t>
        </is>
      </c>
      <c r="AH100" s="88" t="inlineStr">
        <is>
          <t>tausche Filtermatten</t>
        </is>
      </c>
      <c r="AI100" s="86" t="n">
        <v>95</v>
      </c>
      <c r="AJ100" s="19">
        <f>IF(ISNUMBER(R100),R100-AI100/100000,"")</f>
        <v/>
      </c>
    </row>
    <row r="101" ht="32" customHeight="1">
      <c r="A101" s="80" t="inlineStr">
        <is>
          <t>15.2</t>
        </is>
      </c>
      <c r="B101" s="19" t="inlineStr">
        <is>
          <t>Lager der Kühlmittelpumpe auf Laufgeräusche prüfen</t>
        </is>
      </c>
      <c r="C101" s="81" t="inlineStr">
        <is>
          <t>Inspektion</t>
        </is>
      </c>
      <c r="D101" s="82" t="n"/>
      <c r="E101" s="19" t="n"/>
      <c r="F101" s="19" t="n"/>
      <c r="G101" s="89" t="inlineStr">
        <is>
          <t>Keine auffälligen Laufgeräusche</t>
        </is>
      </c>
      <c r="H101" s="83" t="n">
        <v>3</v>
      </c>
      <c r="I101" s="83" t="n">
        <v>2</v>
      </c>
      <c r="J101" s="83" t="n">
        <v>2</v>
      </c>
      <c r="K101" s="83" t="n">
        <v>2</v>
      </c>
      <c r="L101" s="83" t="n">
        <v>2</v>
      </c>
      <c r="M101" s="83" t="n">
        <v>3</v>
      </c>
      <c r="N101" s="84">
        <f>IF(COUNT(H101:M101)=6,SQRT(SUMSQ(H101:M101))/2,"")</f>
        <v/>
      </c>
      <c r="O101" s="83" t="n">
        <v>1</v>
      </c>
      <c r="P101" s="83" t="n">
        <v>3</v>
      </c>
      <c r="Q101" s="84">
        <f>P_SF</f>
        <v/>
      </c>
      <c r="R101" s="50">
        <f>IF(COUNT(N101:Q101)=4,N101*O101*P101*Q101,"")</f>
        <v/>
      </c>
      <c r="S101" s="41">
        <f>IF(R101="","unvollständig",IF(R101&gt;P_Grenze_kritisch,"kritisch",IF(R101&gt;=P_Grenze_hoch,"hoch",IF(R101&gt;=P_Grenze_mittel,"mittel","gering"))))</f>
        <v/>
      </c>
      <c r="T101" s="43">
        <f>IF(S101="unvollständig","Bewertung fehlt",INDEX(Kl_Intervall,MATCH(S101,Kl_Name,0)))</f>
        <v/>
      </c>
      <c r="U101" s="23">
        <f>T101</f>
        <v/>
      </c>
      <c r="V101" s="85">
        <f>IFERROR(INDEX(Iv_Wochen,MATCH(U101,Iv_Name,0)),"")</f>
        <v/>
      </c>
      <c r="W101" s="81" t="n"/>
      <c r="X101" s="43">
        <f>TRIM(IF(N(K101)&gt;=P_Krit,"AS ","")&amp;IF(N(J101)&gt;=P_Krit,"Q ","")&amp;IF(N(L101)&gt;=P_Krit,"US",""))</f>
        <v/>
      </c>
      <c r="Y101" s="19">
        <f>IF(ISNUMBER(I101),INDEX(IH_Text,I101),"")</f>
        <v/>
      </c>
      <c r="Z101" s="81" t="n"/>
      <c r="AA101" s="83" t="n"/>
      <c r="AB101" s="48">
        <f>IF(AND(ISNUMBER(V101),ISNUMBER(AA101)),52/V101*AA101/60,"")</f>
        <v/>
      </c>
      <c r="AC101" s="86" t="inlineStr">
        <is>
          <t>Ölkühler/Wasserkühler</t>
        </is>
      </c>
      <c r="AD101" s="86" t="inlineStr">
        <is>
          <t>24</t>
        </is>
      </c>
      <c r="AE101" s="86" t="inlineStr">
        <is>
          <t>Maßnahme</t>
        </is>
      </c>
      <c r="AF101" s="43" t="n"/>
      <c r="AG101" s="87" t="inlineStr">
        <is>
          <t>15.2</t>
        </is>
      </c>
      <c r="AH101" s="88" t="inlineStr">
        <is>
          <t>Lager vom Kühlmittelpumpe auf Laufgeräusche überprüfen</t>
        </is>
      </c>
      <c r="AI101" s="86" t="n">
        <v>96</v>
      </c>
      <c r="AJ101" s="19">
        <f>IF(ISNUMBER(R101),R101-AI101/100000,"")</f>
        <v/>
      </c>
    </row>
    <row r="102" ht="20" customHeight="1">
      <c r="A102" s="74" t="inlineStr">
        <is>
          <t>16</t>
        </is>
      </c>
      <c r="B102" s="75" t="inlineStr">
        <is>
          <t>Hydraulikaggregat</t>
        </is>
      </c>
      <c r="C102" s="75" t="n"/>
      <c r="D102" s="76" t="n"/>
      <c r="E102" s="75" t="n"/>
      <c r="F102" s="75" t="n"/>
      <c r="G102" s="75" t="n"/>
      <c r="H102" s="75" t="n"/>
      <c r="I102" s="75" t="n"/>
      <c r="J102" s="75" t="n"/>
      <c r="K102" s="75" t="n"/>
      <c r="L102" s="75" t="n"/>
      <c r="M102" s="75" t="n"/>
      <c r="N102" s="75" t="n"/>
      <c r="O102" s="75" t="n"/>
      <c r="P102" s="75" t="n"/>
      <c r="Q102" s="75" t="n"/>
      <c r="R102" s="75" t="n"/>
      <c r="S102" s="75" t="n"/>
      <c r="T102" s="75" t="n"/>
      <c r="U102" s="75" t="n"/>
      <c r="V102" s="75" t="n"/>
      <c r="W102" s="75" t="n"/>
      <c r="X102" s="75" t="n"/>
      <c r="Y102" s="75" t="n"/>
      <c r="Z102" s="75" t="n"/>
      <c r="AA102" s="75" t="n"/>
      <c r="AB102" s="75" t="n"/>
      <c r="AC102" s="77" t="inlineStr">
        <is>
          <t>Hydraulikaggregat</t>
        </is>
      </c>
      <c r="AD102" s="77" t="inlineStr">
        <is>
          <t>25</t>
        </is>
      </c>
      <c r="AE102" s="77" t="inlineStr">
        <is>
          <t>Baugruppe</t>
        </is>
      </c>
      <c r="AF102" s="75" t="n"/>
      <c r="AG102" s="78" t="inlineStr">
        <is>
          <t>16</t>
        </is>
      </c>
      <c r="AH102" s="79" t="inlineStr">
        <is>
          <t>25.) Hydraulikaggregat</t>
        </is>
      </c>
      <c r="AI102" s="77" t="n">
        <v>97</v>
      </c>
      <c r="AJ102" s="75" t="n"/>
    </row>
    <row r="103" ht="32" customHeight="1">
      <c r="A103" s="80" t="inlineStr">
        <is>
          <t>16.1</t>
        </is>
      </c>
      <c r="B103" s="19" t="inlineStr">
        <is>
          <t>Ölstand und Ölzustand prüfen (Farbe, Verunreinigung), ggf. nachfüllen</t>
        </is>
      </c>
      <c r="C103" s="81" t="inlineStr">
        <is>
          <t>Inspektion</t>
        </is>
      </c>
      <c r="D103" s="82" t="inlineStr">
        <is>
          <t>ℹ Hinweis beachten</t>
        </is>
      </c>
      <c r="E103" s="19" t="n"/>
      <c r="F103" s="19" t="n"/>
      <c r="G103" s="89" t="inlineStr">
        <is>
          <t>Ölstand zwischen Min./Max.; Öl klar</t>
        </is>
      </c>
      <c r="H103" s="83" t="n">
        <v>3</v>
      </c>
      <c r="I103" s="83" t="n">
        <v>3</v>
      </c>
      <c r="J103" s="83" t="n">
        <v>1</v>
      </c>
      <c r="K103" s="83" t="n">
        <v>1</v>
      </c>
      <c r="L103" s="83" t="n">
        <v>4</v>
      </c>
      <c r="M103" s="83" t="n">
        <v>4</v>
      </c>
      <c r="N103" s="84">
        <f>IF(COUNT(H103:M103)=6,SQRT(SUMSQ(H103:M103))/2,"")</f>
        <v/>
      </c>
      <c r="O103" s="83" t="n">
        <v>2</v>
      </c>
      <c r="P103" s="83" t="n">
        <v>3</v>
      </c>
      <c r="Q103" s="84">
        <f>P_SF</f>
        <v/>
      </c>
      <c r="R103" s="50">
        <f>IF(COUNT(N103:Q103)=4,N103*O103*P103*Q103,"")</f>
        <v/>
      </c>
      <c r="S103" s="41">
        <f>IF(R103="","unvollständig",IF(R103&gt;P_Grenze_kritisch,"kritisch",IF(R103&gt;=P_Grenze_hoch,"hoch",IF(R103&gt;=P_Grenze_mittel,"mittel","gering"))))</f>
        <v/>
      </c>
      <c r="T103" s="43">
        <f>IF(S103="unvollständig","Bewertung fehlt",INDEX(Kl_Intervall,MATCH(S103,Kl_Name,0)))</f>
        <v/>
      </c>
      <c r="U103" s="23">
        <f>T103</f>
        <v/>
      </c>
      <c r="V103" s="85">
        <f>IFERROR(INDEX(Iv_Wochen,MATCH(U103,Iv_Name,0)),"")</f>
        <v/>
      </c>
      <c r="W103" s="81" t="n"/>
      <c r="X103" s="43">
        <f>TRIM(IF(N(K103)&gt;=P_Krit,"AS ","")&amp;IF(N(J103)&gt;=P_Krit,"Q ","")&amp;IF(N(L103)&gt;=P_Krit,"US",""))</f>
        <v/>
      </c>
      <c r="Y103" s="19">
        <f>IF(ISNUMBER(I103),INDEX(IH_Text,I103),"")</f>
        <v/>
      </c>
      <c r="Z103" s="81" t="n"/>
      <c r="AA103" s="83" t="n"/>
      <c r="AB103" s="48">
        <f>IF(AND(ISNUMBER(V103),ISNUMBER(AA103)),52/V103*AA103/60,"")</f>
        <v/>
      </c>
      <c r="AC103" s="86" t="inlineStr">
        <is>
          <t>Hydraulikaggregat</t>
        </is>
      </c>
      <c r="AD103" s="86" t="inlineStr">
        <is>
          <t>25</t>
        </is>
      </c>
      <c r="AE103" s="86" t="inlineStr">
        <is>
          <t>Maßnahme</t>
        </is>
      </c>
      <c r="AF103" s="43" t="n"/>
      <c r="AG103" s="87" t="inlineStr">
        <is>
          <t>16.1</t>
        </is>
      </c>
      <c r="AH103" s="88" t="inlineStr">
        <is>
          <t>Prüfe Ölstand und Zustand (Farbe, Verunreinigung) ggf. nachfüllen</t>
        </is>
      </c>
      <c r="AI103" s="86" t="n">
        <v>98</v>
      </c>
      <c r="AJ103" s="19">
        <f>IF(ISNUMBER(R103),R103-AI103/100000,"")</f>
        <v/>
      </c>
    </row>
    <row r="104" ht="32" customHeight="1">
      <c r="A104" s="80" t="inlineStr">
        <is>
          <t>16.2</t>
        </is>
      </c>
      <c r="B104" s="19" t="inlineStr">
        <is>
          <t>Öltemperatur messen</t>
        </is>
      </c>
      <c r="C104" s="81" t="inlineStr">
        <is>
          <t>Messung</t>
        </is>
      </c>
      <c r="D104" s="82" t="inlineStr">
        <is>
          <t>ℹ Hinweis beachten</t>
        </is>
      </c>
      <c r="E104" s="19" t="n"/>
      <c r="F104" s="19" t="inlineStr">
        <is>
          <t>Lasertemperatur-Messgerät</t>
        </is>
      </c>
      <c r="G104" s="19" t="inlineStr">
        <is>
          <t>Öltemperatur &lt; 75 °C</t>
        </is>
      </c>
      <c r="H104" s="83" t="n">
        <v>3</v>
      </c>
      <c r="I104" s="83" t="n">
        <v>3</v>
      </c>
      <c r="J104" s="83" t="n">
        <v>1</v>
      </c>
      <c r="K104" s="83" t="n">
        <v>3</v>
      </c>
      <c r="L104" s="83" t="n">
        <v>3</v>
      </c>
      <c r="M104" s="83" t="n">
        <v>4</v>
      </c>
      <c r="N104" s="84">
        <f>IF(COUNT(H104:M104)=6,SQRT(SUMSQ(H104:M104))/2,"")</f>
        <v/>
      </c>
      <c r="O104" s="83" t="n">
        <v>2</v>
      </c>
      <c r="P104" s="83" t="n">
        <v>2</v>
      </c>
      <c r="Q104" s="84">
        <f>P_SF</f>
        <v/>
      </c>
      <c r="R104" s="50">
        <f>IF(COUNT(N104:Q104)=4,N104*O104*P104*Q104,"")</f>
        <v/>
      </c>
      <c r="S104" s="41">
        <f>IF(R104="","unvollständig",IF(R104&gt;P_Grenze_kritisch,"kritisch",IF(R104&gt;=P_Grenze_hoch,"hoch",IF(R104&gt;=P_Grenze_mittel,"mittel","gering"))))</f>
        <v/>
      </c>
      <c r="T104" s="43">
        <f>IF(S104="unvollständig","Bewertung fehlt",INDEX(Kl_Intervall,MATCH(S104,Kl_Name,0)))</f>
        <v/>
      </c>
      <c r="U104" s="23">
        <f>T104</f>
        <v/>
      </c>
      <c r="V104" s="85">
        <f>IFERROR(INDEX(Iv_Wochen,MATCH(U104,Iv_Name,0)),"")</f>
        <v/>
      </c>
      <c r="W104" s="81" t="n"/>
      <c r="X104" s="43">
        <f>TRIM(IF(N(K104)&gt;=P_Krit,"AS ","")&amp;IF(N(J104)&gt;=P_Krit,"Q ","")&amp;IF(N(L104)&gt;=P_Krit,"US",""))</f>
        <v/>
      </c>
      <c r="Y104" s="19">
        <f>IF(ISNUMBER(I104),INDEX(IH_Text,I104),"")</f>
        <v/>
      </c>
      <c r="Z104" s="81" t="n"/>
      <c r="AA104" s="83" t="n"/>
      <c r="AB104" s="48">
        <f>IF(AND(ISNUMBER(V104),ISNUMBER(AA104)),52/V104*AA104/60,"")</f>
        <v/>
      </c>
      <c r="AC104" s="86" t="inlineStr">
        <is>
          <t>Hydraulikaggregat</t>
        </is>
      </c>
      <c r="AD104" s="86" t="inlineStr">
        <is>
          <t>25</t>
        </is>
      </c>
      <c r="AE104" s="86" t="inlineStr">
        <is>
          <t>Maßnahme</t>
        </is>
      </c>
      <c r="AF104" s="43" t="n"/>
      <c r="AG104" s="87" t="inlineStr">
        <is>
          <t>16.2</t>
        </is>
      </c>
      <c r="AH104" s="88" t="inlineStr">
        <is>
          <t xml:space="preserve">Temperatur messen (Öl-Temperatur soll 75° nicht übersteigen) </t>
        </is>
      </c>
      <c r="AI104" s="86" t="n">
        <v>99</v>
      </c>
      <c r="AJ104" s="19">
        <f>IF(ISNUMBER(R104),R104-AI104/100000,"")</f>
        <v/>
      </c>
    </row>
    <row r="105" ht="32" customHeight="1">
      <c r="A105" s="80" t="inlineStr">
        <is>
          <t>16.3</t>
        </is>
      </c>
      <c r="B105" s="19" t="inlineStr">
        <is>
          <t>Hydraulikanschlüsse auf Dichtheit und Beschädigungen prüfen</t>
        </is>
      </c>
      <c r="C105" s="81" t="inlineStr">
        <is>
          <t>Inspektion</t>
        </is>
      </c>
      <c r="D105" s="82" t="n"/>
      <c r="E105" s="19" t="n"/>
      <c r="F105" s="19" t="n"/>
      <c r="G105" s="89" t="inlineStr">
        <is>
          <t>Dicht, unbeschädigt</t>
        </is>
      </c>
      <c r="H105" s="83" t="n">
        <v>3</v>
      </c>
      <c r="I105" s="83" t="n">
        <v>3</v>
      </c>
      <c r="J105" s="83" t="n">
        <v>2</v>
      </c>
      <c r="K105" s="83" t="n">
        <v>3</v>
      </c>
      <c r="L105" s="83" t="n">
        <v>4</v>
      </c>
      <c r="M105" s="83" t="n">
        <v>2</v>
      </c>
      <c r="N105" s="84">
        <f>IF(COUNT(H105:M105)=6,SQRT(SUMSQ(H105:M105))/2,"")</f>
        <v/>
      </c>
      <c r="O105" s="83" t="n">
        <v>2</v>
      </c>
      <c r="P105" s="83" t="n">
        <v>3</v>
      </c>
      <c r="Q105" s="84">
        <f>P_SF</f>
        <v/>
      </c>
      <c r="R105" s="50">
        <f>IF(COUNT(N105:Q105)=4,N105*O105*P105*Q105,"")</f>
        <v/>
      </c>
      <c r="S105" s="41">
        <f>IF(R105="","unvollständig",IF(R105&gt;P_Grenze_kritisch,"kritisch",IF(R105&gt;=P_Grenze_hoch,"hoch",IF(R105&gt;=P_Grenze_mittel,"mittel","gering"))))</f>
        <v/>
      </c>
      <c r="T105" s="43">
        <f>IF(S105="unvollständig","Bewertung fehlt",INDEX(Kl_Intervall,MATCH(S105,Kl_Name,0)))</f>
        <v/>
      </c>
      <c r="U105" s="23">
        <f>T105</f>
        <v/>
      </c>
      <c r="V105" s="85">
        <f>IFERROR(INDEX(Iv_Wochen,MATCH(U105,Iv_Name,0)),"")</f>
        <v/>
      </c>
      <c r="W105" s="81" t="n"/>
      <c r="X105" s="43">
        <f>TRIM(IF(N(K105)&gt;=P_Krit,"AS ","")&amp;IF(N(J105)&gt;=P_Krit,"Q ","")&amp;IF(N(L105)&gt;=P_Krit,"US",""))</f>
        <v/>
      </c>
      <c r="Y105" s="19">
        <f>IF(ISNUMBER(I105),INDEX(IH_Text,I105),"")</f>
        <v/>
      </c>
      <c r="Z105" s="81" t="n"/>
      <c r="AA105" s="83" t="n"/>
      <c r="AB105" s="48">
        <f>IF(AND(ISNUMBER(V105),ISNUMBER(AA105)),52/V105*AA105/60,"")</f>
        <v/>
      </c>
      <c r="AC105" s="86" t="inlineStr">
        <is>
          <t>Hydraulikaggregat</t>
        </is>
      </c>
      <c r="AD105" s="86" t="inlineStr">
        <is>
          <t>25</t>
        </is>
      </c>
      <c r="AE105" s="86" t="inlineStr">
        <is>
          <t>Maßnahme</t>
        </is>
      </c>
      <c r="AF105" s="43" t="n"/>
      <c r="AG105" s="87" t="inlineStr">
        <is>
          <t>16.3</t>
        </is>
      </c>
      <c r="AH105" s="88" t="inlineStr">
        <is>
          <t>Hydraulikanschlüsse auf Dichtheit und Beschädigungen prüfen</t>
        </is>
      </c>
      <c r="AI105" s="86" t="n">
        <v>100</v>
      </c>
      <c r="AJ105" s="19">
        <f>IF(ISNUMBER(R105),R105-AI105/100000,"")</f>
        <v/>
      </c>
    </row>
    <row r="106" ht="19" customHeight="1">
      <c r="A106" s="80" t="inlineStr">
        <is>
          <t>16.4</t>
        </is>
      </c>
      <c r="B106" s="19" t="inlineStr">
        <is>
          <t>Befestigung der Ventile prüfen</t>
        </is>
      </c>
      <c r="C106" s="81" t="inlineStr">
        <is>
          <t>Inspektion</t>
        </is>
      </c>
      <c r="D106" s="82" t="n"/>
      <c r="E106" s="19" t="n"/>
      <c r="F106" s="19" t="n"/>
      <c r="G106" s="89" t="inlineStr">
        <is>
          <t>Fest</t>
        </is>
      </c>
      <c r="H106" s="83" t="n">
        <v>2</v>
      </c>
      <c r="I106" s="83" t="n">
        <v>3</v>
      </c>
      <c r="J106" s="83" t="n">
        <v>3</v>
      </c>
      <c r="K106" s="83" t="n">
        <v>2</v>
      </c>
      <c r="L106" s="83" t="n">
        <v>3</v>
      </c>
      <c r="M106" s="83" t="n">
        <v>2</v>
      </c>
      <c r="N106" s="84">
        <f>IF(COUNT(H106:M106)=6,SQRT(SUMSQ(H106:M106))/2,"")</f>
        <v/>
      </c>
      <c r="O106" s="83" t="n">
        <v>2</v>
      </c>
      <c r="P106" s="83" t="n">
        <v>2</v>
      </c>
      <c r="Q106" s="84">
        <f>P_SF</f>
        <v/>
      </c>
      <c r="R106" s="50">
        <f>IF(COUNT(N106:Q106)=4,N106*O106*P106*Q106,"")</f>
        <v/>
      </c>
      <c r="S106" s="41">
        <f>IF(R106="","unvollständig",IF(R106&gt;P_Grenze_kritisch,"kritisch",IF(R106&gt;=P_Grenze_hoch,"hoch",IF(R106&gt;=P_Grenze_mittel,"mittel","gering"))))</f>
        <v/>
      </c>
      <c r="T106" s="43">
        <f>IF(S106="unvollständig","Bewertung fehlt",INDEX(Kl_Intervall,MATCH(S106,Kl_Name,0)))</f>
        <v/>
      </c>
      <c r="U106" s="23">
        <f>T106</f>
        <v/>
      </c>
      <c r="V106" s="85">
        <f>IFERROR(INDEX(Iv_Wochen,MATCH(U106,Iv_Name,0)),"")</f>
        <v/>
      </c>
      <c r="W106" s="81" t="n"/>
      <c r="X106" s="43">
        <f>TRIM(IF(N(K106)&gt;=P_Krit,"AS ","")&amp;IF(N(J106)&gt;=P_Krit,"Q ","")&amp;IF(N(L106)&gt;=P_Krit,"US",""))</f>
        <v/>
      </c>
      <c r="Y106" s="19">
        <f>IF(ISNUMBER(I106),INDEX(IH_Text,I106),"")</f>
        <v/>
      </c>
      <c r="Z106" s="81" t="n"/>
      <c r="AA106" s="83" t="n"/>
      <c r="AB106" s="48">
        <f>IF(AND(ISNUMBER(V106),ISNUMBER(AA106)),52/V106*AA106/60,"")</f>
        <v/>
      </c>
      <c r="AC106" s="86" t="inlineStr">
        <is>
          <t>Hydraulikaggregat</t>
        </is>
      </c>
      <c r="AD106" s="86" t="inlineStr">
        <is>
          <t>25</t>
        </is>
      </c>
      <c r="AE106" s="86" t="inlineStr">
        <is>
          <t>Maßnahme</t>
        </is>
      </c>
      <c r="AF106" s="43" t="n"/>
      <c r="AG106" s="87" t="inlineStr">
        <is>
          <t>16.4</t>
        </is>
      </c>
      <c r="AH106" s="88" t="inlineStr">
        <is>
          <t>Prüfe Befestigung der Ventile</t>
        </is>
      </c>
      <c r="AI106" s="86" t="n">
        <v>101</v>
      </c>
      <c r="AJ106" s="19">
        <f>IF(ISNUMBER(R106),R106-AI106/100000,"")</f>
        <v/>
      </c>
    </row>
    <row r="107" ht="32" customHeight="1">
      <c r="A107" s="80" t="inlineStr">
        <is>
          <t>16.5</t>
        </is>
      </c>
      <c r="B107" s="19" t="inlineStr">
        <is>
          <t>Funktion der Ventile prüfen</t>
        </is>
      </c>
      <c r="C107" s="81" t="inlineStr">
        <is>
          <t>Funktionsprüfung</t>
        </is>
      </c>
      <c r="D107" s="82" t="n"/>
      <c r="E107" s="19" t="n"/>
      <c r="F107" s="19" t="n"/>
      <c r="G107" s="89" t="inlineStr">
        <is>
          <t>Ventile schalten einwandfrei</t>
        </is>
      </c>
      <c r="H107" s="83" t="n">
        <v>2</v>
      </c>
      <c r="I107" s="83" t="n">
        <v>3</v>
      </c>
      <c r="J107" s="83" t="n">
        <v>2</v>
      </c>
      <c r="K107" s="83" t="n">
        <v>3</v>
      </c>
      <c r="L107" s="83" t="n">
        <v>3</v>
      </c>
      <c r="M107" s="83" t="n">
        <v>3</v>
      </c>
      <c r="N107" s="84">
        <f>IF(COUNT(H107:M107)=6,SQRT(SUMSQ(H107:M107))/2,"")</f>
        <v/>
      </c>
      <c r="O107" s="83" t="n">
        <v>2</v>
      </c>
      <c r="P107" s="83" t="n">
        <v>2</v>
      </c>
      <c r="Q107" s="84">
        <f>P_SF</f>
        <v/>
      </c>
      <c r="R107" s="50">
        <f>IF(COUNT(N107:Q107)=4,N107*O107*P107*Q107,"")</f>
        <v/>
      </c>
      <c r="S107" s="41">
        <f>IF(R107="","unvollständig",IF(R107&gt;P_Grenze_kritisch,"kritisch",IF(R107&gt;=P_Grenze_hoch,"hoch",IF(R107&gt;=P_Grenze_mittel,"mittel","gering"))))</f>
        <v/>
      </c>
      <c r="T107" s="43">
        <f>IF(S107="unvollständig","Bewertung fehlt",INDEX(Kl_Intervall,MATCH(S107,Kl_Name,0)))</f>
        <v/>
      </c>
      <c r="U107" s="23">
        <f>T107</f>
        <v/>
      </c>
      <c r="V107" s="85">
        <f>IFERROR(INDEX(Iv_Wochen,MATCH(U107,Iv_Name,0)),"")</f>
        <v/>
      </c>
      <c r="W107" s="81" t="n"/>
      <c r="X107" s="43">
        <f>TRIM(IF(N(K107)&gt;=P_Krit,"AS ","")&amp;IF(N(J107)&gt;=P_Krit,"Q ","")&amp;IF(N(L107)&gt;=P_Krit,"US",""))</f>
        <v/>
      </c>
      <c r="Y107" s="19">
        <f>IF(ISNUMBER(I107),INDEX(IH_Text,I107),"")</f>
        <v/>
      </c>
      <c r="Z107" s="81" t="n"/>
      <c r="AA107" s="83" t="n"/>
      <c r="AB107" s="48">
        <f>IF(AND(ISNUMBER(V107),ISNUMBER(AA107)),52/V107*AA107/60,"")</f>
        <v/>
      </c>
      <c r="AC107" s="86" t="inlineStr">
        <is>
          <t>Hydraulikaggregat</t>
        </is>
      </c>
      <c r="AD107" s="86" t="inlineStr">
        <is>
          <t>25</t>
        </is>
      </c>
      <c r="AE107" s="86" t="inlineStr">
        <is>
          <t>Maßnahme</t>
        </is>
      </c>
      <c r="AF107" s="43" t="n"/>
      <c r="AG107" s="87" t="inlineStr">
        <is>
          <t>16.5</t>
        </is>
      </c>
      <c r="AH107" s="88" t="inlineStr">
        <is>
          <t>Prüfe Funktion der Ventile</t>
        </is>
      </c>
      <c r="AI107" s="86" t="n">
        <v>102</v>
      </c>
      <c r="AJ107" s="19">
        <f>IF(ISNUMBER(R107),R107-AI107/100000,"")</f>
        <v/>
      </c>
    </row>
    <row r="108" ht="32" customHeight="1">
      <c r="A108" s="80" t="inlineStr">
        <is>
          <t>16.6</t>
        </is>
      </c>
      <c r="B108" s="19" t="inlineStr">
        <is>
          <t>Dichtungen zwischen den Hydraulikventilen auf Öl-Leckage prüfen (Sichtkontrolle)</t>
        </is>
      </c>
      <c r="C108" s="81" t="inlineStr">
        <is>
          <t>Inspektion</t>
        </is>
      </c>
      <c r="D108" s="82" t="n"/>
      <c r="E108" s="19" t="n"/>
      <c r="F108" s="19" t="n"/>
      <c r="G108" s="89" t="inlineStr">
        <is>
          <t>Keine Öl-Leckage</t>
        </is>
      </c>
      <c r="H108" s="83" t="n">
        <v>3</v>
      </c>
      <c r="I108" s="83" t="n">
        <v>4</v>
      </c>
      <c r="J108" s="83" t="n">
        <v>3</v>
      </c>
      <c r="K108" s="83" t="n">
        <v>3</v>
      </c>
      <c r="L108" s="83" t="n">
        <v>4</v>
      </c>
      <c r="M108" s="83" t="n">
        <v>3</v>
      </c>
      <c r="N108" s="84">
        <f>IF(COUNT(H108:M108)=6,SQRT(SUMSQ(H108:M108))/2,"")</f>
        <v/>
      </c>
      <c r="O108" s="83" t="n">
        <v>2</v>
      </c>
      <c r="P108" s="83" t="n">
        <v>2</v>
      </c>
      <c r="Q108" s="84">
        <f>P_SF</f>
        <v/>
      </c>
      <c r="R108" s="50">
        <f>IF(COUNT(N108:Q108)=4,N108*O108*P108*Q108,"")</f>
        <v/>
      </c>
      <c r="S108" s="41">
        <f>IF(R108="","unvollständig",IF(R108&gt;P_Grenze_kritisch,"kritisch",IF(R108&gt;=P_Grenze_hoch,"hoch",IF(R108&gt;=P_Grenze_mittel,"mittel","gering"))))</f>
        <v/>
      </c>
      <c r="T108" s="43">
        <f>IF(S108="unvollständig","Bewertung fehlt",INDEX(Kl_Intervall,MATCH(S108,Kl_Name,0)))</f>
        <v/>
      </c>
      <c r="U108" s="23">
        <f>T108</f>
        <v/>
      </c>
      <c r="V108" s="85">
        <f>IFERROR(INDEX(Iv_Wochen,MATCH(U108,Iv_Name,0)),"")</f>
        <v/>
      </c>
      <c r="W108" s="81" t="n"/>
      <c r="X108" s="43">
        <f>TRIM(IF(N(K108)&gt;=P_Krit,"AS ","")&amp;IF(N(J108)&gt;=P_Krit,"Q ","")&amp;IF(N(L108)&gt;=P_Krit,"US",""))</f>
        <v/>
      </c>
      <c r="Y108" s="19">
        <f>IF(ISNUMBER(I108),INDEX(IH_Text,I108),"")</f>
        <v/>
      </c>
      <c r="Z108" s="81" t="n"/>
      <c r="AA108" s="83" t="n"/>
      <c r="AB108" s="48">
        <f>IF(AND(ISNUMBER(V108),ISNUMBER(AA108)),52/V108*AA108/60,"")</f>
        <v/>
      </c>
      <c r="AC108" s="86" t="inlineStr">
        <is>
          <t>Hydraulikaggregat</t>
        </is>
      </c>
      <c r="AD108" s="86" t="inlineStr">
        <is>
          <t>25</t>
        </is>
      </c>
      <c r="AE108" s="86" t="inlineStr">
        <is>
          <t>Maßnahme</t>
        </is>
      </c>
      <c r="AF108" s="43" t="n"/>
      <c r="AG108" s="87" t="inlineStr">
        <is>
          <t>16.6</t>
        </is>
      </c>
      <c r="AH108" s="88" t="inlineStr">
        <is>
          <t>Prüfe Dichtungen zwischen Hydraulikventile auf Öl-Leckage (Sichtkontrolle)</t>
        </is>
      </c>
      <c r="AI108" s="86" t="n">
        <v>103</v>
      </c>
      <c r="AJ108" s="19">
        <f>IF(ISNUMBER(R108),R108-AI108/100000,"")</f>
        <v/>
      </c>
    </row>
    <row r="109" ht="19" customHeight="1">
      <c r="A109" s="80" t="inlineStr">
        <is>
          <t>16.7</t>
        </is>
      </c>
      <c r="B109" s="19" t="inlineStr">
        <is>
          <t>Festsitz der elektrischen Anschlüsse prüfen</t>
        </is>
      </c>
      <c r="C109" s="81" t="inlineStr">
        <is>
          <t>Inspektion</t>
        </is>
      </c>
      <c r="D109" s="82" t="n"/>
      <c r="E109" s="19" t="n"/>
      <c r="F109" s="19" t="n"/>
      <c r="G109" s="89" t="inlineStr">
        <is>
          <t>Alle Anschlüsse fest</t>
        </is>
      </c>
      <c r="H109" s="83" t="n">
        <v>2</v>
      </c>
      <c r="I109" s="83" t="n">
        <v>3</v>
      </c>
      <c r="J109" s="83" t="n">
        <v>1</v>
      </c>
      <c r="K109" s="83" t="n">
        <v>4</v>
      </c>
      <c r="L109" s="83" t="n">
        <v>1</v>
      </c>
      <c r="M109" s="83" t="n">
        <v>2</v>
      </c>
      <c r="N109" s="84">
        <f>IF(COUNT(H109:M109)=6,SQRT(SUMSQ(H109:M109))/2,"")</f>
        <v/>
      </c>
      <c r="O109" s="83" t="n">
        <v>2</v>
      </c>
      <c r="P109" s="83" t="n">
        <v>2</v>
      </c>
      <c r="Q109" s="84">
        <f>P_SF</f>
        <v/>
      </c>
      <c r="R109" s="50">
        <f>IF(COUNT(N109:Q109)=4,N109*O109*P109*Q109,"")</f>
        <v/>
      </c>
      <c r="S109" s="41">
        <f>IF(R109="","unvollständig",IF(R109&gt;P_Grenze_kritisch,"kritisch",IF(R109&gt;=P_Grenze_hoch,"hoch",IF(R109&gt;=P_Grenze_mittel,"mittel","gering"))))</f>
        <v/>
      </c>
      <c r="T109" s="43">
        <f>IF(S109="unvollständig","Bewertung fehlt",INDEX(Kl_Intervall,MATCH(S109,Kl_Name,0)))</f>
        <v/>
      </c>
      <c r="U109" s="23">
        <f>T109</f>
        <v/>
      </c>
      <c r="V109" s="85">
        <f>IFERROR(INDEX(Iv_Wochen,MATCH(U109,Iv_Name,0)),"")</f>
        <v/>
      </c>
      <c r="W109" s="81" t="n"/>
      <c r="X109" s="43">
        <f>TRIM(IF(N(K109)&gt;=P_Krit,"AS ","")&amp;IF(N(J109)&gt;=P_Krit,"Q ","")&amp;IF(N(L109)&gt;=P_Krit,"US",""))</f>
        <v/>
      </c>
      <c r="Y109" s="19">
        <f>IF(ISNUMBER(I109),INDEX(IH_Text,I109),"")</f>
        <v/>
      </c>
      <c r="Z109" s="81" t="n"/>
      <c r="AA109" s="83" t="n"/>
      <c r="AB109" s="48">
        <f>IF(AND(ISNUMBER(V109),ISNUMBER(AA109)),52/V109*AA109/60,"")</f>
        <v/>
      </c>
      <c r="AC109" s="86" t="inlineStr">
        <is>
          <t>Hydraulikaggregat</t>
        </is>
      </c>
      <c r="AD109" s="86" t="inlineStr">
        <is>
          <t>25</t>
        </is>
      </c>
      <c r="AE109" s="86" t="inlineStr">
        <is>
          <t>Maßnahme</t>
        </is>
      </c>
      <c r="AF109" s="43" t="n"/>
      <c r="AG109" s="87" t="inlineStr">
        <is>
          <t>16.7</t>
        </is>
      </c>
      <c r="AH109" s="88" t="inlineStr">
        <is>
          <t xml:space="preserve">Prüfe Festsitz der elektr. Anschlüsse  </t>
        </is>
      </c>
      <c r="AI109" s="86" t="n">
        <v>104</v>
      </c>
      <c r="AJ109" s="19">
        <f>IF(ISNUMBER(R109),R109-AI109/100000,"")</f>
        <v/>
      </c>
    </row>
    <row r="110" ht="20" customHeight="1">
      <c r="A110" s="74" t="inlineStr">
        <is>
          <t>17</t>
        </is>
      </c>
      <c r="B110" s="75" t="inlineStr">
        <is>
          <t>Hydraulik-Druckfilter (mit Filtereinsatz)</t>
        </is>
      </c>
      <c r="C110" s="75" t="n"/>
      <c r="D110" s="76" t="n"/>
      <c r="E110" s="75" t="n"/>
      <c r="F110" s="75" t="n"/>
      <c r="G110" s="75" t="n"/>
      <c r="H110" s="75" t="n"/>
      <c r="I110" s="75" t="n"/>
      <c r="J110" s="75" t="n"/>
      <c r="K110" s="75" t="n"/>
      <c r="L110" s="75" t="n"/>
      <c r="M110" s="75" t="n"/>
      <c r="N110" s="75" t="n"/>
      <c r="O110" s="75" t="n"/>
      <c r="P110" s="75" t="n"/>
      <c r="Q110" s="75" t="n"/>
      <c r="R110" s="75" t="n"/>
      <c r="S110" s="75" t="n"/>
      <c r="T110" s="75" t="n"/>
      <c r="U110" s="75" t="n"/>
      <c r="V110" s="75" t="n"/>
      <c r="W110" s="75" t="n"/>
      <c r="X110" s="75" t="n"/>
      <c r="Y110" s="75" t="n"/>
      <c r="Z110" s="75" t="n"/>
      <c r="AA110" s="75" t="n"/>
      <c r="AB110" s="75" t="n"/>
      <c r="AC110" s="77" t="inlineStr">
        <is>
          <t>Hydraulik-Druckfilter (mit Filtereinsatz)</t>
        </is>
      </c>
      <c r="AD110" s="77" t="inlineStr">
        <is>
          <t>26</t>
        </is>
      </c>
      <c r="AE110" s="77" t="inlineStr">
        <is>
          <t>Baugruppe</t>
        </is>
      </c>
      <c r="AF110" s="75" t="n"/>
      <c r="AG110" s="78" t="inlineStr">
        <is>
          <t>17</t>
        </is>
      </c>
      <c r="AH110" s="79" t="inlineStr">
        <is>
          <t>26.) Hydraulik-Druckfilter (mit Filtereinsatz) prüfe auf Leckage</t>
        </is>
      </c>
      <c r="AI110" s="77" t="n">
        <v>105</v>
      </c>
      <c r="AJ110" s="75" t="n"/>
    </row>
    <row r="111" ht="32" customHeight="1">
      <c r="A111" s="80" t="inlineStr">
        <is>
          <t>17.1</t>
        </is>
      </c>
      <c r="B111" s="19" t="inlineStr">
        <is>
          <t>Druckfilter auf Leckage prüfen</t>
        </is>
      </c>
      <c r="C111" s="81" t="inlineStr">
        <is>
          <t>Inspektion</t>
        </is>
      </c>
      <c r="D111" s="82" t="n"/>
      <c r="E111" s="19" t="n"/>
      <c r="F111" s="19" t="n"/>
      <c r="G111" s="89" t="inlineStr">
        <is>
          <t>Keine Leckage; Verschmutzungsanzeige im grünen Bereich</t>
        </is>
      </c>
      <c r="H111" s="83" t="n"/>
      <c r="I111" s="83" t="n"/>
      <c r="J111" s="83" t="n"/>
      <c r="K111" s="83" t="n"/>
      <c r="L111" s="83" t="n"/>
      <c r="M111" s="83" t="n"/>
      <c r="N111" s="84">
        <f>IF(COUNT(H111:M111)=6,SQRT(SUMSQ(H111:M111))/2,"")</f>
        <v/>
      </c>
      <c r="O111" s="83" t="n"/>
      <c r="P111" s="83" t="n"/>
      <c r="Q111" s="84">
        <f>P_SF</f>
        <v/>
      </c>
      <c r="R111" s="50">
        <f>IF(COUNT(N111:Q111)=4,N111*O111*P111*Q111,"")</f>
        <v/>
      </c>
      <c r="S111" s="41">
        <f>IF(R111="","unvollständig",IF(R111&gt;P_Grenze_kritisch,"kritisch",IF(R111&gt;=P_Grenze_hoch,"hoch",IF(R111&gt;=P_Grenze_mittel,"mittel","gering"))))</f>
        <v/>
      </c>
      <c r="T111" s="43">
        <f>IF(S111="unvollständig","Bewertung fehlt",INDEX(Kl_Intervall,MATCH(S111,Kl_Name,0)))</f>
        <v/>
      </c>
      <c r="U111" s="23">
        <f>T111</f>
        <v/>
      </c>
      <c r="V111" s="85">
        <f>IFERROR(INDEX(Iv_Wochen,MATCH(U111,Iv_Name,0)),"")</f>
        <v/>
      </c>
      <c r="W111" s="81" t="n"/>
      <c r="X111" s="43">
        <f>TRIM(IF(N(K111)&gt;=P_Krit,"AS ","")&amp;IF(N(J111)&gt;=P_Krit,"Q ","")&amp;IF(N(L111)&gt;=P_Krit,"US",""))</f>
        <v/>
      </c>
      <c r="Y111" s="19">
        <f>IF(ISNUMBER(I111),INDEX(IH_Text,I111),"")</f>
        <v/>
      </c>
      <c r="Z111" s="81" t="n"/>
      <c r="AA111" s="83" t="n"/>
      <c r="AB111" s="48">
        <f>IF(AND(ISNUMBER(V111),ISNUMBER(AA111)),52/V111*AA111/60,"")</f>
        <v/>
      </c>
      <c r="AC111" s="86" t="inlineStr">
        <is>
          <t>Hydraulik-Druckfilter (mit Filtereinsatz)</t>
        </is>
      </c>
      <c r="AD111" s="86" t="inlineStr">
        <is>
          <t>26</t>
        </is>
      </c>
      <c r="AE111" s="86" t="inlineStr">
        <is>
          <t>Maßnahme</t>
        </is>
      </c>
      <c r="AF111" s="43" t="n"/>
      <c r="AG111" s="87" t="inlineStr">
        <is>
          <t>17</t>
        </is>
      </c>
      <c r="AH111" s="88" t="inlineStr">
        <is>
          <t>26.) Hydraulik-Druckfilter (mit Filtereinsatz) prüfe auf Leckage</t>
        </is>
      </c>
      <c r="AI111" s="86" t="n">
        <v>106</v>
      </c>
      <c r="AJ111" s="19">
        <f>IF(ISNUMBER(R111),R111-AI111/100000,"")</f>
        <v/>
      </c>
    </row>
    <row r="112" ht="20" customHeight="1">
      <c r="A112" s="74" t="inlineStr">
        <is>
          <t>18</t>
        </is>
      </c>
      <c r="B112" s="75" t="inlineStr">
        <is>
          <t>Druckübersetzer</t>
        </is>
      </c>
      <c r="C112" s="75" t="n"/>
      <c r="D112" s="76" t="n"/>
      <c r="E112" s="75" t="n"/>
      <c r="F112" s="75" t="n"/>
      <c r="G112" s="75" t="n"/>
      <c r="H112" s="75" t="n"/>
      <c r="I112" s="75" t="n"/>
      <c r="J112" s="75" t="n"/>
      <c r="K112" s="75" t="n"/>
      <c r="L112" s="75" t="n"/>
      <c r="M112" s="75" t="n"/>
      <c r="N112" s="75" t="n"/>
      <c r="O112" s="75" t="n"/>
      <c r="P112" s="75" t="n"/>
      <c r="Q112" s="75" t="n"/>
      <c r="R112" s="75" t="n"/>
      <c r="S112" s="75" t="n"/>
      <c r="T112" s="75" t="n"/>
      <c r="U112" s="75" t="n"/>
      <c r="V112" s="75" t="n"/>
      <c r="W112" s="75" t="n"/>
      <c r="X112" s="75" t="n"/>
      <c r="Y112" s="75" t="n"/>
      <c r="Z112" s="75" t="n"/>
      <c r="AA112" s="75" t="n"/>
      <c r="AB112" s="75" t="n"/>
      <c r="AC112" s="77" t="inlineStr">
        <is>
          <t>Druckübersetzer</t>
        </is>
      </c>
      <c r="AD112" s="77" t="inlineStr">
        <is>
          <t>30</t>
        </is>
      </c>
      <c r="AE112" s="77" t="inlineStr">
        <is>
          <t>Baugruppe</t>
        </is>
      </c>
      <c r="AF112" s="75" t="n"/>
      <c r="AG112" s="78" t="inlineStr">
        <is>
          <t>18</t>
        </is>
      </c>
      <c r="AH112" s="79" t="inlineStr">
        <is>
          <t>30.) Druckübersetzer</t>
        </is>
      </c>
      <c r="AI112" s="77" t="n">
        <v>107</v>
      </c>
      <c r="AJ112" s="75" t="n"/>
    </row>
    <row r="113" ht="32" customHeight="1">
      <c r="A113" s="80" t="inlineStr">
        <is>
          <t>18.1</t>
        </is>
      </c>
      <c r="B113" s="19" t="inlineStr">
        <is>
          <t>Hydraulik- und Wasseranschlüsse auf Dichtheit und Beschädigungen prüfen</t>
        </is>
      </c>
      <c r="C113" s="81" t="inlineStr">
        <is>
          <t>Inspektion</t>
        </is>
      </c>
      <c r="D113" s="82" t="n"/>
      <c r="E113" s="19" t="n"/>
      <c r="F113" s="19" t="n"/>
      <c r="G113" s="89" t="inlineStr">
        <is>
          <t>Dicht, unbeschädigt</t>
        </is>
      </c>
      <c r="H113" s="83" t="n">
        <v>5</v>
      </c>
      <c r="I113" s="83" t="n">
        <v>5</v>
      </c>
      <c r="J113" s="83" t="n">
        <v>3</v>
      </c>
      <c r="K113" s="83" t="n">
        <v>3</v>
      </c>
      <c r="L113" s="83" t="n">
        <v>2</v>
      </c>
      <c r="M113" s="83" t="n">
        <v>3</v>
      </c>
      <c r="N113" s="84">
        <f>IF(COUNT(H113:M113)=6,SQRT(SUMSQ(H113:M113))/2,"")</f>
        <v/>
      </c>
      <c r="O113" s="83" t="n">
        <v>2</v>
      </c>
      <c r="P113" s="83" t="n">
        <v>4</v>
      </c>
      <c r="Q113" s="84">
        <f>P_SF</f>
        <v/>
      </c>
      <c r="R113" s="50">
        <f>IF(COUNT(N113:Q113)=4,N113*O113*P113*Q113,"")</f>
        <v/>
      </c>
      <c r="S113" s="41">
        <f>IF(R113="","unvollständig",IF(R113&gt;P_Grenze_kritisch,"kritisch",IF(R113&gt;=P_Grenze_hoch,"hoch",IF(R113&gt;=P_Grenze_mittel,"mittel","gering"))))</f>
        <v/>
      </c>
      <c r="T113" s="43">
        <f>IF(S113="unvollständig","Bewertung fehlt",INDEX(Kl_Intervall,MATCH(S113,Kl_Name,0)))</f>
        <v/>
      </c>
      <c r="U113" s="23">
        <f>T113</f>
        <v/>
      </c>
      <c r="V113" s="85">
        <f>IFERROR(INDEX(Iv_Wochen,MATCH(U113,Iv_Name,0)),"")</f>
        <v/>
      </c>
      <c r="W113" s="81" t="n"/>
      <c r="X113" s="43">
        <f>TRIM(IF(N(K113)&gt;=P_Krit,"AS ","")&amp;IF(N(J113)&gt;=P_Krit,"Q ","")&amp;IF(N(L113)&gt;=P_Krit,"US",""))</f>
        <v/>
      </c>
      <c r="Y113" s="19">
        <f>IF(ISNUMBER(I113),INDEX(IH_Text,I113),"")</f>
        <v/>
      </c>
      <c r="Z113" s="81" t="n"/>
      <c r="AA113" s="83" t="n"/>
      <c r="AB113" s="48">
        <f>IF(AND(ISNUMBER(V113),ISNUMBER(AA113)),52/V113*AA113/60,"")</f>
        <v/>
      </c>
      <c r="AC113" s="86" t="inlineStr">
        <is>
          <t>Druckübersetzer</t>
        </is>
      </c>
      <c r="AD113" s="86" t="inlineStr">
        <is>
          <t>30</t>
        </is>
      </c>
      <c r="AE113" s="86" t="inlineStr">
        <is>
          <t>Maßnahme</t>
        </is>
      </c>
      <c r="AF113" s="43" t="n"/>
      <c r="AG113" s="87" t="inlineStr">
        <is>
          <t>18.1</t>
        </is>
      </c>
      <c r="AH113" s="88" t="inlineStr">
        <is>
          <t>Hydraulikanschlüsse/Wasseranschlüsse auf Dichtheit und Beschädigungen prüfen</t>
        </is>
      </c>
      <c r="AI113" s="86" t="n">
        <v>108</v>
      </c>
      <c r="AJ113" s="19">
        <f>IF(ISNUMBER(R113),R113-AI113/100000,"")</f>
        <v/>
      </c>
    </row>
    <row r="114" ht="19" customHeight="1">
      <c r="A114" s="80" t="inlineStr">
        <is>
          <t>18.2</t>
        </is>
      </c>
      <c r="B114" s="19" t="inlineStr">
        <is>
          <t>Druckübersetzer auf Dichtheit prüfen</t>
        </is>
      </c>
      <c r="C114" s="81" t="inlineStr">
        <is>
          <t>Inspektion</t>
        </is>
      </c>
      <c r="D114" s="82" t="inlineStr">
        <is>
          <t>ℹ Hinweis beachten</t>
        </is>
      </c>
      <c r="E114" s="19" t="n"/>
      <c r="F114" s="19" t="n"/>
      <c r="G114" s="89" t="inlineStr">
        <is>
          <t>Keine Leckage</t>
        </is>
      </c>
      <c r="H114" s="83" t="n">
        <v>5</v>
      </c>
      <c r="I114" s="83" t="n">
        <v>5</v>
      </c>
      <c r="J114" s="83" t="n">
        <v>3</v>
      </c>
      <c r="K114" s="83" t="n">
        <v>3</v>
      </c>
      <c r="L114" s="83" t="n">
        <v>2</v>
      </c>
      <c r="M114" s="83" t="n">
        <v>3</v>
      </c>
      <c r="N114" s="84">
        <f>IF(COUNT(H114:M114)=6,SQRT(SUMSQ(H114:M114))/2,"")</f>
        <v/>
      </c>
      <c r="O114" s="83" t="n">
        <v>2</v>
      </c>
      <c r="P114" s="83" t="n">
        <v>4</v>
      </c>
      <c r="Q114" s="84">
        <f>P_SF</f>
        <v/>
      </c>
      <c r="R114" s="50">
        <f>IF(COUNT(N114:Q114)=4,N114*O114*P114*Q114,"")</f>
        <v/>
      </c>
      <c r="S114" s="41">
        <f>IF(R114="","unvollständig",IF(R114&gt;P_Grenze_kritisch,"kritisch",IF(R114&gt;=P_Grenze_hoch,"hoch",IF(R114&gt;=P_Grenze_mittel,"mittel","gering"))))</f>
        <v/>
      </c>
      <c r="T114" s="43">
        <f>IF(S114="unvollständig","Bewertung fehlt",INDEX(Kl_Intervall,MATCH(S114,Kl_Name,0)))</f>
        <v/>
      </c>
      <c r="U114" s="23">
        <f>T114</f>
        <v/>
      </c>
      <c r="V114" s="85">
        <f>IFERROR(INDEX(Iv_Wochen,MATCH(U114,Iv_Name,0)),"")</f>
        <v/>
      </c>
      <c r="W114" s="81" t="n"/>
      <c r="X114" s="43">
        <f>TRIM(IF(N(K114)&gt;=P_Krit,"AS ","")&amp;IF(N(J114)&gt;=P_Krit,"Q ","")&amp;IF(N(L114)&gt;=P_Krit,"US",""))</f>
        <v/>
      </c>
      <c r="Y114" s="19">
        <f>IF(ISNUMBER(I114),INDEX(IH_Text,I114),"")</f>
        <v/>
      </c>
      <c r="Z114" s="81" t="n"/>
      <c r="AA114" s="83" t="n"/>
      <c r="AB114" s="48">
        <f>IF(AND(ISNUMBER(V114),ISNUMBER(AA114)),52/V114*AA114/60,"")</f>
        <v/>
      </c>
      <c r="AC114" s="86" t="inlineStr">
        <is>
          <t>Druckübersetzer</t>
        </is>
      </c>
      <c r="AD114" s="86" t="inlineStr">
        <is>
          <t>30</t>
        </is>
      </c>
      <c r="AE114" s="86" t="inlineStr">
        <is>
          <t>Maßnahme</t>
        </is>
      </c>
      <c r="AF114" s="43" t="n"/>
      <c r="AG114" s="87" t="inlineStr">
        <is>
          <t>18.2</t>
        </is>
      </c>
      <c r="AH114" s="88" t="inlineStr">
        <is>
          <t>Überprüfe Druckübersetzer auf Dichtigkeit</t>
        </is>
      </c>
      <c r="AI114" s="86" t="n">
        <v>109</v>
      </c>
      <c r="AJ114" s="19">
        <f>IF(ISNUMBER(R114),R114-AI114/100000,"")</f>
        <v/>
      </c>
    </row>
    <row r="115" ht="20" customHeight="1">
      <c r="A115" s="74" t="inlineStr">
        <is>
          <t>19</t>
        </is>
      </c>
      <c r="B115" s="75" t="inlineStr">
        <is>
          <t>Schmierung allgemein (HSIM)</t>
        </is>
      </c>
      <c r="C115" s="75" t="n"/>
      <c r="D115" s="76" t="n"/>
      <c r="E115" s="75" t="n"/>
      <c r="F115" s="75" t="n"/>
      <c r="G115" s="75" t="n"/>
      <c r="H115" s="75" t="n"/>
      <c r="I115" s="75" t="n"/>
      <c r="J115" s="75" t="n"/>
      <c r="K115" s="75" t="n"/>
      <c r="L115" s="75" t="n"/>
      <c r="M115" s="75" t="n"/>
      <c r="N115" s="75" t="n"/>
      <c r="O115" s="75" t="n"/>
      <c r="P115" s="75" t="n"/>
      <c r="Q115" s="75" t="n"/>
      <c r="R115" s="75" t="n"/>
      <c r="S115" s="75" t="n"/>
      <c r="T115" s="75" t="n"/>
      <c r="U115" s="75" t="n"/>
      <c r="V115" s="75" t="n"/>
      <c r="W115" s="75" t="n"/>
      <c r="X115" s="75" t="n"/>
      <c r="Y115" s="75" t="n"/>
      <c r="Z115" s="75" t="n"/>
      <c r="AA115" s="75" t="n"/>
      <c r="AB115" s="75" t="n"/>
      <c r="AC115" s="77" t="inlineStr">
        <is>
          <t>Schmierung allgemein (HSIM)</t>
        </is>
      </c>
      <c r="AD115" s="77" t="inlineStr">
        <is>
          <t>–</t>
        </is>
      </c>
      <c r="AE115" s="77" t="inlineStr">
        <is>
          <t>Baugruppe</t>
        </is>
      </c>
      <c r="AF115" s="75" t="n"/>
      <c r="AG115" s="78" t="inlineStr">
        <is>
          <t>19</t>
        </is>
      </c>
      <c r="AH115" s="79" t="inlineStr">
        <is>
          <t>HSIM abschmieren allg.</t>
        </is>
      </c>
      <c r="AI115" s="77" t="n">
        <v>110</v>
      </c>
      <c r="AJ115" s="75" t="n"/>
    </row>
    <row r="116" ht="32" customHeight="1">
      <c r="A116" s="80" t="inlineStr">
        <is>
          <t>19.1</t>
        </is>
      </c>
      <c r="B116" s="19" t="inlineStr">
        <is>
          <t>Schmieren laut Schmierplan</t>
        </is>
      </c>
      <c r="C116" s="81" t="inlineStr">
        <is>
          <t>Schmierung</t>
        </is>
      </c>
      <c r="D116" s="82" t="inlineStr">
        <is>
          <t>ℹ Hinweis beachten</t>
        </is>
      </c>
      <c r="E116" s="19" t="n"/>
      <c r="F116" s="19" t="inlineStr">
        <is>
          <t>Schmierplan hängt an der Maschine</t>
        </is>
      </c>
      <c r="G116" s="89" t="inlineStr">
        <is>
          <t>Alle Schmierstellen laut Schmierplan versorgt</t>
        </is>
      </c>
      <c r="H116" s="83" t="n">
        <v>3</v>
      </c>
      <c r="I116" s="83" t="n">
        <v>3</v>
      </c>
      <c r="J116" s="83" t="n">
        <v>3</v>
      </c>
      <c r="K116" s="83" t="n">
        <v>3</v>
      </c>
      <c r="L116" s="83" t="n">
        <v>3</v>
      </c>
      <c r="M116" s="83" t="n">
        <v>3</v>
      </c>
      <c r="N116" s="84">
        <f>IF(COUNT(H116:M116)=6,SQRT(SUMSQ(H116:M116))/2,"")</f>
        <v/>
      </c>
      <c r="O116" s="83" t="n">
        <v>3</v>
      </c>
      <c r="P116" s="83" t="n">
        <v>2</v>
      </c>
      <c r="Q116" s="84">
        <f>P_SF</f>
        <v/>
      </c>
      <c r="R116" s="50">
        <f>IF(COUNT(N116:Q116)=4,N116*O116*P116*Q116,"")</f>
        <v/>
      </c>
      <c r="S116" s="41">
        <f>IF(R116="","unvollständig",IF(R116&gt;P_Grenze_kritisch,"kritisch",IF(R116&gt;=P_Grenze_hoch,"hoch",IF(R116&gt;=P_Grenze_mittel,"mittel","gering"))))</f>
        <v/>
      </c>
      <c r="T116" s="43">
        <f>IF(S116="unvollständig","Bewertung fehlt",INDEX(Kl_Intervall,MATCH(S116,Kl_Name,0)))</f>
        <v/>
      </c>
      <c r="U116" s="23">
        <f>T116</f>
        <v/>
      </c>
      <c r="V116" s="85">
        <f>IFERROR(INDEX(Iv_Wochen,MATCH(U116,Iv_Name,0)),"")</f>
        <v/>
      </c>
      <c r="W116" s="81" t="n"/>
      <c r="X116" s="43">
        <f>TRIM(IF(N(K116)&gt;=P_Krit,"AS ","")&amp;IF(N(J116)&gt;=P_Krit,"Q ","")&amp;IF(N(L116)&gt;=P_Krit,"US",""))</f>
        <v/>
      </c>
      <c r="Y116" s="19">
        <f>IF(ISNUMBER(I116),INDEX(IH_Text,I116),"")</f>
        <v/>
      </c>
      <c r="Z116" s="81" t="n"/>
      <c r="AA116" s="83" t="n"/>
      <c r="AB116" s="48">
        <f>IF(AND(ISNUMBER(V116),ISNUMBER(AA116)),52/V116*AA116/60,"")</f>
        <v/>
      </c>
      <c r="AC116" s="86" t="inlineStr">
        <is>
          <t>Schmierung allgemein (HSIM)</t>
        </is>
      </c>
      <c r="AD116" s="86" t="inlineStr">
        <is>
          <t>–</t>
        </is>
      </c>
      <c r="AE116" s="86" t="inlineStr">
        <is>
          <t>Maßnahme</t>
        </is>
      </c>
      <c r="AF116" s="43" t="n"/>
      <c r="AG116" s="87" t="inlineStr">
        <is>
          <t>19.1</t>
        </is>
      </c>
      <c r="AH116" s="88" t="inlineStr">
        <is>
          <t xml:space="preserve">Schmieren laut Schmierplan </t>
        </is>
      </c>
      <c r="AI116" s="86" t="n">
        <v>111</v>
      </c>
      <c r="AJ116" s="19">
        <f>IF(ISNUMBER(R116),R116-AI116/100000,"")</f>
        <v/>
      </c>
    </row>
    <row r="117" ht="45" customHeight="1">
      <c r="A117" s="80" t="inlineStr">
        <is>
          <t>19.2</t>
        </is>
      </c>
      <c r="B117" s="19" t="inlineStr">
        <is>
          <t>Führungen kontrollieren und schmieren</t>
        </is>
      </c>
      <c r="C117" s="81" t="inlineStr">
        <is>
          <t>Schmierung</t>
        </is>
      </c>
      <c r="D117" s="82" t="n"/>
      <c r="E117" s="19" t="n"/>
      <c r="F117" s="19" t="inlineStr">
        <is>
          <t>DTE 21; Profi Spezial Grease (Profi Star)</t>
        </is>
      </c>
      <c r="G117" s="89" t="inlineStr">
        <is>
          <t>Führungen mit ausreichendem Schmierfilm</t>
        </is>
      </c>
      <c r="H117" s="83" t="n">
        <v>3</v>
      </c>
      <c r="I117" s="83" t="n">
        <v>3</v>
      </c>
      <c r="J117" s="83" t="n">
        <v>3</v>
      </c>
      <c r="K117" s="83" t="n">
        <v>3</v>
      </c>
      <c r="L117" s="83" t="n">
        <v>3</v>
      </c>
      <c r="M117" s="83" t="n">
        <v>3</v>
      </c>
      <c r="N117" s="84">
        <f>IF(COUNT(H117:M117)=6,SQRT(SUMSQ(H117:M117))/2,"")</f>
        <v/>
      </c>
      <c r="O117" s="83" t="n">
        <v>3</v>
      </c>
      <c r="P117" s="83" t="n">
        <v>2</v>
      </c>
      <c r="Q117" s="84">
        <f>P_SF</f>
        <v/>
      </c>
      <c r="R117" s="50">
        <f>IF(COUNT(N117:Q117)=4,N117*O117*P117*Q117,"")</f>
        <v/>
      </c>
      <c r="S117" s="41">
        <f>IF(R117="","unvollständig",IF(R117&gt;P_Grenze_kritisch,"kritisch",IF(R117&gt;=P_Grenze_hoch,"hoch",IF(R117&gt;=P_Grenze_mittel,"mittel","gering"))))</f>
        <v/>
      </c>
      <c r="T117" s="43">
        <f>IF(S117="unvollständig","Bewertung fehlt",INDEX(Kl_Intervall,MATCH(S117,Kl_Name,0)))</f>
        <v/>
      </c>
      <c r="U117" s="23">
        <f>T117</f>
        <v/>
      </c>
      <c r="V117" s="85">
        <f>IFERROR(INDEX(Iv_Wochen,MATCH(U117,Iv_Name,0)),"")</f>
        <v/>
      </c>
      <c r="W117" s="81" t="n"/>
      <c r="X117" s="43">
        <f>TRIM(IF(N(K117)&gt;=P_Krit,"AS ","")&amp;IF(N(J117)&gt;=P_Krit,"Q ","")&amp;IF(N(L117)&gt;=P_Krit,"US",""))</f>
        <v/>
      </c>
      <c r="Y117" s="19">
        <f>IF(ISNUMBER(I117),INDEX(IH_Text,I117),"")</f>
        <v/>
      </c>
      <c r="Z117" s="81" t="n"/>
      <c r="AA117" s="83" t="n"/>
      <c r="AB117" s="48">
        <f>IF(AND(ISNUMBER(V117),ISNUMBER(AA117)),52/V117*AA117/60,"")</f>
        <v/>
      </c>
      <c r="AC117" s="86" t="inlineStr">
        <is>
          <t>Schmierung allgemein (HSIM)</t>
        </is>
      </c>
      <c r="AD117" s="86" t="inlineStr">
        <is>
          <t>–</t>
        </is>
      </c>
      <c r="AE117" s="86" t="inlineStr">
        <is>
          <t>Maßnahme</t>
        </is>
      </c>
      <c r="AF117" s="43" t="n"/>
      <c r="AG117" s="87" t="inlineStr">
        <is>
          <t>19.2</t>
        </is>
      </c>
      <c r="AH117" s="88" t="inlineStr">
        <is>
          <t>Kontrolle der Führungen &gt; schmieren mit DTE 21, Profi Spezial Grease (Profi Star)</t>
        </is>
      </c>
      <c r="AI117" s="86" t="n">
        <v>112</v>
      </c>
      <c r="AJ117" s="19">
        <f>IF(ISNUMBER(R117),R117-AI117/100000,"")</f>
        <v/>
      </c>
    </row>
    <row r="118" ht="20" customHeight="1">
      <c r="A118" s="74" t="inlineStr">
        <is>
          <t>20</t>
        </is>
      </c>
      <c r="B118" s="75" t="inlineStr">
        <is>
          <t>Schutzeinrichtungen</t>
        </is>
      </c>
      <c r="C118" s="75" t="n"/>
      <c r="D118" s="76" t="n"/>
      <c r="E118" s="75" t="n"/>
      <c r="F118" s="75" t="n"/>
      <c r="G118" s="75" t="n"/>
      <c r="H118" s="75" t="n"/>
      <c r="I118" s="75" t="n"/>
      <c r="J118" s="75" t="n"/>
      <c r="K118" s="75" t="n"/>
      <c r="L118" s="75" t="n"/>
      <c r="M118" s="75" t="n"/>
      <c r="N118" s="75" t="n"/>
      <c r="O118" s="75" t="n"/>
      <c r="P118" s="75" t="n"/>
      <c r="Q118" s="75" t="n"/>
      <c r="R118" s="75" t="n"/>
      <c r="S118" s="75" t="n"/>
      <c r="T118" s="75" t="n"/>
      <c r="U118" s="75" t="n"/>
      <c r="V118" s="75" t="n"/>
      <c r="W118" s="75" t="n"/>
      <c r="X118" s="75" t="n"/>
      <c r="Y118" s="75" t="n"/>
      <c r="Z118" s="75" t="n"/>
      <c r="AA118" s="75" t="n"/>
      <c r="AB118" s="75" t="n"/>
      <c r="AC118" s="77" t="inlineStr">
        <is>
          <t>Schutzeinrichtungen</t>
        </is>
      </c>
      <c r="AD118" s="77" t="inlineStr">
        <is>
          <t>–</t>
        </is>
      </c>
      <c r="AE118" s="77" t="inlineStr">
        <is>
          <t>Baugruppe</t>
        </is>
      </c>
      <c r="AF118" s="75" t="n"/>
      <c r="AG118" s="78" t="inlineStr">
        <is>
          <t>20</t>
        </is>
      </c>
      <c r="AH118" s="79" t="inlineStr">
        <is>
          <t>Schutzeinrichtungen</t>
        </is>
      </c>
      <c r="AI118" s="77" t="n">
        <v>113</v>
      </c>
      <c r="AJ118" s="75" t="n"/>
    </row>
    <row r="119" ht="45" customHeight="1">
      <c r="A119" s="80" t="inlineStr">
        <is>
          <t>20.1</t>
        </is>
      </c>
      <c r="B119" s="19" t="inlineStr">
        <is>
          <t>Sicherheitsschalter und Schutzeinrichtungen auf Funktion und Beschädigung prüfen</t>
        </is>
      </c>
      <c r="C119" s="81" t="inlineStr">
        <is>
          <t>Funktionsprüfung</t>
        </is>
      </c>
      <c r="D119" s="82" t="inlineStr">
        <is>
          <t>⚠ Gefahrenstelle</t>
        </is>
      </c>
      <c r="E119" s="19" t="n"/>
      <c r="F119" s="19" t="n"/>
      <c r="G119" s="89" t="inlineStr">
        <is>
          <t>Alle Schutzeinrichtungen wirksam; Maschine stoppt bei Öffnen</t>
        </is>
      </c>
      <c r="H119" s="83" t="n">
        <v>2</v>
      </c>
      <c r="I119" s="83" t="n">
        <v>3</v>
      </c>
      <c r="J119" s="83" t="n">
        <v>1</v>
      </c>
      <c r="K119" s="83" t="n">
        <v>5</v>
      </c>
      <c r="L119" s="83" t="n">
        <v>1</v>
      </c>
      <c r="M119" s="83" t="n">
        <v>3</v>
      </c>
      <c r="N119" s="84">
        <f>IF(COUNT(H119:M119)=6,SQRT(SUMSQ(H119:M119))/2,"")</f>
        <v/>
      </c>
      <c r="O119" s="83" t="n">
        <v>2</v>
      </c>
      <c r="P119" s="83" t="n">
        <v>2</v>
      </c>
      <c r="Q119" s="84">
        <f>P_SF</f>
        <v/>
      </c>
      <c r="R119" s="50">
        <f>IF(COUNT(N119:Q119)=4,N119*O119*P119*Q119,"")</f>
        <v/>
      </c>
      <c r="S119" s="41">
        <f>IF(R119="","unvollständig",IF(R119&gt;P_Grenze_kritisch,"kritisch",IF(R119&gt;=P_Grenze_hoch,"hoch",IF(R119&gt;=P_Grenze_mittel,"mittel","gering"))))</f>
        <v/>
      </c>
      <c r="T119" s="43">
        <f>IF(S119="unvollständig","Bewertung fehlt",INDEX(Kl_Intervall,MATCH(S119,Kl_Name,0)))</f>
        <v/>
      </c>
      <c r="U119" s="23">
        <f>T119</f>
        <v/>
      </c>
      <c r="V119" s="85">
        <f>IFERROR(INDEX(Iv_Wochen,MATCH(U119,Iv_Name,0)),"")</f>
        <v/>
      </c>
      <c r="W119" s="81" t="n"/>
      <c r="X119" s="43">
        <f>TRIM(IF(N(K119)&gt;=P_Krit,"AS ","")&amp;IF(N(J119)&gt;=P_Krit,"Q ","")&amp;IF(N(L119)&gt;=P_Krit,"US",""))</f>
        <v/>
      </c>
      <c r="Y119" s="19">
        <f>IF(ISNUMBER(I119),INDEX(IH_Text,I119),"")</f>
        <v/>
      </c>
      <c r="Z119" s="81" t="n"/>
      <c r="AA119" s="83" t="n"/>
      <c r="AB119" s="48">
        <f>IF(AND(ISNUMBER(V119),ISNUMBER(AA119)),52/V119*AA119/60,"")</f>
        <v/>
      </c>
      <c r="AC119" s="86" t="inlineStr">
        <is>
          <t>Schutzeinrichtungen</t>
        </is>
      </c>
      <c r="AD119" s="86" t="inlineStr">
        <is>
          <t>–</t>
        </is>
      </c>
      <c r="AE119" s="86" t="inlineStr">
        <is>
          <t>Maßnahme</t>
        </is>
      </c>
      <c r="AF119" s="43" t="n"/>
      <c r="AG119" s="87" t="inlineStr">
        <is>
          <t>20.1</t>
        </is>
      </c>
      <c r="AH119" s="88" t="inlineStr">
        <is>
          <t>Prüfe Sicherheitsschalter und Schutzeinrichtungen auf Funktion und Beschädigung</t>
        </is>
      </c>
      <c r="AI119" s="86" t="n">
        <v>114</v>
      </c>
      <c r="AJ119" s="19">
        <f>IF(ISNUMBER(R119),R119-AI119/100000,"")</f>
        <v/>
      </c>
    </row>
    <row r="120" ht="20" customHeight="1">
      <c r="A120" s="74" t="inlineStr">
        <is>
          <t>21</t>
        </is>
      </c>
      <c r="B120" s="75" t="inlineStr">
        <is>
          <t>Kühlaggregat für Öl und Wasser</t>
        </is>
      </c>
      <c r="C120" s="75" t="n"/>
      <c r="D120" s="76" t="n"/>
      <c r="E120" s="75" t="n"/>
      <c r="F120" s="75" t="n"/>
      <c r="G120" s="75" t="n"/>
      <c r="H120" s="75" t="n"/>
      <c r="I120" s="75" t="n"/>
      <c r="J120" s="75" t="n"/>
      <c r="K120" s="75" t="n"/>
      <c r="L120" s="75" t="n"/>
      <c r="M120" s="75" t="n"/>
      <c r="N120" s="75" t="n"/>
      <c r="O120" s="75" t="n"/>
      <c r="P120" s="75" t="n"/>
      <c r="Q120" s="75" t="n"/>
      <c r="R120" s="75" t="n"/>
      <c r="S120" s="75" t="n"/>
      <c r="T120" s="75" t="n"/>
      <c r="U120" s="75" t="n"/>
      <c r="V120" s="75" t="n"/>
      <c r="W120" s="75" t="n"/>
      <c r="X120" s="75" t="n"/>
      <c r="Y120" s="75" t="n"/>
      <c r="Z120" s="75" t="n"/>
      <c r="AA120" s="75" t="n"/>
      <c r="AB120" s="75" t="n"/>
      <c r="AC120" s="77" t="inlineStr">
        <is>
          <t>Kühlaggregat für Öl und Wasser</t>
        </is>
      </c>
      <c r="AD120" s="77" t="inlineStr">
        <is>
          <t>–</t>
        </is>
      </c>
      <c r="AE120" s="77" t="inlineStr">
        <is>
          <t>Baugruppe</t>
        </is>
      </c>
      <c r="AF120" s="75" t="n"/>
      <c r="AG120" s="78" t="inlineStr">
        <is>
          <t>21</t>
        </is>
      </c>
      <c r="AH120" s="79" t="inlineStr">
        <is>
          <t>Kühlaggregat für Öl und für Wasser</t>
        </is>
      </c>
      <c r="AI120" s="77" t="n">
        <v>115</v>
      </c>
      <c r="AJ120" s="75" t="n"/>
    </row>
    <row r="121" ht="32" customHeight="1">
      <c r="A121" s="80" t="inlineStr">
        <is>
          <t>21.1</t>
        </is>
      </c>
      <c r="B121" s="19" t="inlineStr">
        <is>
          <t>Wasserstand und Wasserzustand prüfen (Farbe, Verunreinigung), ggf. nachfüllen</t>
        </is>
      </c>
      <c r="C121" s="81" t="inlineStr">
        <is>
          <t>Inspektion</t>
        </is>
      </c>
      <c r="D121" s="82" t="n"/>
      <c r="E121" s="19" t="n"/>
      <c r="F121" s="19" t="n"/>
      <c r="G121" s="89" t="inlineStr">
        <is>
          <t>Wasserstand i.O.; Wasser klar</t>
        </is>
      </c>
      <c r="H121" s="83" t="n">
        <v>4</v>
      </c>
      <c r="I121" s="83" t="n">
        <v>3</v>
      </c>
      <c r="J121" s="83" t="n">
        <v>4</v>
      </c>
      <c r="K121" s="83" t="n">
        <v>3</v>
      </c>
      <c r="L121" s="83" t="n">
        <v>3</v>
      </c>
      <c r="M121" s="83" t="n">
        <v>3</v>
      </c>
      <c r="N121" s="84">
        <f>IF(COUNT(H121:M121)=6,SQRT(SUMSQ(H121:M121))/2,"")</f>
        <v/>
      </c>
      <c r="O121" s="83" t="n">
        <v>2</v>
      </c>
      <c r="P121" s="83" t="n">
        <v>2</v>
      </c>
      <c r="Q121" s="84">
        <f>P_SF</f>
        <v/>
      </c>
      <c r="R121" s="50">
        <f>IF(COUNT(N121:Q121)=4,N121*O121*P121*Q121,"")</f>
        <v/>
      </c>
      <c r="S121" s="41">
        <f>IF(R121="","unvollständig",IF(R121&gt;P_Grenze_kritisch,"kritisch",IF(R121&gt;=P_Grenze_hoch,"hoch",IF(R121&gt;=P_Grenze_mittel,"mittel","gering"))))</f>
        <v/>
      </c>
      <c r="T121" s="43">
        <f>IF(S121="unvollständig","Bewertung fehlt",INDEX(Kl_Intervall,MATCH(S121,Kl_Name,0)))</f>
        <v/>
      </c>
      <c r="U121" s="23">
        <f>T121</f>
        <v/>
      </c>
      <c r="V121" s="85">
        <f>IFERROR(INDEX(Iv_Wochen,MATCH(U121,Iv_Name,0)),"")</f>
        <v/>
      </c>
      <c r="W121" s="81" t="n"/>
      <c r="X121" s="43">
        <f>TRIM(IF(N(K121)&gt;=P_Krit,"AS ","")&amp;IF(N(J121)&gt;=P_Krit,"Q ","")&amp;IF(N(L121)&gt;=P_Krit,"US",""))</f>
        <v/>
      </c>
      <c r="Y121" s="19">
        <f>IF(ISNUMBER(I121),INDEX(IH_Text,I121),"")</f>
        <v/>
      </c>
      <c r="Z121" s="81" t="n"/>
      <c r="AA121" s="83" t="n"/>
      <c r="AB121" s="48">
        <f>IF(AND(ISNUMBER(V121),ISNUMBER(AA121)),52/V121*AA121/60,"")</f>
        <v/>
      </c>
      <c r="AC121" s="86" t="inlineStr">
        <is>
          <t>Kühlaggregat für Öl und Wasser</t>
        </is>
      </c>
      <c r="AD121" s="86" t="inlineStr">
        <is>
          <t>–</t>
        </is>
      </c>
      <c r="AE121" s="86" t="inlineStr">
        <is>
          <t>Maßnahme</t>
        </is>
      </c>
      <c r="AF121" s="43" t="n"/>
      <c r="AG121" s="87" t="inlineStr">
        <is>
          <t>21.1</t>
        </is>
      </c>
      <c r="AH121" s="88" t="inlineStr">
        <is>
          <t>Prüfe Wasserstand und Zustand (Farbe, Verunreinigung) ggf. nachfüllen</t>
        </is>
      </c>
      <c r="AI121" s="86" t="n">
        <v>116</v>
      </c>
      <c r="AJ121" s="19">
        <f>IF(ISNUMBER(R121),R121-AI121/100000,"")</f>
        <v/>
      </c>
    </row>
    <row r="122" ht="32" customHeight="1">
      <c r="A122" s="80" t="inlineStr">
        <is>
          <t>21.2</t>
        </is>
      </c>
      <c r="B122" s="19" t="inlineStr">
        <is>
          <t>Wasser- und Hydraulikventile prüfen (Tätigkeit in der Vorversion nicht näher beschrieben)</t>
        </is>
      </c>
      <c r="C122" s="81" t="inlineStr">
        <is>
          <t>Inspektion</t>
        </is>
      </c>
      <c r="D122" s="82" t="n"/>
      <c r="E122" s="19" t="n"/>
      <c r="F122" s="19" t="n"/>
      <c r="G122" s="89" t="inlineStr">
        <is>
          <t>Ventile dicht und funktionsfähig</t>
        </is>
      </c>
      <c r="H122" s="83" t="n">
        <v>4</v>
      </c>
      <c r="I122" s="83" t="n">
        <v>3</v>
      </c>
      <c r="J122" s="83" t="n">
        <v>4</v>
      </c>
      <c r="K122" s="83" t="n">
        <v>3</v>
      </c>
      <c r="L122" s="83" t="n">
        <v>3</v>
      </c>
      <c r="M122" s="83" t="n">
        <v>3</v>
      </c>
      <c r="N122" s="84">
        <f>IF(COUNT(H122:M122)=6,SQRT(SUMSQ(H122:M122))/2,"")</f>
        <v/>
      </c>
      <c r="O122" s="83" t="n">
        <v>2</v>
      </c>
      <c r="P122" s="83" t="n">
        <v>2</v>
      </c>
      <c r="Q122" s="84">
        <f>P_SF</f>
        <v/>
      </c>
      <c r="R122" s="50">
        <f>IF(COUNT(N122:Q122)=4,N122*O122*P122*Q122,"")</f>
        <v/>
      </c>
      <c r="S122" s="41">
        <f>IF(R122="","unvollständig",IF(R122&gt;P_Grenze_kritisch,"kritisch",IF(R122&gt;=P_Grenze_hoch,"hoch",IF(R122&gt;=P_Grenze_mittel,"mittel","gering"))))</f>
        <v/>
      </c>
      <c r="T122" s="43">
        <f>IF(S122="unvollständig","Bewertung fehlt",INDEX(Kl_Intervall,MATCH(S122,Kl_Name,0)))</f>
        <v/>
      </c>
      <c r="U122" s="23">
        <f>T122</f>
        <v/>
      </c>
      <c r="V122" s="85">
        <f>IFERROR(INDEX(Iv_Wochen,MATCH(U122,Iv_Name,0)),"")</f>
        <v/>
      </c>
      <c r="W122" s="81" t="n"/>
      <c r="X122" s="43">
        <f>TRIM(IF(N(K122)&gt;=P_Krit,"AS ","")&amp;IF(N(J122)&gt;=P_Krit,"Q ","")&amp;IF(N(L122)&gt;=P_Krit,"US",""))</f>
        <v/>
      </c>
      <c r="Y122" s="19">
        <f>IF(ISNUMBER(I122),INDEX(IH_Text,I122),"")</f>
        <v/>
      </c>
      <c r="Z122" s="81" t="n"/>
      <c r="AA122" s="83" t="n"/>
      <c r="AB122" s="48">
        <f>IF(AND(ISNUMBER(V122),ISNUMBER(AA122)),52/V122*AA122/60,"")</f>
        <v/>
      </c>
      <c r="AC122" s="86" t="inlineStr">
        <is>
          <t>Kühlaggregat für Öl und Wasser</t>
        </is>
      </c>
      <c r="AD122" s="86" t="inlineStr">
        <is>
          <t>–</t>
        </is>
      </c>
      <c r="AE122" s="86" t="inlineStr">
        <is>
          <t>Maßnahme</t>
        </is>
      </c>
      <c r="AF122" s="43" t="n"/>
      <c r="AG122" s="87" t="inlineStr">
        <is>
          <t>21.2</t>
        </is>
      </c>
      <c r="AH122" s="88" t="inlineStr">
        <is>
          <t>Wasserventile und Hydraulikventile</t>
        </is>
      </c>
      <c r="AI122" s="86" t="n">
        <v>117</v>
      </c>
      <c r="AJ122" s="19">
        <f>IF(ISNUMBER(R122),R122-AI122/100000,"")</f>
        <v/>
      </c>
    </row>
    <row r="123" ht="80" customHeight="1">
      <c r="A123" s="80" t="inlineStr">
        <is>
          <t>21.3</t>
        </is>
      </c>
      <c r="B123" s="19" t="inlineStr">
        <is>
          <t>Wasser-/Hydraulikventile auf Funktion kontrollieren; Sichtkontrolle auf Leckage</t>
        </is>
      </c>
      <c r="C123" s="81" t="inlineStr">
        <is>
          <t>Funktionsprüfung</t>
        </is>
      </c>
      <c r="D123" s="82" t="n"/>
      <c r="E123" s="19" t="n"/>
      <c r="F123" s="19" t="n"/>
      <c r="G123" s="89" t="inlineStr">
        <is>
          <t>Ventile schalten; keine Leckage</t>
        </is>
      </c>
      <c r="H123" s="83" t="n">
        <v>4</v>
      </c>
      <c r="I123" s="83" t="n">
        <v>3</v>
      </c>
      <c r="J123" s="83" t="n">
        <v>4</v>
      </c>
      <c r="K123" s="83" t="n">
        <v>3</v>
      </c>
      <c r="L123" s="83" t="n">
        <v>3</v>
      </c>
      <c r="M123" s="83" t="n">
        <v>3</v>
      </c>
      <c r="N123" s="84">
        <f>IF(COUNT(H123:M123)=6,SQRT(SUMSQ(H123:M123))/2,"")</f>
        <v/>
      </c>
      <c r="O123" s="83" t="n">
        <v>2</v>
      </c>
      <c r="P123" s="83" t="n">
        <v>2</v>
      </c>
      <c r="Q123" s="84">
        <f>P_SF</f>
        <v/>
      </c>
      <c r="R123" s="50">
        <f>IF(COUNT(N123:Q123)=4,N123*O123*P123*Q123,"")</f>
        <v/>
      </c>
      <c r="S123" s="41">
        <f>IF(R123="","unvollständig",IF(R123&gt;P_Grenze_kritisch,"kritisch",IF(R123&gt;=P_Grenze_hoch,"hoch",IF(R123&gt;=P_Grenze_mittel,"mittel","gering"))))</f>
        <v/>
      </c>
      <c r="T123" s="43">
        <f>IF(S123="unvollständig","Bewertung fehlt",INDEX(Kl_Intervall,MATCH(S123,Kl_Name,0)))</f>
        <v/>
      </c>
      <c r="U123" s="23">
        <f>T123</f>
        <v/>
      </c>
      <c r="V123" s="85">
        <f>IFERROR(INDEX(Iv_Wochen,MATCH(U123,Iv_Name,0)),"")</f>
        <v/>
      </c>
      <c r="W123" s="81" t="n"/>
      <c r="X123" s="43">
        <f>TRIM(IF(N(K123)&gt;=P_Krit,"AS ","")&amp;IF(N(J123)&gt;=P_Krit,"Q ","")&amp;IF(N(L123)&gt;=P_Krit,"US",""))</f>
        <v/>
      </c>
      <c r="Y123" s="19">
        <f>IF(ISNUMBER(I123),INDEX(IH_Text,I123),"")</f>
        <v/>
      </c>
      <c r="Z123" s="81" t="n"/>
      <c r="AA123" s="83" t="n"/>
      <c r="AB123" s="48">
        <f>IF(AND(ISNUMBER(V123),ISNUMBER(AA123)),52/V123*AA123/60,"")</f>
        <v/>
      </c>
      <c r="AC123" s="86" t="inlineStr">
        <is>
          <t>Kühlaggregat für Öl und Wasser</t>
        </is>
      </c>
      <c r="AD123" s="86" t="inlineStr">
        <is>
          <t>–</t>
        </is>
      </c>
      <c r="AE123" s="86" t="inlineStr">
        <is>
          <t>Maßnahme</t>
        </is>
      </c>
      <c r="AF123" s="43" t="n"/>
      <c r="AG123" s="87" t="inlineStr">
        <is>
          <t>21.3</t>
        </is>
      </c>
      <c r="AH123" s="88" t="inlineStr">
        <is>
          <t>kontrolliere Wasser-Hydraulikventile auf Funktion, Sichtkontrolle auf Leckage</t>
        </is>
      </c>
      <c r="AI123" s="86" t="n">
        <v>118</v>
      </c>
      <c r="AJ123" s="19">
        <f>IF(ISNUMBER(R123),R123-AI123/100000,"")</f>
        <v/>
      </c>
    </row>
  </sheetData>
  <mergeCells count="6">
    <mergeCell ref="N4:R4"/>
    <mergeCell ref="AC4:AJ4"/>
    <mergeCell ref="H4:M4"/>
    <mergeCell ref="A4:G4"/>
    <mergeCell ref="S4:W4"/>
    <mergeCell ref="X4:AB4"/>
  </mergeCells>
  <conditionalFormatting sqref="S6:S323">
    <cfRule type="cellIs" priority="1" operator="equal" dxfId="0">
      <formula>"gering"</formula>
    </cfRule>
    <cfRule type="cellIs" priority="2" operator="equal" dxfId="1">
      <formula>"mittel"</formula>
    </cfRule>
    <cfRule type="cellIs" priority="3" operator="equal" dxfId="2">
      <formula>"hoch"</formula>
    </cfRule>
    <cfRule type="cellIs" priority="4" operator="equal" dxfId="3">
      <formula>"kritisch"</formula>
    </cfRule>
    <cfRule type="cellIs" priority="5" operator="equal" dxfId="4">
      <formula>"unvollständig"</formula>
    </cfRule>
  </conditionalFormatting>
  <conditionalFormatting sqref="T6:T323">
    <cfRule type="cellIs" priority="6" operator="equal" dxfId="5">
      <formula>"Bewertung fehlt"</formula>
    </cfRule>
  </conditionalFormatting>
  <conditionalFormatting sqref="U6:U323">
    <cfRule type="expression" priority="7" dxfId="6">
      <formula>AND(AE6="Maßnahme",U6&lt;&gt;T6)</formula>
    </cfRule>
  </conditionalFormatting>
  <conditionalFormatting sqref="H6:M323">
    <cfRule type="cellIs" priority="8" operator="equal" dxfId="7">
      <formula>5</formula>
    </cfRule>
    <cfRule type="cellIs" priority="9" operator="equal" dxfId="8">
      <formula>4</formula>
    </cfRule>
  </conditionalFormatting>
  <conditionalFormatting sqref="O6:P323">
    <cfRule type="cellIs" priority="10" operator="greaterThanOrEqual" dxfId="8">
      <formula>4</formula>
    </cfRule>
  </conditionalFormatting>
  <conditionalFormatting sqref="R6:R323">
    <cfRule type="dataBar" priority="11">
      <dataBar showValue="1">
        <cfvo type="num" val="0"/>
        <cfvo type="num" val="125"/>
        <color rgb="008EA9DB"/>
      </dataBar>
    </cfRule>
  </conditionalFormatting>
  <dataValidations count="13">
    <dataValidation sqref="H6:H323" showDropDown="0" showInputMessage="0" showErrorMessage="0" allowBlank="1" errorTitle="Ungültige Bewertung" error="Bitte ganze Zahl von 1 bis 5 eingeben (siehe Bewertungskatalog)." promptTitle="Bewertung F (1–5)" prompt="1 kaum wahrnehmbar · 2 gering · 3 mäßig · 4 hoch · 5 Anlage wird zerstört / Verschleiß enorm" type="whole" operator="between">
      <formula1>1</formula1>
      <formula2>5</formula2>
    </dataValidation>
    <dataValidation sqref="I6:I323" showDropDown="0" showInputMessage="0" showErrorMessage="0" allowBlank="1" errorTitle="Ungültige Bewertung" error="Bitte ganze Zahl von 1 bis 5 eingeben (siehe Bewertungskatalog)." promptTitle="Bewertung IH (1–5)" prompt="1 &lt;10 min, Bediener · 2 10–30 min, IH allein · 3 30–60 min, IH+Bediener · 4 1–3 h, ≥2 MA · 5 &gt;3 h, Spezialisten" type="whole" operator="between">
      <formula1>1</formula1>
      <formula2>5</formula2>
    </dataValidation>
    <dataValidation sqref="J6:J323" showDropDown="0" showInputMessage="0" showErrorMessage="0" allowBlank="1" errorTitle="Ungültige Bewertung" error="Bitte ganze Zahl von 1 bis 5 eingeben (siehe Bewertungskatalog)." promptTitle="Bewertung Q (1–5)" prompt="1 kaum wahrnehmbar · 2 gering · 3 mäßig · 4 Verärgerung des Kunden · 5 Verlust des Kunden" type="whole" operator="between">
      <formula1>1</formula1>
      <formula2>5</formula2>
    </dataValidation>
    <dataValidation sqref="K6:K323" showDropDown="0" showInputMessage="0" showErrorMessage="0" allowBlank="1" errorTitle="Ungültige Bewertung" error="Bitte ganze Zahl von 1 bis 5 eingeben (siehe Bewertungskatalog)." promptTitle="Bewertung AS (1–5)" prompt="1 kaum wahrnehmbar · 2 gering · 3 mäßig · 4 hoch · 5 Schaden an Leib und Leben" type="whole" operator="between">
      <formula1>1</formula1>
      <formula2>5</formula2>
    </dataValidation>
    <dataValidation sqref="L6:L323" showDropDown="0" showInputMessage="0" showErrorMessage="0" allowBlank="1" errorTitle="Ungültige Bewertung" error="Bitte ganze Zahl von 1 bis 5 eingeben (siehe Bewertungskatalog)." promptTitle="Bewertung US (1–5)" prompt="1 kaum wahrnehmbar · 2 gering · 3 mäßig · 4 hoch · 5 sehr hoch / Umweltschutzbehörde" type="whole" operator="between">
      <formula1>1</formula1>
      <formula2>5</formula2>
    </dataValidation>
    <dataValidation sqref="M6:M323" showDropDown="0" showInputMessage="0" showErrorMessage="0" allowBlank="1" errorTitle="Ungültige Bewertung" error="Bitte ganze Zahl von 1 bis 5 eingeben (siehe Bewertungskatalog)." promptTitle="Bewertung S (1–5)" prompt="1 kaum wahrnehmbar · 2 gering · 3 mäßig · 4 hoch · 5 Generalüberholung notwendig" type="whole" operator="between">
      <formula1>1</formula1>
      <formula2>5</formula2>
    </dataValidation>
    <dataValidation sqref="O6:O323" showDropDown="0" showInputMessage="0" showErrorMessage="0" allowBlank="1" errorTitle="Ungültige Bewertung" error="Bitte ganze Zahl von 1 bis 5 eingeben (siehe Bewertungskatalog)." promptTitle="Bewertung A (1–5)" prompt="1 &gt;3 Jahre · 2 &gt;1 Jahr · 3 4–12 Monate · 4 alle 8–16 Wochen · 5 alle 6–8 Wochen" type="whole" operator="between">
      <formula1>1</formula1>
      <formula2>5</formula2>
    </dataValidation>
    <dataValidation sqref="P6:P323" showDropDown="0" showInputMessage="0" showErrorMessage="0" allowBlank="1" errorTitle="Ungültige Bewertung" error="Bitte ganze Zahl von 1 bis 5 eingeben (siehe Bewertungskatalog)." promptTitle="Bewertung E (1–5)" prompt="Fehler wird entdeckt: 1 sofort · 2 nach 10 min · 3 nach 7 Std. · 4 nach 1 Woche · 5 nach 1 Monat" type="whole" operator="between">
      <formula1>1</formula1>
      <formula2>5</formula2>
    </dataValidation>
    <dataValidation sqref="Q6:Q323" showDropDown="0" showInputMessage="0" showErrorMessage="0" allowBlank="1" promptTitle="Schichtfaktor" prompt="Standard: Wert vom Deckblatt. Nur bei abweichender Nutzung dieser Baugruppe überschreiben (0,33/0,66/1)." type="decimal" operator="between">
      <formula1>0</formula1>
      <formula2>1</formula2>
    </dataValidation>
    <dataValidation sqref="U6:U323" showDropDown="0" showInputMessage="0" showErrorMessage="0" allowBlank="1" type="list">
      <formula1>=Iv_Name</formula1>
    </dataValidation>
    <dataValidation sqref="C6:C323" showDropDown="0" showInputMessage="0" showErrorMessage="0" allowBlank="1" type="list">
      <formula1>=L_Art</formula1>
    </dataValidation>
    <dataValidation sqref="Z6:Z323" showDropDown="0" showInputMessage="0" showErrorMessage="0" allowBlank="1" type="list">
      <formula1>=L_Ausfuehrung</formula1>
    </dataValidation>
    <dataValidation sqref="AA6:AA323" showDropDown="0" showInputMessage="0" showErrorMessage="0" allowBlank="1" type="whole" operator="between">
      <formula1>0</formula1>
      <formula2>10000</formula2>
    </dataValidation>
  </dataValidations>
  <printOptions horizontalCentered="1"/>
  <pageMargins left="0.4" right="0.4" top="0.6" bottom="0.6" header="0.5" footer="0.5"/>
  <pageSetup orientation="landscape" paperSize="8"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drawing xmlns:r="http://schemas.openxmlformats.org/officeDocument/2006/relationships" r:id="rId1"/>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2F5597"/>
    <outlinePr summaryBelow="1" summaryRight="1"/>
    <pageSetUpPr fitToPage="1"/>
  </sheetPr>
  <dimension ref="A1:M93"/>
  <sheetViews>
    <sheetView showGridLines="0"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48" customWidth="1" min="3" max="3"/>
    <col width="13" customWidth="1" min="4" max="4"/>
    <col width="9" customWidth="1" min="5" max="5"/>
    <col width="15" customWidth="1" min="6" max="6"/>
    <col width="12" customWidth="1" min="7" max="7"/>
    <col width="12" customWidth="1" min="8" max="8"/>
    <col width="10" customWidth="1" min="9" max="9"/>
    <col width="13" customWidth="1" min="10" max="10"/>
    <col width="16" customWidth="1" min="11" max="11"/>
    <col width="16" customWidth="1" min="12" max="12"/>
    <col width="34" customWidth="1" min="13" max="13"/>
  </cols>
  <sheetData>
    <row r="1">
      <c r="A1" s="56" t="inlineStr">
        <is>
          <t>Durchführungsnachweis – Status der Wartungsmaßnahmen</t>
        </is>
      </c>
    </row>
    <row r="2">
      <c r="A2" s="34">
        <f>"Maschine: "&amp;M_Name&amp;"   ·   Stichtag: "&amp;TEXT(TODAY(),"DD.MM.YYYY")&amp;"   ·   Vorwarnzeit: "&amp;P_Vorwarn&amp;" Tage"</f>
        <v/>
      </c>
    </row>
    <row r="3">
      <c r="A3" s="55" t="inlineStr">
        <is>
          <t>Nach jeder Durchführung Datum, Befund und Namen eintragen (gelbe Felder). Fälligkeit und Status werden automatisch berechnet. Für eine lückenlose Historie die Zeile vor dem Überschreiben z. B. in SAP-PM rückmelden oder als PDF archivieren.</t>
        </is>
      </c>
    </row>
    <row r="5" ht="32" customHeight="1">
      <c r="A5" s="12" t="inlineStr">
        <is>
          <t>Nr.</t>
        </is>
      </c>
      <c r="B5" s="12" t="inlineStr">
        <is>
          <t>Baugruppe</t>
        </is>
      </c>
      <c r="C5" s="12" t="inlineStr">
        <is>
          <t>Maßnahme</t>
        </is>
      </c>
      <c r="D5" s="12" t="inlineStr">
        <is>
          <t>Intervall festgelegt</t>
        </is>
      </c>
      <c r="E5" s="12" t="inlineStr">
        <is>
          <t>Intervall [Wochen]</t>
        </is>
      </c>
      <c r="F5" s="12" t="inlineStr">
        <is>
          <t>Ausführung durch</t>
        </is>
      </c>
      <c r="G5" s="12" t="inlineStr">
        <is>
          <t>Letzte Durchführung</t>
        </is>
      </c>
      <c r="H5" s="12" t="inlineStr">
        <is>
          <t>Nächste Fälligkeit</t>
        </is>
      </c>
      <c r="I5" s="12" t="inlineStr">
        <is>
          <t>Tage bis Fälligkeit</t>
        </is>
      </c>
      <c r="J5" s="12" t="inlineStr">
        <is>
          <t>Status</t>
        </is>
      </c>
      <c r="K5" s="12" t="inlineStr">
        <is>
          <t>Befund</t>
        </is>
      </c>
      <c r="L5" s="12" t="inlineStr">
        <is>
          <t>Durchgeführt von</t>
        </is>
      </c>
      <c r="M5" s="12" t="inlineStr">
        <is>
          <t>Bemerkung / Folgeauftrag (SAP-Nr.)</t>
        </is>
      </c>
    </row>
    <row r="6" ht="18" customHeight="1">
      <c r="A6" s="97" t="inlineStr">
        <is>
          <t>1.1</t>
        </is>
      </c>
      <c r="B6" s="15">
        <f>IFERROR(INDEX(Wartungsplan!$AC$6:$AC$323,MATCH($A6,Wartungsplan!$A$6:$A$323,0)),"")</f>
        <v/>
      </c>
      <c r="C6" s="15">
        <f>IFERROR(INDEX(Wartungsplan!$B$6:$B$323,MATCH($A6,Wartungsplan!$A$6:$A$323,0)),"")</f>
        <v/>
      </c>
      <c r="D6" s="43">
        <f>IFERROR(INDEX(Wartungsplan!$U$6:$U$323,MATCH($A6,Wartungsplan!$A$6:$A$323,0)),"")</f>
        <v/>
      </c>
      <c r="E6" s="85">
        <f>IFERROR(INDEX(Wartungsplan!$V$6:$V$323,MATCH($A6,Wartungsplan!$A$6:$A$323,0)),"")</f>
        <v/>
      </c>
      <c r="F6" s="43">
        <f>IFERROR(IF(INDEX(Wartungsplan!$Z$6:$Z$323,MATCH($A6,Wartungsplan!$A$6:$A$323,0))="","",INDEX(Wartungsplan!$Z$6:$Z$323,MATCH($A6,Wartungsplan!$A$6:$A$323,0))),"")</f>
        <v/>
      </c>
      <c r="G6" s="98" t="n"/>
      <c r="H6" s="99">
        <f>IF(OR(G6="",NOT(ISNUMBER(E6))),"",G6+E6*7)</f>
        <v/>
      </c>
      <c r="I6" s="47">
        <f>IF(H6="","",H6-TODAY())</f>
        <v/>
      </c>
      <c r="J6" s="43">
        <f>IF(NOT(ISNUMBER(E6)),"Intervall fehlt",IF(G6="","nicht erfasst",IF(I6&lt;0,"überfällig",IF(I6&lt;=P_Vorwarn,"bald fällig","in Ordnung"))))</f>
        <v/>
      </c>
      <c r="K6" s="83" t="n"/>
      <c r="L6" s="83" t="n"/>
      <c r="M6" s="6" t="n"/>
    </row>
    <row r="7" ht="18" customHeight="1">
      <c r="A7" s="97" t="inlineStr">
        <is>
          <t>2.1</t>
        </is>
      </c>
      <c r="B7" s="15">
        <f>IFERROR(INDEX(Wartungsplan!$AC$6:$AC$323,MATCH($A7,Wartungsplan!$A$6:$A$323,0)),"")</f>
        <v/>
      </c>
      <c r="C7" s="15">
        <f>IFERROR(INDEX(Wartungsplan!$B$6:$B$323,MATCH($A7,Wartungsplan!$A$6:$A$323,0)),"")</f>
        <v/>
      </c>
      <c r="D7" s="43">
        <f>IFERROR(INDEX(Wartungsplan!$U$6:$U$323,MATCH($A7,Wartungsplan!$A$6:$A$323,0)),"")</f>
        <v/>
      </c>
      <c r="E7" s="85">
        <f>IFERROR(INDEX(Wartungsplan!$V$6:$V$323,MATCH($A7,Wartungsplan!$A$6:$A$323,0)),"")</f>
        <v/>
      </c>
      <c r="F7" s="43">
        <f>IFERROR(IF(INDEX(Wartungsplan!$Z$6:$Z$323,MATCH($A7,Wartungsplan!$A$6:$A$323,0))="","",INDEX(Wartungsplan!$Z$6:$Z$323,MATCH($A7,Wartungsplan!$A$6:$A$323,0))),"")</f>
        <v/>
      </c>
      <c r="G7" s="98" t="n"/>
      <c r="H7" s="99">
        <f>IF(OR(G7="",NOT(ISNUMBER(E7))),"",G7+E7*7)</f>
        <v/>
      </c>
      <c r="I7" s="47">
        <f>IF(H7="","",H7-TODAY())</f>
        <v/>
      </c>
      <c r="J7" s="43">
        <f>IF(NOT(ISNUMBER(E7)),"Intervall fehlt",IF(G7="","nicht erfasst",IF(I7&lt;0,"überfällig",IF(I7&lt;=P_Vorwarn,"bald fällig","in Ordnung"))))</f>
        <v/>
      </c>
      <c r="K7" s="83" t="n"/>
      <c r="L7" s="83" t="n"/>
      <c r="M7" s="6" t="n"/>
    </row>
    <row r="8" ht="18" customHeight="1">
      <c r="A8" s="97" t="inlineStr">
        <is>
          <t>2.2</t>
        </is>
      </c>
      <c r="B8" s="15">
        <f>IFERROR(INDEX(Wartungsplan!$AC$6:$AC$323,MATCH($A8,Wartungsplan!$A$6:$A$323,0)),"")</f>
        <v/>
      </c>
      <c r="C8" s="15">
        <f>IFERROR(INDEX(Wartungsplan!$B$6:$B$323,MATCH($A8,Wartungsplan!$A$6:$A$323,0)),"")</f>
        <v/>
      </c>
      <c r="D8" s="43">
        <f>IFERROR(INDEX(Wartungsplan!$U$6:$U$323,MATCH($A8,Wartungsplan!$A$6:$A$323,0)),"")</f>
        <v/>
      </c>
      <c r="E8" s="85">
        <f>IFERROR(INDEX(Wartungsplan!$V$6:$V$323,MATCH($A8,Wartungsplan!$A$6:$A$323,0)),"")</f>
        <v/>
      </c>
      <c r="F8" s="43">
        <f>IFERROR(IF(INDEX(Wartungsplan!$Z$6:$Z$323,MATCH($A8,Wartungsplan!$A$6:$A$323,0))="","",INDEX(Wartungsplan!$Z$6:$Z$323,MATCH($A8,Wartungsplan!$A$6:$A$323,0))),"")</f>
        <v/>
      </c>
      <c r="G8" s="98" t="n"/>
      <c r="H8" s="99">
        <f>IF(OR(G8="",NOT(ISNUMBER(E8))),"",G8+E8*7)</f>
        <v/>
      </c>
      <c r="I8" s="47">
        <f>IF(H8="","",H8-TODAY())</f>
        <v/>
      </c>
      <c r="J8" s="43">
        <f>IF(NOT(ISNUMBER(E8)),"Intervall fehlt",IF(G8="","nicht erfasst",IF(I8&lt;0,"überfällig",IF(I8&lt;=P_Vorwarn,"bald fällig","in Ordnung"))))</f>
        <v/>
      </c>
      <c r="K8" s="83" t="n"/>
      <c r="L8" s="83" t="n"/>
      <c r="M8" s="6" t="n"/>
    </row>
    <row r="9" ht="30" customHeight="1">
      <c r="A9" s="97" t="inlineStr">
        <is>
          <t>2.3</t>
        </is>
      </c>
      <c r="B9" s="15">
        <f>IFERROR(INDEX(Wartungsplan!$AC$6:$AC$323,MATCH($A9,Wartungsplan!$A$6:$A$323,0)),"")</f>
        <v/>
      </c>
      <c r="C9" s="15">
        <f>IFERROR(INDEX(Wartungsplan!$B$6:$B$323,MATCH($A9,Wartungsplan!$A$6:$A$323,0)),"")</f>
        <v/>
      </c>
      <c r="D9" s="43">
        <f>IFERROR(INDEX(Wartungsplan!$U$6:$U$323,MATCH($A9,Wartungsplan!$A$6:$A$323,0)),"")</f>
        <v/>
      </c>
      <c r="E9" s="85">
        <f>IFERROR(INDEX(Wartungsplan!$V$6:$V$323,MATCH($A9,Wartungsplan!$A$6:$A$323,0)),"")</f>
        <v/>
      </c>
      <c r="F9" s="43">
        <f>IFERROR(IF(INDEX(Wartungsplan!$Z$6:$Z$323,MATCH($A9,Wartungsplan!$A$6:$A$323,0))="","",INDEX(Wartungsplan!$Z$6:$Z$323,MATCH($A9,Wartungsplan!$A$6:$A$323,0))),"")</f>
        <v/>
      </c>
      <c r="G9" s="98" t="n"/>
      <c r="H9" s="99">
        <f>IF(OR(G9="",NOT(ISNUMBER(E9))),"",G9+E9*7)</f>
        <v/>
      </c>
      <c r="I9" s="47">
        <f>IF(H9="","",H9-TODAY())</f>
        <v/>
      </c>
      <c r="J9" s="43">
        <f>IF(NOT(ISNUMBER(E9)),"Intervall fehlt",IF(G9="","nicht erfasst",IF(I9&lt;0,"überfällig",IF(I9&lt;=P_Vorwarn,"bald fällig","in Ordnung"))))</f>
        <v/>
      </c>
      <c r="K9" s="83" t="n"/>
      <c r="L9" s="83" t="n"/>
      <c r="M9" s="6" t="n"/>
    </row>
    <row r="10" ht="42" customHeight="1">
      <c r="A10" s="97" t="inlineStr">
        <is>
          <t>3.1.1</t>
        </is>
      </c>
      <c r="B10" s="15">
        <f>IFERROR(INDEX(Wartungsplan!$AC$6:$AC$323,MATCH($A10,Wartungsplan!$A$6:$A$323,0)),"")</f>
        <v/>
      </c>
      <c r="C10" s="15">
        <f>IFERROR(INDEX(Wartungsplan!$B$6:$B$323,MATCH($A10,Wartungsplan!$A$6:$A$323,0)),"")</f>
        <v/>
      </c>
      <c r="D10" s="43">
        <f>IFERROR(INDEX(Wartungsplan!$U$6:$U$323,MATCH($A10,Wartungsplan!$A$6:$A$323,0)),"")</f>
        <v/>
      </c>
      <c r="E10" s="85">
        <f>IFERROR(INDEX(Wartungsplan!$V$6:$V$323,MATCH($A10,Wartungsplan!$A$6:$A$323,0)),"")</f>
        <v/>
      </c>
      <c r="F10" s="43">
        <f>IFERROR(IF(INDEX(Wartungsplan!$Z$6:$Z$323,MATCH($A10,Wartungsplan!$A$6:$A$323,0))="","",INDEX(Wartungsplan!$Z$6:$Z$323,MATCH($A10,Wartungsplan!$A$6:$A$323,0))),"")</f>
        <v/>
      </c>
      <c r="G10" s="98" t="n"/>
      <c r="H10" s="99">
        <f>IF(OR(G10="",NOT(ISNUMBER(E10))),"",G10+E10*7)</f>
        <v/>
      </c>
      <c r="I10" s="47">
        <f>IF(H10="","",H10-TODAY())</f>
        <v/>
      </c>
      <c r="J10" s="43">
        <f>IF(NOT(ISNUMBER(E10)),"Intervall fehlt",IF(G10="","nicht erfasst",IF(I10&lt;0,"überfällig",IF(I10&lt;=P_Vorwarn,"bald fällig","in Ordnung"))))</f>
        <v/>
      </c>
      <c r="K10" s="83" t="n"/>
      <c r="L10" s="83" t="n"/>
      <c r="M10" s="6" t="n"/>
    </row>
    <row r="11" ht="30" customHeight="1">
      <c r="A11" s="97" t="inlineStr">
        <is>
          <t>3.1.2</t>
        </is>
      </c>
      <c r="B11" s="15">
        <f>IFERROR(INDEX(Wartungsplan!$AC$6:$AC$323,MATCH($A11,Wartungsplan!$A$6:$A$323,0)),"")</f>
        <v/>
      </c>
      <c r="C11" s="15">
        <f>IFERROR(INDEX(Wartungsplan!$B$6:$B$323,MATCH($A11,Wartungsplan!$A$6:$A$323,0)),"")</f>
        <v/>
      </c>
      <c r="D11" s="43">
        <f>IFERROR(INDEX(Wartungsplan!$U$6:$U$323,MATCH($A11,Wartungsplan!$A$6:$A$323,0)),"")</f>
        <v/>
      </c>
      <c r="E11" s="85">
        <f>IFERROR(INDEX(Wartungsplan!$V$6:$V$323,MATCH($A11,Wartungsplan!$A$6:$A$323,0)),"")</f>
        <v/>
      </c>
      <c r="F11" s="43">
        <f>IFERROR(IF(INDEX(Wartungsplan!$Z$6:$Z$323,MATCH($A11,Wartungsplan!$A$6:$A$323,0))="","",INDEX(Wartungsplan!$Z$6:$Z$323,MATCH($A11,Wartungsplan!$A$6:$A$323,0))),"")</f>
        <v/>
      </c>
      <c r="G11" s="98" t="n"/>
      <c r="H11" s="99">
        <f>IF(OR(G11="",NOT(ISNUMBER(E11))),"",G11+E11*7)</f>
        <v/>
      </c>
      <c r="I11" s="47">
        <f>IF(H11="","",H11-TODAY())</f>
        <v/>
      </c>
      <c r="J11" s="43">
        <f>IF(NOT(ISNUMBER(E11)),"Intervall fehlt",IF(G11="","nicht erfasst",IF(I11&lt;0,"überfällig",IF(I11&lt;=P_Vorwarn,"bald fällig","in Ordnung"))))</f>
        <v/>
      </c>
      <c r="K11" s="83" t="n"/>
      <c r="L11" s="83" t="n"/>
      <c r="M11" s="6" t="n"/>
    </row>
    <row r="12" ht="30" customHeight="1">
      <c r="A12" s="97" t="inlineStr">
        <is>
          <t>3.1.3</t>
        </is>
      </c>
      <c r="B12" s="15">
        <f>IFERROR(INDEX(Wartungsplan!$AC$6:$AC$323,MATCH($A12,Wartungsplan!$A$6:$A$323,0)),"")</f>
        <v/>
      </c>
      <c r="C12" s="15">
        <f>IFERROR(INDEX(Wartungsplan!$B$6:$B$323,MATCH($A12,Wartungsplan!$A$6:$A$323,0)),"")</f>
        <v/>
      </c>
      <c r="D12" s="43">
        <f>IFERROR(INDEX(Wartungsplan!$U$6:$U$323,MATCH($A12,Wartungsplan!$A$6:$A$323,0)),"")</f>
        <v/>
      </c>
      <c r="E12" s="85">
        <f>IFERROR(INDEX(Wartungsplan!$V$6:$V$323,MATCH($A12,Wartungsplan!$A$6:$A$323,0)),"")</f>
        <v/>
      </c>
      <c r="F12" s="43">
        <f>IFERROR(IF(INDEX(Wartungsplan!$Z$6:$Z$323,MATCH($A12,Wartungsplan!$A$6:$A$323,0))="","",INDEX(Wartungsplan!$Z$6:$Z$323,MATCH($A12,Wartungsplan!$A$6:$A$323,0))),"")</f>
        <v/>
      </c>
      <c r="G12" s="98" t="n"/>
      <c r="H12" s="99">
        <f>IF(OR(G12="",NOT(ISNUMBER(E12))),"",G12+E12*7)</f>
        <v/>
      </c>
      <c r="I12" s="47">
        <f>IF(H12="","",H12-TODAY())</f>
        <v/>
      </c>
      <c r="J12" s="43">
        <f>IF(NOT(ISNUMBER(E12)),"Intervall fehlt",IF(G12="","nicht erfasst",IF(I12&lt;0,"überfällig",IF(I12&lt;=P_Vorwarn,"bald fällig","in Ordnung"))))</f>
        <v/>
      </c>
      <c r="K12" s="83" t="n"/>
      <c r="L12" s="83" t="n"/>
      <c r="M12" s="6" t="n"/>
    </row>
    <row r="13" ht="42" customHeight="1">
      <c r="A13" s="97" t="inlineStr">
        <is>
          <t>3.1.4</t>
        </is>
      </c>
      <c r="B13" s="15">
        <f>IFERROR(INDEX(Wartungsplan!$AC$6:$AC$323,MATCH($A13,Wartungsplan!$A$6:$A$323,0)),"")</f>
        <v/>
      </c>
      <c r="C13" s="15">
        <f>IFERROR(INDEX(Wartungsplan!$B$6:$B$323,MATCH($A13,Wartungsplan!$A$6:$A$323,0)),"")</f>
        <v/>
      </c>
      <c r="D13" s="43">
        <f>IFERROR(INDEX(Wartungsplan!$U$6:$U$323,MATCH($A13,Wartungsplan!$A$6:$A$323,0)),"")</f>
        <v/>
      </c>
      <c r="E13" s="85">
        <f>IFERROR(INDEX(Wartungsplan!$V$6:$V$323,MATCH($A13,Wartungsplan!$A$6:$A$323,0)),"")</f>
        <v/>
      </c>
      <c r="F13" s="43">
        <f>IFERROR(IF(INDEX(Wartungsplan!$Z$6:$Z$323,MATCH($A13,Wartungsplan!$A$6:$A$323,0))="","",INDEX(Wartungsplan!$Z$6:$Z$323,MATCH($A13,Wartungsplan!$A$6:$A$323,0))),"")</f>
        <v/>
      </c>
      <c r="G13" s="98" t="n"/>
      <c r="H13" s="99">
        <f>IF(OR(G13="",NOT(ISNUMBER(E13))),"",G13+E13*7)</f>
        <v/>
      </c>
      <c r="I13" s="47">
        <f>IF(H13="","",H13-TODAY())</f>
        <v/>
      </c>
      <c r="J13" s="43">
        <f>IF(NOT(ISNUMBER(E13)),"Intervall fehlt",IF(G13="","nicht erfasst",IF(I13&lt;0,"überfällig",IF(I13&lt;=P_Vorwarn,"bald fällig","in Ordnung"))))</f>
        <v/>
      </c>
      <c r="K13" s="83" t="n"/>
      <c r="L13" s="83" t="n"/>
      <c r="M13" s="6" t="n"/>
    </row>
    <row r="14" ht="66" customHeight="1">
      <c r="A14" s="97" t="inlineStr">
        <is>
          <t>3.1.5</t>
        </is>
      </c>
      <c r="B14" s="15">
        <f>IFERROR(INDEX(Wartungsplan!$AC$6:$AC$323,MATCH($A14,Wartungsplan!$A$6:$A$323,0)),"")</f>
        <v/>
      </c>
      <c r="C14" s="15">
        <f>IFERROR(INDEX(Wartungsplan!$B$6:$B$323,MATCH($A14,Wartungsplan!$A$6:$A$323,0)),"")</f>
        <v/>
      </c>
      <c r="D14" s="43">
        <f>IFERROR(INDEX(Wartungsplan!$U$6:$U$323,MATCH($A14,Wartungsplan!$A$6:$A$323,0)),"")</f>
        <v/>
      </c>
      <c r="E14" s="85">
        <f>IFERROR(INDEX(Wartungsplan!$V$6:$V$323,MATCH($A14,Wartungsplan!$A$6:$A$323,0)),"")</f>
        <v/>
      </c>
      <c r="F14" s="43">
        <f>IFERROR(IF(INDEX(Wartungsplan!$Z$6:$Z$323,MATCH($A14,Wartungsplan!$A$6:$A$323,0))="","",INDEX(Wartungsplan!$Z$6:$Z$323,MATCH($A14,Wartungsplan!$A$6:$A$323,0))),"")</f>
        <v/>
      </c>
      <c r="G14" s="98" t="n"/>
      <c r="H14" s="99">
        <f>IF(OR(G14="",NOT(ISNUMBER(E14))),"",G14+E14*7)</f>
        <v/>
      </c>
      <c r="I14" s="47">
        <f>IF(H14="","",H14-TODAY())</f>
        <v/>
      </c>
      <c r="J14" s="43">
        <f>IF(NOT(ISNUMBER(E14)),"Intervall fehlt",IF(G14="","nicht erfasst",IF(I14&lt;0,"überfällig",IF(I14&lt;=P_Vorwarn,"bald fällig","in Ordnung"))))</f>
        <v/>
      </c>
      <c r="K14" s="83" t="n"/>
      <c r="L14" s="83" t="n"/>
      <c r="M14" s="6" t="n"/>
    </row>
    <row r="15" ht="30" customHeight="1">
      <c r="A15" s="97" t="inlineStr">
        <is>
          <t>3.1.6</t>
        </is>
      </c>
      <c r="B15" s="15">
        <f>IFERROR(INDEX(Wartungsplan!$AC$6:$AC$323,MATCH($A15,Wartungsplan!$A$6:$A$323,0)),"")</f>
        <v/>
      </c>
      <c r="C15" s="15">
        <f>IFERROR(INDEX(Wartungsplan!$B$6:$B$323,MATCH($A15,Wartungsplan!$A$6:$A$323,0)),"")</f>
        <v/>
      </c>
      <c r="D15" s="43">
        <f>IFERROR(INDEX(Wartungsplan!$U$6:$U$323,MATCH($A15,Wartungsplan!$A$6:$A$323,0)),"")</f>
        <v/>
      </c>
      <c r="E15" s="85">
        <f>IFERROR(INDEX(Wartungsplan!$V$6:$V$323,MATCH($A15,Wartungsplan!$A$6:$A$323,0)),"")</f>
        <v/>
      </c>
      <c r="F15" s="43">
        <f>IFERROR(IF(INDEX(Wartungsplan!$Z$6:$Z$323,MATCH($A15,Wartungsplan!$A$6:$A$323,0))="","",INDEX(Wartungsplan!$Z$6:$Z$323,MATCH($A15,Wartungsplan!$A$6:$A$323,0))),"")</f>
        <v/>
      </c>
      <c r="G15" s="98" t="n"/>
      <c r="H15" s="99">
        <f>IF(OR(G15="",NOT(ISNUMBER(E15))),"",G15+E15*7)</f>
        <v/>
      </c>
      <c r="I15" s="47">
        <f>IF(H15="","",H15-TODAY())</f>
        <v/>
      </c>
      <c r="J15" s="43">
        <f>IF(NOT(ISNUMBER(E15)),"Intervall fehlt",IF(G15="","nicht erfasst",IF(I15&lt;0,"überfällig",IF(I15&lt;=P_Vorwarn,"bald fällig","in Ordnung"))))</f>
        <v/>
      </c>
      <c r="K15" s="83" t="n"/>
      <c r="L15" s="83" t="n"/>
      <c r="M15" s="6" t="n"/>
    </row>
    <row r="16" ht="30" customHeight="1">
      <c r="A16" s="97" t="inlineStr">
        <is>
          <t>3.1.7</t>
        </is>
      </c>
      <c r="B16" s="15">
        <f>IFERROR(INDEX(Wartungsplan!$AC$6:$AC$323,MATCH($A16,Wartungsplan!$A$6:$A$323,0)),"")</f>
        <v/>
      </c>
      <c r="C16" s="15">
        <f>IFERROR(INDEX(Wartungsplan!$B$6:$B$323,MATCH($A16,Wartungsplan!$A$6:$A$323,0)),"")</f>
        <v/>
      </c>
      <c r="D16" s="43">
        <f>IFERROR(INDEX(Wartungsplan!$U$6:$U$323,MATCH($A16,Wartungsplan!$A$6:$A$323,0)),"")</f>
        <v/>
      </c>
      <c r="E16" s="85">
        <f>IFERROR(INDEX(Wartungsplan!$V$6:$V$323,MATCH($A16,Wartungsplan!$A$6:$A$323,0)),"")</f>
        <v/>
      </c>
      <c r="F16" s="43">
        <f>IFERROR(IF(INDEX(Wartungsplan!$Z$6:$Z$323,MATCH($A16,Wartungsplan!$A$6:$A$323,0))="","",INDEX(Wartungsplan!$Z$6:$Z$323,MATCH($A16,Wartungsplan!$A$6:$A$323,0))),"")</f>
        <v/>
      </c>
      <c r="G16" s="98" t="n"/>
      <c r="H16" s="99">
        <f>IF(OR(G16="",NOT(ISNUMBER(E16))),"",G16+E16*7)</f>
        <v/>
      </c>
      <c r="I16" s="47">
        <f>IF(H16="","",H16-TODAY())</f>
        <v/>
      </c>
      <c r="J16" s="43">
        <f>IF(NOT(ISNUMBER(E16)),"Intervall fehlt",IF(G16="","nicht erfasst",IF(I16&lt;0,"überfällig",IF(I16&lt;=P_Vorwarn,"bald fällig","in Ordnung"))))</f>
        <v/>
      </c>
      <c r="K16" s="83" t="n"/>
      <c r="L16" s="83" t="n"/>
      <c r="M16" s="6" t="n"/>
    </row>
    <row r="17" ht="30" customHeight="1">
      <c r="A17" s="97" t="inlineStr">
        <is>
          <t>4.1.1</t>
        </is>
      </c>
      <c r="B17" s="15">
        <f>IFERROR(INDEX(Wartungsplan!$AC$6:$AC$323,MATCH($A17,Wartungsplan!$A$6:$A$323,0)),"")</f>
        <v/>
      </c>
      <c r="C17" s="15">
        <f>IFERROR(INDEX(Wartungsplan!$B$6:$B$323,MATCH($A17,Wartungsplan!$A$6:$A$323,0)),"")</f>
        <v/>
      </c>
      <c r="D17" s="43">
        <f>IFERROR(INDEX(Wartungsplan!$U$6:$U$323,MATCH($A17,Wartungsplan!$A$6:$A$323,0)),"")</f>
        <v/>
      </c>
      <c r="E17" s="85">
        <f>IFERROR(INDEX(Wartungsplan!$V$6:$V$323,MATCH($A17,Wartungsplan!$A$6:$A$323,0)),"")</f>
        <v/>
      </c>
      <c r="F17" s="43">
        <f>IFERROR(IF(INDEX(Wartungsplan!$Z$6:$Z$323,MATCH($A17,Wartungsplan!$A$6:$A$323,0))="","",INDEX(Wartungsplan!$Z$6:$Z$323,MATCH($A17,Wartungsplan!$A$6:$A$323,0))),"")</f>
        <v/>
      </c>
      <c r="G17" s="98" t="n"/>
      <c r="H17" s="99">
        <f>IF(OR(G17="",NOT(ISNUMBER(E17))),"",G17+E17*7)</f>
        <v/>
      </c>
      <c r="I17" s="47">
        <f>IF(H17="","",H17-TODAY())</f>
        <v/>
      </c>
      <c r="J17" s="43">
        <f>IF(NOT(ISNUMBER(E17)),"Intervall fehlt",IF(G17="","nicht erfasst",IF(I17&lt;0,"überfällig",IF(I17&lt;=P_Vorwarn,"bald fällig","in Ordnung"))))</f>
        <v/>
      </c>
      <c r="K17" s="83" t="n"/>
      <c r="L17" s="83" t="n"/>
      <c r="M17" s="6" t="n"/>
    </row>
    <row r="18" ht="30" customHeight="1">
      <c r="A18" s="97" t="inlineStr">
        <is>
          <t>4.1.2</t>
        </is>
      </c>
      <c r="B18" s="15">
        <f>IFERROR(INDEX(Wartungsplan!$AC$6:$AC$323,MATCH($A18,Wartungsplan!$A$6:$A$323,0)),"")</f>
        <v/>
      </c>
      <c r="C18" s="15">
        <f>IFERROR(INDEX(Wartungsplan!$B$6:$B$323,MATCH($A18,Wartungsplan!$A$6:$A$323,0)),"")</f>
        <v/>
      </c>
      <c r="D18" s="43">
        <f>IFERROR(INDEX(Wartungsplan!$U$6:$U$323,MATCH($A18,Wartungsplan!$A$6:$A$323,0)),"")</f>
        <v/>
      </c>
      <c r="E18" s="85">
        <f>IFERROR(INDEX(Wartungsplan!$V$6:$V$323,MATCH($A18,Wartungsplan!$A$6:$A$323,0)),"")</f>
        <v/>
      </c>
      <c r="F18" s="43">
        <f>IFERROR(IF(INDEX(Wartungsplan!$Z$6:$Z$323,MATCH($A18,Wartungsplan!$A$6:$A$323,0))="","",INDEX(Wartungsplan!$Z$6:$Z$323,MATCH($A18,Wartungsplan!$A$6:$A$323,0))),"")</f>
        <v/>
      </c>
      <c r="G18" s="98" t="n"/>
      <c r="H18" s="99">
        <f>IF(OR(G18="",NOT(ISNUMBER(E18))),"",G18+E18*7)</f>
        <v/>
      </c>
      <c r="I18" s="47">
        <f>IF(H18="","",H18-TODAY())</f>
        <v/>
      </c>
      <c r="J18" s="43">
        <f>IF(NOT(ISNUMBER(E18)),"Intervall fehlt",IF(G18="","nicht erfasst",IF(I18&lt;0,"überfällig",IF(I18&lt;=P_Vorwarn,"bald fällig","in Ordnung"))))</f>
        <v/>
      </c>
      <c r="K18" s="83" t="n"/>
      <c r="L18" s="83" t="n"/>
      <c r="M18" s="6" t="n"/>
    </row>
    <row r="19" ht="66" customHeight="1">
      <c r="A19" s="97" t="inlineStr">
        <is>
          <t>4.1.3</t>
        </is>
      </c>
      <c r="B19" s="15">
        <f>IFERROR(INDEX(Wartungsplan!$AC$6:$AC$323,MATCH($A19,Wartungsplan!$A$6:$A$323,0)),"")</f>
        <v/>
      </c>
      <c r="C19" s="15">
        <f>IFERROR(INDEX(Wartungsplan!$B$6:$B$323,MATCH($A19,Wartungsplan!$A$6:$A$323,0)),"")</f>
        <v/>
      </c>
      <c r="D19" s="43">
        <f>IFERROR(INDEX(Wartungsplan!$U$6:$U$323,MATCH($A19,Wartungsplan!$A$6:$A$323,0)),"")</f>
        <v/>
      </c>
      <c r="E19" s="85">
        <f>IFERROR(INDEX(Wartungsplan!$V$6:$V$323,MATCH($A19,Wartungsplan!$A$6:$A$323,0)),"")</f>
        <v/>
      </c>
      <c r="F19" s="43">
        <f>IFERROR(IF(INDEX(Wartungsplan!$Z$6:$Z$323,MATCH($A19,Wartungsplan!$A$6:$A$323,0))="","",INDEX(Wartungsplan!$Z$6:$Z$323,MATCH($A19,Wartungsplan!$A$6:$A$323,0))),"")</f>
        <v/>
      </c>
      <c r="G19" s="98" t="n"/>
      <c r="H19" s="99">
        <f>IF(OR(G19="",NOT(ISNUMBER(E19))),"",G19+E19*7)</f>
        <v/>
      </c>
      <c r="I19" s="47">
        <f>IF(H19="","",H19-TODAY())</f>
        <v/>
      </c>
      <c r="J19" s="43">
        <f>IF(NOT(ISNUMBER(E19)),"Intervall fehlt",IF(G19="","nicht erfasst",IF(I19&lt;0,"überfällig",IF(I19&lt;=P_Vorwarn,"bald fällig","in Ordnung"))))</f>
        <v/>
      </c>
      <c r="K19" s="83" t="n"/>
      <c r="L19" s="83" t="n"/>
      <c r="M19" s="6" t="n"/>
    </row>
    <row r="20" ht="42" customHeight="1">
      <c r="A20" s="97" t="inlineStr">
        <is>
          <t>4.1.4</t>
        </is>
      </c>
      <c r="B20" s="15">
        <f>IFERROR(INDEX(Wartungsplan!$AC$6:$AC$323,MATCH($A20,Wartungsplan!$A$6:$A$323,0)),"")</f>
        <v/>
      </c>
      <c r="C20" s="15">
        <f>IFERROR(INDEX(Wartungsplan!$B$6:$B$323,MATCH($A20,Wartungsplan!$A$6:$A$323,0)),"")</f>
        <v/>
      </c>
      <c r="D20" s="43">
        <f>IFERROR(INDEX(Wartungsplan!$U$6:$U$323,MATCH($A20,Wartungsplan!$A$6:$A$323,0)),"")</f>
        <v/>
      </c>
      <c r="E20" s="85">
        <f>IFERROR(INDEX(Wartungsplan!$V$6:$V$323,MATCH($A20,Wartungsplan!$A$6:$A$323,0)),"")</f>
        <v/>
      </c>
      <c r="F20" s="43">
        <f>IFERROR(IF(INDEX(Wartungsplan!$Z$6:$Z$323,MATCH($A20,Wartungsplan!$A$6:$A$323,0))="","",INDEX(Wartungsplan!$Z$6:$Z$323,MATCH($A20,Wartungsplan!$A$6:$A$323,0))),"")</f>
        <v/>
      </c>
      <c r="G20" s="98" t="n"/>
      <c r="H20" s="99">
        <f>IF(OR(G20="",NOT(ISNUMBER(E20))),"",G20+E20*7)</f>
        <v/>
      </c>
      <c r="I20" s="47">
        <f>IF(H20="","",H20-TODAY())</f>
        <v/>
      </c>
      <c r="J20" s="43">
        <f>IF(NOT(ISNUMBER(E20)),"Intervall fehlt",IF(G20="","nicht erfasst",IF(I20&lt;0,"überfällig",IF(I20&lt;=P_Vorwarn,"bald fällig","in Ordnung"))))</f>
        <v/>
      </c>
      <c r="K20" s="83" t="n"/>
      <c r="L20" s="83" t="n"/>
      <c r="M20" s="6" t="n"/>
    </row>
    <row r="21" ht="30" customHeight="1">
      <c r="A21" s="97" t="inlineStr">
        <is>
          <t>4.1.5</t>
        </is>
      </c>
      <c r="B21" s="15">
        <f>IFERROR(INDEX(Wartungsplan!$AC$6:$AC$323,MATCH($A21,Wartungsplan!$A$6:$A$323,0)),"")</f>
        <v/>
      </c>
      <c r="C21" s="15">
        <f>IFERROR(INDEX(Wartungsplan!$B$6:$B$323,MATCH($A21,Wartungsplan!$A$6:$A$323,0)),"")</f>
        <v/>
      </c>
      <c r="D21" s="43">
        <f>IFERROR(INDEX(Wartungsplan!$U$6:$U$323,MATCH($A21,Wartungsplan!$A$6:$A$323,0)),"")</f>
        <v/>
      </c>
      <c r="E21" s="85">
        <f>IFERROR(INDEX(Wartungsplan!$V$6:$V$323,MATCH($A21,Wartungsplan!$A$6:$A$323,0)),"")</f>
        <v/>
      </c>
      <c r="F21" s="43">
        <f>IFERROR(IF(INDEX(Wartungsplan!$Z$6:$Z$323,MATCH($A21,Wartungsplan!$A$6:$A$323,0))="","",INDEX(Wartungsplan!$Z$6:$Z$323,MATCH($A21,Wartungsplan!$A$6:$A$323,0))),"")</f>
        <v/>
      </c>
      <c r="G21" s="98" t="n"/>
      <c r="H21" s="99">
        <f>IF(OR(G21="",NOT(ISNUMBER(E21))),"",G21+E21*7)</f>
        <v/>
      </c>
      <c r="I21" s="47">
        <f>IF(H21="","",H21-TODAY())</f>
        <v/>
      </c>
      <c r="J21" s="43">
        <f>IF(NOT(ISNUMBER(E21)),"Intervall fehlt",IF(G21="","nicht erfasst",IF(I21&lt;0,"überfällig",IF(I21&lt;=P_Vorwarn,"bald fällig","in Ordnung"))))</f>
        <v/>
      </c>
      <c r="K21" s="83" t="n"/>
      <c r="L21" s="83" t="n"/>
      <c r="M21" s="6" t="n"/>
    </row>
    <row r="22" ht="30" customHeight="1">
      <c r="A22" s="97" t="inlineStr">
        <is>
          <t>5.1</t>
        </is>
      </c>
      <c r="B22" s="15">
        <f>IFERROR(INDEX(Wartungsplan!$AC$6:$AC$323,MATCH($A22,Wartungsplan!$A$6:$A$323,0)),"")</f>
        <v/>
      </c>
      <c r="C22" s="15">
        <f>IFERROR(INDEX(Wartungsplan!$B$6:$B$323,MATCH($A22,Wartungsplan!$A$6:$A$323,0)),"")</f>
        <v/>
      </c>
      <c r="D22" s="43">
        <f>IFERROR(INDEX(Wartungsplan!$U$6:$U$323,MATCH($A22,Wartungsplan!$A$6:$A$323,0)),"")</f>
        <v/>
      </c>
      <c r="E22" s="85">
        <f>IFERROR(INDEX(Wartungsplan!$V$6:$V$323,MATCH($A22,Wartungsplan!$A$6:$A$323,0)),"")</f>
        <v/>
      </c>
      <c r="F22" s="43">
        <f>IFERROR(IF(INDEX(Wartungsplan!$Z$6:$Z$323,MATCH($A22,Wartungsplan!$A$6:$A$323,0))="","",INDEX(Wartungsplan!$Z$6:$Z$323,MATCH($A22,Wartungsplan!$A$6:$A$323,0))),"")</f>
        <v/>
      </c>
      <c r="G22" s="98" t="n"/>
      <c r="H22" s="99">
        <f>IF(OR(G22="",NOT(ISNUMBER(E22))),"",G22+E22*7)</f>
        <v/>
      </c>
      <c r="I22" s="47">
        <f>IF(H22="","",H22-TODAY())</f>
        <v/>
      </c>
      <c r="J22" s="43">
        <f>IF(NOT(ISNUMBER(E22)),"Intervall fehlt",IF(G22="","nicht erfasst",IF(I22&lt;0,"überfällig",IF(I22&lt;=P_Vorwarn,"bald fällig","in Ordnung"))))</f>
        <v/>
      </c>
      <c r="K22" s="83" t="n"/>
      <c r="L22" s="83" t="n"/>
      <c r="M22" s="6" t="n"/>
    </row>
    <row r="23" ht="18" customHeight="1">
      <c r="A23" s="97" t="inlineStr">
        <is>
          <t>5.2.1</t>
        </is>
      </c>
      <c r="B23" s="15">
        <f>IFERROR(INDEX(Wartungsplan!$AC$6:$AC$323,MATCH($A23,Wartungsplan!$A$6:$A$323,0)),"")</f>
        <v/>
      </c>
      <c r="C23" s="15">
        <f>IFERROR(INDEX(Wartungsplan!$B$6:$B$323,MATCH($A23,Wartungsplan!$A$6:$A$323,0)),"")</f>
        <v/>
      </c>
      <c r="D23" s="43">
        <f>IFERROR(INDEX(Wartungsplan!$U$6:$U$323,MATCH($A23,Wartungsplan!$A$6:$A$323,0)),"")</f>
        <v/>
      </c>
      <c r="E23" s="85">
        <f>IFERROR(INDEX(Wartungsplan!$V$6:$V$323,MATCH($A23,Wartungsplan!$A$6:$A$323,0)),"")</f>
        <v/>
      </c>
      <c r="F23" s="43">
        <f>IFERROR(IF(INDEX(Wartungsplan!$Z$6:$Z$323,MATCH($A23,Wartungsplan!$A$6:$A$323,0))="","",INDEX(Wartungsplan!$Z$6:$Z$323,MATCH($A23,Wartungsplan!$A$6:$A$323,0))),"")</f>
        <v/>
      </c>
      <c r="G23" s="98" t="n"/>
      <c r="H23" s="99">
        <f>IF(OR(G23="",NOT(ISNUMBER(E23))),"",G23+E23*7)</f>
        <v/>
      </c>
      <c r="I23" s="47">
        <f>IF(H23="","",H23-TODAY())</f>
        <v/>
      </c>
      <c r="J23" s="43">
        <f>IF(NOT(ISNUMBER(E23)),"Intervall fehlt",IF(G23="","nicht erfasst",IF(I23&lt;0,"überfällig",IF(I23&lt;=P_Vorwarn,"bald fällig","in Ordnung"))))</f>
        <v/>
      </c>
      <c r="K23" s="83" t="n"/>
      <c r="L23" s="83" t="n"/>
      <c r="M23" s="6" t="n"/>
    </row>
    <row r="24" ht="30" customHeight="1">
      <c r="A24" s="97" t="inlineStr">
        <is>
          <t>5.2.2</t>
        </is>
      </c>
      <c r="B24" s="15">
        <f>IFERROR(INDEX(Wartungsplan!$AC$6:$AC$323,MATCH($A24,Wartungsplan!$A$6:$A$323,0)),"")</f>
        <v/>
      </c>
      <c r="C24" s="15">
        <f>IFERROR(INDEX(Wartungsplan!$B$6:$B$323,MATCH($A24,Wartungsplan!$A$6:$A$323,0)),"")</f>
        <v/>
      </c>
      <c r="D24" s="43">
        <f>IFERROR(INDEX(Wartungsplan!$U$6:$U$323,MATCH($A24,Wartungsplan!$A$6:$A$323,0)),"")</f>
        <v/>
      </c>
      <c r="E24" s="85">
        <f>IFERROR(INDEX(Wartungsplan!$V$6:$V$323,MATCH($A24,Wartungsplan!$A$6:$A$323,0)),"")</f>
        <v/>
      </c>
      <c r="F24" s="43">
        <f>IFERROR(IF(INDEX(Wartungsplan!$Z$6:$Z$323,MATCH($A24,Wartungsplan!$A$6:$A$323,0))="","",INDEX(Wartungsplan!$Z$6:$Z$323,MATCH($A24,Wartungsplan!$A$6:$A$323,0))),"")</f>
        <v/>
      </c>
      <c r="G24" s="98" t="n"/>
      <c r="H24" s="99">
        <f>IF(OR(G24="",NOT(ISNUMBER(E24))),"",G24+E24*7)</f>
        <v/>
      </c>
      <c r="I24" s="47">
        <f>IF(H24="","",H24-TODAY())</f>
        <v/>
      </c>
      <c r="J24" s="43">
        <f>IF(NOT(ISNUMBER(E24)),"Intervall fehlt",IF(G24="","nicht erfasst",IF(I24&lt;0,"überfällig",IF(I24&lt;=P_Vorwarn,"bald fällig","in Ordnung"))))</f>
        <v/>
      </c>
      <c r="K24" s="83" t="n"/>
      <c r="L24" s="83" t="n"/>
      <c r="M24" s="6" t="n"/>
    </row>
    <row r="25" ht="30" customHeight="1">
      <c r="A25" s="97" t="inlineStr">
        <is>
          <t>5.2.3</t>
        </is>
      </c>
      <c r="B25" s="15">
        <f>IFERROR(INDEX(Wartungsplan!$AC$6:$AC$323,MATCH($A25,Wartungsplan!$A$6:$A$323,0)),"")</f>
        <v/>
      </c>
      <c r="C25" s="15">
        <f>IFERROR(INDEX(Wartungsplan!$B$6:$B$323,MATCH($A25,Wartungsplan!$A$6:$A$323,0)),"")</f>
        <v/>
      </c>
      <c r="D25" s="43">
        <f>IFERROR(INDEX(Wartungsplan!$U$6:$U$323,MATCH($A25,Wartungsplan!$A$6:$A$323,0)),"")</f>
        <v/>
      </c>
      <c r="E25" s="85">
        <f>IFERROR(INDEX(Wartungsplan!$V$6:$V$323,MATCH($A25,Wartungsplan!$A$6:$A$323,0)),"")</f>
        <v/>
      </c>
      <c r="F25" s="43">
        <f>IFERROR(IF(INDEX(Wartungsplan!$Z$6:$Z$323,MATCH($A25,Wartungsplan!$A$6:$A$323,0))="","",INDEX(Wartungsplan!$Z$6:$Z$323,MATCH($A25,Wartungsplan!$A$6:$A$323,0))),"")</f>
        <v/>
      </c>
      <c r="G25" s="98" t="n"/>
      <c r="H25" s="99">
        <f>IF(OR(G25="",NOT(ISNUMBER(E25))),"",G25+E25*7)</f>
        <v/>
      </c>
      <c r="I25" s="47">
        <f>IF(H25="","",H25-TODAY())</f>
        <v/>
      </c>
      <c r="J25" s="43">
        <f>IF(NOT(ISNUMBER(E25)),"Intervall fehlt",IF(G25="","nicht erfasst",IF(I25&lt;0,"überfällig",IF(I25&lt;=P_Vorwarn,"bald fällig","in Ordnung"))))</f>
        <v/>
      </c>
      <c r="K25" s="83" t="n"/>
      <c r="L25" s="83" t="n"/>
      <c r="M25" s="6" t="n"/>
    </row>
    <row r="26" ht="30" customHeight="1">
      <c r="A26" s="97" t="inlineStr">
        <is>
          <t>5.2.4</t>
        </is>
      </c>
      <c r="B26" s="15">
        <f>IFERROR(INDEX(Wartungsplan!$AC$6:$AC$323,MATCH($A26,Wartungsplan!$A$6:$A$323,0)),"")</f>
        <v/>
      </c>
      <c r="C26" s="15">
        <f>IFERROR(INDEX(Wartungsplan!$B$6:$B$323,MATCH($A26,Wartungsplan!$A$6:$A$323,0)),"")</f>
        <v/>
      </c>
      <c r="D26" s="43">
        <f>IFERROR(INDEX(Wartungsplan!$U$6:$U$323,MATCH($A26,Wartungsplan!$A$6:$A$323,0)),"")</f>
        <v/>
      </c>
      <c r="E26" s="85">
        <f>IFERROR(INDEX(Wartungsplan!$V$6:$V$323,MATCH($A26,Wartungsplan!$A$6:$A$323,0)),"")</f>
        <v/>
      </c>
      <c r="F26" s="43">
        <f>IFERROR(IF(INDEX(Wartungsplan!$Z$6:$Z$323,MATCH($A26,Wartungsplan!$A$6:$A$323,0))="","",INDEX(Wartungsplan!$Z$6:$Z$323,MATCH($A26,Wartungsplan!$A$6:$A$323,0))),"")</f>
        <v/>
      </c>
      <c r="G26" s="98" t="n"/>
      <c r="H26" s="99">
        <f>IF(OR(G26="",NOT(ISNUMBER(E26))),"",G26+E26*7)</f>
        <v/>
      </c>
      <c r="I26" s="47">
        <f>IF(H26="","",H26-TODAY())</f>
        <v/>
      </c>
      <c r="J26" s="43">
        <f>IF(NOT(ISNUMBER(E26)),"Intervall fehlt",IF(G26="","nicht erfasst",IF(I26&lt;0,"überfällig",IF(I26&lt;=P_Vorwarn,"bald fällig","in Ordnung"))))</f>
        <v/>
      </c>
      <c r="K26" s="83" t="n"/>
      <c r="L26" s="83" t="n"/>
      <c r="M26" s="6" t="n"/>
    </row>
    <row r="27" ht="18" customHeight="1">
      <c r="A27" s="97" t="inlineStr">
        <is>
          <t>5.2.5</t>
        </is>
      </c>
      <c r="B27" s="15">
        <f>IFERROR(INDEX(Wartungsplan!$AC$6:$AC$323,MATCH($A27,Wartungsplan!$A$6:$A$323,0)),"")</f>
        <v/>
      </c>
      <c r="C27" s="15">
        <f>IFERROR(INDEX(Wartungsplan!$B$6:$B$323,MATCH($A27,Wartungsplan!$A$6:$A$323,0)),"")</f>
        <v/>
      </c>
      <c r="D27" s="43">
        <f>IFERROR(INDEX(Wartungsplan!$U$6:$U$323,MATCH($A27,Wartungsplan!$A$6:$A$323,0)),"")</f>
        <v/>
      </c>
      <c r="E27" s="85">
        <f>IFERROR(INDEX(Wartungsplan!$V$6:$V$323,MATCH($A27,Wartungsplan!$A$6:$A$323,0)),"")</f>
        <v/>
      </c>
      <c r="F27" s="43">
        <f>IFERROR(IF(INDEX(Wartungsplan!$Z$6:$Z$323,MATCH($A27,Wartungsplan!$A$6:$A$323,0))="","",INDEX(Wartungsplan!$Z$6:$Z$323,MATCH($A27,Wartungsplan!$A$6:$A$323,0))),"")</f>
        <v/>
      </c>
      <c r="G27" s="98" t="n"/>
      <c r="H27" s="99">
        <f>IF(OR(G27="",NOT(ISNUMBER(E27))),"",G27+E27*7)</f>
        <v/>
      </c>
      <c r="I27" s="47">
        <f>IF(H27="","",H27-TODAY())</f>
        <v/>
      </c>
      <c r="J27" s="43">
        <f>IF(NOT(ISNUMBER(E27)),"Intervall fehlt",IF(G27="","nicht erfasst",IF(I27&lt;0,"überfällig",IF(I27&lt;=P_Vorwarn,"bald fällig","in Ordnung"))))</f>
        <v/>
      </c>
      <c r="K27" s="83" t="n"/>
      <c r="L27" s="83" t="n"/>
      <c r="M27" s="6" t="n"/>
    </row>
    <row r="28" ht="30" customHeight="1">
      <c r="A28" s="97" t="inlineStr">
        <is>
          <t>5.2.6</t>
        </is>
      </c>
      <c r="B28" s="15">
        <f>IFERROR(INDEX(Wartungsplan!$AC$6:$AC$323,MATCH($A28,Wartungsplan!$A$6:$A$323,0)),"")</f>
        <v/>
      </c>
      <c r="C28" s="15">
        <f>IFERROR(INDEX(Wartungsplan!$B$6:$B$323,MATCH($A28,Wartungsplan!$A$6:$A$323,0)),"")</f>
        <v/>
      </c>
      <c r="D28" s="43">
        <f>IFERROR(INDEX(Wartungsplan!$U$6:$U$323,MATCH($A28,Wartungsplan!$A$6:$A$323,0)),"")</f>
        <v/>
      </c>
      <c r="E28" s="85">
        <f>IFERROR(INDEX(Wartungsplan!$V$6:$V$323,MATCH($A28,Wartungsplan!$A$6:$A$323,0)),"")</f>
        <v/>
      </c>
      <c r="F28" s="43">
        <f>IFERROR(IF(INDEX(Wartungsplan!$Z$6:$Z$323,MATCH($A28,Wartungsplan!$A$6:$A$323,0))="","",INDEX(Wartungsplan!$Z$6:$Z$323,MATCH($A28,Wartungsplan!$A$6:$A$323,0))),"")</f>
        <v/>
      </c>
      <c r="G28" s="98" t="n"/>
      <c r="H28" s="99">
        <f>IF(OR(G28="",NOT(ISNUMBER(E28))),"",G28+E28*7)</f>
        <v/>
      </c>
      <c r="I28" s="47">
        <f>IF(H28="","",H28-TODAY())</f>
        <v/>
      </c>
      <c r="J28" s="43">
        <f>IF(NOT(ISNUMBER(E28)),"Intervall fehlt",IF(G28="","nicht erfasst",IF(I28&lt;0,"überfällig",IF(I28&lt;=P_Vorwarn,"bald fällig","in Ordnung"))))</f>
        <v/>
      </c>
      <c r="K28" s="83" t="n"/>
      <c r="L28" s="83" t="n"/>
      <c r="M28" s="6" t="n"/>
    </row>
    <row r="29" ht="30" customHeight="1">
      <c r="A29" s="97" t="inlineStr">
        <is>
          <t>5.2.7</t>
        </is>
      </c>
      <c r="B29" s="15">
        <f>IFERROR(INDEX(Wartungsplan!$AC$6:$AC$323,MATCH($A29,Wartungsplan!$A$6:$A$323,0)),"")</f>
        <v/>
      </c>
      <c r="C29" s="15">
        <f>IFERROR(INDEX(Wartungsplan!$B$6:$B$323,MATCH($A29,Wartungsplan!$A$6:$A$323,0)),"")</f>
        <v/>
      </c>
      <c r="D29" s="43">
        <f>IFERROR(INDEX(Wartungsplan!$U$6:$U$323,MATCH($A29,Wartungsplan!$A$6:$A$323,0)),"")</f>
        <v/>
      </c>
      <c r="E29" s="85">
        <f>IFERROR(INDEX(Wartungsplan!$V$6:$V$323,MATCH($A29,Wartungsplan!$A$6:$A$323,0)),"")</f>
        <v/>
      </c>
      <c r="F29" s="43">
        <f>IFERROR(IF(INDEX(Wartungsplan!$Z$6:$Z$323,MATCH($A29,Wartungsplan!$A$6:$A$323,0))="","",INDEX(Wartungsplan!$Z$6:$Z$323,MATCH($A29,Wartungsplan!$A$6:$A$323,0))),"")</f>
        <v/>
      </c>
      <c r="G29" s="98" t="n"/>
      <c r="H29" s="99">
        <f>IF(OR(G29="",NOT(ISNUMBER(E29))),"",G29+E29*7)</f>
        <v/>
      </c>
      <c r="I29" s="47">
        <f>IF(H29="","",H29-TODAY())</f>
        <v/>
      </c>
      <c r="J29" s="43">
        <f>IF(NOT(ISNUMBER(E29)),"Intervall fehlt",IF(G29="","nicht erfasst",IF(I29&lt;0,"überfällig",IF(I29&lt;=P_Vorwarn,"bald fällig","in Ordnung"))))</f>
        <v/>
      </c>
      <c r="K29" s="83" t="n"/>
      <c r="L29" s="83" t="n"/>
      <c r="M29" s="6" t="n"/>
    </row>
    <row r="30" ht="18" customHeight="1">
      <c r="A30" s="97" t="inlineStr">
        <is>
          <t>5.3.1</t>
        </is>
      </c>
      <c r="B30" s="15">
        <f>IFERROR(INDEX(Wartungsplan!$AC$6:$AC$323,MATCH($A30,Wartungsplan!$A$6:$A$323,0)),"")</f>
        <v/>
      </c>
      <c r="C30" s="15">
        <f>IFERROR(INDEX(Wartungsplan!$B$6:$B$323,MATCH($A30,Wartungsplan!$A$6:$A$323,0)),"")</f>
        <v/>
      </c>
      <c r="D30" s="43">
        <f>IFERROR(INDEX(Wartungsplan!$U$6:$U$323,MATCH($A30,Wartungsplan!$A$6:$A$323,0)),"")</f>
        <v/>
      </c>
      <c r="E30" s="85">
        <f>IFERROR(INDEX(Wartungsplan!$V$6:$V$323,MATCH($A30,Wartungsplan!$A$6:$A$323,0)),"")</f>
        <v/>
      </c>
      <c r="F30" s="43">
        <f>IFERROR(IF(INDEX(Wartungsplan!$Z$6:$Z$323,MATCH($A30,Wartungsplan!$A$6:$A$323,0))="","",INDEX(Wartungsplan!$Z$6:$Z$323,MATCH($A30,Wartungsplan!$A$6:$A$323,0))),"")</f>
        <v/>
      </c>
      <c r="G30" s="98" t="n"/>
      <c r="H30" s="99">
        <f>IF(OR(G30="",NOT(ISNUMBER(E30))),"",G30+E30*7)</f>
        <v/>
      </c>
      <c r="I30" s="47">
        <f>IF(H30="","",H30-TODAY())</f>
        <v/>
      </c>
      <c r="J30" s="43">
        <f>IF(NOT(ISNUMBER(E30)),"Intervall fehlt",IF(G30="","nicht erfasst",IF(I30&lt;0,"überfällig",IF(I30&lt;=P_Vorwarn,"bald fällig","in Ordnung"))))</f>
        <v/>
      </c>
      <c r="K30" s="83" t="n"/>
      <c r="L30" s="83" t="n"/>
      <c r="M30" s="6" t="n"/>
    </row>
    <row r="31" ht="18" customHeight="1">
      <c r="A31" s="97" t="inlineStr">
        <is>
          <t>5.3.2</t>
        </is>
      </c>
      <c r="B31" s="15">
        <f>IFERROR(INDEX(Wartungsplan!$AC$6:$AC$323,MATCH($A31,Wartungsplan!$A$6:$A$323,0)),"")</f>
        <v/>
      </c>
      <c r="C31" s="15">
        <f>IFERROR(INDEX(Wartungsplan!$B$6:$B$323,MATCH($A31,Wartungsplan!$A$6:$A$323,0)),"")</f>
        <v/>
      </c>
      <c r="D31" s="43">
        <f>IFERROR(INDEX(Wartungsplan!$U$6:$U$323,MATCH($A31,Wartungsplan!$A$6:$A$323,0)),"")</f>
        <v/>
      </c>
      <c r="E31" s="85">
        <f>IFERROR(INDEX(Wartungsplan!$V$6:$V$323,MATCH($A31,Wartungsplan!$A$6:$A$323,0)),"")</f>
        <v/>
      </c>
      <c r="F31" s="43">
        <f>IFERROR(IF(INDEX(Wartungsplan!$Z$6:$Z$323,MATCH($A31,Wartungsplan!$A$6:$A$323,0))="","",INDEX(Wartungsplan!$Z$6:$Z$323,MATCH($A31,Wartungsplan!$A$6:$A$323,0))),"")</f>
        <v/>
      </c>
      <c r="G31" s="98" t="n"/>
      <c r="H31" s="99">
        <f>IF(OR(G31="",NOT(ISNUMBER(E31))),"",G31+E31*7)</f>
        <v/>
      </c>
      <c r="I31" s="47">
        <f>IF(H31="","",H31-TODAY())</f>
        <v/>
      </c>
      <c r="J31" s="43">
        <f>IF(NOT(ISNUMBER(E31)),"Intervall fehlt",IF(G31="","nicht erfasst",IF(I31&lt;0,"überfällig",IF(I31&lt;=P_Vorwarn,"bald fällig","in Ordnung"))))</f>
        <v/>
      </c>
      <c r="K31" s="83" t="n"/>
      <c r="L31" s="83" t="n"/>
      <c r="M31" s="6" t="n"/>
    </row>
    <row r="32" ht="18" customHeight="1">
      <c r="A32" s="97" t="inlineStr">
        <is>
          <t>5.3.3</t>
        </is>
      </c>
      <c r="B32" s="15">
        <f>IFERROR(INDEX(Wartungsplan!$AC$6:$AC$323,MATCH($A32,Wartungsplan!$A$6:$A$323,0)),"")</f>
        <v/>
      </c>
      <c r="C32" s="15">
        <f>IFERROR(INDEX(Wartungsplan!$B$6:$B$323,MATCH($A32,Wartungsplan!$A$6:$A$323,0)),"")</f>
        <v/>
      </c>
      <c r="D32" s="43">
        <f>IFERROR(INDEX(Wartungsplan!$U$6:$U$323,MATCH($A32,Wartungsplan!$A$6:$A$323,0)),"")</f>
        <v/>
      </c>
      <c r="E32" s="85">
        <f>IFERROR(INDEX(Wartungsplan!$V$6:$V$323,MATCH($A32,Wartungsplan!$A$6:$A$323,0)),"")</f>
        <v/>
      </c>
      <c r="F32" s="43">
        <f>IFERROR(IF(INDEX(Wartungsplan!$Z$6:$Z$323,MATCH($A32,Wartungsplan!$A$6:$A$323,0))="","",INDEX(Wartungsplan!$Z$6:$Z$323,MATCH($A32,Wartungsplan!$A$6:$A$323,0))),"")</f>
        <v/>
      </c>
      <c r="G32" s="98" t="n"/>
      <c r="H32" s="99">
        <f>IF(OR(G32="",NOT(ISNUMBER(E32))),"",G32+E32*7)</f>
        <v/>
      </c>
      <c r="I32" s="47">
        <f>IF(H32="","",H32-TODAY())</f>
        <v/>
      </c>
      <c r="J32" s="43">
        <f>IF(NOT(ISNUMBER(E32)),"Intervall fehlt",IF(G32="","nicht erfasst",IF(I32&lt;0,"überfällig",IF(I32&lt;=P_Vorwarn,"bald fällig","in Ordnung"))))</f>
        <v/>
      </c>
      <c r="K32" s="83" t="n"/>
      <c r="L32" s="83" t="n"/>
      <c r="M32" s="6" t="n"/>
    </row>
    <row r="33" ht="18" customHeight="1">
      <c r="A33" s="97" t="inlineStr">
        <is>
          <t>5.3.4</t>
        </is>
      </c>
      <c r="B33" s="15">
        <f>IFERROR(INDEX(Wartungsplan!$AC$6:$AC$323,MATCH($A33,Wartungsplan!$A$6:$A$323,0)),"")</f>
        <v/>
      </c>
      <c r="C33" s="15">
        <f>IFERROR(INDEX(Wartungsplan!$B$6:$B$323,MATCH($A33,Wartungsplan!$A$6:$A$323,0)),"")</f>
        <v/>
      </c>
      <c r="D33" s="43">
        <f>IFERROR(INDEX(Wartungsplan!$U$6:$U$323,MATCH($A33,Wartungsplan!$A$6:$A$323,0)),"")</f>
        <v/>
      </c>
      <c r="E33" s="85">
        <f>IFERROR(INDEX(Wartungsplan!$V$6:$V$323,MATCH($A33,Wartungsplan!$A$6:$A$323,0)),"")</f>
        <v/>
      </c>
      <c r="F33" s="43">
        <f>IFERROR(IF(INDEX(Wartungsplan!$Z$6:$Z$323,MATCH($A33,Wartungsplan!$A$6:$A$323,0))="","",INDEX(Wartungsplan!$Z$6:$Z$323,MATCH($A33,Wartungsplan!$A$6:$A$323,0))),"")</f>
        <v/>
      </c>
      <c r="G33" s="98" t="n"/>
      <c r="H33" s="99">
        <f>IF(OR(G33="",NOT(ISNUMBER(E33))),"",G33+E33*7)</f>
        <v/>
      </c>
      <c r="I33" s="47">
        <f>IF(H33="","",H33-TODAY())</f>
        <v/>
      </c>
      <c r="J33" s="43">
        <f>IF(NOT(ISNUMBER(E33)),"Intervall fehlt",IF(G33="","nicht erfasst",IF(I33&lt;0,"überfällig",IF(I33&lt;=P_Vorwarn,"bald fällig","in Ordnung"))))</f>
        <v/>
      </c>
      <c r="K33" s="83" t="n"/>
      <c r="L33" s="83" t="n"/>
      <c r="M33" s="6" t="n"/>
    </row>
    <row r="34" ht="30" customHeight="1">
      <c r="A34" s="97" t="inlineStr">
        <is>
          <t>5.3.5</t>
        </is>
      </c>
      <c r="B34" s="15">
        <f>IFERROR(INDEX(Wartungsplan!$AC$6:$AC$323,MATCH($A34,Wartungsplan!$A$6:$A$323,0)),"")</f>
        <v/>
      </c>
      <c r="C34" s="15">
        <f>IFERROR(INDEX(Wartungsplan!$B$6:$B$323,MATCH($A34,Wartungsplan!$A$6:$A$323,0)),"")</f>
        <v/>
      </c>
      <c r="D34" s="43">
        <f>IFERROR(INDEX(Wartungsplan!$U$6:$U$323,MATCH($A34,Wartungsplan!$A$6:$A$323,0)),"")</f>
        <v/>
      </c>
      <c r="E34" s="85">
        <f>IFERROR(INDEX(Wartungsplan!$V$6:$V$323,MATCH($A34,Wartungsplan!$A$6:$A$323,0)),"")</f>
        <v/>
      </c>
      <c r="F34" s="43">
        <f>IFERROR(IF(INDEX(Wartungsplan!$Z$6:$Z$323,MATCH($A34,Wartungsplan!$A$6:$A$323,0))="","",INDEX(Wartungsplan!$Z$6:$Z$323,MATCH($A34,Wartungsplan!$A$6:$A$323,0))),"")</f>
        <v/>
      </c>
      <c r="G34" s="98" t="n"/>
      <c r="H34" s="99">
        <f>IF(OR(G34="",NOT(ISNUMBER(E34))),"",G34+E34*7)</f>
        <v/>
      </c>
      <c r="I34" s="47">
        <f>IF(H34="","",H34-TODAY())</f>
        <v/>
      </c>
      <c r="J34" s="43">
        <f>IF(NOT(ISNUMBER(E34)),"Intervall fehlt",IF(G34="","nicht erfasst",IF(I34&lt;0,"überfällig",IF(I34&lt;=P_Vorwarn,"bald fällig","in Ordnung"))))</f>
        <v/>
      </c>
      <c r="K34" s="83" t="n"/>
      <c r="L34" s="83" t="n"/>
      <c r="M34" s="6" t="n"/>
    </row>
    <row r="35" ht="18" customHeight="1">
      <c r="A35" s="97" t="inlineStr">
        <is>
          <t>6.1.1</t>
        </is>
      </c>
      <c r="B35" s="15">
        <f>IFERROR(INDEX(Wartungsplan!$AC$6:$AC$323,MATCH($A35,Wartungsplan!$A$6:$A$323,0)),"")</f>
        <v/>
      </c>
      <c r="C35" s="15">
        <f>IFERROR(INDEX(Wartungsplan!$B$6:$B$323,MATCH($A35,Wartungsplan!$A$6:$A$323,0)),"")</f>
        <v/>
      </c>
      <c r="D35" s="43">
        <f>IFERROR(INDEX(Wartungsplan!$U$6:$U$323,MATCH($A35,Wartungsplan!$A$6:$A$323,0)),"")</f>
        <v/>
      </c>
      <c r="E35" s="85">
        <f>IFERROR(INDEX(Wartungsplan!$V$6:$V$323,MATCH($A35,Wartungsplan!$A$6:$A$323,0)),"")</f>
        <v/>
      </c>
      <c r="F35" s="43">
        <f>IFERROR(IF(INDEX(Wartungsplan!$Z$6:$Z$323,MATCH($A35,Wartungsplan!$A$6:$A$323,0))="","",INDEX(Wartungsplan!$Z$6:$Z$323,MATCH($A35,Wartungsplan!$A$6:$A$323,0))),"")</f>
        <v/>
      </c>
      <c r="G35" s="98" t="n"/>
      <c r="H35" s="99">
        <f>IF(OR(G35="",NOT(ISNUMBER(E35))),"",G35+E35*7)</f>
        <v/>
      </c>
      <c r="I35" s="47">
        <f>IF(H35="","",H35-TODAY())</f>
        <v/>
      </c>
      <c r="J35" s="43">
        <f>IF(NOT(ISNUMBER(E35)),"Intervall fehlt",IF(G35="","nicht erfasst",IF(I35&lt;0,"überfällig",IF(I35&lt;=P_Vorwarn,"bald fällig","in Ordnung"))))</f>
        <v/>
      </c>
      <c r="K35" s="83" t="n"/>
      <c r="L35" s="83" t="n"/>
      <c r="M35" s="6" t="n"/>
    </row>
    <row r="36" ht="30" customHeight="1">
      <c r="A36" s="97" t="inlineStr">
        <is>
          <t>6.1.2</t>
        </is>
      </c>
      <c r="B36" s="15">
        <f>IFERROR(INDEX(Wartungsplan!$AC$6:$AC$323,MATCH($A36,Wartungsplan!$A$6:$A$323,0)),"")</f>
        <v/>
      </c>
      <c r="C36" s="15">
        <f>IFERROR(INDEX(Wartungsplan!$B$6:$B$323,MATCH($A36,Wartungsplan!$A$6:$A$323,0)),"")</f>
        <v/>
      </c>
      <c r="D36" s="43">
        <f>IFERROR(INDEX(Wartungsplan!$U$6:$U$323,MATCH($A36,Wartungsplan!$A$6:$A$323,0)),"")</f>
        <v/>
      </c>
      <c r="E36" s="85">
        <f>IFERROR(INDEX(Wartungsplan!$V$6:$V$323,MATCH($A36,Wartungsplan!$A$6:$A$323,0)),"")</f>
        <v/>
      </c>
      <c r="F36" s="43">
        <f>IFERROR(IF(INDEX(Wartungsplan!$Z$6:$Z$323,MATCH($A36,Wartungsplan!$A$6:$A$323,0))="","",INDEX(Wartungsplan!$Z$6:$Z$323,MATCH($A36,Wartungsplan!$A$6:$A$323,0))),"")</f>
        <v/>
      </c>
      <c r="G36" s="98" t="n"/>
      <c r="H36" s="99">
        <f>IF(OR(G36="",NOT(ISNUMBER(E36))),"",G36+E36*7)</f>
        <v/>
      </c>
      <c r="I36" s="47">
        <f>IF(H36="","",H36-TODAY())</f>
        <v/>
      </c>
      <c r="J36" s="43">
        <f>IF(NOT(ISNUMBER(E36)),"Intervall fehlt",IF(G36="","nicht erfasst",IF(I36&lt;0,"überfällig",IF(I36&lt;=P_Vorwarn,"bald fällig","in Ordnung"))))</f>
        <v/>
      </c>
      <c r="K36" s="83" t="n"/>
      <c r="L36" s="83" t="n"/>
      <c r="M36" s="6" t="n"/>
    </row>
    <row r="37" ht="30" customHeight="1">
      <c r="A37" s="97" t="inlineStr">
        <is>
          <t>6.1.3</t>
        </is>
      </c>
      <c r="B37" s="15">
        <f>IFERROR(INDEX(Wartungsplan!$AC$6:$AC$323,MATCH($A37,Wartungsplan!$A$6:$A$323,0)),"")</f>
        <v/>
      </c>
      <c r="C37" s="15">
        <f>IFERROR(INDEX(Wartungsplan!$B$6:$B$323,MATCH($A37,Wartungsplan!$A$6:$A$323,0)),"")</f>
        <v/>
      </c>
      <c r="D37" s="43">
        <f>IFERROR(INDEX(Wartungsplan!$U$6:$U$323,MATCH($A37,Wartungsplan!$A$6:$A$323,0)),"")</f>
        <v/>
      </c>
      <c r="E37" s="85">
        <f>IFERROR(INDEX(Wartungsplan!$V$6:$V$323,MATCH($A37,Wartungsplan!$A$6:$A$323,0)),"")</f>
        <v/>
      </c>
      <c r="F37" s="43">
        <f>IFERROR(IF(INDEX(Wartungsplan!$Z$6:$Z$323,MATCH($A37,Wartungsplan!$A$6:$A$323,0))="","",INDEX(Wartungsplan!$Z$6:$Z$323,MATCH($A37,Wartungsplan!$A$6:$A$323,0))),"")</f>
        <v/>
      </c>
      <c r="G37" s="98" t="n"/>
      <c r="H37" s="99">
        <f>IF(OR(G37="",NOT(ISNUMBER(E37))),"",G37+E37*7)</f>
        <v/>
      </c>
      <c r="I37" s="47">
        <f>IF(H37="","",H37-TODAY())</f>
        <v/>
      </c>
      <c r="J37" s="43">
        <f>IF(NOT(ISNUMBER(E37)),"Intervall fehlt",IF(G37="","nicht erfasst",IF(I37&lt;0,"überfällig",IF(I37&lt;=P_Vorwarn,"bald fällig","in Ordnung"))))</f>
        <v/>
      </c>
      <c r="K37" s="83" t="n"/>
      <c r="L37" s="83" t="n"/>
      <c r="M37" s="6" t="n"/>
    </row>
    <row r="38" ht="30" customHeight="1">
      <c r="A38" s="97" t="inlineStr">
        <is>
          <t>6.1.4</t>
        </is>
      </c>
      <c r="B38" s="15">
        <f>IFERROR(INDEX(Wartungsplan!$AC$6:$AC$323,MATCH($A38,Wartungsplan!$A$6:$A$323,0)),"")</f>
        <v/>
      </c>
      <c r="C38" s="15">
        <f>IFERROR(INDEX(Wartungsplan!$B$6:$B$323,MATCH($A38,Wartungsplan!$A$6:$A$323,0)),"")</f>
        <v/>
      </c>
      <c r="D38" s="43">
        <f>IFERROR(INDEX(Wartungsplan!$U$6:$U$323,MATCH($A38,Wartungsplan!$A$6:$A$323,0)),"")</f>
        <v/>
      </c>
      <c r="E38" s="85">
        <f>IFERROR(INDEX(Wartungsplan!$V$6:$V$323,MATCH($A38,Wartungsplan!$A$6:$A$323,0)),"")</f>
        <v/>
      </c>
      <c r="F38" s="43">
        <f>IFERROR(IF(INDEX(Wartungsplan!$Z$6:$Z$323,MATCH($A38,Wartungsplan!$A$6:$A$323,0))="","",INDEX(Wartungsplan!$Z$6:$Z$323,MATCH($A38,Wartungsplan!$A$6:$A$323,0))),"")</f>
        <v/>
      </c>
      <c r="G38" s="98" t="n"/>
      <c r="H38" s="99">
        <f>IF(OR(G38="",NOT(ISNUMBER(E38))),"",G38+E38*7)</f>
        <v/>
      </c>
      <c r="I38" s="47">
        <f>IF(H38="","",H38-TODAY())</f>
        <v/>
      </c>
      <c r="J38" s="43">
        <f>IF(NOT(ISNUMBER(E38)),"Intervall fehlt",IF(G38="","nicht erfasst",IF(I38&lt;0,"überfällig",IF(I38&lt;=P_Vorwarn,"bald fällig","in Ordnung"))))</f>
        <v/>
      </c>
      <c r="K38" s="83" t="n"/>
      <c r="L38" s="83" t="n"/>
      <c r="M38" s="6" t="n"/>
    </row>
    <row r="39" ht="18" customHeight="1">
      <c r="A39" s="97" t="inlineStr">
        <is>
          <t>6.1.5</t>
        </is>
      </c>
      <c r="B39" s="15">
        <f>IFERROR(INDEX(Wartungsplan!$AC$6:$AC$323,MATCH($A39,Wartungsplan!$A$6:$A$323,0)),"")</f>
        <v/>
      </c>
      <c r="C39" s="15">
        <f>IFERROR(INDEX(Wartungsplan!$B$6:$B$323,MATCH($A39,Wartungsplan!$A$6:$A$323,0)),"")</f>
        <v/>
      </c>
      <c r="D39" s="43">
        <f>IFERROR(INDEX(Wartungsplan!$U$6:$U$323,MATCH($A39,Wartungsplan!$A$6:$A$323,0)),"")</f>
        <v/>
      </c>
      <c r="E39" s="85">
        <f>IFERROR(INDEX(Wartungsplan!$V$6:$V$323,MATCH($A39,Wartungsplan!$A$6:$A$323,0)),"")</f>
        <v/>
      </c>
      <c r="F39" s="43">
        <f>IFERROR(IF(INDEX(Wartungsplan!$Z$6:$Z$323,MATCH($A39,Wartungsplan!$A$6:$A$323,0))="","",INDEX(Wartungsplan!$Z$6:$Z$323,MATCH($A39,Wartungsplan!$A$6:$A$323,0))),"")</f>
        <v/>
      </c>
      <c r="G39" s="98" t="n"/>
      <c r="H39" s="99">
        <f>IF(OR(G39="",NOT(ISNUMBER(E39))),"",G39+E39*7)</f>
        <v/>
      </c>
      <c r="I39" s="47">
        <f>IF(H39="","",H39-TODAY())</f>
        <v/>
      </c>
      <c r="J39" s="43">
        <f>IF(NOT(ISNUMBER(E39)),"Intervall fehlt",IF(G39="","nicht erfasst",IF(I39&lt;0,"überfällig",IF(I39&lt;=P_Vorwarn,"bald fällig","in Ordnung"))))</f>
        <v/>
      </c>
      <c r="K39" s="83" t="n"/>
      <c r="L39" s="83" t="n"/>
      <c r="M39" s="6" t="n"/>
    </row>
    <row r="40" ht="30" customHeight="1">
      <c r="A40" s="97" t="inlineStr">
        <is>
          <t>6.1.6</t>
        </is>
      </c>
      <c r="B40" s="15">
        <f>IFERROR(INDEX(Wartungsplan!$AC$6:$AC$323,MATCH($A40,Wartungsplan!$A$6:$A$323,0)),"")</f>
        <v/>
      </c>
      <c r="C40" s="15">
        <f>IFERROR(INDEX(Wartungsplan!$B$6:$B$323,MATCH($A40,Wartungsplan!$A$6:$A$323,0)),"")</f>
        <v/>
      </c>
      <c r="D40" s="43">
        <f>IFERROR(INDEX(Wartungsplan!$U$6:$U$323,MATCH($A40,Wartungsplan!$A$6:$A$323,0)),"")</f>
        <v/>
      </c>
      <c r="E40" s="85">
        <f>IFERROR(INDEX(Wartungsplan!$V$6:$V$323,MATCH($A40,Wartungsplan!$A$6:$A$323,0)),"")</f>
        <v/>
      </c>
      <c r="F40" s="43">
        <f>IFERROR(IF(INDEX(Wartungsplan!$Z$6:$Z$323,MATCH($A40,Wartungsplan!$A$6:$A$323,0))="","",INDEX(Wartungsplan!$Z$6:$Z$323,MATCH($A40,Wartungsplan!$A$6:$A$323,0))),"")</f>
        <v/>
      </c>
      <c r="G40" s="98" t="n"/>
      <c r="H40" s="99">
        <f>IF(OR(G40="",NOT(ISNUMBER(E40))),"",G40+E40*7)</f>
        <v/>
      </c>
      <c r="I40" s="47">
        <f>IF(H40="","",H40-TODAY())</f>
        <v/>
      </c>
      <c r="J40" s="43">
        <f>IF(NOT(ISNUMBER(E40)),"Intervall fehlt",IF(G40="","nicht erfasst",IF(I40&lt;0,"überfällig",IF(I40&lt;=P_Vorwarn,"bald fällig","in Ordnung"))))</f>
        <v/>
      </c>
      <c r="K40" s="83" t="n"/>
      <c r="L40" s="83" t="n"/>
      <c r="M40" s="6" t="n"/>
    </row>
    <row r="41" ht="30" customHeight="1">
      <c r="A41" s="97" t="inlineStr">
        <is>
          <t>6.1.7</t>
        </is>
      </c>
      <c r="B41" s="15">
        <f>IFERROR(INDEX(Wartungsplan!$AC$6:$AC$323,MATCH($A41,Wartungsplan!$A$6:$A$323,0)),"")</f>
        <v/>
      </c>
      <c r="C41" s="15">
        <f>IFERROR(INDEX(Wartungsplan!$B$6:$B$323,MATCH($A41,Wartungsplan!$A$6:$A$323,0)),"")</f>
        <v/>
      </c>
      <c r="D41" s="43">
        <f>IFERROR(INDEX(Wartungsplan!$U$6:$U$323,MATCH($A41,Wartungsplan!$A$6:$A$323,0)),"")</f>
        <v/>
      </c>
      <c r="E41" s="85">
        <f>IFERROR(INDEX(Wartungsplan!$V$6:$V$323,MATCH($A41,Wartungsplan!$A$6:$A$323,0)),"")</f>
        <v/>
      </c>
      <c r="F41" s="43">
        <f>IFERROR(IF(INDEX(Wartungsplan!$Z$6:$Z$323,MATCH($A41,Wartungsplan!$A$6:$A$323,0))="","",INDEX(Wartungsplan!$Z$6:$Z$323,MATCH($A41,Wartungsplan!$A$6:$A$323,0))),"")</f>
        <v/>
      </c>
      <c r="G41" s="98" t="n"/>
      <c r="H41" s="99">
        <f>IF(OR(G41="",NOT(ISNUMBER(E41))),"",G41+E41*7)</f>
        <v/>
      </c>
      <c r="I41" s="47">
        <f>IF(H41="","",H41-TODAY())</f>
        <v/>
      </c>
      <c r="J41" s="43">
        <f>IF(NOT(ISNUMBER(E41)),"Intervall fehlt",IF(G41="","nicht erfasst",IF(I41&lt;0,"überfällig",IF(I41&lt;=P_Vorwarn,"bald fällig","in Ordnung"))))</f>
        <v/>
      </c>
      <c r="K41" s="83" t="n"/>
      <c r="L41" s="83" t="n"/>
      <c r="M41" s="6" t="n"/>
    </row>
    <row r="42" ht="18" customHeight="1">
      <c r="A42" s="97" t="inlineStr">
        <is>
          <t>6.2.1</t>
        </is>
      </c>
      <c r="B42" s="15">
        <f>IFERROR(INDEX(Wartungsplan!$AC$6:$AC$323,MATCH($A42,Wartungsplan!$A$6:$A$323,0)),"")</f>
        <v/>
      </c>
      <c r="C42" s="15">
        <f>IFERROR(INDEX(Wartungsplan!$B$6:$B$323,MATCH($A42,Wartungsplan!$A$6:$A$323,0)),"")</f>
        <v/>
      </c>
      <c r="D42" s="43">
        <f>IFERROR(INDEX(Wartungsplan!$U$6:$U$323,MATCH($A42,Wartungsplan!$A$6:$A$323,0)),"")</f>
        <v/>
      </c>
      <c r="E42" s="85">
        <f>IFERROR(INDEX(Wartungsplan!$V$6:$V$323,MATCH($A42,Wartungsplan!$A$6:$A$323,0)),"")</f>
        <v/>
      </c>
      <c r="F42" s="43">
        <f>IFERROR(IF(INDEX(Wartungsplan!$Z$6:$Z$323,MATCH($A42,Wartungsplan!$A$6:$A$323,0))="","",INDEX(Wartungsplan!$Z$6:$Z$323,MATCH($A42,Wartungsplan!$A$6:$A$323,0))),"")</f>
        <v/>
      </c>
      <c r="G42" s="98" t="n"/>
      <c r="H42" s="99">
        <f>IF(OR(G42="",NOT(ISNUMBER(E42))),"",G42+E42*7)</f>
        <v/>
      </c>
      <c r="I42" s="47">
        <f>IF(H42="","",H42-TODAY())</f>
        <v/>
      </c>
      <c r="J42" s="43">
        <f>IF(NOT(ISNUMBER(E42)),"Intervall fehlt",IF(G42="","nicht erfasst",IF(I42&lt;0,"überfällig",IF(I42&lt;=P_Vorwarn,"bald fällig","in Ordnung"))))</f>
        <v/>
      </c>
      <c r="K42" s="83" t="n"/>
      <c r="L42" s="83" t="n"/>
      <c r="M42" s="6" t="n"/>
    </row>
    <row r="43" ht="18" customHeight="1">
      <c r="A43" s="97" t="inlineStr">
        <is>
          <t>6.2.2</t>
        </is>
      </c>
      <c r="B43" s="15">
        <f>IFERROR(INDEX(Wartungsplan!$AC$6:$AC$323,MATCH($A43,Wartungsplan!$A$6:$A$323,0)),"")</f>
        <v/>
      </c>
      <c r="C43" s="15">
        <f>IFERROR(INDEX(Wartungsplan!$B$6:$B$323,MATCH($A43,Wartungsplan!$A$6:$A$323,0)),"")</f>
        <v/>
      </c>
      <c r="D43" s="43">
        <f>IFERROR(INDEX(Wartungsplan!$U$6:$U$323,MATCH($A43,Wartungsplan!$A$6:$A$323,0)),"")</f>
        <v/>
      </c>
      <c r="E43" s="85">
        <f>IFERROR(INDEX(Wartungsplan!$V$6:$V$323,MATCH($A43,Wartungsplan!$A$6:$A$323,0)),"")</f>
        <v/>
      </c>
      <c r="F43" s="43">
        <f>IFERROR(IF(INDEX(Wartungsplan!$Z$6:$Z$323,MATCH($A43,Wartungsplan!$A$6:$A$323,0))="","",INDEX(Wartungsplan!$Z$6:$Z$323,MATCH($A43,Wartungsplan!$A$6:$A$323,0))),"")</f>
        <v/>
      </c>
      <c r="G43" s="98" t="n"/>
      <c r="H43" s="99">
        <f>IF(OR(G43="",NOT(ISNUMBER(E43))),"",G43+E43*7)</f>
        <v/>
      </c>
      <c r="I43" s="47">
        <f>IF(H43="","",H43-TODAY())</f>
        <v/>
      </c>
      <c r="J43" s="43">
        <f>IF(NOT(ISNUMBER(E43)),"Intervall fehlt",IF(G43="","nicht erfasst",IF(I43&lt;0,"überfällig",IF(I43&lt;=P_Vorwarn,"bald fällig","in Ordnung"))))</f>
        <v/>
      </c>
      <c r="K43" s="83" t="n"/>
      <c r="L43" s="83" t="n"/>
      <c r="M43" s="6" t="n"/>
    </row>
    <row r="44" ht="18" customHeight="1">
      <c r="A44" s="97" t="inlineStr">
        <is>
          <t>6.2.3</t>
        </is>
      </c>
      <c r="B44" s="15">
        <f>IFERROR(INDEX(Wartungsplan!$AC$6:$AC$323,MATCH($A44,Wartungsplan!$A$6:$A$323,0)),"")</f>
        <v/>
      </c>
      <c r="C44" s="15">
        <f>IFERROR(INDEX(Wartungsplan!$B$6:$B$323,MATCH($A44,Wartungsplan!$A$6:$A$323,0)),"")</f>
        <v/>
      </c>
      <c r="D44" s="43">
        <f>IFERROR(INDEX(Wartungsplan!$U$6:$U$323,MATCH($A44,Wartungsplan!$A$6:$A$323,0)),"")</f>
        <v/>
      </c>
      <c r="E44" s="85">
        <f>IFERROR(INDEX(Wartungsplan!$V$6:$V$323,MATCH($A44,Wartungsplan!$A$6:$A$323,0)),"")</f>
        <v/>
      </c>
      <c r="F44" s="43">
        <f>IFERROR(IF(INDEX(Wartungsplan!$Z$6:$Z$323,MATCH($A44,Wartungsplan!$A$6:$A$323,0))="","",INDEX(Wartungsplan!$Z$6:$Z$323,MATCH($A44,Wartungsplan!$A$6:$A$323,0))),"")</f>
        <v/>
      </c>
      <c r="G44" s="98" t="n"/>
      <c r="H44" s="99">
        <f>IF(OR(G44="",NOT(ISNUMBER(E44))),"",G44+E44*7)</f>
        <v/>
      </c>
      <c r="I44" s="47">
        <f>IF(H44="","",H44-TODAY())</f>
        <v/>
      </c>
      <c r="J44" s="43">
        <f>IF(NOT(ISNUMBER(E44)),"Intervall fehlt",IF(G44="","nicht erfasst",IF(I44&lt;0,"überfällig",IF(I44&lt;=P_Vorwarn,"bald fällig","in Ordnung"))))</f>
        <v/>
      </c>
      <c r="K44" s="83" t="n"/>
      <c r="L44" s="83" t="n"/>
      <c r="M44" s="6" t="n"/>
    </row>
    <row r="45" ht="18" customHeight="1">
      <c r="A45" s="97" t="inlineStr">
        <is>
          <t>6.2.4</t>
        </is>
      </c>
      <c r="B45" s="15">
        <f>IFERROR(INDEX(Wartungsplan!$AC$6:$AC$323,MATCH($A45,Wartungsplan!$A$6:$A$323,0)),"")</f>
        <v/>
      </c>
      <c r="C45" s="15">
        <f>IFERROR(INDEX(Wartungsplan!$B$6:$B$323,MATCH($A45,Wartungsplan!$A$6:$A$323,0)),"")</f>
        <v/>
      </c>
      <c r="D45" s="43">
        <f>IFERROR(INDEX(Wartungsplan!$U$6:$U$323,MATCH($A45,Wartungsplan!$A$6:$A$323,0)),"")</f>
        <v/>
      </c>
      <c r="E45" s="85">
        <f>IFERROR(INDEX(Wartungsplan!$V$6:$V$323,MATCH($A45,Wartungsplan!$A$6:$A$323,0)),"")</f>
        <v/>
      </c>
      <c r="F45" s="43">
        <f>IFERROR(IF(INDEX(Wartungsplan!$Z$6:$Z$323,MATCH($A45,Wartungsplan!$A$6:$A$323,0))="","",INDEX(Wartungsplan!$Z$6:$Z$323,MATCH($A45,Wartungsplan!$A$6:$A$323,0))),"")</f>
        <v/>
      </c>
      <c r="G45" s="98" t="n"/>
      <c r="H45" s="99">
        <f>IF(OR(G45="",NOT(ISNUMBER(E45))),"",G45+E45*7)</f>
        <v/>
      </c>
      <c r="I45" s="47">
        <f>IF(H45="","",H45-TODAY())</f>
        <v/>
      </c>
      <c r="J45" s="43">
        <f>IF(NOT(ISNUMBER(E45)),"Intervall fehlt",IF(G45="","nicht erfasst",IF(I45&lt;0,"überfällig",IF(I45&lt;=P_Vorwarn,"bald fällig","in Ordnung"))))</f>
        <v/>
      </c>
      <c r="K45" s="83" t="n"/>
      <c r="L45" s="83" t="n"/>
      <c r="M45" s="6" t="n"/>
    </row>
    <row r="46" ht="30" customHeight="1">
      <c r="A46" s="97" t="inlineStr">
        <is>
          <t>6.2.5</t>
        </is>
      </c>
      <c r="B46" s="15">
        <f>IFERROR(INDEX(Wartungsplan!$AC$6:$AC$323,MATCH($A46,Wartungsplan!$A$6:$A$323,0)),"")</f>
        <v/>
      </c>
      <c r="C46" s="15">
        <f>IFERROR(INDEX(Wartungsplan!$B$6:$B$323,MATCH($A46,Wartungsplan!$A$6:$A$323,0)),"")</f>
        <v/>
      </c>
      <c r="D46" s="43">
        <f>IFERROR(INDEX(Wartungsplan!$U$6:$U$323,MATCH($A46,Wartungsplan!$A$6:$A$323,0)),"")</f>
        <v/>
      </c>
      <c r="E46" s="85">
        <f>IFERROR(INDEX(Wartungsplan!$V$6:$V$323,MATCH($A46,Wartungsplan!$A$6:$A$323,0)),"")</f>
        <v/>
      </c>
      <c r="F46" s="43">
        <f>IFERROR(IF(INDEX(Wartungsplan!$Z$6:$Z$323,MATCH($A46,Wartungsplan!$A$6:$A$323,0))="","",INDEX(Wartungsplan!$Z$6:$Z$323,MATCH($A46,Wartungsplan!$A$6:$A$323,0))),"")</f>
        <v/>
      </c>
      <c r="G46" s="98" t="n"/>
      <c r="H46" s="99">
        <f>IF(OR(G46="",NOT(ISNUMBER(E46))),"",G46+E46*7)</f>
        <v/>
      </c>
      <c r="I46" s="47">
        <f>IF(H46="","",H46-TODAY())</f>
        <v/>
      </c>
      <c r="J46" s="43">
        <f>IF(NOT(ISNUMBER(E46)),"Intervall fehlt",IF(G46="","nicht erfasst",IF(I46&lt;0,"überfällig",IF(I46&lt;=P_Vorwarn,"bald fällig","in Ordnung"))))</f>
        <v/>
      </c>
      <c r="K46" s="83" t="n"/>
      <c r="L46" s="83" t="n"/>
      <c r="M46" s="6" t="n"/>
    </row>
    <row r="47" ht="30" customHeight="1">
      <c r="A47" s="97" t="inlineStr">
        <is>
          <t>7.1</t>
        </is>
      </c>
      <c r="B47" s="15">
        <f>IFERROR(INDEX(Wartungsplan!$AC$6:$AC$323,MATCH($A47,Wartungsplan!$A$6:$A$323,0)),"")</f>
        <v/>
      </c>
      <c r="C47" s="15">
        <f>IFERROR(INDEX(Wartungsplan!$B$6:$B$323,MATCH($A47,Wartungsplan!$A$6:$A$323,0)),"")</f>
        <v/>
      </c>
      <c r="D47" s="43">
        <f>IFERROR(INDEX(Wartungsplan!$U$6:$U$323,MATCH($A47,Wartungsplan!$A$6:$A$323,0)),"")</f>
        <v/>
      </c>
      <c r="E47" s="85">
        <f>IFERROR(INDEX(Wartungsplan!$V$6:$V$323,MATCH($A47,Wartungsplan!$A$6:$A$323,0)),"")</f>
        <v/>
      </c>
      <c r="F47" s="43">
        <f>IFERROR(IF(INDEX(Wartungsplan!$Z$6:$Z$323,MATCH($A47,Wartungsplan!$A$6:$A$323,0))="","",INDEX(Wartungsplan!$Z$6:$Z$323,MATCH($A47,Wartungsplan!$A$6:$A$323,0))),"")</f>
        <v/>
      </c>
      <c r="G47" s="98" t="n"/>
      <c r="H47" s="99">
        <f>IF(OR(G47="",NOT(ISNUMBER(E47))),"",G47+E47*7)</f>
        <v/>
      </c>
      <c r="I47" s="47">
        <f>IF(H47="","",H47-TODAY())</f>
        <v/>
      </c>
      <c r="J47" s="43">
        <f>IF(NOT(ISNUMBER(E47)),"Intervall fehlt",IF(G47="","nicht erfasst",IF(I47&lt;0,"überfällig",IF(I47&lt;=P_Vorwarn,"bald fällig","in Ordnung"))))</f>
        <v/>
      </c>
      <c r="K47" s="83" t="n"/>
      <c r="L47" s="83" t="n"/>
      <c r="M47" s="6" t="n"/>
    </row>
    <row r="48" ht="30" customHeight="1">
      <c r="A48" s="97" t="inlineStr">
        <is>
          <t>8.1</t>
        </is>
      </c>
      <c r="B48" s="15">
        <f>IFERROR(INDEX(Wartungsplan!$AC$6:$AC$323,MATCH($A48,Wartungsplan!$A$6:$A$323,0)),"")</f>
        <v/>
      </c>
      <c r="C48" s="15">
        <f>IFERROR(INDEX(Wartungsplan!$B$6:$B$323,MATCH($A48,Wartungsplan!$A$6:$A$323,0)),"")</f>
        <v/>
      </c>
      <c r="D48" s="43">
        <f>IFERROR(INDEX(Wartungsplan!$U$6:$U$323,MATCH($A48,Wartungsplan!$A$6:$A$323,0)),"")</f>
        <v/>
      </c>
      <c r="E48" s="85">
        <f>IFERROR(INDEX(Wartungsplan!$V$6:$V$323,MATCH($A48,Wartungsplan!$A$6:$A$323,0)),"")</f>
        <v/>
      </c>
      <c r="F48" s="43">
        <f>IFERROR(IF(INDEX(Wartungsplan!$Z$6:$Z$323,MATCH($A48,Wartungsplan!$A$6:$A$323,0))="","",INDEX(Wartungsplan!$Z$6:$Z$323,MATCH($A48,Wartungsplan!$A$6:$A$323,0))),"")</f>
        <v/>
      </c>
      <c r="G48" s="98" t="n"/>
      <c r="H48" s="99">
        <f>IF(OR(G48="",NOT(ISNUMBER(E48))),"",G48+E48*7)</f>
        <v/>
      </c>
      <c r="I48" s="47">
        <f>IF(H48="","",H48-TODAY())</f>
        <v/>
      </c>
      <c r="J48" s="43">
        <f>IF(NOT(ISNUMBER(E48)),"Intervall fehlt",IF(G48="","nicht erfasst",IF(I48&lt;0,"überfällig",IF(I48&lt;=P_Vorwarn,"bald fällig","in Ordnung"))))</f>
        <v/>
      </c>
      <c r="K48" s="83" t="n"/>
      <c r="L48" s="83" t="n"/>
      <c r="M48" s="6" t="n"/>
    </row>
    <row r="49" ht="30" customHeight="1">
      <c r="A49" s="97" t="inlineStr">
        <is>
          <t>8.2</t>
        </is>
      </c>
      <c r="B49" s="15">
        <f>IFERROR(INDEX(Wartungsplan!$AC$6:$AC$323,MATCH($A49,Wartungsplan!$A$6:$A$323,0)),"")</f>
        <v/>
      </c>
      <c r="C49" s="15">
        <f>IFERROR(INDEX(Wartungsplan!$B$6:$B$323,MATCH($A49,Wartungsplan!$A$6:$A$323,0)),"")</f>
        <v/>
      </c>
      <c r="D49" s="43">
        <f>IFERROR(INDEX(Wartungsplan!$U$6:$U$323,MATCH($A49,Wartungsplan!$A$6:$A$323,0)),"")</f>
        <v/>
      </c>
      <c r="E49" s="85">
        <f>IFERROR(INDEX(Wartungsplan!$V$6:$V$323,MATCH($A49,Wartungsplan!$A$6:$A$323,0)),"")</f>
        <v/>
      </c>
      <c r="F49" s="43">
        <f>IFERROR(IF(INDEX(Wartungsplan!$Z$6:$Z$323,MATCH($A49,Wartungsplan!$A$6:$A$323,0))="","",INDEX(Wartungsplan!$Z$6:$Z$323,MATCH($A49,Wartungsplan!$A$6:$A$323,0))),"")</f>
        <v/>
      </c>
      <c r="G49" s="98" t="n"/>
      <c r="H49" s="99">
        <f>IF(OR(G49="",NOT(ISNUMBER(E49))),"",G49+E49*7)</f>
        <v/>
      </c>
      <c r="I49" s="47">
        <f>IF(H49="","",H49-TODAY())</f>
        <v/>
      </c>
      <c r="J49" s="43">
        <f>IF(NOT(ISNUMBER(E49)),"Intervall fehlt",IF(G49="","nicht erfasst",IF(I49&lt;0,"überfällig",IF(I49&lt;=P_Vorwarn,"bald fällig","in Ordnung"))))</f>
        <v/>
      </c>
      <c r="K49" s="83" t="n"/>
      <c r="L49" s="83" t="n"/>
      <c r="M49" s="6" t="n"/>
    </row>
    <row r="50" ht="42" customHeight="1">
      <c r="A50" s="97" t="inlineStr">
        <is>
          <t>9.1</t>
        </is>
      </c>
      <c r="B50" s="15">
        <f>IFERROR(INDEX(Wartungsplan!$AC$6:$AC$323,MATCH($A50,Wartungsplan!$A$6:$A$323,0)),"")</f>
        <v/>
      </c>
      <c r="C50" s="15">
        <f>IFERROR(INDEX(Wartungsplan!$B$6:$B$323,MATCH($A50,Wartungsplan!$A$6:$A$323,0)),"")</f>
        <v/>
      </c>
      <c r="D50" s="43">
        <f>IFERROR(INDEX(Wartungsplan!$U$6:$U$323,MATCH($A50,Wartungsplan!$A$6:$A$323,0)),"")</f>
        <v/>
      </c>
      <c r="E50" s="85">
        <f>IFERROR(INDEX(Wartungsplan!$V$6:$V$323,MATCH($A50,Wartungsplan!$A$6:$A$323,0)),"")</f>
        <v/>
      </c>
      <c r="F50" s="43">
        <f>IFERROR(IF(INDEX(Wartungsplan!$Z$6:$Z$323,MATCH($A50,Wartungsplan!$A$6:$A$323,0))="","",INDEX(Wartungsplan!$Z$6:$Z$323,MATCH($A50,Wartungsplan!$A$6:$A$323,0))),"")</f>
        <v/>
      </c>
      <c r="G50" s="98" t="n"/>
      <c r="H50" s="99">
        <f>IF(OR(G50="",NOT(ISNUMBER(E50))),"",G50+E50*7)</f>
        <v/>
      </c>
      <c r="I50" s="47">
        <f>IF(H50="","",H50-TODAY())</f>
        <v/>
      </c>
      <c r="J50" s="43">
        <f>IF(NOT(ISNUMBER(E50)),"Intervall fehlt",IF(G50="","nicht erfasst",IF(I50&lt;0,"überfällig",IF(I50&lt;=P_Vorwarn,"bald fällig","in Ordnung"))))</f>
        <v/>
      </c>
      <c r="K50" s="83" t="n"/>
      <c r="L50" s="83" t="n"/>
      <c r="M50" s="6" t="n"/>
    </row>
    <row r="51" ht="30" customHeight="1">
      <c r="A51" s="97" t="inlineStr">
        <is>
          <t>9.2</t>
        </is>
      </c>
      <c r="B51" s="15">
        <f>IFERROR(INDEX(Wartungsplan!$AC$6:$AC$323,MATCH($A51,Wartungsplan!$A$6:$A$323,0)),"")</f>
        <v/>
      </c>
      <c r="C51" s="15">
        <f>IFERROR(INDEX(Wartungsplan!$B$6:$B$323,MATCH($A51,Wartungsplan!$A$6:$A$323,0)),"")</f>
        <v/>
      </c>
      <c r="D51" s="43">
        <f>IFERROR(INDEX(Wartungsplan!$U$6:$U$323,MATCH($A51,Wartungsplan!$A$6:$A$323,0)),"")</f>
        <v/>
      </c>
      <c r="E51" s="85">
        <f>IFERROR(INDEX(Wartungsplan!$V$6:$V$323,MATCH($A51,Wartungsplan!$A$6:$A$323,0)),"")</f>
        <v/>
      </c>
      <c r="F51" s="43">
        <f>IFERROR(IF(INDEX(Wartungsplan!$Z$6:$Z$323,MATCH($A51,Wartungsplan!$A$6:$A$323,0))="","",INDEX(Wartungsplan!$Z$6:$Z$323,MATCH($A51,Wartungsplan!$A$6:$A$323,0))),"")</f>
        <v/>
      </c>
      <c r="G51" s="98" t="n"/>
      <c r="H51" s="99">
        <f>IF(OR(G51="",NOT(ISNUMBER(E51))),"",G51+E51*7)</f>
        <v/>
      </c>
      <c r="I51" s="47">
        <f>IF(H51="","",H51-TODAY())</f>
        <v/>
      </c>
      <c r="J51" s="43">
        <f>IF(NOT(ISNUMBER(E51)),"Intervall fehlt",IF(G51="","nicht erfasst",IF(I51&lt;0,"überfällig",IF(I51&lt;=P_Vorwarn,"bald fällig","in Ordnung"))))</f>
        <v/>
      </c>
      <c r="K51" s="83" t="n"/>
      <c r="L51" s="83" t="n"/>
      <c r="M51" s="6" t="n"/>
    </row>
    <row r="52" ht="30" customHeight="1">
      <c r="A52" s="97" t="inlineStr">
        <is>
          <t>9.3</t>
        </is>
      </c>
      <c r="B52" s="15">
        <f>IFERROR(INDEX(Wartungsplan!$AC$6:$AC$323,MATCH($A52,Wartungsplan!$A$6:$A$323,0)),"")</f>
        <v/>
      </c>
      <c r="C52" s="15">
        <f>IFERROR(INDEX(Wartungsplan!$B$6:$B$323,MATCH($A52,Wartungsplan!$A$6:$A$323,0)),"")</f>
        <v/>
      </c>
      <c r="D52" s="43">
        <f>IFERROR(INDEX(Wartungsplan!$U$6:$U$323,MATCH($A52,Wartungsplan!$A$6:$A$323,0)),"")</f>
        <v/>
      </c>
      <c r="E52" s="85">
        <f>IFERROR(INDEX(Wartungsplan!$V$6:$V$323,MATCH($A52,Wartungsplan!$A$6:$A$323,0)),"")</f>
        <v/>
      </c>
      <c r="F52" s="43">
        <f>IFERROR(IF(INDEX(Wartungsplan!$Z$6:$Z$323,MATCH($A52,Wartungsplan!$A$6:$A$323,0))="","",INDEX(Wartungsplan!$Z$6:$Z$323,MATCH($A52,Wartungsplan!$A$6:$A$323,0))),"")</f>
        <v/>
      </c>
      <c r="G52" s="98" t="n"/>
      <c r="H52" s="99">
        <f>IF(OR(G52="",NOT(ISNUMBER(E52))),"",G52+E52*7)</f>
        <v/>
      </c>
      <c r="I52" s="47">
        <f>IF(H52="","",H52-TODAY())</f>
        <v/>
      </c>
      <c r="J52" s="43">
        <f>IF(NOT(ISNUMBER(E52)),"Intervall fehlt",IF(G52="","nicht erfasst",IF(I52&lt;0,"überfällig",IF(I52&lt;=P_Vorwarn,"bald fällig","in Ordnung"))))</f>
        <v/>
      </c>
      <c r="K52" s="83" t="n"/>
      <c r="L52" s="83" t="n"/>
      <c r="M52" s="6" t="n"/>
    </row>
    <row r="53" ht="18" customHeight="1">
      <c r="A53" s="97" t="inlineStr">
        <is>
          <t>9.4.1</t>
        </is>
      </c>
      <c r="B53" s="15">
        <f>IFERROR(INDEX(Wartungsplan!$AC$6:$AC$323,MATCH($A53,Wartungsplan!$A$6:$A$323,0)),"")</f>
        <v/>
      </c>
      <c r="C53" s="15">
        <f>IFERROR(INDEX(Wartungsplan!$B$6:$B$323,MATCH($A53,Wartungsplan!$A$6:$A$323,0)),"")</f>
        <v/>
      </c>
      <c r="D53" s="43">
        <f>IFERROR(INDEX(Wartungsplan!$U$6:$U$323,MATCH($A53,Wartungsplan!$A$6:$A$323,0)),"")</f>
        <v/>
      </c>
      <c r="E53" s="85">
        <f>IFERROR(INDEX(Wartungsplan!$V$6:$V$323,MATCH($A53,Wartungsplan!$A$6:$A$323,0)),"")</f>
        <v/>
      </c>
      <c r="F53" s="43">
        <f>IFERROR(IF(INDEX(Wartungsplan!$Z$6:$Z$323,MATCH($A53,Wartungsplan!$A$6:$A$323,0))="","",INDEX(Wartungsplan!$Z$6:$Z$323,MATCH($A53,Wartungsplan!$A$6:$A$323,0))),"")</f>
        <v/>
      </c>
      <c r="G53" s="98" t="n"/>
      <c r="H53" s="99">
        <f>IF(OR(G53="",NOT(ISNUMBER(E53))),"",G53+E53*7)</f>
        <v/>
      </c>
      <c r="I53" s="47">
        <f>IF(H53="","",H53-TODAY())</f>
        <v/>
      </c>
      <c r="J53" s="43">
        <f>IF(NOT(ISNUMBER(E53)),"Intervall fehlt",IF(G53="","nicht erfasst",IF(I53&lt;0,"überfällig",IF(I53&lt;=P_Vorwarn,"bald fällig","in Ordnung"))))</f>
        <v/>
      </c>
      <c r="K53" s="83" t="n"/>
      <c r="L53" s="83" t="n"/>
      <c r="M53" s="6" t="n"/>
    </row>
    <row r="54" ht="18" customHeight="1">
      <c r="A54" s="97" t="inlineStr">
        <is>
          <t>9.4.2</t>
        </is>
      </c>
      <c r="B54" s="15">
        <f>IFERROR(INDEX(Wartungsplan!$AC$6:$AC$323,MATCH($A54,Wartungsplan!$A$6:$A$323,0)),"")</f>
        <v/>
      </c>
      <c r="C54" s="15">
        <f>IFERROR(INDEX(Wartungsplan!$B$6:$B$323,MATCH($A54,Wartungsplan!$A$6:$A$323,0)),"")</f>
        <v/>
      </c>
      <c r="D54" s="43">
        <f>IFERROR(INDEX(Wartungsplan!$U$6:$U$323,MATCH($A54,Wartungsplan!$A$6:$A$323,0)),"")</f>
        <v/>
      </c>
      <c r="E54" s="85">
        <f>IFERROR(INDEX(Wartungsplan!$V$6:$V$323,MATCH($A54,Wartungsplan!$A$6:$A$323,0)),"")</f>
        <v/>
      </c>
      <c r="F54" s="43">
        <f>IFERROR(IF(INDEX(Wartungsplan!$Z$6:$Z$323,MATCH($A54,Wartungsplan!$A$6:$A$323,0))="","",INDEX(Wartungsplan!$Z$6:$Z$323,MATCH($A54,Wartungsplan!$A$6:$A$323,0))),"")</f>
        <v/>
      </c>
      <c r="G54" s="98" t="n"/>
      <c r="H54" s="99">
        <f>IF(OR(G54="",NOT(ISNUMBER(E54))),"",G54+E54*7)</f>
        <v/>
      </c>
      <c r="I54" s="47">
        <f>IF(H54="","",H54-TODAY())</f>
        <v/>
      </c>
      <c r="J54" s="43">
        <f>IF(NOT(ISNUMBER(E54)),"Intervall fehlt",IF(G54="","nicht erfasst",IF(I54&lt;0,"überfällig",IF(I54&lt;=P_Vorwarn,"bald fällig","in Ordnung"))))</f>
        <v/>
      </c>
      <c r="K54" s="83" t="n"/>
      <c r="L54" s="83" t="n"/>
      <c r="M54" s="6" t="n"/>
    </row>
    <row r="55" ht="18" customHeight="1">
      <c r="A55" s="97" t="inlineStr">
        <is>
          <t>9.4.3</t>
        </is>
      </c>
      <c r="B55" s="15">
        <f>IFERROR(INDEX(Wartungsplan!$AC$6:$AC$323,MATCH($A55,Wartungsplan!$A$6:$A$323,0)),"")</f>
        <v/>
      </c>
      <c r="C55" s="15">
        <f>IFERROR(INDEX(Wartungsplan!$B$6:$B$323,MATCH($A55,Wartungsplan!$A$6:$A$323,0)),"")</f>
        <v/>
      </c>
      <c r="D55" s="43">
        <f>IFERROR(INDEX(Wartungsplan!$U$6:$U$323,MATCH($A55,Wartungsplan!$A$6:$A$323,0)),"")</f>
        <v/>
      </c>
      <c r="E55" s="85">
        <f>IFERROR(INDEX(Wartungsplan!$V$6:$V$323,MATCH($A55,Wartungsplan!$A$6:$A$323,0)),"")</f>
        <v/>
      </c>
      <c r="F55" s="43">
        <f>IFERROR(IF(INDEX(Wartungsplan!$Z$6:$Z$323,MATCH($A55,Wartungsplan!$A$6:$A$323,0))="","",INDEX(Wartungsplan!$Z$6:$Z$323,MATCH($A55,Wartungsplan!$A$6:$A$323,0))),"")</f>
        <v/>
      </c>
      <c r="G55" s="98" t="n"/>
      <c r="H55" s="99">
        <f>IF(OR(G55="",NOT(ISNUMBER(E55))),"",G55+E55*7)</f>
        <v/>
      </c>
      <c r="I55" s="47">
        <f>IF(H55="","",H55-TODAY())</f>
        <v/>
      </c>
      <c r="J55" s="43">
        <f>IF(NOT(ISNUMBER(E55)),"Intervall fehlt",IF(G55="","nicht erfasst",IF(I55&lt;0,"überfällig",IF(I55&lt;=P_Vorwarn,"bald fällig","in Ordnung"))))</f>
        <v/>
      </c>
      <c r="K55" s="83" t="n"/>
      <c r="L55" s="83" t="n"/>
      <c r="M55" s="6" t="n"/>
    </row>
    <row r="56" ht="18" customHeight="1">
      <c r="A56" s="97" t="inlineStr">
        <is>
          <t>9.4.4</t>
        </is>
      </c>
      <c r="B56" s="15">
        <f>IFERROR(INDEX(Wartungsplan!$AC$6:$AC$323,MATCH($A56,Wartungsplan!$A$6:$A$323,0)),"")</f>
        <v/>
      </c>
      <c r="C56" s="15">
        <f>IFERROR(INDEX(Wartungsplan!$B$6:$B$323,MATCH($A56,Wartungsplan!$A$6:$A$323,0)),"")</f>
        <v/>
      </c>
      <c r="D56" s="43">
        <f>IFERROR(INDEX(Wartungsplan!$U$6:$U$323,MATCH($A56,Wartungsplan!$A$6:$A$323,0)),"")</f>
        <v/>
      </c>
      <c r="E56" s="85">
        <f>IFERROR(INDEX(Wartungsplan!$V$6:$V$323,MATCH($A56,Wartungsplan!$A$6:$A$323,0)),"")</f>
        <v/>
      </c>
      <c r="F56" s="43">
        <f>IFERROR(IF(INDEX(Wartungsplan!$Z$6:$Z$323,MATCH($A56,Wartungsplan!$A$6:$A$323,0))="","",INDEX(Wartungsplan!$Z$6:$Z$323,MATCH($A56,Wartungsplan!$A$6:$A$323,0))),"")</f>
        <v/>
      </c>
      <c r="G56" s="98" t="n"/>
      <c r="H56" s="99">
        <f>IF(OR(G56="",NOT(ISNUMBER(E56))),"",G56+E56*7)</f>
        <v/>
      </c>
      <c r="I56" s="47">
        <f>IF(H56="","",H56-TODAY())</f>
        <v/>
      </c>
      <c r="J56" s="43">
        <f>IF(NOT(ISNUMBER(E56)),"Intervall fehlt",IF(G56="","nicht erfasst",IF(I56&lt;0,"überfällig",IF(I56&lt;=P_Vorwarn,"bald fällig","in Ordnung"))))</f>
        <v/>
      </c>
      <c r="K56" s="83" t="n"/>
      <c r="L56" s="83" t="n"/>
      <c r="M56" s="6" t="n"/>
    </row>
    <row r="57" ht="30" customHeight="1">
      <c r="A57" s="97" t="inlineStr">
        <is>
          <t>9.4.5</t>
        </is>
      </c>
      <c r="B57" s="15">
        <f>IFERROR(INDEX(Wartungsplan!$AC$6:$AC$323,MATCH($A57,Wartungsplan!$A$6:$A$323,0)),"")</f>
        <v/>
      </c>
      <c r="C57" s="15">
        <f>IFERROR(INDEX(Wartungsplan!$B$6:$B$323,MATCH($A57,Wartungsplan!$A$6:$A$323,0)),"")</f>
        <v/>
      </c>
      <c r="D57" s="43">
        <f>IFERROR(INDEX(Wartungsplan!$U$6:$U$323,MATCH($A57,Wartungsplan!$A$6:$A$323,0)),"")</f>
        <v/>
      </c>
      <c r="E57" s="85">
        <f>IFERROR(INDEX(Wartungsplan!$V$6:$V$323,MATCH($A57,Wartungsplan!$A$6:$A$323,0)),"")</f>
        <v/>
      </c>
      <c r="F57" s="43">
        <f>IFERROR(IF(INDEX(Wartungsplan!$Z$6:$Z$323,MATCH($A57,Wartungsplan!$A$6:$A$323,0))="","",INDEX(Wartungsplan!$Z$6:$Z$323,MATCH($A57,Wartungsplan!$A$6:$A$323,0))),"")</f>
        <v/>
      </c>
      <c r="G57" s="98" t="n"/>
      <c r="H57" s="99">
        <f>IF(OR(G57="",NOT(ISNUMBER(E57))),"",G57+E57*7)</f>
        <v/>
      </c>
      <c r="I57" s="47">
        <f>IF(H57="","",H57-TODAY())</f>
        <v/>
      </c>
      <c r="J57" s="43">
        <f>IF(NOT(ISNUMBER(E57)),"Intervall fehlt",IF(G57="","nicht erfasst",IF(I57&lt;0,"überfällig",IF(I57&lt;=P_Vorwarn,"bald fällig","in Ordnung"))))</f>
        <v/>
      </c>
      <c r="K57" s="83" t="n"/>
      <c r="L57" s="83" t="n"/>
      <c r="M57" s="6" t="n"/>
    </row>
    <row r="58" ht="30" customHeight="1">
      <c r="A58" s="97" t="inlineStr">
        <is>
          <t>9.4.6</t>
        </is>
      </c>
      <c r="B58" s="15">
        <f>IFERROR(INDEX(Wartungsplan!$AC$6:$AC$323,MATCH($A58,Wartungsplan!$A$6:$A$323,0)),"")</f>
        <v/>
      </c>
      <c r="C58" s="15">
        <f>IFERROR(INDEX(Wartungsplan!$B$6:$B$323,MATCH($A58,Wartungsplan!$A$6:$A$323,0)),"")</f>
        <v/>
      </c>
      <c r="D58" s="43">
        <f>IFERROR(INDEX(Wartungsplan!$U$6:$U$323,MATCH($A58,Wartungsplan!$A$6:$A$323,0)),"")</f>
        <v/>
      </c>
      <c r="E58" s="85">
        <f>IFERROR(INDEX(Wartungsplan!$V$6:$V$323,MATCH($A58,Wartungsplan!$A$6:$A$323,0)),"")</f>
        <v/>
      </c>
      <c r="F58" s="43">
        <f>IFERROR(IF(INDEX(Wartungsplan!$Z$6:$Z$323,MATCH($A58,Wartungsplan!$A$6:$A$323,0))="","",INDEX(Wartungsplan!$Z$6:$Z$323,MATCH($A58,Wartungsplan!$A$6:$A$323,0))),"")</f>
        <v/>
      </c>
      <c r="G58" s="98" t="n"/>
      <c r="H58" s="99">
        <f>IF(OR(G58="",NOT(ISNUMBER(E58))),"",G58+E58*7)</f>
        <v/>
      </c>
      <c r="I58" s="47">
        <f>IF(H58="","",H58-TODAY())</f>
        <v/>
      </c>
      <c r="J58" s="43">
        <f>IF(NOT(ISNUMBER(E58)),"Intervall fehlt",IF(G58="","nicht erfasst",IF(I58&lt;0,"überfällig",IF(I58&lt;=P_Vorwarn,"bald fällig","in Ordnung"))))</f>
        <v/>
      </c>
      <c r="K58" s="83" t="n"/>
      <c r="L58" s="83" t="n"/>
      <c r="M58" s="6" t="n"/>
    </row>
    <row r="59" ht="30" customHeight="1">
      <c r="A59" s="97" t="inlineStr">
        <is>
          <t>10.1</t>
        </is>
      </c>
      <c r="B59" s="15">
        <f>IFERROR(INDEX(Wartungsplan!$AC$6:$AC$323,MATCH($A59,Wartungsplan!$A$6:$A$323,0)),"")</f>
        <v/>
      </c>
      <c r="C59" s="15">
        <f>IFERROR(INDEX(Wartungsplan!$B$6:$B$323,MATCH($A59,Wartungsplan!$A$6:$A$323,0)),"")</f>
        <v/>
      </c>
      <c r="D59" s="43">
        <f>IFERROR(INDEX(Wartungsplan!$U$6:$U$323,MATCH($A59,Wartungsplan!$A$6:$A$323,0)),"")</f>
        <v/>
      </c>
      <c r="E59" s="85">
        <f>IFERROR(INDEX(Wartungsplan!$V$6:$V$323,MATCH($A59,Wartungsplan!$A$6:$A$323,0)),"")</f>
        <v/>
      </c>
      <c r="F59" s="43">
        <f>IFERROR(IF(INDEX(Wartungsplan!$Z$6:$Z$323,MATCH($A59,Wartungsplan!$A$6:$A$323,0))="","",INDEX(Wartungsplan!$Z$6:$Z$323,MATCH($A59,Wartungsplan!$A$6:$A$323,0))),"")</f>
        <v/>
      </c>
      <c r="G59" s="98" t="n"/>
      <c r="H59" s="99">
        <f>IF(OR(G59="",NOT(ISNUMBER(E59))),"",G59+E59*7)</f>
        <v/>
      </c>
      <c r="I59" s="47">
        <f>IF(H59="","",H59-TODAY())</f>
        <v/>
      </c>
      <c r="J59" s="43">
        <f>IF(NOT(ISNUMBER(E59)),"Intervall fehlt",IF(G59="","nicht erfasst",IF(I59&lt;0,"überfällig",IF(I59&lt;=P_Vorwarn,"bald fällig","in Ordnung"))))</f>
        <v/>
      </c>
      <c r="K59" s="83" t="n"/>
      <c r="L59" s="83" t="n"/>
      <c r="M59" s="6" t="n"/>
    </row>
    <row r="60" ht="30" customHeight="1">
      <c r="A60" s="97" t="inlineStr">
        <is>
          <t>11.1.1</t>
        </is>
      </c>
      <c r="B60" s="15">
        <f>IFERROR(INDEX(Wartungsplan!$AC$6:$AC$323,MATCH($A60,Wartungsplan!$A$6:$A$323,0)),"")</f>
        <v/>
      </c>
      <c r="C60" s="15">
        <f>IFERROR(INDEX(Wartungsplan!$B$6:$B$323,MATCH($A60,Wartungsplan!$A$6:$A$323,0)),"")</f>
        <v/>
      </c>
      <c r="D60" s="43">
        <f>IFERROR(INDEX(Wartungsplan!$U$6:$U$323,MATCH($A60,Wartungsplan!$A$6:$A$323,0)),"")</f>
        <v/>
      </c>
      <c r="E60" s="85">
        <f>IFERROR(INDEX(Wartungsplan!$V$6:$V$323,MATCH($A60,Wartungsplan!$A$6:$A$323,0)),"")</f>
        <v/>
      </c>
      <c r="F60" s="43">
        <f>IFERROR(IF(INDEX(Wartungsplan!$Z$6:$Z$323,MATCH($A60,Wartungsplan!$A$6:$A$323,0))="","",INDEX(Wartungsplan!$Z$6:$Z$323,MATCH($A60,Wartungsplan!$A$6:$A$323,0))),"")</f>
        <v/>
      </c>
      <c r="G60" s="98" t="n"/>
      <c r="H60" s="99">
        <f>IF(OR(G60="",NOT(ISNUMBER(E60))),"",G60+E60*7)</f>
        <v/>
      </c>
      <c r="I60" s="47">
        <f>IF(H60="","",H60-TODAY())</f>
        <v/>
      </c>
      <c r="J60" s="43">
        <f>IF(NOT(ISNUMBER(E60)),"Intervall fehlt",IF(G60="","nicht erfasst",IF(I60&lt;0,"überfällig",IF(I60&lt;=P_Vorwarn,"bald fällig","in Ordnung"))))</f>
        <v/>
      </c>
      <c r="K60" s="83" t="n"/>
      <c r="L60" s="83" t="n"/>
      <c r="M60" s="6" t="n"/>
    </row>
    <row r="61" ht="18" customHeight="1">
      <c r="A61" s="97" t="inlineStr">
        <is>
          <t>11.1.2</t>
        </is>
      </c>
      <c r="B61" s="15">
        <f>IFERROR(INDEX(Wartungsplan!$AC$6:$AC$323,MATCH($A61,Wartungsplan!$A$6:$A$323,0)),"")</f>
        <v/>
      </c>
      <c r="C61" s="15">
        <f>IFERROR(INDEX(Wartungsplan!$B$6:$B$323,MATCH($A61,Wartungsplan!$A$6:$A$323,0)),"")</f>
        <v/>
      </c>
      <c r="D61" s="43">
        <f>IFERROR(INDEX(Wartungsplan!$U$6:$U$323,MATCH($A61,Wartungsplan!$A$6:$A$323,0)),"")</f>
        <v/>
      </c>
      <c r="E61" s="85">
        <f>IFERROR(INDEX(Wartungsplan!$V$6:$V$323,MATCH($A61,Wartungsplan!$A$6:$A$323,0)),"")</f>
        <v/>
      </c>
      <c r="F61" s="43">
        <f>IFERROR(IF(INDEX(Wartungsplan!$Z$6:$Z$323,MATCH($A61,Wartungsplan!$A$6:$A$323,0))="","",INDEX(Wartungsplan!$Z$6:$Z$323,MATCH($A61,Wartungsplan!$A$6:$A$323,0))),"")</f>
        <v/>
      </c>
      <c r="G61" s="98" t="n"/>
      <c r="H61" s="99">
        <f>IF(OR(G61="",NOT(ISNUMBER(E61))),"",G61+E61*7)</f>
        <v/>
      </c>
      <c r="I61" s="47">
        <f>IF(H61="","",H61-TODAY())</f>
        <v/>
      </c>
      <c r="J61" s="43">
        <f>IF(NOT(ISNUMBER(E61)),"Intervall fehlt",IF(G61="","nicht erfasst",IF(I61&lt;0,"überfällig",IF(I61&lt;=P_Vorwarn,"bald fällig","in Ordnung"))))</f>
        <v/>
      </c>
      <c r="K61" s="83" t="n"/>
      <c r="L61" s="83" t="n"/>
      <c r="M61" s="6" t="n"/>
    </row>
    <row r="62" ht="18" customHeight="1">
      <c r="A62" s="97" t="inlineStr">
        <is>
          <t>11.1.3</t>
        </is>
      </c>
      <c r="B62" s="15">
        <f>IFERROR(INDEX(Wartungsplan!$AC$6:$AC$323,MATCH($A62,Wartungsplan!$A$6:$A$323,0)),"")</f>
        <v/>
      </c>
      <c r="C62" s="15">
        <f>IFERROR(INDEX(Wartungsplan!$B$6:$B$323,MATCH($A62,Wartungsplan!$A$6:$A$323,0)),"")</f>
        <v/>
      </c>
      <c r="D62" s="43">
        <f>IFERROR(INDEX(Wartungsplan!$U$6:$U$323,MATCH($A62,Wartungsplan!$A$6:$A$323,0)),"")</f>
        <v/>
      </c>
      <c r="E62" s="85">
        <f>IFERROR(INDEX(Wartungsplan!$V$6:$V$323,MATCH($A62,Wartungsplan!$A$6:$A$323,0)),"")</f>
        <v/>
      </c>
      <c r="F62" s="43">
        <f>IFERROR(IF(INDEX(Wartungsplan!$Z$6:$Z$323,MATCH($A62,Wartungsplan!$A$6:$A$323,0))="","",INDEX(Wartungsplan!$Z$6:$Z$323,MATCH($A62,Wartungsplan!$A$6:$A$323,0))),"")</f>
        <v/>
      </c>
      <c r="G62" s="98" t="n"/>
      <c r="H62" s="99">
        <f>IF(OR(G62="",NOT(ISNUMBER(E62))),"",G62+E62*7)</f>
        <v/>
      </c>
      <c r="I62" s="47">
        <f>IF(H62="","",H62-TODAY())</f>
        <v/>
      </c>
      <c r="J62" s="43">
        <f>IF(NOT(ISNUMBER(E62)),"Intervall fehlt",IF(G62="","nicht erfasst",IF(I62&lt;0,"überfällig",IF(I62&lt;=P_Vorwarn,"bald fällig","in Ordnung"))))</f>
        <v/>
      </c>
      <c r="K62" s="83" t="n"/>
      <c r="L62" s="83" t="n"/>
      <c r="M62" s="6" t="n"/>
    </row>
    <row r="63" ht="18" customHeight="1">
      <c r="A63" s="97" t="inlineStr">
        <is>
          <t>11.2.1</t>
        </is>
      </c>
      <c r="B63" s="15">
        <f>IFERROR(INDEX(Wartungsplan!$AC$6:$AC$323,MATCH($A63,Wartungsplan!$A$6:$A$323,0)),"")</f>
        <v/>
      </c>
      <c r="C63" s="15">
        <f>IFERROR(INDEX(Wartungsplan!$B$6:$B$323,MATCH($A63,Wartungsplan!$A$6:$A$323,0)),"")</f>
        <v/>
      </c>
      <c r="D63" s="43">
        <f>IFERROR(INDEX(Wartungsplan!$U$6:$U$323,MATCH($A63,Wartungsplan!$A$6:$A$323,0)),"")</f>
        <v/>
      </c>
      <c r="E63" s="85">
        <f>IFERROR(INDEX(Wartungsplan!$V$6:$V$323,MATCH($A63,Wartungsplan!$A$6:$A$323,0)),"")</f>
        <v/>
      </c>
      <c r="F63" s="43">
        <f>IFERROR(IF(INDEX(Wartungsplan!$Z$6:$Z$323,MATCH($A63,Wartungsplan!$A$6:$A$323,0))="","",INDEX(Wartungsplan!$Z$6:$Z$323,MATCH($A63,Wartungsplan!$A$6:$A$323,0))),"")</f>
        <v/>
      </c>
      <c r="G63" s="98" t="n"/>
      <c r="H63" s="99">
        <f>IF(OR(G63="",NOT(ISNUMBER(E63))),"",G63+E63*7)</f>
        <v/>
      </c>
      <c r="I63" s="47">
        <f>IF(H63="","",H63-TODAY())</f>
        <v/>
      </c>
      <c r="J63" s="43">
        <f>IF(NOT(ISNUMBER(E63)),"Intervall fehlt",IF(G63="","nicht erfasst",IF(I63&lt;0,"überfällig",IF(I63&lt;=P_Vorwarn,"bald fällig","in Ordnung"))))</f>
        <v/>
      </c>
      <c r="K63" s="83" t="n"/>
      <c r="L63" s="83" t="n"/>
      <c r="M63" s="6" t="n"/>
    </row>
    <row r="64" ht="18" customHeight="1">
      <c r="A64" s="97" t="inlineStr">
        <is>
          <t>11.2.2</t>
        </is>
      </c>
      <c r="B64" s="15">
        <f>IFERROR(INDEX(Wartungsplan!$AC$6:$AC$323,MATCH($A64,Wartungsplan!$A$6:$A$323,0)),"")</f>
        <v/>
      </c>
      <c r="C64" s="15">
        <f>IFERROR(INDEX(Wartungsplan!$B$6:$B$323,MATCH($A64,Wartungsplan!$A$6:$A$323,0)),"")</f>
        <v/>
      </c>
      <c r="D64" s="43">
        <f>IFERROR(INDEX(Wartungsplan!$U$6:$U$323,MATCH($A64,Wartungsplan!$A$6:$A$323,0)),"")</f>
        <v/>
      </c>
      <c r="E64" s="85">
        <f>IFERROR(INDEX(Wartungsplan!$V$6:$V$323,MATCH($A64,Wartungsplan!$A$6:$A$323,0)),"")</f>
        <v/>
      </c>
      <c r="F64" s="43">
        <f>IFERROR(IF(INDEX(Wartungsplan!$Z$6:$Z$323,MATCH($A64,Wartungsplan!$A$6:$A$323,0))="","",INDEX(Wartungsplan!$Z$6:$Z$323,MATCH($A64,Wartungsplan!$A$6:$A$323,0))),"")</f>
        <v/>
      </c>
      <c r="G64" s="98" t="n"/>
      <c r="H64" s="99">
        <f>IF(OR(G64="",NOT(ISNUMBER(E64))),"",G64+E64*7)</f>
        <v/>
      </c>
      <c r="I64" s="47">
        <f>IF(H64="","",H64-TODAY())</f>
        <v/>
      </c>
      <c r="J64" s="43">
        <f>IF(NOT(ISNUMBER(E64)),"Intervall fehlt",IF(G64="","nicht erfasst",IF(I64&lt;0,"überfällig",IF(I64&lt;=P_Vorwarn,"bald fällig","in Ordnung"))))</f>
        <v/>
      </c>
      <c r="K64" s="83" t="n"/>
      <c r="L64" s="83" t="n"/>
      <c r="M64" s="6" t="n"/>
    </row>
    <row r="65" ht="18" customHeight="1">
      <c r="A65" s="97" t="inlineStr">
        <is>
          <t>11.2.3</t>
        </is>
      </c>
      <c r="B65" s="15">
        <f>IFERROR(INDEX(Wartungsplan!$AC$6:$AC$323,MATCH($A65,Wartungsplan!$A$6:$A$323,0)),"")</f>
        <v/>
      </c>
      <c r="C65" s="15">
        <f>IFERROR(INDEX(Wartungsplan!$B$6:$B$323,MATCH($A65,Wartungsplan!$A$6:$A$323,0)),"")</f>
        <v/>
      </c>
      <c r="D65" s="43">
        <f>IFERROR(INDEX(Wartungsplan!$U$6:$U$323,MATCH($A65,Wartungsplan!$A$6:$A$323,0)),"")</f>
        <v/>
      </c>
      <c r="E65" s="85">
        <f>IFERROR(INDEX(Wartungsplan!$V$6:$V$323,MATCH($A65,Wartungsplan!$A$6:$A$323,0)),"")</f>
        <v/>
      </c>
      <c r="F65" s="43">
        <f>IFERROR(IF(INDEX(Wartungsplan!$Z$6:$Z$323,MATCH($A65,Wartungsplan!$A$6:$A$323,0))="","",INDEX(Wartungsplan!$Z$6:$Z$323,MATCH($A65,Wartungsplan!$A$6:$A$323,0))),"")</f>
        <v/>
      </c>
      <c r="G65" s="98" t="n"/>
      <c r="H65" s="99">
        <f>IF(OR(G65="",NOT(ISNUMBER(E65))),"",G65+E65*7)</f>
        <v/>
      </c>
      <c r="I65" s="47">
        <f>IF(H65="","",H65-TODAY())</f>
        <v/>
      </c>
      <c r="J65" s="43">
        <f>IF(NOT(ISNUMBER(E65)),"Intervall fehlt",IF(G65="","nicht erfasst",IF(I65&lt;0,"überfällig",IF(I65&lt;=P_Vorwarn,"bald fällig","in Ordnung"))))</f>
        <v/>
      </c>
      <c r="K65" s="83" t="n"/>
      <c r="L65" s="83" t="n"/>
      <c r="M65" s="6" t="n"/>
    </row>
    <row r="66" ht="18" customHeight="1">
      <c r="A66" s="97" t="inlineStr">
        <is>
          <t>11.2.4</t>
        </is>
      </c>
      <c r="B66" s="15">
        <f>IFERROR(INDEX(Wartungsplan!$AC$6:$AC$323,MATCH($A66,Wartungsplan!$A$6:$A$323,0)),"")</f>
        <v/>
      </c>
      <c r="C66" s="15">
        <f>IFERROR(INDEX(Wartungsplan!$B$6:$B$323,MATCH($A66,Wartungsplan!$A$6:$A$323,0)),"")</f>
        <v/>
      </c>
      <c r="D66" s="43">
        <f>IFERROR(INDEX(Wartungsplan!$U$6:$U$323,MATCH($A66,Wartungsplan!$A$6:$A$323,0)),"")</f>
        <v/>
      </c>
      <c r="E66" s="85">
        <f>IFERROR(INDEX(Wartungsplan!$V$6:$V$323,MATCH($A66,Wartungsplan!$A$6:$A$323,0)),"")</f>
        <v/>
      </c>
      <c r="F66" s="43">
        <f>IFERROR(IF(INDEX(Wartungsplan!$Z$6:$Z$323,MATCH($A66,Wartungsplan!$A$6:$A$323,0))="","",INDEX(Wartungsplan!$Z$6:$Z$323,MATCH($A66,Wartungsplan!$A$6:$A$323,0))),"")</f>
        <v/>
      </c>
      <c r="G66" s="98" t="n"/>
      <c r="H66" s="99">
        <f>IF(OR(G66="",NOT(ISNUMBER(E66))),"",G66+E66*7)</f>
        <v/>
      </c>
      <c r="I66" s="47">
        <f>IF(H66="","",H66-TODAY())</f>
        <v/>
      </c>
      <c r="J66" s="43">
        <f>IF(NOT(ISNUMBER(E66)),"Intervall fehlt",IF(G66="","nicht erfasst",IF(I66&lt;0,"überfällig",IF(I66&lt;=P_Vorwarn,"bald fällig","in Ordnung"))))</f>
        <v/>
      </c>
      <c r="K66" s="83" t="n"/>
      <c r="L66" s="83" t="n"/>
      <c r="M66" s="6" t="n"/>
    </row>
    <row r="67" ht="30" customHeight="1">
      <c r="A67" s="97" t="inlineStr">
        <is>
          <t>11.2.5</t>
        </is>
      </c>
      <c r="B67" s="15">
        <f>IFERROR(INDEX(Wartungsplan!$AC$6:$AC$323,MATCH($A67,Wartungsplan!$A$6:$A$323,0)),"")</f>
        <v/>
      </c>
      <c r="C67" s="15">
        <f>IFERROR(INDEX(Wartungsplan!$B$6:$B$323,MATCH($A67,Wartungsplan!$A$6:$A$323,0)),"")</f>
        <v/>
      </c>
      <c r="D67" s="43">
        <f>IFERROR(INDEX(Wartungsplan!$U$6:$U$323,MATCH($A67,Wartungsplan!$A$6:$A$323,0)),"")</f>
        <v/>
      </c>
      <c r="E67" s="85">
        <f>IFERROR(INDEX(Wartungsplan!$V$6:$V$323,MATCH($A67,Wartungsplan!$A$6:$A$323,0)),"")</f>
        <v/>
      </c>
      <c r="F67" s="43">
        <f>IFERROR(IF(INDEX(Wartungsplan!$Z$6:$Z$323,MATCH($A67,Wartungsplan!$A$6:$A$323,0))="","",INDEX(Wartungsplan!$Z$6:$Z$323,MATCH($A67,Wartungsplan!$A$6:$A$323,0))),"")</f>
        <v/>
      </c>
      <c r="G67" s="98" t="n"/>
      <c r="H67" s="99">
        <f>IF(OR(G67="",NOT(ISNUMBER(E67))),"",G67+E67*7)</f>
        <v/>
      </c>
      <c r="I67" s="47">
        <f>IF(H67="","",H67-TODAY())</f>
        <v/>
      </c>
      <c r="J67" s="43">
        <f>IF(NOT(ISNUMBER(E67)),"Intervall fehlt",IF(G67="","nicht erfasst",IF(I67&lt;0,"überfällig",IF(I67&lt;=P_Vorwarn,"bald fällig","in Ordnung"))))</f>
        <v/>
      </c>
      <c r="K67" s="83" t="n"/>
      <c r="L67" s="83" t="n"/>
      <c r="M67" s="6" t="n"/>
    </row>
    <row r="68" ht="18" customHeight="1">
      <c r="A68" s="97" t="inlineStr">
        <is>
          <t>12.1</t>
        </is>
      </c>
      <c r="B68" s="15">
        <f>IFERROR(INDEX(Wartungsplan!$AC$6:$AC$323,MATCH($A68,Wartungsplan!$A$6:$A$323,0)),"")</f>
        <v/>
      </c>
      <c r="C68" s="15">
        <f>IFERROR(INDEX(Wartungsplan!$B$6:$B$323,MATCH($A68,Wartungsplan!$A$6:$A$323,0)),"")</f>
        <v/>
      </c>
      <c r="D68" s="43">
        <f>IFERROR(INDEX(Wartungsplan!$U$6:$U$323,MATCH($A68,Wartungsplan!$A$6:$A$323,0)),"")</f>
        <v/>
      </c>
      <c r="E68" s="85">
        <f>IFERROR(INDEX(Wartungsplan!$V$6:$V$323,MATCH($A68,Wartungsplan!$A$6:$A$323,0)),"")</f>
        <v/>
      </c>
      <c r="F68" s="43">
        <f>IFERROR(IF(INDEX(Wartungsplan!$Z$6:$Z$323,MATCH($A68,Wartungsplan!$A$6:$A$323,0))="","",INDEX(Wartungsplan!$Z$6:$Z$323,MATCH($A68,Wartungsplan!$A$6:$A$323,0))),"")</f>
        <v/>
      </c>
      <c r="G68" s="98" t="n"/>
      <c r="H68" s="99">
        <f>IF(OR(G68="",NOT(ISNUMBER(E68))),"",G68+E68*7)</f>
        <v/>
      </c>
      <c r="I68" s="47">
        <f>IF(H68="","",H68-TODAY())</f>
        <v/>
      </c>
      <c r="J68" s="43">
        <f>IF(NOT(ISNUMBER(E68)),"Intervall fehlt",IF(G68="","nicht erfasst",IF(I68&lt;0,"überfällig",IF(I68&lt;=P_Vorwarn,"bald fällig","in Ordnung"))))</f>
        <v/>
      </c>
      <c r="K68" s="83" t="n"/>
      <c r="L68" s="83" t="n"/>
      <c r="M68" s="6" t="n"/>
    </row>
    <row r="69" ht="18" customHeight="1">
      <c r="A69" s="97" t="inlineStr">
        <is>
          <t>12.2</t>
        </is>
      </c>
      <c r="B69" s="15">
        <f>IFERROR(INDEX(Wartungsplan!$AC$6:$AC$323,MATCH($A69,Wartungsplan!$A$6:$A$323,0)),"")</f>
        <v/>
      </c>
      <c r="C69" s="15">
        <f>IFERROR(INDEX(Wartungsplan!$B$6:$B$323,MATCH($A69,Wartungsplan!$A$6:$A$323,0)),"")</f>
        <v/>
      </c>
      <c r="D69" s="43">
        <f>IFERROR(INDEX(Wartungsplan!$U$6:$U$323,MATCH($A69,Wartungsplan!$A$6:$A$323,0)),"")</f>
        <v/>
      </c>
      <c r="E69" s="85">
        <f>IFERROR(INDEX(Wartungsplan!$V$6:$V$323,MATCH($A69,Wartungsplan!$A$6:$A$323,0)),"")</f>
        <v/>
      </c>
      <c r="F69" s="43">
        <f>IFERROR(IF(INDEX(Wartungsplan!$Z$6:$Z$323,MATCH($A69,Wartungsplan!$A$6:$A$323,0))="","",INDEX(Wartungsplan!$Z$6:$Z$323,MATCH($A69,Wartungsplan!$A$6:$A$323,0))),"")</f>
        <v/>
      </c>
      <c r="G69" s="98" t="n"/>
      <c r="H69" s="99">
        <f>IF(OR(G69="",NOT(ISNUMBER(E69))),"",G69+E69*7)</f>
        <v/>
      </c>
      <c r="I69" s="47">
        <f>IF(H69="","",H69-TODAY())</f>
        <v/>
      </c>
      <c r="J69" s="43">
        <f>IF(NOT(ISNUMBER(E69)),"Intervall fehlt",IF(G69="","nicht erfasst",IF(I69&lt;0,"überfällig",IF(I69&lt;=P_Vorwarn,"bald fällig","in Ordnung"))))</f>
        <v/>
      </c>
      <c r="K69" s="83" t="n"/>
      <c r="L69" s="83" t="n"/>
      <c r="M69" s="6" t="n"/>
    </row>
    <row r="70" ht="18" customHeight="1">
      <c r="A70" s="97" t="inlineStr">
        <is>
          <t>13.1</t>
        </is>
      </c>
      <c r="B70" s="15">
        <f>IFERROR(INDEX(Wartungsplan!$AC$6:$AC$323,MATCH($A70,Wartungsplan!$A$6:$A$323,0)),"")</f>
        <v/>
      </c>
      <c r="C70" s="15">
        <f>IFERROR(INDEX(Wartungsplan!$B$6:$B$323,MATCH($A70,Wartungsplan!$A$6:$A$323,0)),"")</f>
        <v/>
      </c>
      <c r="D70" s="43">
        <f>IFERROR(INDEX(Wartungsplan!$U$6:$U$323,MATCH($A70,Wartungsplan!$A$6:$A$323,0)),"")</f>
        <v/>
      </c>
      <c r="E70" s="85">
        <f>IFERROR(INDEX(Wartungsplan!$V$6:$V$323,MATCH($A70,Wartungsplan!$A$6:$A$323,0)),"")</f>
        <v/>
      </c>
      <c r="F70" s="43">
        <f>IFERROR(IF(INDEX(Wartungsplan!$Z$6:$Z$323,MATCH($A70,Wartungsplan!$A$6:$A$323,0))="","",INDEX(Wartungsplan!$Z$6:$Z$323,MATCH($A70,Wartungsplan!$A$6:$A$323,0))),"")</f>
        <v/>
      </c>
      <c r="G70" s="98" t="n"/>
      <c r="H70" s="99">
        <f>IF(OR(G70="",NOT(ISNUMBER(E70))),"",G70+E70*7)</f>
        <v/>
      </c>
      <c r="I70" s="47">
        <f>IF(H70="","",H70-TODAY())</f>
        <v/>
      </c>
      <c r="J70" s="43">
        <f>IF(NOT(ISNUMBER(E70)),"Intervall fehlt",IF(G70="","nicht erfasst",IF(I70&lt;0,"überfällig",IF(I70&lt;=P_Vorwarn,"bald fällig","in Ordnung"))))</f>
        <v/>
      </c>
      <c r="K70" s="83" t="n"/>
      <c r="L70" s="83" t="n"/>
      <c r="M70" s="6" t="n"/>
    </row>
    <row r="71" ht="18" customHeight="1">
      <c r="A71" s="97" t="inlineStr">
        <is>
          <t>14.1</t>
        </is>
      </c>
      <c r="B71" s="15">
        <f>IFERROR(INDEX(Wartungsplan!$AC$6:$AC$323,MATCH($A71,Wartungsplan!$A$6:$A$323,0)),"")</f>
        <v/>
      </c>
      <c r="C71" s="15">
        <f>IFERROR(INDEX(Wartungsplan!$B$6:$B$323,MATCH($A71,Wartungsplan!$A$6:$A$323,0)),"")</f>
        <v/>
      </c>
      <c r="D71" s="43">
        <f>IFERROR(INDEX(Wartungsplan!$U$6:$U$323,MATCH($A71,Wartungsplan!$A$6:$A$323,0)),"")</f>
        <v/>
      </c>
      <c r="E71" s="85">
        <f>IFERROR(INDEX(Wartungsplan!$V$6:$V$323,MATCH($A71,Wartungsplan!$A$6:$A$323,0)),"")</f>
        <v/>
      </c>
      <c r="F71" s="43">
        <f>IFERROR(IF(INDEX(Wartungsplan!$Z$6:$Z$323,MATCH($A71,Wartungsplan!$A$6:$A$323,0))="","",INDEX(Wartungsplan!$Z$6:$Z$323,MATCH($A71,Wartungsplan!$A$6:$A$323,0))),"")</f>
        <v/>
      </c>
      <c r="G71" s="98" t="n"/>
      <c r="H71" s="99">
        <f>IF(OR(G71="",NOT(ISNUMBER(E71))),"",G71+E71*7)</f>
        <v/>
      </c>
      <c r="I71" s="47">
        <f>IF(H71="","",H71-TODAY())</f>
        <v/>
      </c>
      <c r="J71" s="43">
        <f>IF(NOT(ISNUMBER(E71)),"Intervall fehlt",IF(G71="","nicht erfasst",IF(I71&lt;0,"überfällig",IF(I71&lt;=P_Vorwarn,"bald fällig","in Ordnung"))))</f>
        <v/>
      </c>
      <c r="K71" s="83" t="n"/>
      <c r="L71" s="83" t="n"/>
      <c r="M71" s="6" t="n"/>
    </row>
    <row r="72" ht="18" customHeight="1">
      <c r="A72" s="97" t="inlineStr">
        <is>
          <t>14.2</t>
        </is>
      </c>
      <c r="B72" s="15">
        <f>IFERROR(INDEX(Wartungsplan!$AC$6:$AC$323,MATCH($A72,Wartungsplan!$A$6:$A$323,0)),"")</f>
        <v/>
      </c>
      <c r="C72" s="15">
        <f>IFERROR(INDEX(Wartungsplan!$B$6:$B$323,MATCH($A72,Wartungsplan!$A$6:$A$323,0)),"")</f>
        <v/>
      </c>
      <c r="D72" s="43">
        <f>IFERROR(INDEX(Wartungsplan!$U$6:$U$323,MATCH($A72,Wartungsplan!$A$6:$A$323,0)),"")</f>
        <v/>
      </c>
      <c r="E72" s="85">
        <f>IFERROR(INDEX(Wartungsplan!$V$6:$V$323,MATCH($A72,Wartungsplan!$A$6:$A$323,0)),"")</f>
        <v/>
      </c>
      <c r="F72" s="43">
        <f>IFERROR(IF(INDEX(Wartungsplan!$Z$6:$Z$323,MATCH($A72,Wartungsplan!$A$6:$A$323,0))="","",INDEX(Wartungsplan!$Z$6:$Z$323,MATCH($A72,Wartungsplan!$A$6:$A$323,0))),"")</f>
        <v/>
      </c>
      <c r="G72" s="98" t="n"/>
      <c r="H72" s="99">
        <f>IF(OR(G72="",NOT(ISNUMBER(E72))),"",G72+E72*7)</f>
        <v/>
      </c>
      <c r="I72" s="47">
        <f>IF(H72="","",H72-TODAY())</f>
        <v/>
      </c>
      <c r="J72" s="43">
        <f>IF(NOT(ISNUMBER(E72)),"Intervall fehlt",IF(G72="","nicht erfasst",IF(I72&lt;0,"überfällig",IF(I72&lt;=P_Vorwarn,"bald fällig","in Ordnung"))))</f>
        <v/>
      </c>
      <c r="K72" s="83" t="n"/>
      <c r="L72" s="83" t="n"/>
      <c r="M72" s="6" t="n"/>
    </row>
    <row r="73" ht="18" customHeight="1">
      <c r="A73" s="97" t="inlineStr">
        <is>
          <t>14.3</t>
        </is>
      </c>
      <c r="B73" s="15">
        <f>IFERROR(INDEX(Wartungsplan!$AC$6:$AC$323,MATCH($A73,Wartungsplan!$A$6:$A$323,0)),"")</f>
        <v/>
      </c>
      <c r="C73" s="15">
        <f>IFERROR(INDEX(Wartungsplan!$B$6:$B$323,MATCH($A73,Wartungsplan!$A$6:$A$323,0)),"")</f>
        <v/>
      </c>
      <c r="D73" s="43">
        <f>IFERROR(INDEX(Wartungsplan!$U$6:$U$323,MATCH($A73,Wartungsplan!$A$6:$A$323,0)),"")</f>
        <v/>
      </c>
      <c r="E73" s="85">
        <f>IFERROR(INDEX(Wartungsplan!$V$6:$V$323,MATCH($A73,Wartungsplan!$A$6:$A$323,0)),"")</f>
        <v/>
      </c>
      <c r="F73" s="43">
        <f>IFERROR(IF(INDEX(Wartungsplan!$Z$6:$Z$323,MATCH($A73,Wartungsplan!$A$6:$A$323,0))="","",INDEX(Wartungsplan!$Z$6:$Z$323,MATCH($A73,Wartungsplan!$A$6:$A$323,0))),"")</f>
        <v/>
      </c>
      <c r="G73" s="98" t="n"/>
      <c r="H73" s="99">
        <f>IF(OR(G73="",NOT(ISNUMBER(E73))),"",G73+E73*7)</f>
        <v/>
      </c>
      <c r="I73" s="47">
        <f>IF(H73="","",H73-TODAY())</f>
        <v/>
      </c>
      <c r="J73" s="43">
        <f>IF(NOT(ISNUMBER(E73)),"Intervall fehlt",IF(G73="","nicht erfasst",IF(I73&lt;0,"überfällig",IF(I73&lt;=P_Vorwarn,"bald fällig","in Ordnung"))))</f>
        <v/>
      </c>
      <c r="K73" s="83" t="n"/>
      <c r="L73" s="83" t="n"/>
      <c r="M73" s="6" t="n"/>
    </row>
    <row r="74" ht="18" customHeight="1">
      <c r="A74" s="97" t="inlineStr">
        <is>
          <t>14.4</t>
        </is>
      </c>
      <c r="B74" s="15">
        <f>IFERROR(INDEX(Wartungsplan!$AC$6:$AC$323,MATCH($A74,Wartungsplan!$A$6:$A$323,0)),"")</f>
        <v/>
      </c>
      <c r="C74" s="15">
        <f>IFERROR(INDEX(Wartungsplan!$B$6:$B$323,MATCH($A74,Wartungsplan!$A$6:$A$323,0)),"")</f>
        <v/>
      </c>
      <c r="D74" s="43">
        <f>IFERROR(INDEX(Wartungsplan!$U$6:$U$323,MATCH($A74,Wartungsplan!$A$6:$A$323,0)),"")</f>
        <v/>
      </c>
      <c r="E74" s="85">
        <f>IFERROR(INDEX(Wartungsplan!$V$6:$V$323,MATCH($A74,Wartungsplan!$A$6:$A$323,0)),"")</f>
        <v/>
      </c>
      <c r="F74" s="43">
        <f>IFERROR(IF(INDEX(Wartungsplan!$Z$6:$Z$323,MATCH($A74,Wartungsplan!$A$6:$A$323,0))="","",INDEX(Wartungsplan!$Z$6:$Z$323,MATCH($A74,Wartungsplan!$A$6:$A$323,0))),"")</f>
        <v/>
      </c>
      <c r="G74" s="98" t="n"/>
      <c r="H74" s="99">
        <f>IF(OR(G74="",NOT(ISNUMBER(E74))),"",G74+E74*7)</f>
        <v/>
      </c>
      <c r="I74" s="47">
        <f>IF(H74="","",H74-TODAY())</f>
        <v/>
      </c>
      <c r="J74" s="43">
        <f>IF(NOT(ISNUMBER(E74)),"Intervall fehlt",IF(G74="","nicht erfasst",IF(I74&lt;0,"überfällig",IF(I74&lt;=P_Vorwarn,"bald fällig","in Ordnung"))))</f>
        <v/>
      </c>
      <c r="K74" s="83" t="n"/>
      <c r="L74" s="83" t="n"/>
      <c r="M74" s="6" t="n"/>
    </row>
    <row r="75" ht="18" customHeight="1">
      <c r="A75" s="97" t="inlineStr">
        <is>
          <t>14.5</t>
        </is>
      </c>
      <c r="B75" s="15">
        <f>IFERROR(INDEX(Wartungsplan!$AC$6:$AC$323,MATCH($A75,Wartungsplan!$A$6:$A$323,0)),"")</f>
        <v/>
      </c>
      <c r="C75" s="15">
        <f>IFERROR(INDEX(Wartungsplan!$B$6:$B$323,MATCH($A75,Wartungsplan!$A$6:$A$323,0)),"")</f>
        <v/>
      </c>
      <c r="D75" s="43">
        <f>IFERROR(INDEX(Wartungsplan!$U$6:$U$323,MATCH($A75,Wartungsplan!$A$6:$A$323,0)),"")</f>
        <v/>
      </c>
      <c r="E75" s="85">
        <f>IFERROR(INDEX(Wartungsplan!$V$6:$V$323,MATCH($A75,Wartungsplan!$A$6:$A$323,0)),"")</f>
        <v/>
      </c>
      <c r="F75" s="43">
        <f>IFERROR(IF(INDEX(Wartungsplan!$Z$6:$Z$323,MATCH($A75,Wartungsplan!$A$6:$A$323,0))="","",INDEX(Wartungsplan!$Z$6:$Z$323,MATCH($A75,Wartungsplan!$A$6:$A$323,0))),"")</f>
        <v/>
      </c>
      <c r="G75" s="98" t="n"/>
      <c r="H75" s="99">
        <f>IF(OR(G75="",NOT(ISNUMBER(E75))),"",G75+E75*7)</f>
        <v/>
      </c>
      <c r="I75" s="47">
        <f>IF(H75="","",H75-TODAY())</f>
        <v/>
      </c>
      <c r="J75" s="43">
        <f>IF(NOT(ISNUMBER(E75)),"Intervall fehlt",IF(G75="","nicht erfasst",IF(I75&lt;0,"überfällig",IF(I75&lt;=P_Vorwarn,"bald fällig","in Ordnung"))))</f>
        <v/>
      </c>
      <c r="K75" s="83" t="n"/>
      <c r="L75" s="83" t="n"/>
      <c r="M75" s="6" t="n"/>
    </row>
    <row r="76" ht="18" customHeight="1">
      <c r="A76" s="97" t="inlineStr">
        <is>
          <t>15.1</t>
        </is>
      </c>
      <c r="B76" s="15">
        <f>IFERROR(INDEX(Wartungsplan!$AC$6:$AC$323,MATCH($A76,Wartungsplan!$A$6:$A$323,0)),"")</f>
        <v/>
      </c>
      <c r="C76" s="15">
        <f>IFERROR(INDEX(Wartungsplan!$B$6:$B$323,MATCH($A76,Wartungsplan!$A$6:$A$323,0)),"")</f>
        <v/>
      </c>
      <c r="D76" s="43">
        <f>IFERROR(INDEX(Wartungsplan!$U$6:$U$323,MATCH($A76,Wartungsplan!$A$6:$A$323,0)),"")</f>
        <v/>
      </c>
      <c r="E76" s="85">
        <f>IFERROR(INDEX(Wartungsplan!$V$6:$V$323,MATCH($A76,Wartungsplan!$A$6:$A$323,0)),"")</f>
        <v/>
      </c>
      <c r="F76" s="43">
        <f>IFERROR(IF(INDEX(Wartungsplan!$Z$6:$Z$323,MATCH($A76,Wartungsplan!$A$6:$A$323,0))="","",INDEX(Wartungsplan!$Z$6:$Z$323,MATCH($A76,Wartungsplan!$A$6:$A$323,0))),"")</f>
        <v/>
      </c>
      <c r="G76" s="98" t="n"/>
      <c r="H76" s="99">
        <f>IF(OR(G76="",NOT(ISNUMBER(E76))),"",G76+E76*7)</f>
        <v/>
      </c>
      <c r="I76" s="47">
        <f>IF(H76="","",H76-TODAY())</f>
        <v/>
      </c>
      <c r="J76" s="43">
        <f>IF(NOT(ISNUMBER(E76)),"Intervall fehlt",IF(G76="","nicht erfasst",IF(I76&lt;0,"überfällig",IF(I76&lt;=P_Vorwarn,"bald fällig","in Ordnung"))))</f>
        <v/>
      </c>
      <c r="K76" s="83" t="n"/>
      <c r="L76" s="83" t="n"/>
      <c r="M76" s="6" t="n"/>
    </row>
    <row r="77" ht="30" customHeight="1">
      <c r="A77" s="97" t="inlineStr">
        <is>
          <t>15.2</t>
        </is>
      </c>
      <c r="B77" s="15">
        <f>IFERROR(INDEX(Wartungsplan!$AC$6:$AC$323,MATCH($A77,Wartungsplan!$A$6:$A$323,0)),"")</f>
        <v/>
      </c>
      <c r="C77" s="15">
        <f>IFERROR(INDEX(Wartungsplan!$B$6:$B$323,MATCH($A77,Wartungsplan!$A$6:$A$323,0)),"")</f>
        <v/>
      </c>
      <c r="D77" s="43">
        <f>IFERROR(INDEX(Wartungsplan!$U$6:$U$323,MATCH($A77,Wartungsplan!$A$6:$A$323,0)),"")</f>
        <v/>
      </c>
      <c r="E77" s="85">
        <f>IFERROR(INDEX(Wartungsplan!$V$6:$V$323,MATCH($A77,Wartungsplan!$A$6:$A$323,0)),"")</f>
        <v/>
      </c>
      <c r="F77" s="43">
        <f>IFERROR(IF(INDEX(Wartungsplan!$Z$6:$Z$323,MATCH($A77,Wartungsplan!$A$6:$A$323,0))="","",INDEX(Wartungsplan!$Z$6:$Z$323,MATCH($A77,Wartungsplan!$A$6:$A$323,0))),"")</f>
        <v/>
      </c>
      <c r="G77" s="98" t="n"/>
      <c r="H77" s="99">
        <f>IF(OR(G77="",NOT(ISNUMBER(E77))),"",G77+E77*7)</f>
        <v/>
      </c>
      <c r="I77" s="47">
        <f>IF(H77="","",H77-TODAY())</f>
        <v/>
      </c>
      <c r="J77" s="43">
        <f>IF(NOT(ISNUMBER(E77)),"Intervall fehlt",IF(G77="","nicht erfasst",IF(I77&lt;0,"überfällig",IF(I77&lt;=P_Vorwarn,"bald fällig","in Ordnung"))))</f>
        <v/>
      </c>
      <c r="K77" s="83" t="n"/>
      <c r="L77" s="83" t="n"/>
      <c r="M77" s="6" t="n"/>
    </row>
    <row r="78" ht="30" customHeight="1">
      <c r="A78" s="97" t="inlineStr">
        <is>
          <t>16.1</t>
        </is>
      </c>
      <c r="B78" s="15">
        <f>IFERROR(INDEX(Wartungsplan!$AC$6:$AC$323,MATCH($A78,Wartungsplan!$A$6:$A$323,0)),"")</f>
        <v/>
      </c>
      <c r="C78" s="15">
        <f>IFERROR(INDEX(Wartungsplan!$B$6:$B$323,MATCH($A78,Wartungsplan!$A$6:$A$323,0)),"")</f>
        <v/>
      </c>
      <c r="D78" s="43">
        <f>IFERROR(INDEX(Wartungsplan!$U$6:$U$323,MATCH($A78,Wartungsplan!$A$6:$A$323,0)),"")</f>
        <v/>
      </c>
      <c r="E78" s="85">
        <f>IFERROR(INDEX(Wartungsplan!$V$6:$V$323,MATCH($A78,Wartungsplan!$A$6:$A$323,0)),"")</f>
        <v/>
      </c>
      <c r="F78" s="43">
        <f>IFERROR(IF(INDEX(Wartungsplan!$Z$6:$Z$323,MATCH($A78,Wartungsplan!$A$6:$A$323,0))="","",INDEX(Wartungsplan!$Z$6:$Z$323,MATCH($A78,Wartungsplan!$A$6:$A$323,0))),"")</f>
        <v/>
      </c>
      <c r="G78" s="98" t="n"/>
      <c r="H78" s="99">
        <f>IF(OR(G78="",NOT(ISNUMBER(E78))),"",G78+E78*7)</f>
        <v/>
      </c>
      <c r="I78" s="47">
        <f>IF(H78="","",H78-TODAY())</f>
        <v/>
      </c>
      <c r="J78" s="43">
        <f>IF(NOT(ISNUMBER(E78)),"Intervall fehlt",IF(G78="","nicht erfasst",IF(I78&lt;0,"überfällig",IF(I78&lt;=P_Vorwarn,"bald fällig","in Ordnung"))))</f>
        <v/>
      </c>
      <c r="K78" s="83" t="n"/>
      <c r="L78" s="83" t="n"/>
      <c r="M78" s="6" t="n"/>
    </row>
    <row r="79" ht="18" customHeight="1">
      <c r="A79" s="97" t="inlineStr">
        <is>
          <t>16.2</t>
        </is>
      </c>
      <c r="B79" s="15">
        <f>IFERROR(INDEX(Wartungsplan!$AC$6:$AC$323,MATCH($A79,Wartungsplan!$A$6:$A$323,0)),"")</f>
        <v/>
      </c>
      <c r="C79" s="15">
        <f>IFERROR(INDEX(Wartungsplan!$B$6:$B$323,MATCH($A79,Wartungsplan!$A$6:$A$323,0)),"")</f>
        <v/>
      </c>
      <c r="D79" s="43">
        <f>IFERROR(INDEX(Wartungsplan!$U$6:$U$323,MATCH($A79,Wartungsplan!$A$6:$A$323,0)),"")</f>
        <v/>
      </c>
      <c r="E79" s="85">
        <f>IFERROR(INDEX(Wartungsplan!$V$6:$V$323,MATCH($A79,Wartungsplan!$A$6:$A$323,0)),"")</f>
        <v/>
      </c>
      <c r="F79" s="43">
        <f>IFERROR(IF(INDEX(Wartungsplan!$Z$6:$Z$323,MATCH($A79,Wartungsplan!$A$6:$A$323,0))="","",INDEX(Wartungsplan!$Z$6:$Z$323,MATCH($A79,Wartungsplan!$A$6:$A$323,0))),"")</f>
        <v/>
      </c>
      <c r="G79" s="98" t="n"/>
      <c r="H79" s="99">
        <f>IF(OR(G79="",NOT(ISNUMBER(E79))),"",G79+E79*7)</f>
        <v/>
      </c>
      <c r="I79" s="47">
        <f>IF(H79="","",H79-TODAY())</f>
        <v/>
      </c>
      <c r="J79" s="43">
        <f>IF(NOT(ISNUMBER(E79)),"Intervall fehlt",IF(G79="","nicht erfasst",IF(I79&lt;0,"überfällig",IF(I79&lt;=P_Vorwarn,"bald fällig","in Ordnung"))))</f>
        <v/>
      </c>
      <c r="K79" s="83" t="n"/>
      <c r="L79" s="83" t="n"/>
      <c r="M79" s="6" t="n"/>
    </row>
    <row r="80" ht="30" customHeight="1">
      <c r="A80" s="97" t="inlineStr">
        <is>
          <t>16.3</t>
        </is>
      </c>
      <c r="B80" s="15">
        <f>IFERROR(INDEX(Wartungsplan!$AC$6:$AC$323,MATCH($A80,Wartungsplan!$A$6:$A$323,0)),"")</f>
        <v/>
      </c>
      <c r="C80" s="15">
        <f>IFERROR(INDEX(Wartungsplan!$B$6:$B$323,MATCH($A80,Wartungsplan!$A$6:$A$323,0)),"")</f>
        <v/>
      </c>
      <c r="D80" s="43">
        <f>IFERROR(INDEX(Wartungsplan!$U$6:$U$323,MATCH($A80,Wartungsplan!$A$6:$A$323,0)),"")</f>
        <v/>
      </c>
      <c r="E80" s="85">
        <f>IFERROR(INDEX(Wartungsplan!$V$6:$V$323,MATCH($A80,Wartungsplan!$A$6:$A$323,0)),"")</f>
        <v/>
      </c>
      <c r="F80" s="43">
        <f>IFERROR(IF(INDEX(Wartungsplan!$Z$6:$Z$323,MATCH($A80,Wartungsplan!$A$6:$A$323,0))="","",INDEX(Wartungsplan!$Z$6:$Z$323,MATCH($A80,Wartungsplan!$A$6:$A$323,0))),"")</f>
        <v/>
      </c>
      <c r="G80" s="98" t="n"/>
      <c r="H80" s="99">
        <f>IF(OR(G80="",NOT(ISNUMBER(E80))),"",G80+E80*7)</f>
        <v/>
      </c>
      <c r="I80" s="47">
        <f>IF(H80="","",H80-TODAY())</f>
        <v/>
      </c>
      <c r="J80" s="43">
        <f>IF(NOT(ISNUMBER(E80)),"Intervall fehlt",IF(G80="","nicht erfasst",IF(I80&lt;0,"überfällig",IF(I80&lt;=P_Vorwarn,"bald fällig","in Ordnung"))))</f>
        <v/>
      </c>
      <c r="K80" s="83" t="n"/>
      <c r="L80" s="83" t="n"/>
      <c r="M80" s="6" t="n"/>
    </row>
    <row r="81" ht="18" customHeight="1">
      <c r="A81" s="97" t="inlineStr">
        <is>
          <t>16.4</t>
        </is>
      </c>
      <c r="B81" s="15">
        <f>IFERROR(INDEX(Wartungsplan!$AC$6:$AC$323,MATCH($A81,Wartungsplan!$A$6:$A$323,0)),"")</f>
        <v/>
      </c>
      <c r="C81" s="15">
        <f>IFERROR(INDEX(Wartungsplan!$B$6:$B$323,MATCH($A81,Wartungsplan!$A$6:$A$323,0)),"")</f>
        <v/>
      </c>
      <c r="D81" s="43">
        <f>IFERROR(INDEX(Wartungsplan!$U$6:$U$323,MATCH($A81,Wartungsplan!$A$6:$A$323,0)),"")</f>
        <v/>
      </c>
      <c r="E81" s="85">
        <f>IFERROR(INDEX(Wartungsplan!$V$6:$V$323,MATCH($A81,Wartungsplan!$A$6:$A$323,0)),"")</f>
        <v/>
      </c>
      <c r="F81" s="43">
        <f>IFERROR(IF(INDEX(Wartungsplan!$Z$6:$Z$323,MATCH($A81,Wartungsplan!$A$6:$A$323,0))="","",INDEX(Wartungsplan!$Z$6:$Z$323,MATCH($A81,Wartungsplan!$A$6:$A$323,0))),"")</f>
        <v/>
      </c>
      <c r="G81" s="98" t="n"/>
      <c r="H81" s="99">
        <f>IF(OR(G81="",NOT(ISNUMBER(E81))),"",G81+E81*7)</f>
        <v/>
      </c>
      <c r="I81" s="47">
        <f>IF(H81="","",H81-TODAY())</f>
        <v/>
      </c>
      <c r="J81" s="43">
        <f>IF(NOT(ISNUMBER(E81)),"Intervall fehlt",IF(G81="","nicht erfasst",IF(I81&lt;0,"überfällig",IF(I81&lt;=P_Vorwarn,"bald fällig","in Ordnung"))))</f>
        <v/>
      </c>
      <c r="K81" s="83" t="n"/>
      <c r="L81" s="83" t="n"/>
      <c r="M81" s="6" t="n"/>
    </row>
    <row r="82" ht="18" customHeight="1">
      <c r="A82" s="97" t="inlineStr">
        <is>
          <t>16.5</t>
        </is>
      </c>
      <c r="B82" s="15">
        <f>IFERROR(INDEX(Wartungsplan!$AC$6:$AC$323,MATCH($A82,Wartungsplan!$A$6:$A$323,0)),"")</f>
        <v/>
      </c>
      <c r="C82" s="15">
        <f>IFERROR(INDEX(Wartungsplan!$B$6:$B$323,MATCH($A82,Wartungsplan!$A$6:$A$323,0)),"")</f>
        <v/>
      </c>
      <c r="D82" s="43">
        <f>IFERROR(INDEX(Wartungsplan!$U$6:$U$323,MATCH($A82,Wartungsplan!$A$6:$A$323,0)),"")</f>
        <v/>
      </c>
      <c r="E82" s="85">
        <f>IFERROR(INDEX(Wartungsplan!$V$6:$V$323,MATCH($A82,Wartungsplan!$A$6:$A$323,0)),"")</f>
        <v/>
      </c>
      <c r="F82" s="43">
        <f>IFERROR(IF(INDEX(Wartungsplan!$Z$6:$Z$323,MATCH($A82,Wartungsplan!$A$6:$A$323,0))="","",INDEX(Wartungsplan!$Z$6:$Z$323,MATCH($A82,Wartungsplan!$A$6:$A$323,0))),"")</f>
        <v/>
      </c>
      <c r="G82" s="98" t="n"/>
      <c r="H82" s="99">
        <f>IF(OR(G82="",NOT(ISNUMBER(E82))),"",G82+E82*7)</f>
        <v/>
      </c>
      <c r="I82" s="47">
        <f>IF(H82="","",H82-TODAY())</f>
        <v/>
      </c>
      <c r="J82" s="43">
        <f>IF(NOT(ISNUMBER(E82)),"Intervall fehlt",IF(G82="","nicht erfasst",IF(I82&lt;0,"überfällig",IF(I82&lt;=P_Vorwarn,"bald fällig","in Ordnung"))))</f>
        <v/>
      </c>
      <c r="K82" s="83" t="n"/>
      <c r="L82" s="83" t="n"/>
      <c r="M82" s="6" t="n"/>
    </row>
    <row r="83" ht="30" customHeight="1">
      <c r="A83" s="97" t="inlineStr">
        <is>
          <t>16.6</t>
        </is>
      </c>
      <c r="B83" s="15">
        <f>IFERROR(INDEX(Wartungsplan!$AC$6:$AC$323,MATCH($A83,Wartungsplan!$A$6:$A$323,0)),"")</f>
        <v/>
      </c>
      <c r="C83" s="15">
        <f>IFERROR(INDEX(Wartungsplan!$B$6:$B$323,MATCH($A83,Wartungsplan!$A$6:$A$323,0)),"")</f>
        <v/>
      </c>
      <c r="D83" s="43">
        <f>IFERROR(INDEX(Wartungsplan!$U$6:$U$323,MATCH($A83,Wartungsplan!$A$6:$A$323,0)),"")</f>
        <v/>
      </c>
      <c r="E83" s="85">
        <f>IFERROR(INDEX(Wartungsplan!$V$6:$V$323,MATCH($A83,Wartungsplan!$A$6:$A$323,0)),"")</f>
        <v/>
      </c>
      <c r="F83" s="43">
        <f>IFERROR(IF(INDEX(Wartungsplan!$Z$6:$Z$323,MATCH($A83,Wartungsplan!$A$6:$A$323,0))="","",INDEX(Wartungsplan!$Z$6:$Z$323,MATCH($A83,Wartungsplan!$A$6:$A$323,0))),"")</f>
        <v/>
      </c>
      <c r="G83" s="98" t="n"/>
      <c r="H83" s="99">
        <f>IF(OR(G83="",NOT(ISNUMBER(E83))),"",G83+E83*7)</f>
        <v/>
      </c>
      <c r="I83" s="47">
        <f>IF(H83="","",H83-TODAY())</f>
        <v/>
      </c>
      <c r="J83" s="43">
        <f>IF(NOT(ISNUMBER(E83)),"Intervall fehlt",IF(G83="","nicht erfasst",IF(I83&lt;0,"überfällig",IF(I83&lt;=P_Vorwarn,"bald fällig","in Ordnung"))))</f>
        <v/>
      </c>
      <c r="K83" s="83" t="n"/>
      <c r="L83" s="83" t="n"/>
      <c r="M83" s="6" t="n"/>
    </row>
    <row r="84" ht="18" customHeight="1">
      <c r="A84" s="97" t="inlineStr">
        <is>
          <t>16.7</t>
        </is>
      </c>
      <c r="B84" s="15">
        <f>IFERROR(INDEX(Wartungsplan!$AC$6:$AC$323,MATCH($A84,Wartungsplan!$A$6:$A$323,0)),"")</f>
        <v/>
      </c>
      <c r="C84" s="15">
        <f>IFERROR(INDEX(Wartungsplan!$B$6:$B$323,MATCH($A84,Wartungsplan!$A$6:$A$323,0)),"")</f>
        <v/>
      </c>
      <c r="D84" s="43">
        <f>IFERROR(INDEX(Wartungsplan!$U$6:$U$323,MATCH($A84,Wartungsplan!$A$6:$A$323,0)),"")</f>
        <v/>
      </c>
      <c r="E84" s="85">
        <f>IFERROR(INDEX(Wartungsplan!$V$6:$V$323,MATCH($A84,Wartungsplan!$A$6:$A$323,0)),"")</f>
        <v/>
      </c>
      <c r="F84" s="43">
        <f>IFERROR(IF(INDEX(Wartungsplan!$Z$6:$Z$323,MATCH($A84,Wartungsplan!$A$6:$A$323,0))="","",INDEX(Wartungsplan!$Z$6:$Z$323,MATCH($A84,Wartungsplan!$A$6:$A$323,0))),"")</f>
        <v/>
      </c>
      <c r="G84" s="98" t="n"/>
      <c r="H84" s="99">
        <f>IF(OR(G84="",NOT(ISNUMBER(E84))),"",G84+E84*7)</f>
        <v/>
      </c>
      <c r="I84" s="47">
        <f>IF(H84="","",H84-TODAY())</f>
        <v/>
      </c>
      <c r="J84" s="43">
        <f>IF(NOT(ISNUMBER(E84)),"Intervall fehlt",IF(G84="","nicht erfasst",IF(I84&lt;0,"überfällig",IF(I84&lt;=P_Vorwarn,"bald fällig","in Ordnung"))))</f>
        <v/>
      </c>
      <c r="K84" s="83" t="n"/>
      <c r="L84" s="83" t="n"/>
      <c r="M84" s="6" t="n"/>
    </row>
    <row r="85" ht="18" customHeight="1">
      <c r="A85" s="97" t="inlineStr">
        <is>
          <t>17.1</t>
        </is>
      </c>
      <c r="B85" s="15">
        <f>IFERROR(INDEX(Wartungsplan!$AC$6:$AC$323,MATCH($A85,Wartungsplan!$A$6:$A$323,0)),"")</f>
        <v/>
      </c>
      <c r="C85" s="15">
        <f>IFERROR(INDEX(Wartungsplan!$B$6:$B$323,MATCH($A85,Wartungsplan!$A$6:$A$323,0)),"")</f>
        <v/>
      </c>
      <c r="D85" s="43">
        <f>IFERROR(INDEX(Wartungsplan!$U$6:$U$323,MATCH($A85,Wartungsplan!$A$6:$A$323,0)),"")</f>
        <v/>
      </c>
      <c r="E85" s="85">
        <f>IFERROR(INDEX(Wartungsplan!$V$6:$V$323,MATCH($A85,Wartungsplan!$A$6:$A$323,0)),"")</f>
        <v/>
      </c>
      <c r="F85" s="43">
        <f>IFERROR(IF(INDEX(Wartungsplan!$Z$6:$Z$323,MATCH($A85,Wartungsplan!$A$6:$A$323,0))="","",INDEX(Wartungsplan!$Z$6:$Z$323,MATCH($A85,Wartungsplan!$A$6:$A$323,0))),"")</f>
        <v/>
      </c>
      <c r="G85" s="98" t="n"/>
      <c r="H85" s="99">
        <f>IF(OR(G85="",NOT(ISNUMBER(E85))),"",G85+E85*7)</f>
        <v/>
      </c>
      <c r="I85" s="47">
        <f>IF(H85="","",H85-TODAY())</f>
        <v/>
      </c>
      <c r="J85" s="43">
        <f>IF(NOT(ISNUMBER(E85)),"Intervall fehlt",IF(G85="","nicht erfasst",IF(I85&lt;0,"überfällig",IF(I85&lt;=P_Vorwarn,"bald fällig","in Ordnung"))))</f>
        <v/>
      </c>
      <c r="K85" s="83" t="n"/>
      <c r="L85" s="83" t="n"/>
      <c r="M85" s="6" t="n"/>
    </row>
    <row r="86" ht="30" customHeight="1">
      <c r="A86" s="97" t="inlineStr">
        <is>
          <t>18.1</t>
        </is>
      </c>
      <c r="B86" s="15">
        <f>IFERROR(INDEX(Wartungsplan!$AC$6:$AC$323,MATCH($A86,Wartungsplan!$A$6:$A$323,0)),"")</f>
        <v/>
      </c>
      <c r="C86" s="15">
        <f>IFERROR(INDEX(Wartungsplan!$B$6:$B$323,MATCH($A86,Wartungsplan!$A$6:$A$323,0)),"")</f>
        <v/>
      </c>
      <c r="D86" s="43">
        <f>IFERROR(INDEX(Wartungsplan!$U$6:$U$323,MATCH($A86,Wartungsplan!$A$6:$A$323,0)),"")</f>
        <v/>
      </c>
      <c r="E86" s="85">
        <f>IFERROR(INDEX(Wartungsplan!$V$6:$V$323,MATCH($A86,Wartungsplan!$A$6:$A$323,0)),"")</f>
        <v/>
      </c>
      <c r="F86" s="43">
        <f>IFERROR(IF(INDEX(Wartungsplan!$Z$6:$Z$323,MATCH($A86,Wartungsplan!$A$6:$A$323,0))="","",INDEX(Wartungsplan!$Z$6:$Z$323,MATCH($A86,Wartungsplan!$A$6:$A$323,0))),"")</f>
        <v/>
      </c>
      <c r="G86" s="98" t="n"/>
      <c r="H86" s="99">
        <f>IF(OR(G86="",NOT(ISNUMBER(E86))),"",G86+E86*7)</f>
        <v/>
      </c>
      <c r="I86" s="47">
        <f>IF(H86="","",H86-TODAY())</f>
        <v/>
      </c>
      <c r="J86" s="43">
        <f>IF(NOT(ISNUMBER(E86)),"Intervall fehlt",IF(G86="","nicht erfasst",IF(I86&lt;0,"überfällig",IF(I86&lt;=P_Vorwarn,"bald fällig","in Ordnung"))))</f>
        <v/>
      </c>
      <c r="K86" s="83" t="n"/>
      <c r="L86" s="83" t="n"/>
      <c r="M86" s="6" t="n"/>
    </row>
    <row r="87" ht="18" customHeight="1">
      <c r="A87" s="97" t="inlineStr">
        <is>
          <t>18.2</t>
        </is>
      </c>
      <c r="B87" s="15">
        <f>IFERROR(INDEX(Wartungsplan!$AC$6:$AC$323,MATCH($A87,Wartungsplan!$A$6:$A$323,0)),"")</f>
        <v/>
      </c>
      <c r="C87" s="15">
        <f>IFERROR(INDEX(Wartungsplan!$B$6:$B$323,MATCH($A87,Wartungsplan!$A$6:$A$323,0)),"")</f>
        <v/>
      </c>
      <c r="D87" s="43">
        <f>IFERROR(INDEX(Wartungsplan!$U$6:$U$323,MATCH($A87,Wartungsplan!$A$6:$A$323,0)),"")</f>
        <v/>
      </c>
      <c r="E87" s="85">
        <f>IFERROR(INDEX(Wartungsplan!$V$6:$V$323,MATCH($A87,Wartungsplan!$A$6:$A$323,0)),"")</f>
        <v/>
      </c>
      <c r="F87" s="43">
        <f>IFERROR(IF(INDEX(Wartungsplan!$Z$6:$Z$323,MATCH($A87,Wartungsplan!$A$6:$A$323,0))="","",INDEX(Wartungsplan!$Z$6:$Z$323,MATCH($A87,Wartungsplan!$A$6:$A$323,0))),"")</f>
        <v/>
      </c>
      <c r="G87" s="98" t="n"/>
      <c r="H87" s="99">
        <f>IF(OR(G87="",NOT(ISNUMBER(E87))),"",G87+E87*7)</f>
        <v/>
      </c>
      <c r="I87" s="47">
        <f>IF(H87="","",H87-TODAY())</f>
        <v/>
      </c>
      <c r="J87" s="43">
        <f>IF(NOT(ISNUMBER(E87)),"Intervall fehlt",IF(G87="","nicht erfasst",IF(I87&lt;0,"überfällig",IF(I87&lt;=P_Vorwarn,"bald fällig","in Ordnung"))))</f>
        <v/>
      </c>
      <c r="K87" s="83" t="n"/>
      <c r="L87" s="83" t="n"/>
      <c r="M87" s="6" t="n"/>
    </row>
    <row r="88" ht="18" customHeight="1">
      <c r="A88" s="97" t="inlineStr">
        <is>
          <t>19.1</t>
        </is>
      </c>
      <c r="B88" s="15">
        <f>IFERROR(INDEX(Wartungsplan!$AC$6:$AC$323,MATCH($A88,Wartungsplan!$A$6:$A$323,0)),"")</f>
        <v/>
      </c>
      <c r="C88" s="15">
        <f>IFERROR(INDEX(Wartungsplan!$B$6:$B$323,MATCH($A88,Wartungsplan!$A$6:$A$323,0)),"")</f>
        <v/>
      </c>
      <c r="D88" s="43">
        <f>IFERROR(INDEX(Wartungsplan!$U$6:$U$323,MATCH($A88,Wartungsplan!$A$6:$A$323,0)),"")</f>
        <v/>
      </c>
      <c r="E88" s="85">
        <f>IFERROR(INDEX(Wartungsplan!$V$6:$V$323,MATCH($A88,Wartungsplan!$A$6:$A$323,0)),"")</f>
        <v/>
      </c>
      <c r="F88" s="43">
        <f>IFERROR(IF(INDEX(Wartungsplan!$Z$6:$Z$323,MATCH($A88,Wartungsplan!$A$6:$A$323,0))="","",INDEX(Wartungsplan!$Z$6:$Z$323,MATCH($A88,Wartungsplan!$A$6:$A$323,0))),"")</f>
        <v/>
      </c>
      <c r="G88" s="98" t="n"/>
      <c r="H88" s="99">
        <f>IF(OR(G88="",NOT(ISNUMBER(E88))),"",G88+E88*7)</f>
        <v/>
      </c>
      <c r="I88" s="47">
        <f>IF(H88="","",H88-TODAY())</f>
        <v/>
      </c>
      <c r="J88" s="43">
        <f>IF(NOT(ISNUMBER(E88)),"Intervall fehlt",IF(G88="","nicht erfasst",IF(I88&lt;0,"überfällig",IF(I88&lt;=P_Vorwarn,"bald fällig","in Ordnung"))))</f>
        <v/>
      </c>
      <c r="K88" s="83" t="n"/>
      <c r="L88" s="83" t="n"/>
      <c r="M88" s="6" t="n"/>
    </row>
    <row r="89" ht="18" customHeight="1">
      <c r="A89" s="97" t="inlineStr">
        <is>
          <t>19.2</t>
        </is>
      </c>
      <c r="B89" s="15">
        <f>IFERROR(INDEX(Wartungsplan!$AC$6:$AC$323,MATCH($A89,Wartungsplan!$A$6:$A$323,0)),"")</f>
        <v/>
      </c>
      <c r="C89" s="15">
        <f>IFERROR(INDEX(Wartungsplan!$B$6:$B$323,MATCH($A89,Wartungsplan!$A$6:$A$323,0)),"")</f>
        <v/>
      </c>
      <c r="D89" s="43">
        <f>IFERROR(INDEX(Wartungsplan!$U$6:$U$323,MATCH($A89,Wartungsplan!$A$6:$A$323,0)),"")</f>
        <v/>
      </c>
      <c r="E89" s="85">
        <f>IFERROR(INDEX(Wartungsplan!$V$6:$V$323,MATCH($A89,Wartungsplan!$A$6:$A$323,0)),"")</f>
        <v/>
      </c>
      <c r="F89" s="43">
        <f>IFERROR(IF(INDEX(Wartungsplan!$Z$6:$Z$323,MATCH($A89,Wartungsplan!$A$6:$A$323,0))="","",INDEX(Wartungsplan!$Z$6:$Z$323,MATCH($A89,Wartungsplan!$A$6:$A$323,0))),"")</f>
        <v/>
      </c>
      <c r="G89" s="98" t="n"/>
      <c r="H89" s="99">
        <f>IF(OR(G89="",NOT(ISNUMBER(E89))),"",G89+E89*7)</f>
        <v/>
      </c>
      <c r="I89" s="47">
        <f>IF(H89="","",H89-TODAY())</f>
        <v/>
      </c>
      <c r="J89" s="43">
        <f>IF(NOT(ISNUMBER(E89)),"Intervall fehlt",IF(G89="","nicht erfasst",IF(I89&lt;0,"überfällig",IF(I89&lt;=P_Vorwarn,"bald fällig","in Ordnung"))))</f>
        <v/>
      </c>
      <c r="K89" s="83" t="n"/>
      <c r="L89" s="83" t="n"/>
      <c r="M89" s="6" t="n"/>
    </row>
    <row r="90" ht="30" customHeight="1">
      <c r="A90" s="97" t="inlineStr">
        <is>
          <t>20.1</t>
        </is>
      </c>
      <c r="B90" s="15">
        <f>IFERROR(INDEX(Wartungsplan!$AC$6:$AC$323,MATCH($A90,Wartungsplan!$A$6:$A$323,0)),"")</f>
        <v/>
      </c>
      <c r="C90" s="15">
        <f>IFERROR(INDEX(Wartungsplan!$B$6:$B$323,MATCH($A90,Wartungsplan!$A$6:$A$323,0)),"")</f>
        <v/>
      </c>
      <c r="D90" s="43">
        <f>IFERROR(INDEX(Wartungsplan!$U$6:$U$323,MATCH($A90,Wartungsplan!$A$6:$A$323,0)),"")</f>
        <v/>
      </c>
      <c r="E90" s="85">
        <f>IFERROR(INDEX(Wartungsplan!$V$6:$V$323,MATCH($A90,Wartungsplan!$A$6:$A$323,0)),"")</f>
        <v/>
      </c>
      <c r="F90" s="43">
        <f>IFERROR(IF(INDEX(Wartungsplan!$Z$6:$Z$323,MATCH($A90,Wartungsplan!$A$6:$A$323,0))="","",INDEX(Wartungsplan!$Z$6:$Z$323,MATCH($A90,Wartungsplan!$A$6:$A$323,0))),"")</f>
        <v/>
      </c>
      <c r="G90" s="98" t="n"/>
      <c r="H90" s="99">
        <f>IF(OR(G90="",NOT(ISNUMBER(E90))),"",G90+E90*7)</f>
        <v/>
      </c>
      <c r="I90" s="47">
        <f>IF(H90="","",H90-TODAY())</f>
        <v/>
      </c>
      <c r="J90" s="43">
        <f>IF(NOT(ISNUMBER(E90)),"Intervall fehlt",IF(G90="","nicht erfasst",IF(I90&lt;0,"überfällig",IF(I90&lt;=P_Vorwarn,"bald fällig","in Ordnung"))))</f>
        <v/>
      </c>
      <c r="K90" s="83" t="n"/>
      <c r="L90" s="83" t="n"/>
      <c r="M90" s="6" t="n"/>
    </row>
    <row r="91" ht="30" customHeight="1">
      <c r="A91" s="97" t="inlineStr">
        <is>
          <t>21.1</t>
        </is>
      </c>
      <c r="B91" s="15">
        <f>IFERROR(INDEX(Wartungsplan!$AC$6:$AC$323,MATCH($A91,Wartungsplan!$A$6:$A$323,0)),"")</f>
        <v/>
      </c>
      <c r="C91" s="15">
        <f>IFERROR(INDEX(Wartungsplan!$B$6:$B$323,MATCH($A91,Wartungsplan!$A$6:$A$323,0)),"")</f>
        <v/>
      </c>
      <c r="D91" s="43">
        <f>IFERROR(INDEX(Wartungsplan!$U$6:$U$323,MATCH($A91,Wartungsplan!$A$6:$A$323,0)),"")</f>
        <v/>
      </c>
      <c r="E91" s="85">
        <f>IFERROR(INDEX(Wartungsplan!$V$6:$V$323,MATCH($A91,Wartungsplan!$A$6:$A$323,0)),"")</f>
        <v/>
      </c>
      <c r="F91" s="43">
        <f>IFERROR(IF(INDEX(Wartungsplan!$Z$6:$Z$323,MATCH($A91,Wartungsplan!$A$6:$A$323,0))="","",INDEX(Wartungsplan!$Z$6:$Z$323,MATCH($A91,Wartungsplan!$A$6:$A$323,0))),"")</f>
        <v/>
      </c>
      <c r="G91" s="98" t="n"/>
      <c r="H91" s="99">
        <f>IF(OR(G91="",NOT(ISNUMBER(E91))),"",G91+E91*7)</f>
        <v/>
      </c>
      <c r="I91" s="47">
        <f>IF(H91="","",H91-TODAY())</f>
        <v/>
      </c>
      <c r="J91" s="43">
        <f>IF(NOT(ISNUMBER(E91)),"Intervall fehlt",IF(G91="","nicht erfasst",IF(I91&lt;0,"überfällig",IF(I91&lt;=P_Vorwarn,"bald fällig","in Ordnung"))))</f>
        <v/>
      </c>
      <c r="K91" s="83" t="n"/>
      <c r="L91" s="83" t="n"/>
      <c r="M91" s="6" t="n"/>
    </row>
    <row r="92" ht="42" customHeight="1">
      <c r="A92" s="97" t="inlineStr">
        <is>
          <t>21.2</t>
        </is>
      </c>
      <c r="B92" s="15">
        <f>IFERROR(INDEX(Wartungsplan!$AC$6:$AC$323,MATCH($A92,Wartungsplan!$A$6:$A$323,0)),"")</f>
        <v/>
      </c>
      <c r="C92" s="15">
        <f>IFERROR(INDEX(Wartungsplan!$B$6:$B$323,MATCH($A92,Wartungsplan!$A$6:$A$323,0)),"")</f>
        <v/>
      </c>
      <c r="D92" s="43">
        <f>IFERROR(INDEX(Wartungsplan!$U$6:$U$323,MATCH($A92,Wartungsplan!$A$6:$A$323,0)),"")</f>
        <v/>
      </c>
      <c r="E92" s="85">
        <f>IFERROR(INDEX(Wartungsplan!$V$6:$V$323,MATCH($A92,Wartungsplan!$A$6:$A$323,0)),"")</f>
        <v/>
      </c>
      <c r="F92" s="43">
        <f>IFERROR(IF(INDEX(Wartungsplan!$Z$6:$Z$323,MATCH($A92,Wartungsplan!$A$6:$A$323,0))="","",INDEX(Wartungsplan!$Z$6:$Z$323,MATCH($A92,Wartungsplan!$A$6:$A$323,0))),"")</f>
        <v/>
      </c>
      <c r="G92" s="98" t="n"/>
      <c r="H92" s="99">
        <f>IF(OR(G92="",NOT(ISNUMBER(E92))),"",G92+E92*7)</f>
        <v/>
      </c>
      <c r="I92" s="47">
        <f>IF(H92="","",H92-TODAY())</f>
        <v/>
      </c>
      <c r="J92" s="43">
        <f>IF(NOT(ISNUMBER(E92)),"Intervall fehlt",IF(G92="","nicht erfasst",IF(I92&lt;0,"überfällig",IF(I92&lt;=P_Vorwarn,"bald fällig","in Ordnung"))))</f>
        <v/>
      </c>
      <c r="K92" s="83" t="n"/>
      <c r="L92" s="83" t="n"/>
      <c r="M92" s="6" t="n"/>
    </row>
    <row r="93" ht="30" customHeight="1">
      <c r="A93" s="97" t="inlineStr">
        <is>
          <t>21.3</t>
        </is>
      </c>
      <c r="B93" s="15">
        <f>IFERROR(INDEX(Wartungsplan!$AC$6:$AC$323,MATCH($A93,Wartungsplan!$A$6:$A$323,0)),"")</f>
        <v/>
      </c>
      <c r="C93" s="15">
        <f>IFERROR(INDEX(Wartungsplan!$B$6:$B$323,MATCH($A93,Wartungsplan!$A$6:$A$323,0)),"")</f>
        <v/>
      </c>
      <c r="D93" s="43">
        <f>IFERROR(INDEX(Wartungsplan!$U$6:$U$323,MATCH($A93,Wartungsplan!$A$6:$A$323,0)),"")</f>
        <v/>
      </c>
      <c r="E93" s="85">
        <f>IFERROR(INDEX(Wartungsplan!$V$6:$V$323,MATCH($A93,Wartungsplan!$A$6:$A$323,0)),"")</f>
        <v/>
      </c>
      <c r="F93" s="43">
        <f>IFERROR(IF(INDEX(Wartungsplan!$Z$6:$Z$323,MATCH($A93,Wartungsplan!$A$6:$A$323,0))="","",INDEX(Wartungsplan!$Z$6:$Z$323,MATCH($A93,Wartungsplan!$A$6:$A$323,0))),"")</f>
        <v/>
      </c>
      <c r="G93" s="98" t="n"/>
      <c r="H93" s="99">
        <f>IF(OR(G93="",NOT(ISNUMBER(E93))),"",G93+E93*7)</f>
        <v/>
      </c>
      <c r="I93" s="47">
        <f>IF(H93="","",H93-TODAY())</f>
        <v/>
      </c>
      <c r="J93" s="43">
        <f>IF(NOT(ISNUMBER(E93)),"Intervall fehlt",IF(G93="","nicht erfasst",IF(I93&lt;0,"überfällig",IF(I93&lt;=P_Vorwarn,"bald fällig","in Ordnung"))))</f>
        <v/>
      </c>
      <c r="K93" s="83" t="n"/>
      <c r="L93" s="83" t="n"/>
      <c r="M93" s="6" t="n"/>
    </row>
  </sheetData>
  <conditionalFormatting sqref="J6:J293">
    <cfRule type="cellIs" priority="1" operator="equal" dxfId="2">
      <formula>"überfällig"</formula>
    </cfRule>
    <cfRule type="cellIs" priority="2" operator="equal" dxfId="1">
      <formula>"bald fällig"</formula>
    </cfRule>
    <cfRule type="cellIs" priority="3" operator="equal" dxfId="0">
      <formula>"in Ordnung"</formula>
    </cfRule>
    <cfRule type="cellIs" priority="4" operator="equal" dxfId="9">
      <formula>"nicht erfasst"</formula>
    </cfRule>
    <cfRule type="cellIs" priority="5" operator="equal" dxfId="5">
      <formula>"Intervall fehlt"</formula>
    </cfRule>
  </conditionalFormatting>
  <conditionalFormatting sqref="K6:K293">
    <cfRule type="expression" priority="6" dxfId="10">
      <formula>LEFT(K6,6)="n.i.O."</formula>
    </cfRule>
  </conditionalFormatting>
  <dataValidations count="2">
    <dataValidation sqref="K6:K293" showDropDown="0" showInputMessage="0" showErrorMessage="0" allowBlank="1" type="list">
      <formula1>=L_Befund</formula1>
    </dataValidation>
    <dataValidation sqref="G6:G293" showDropDown="0" showInputMessage="0" showErrorMessage="0" allowBlank="1" error="Bitte gültiges Datum eingeben (TT.MM.JJJJ)." type="date" operator="between">
      <formula1>DATE(2000,1,1)</formula1>
      <formula2>DATE(2100,12,31)</formula2>
    </dataValidation>
  </dataValidations>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8EA9DB"/>
    <outlinePr summaryBelow="1" summaryRight="1"/>
    <pageSetUpPr fitToPage="1"/>
  </sheetPr>
  <dimension ref="B1:N39"/>
  <sheetViews>
    <sheetView showGridLines="0" tabSelected="0" zoomScale="9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3" customWidth="1" min="10" max="10"/>
    <col width="7" customWidth="1" min="11" max="11"/>
    <col width="40" customWidth="1" min="12" max="12"/>
    <col width="12" customWidth="1" min="13" max="13"/>
    <col width="34" customWidth="1" min="14" max="14"/>
  </cols>
  <sheetData>
    <row r="1" ht="26" customHeight="1">
      <c r="B1" s="33" t="inlineStr">
        <is>
          <t>Anlagenübersicht – Positionen der Übersichtszeichnung</t>
        </is>
      </c>
    </row>
    <row r="2">
      <c r="B2" s="2" t="inlineStr">
        <is>
          <t>Zuordnung der Positionsnummern zu den Abschnitten des Wartungsplans (Zeichnung aus der Vorversion)</t>
        </is>
      </c>
    </row>
    <row r="3">
      <c r="B3" s="3" t="n"/>
      <c r="C3" s="3" t="n"/>
      <c r="D3" s="3" t="n"/>
      <c r="E3" s="3" t="n"/>
      <c r="F3" s="3" t="n"/>
      <c r="G3" s="3" t="n"/>
      <c r="H3" s="3" t="n"/>
      <c r="I3" s="3" t="n"/>
      <c r="J3" s="3" t="n"/>
      <c r="K3" s="3" t="n"/>
      <c r="L3" s="3" t="n"/>
      <c r="M3" s="3" t="n"/>
      <c r="N3" s="3" t="n"/>
    </row>
    <row r="5" ht="22" customHeight="1">
      <c r="K5" s="12" t="inlineStr">
        <is>
          <t>Pos.</t>
        </is>
      </c>
      <c r="L5" s="12" t="inlineStr">
        <is>
          <t>Baugruppe</t>
        </is>
      </c>
      <c r="M5" s="12" t="inlineStr">
        <is>
          <t>Abschnitt im Plan</t>
        </is>
      </c>
      <c r="N5" s="12" t="inlineStr">
        <is>
          <t>Status</t>
        </is>
      </c>
    </row>
    <row r="6" ht="16" customHeight="1">
      <c r="K6" s="43" t="n">
        <v>1</v>
      </c>
      <c r="L6" s="15" t="inlineStr">
        <is>
          <t>Bedienpult</t>
        </is>
      </c>
      <c r="M6" s="43" t="inlineStr">
        <is>
          <t>2</t>
        </is>
      </c>
      <c r="N6" s="100" t="inlineStr">
        <is>
          <t>im Wartungsplan enthalten</t>
        </is>
      </c>
    </row>
    <row r="7" ht="16" customHeight="1">
      <c r="K7" s="43" t="n">
        <v>2</v>
      </c>
      <c r="L7" s="15" t="inlineStr">
        <is>
          <t>Staucheinheit</t>
        </is>
      </c>
      <c r="M7" s="43" t="inlineStr">
        <is>
          <t>3</t>
        </is>
      </c>
      <c r="N7" s="100" t="inlineStr">
        <is>
          <t>im Wartungsplan enthalten</t>
        </is>
      </c>
    </row>
    <row r="8" ht="16" customHeight="1">
      <c r="K8" s="43" t="n">
        <v>3</v>
      </c>
      <c r="L8" s="15" t="inlineStr">
        <is>
          <t>Oberer Werkzeugträger</t>
        </is>
      </c>
      <c r="M8" s="43" t="inlineStr">
        <is>
          <t>4</t>
        </is>
      </c>
      <c r="N8" s="100" t="inlineStr">
        <is>
          <t>im Wartungsplan enthalten</t>
        </is>
      </c>
    </row>
    <row r="9" ht="16" customHeight="1">
      <c r="K9" s="101" t="n">
        <v>4</v>
      </c>
      <c r="L9" s="102" t="inlineStr">
        <is>
          <t>(Bezeichnung in der Vorversion nicht angegeben)</t>
        </is>
      </c>
      <c r="M9" s="101" t="inlineStr">
        <is>
          <t>–</t>
        </is>
      </c>
      <c r="N9" s="103" t="inlineStr">
        <is>
          <t>nicht im Wartungsplan – prüfen</t>
        </is>
      </c>
    </row>
    <row r="10" ht="16" customHeight="1">
      <c r="K10" s="43" t="n">
        <v>5</v>
      </c>
      <c r="L10" s="15" t="inlineStr">
        <is>
          <t>Verschlussbalken</t>
        </is>
      </c>
      <c r="M10" s="43" t="inlineStr">
        <is>
          <t>5</t>
        </is>
      </c>
      <c r="N10" s="100" t="inlineStr">
        <is>
          <t>im Wartungsplan enthalten</t>
        </is>
      </c>
    </row>
    <row r="11" ht="16" customHeight="1">
      <c r="K11" s="43" t="n">
        <v>6</v>
      </c>
      <c r="L11" s="15" t="inlineStr">
        <is>
          <t>Unterer Werkzeugträger</t>
        </is>
      </c>
      <c r="M11" s="43" t="inlineStr">
        <is>
          <t>4</t>
        </is>
      </c>
      <c r="N11" s="100" t="inlineStr">
        <is>
          <t>im Wartungsplan enthalten</t>
        </is>
      </c>
    </row>
    <row r="12" ht="16" customHeight="1">
      <c r="K12" s="101" t="n">
        <v>7</v>
      </c>
      <c r="L12" s="102" t="inlineStr">
        <is>
          <t>(Bezeichnung in der Vorversion nicht angegeben)</t>
        </is>
      </c>
      <c r="M12" s="101" t="inlineStr">
        <is>
          <t>–</t>
        </is>
      </c>
      <c r="N12" s="103" t="inlineStr">
        <is>
          <t>nicht im Wartungsplan – prüfen</t>
        </is>
      </c>
    </row>
    <row r="13" ht="16" customHeight="1">
      <c r="K13" s="43" t="n">
        <v>8</v>
      </c>
      <c r="L13" s="15" t="inlineStr">
        <is>
          <t>Entnahmehandling (Handling Balggreifer)</t>
        </is>
      </c>
      <c r="M13" s="43" t="inlineStr">
        <is>
          <t>9</t>
        </is>
      </c>
      <c r="N13" s="100" t="inlineStr">
        <is>
          <t>im Wartungsplan enthalten</t>
        </is>
      </c>
    </row>
    <row r="14" ht="16" customHeight="1">
      <c r="K14" s="101" t="n">
        <v>9</v>
      </c>
      <c r="L14" s="102" t="inlineStr">
        <is>
          <t>(Bezeichnung in der Vorversion nicht angegeben)</t>
        </is>
      </c>
      <c r="M14" s="101" t="inlineStr">
        <is>
          <t>–</t>
        </is>
      </c>
      <c r="N14" s="103" t="inlineStr">
        <is>
          <t>nicht im Wartungsplan – prüfen</t>
        </is>
      </c>
    </row>
    <row r="15" ht="16" customHeight="1">
      <c r="K15" s="101" t="n">
        <v>10</v>
      </c>
      <c r="L15" s="102" t="inlineStr">
        <is>
          <t>(Bezeichnung in der Vorversion nicht angegeben)</t>
        </is>
      </c>
      <c r="M15" s="101" t="inlineStr">
        <is>
          <t>–</t>
        </is>
      </c>
      <c r="N15" s="103" t="inlineStr">
        <is>
          <t>nicht im Wartungsplan – prüfen</t>
        </is>
      </c>
    </row>
    <row r="16" ht="16" customHeight="1">
      <c r="K16" s="43" t="n">
        <v>11</v>
      </c>
      <c r="L16" s="15" t="inlineStr">
        <is>
          <t>Wasserbehälter für Umformmedium</t>
        </is>
      </c>
      <c r="M16" s="43" t="inlineStr">
        <is>
          <t>7</t>
        </is>
      </c>
      <c r="N16" s="100" t="inlineStr">
        <is>
          <t>im Wartungsplan enthalten</t>
        </is>
      </c>
    </row>
    <row r="17" ht="16" customHeight="1">
      <c r="K17" s="101" t="n">
        <v>12</v>
      </c>
      <c r="L17" s="102" t="inlineStr">
        <is>
          <t>(Bezeichnung in der Vorversion nicht angegeben)</t>
        </is>
      </c>
      <c r="M17" s="101" t="inlineStr">
        <is>
          <t>–</t>
        </is>
      </c>
      <c r="N17" s="103" t="inlineStr">
        <is>
          <t>nicht im Wartungsplan – prüfen</t>
        </is>
      </c>
    </row>
    <row r="18" ht="16" customHeight="1">
      <c r="K18" s="43" t="n">
        <v>13</v>
      </c>
      <c r="L18" s="15" t="inlineStr">
        <is>
          <t>Auslaufrinne</t>
        </is>
      </c>
      <c r="M18" s="43" t="inlineStr">
        <is>
          <t>8</t>
        </is>
      </c>
      <c r="N18" s="100" t="inlineStr">
        <is>
          <t>im Wartungsplan enthalten</t>
        </is>
      </c>
    </row>
    <row r="19" ht="16" customHeight="1">
      <c r="K19" s="43" t="n">
        <v>14</v>
      </c>
      <c r="L19" s="15" t="inlineStr">
        <is>
          <t>Beladehandling (Handling Glattrohrgreifer)</t>
        </is>
      </c>
      <c r="M19" s="43" t="inlineStr">
        <is>
          <t>9</t>
        </is>
      </c>
      <c r="N19" s="100" t="inlineStr">
        <is>
          <t>im Wartungsplan enthalten</t>
        </is>
      </c>
    </row>
    <row r="20" ht="16" customHeight="1">
      <c r="K20" s="43" t="n">
        <v>15</v>
      </c>
      <c r="L20" s="15" t="inlineStr">
        <is>
          <t>Wartungseinheit (falls vorhanden)</t>
        </is>
      </c>
      <c r="M20" s="43" t="inlineStr">
        <is>
          <t>10</t>
        </is>
      </c>
      <c r="N20" s="100" t="inlineStr">
        <is>
          <t>im Wartungsplan enthalten</t>
        </is>
      </c>
    </row>
    <row r="21" ht="16" customHeight="1">
      <c r="K21" s="43" t="n">
        <v>16</v>
      </c>
      <c r="L21" s="15" t="inlineStr">
        <is>
          <t>Glattrohrzuführung</t>
        </is>
      </c>
      <c r="M21" s="43" t="inlineStr">
        <is>
          <t>11</t>
        </is>
      </c>
      <c r="N21" s="100" t="inlineStr">
        <is>
          <t>im Wartungsplan enthalten</t>
        </is>
      </c>
    </row>
    <row r="22" ht="16" customHeight="1">
      <c r="K22" s="43" t="n">
        <v>17</v>
      </c>
      <c r="L22" s="15" t="inlineStr">
        <is>
          <t>Vereinzeler/Rohrstopper</t>
        </is>
      </c>
      <c r="M22" s="43" t="inlineStr">
        <is>
          <t>11</t>
        </is>
      </c>
      <c r="N22" s="100" t="inlineStr">
        <is>
          <t>im Wartungsplan enthalten</t>
        </is>
      </c>
    </row>
    <row r="23" ht="16" customHeight="1">
      <c r="K23" s="101" t="n">
        <v>18</v>
      </c>
      <c r="L23" s="102" t="inlineStr">
        <is>
          <t>(Bezeichnung in der Vorversion nicht angegeben)</t>
        </is>
      </c>
      <c r="M23" s="101" t="inlineStr">
        <is>
          <t>–</t>
        </is>
      </c>
      <c r="N23" s="103" t="inlineStr">
        <is>
          <t>nicht im Wartungsplan – prüfen</t>
        </is>
      </c>
    </row>
    <row r="24" ht="16" customHeight="1">
      <c r="K24" s="43" t="n">
        <v>19</v>
      </c>
      <c r="L24" s="15" t="inlineStr">
        <is>
          <t>Handbediengerät</t>
        </is>
      </c>
      <c r="M24" s="43" t="inlineStr">
        <is>
          <t>12</t>
        </is>
      </c>
      <c r="N24" s="100" t="inlineStr">
        <is>
          <t>im Wartungsplan enthalten</t>
        </is>
      </c>
    </row>
    <row r="25" ht="16" customHeight="1">
      <c r="K25" s="43" t="n">
        <v>20</v>
      </c>
      <c r="L25" s="15" t="inlineStr">
        <is>
          <t>Klimagerät für Schaltschrank</t>
        </is>
      </c>
      <c r="M25" s="43" t="inlineStr">
        <is>
          <t>13</t>
        </is>
      </c>
      <c r="N25" s="100" t="inlineStr">
        <is>
          <t>im Wartungsplan enthalten</t>
        </is>
      </c>
    </row>
    <row r="26" ht="16" customHeight="1">
      <c r="K26" s="101" t="n">
        <v>21</v>
      </c>
      <c r="L26" s="102" t="inlineStr">
        <is>
          <t>(Bezeichnung in der Vorversion nicht angegeben)</t>
        </is>
      </c>
      <c r="M26" s="101" t="inlineStr">
        <is>
          <t>–</t>
        </is>
      </c>
      <c r="N26" s="103" t="inlineStr">
        <is>
          <t>nicht im Wartungsplan – prüfen</t>
        </is>
      </c>
    </row>
    <row r="27" ht="16" customHeight="1">
      <c r="K27" s="43" t="n">
        <v>22</v>
      </c>
      <c r="L27" s="15" t="inlineStr">
        <is>
          <t>Schaltschrank</t>
        </is>
      </c>
      <c r="M27" s="43" t="inlineStr">
        <is>
          <t>14</t>
        </is>
      </c>
      <c r="N27" s="100" t="inlineStr">
        <is>
          <t>im Wartungsplan enthalten</t>
        </is>
      </c>
    </row>
    <row r="28" ht="16" customHeight="1">
      <c r="K28" s="101" t="n">
        <v>23</v>
      </c>
      <c r="L28" s="102" t="inlineStr">
        <is>
          <t>(Bezeichnung in der Vorversion nicht angegeben)</t>
        </is>
      </c>
      <c r="M28" s="101" t="inlineStr">
        <is>
          <t>–</t>
        </is>
      </c>
      <c r="N28" s="103" t="inlineStr">
        <is>
          <t>nicht im Wartungsplan – prüfen</t>
        </is>
      </c>
    </row>
    <row r="29" ht="16" customHeight="1">
      <c r="K29" s="43" t="n">
        <v>24</v>
      </c>
      <c r="L29" s="15" t="inlineStr">
        <is>
          <t>Ölkühler/Wasserkühler</t>
        </is>
      </c>
      <c r="M29" s="43" t="inlineStr">
        <is>
          <t>15</t>
        </is>
      </c>
      <c r="N29" s="100" t="inlineStr">
        <is>
          <t>im Wartungsplan enthalten</t>
        </is>
      </c>
    </row>
    <row r="30" ht="16" customHeight="1">
      <c r="K30" s="43" t="n">
        <v>25</v>
      </c>
      <c r="L30" s="15" t="inlineStr">
        <is>
          <t>Hydraulikaggregat</t>
        </is>
      </c>
      <c r="M30" s="43" t="inlineStr">
        <is>
          <t>16</t>
        </is>
      </c>
      <c r="N30" s="100" t="inlineStr">
        <is>
          <t>im Wartungsplan enthalten</t>
        </is>
      </c>
    </row>
    <row r="31" ht="16" customHeight="1">
      <c r="K31" s="43" t="n">
        <v>26</v>
      </c>
      <c r="L31" s="15" t="inlineStr">
        <is>
          <t>Hydraulik-Druckfilter (mit Filtereinsatz)</t>
        </is>
      </c>
      <c r="M31" s="43" t="inlineStr">
        <is>
          <t>17</t>
        </is>
      </c>
      <c r="N31" s="100" t="inlineStr">
        <is>
          <t>im Wartungsplan enthalten</t>
        </is>
      </c>
    </row>
    <row r="32" ht="16" customHeight="1">
      <c r="B32" s="104" t="inlineStr">
        <is>
          <t>Hinweis: Die Positionen 4, 7, 9, 10, 12, 18, 21, 23, 27 und 28 sind in der Zeichnung nummeriert, aber im Wartungsplan nicht berücksichtigt. Bitte im Team klären, ob dort Wartungsbedarf besteht (siehe Blatt „Offene Punkte“).</t>
        </is>
      </c>
      <c r="K32" s="101" t="n">
        <v>27</v>
      </c>
      <c r="L32" s="102" t="inlineStr">
        <is>
          <t>(Bezeichnung in der Vorversion nicht angegeben)</t>
        </is>
      </c>
      <c r="M32" s="101" t="inlineStr">
        <is>
          <t>–</t>
        </is>
      </c>
      <c r="N32" s="103" t="inlineStr">
        <is>
          <t>nicht im Wartungsplan – prüfen</t>
        </is>
      </c>
    </row>
    <row r="33" ht="16" customHeight="1">
      <c r="K33" s="101" t="n">
        <v>28</v>
      </c>
      <c r="L33" s="102" t="inlineStr">
        <is>
          <t>(Bezeichnung in der Vorversion nicht angegeben)</t>
        </is>
      </c>
      <c r="M33" s="101" t="inlineStr">
        <is>
          <t>–</t>
        </is>
      </c>
      <c r="N33" s="103" t="inlineStr">
        <is>
          <t>nicht im Wartungsplan – prüfen</t>
        </is>
      </c>
    </row>
    <row r="34" ht="16" customHeight="1">
      <c r="K34" s="43" t="n">
        <v>29</v>
      </c>
      <c r="L34" s="15" t="inlineStr">
        <is>
          <t>Stauchspindel (Kugelgewindespindel)</t>
        </is>
      </c>
      <c r="M34" s="43" t="inlineStr">
        <is>
          <t>3</t>
        </is>
      </c>
      <c r="N34" s="100" t="inlineStr">
        <is>
          <t>im Wartungsplan enthalten</t>
        </is>
      </c>
    </row>
    <row r="35" ht="16" customHeight="1">
      <c r="K35" s="43" t="n">
        <v>30</v>
      </c>
      <c r="L35" s="15" t="inlineStr">
        <is>
          <t>Druckübersetzer</t>
        </is>
      </c>
      <c r="M35" s="43" t="inlineStr">
        <is>
          <t>18</t>
        </is>
      </c>
      <c r="N35" s="100" t="inlineStr">
        <is>
          <t>im Wartungsplan enthalten</t>
        </is>
      </c>
    </row>
    <row r="37">
      <c r="K37" s="52" t="inlineStr">
        <is>
          <t>Ergänzend: Pos. 33 = Schmierbohrung in der Stauchspindel (Detailbild bei Maßnahme 3.1.5). Abschnitte 1 (Not-Aus), 6 (Zylinder), 19 (Schmierung allgemein), 20 (Schutzeinrichtungen) und 21 (Kühlaggregat) sind keiner Position zugeordnet.</t>
        </is>
      </c>
    </row>
    <row r="38"/>
    <row r="39"/>
  </sheetData>
  <mergeCells count="2">
    <mergeCell ref="K37:N39"/>
    <mergeCell ref="B32:I35"/>
  </mergeCells>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8EA9DB"/>
    <outlinePr summaryBelow="1" summaryRight="1"/>
    <pageSetUpPr fitToPage="1"/>
  </sheetPr>
  <dimension ref="B1:J29"/>
  <sheetViews>
    <sheetView showGridLines="0" tabSelected="0" zoomScale="90" workbookViewId="0">
      <pane xSplit="4" ySplit="7" topLeftCell="E8" activePane="bottomRight" state="frozen"/>
      <selection pane="topRight"/>
      <selection pane="bottomLeft"/>
      <selection pane="bottomRight" activeCell="A1" sqref="A1"/>
    </sheetView>
  </sheetViews>
  <sheetFormatPr baseColWidth="8" defaultRowHeight="15"/>
  <cols>
    <col width="2" customWidth="1" min="1" max="1"/>
    <col width="7" customWidth="1" min="2" max="2"/>
    <col width="22" customWidth="1" min="3" max="3"/>
    <col width="30" customWidth="1" min="4" max="4"/>
    <col width="24" customWidth="1" min="5" max="5"/>
    <col width="24" customWidth="1" min="6" max="6"/>
    <col width="24" customWidth="1" min="7" max="7"/>
    <col width="24" customWidth="1" min="8" max="8"/>
    <col width="26" customWidth="1" min="9" max="9"/>
    <col width="2" customWidth="1" min="10" max="10"/>
  </cols>
  <sheetData>
    <row r="1" ht="26" customHeight="1">
      <c r="B1" s="33" t="inlineStr">
        <is>
          <t>Bewertungskatalog – Skalen 1 bis 5</t>
        </is>
      </c>
    </row>
    <row r="2">
      <c r="B2" s="2" t="inlineStr">
        <is>
          <t>Konsolidiert aus den 8 Einzelblättern der Vorversion (Bedeutung F, IH, Q, AS, US, S · Ausfallwahrscheinlichkeit A · Entdeckungswahrscheinlichkeit E)</t>
        </is>
      </c>
    </row>
    <row r="3">
      <c r="B3" s="3" t="n"/>
      <c r="C3" s="3" t="n"/>
      <c r="D3" s="3" t="n"/>
      <c r="E3" s="3" t="n"/>
      <c r="F3" s="3" t="n"/>
      <c r="G3" s="3" t="n"/>
      <c r="H3" s="3" t="n"/>
      <c r="I3" s="3" t="n"/>
      <c r="J3" s="3" t="n"/>
    </row>
    <row r="5" ht="20" customHeight="1">
      <c r="B5" s="12" t="inlineStr">
        <is>
          <t>Kürzel</t>
        </is>
      </c>
      <c r="C5" s="12" t="inlineStr">
        <is>
          <t>Kriterium</t>
        </is>
      </c>
      <c r="D5" s="12" t="inlineStr">
        <is>
          <t>Leitfrage</t>
        </is>
      </c>
      <c r="E5" s="12" t="inlineStr">
        <is>
          <t>1</t>
        </is>
      </c>
      <c r="F5" s="12" t="inlineStr">
        <is>
          <t>2</t>
        </is>
      </c>
      <c r="G5" s="12" t="inlineStr">
        <is>
          <t>3</t>
        </is>
      </c>
      <c r="H5" s="12" t="inlineStr">
        <is>
          <t>4</t>
        </is>
      </c>
      <c r="I5" s="12" t="inlineStr">
        <is>
          <t>5</t>
        </is>
      </c>
    </row>
    <row r="6">
      <c r="B6" s="46" t="n"/>
      <c r="C6" s="46" t="n"/>
      <c r="D6" s="105" t="inlineStr">
        <is>
          <t>Ausprägung des Risikos</t>
        </is>
      </c>
      <c r="E6" s="106" t="inlineStr">
        <is>
          <t>sehr gering</t>
        </is>
      </c>
      <c r="F6" s="106" t="inlineStr">
        <is>
          <t>gering</t>
        </is>
      </c>
      <c r="G6" s="106" t="inlineStr">
        <is>
          <t>mittel</t>
        </is>
      </c>
      <c r="H6" s="106" t="inlineStr">
        <is>
          <t>hoch</t>
        </is>
      </c>
      <c r="I6" s="106" t="inlineStr">
        <is>
          <t>sehr hoch</t>
        </is>
      </c>
    </row>
    <row r="7">
      <c r="B7" s="46" t="n"/>
      <c r="C7" s="46" t="n"/>
      <c r="D7" s="107" t="inlineStr">
        <is>
          <t>Einstufung (Bezeichnung der Vorversion)</t>
        </is>
      </c>
      <c r="E7" s="108" t="inlineStr">
        <is>
          <t>sehr gut</t>
        </is>
      </c>
      <c r="F7" s="108" t="inlineStr">
        <is>
          <t>gut</t>
        </is>
      </c>
      <c r="G7" s="108" t="inlineStr">
        <is>
          <t>mittel</t>
        </is>
      </c>
      <c r="H7" s="108" t="inlineStr">
        <is>
          <t>schlecht</t>
        </is>
      </c>
      <c r="I7" s="108" t="inlineStr">
        <is>
          <t>sehr schlecht</t>
        </is>
      </c>
    </row>
    <row r="8" ht="18" customHeight="1">
      <c r="B8" s="109" t="inlineStr">
        <is>
          <t>Bedeutung B – Folgen eines Ausfalls (fließen über B = √(F²+IH²+Q²+AS²+US²+S²)/2 in die RPZ ein)</t>
        </is>
      </c>
    </row>
    <row r="9" ht="52" customHeight="1">
      <c r="B9" s="110" t="inlineStr">
        <is>
          <t>F</t>
        </is>
      </c>
      <c r="C9" s="36" t="inlineStr">
        <is>
          <t>Funktionalität der Anlage</t>
        </is>
      </c>
      <c r="D9" s="102" t="inlineStr">
        <is>
          <t>Welche Auswirkung hat der Ausfall auf die Funktion der Anlage?</t>
        </is>
      </c>
      <c r="E9" s="111" t="inlineStr">
        <is>
          <t>kaum wahrnehmbare Auswirkungen</t>
        </is>
      </c>
      <c r="F9" s="112" t="inlineStr">
        <is>
          <t>geringe Auswirkungen auf die Funktionalität der Anlage</t>
        </is>
      </c>
      <c r="G9" s="113" t="inlineStr">
        <is>
          <t>mäßige Auswirkungen auf die Funktionalität der Anlage</t>
        </is>
      </c>
      <c r="H9" s="114" t="inlineStr">
        <is>
          <t>hohe Auswirkungen auf die Funktionalität der Anlage</t>
        </is>
      </c>
      <c r="I9" s="115" t="inlineStr">
        <is>
          <t>Anlage wird zerstört; Verschleiß ist enorm hoch</t>
        </is>
      </c>
    </row>
    <row r="10" ht="52" customHeight="1">
      <c r="B10" s="110" t="inlineStr">
        <is>
          <t>IH</t>
        </is>
      </c>
      <c r="C10" s="36" t="inlineStr">
        <is>
          <t>Instandsetzungsaufwand bei Ausfall (Dauer / Personal)</t>
        </is>
      </c>
      <c r="D10" s="102" t="inlineStr">
        <is>
          <t>Wie lange dauert die Instandsetzung und wer kann sie durchführen?</t>
        </is>
      </c>
      <c r="E10" s="111" t="inlineStr">
        <is>
          <t>Zeit &lt; 10 min; kann durch geschulten Anlagenbediener durchgeführt werden</t>
        </is>
      </c>
      <c r="F10" s="112" t="inlineStr">
        <is>
          <t>Zeit 10–30 min; kann vom Instandhalter allein durchgeführt werden</t>
        </is>
      </c>
      <c r="G10" s="113" t="inlineStr">
        <is>
          <t>Zeit 30–60 min; kann von Instandhalter und Anlagenbediener durchgeführt werden</t>
        </is>
      </c>
      <c r="H10" s="114" t="inlineStr">
        <is>
          <t>Zeit 1–3 h; mindestens 2 Mitarbeiter erforderlich</t>
        </is>
      </c>
      <c r="I10" s="115" t="inlineStr">
        <is>
          <t>Zeit &gt; 3 h; mindestens 2 Mitarbeiter / Spezialisten erforderlich</t>
        </is>
      </c>
    </row>
    <row r="11" ht="52" customHeight="1">
      <c r="B11" s="110" t="inlineStr">
        <is>
          <t>Q</t>
        </is>
      </c>
      <c r="C11" s="36" t="inlineStr">
        <is>
          <t>Qualität (Auswirkung auf den Kunden)</t>
        </is>
      </c>
      <c r="D11" s="102" t="inlineStr">
        <is>
          <t>Welche Auswirkung hat der Ausfall auf die Produktqualität beim Kunden?</t>
        </is>
      </c>
      <c r="E11" s="111" t="inlineStr">
        <is>
          <t>kaum wahrnehmbare Auswirkungen</t>
        </is>
      </c>
      <c r="F11" s="112" t="inlineStr">
        <is>
          <t>geringe Auswirkungen auf den Kunden</t>
        </is>
      </c>
      <c r="G11" s="113" t="inlineStr">
        <is>
          <t>mäßige Auswirkungen auf den Kunden</t>
        </is>
      </c>
      <c r="H11" s="114" t="inlineStr">
        <is>
          <t>Verärgerung des Kunden</t>
        </is>
      </c>
      <c r="I11" s="115" t="inlineStr">
        <is>
          <t>Verlust des Kunden</t>
        </is>
      </c>
    </row>
    <row r="12" ht="52" customHeight="1">
      <c r="B12" s="110" t="inlineStr">
        <is>
          <t>AS</t>
        </is>
      </c>
      <c r="C12" s="36" t="inlineStr">
        <is>
          <t>Arbeitssicherheit</t>
        </is>
      </c>
      <c r="D12" s="102" t="inlineStr">
        <is>
          <t>Welche Gefährdung für Personen entsteht?</t>
        </is>
      </c>
      <c r="E12" s="111" t="inlineStr">
        <is>
          <t>kaum wahrnehmbare Auswirkungen</t>
        </is>
      </c>
      <c r="F12" s="112" t="inlineStr">
        <is>
          <t>geringe Auswirkungen auf die Arbeitssicherheit</t>
        </is>
      </c>
      <c r="G12" s="113" t="inlineStr">
        <is>
          <t>mäßige Auswirkungen auf die Arbeitssicherheit</t>
        </is>
      </c>
      <c r="H12" s="114" t="inlineStr">
        <is>
          <t>hohe Auswirkungen auf die Arbeitssicherheit</t>
        </is>
      </c>
      <c r="I12" s="115" t="inlineStr">
        <is>
          <t>Schaden an Leib und Leben</t>
        </is>
      </c>
    </row>
    <row r="13" ht="52" customHeight="1">
      <c r="B13" s="110" t="inlineStr">
        <is>
          <t>US</t>
        </is>
      </c>
      <c r="C13" s="36" t="inlineStr">
        <is>
          <t>Umweltschutz</t>
        </is>
      </c>
      <c r="D13" s="102" t="inlineStr">
        <is>
          <t>Welche Umweltauswirkung entsteht (z. B. Öl-/Wasseraustritt)?</t>
        </is>
      </c>
      <c r="E13" s="111" t="inlineStr">
        <is>
          <t>kaum wahrnehmbare Auswirkungen</t>
        </is>
      </c>
      <c r="F13" s="112" t="inlineStr">
        <is>
          <t>geringe Auswirkungen auf den Umweltschutz</t>
        </is>
      </c>
      <c r="G13" s="113" t="inlineStr">
        <is>
          <t>mäßige Auswirkungen auf den Umweltschutz</t>
        </is>
      </c>
      <c r="H13" s="114" t="inlineStr">
        <is>
          <t>hohe Auswirkungen auf den Umweltschutz</t>
        </is>
      </c>
      <c r="I13" s="115" t="inlineStr">
        <is>
          <t>sehr hohe Auswirkungen auf den Umweltschutz / Umweltschutzbehörde betroffen</t>
        </is>
      </c>
    </row>
    <row r="14" ht="52" customHeight="1">
      <c r="B14" s="110" t="inlineStr">
        <is>
          <t>S</t>
        </is>
      </c>
      <c r="C14" s="36" t="inlineStr">
        <is>
          <t>Höhe des Schadens bei Ausfall</t>
        </is>
      </c>
      <c r="D14" s="102" t="inlineStr">
        <is>
          <t>Wie hoch ist der Sachschaden bei einem Ausfall?</t>
        </is>
      </c>
      <c r="E14" s="111" t="inlineStr">
        <is>
          <t>kaum wahrnehmbare Auswirkungen</t>
        </is>
      </c>
      <c r="F14" s="112" t="inlineStr">
        <is>
          <t>geringe Auswirkungen</t>
        </is>
      </c>
      <c r="G14" s="113" t="inlineStr">
        <is>
          <t>mäßige Auswirkungen</t>
        </is>
      </c>
      <c r="H14" s="114" t="inlineStr">
        <is>
          <t>hohe Auswirkungen</t>
        </is>
      </c>
      <c r="I14" s="115" t="inlineStr">
        <is>
          <t>sehr hohe Auswirkungen / Generalüberholung notwendig</t>
        </is>
      </c>
    </row>
    <row r="15" ht="18" customHeight="1">
      <c r="B15" s="109" t="inlineStr">
        <is>
          <t>Wahrscheinlichkeiten (fließen direkt als Faktoren in die RPZ ein)</t>
        </is>
      </c>
    </row>
    <row r="16" ht="52" customHeight="1">
      <c r="B16" s="110" t="inlineStr">
        <is>
          <t>A</t>
        </is>
      </c>
      <c r="C16" s="36" t="inlineStr">
        <is>
          <t>Ausfallwahrscheinlichkeit</t>
        </is>
      </c>
      <c r="D16" s="102" t="inlineStr">
        <is>
          <t>Mit welcher Wahrscheinlichkeit tritt der Fehler / Ausfall auf (Erfahrungswerte)?</t>
        </is>
      </c>
      <c r="E16" s="111" t="inlineStr">
        <is>
          <t>Auftreten des Ausfalls ist unwahrscheinlich
(Zeit &gt; 3 Jahre)</t>
        </is>
      </c>
      <c r="F16" s="112" t="inlineStr">
        <is>
          <t>Ausfall tritt nur äußerst selten oder unter bestimmten Umständen auf
(Zeit &gt; 1 Jahr)</t>
        </is>
      </c>
      <c r="G16" s="113" t="inlineStr">
        <is>
          <t>Ausfall tritt gelegentlich / sporadisch auf
(Zeit 4–12 Monate)</t>
        </is>
      </c>
      <c r="H16" s="114" t="inlineStr">
        <is>
          <t>Ausfall tritt wiederholt, aber unregelmäßig auf
(alle 8–16 Wochen)</t>
        </is>
      </c>
      <c r="I16" s="115" t="inlineStr">
        <is>
          <t>Ausfall tritt häufig und regelmäßig auf
(alle 6–8 Wochen)</t>
        </is>
      </c>
    </row>
    <row r="17" ht="52" customHeight="1">
      <c r="B17" s="110" t="inlineStr">
        <is>
          <t>E</t>
        </is>
      </c>
      <c r="C17" s="36" t="inlineStr">
        <is>
          <t>Entdeckungswahrscheinlichkeit</t>
        </is>
      </c>
      <c r="D17" s="102" t="inlineStr">
        <is>
          <t>Mit welcher Wahrscheinlichkeit wird der Fehler erkannt (Zeit bis zur Entdeckung)?</t>
        </is>
      </c>
      <c r="E17" s="111" t="inlineStr">
        <is>
          <t>Entdeckungswahrscheinlichkeit sehr hoch
(sofort)</t>
        </is>
      </c>
      <c r="F17" s="112" t="inlineStr">
        <is>
          <t>Entdeckungswahrscheinlichkeit hoch
(nach ca. 10 min)</t>
        </is>
      </c>
      <c r="G17" s="113" t="inlineStr">
        <is>
          <t>Entdeckungswahrscheinlichkeit mäßig
(nach ca. 7 Std.)</t>
        </is>
      </c>
      <c r="H17" s="114" t="inlineStr">
        <is>
          <t>Entdeckungswahrscheinlichkeit gering
(nach ca. 1 Woche)</t>
        </is>
      </c>
      <c r="I17" s="115" t="inlineStr">
        <is>
          <t>Entdeckungswahrscheinlichkeit sehr gering
(nach ca. 1 Monat)</t>
        </is>
      </c>
    </row>
    <row r="19">
      <c r="B19" s="109" t="inlineStr">
        <is>
          <t>Schichtfaktor SF (fließt als Faktor in die RPZ ein)</t>
        </is>
      </c>
    </row>
    <row r="20">
      <c r="B20" s="116" t="inlineStr">
        <is>
          <t>SF</t>
        </is>
      </c>
      <c r="C20" s="15" t="inlineStr">
        <is>
          <t>1-Schicht-Betrieb</t>
        </is>
      </c>
      <c r="D20" s="41" t="inlineStr">
        <is>
          <t>0,33</t>
        </is>
      </c>
    </row>
    <row r="21">
      <c r="B21" s="116" t="inlineStr">
        <is>
          <t>SF</t>
        </is>
      </c>
      <c r="C21" s="15" t="inlineStr">
        <is>
          <t>2-Schicht-Betrieb</t>
        </is>
      </c>
      <c r="D21" s="41" t="inlineStr">
        <is>
          <t>0,66</t>
        </is>
      </c>
    </row>
    <row r="22">
      <c r="B22" s="116" t="inlineStr">
        <is>
          <t>SF</t>
        </is>
      </c>
      <c r="C22" s="15" t="inlineStr">
        <is>
          <t>3-Schicht-Betrieb</t>
        </is>
      </c>
      <c r="D22" s="41" t="inlineStr">
        <is>
          <t>1,00</t>
        </is>
      </c>
    </row>
    <row r="24">
      <c r="B24" s="4" t="inlineStr">
        <is>
          <t>Bewertungsregeln (neu ergänzt)</t>
        </is>
      </c>
    </row>
    <row r="25" ht="24" customHeight="1">
      <c r="B25" s="22" t="inlineStr">
        <is>
          <t>• Bewertung im interdisziplinären Team (Instandhaltung, Produktion, Qualitätsmanagement; bei AS/US ≥ 4 Fachkraft für Arbeitssicherheit / Umweltbeauftragte hinzuziehen).</t>
        </is>
      </c>
    </row>
    <row r="26" ht="24" customHeight="1">
      <c r="B26" s="22" t="inlineStr">
        <is>
          <t>• Es wird immer die realistisch schlimmste Folge eines Ausfalls des betrachteten Objekts bewertet – nicht der Aufwand der Wartungsmaßnahme selbst.</t>
        </is>
      </c>
    </row>
    <row r="27" ht="24" customHeight="1">
      <c r="B27" s="22" t="inlineStr">
        <is>
          <t>• A möglichst aus Störungshistorie (z. B. SAP-PM, Störmeldungen) ableiten; ohne Daten Erfahrungswert des Teams verwenden und kennzeichnen.</t>
        </is>
      </c>
    </row>
    <row r="28" ht="24" customHeight="1">
      <c r="B28" s="22" t="inlineStr">
        <is>
          <t>• Gleichartige Objekte (z. B. Sensoren, Zylinder) dürfen Bewertungen übernehmen; die Übernahme ist in Spalte „Bewertung übernommen von“ dokumentiert und ist je Baugruppe zu plausibilisieren.</t>
        </is>
      </c>
    </row>
    <row r="29" ht="24" customHeight="1">
      <c r="B29" s="22" t="inlineStr">
        <is>
          <t>• Überprüfung der Bewertung: jährlich sowie nach Störungen, Anlagenänderungen, Reklamationen oder Unfällen.</t>
        </is>
      </c>
    </row>
  </sheetData>
  <mergeCells count="8">
    <mergeCell ref="B15:I15"/>
    <mergeCell ref="B29:I29"/>
    <mergeCell ref="B25:I25"/>
    <mergeCell ref="B28:I28"/>
    <mergeCell ref="B19:I19"/>
    <mergeCell ref="B27:I27"/>
    <mergeCell ref="B8:I8"/>
    <mergeCell ref="B26:I26"/>
  </mergeCells>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worksheet>
</file>

<file path=xl/worksheets/sheet7.xml><?xml version="1.0" encoding="utf-8"?>
<worksheet xmlns="http://schemas.openxmlformats.org/spreadsheetml/2006/main">
  <sheetPr>
    <tabColor rgb="008EA9DB"/>
    <outlinePr summaryBelow="1" summaryRight="1"/>
    <pageSetUpPr fitToPage="1"/>
  </sheetPr>
  <dimension ref="B1:I49"/>
  <sheetViews>
    <sheetView showGridLines="0" tabSelected="0" zoomScale="90" workbookViewId="0">
      <selection activeCell="A1" sqref="A1"/>
    </sheetView>
  </sheetViews>
  <sheetFormatPr baseColWidth="8" defaultRowHeight="15"/>
  <cols>
    <col width="2" customWidth="1" min="1" max="1"/>
    <col width="30" customWidth="1" min="2" max="2"/>
    <col width="16" customWidth="1" min="3" max="3"/>
    <col width="16" customWidth="1" min="4" max="4"/>
    <col width="16" customWidth="1" min="5" max="5"/>
    <col width="16" customWidth="1" min="6" max="6"/>
    <col width="16" customWidth="1" min="7" max="7"/>
    <col width="30" customWidth="1" min="8" max="8"/>
    <col width="2" customWidth="1" min="9" max="9"/>
  </cols>
  <sheetData>
    <row r="1" ht="26" customHeight="1">
      <c r="B1" s="33" t="inlineStr">
        <is>
          <t>RPZ-Methodik – Berechnung der Risikoprioritätszahl</t>
        </is>
      </c>
    </row>
    <row r="2">
      <c r="B2" s="2" t="inlineStr">
        <is>
          <t>Wie aus der Bewertung das Wartungsintervall entsteht</t>
        </is>
      </c>
    </row>
    <row r="3">
      <c r="B3" s="3" t="n"/>
      <c r="C3" s="3" t="n"/>
      <c r="D3" s="3" t="n"/>
      <c r="E3" s="3" t="n"/>
      <c r="F3" s="3" t="n"/>
      <c r="G3" s="3" t="n"/>
      <c r="H3" s="3" t="n"/>
      <c r="I3" s="3" t="n"/>
    </row>
    <row r="5" ht="30" customHeight="1">
      <c r="B5" s="117" t="inlineStr">
        <is>
          <t>RPZ = B × A × E × SF</t>
        </is>
      </c>
    </row>
    <row r="7" ht="20" customHeight="1">
      <c r="B7" s="12" t="inlineStr">
        <is>
          <t>Größe</t>
        </is>
      </c>
      <c r="C7" s="12" t="inlineStr">
        <is>
          <t>Bezeichnung</t>
        </is>
      </c>
      <c r="D7" s="12" t="inlineStr">
        <is>
          <t>Berechnung / Skala</t>
        </is>
      </c>
      <c r="E7" s="13" t="n"/>
      <c r="F7" s="13" t="n"/>
      <c r="G7" s="13" t="n"/>
      <c r="H7" s="14" t="n"/>
    </row>
    <row r="8" ht="20" customHeight="1">
      <c r="B8" s="118" t="inlineStr">
        <is>
          <t>B</t>
        </is>
      </c>
      <c r="C8" s="36" t="inlineStr">
        <is>
          <t>Bedeutung</t>
        </is>
      </c>
      <c r="D8" s="15" t="inlineStr">
        <is>
          <t>B = √(F² + IH² + Q² + AS² + US² + S²) / 2  –  Wertebereich 1,22 (alle Kriterien = 1) bis 6,12 (alle = 5)</t>
        </is>
      </c>
      <c r="E8" s="13" t="n"/>
      <c r="F8" s="13" t="n"/>
      <c r="G8" s="13" t="n"/>
      <c r="H8" s="14" t="n"/>
    </row>
    <row r="9" ht="20" customHeight="1">
      <c r="B9" s="118" t="inlineStr">
        <is>
          <t>A</t>
        </is>
      </c>
      <c r="C9" s="36" t="inlineStr">
        <is>
          <t>Ausfallwahrscheinlichkeit</t>
        </is>
      </c>
      <c r="D9" s="15" t="inlineStr">
        <is>
          <t>1 … 5 – mit welcher Wahrscheinlichkeit tritt der Fehler / Ausfall auf (Erfahrungswerte)</t>
        </is>
      </c>
      <c r="E9" s="13" t="n"/>
      <c r="F9" s="13" t="n"/>
      <c r="G9" s="13" t="n"/>
      <c r="H9" s="14" t="n"/>
    </row>
    <row r="10" ht="20" customHeight="1">
      <c r="B10" s="118" t="inlineStr">
        <is>
          <t>E</t>
        </is>
      </c>
      <c r="C10" s="36" t="inlineStr">
        <is>
          <t>Entdeckungswahrscheinlichkeit</t>
        </is>
      </c>
      <c r="D10" s="15" t="inlineStr">
        <is>
          <t>1 … 5 – mit welcher Wahrscheinlichkeit / wie schnell wird der Fehler erkannt</t>
        </is>
      </c>
      <c r="E10" s="13" t="n"/>
      <c r="F10" s="13" t="n"/>
      <c r="G10" s="13" t="n"/>
      <c r="H10" s="14" t="n"/>
    </row>
    <row r="11" ht="20" customHeight="1">
      <c r="B11" s="118" t="inlineStr">
        <is>
          <t>SF</t>
        </is>
      </c>
      <c r="C11" s="36" t="inlineStr">
        <is>
          <t>Schichtfaktor</t>
        </is>
      </c>
      <c r="D11" s="15" t="inlineStr">
        <is>
          <t>0,33 (1-Schicht) · 0,66 (2-Schicht) · 1 (3-Schicht)</t>
        </is>
      </c>
      <c r="E11" s="13" t="n"/>
      <c r="F11" s="13" t="n"/>
      <c r="G11" s="13" t="n"/>
      <c r="H11" s="14" t="n"/>
    </row>
    <row r="12" ht="20" customHeight="1">
      <c r="B12" s="118" t="inlineStr">
        <is>
          <t>RPZ</t>
        </is>
      </c>
      <c r="C12" s="36" t="inlineStr">
        <is>
          <t>Risikoprioritätszahl</t>
        </is>
      </c>
      <c r="D12" s="15" t="inlineStr">
        <is>
          <t>Wertebereich 0,40 (Minimum bei 1-Schicht) bis 153 (Maximum bei 3-Schicht)</t>
        </is>
      </c>
      <c r="E12" s="13" t="n"/>
      <c r="F12" s="13" t="n"/>
      <c r="G12" s="13" t="n"/>
      <c r="H12" s="14" t="n"/>
    </row>
    <row r="14">
      <c r="B14" s="4" t="inlineStr">
        <is>
          <t>Kriterien der Bedeutung B</t>
        </is>
      </c>
    </row>
    <row r="15">
      <c r="B15" s="116" t="inlineStr">
        <is>
          <t>F</t>
        </is>
      </c>
      <c r="C15" s="15" t="inlineStr">
        <is>
          <t>Einfluss auf die Funktionalität der Anlage</t>
        </is>
      </c>
      <c r="D15" s="13" t="n"/>
      <c r="E15" s="14" t="n"/>
    </row>
    <row r="16">
      <c r="B16" s="116" t="inlineStr">
        <is>
          <t>IH</t>
        </is>
      </c>
      <c r="C16" s="15" t="inlineStr">
        <is>
          <t>Instandsetzungsaufwand bei Ausfall</t>
        </is>
      </c>
      <c r="D16" s="13" t="n"/>
      <c r="E16" s="14" t="n"/>
    </row>
    <row r="17">
      <c r="B17" s="116" t="inlineStr">
        <is>
          <t>Q</t>
        </is>
      </c>
      <c r="C17" s="15" t="inlineStr">
        <is>
          <t>Einfluss auf die Produktqualität</t>
        </is>
      </c>
      <c r="D17" s="13" t="n"/>
      <c r="E17" s="14" t="n"/>
    </row>
    <row r="18">
      <c r="B18" s="116" t="inlineStr">
        <is>
          <t>AS</t>
        </is>
      </c>
      <c r="C18" s="15" t="inlineStr">
        <is>
          <t>Einfluss auf die Arbeitssicherheit</t>
        </is>
      </c>
      <c r="D18" s="13" t="n"/>
      <c r="E18" s="14" t="n"/>
    </row>
    <row r="19">
      <c r="B19" s="116" t="inlineStr">
        <is>
          <t>US</t>
        </is>
      </c>
      <c r="C19" s="15" t="inlineStr">
        <is>
          <t>Einfluss auf den Umweltschutz</t>
        </is>
      </c>
      <c r="D19" s="13" t="n"/>
      <c r="E19" s="14" t="n"/>
    </row>
    <row r="20">
      <c r="B20" s="116" t="inlineStr">
        <is>
          <t>S</t>
        </is>
      </c>
      <c r="C20" s="15" t="inlineStr">
        <is>
          <t>Höhe des Schadens bei Ausfall</t>
        </is>
      </c>
      <c r="D20" s="13" t="n"/>
      <c r="E20" s="14" t="n"/>
    </row>
    <row r="22">
      <c r="B22" s="4" t="inlineStr">
        <is>
          <t>Auswertung: RPZ → Risikoklasse → Wartungsintervall</t>
        </is>
      </c>
    </row>
    <row r="23" ht="20" customHeight="1">
      <c r="B23" s="12" t="inlineStr">
        <is>
          <t>Risikoklasse</t>
        </is>
      </c>
      <c r="C23" s="12" t="inlineStr">
        <is>
          <t>RPZ von</t>
        </is>
      </c>
      <c r="D23" s="12" t="inlineStr">
        <is>
          <t>RPZ bis</t>
        </is>
      </c>
      <c r="E23" s="12" t="inlineStr">
        <is>
          <t>Intervall</t>
        </is>
      </c>
      <c r="F23" s="12" t="inlineStr">
        <is>
          <t>Handlungsbedarf</t>
        </is>
      </c>
      <c r="G23" s="13" t="n"/>
      <c r="H23" s="14" t="n"/>
    </row>
    <row r="24" ht="28" customHeight="1">
      <c r="B24" s="28">
        <f>Parameter!B13</f>
        <v/>
      </c>
      <c r="C24" s="43">
        <f>Parameter!C13</f>
        <v/>
      </c>
      <c r="D24" s="43">
        <f>Parameter!D13</f>
        <v/>
      </c>
      <c r="E24" s="41">
        <f>Parameter!E13</f>
        <v/>
      </c>
      <c r="F24" s="15">
        <f>Parameter!F13</f>
        <v/>
      </c>
      <c r="G24" s="13" t="n"/>
      <c r="H24" s="14" t="n"/>
    </row>
    <row r="25" ht="28" customHeight="1">
      <c r="B25" s="29">
        <f>Parameter!B14</f>
        <v/>
      </c>
      <c r="C25" s="43">
        <f>Parameter!C14</f>
        <v/>
      </c>
      <c r="D25" s="43">
        <f>Parameter!D14</f>
        <v/>
      </c>
      <c r="E25" s="41">
        <f>Parameter!E14</f>
        <v/>
      </c>
      <c r="F25" s="15">
        <f>Parameter!F14</f>
        <v/>
      </c>
      <c r="G25" s="13" t="n"/>
      <c r="H25" s="14" t="n"/>
    </row>
    <row r="26" ht="28" customHeight="1">
      <c r="B26" s="30">
        <f>Parameter!B15</f>
        <v/>
      </c>
      <c r="C26" s="43">
        <f>Parameter!C15</f>
        <v/>
      </c>
      <c r="D26" s="43">
        <f>Parameter!D15</f>
        <v/>
      </c>
      <c r="E26" s="41">
        <f>Parameter!E15</f>
        <v/>
      </c>
      <c r="F26" s="15">
        <f>Parameter!F15</f>
        <v/>
      </c>
      <c r="G26" s="13" t="n"/>
      <c r="H26" s="14" t="n"/>
    </row>
    <row r="27" ht="28" customHeight="1">
      <c r="B27" s="31">
        <f>Parameter!B16</f>
        <v/>
      </c>
      <c r="C27" s="43">
        <f>Parameter!C16</f>
        <v/>
      </c>
      <c r="D27" s="43">
        <f>Parameter!D16</f>
        <v/>
      </c>
      <c r="E27" s="41">
        <f>Parameter!E16</f>
        <v/>
      </c>
      <c r="F27" s="15">
        <f>Parameter!F16</f>
        <v/>
      </c>
      <c r="G27" s="13" t="n"/>
      <c r="H27" s="14" t="n"/>
    </row>
    <row r="29">
      <c r="B29" s="52" t="inlineStr">
        <is>
          <t>Hinweis: Die Vorversion dokumentierte die Grenzen als „RPZ &lt; 15 / 16 &lt; RPZ &lt; 65 / 66 &lt; RPZ &lt; 125“; die hinterlegte Formel arbeitete jedoch mit ≥ 15 bzw. ≥ 66. Die Grenzen wurden auf die Formellogik vereinheitlicht – alle Ergebnisse bleiben identisch. RPZ &gt; 125 bzw. &lt; 1 lieferte in der Vorversion keine Auswertung; diese Lücke ist jetzt geschlossen (Klasse „kritisch“ bzw. „gering“).</t>
        </is>
      </c>
    </row>
    <row r="30"/>
    <row r="31"/>
    <row r="33">
      <c r="B33" s="4" t="inlineStr">
        <is>
          <t>Rechenbeispiel (live aus dem Wartungsplan, Maßnahme 1.1 Not-Aus)</t>
        </is>
      </c>
    </row>
    <row r="34" ht="18" customHeight="1">
      <c r="B34" s="12" t="inlineStr">
        <is>
          <t>F</t>
        </is>
      </c>
      <c r="C34" s="12" t="inlineStr">
        <is>
          <t>IH</t>
        </is>
      </c>
      <c r="D34" s="12" t="inlineStr">
        <is>
          <t>Q</t>
        </is>
      </c>
      <c r="E34" s="12" t="inlineStr">
        <is>
          <t>AS</t>
        </is>
      </c>
      <c r="F34" s="12" t="inlineStr">
        <is>
          <t>US</t>
        </is>
      </c>
      <c r="G34" s="12" t="inlineStr">
        <is>
          <t>S</t>
        </is>
      </c>
    </row>
    <row r="35">
      <c r="B35" s="41">
        <f>Wartungsplan!H7</f>
        <v/>
      </c>
      <c r="C35" s="41">
        <f>Wartungsplan!I7</f>
        <v/>
      </c>
      <c r="D35" s="41">
        <f>Wartungsplan!J7</f>
        <v/>
      </c>
      <c r="E35" s="41">
        <f>Wartungsplan!K7</f>
        <v/>
      </c>
      <c r="F35" s="41">
        <f>Wartungsplan!L7</f>
        <v/>
      </c>
      <c r="G35" s="41">
        <f>Wartungsplan!M7</f>
        <v/>
      </c>
    </row>
    <row r="37">
      <c r="B37" s="15" t="inlineStr">
        <is>
          <t>B = √(F²+IH²+Q²+AS²+US²+S²) / 2</t>
        </is>
      </c>
      <c r="C37" s="119">
        <f>SQRT(SUMSQ(B35:G35))/2</f>
        <v/>
      </c>
    </row>
    <row r="38">
      <c r="B38" s="15" t="inlineStr">
        <is>
          <t>A (Ausfallwahrscheinlichkeit)</t>
        </is>
      </c>
      <c r="C38" s="120">
        <f>Wartungsplan!O7</f>
        <v/>
      </c>
    </row>
    <row r="39">
      <c r="B39" s="15" t="inlineStr">
        <is>
          <t>E (Entdeckungswahrscheinlichkeit)</t>
        </is>
      </c>
      <c r="C39" s="120">
        <f>Wartungsplan!P7</f>
        <v/>
      </c>
    </row>
    <row r="40">
      <c r="B40" s="15" t="inlineStr">
        <is>
          <t>SF (Schichtfaktor)</t>
        </is>
      </c>
      <c r="C40" s="119">
        <f>Wartungsplan!Q7</f>
        <v/>
      </c>
    </row>
    <row r="41">
      <c r="B41" s="36" t="inlineStr">
        <is>
          <t>RPZ = B × A × E × SF</t>
        </is>
      </c>
      <c r="C41" s="119">
        <f>C37*C38*C39*C40</f>
        <v/>
      </c>
    </row>
    <row r="42">
      <c r="B42" s="36" t="inlineStr">
        <is>
          <t>Risikoklasse</t>
        </is>
      </c>
      <c r="C42" s="41">
        <f>Wartungsplan!S7</f>
        <v/>
      </c>
    </row>
    <row r="43">
      <c r="B43" s="36" t="inlineStr">
        <is>
          <t>Wartungsintervall</t>
        </is>
      </c>
      <c r="C43" s="41">
        <f>Wartungsplan!T7</f>
        <v/>
      </c>
    </row>
    <row r="45">
      <c r="B45" s="4" t="inlineStr">
        <is>
          <t>Methodische Hinweise</t>
        </is>
      </c>
    </row>
    <row r="46" ht="28" customHeight="1">
      <c r="B46" s="22" t="inlineStr">
        <is>
          <t>• Die RPZ ist eine Priorisierungshilfe, kein absolutes Risikomaß: gleiche RPZ können unterschiedliche Risiken bedeuten. Deshalb zusätzlich die Spalte „Relevanz AS/Q/US“ beachten – Maßnahmen mit AS = 5 (Schaden an Leib und Leben) sind unabhängig von der RPZ sicherheitsrelevant.</t>
        </is>
      </c>
    </row>
    <row r="47" ht="28" customHeight="1">
      <c r="B47" s="22" t="inlineStr">
        <is>
          <t>• B kann Werte über 5 annehmen (max. 6,12). Das ist methodisch so gewollt und wurde aus der Vorversion unverändert übernommen.</t>
        </is>
      </c>
    </row>
    <row r="48" ht="28" customHeight="1">
      <c r="B48" s="22" t="inlineStr">
        <is>
          <t>• Ein niedriger Schichtfaktor senkt die RPZ und verlängert damit das Intervall – bei Wechsel des Schichtmodells ändert sich die Einstufung aller Maßnahmen automatisch.</t>
        </is>
      </c>
    </row>
    <row r="49" ht="28" customHeight="1">
      <c r="B49" s="22" t="inlineStr">
        <is>
          <t>• Die Entdeckungswahrscheinlichkeit E ist umgekehrt skaliert: 1 = Fehler wird sofort erkannt (gut), 5 = Fehler wird erst nach ca. einem Monat erkannt (schlecht).</t>
        </is>
      </c>
    </row>
  </sheetData>
  <mergeCells count="22">
    <mergeCell ref="C16:E16"/>
    <mergeCell ref="D10:H10"/>
    <mergeCell ref="B49:H49"/>
    <mergeCell ref="F26:H26"/>
    <mergeCell ref="F23:H23"/>
    <mergeCell ref="F27:H27"/>
    <mergeCell ref="D11:H11"/>
    <mergeCell ref="B47:H47"/>
    <mergeCell ref="C17:E17"/>
    <mergeCell ref="B46:H46"/>
    <mergeCell ref="D7:H7"/>
    <mergeCell ref="C19:E19"/>
    <mergeCell ref="C18:E18"/>
    <mergeCell ref="B48:H48"/>
    <mergeCell ref="C15:E15"/>
    <mergeCell ref="D9:H9"/>
    <mergeCell ref="F25:H25"/>
    <mergeCell ref="D12:H12"/>
    <mergeCell ref="D8:H8"/>
    <mergeCell ref="B29:H31"/>
    <mergeCell ref="C20:E20"/>
    <mergeCell ref="F24:H24"/>
  </mergeCells>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worksheet>
</file>

<file path=xl/worksheets/sheet8.xml><?xml version="1.0" encoding="utf-8"?>
<worksheet xmlns="http://schemas.openxmlformats.org/spreadsheetml/2006/main">
  <sheetPr>
    <tabColor rgb="008EA9DB"/>
    <outlinePr summaryBelow="1" summaryRight="1"/>
    <pageSetUpPr fitToPage="1"/>
  </sheetPr>
  <dimension ref="B1:H55"/>
  <sheetViews>
    <sheetView showGridLines="0" tabSelected="0" zoomScale="90" workbookViewId="0">
      <selection activeCell="A1" sqref="A1"/>
    </sheetView>
  </sheetViews>
  <sheetFormatPr baseColWidth="8" defaultRowHeight="15"/>
  <cols>
    <col width="2" customWidth="1" min="1" max="1"/>
    <col width="26" customWidth="1" min="2" max="2"/>
    <col width="14" customWidth="1" min="3" max="3"/>
    <col width="14" customWidth="1" min="4" max="4"/>
    <col width="16" customWidth="1" min="5" max="5"/>
    <col width="62" customWidth="1" min="6" max="6"/>
    <col width="34" customWidth="1" min="7" max="7"/>
    <col width="4" customWidth="1" min="8" max="8"/>
  </cols>
  <sheetData>
    <row r="1" ht="26" customHeight="1">
      <c r="B1" s="33" t="inlineStr">
        <is>
          <t>Parameter &amp; Auswahllisten</t>
        </is>
      </c>
    </row>
    <row r="2">
      <c r="B2" s="2" t="inlineStr">
        <is>
          <t>Zentrale Stellgrößen der Bewertung. Änderungen hier wirken auf alle Blätter. Gelbe Zellen sind änderbar.</t>
        </is>
      </c>
    </row>
    <row r="3">
      <c r="B3" s="3" t="n"/>
      <c r="C3" s="3" t="n"/>
      <c r="D3" s="3" t="n"/>
      <c r="E3" s="3" t="n"/>
      <c r="F3" s="3" t="n"/>
      <c r="G3" s="3" t="n"/>
      <c r="H3" s="3" t="n"/>
    </row>
    <row r="5">
      <c r="B5" s="4" t="inlineStr">
        <is>
          <t>1  Grenzwerte der Risikoprioritätszahl (RPZ)</t>
        </is>
      </c>
    </row>
    <row r="6" ht="30" customHeight="1">
      <c r="B6" s="12" t="inlineStr">
        <is>
          <t>Grenzwert</t>
        </is>
      </c>
      <c r="C6" s="12" t="inlineStr">
        <is>
          <t>Wert</t>
        </is>
      </c>
      <c r="D6" s="12" t="inlineStr"/>
      <c r="E6" s="12" t="inlineStr"/>
      <c r="F6" s="12" t="inlineStr">
        <is>
          <t>Bedeutung</t>
        </is>
      </c>
      <c r="G6" s="12" t="inlineStr">
        <is>
          <t>Herkunft</t>
        </is>
      </c>
    </row>
    <row r="7">
      <c r="B7" s="15" t="inlineStr">
        <is>
          <t>Untergrenze „mittel“ (RPZ ≥)</t>
        </is>
      </c>
      <c r="C7" s="83" t="n">
        <v>15</v>
      </c>
      <c r="F7" s="15" t="inlineStr">
        <is>
          <t>ab diesem Wert: mittlere Risikolage</t>
        </is>
      </c>
      <c r="G7" s="121" t="inlineStr">
        <is>
          <t>Vorversion (Formel Spalte Auswertung)</t>
        </is>
      </c>
    </row>
    <row r="8">
      <c r="B8" s="15" t="inlineStr">
        <is>
          <t>Untergrenze „hoch“ (RPZ ≥)</t>
        </is>
      </c>
      <c r="C8" s="83" t="n">
        <v>66</v>
      </c>
      <c r="F8" s="15" t="inlineStr">
        <is>
          <t>ab diesem Wert: hohes Risiko</t>
        </is>
      </c>
      <c r="G8" s="121" t="inlineStr">
        <is>
          <t>Vorversion (Formel Spalte Auswertung)</t>
        </is>
      </c>
    </row>
    <row r="9">
      <c r="B9" s="15" t="inlineStr">
        <is>
          <t>Obergrenze „hoch“ (RPZ ≤)</t>
        </is>
      </c>
      <c r="C9" s="83" t="n">
        <v>125</v>
      </c>
      <c r="F9" s="15" t="inlineStr">
        <is>
          <t>darüber: kritisch</t>
        </is>
      </c>
      <c r="G9" s="121" t="inlineStr">
        <is>
          <t>Vorversion (Formel lieferte darüber keine Auswertung)</t>
        </is>
      </c>
    </row>
    <row r="11">
      <c r="B11" s="4" t="inlineStr">
        <is>
          <t>2  Risikoklassen und Wartungsintervalle</t>
        </is>
      </c>
    </row>
    <row r="12" ht="30" customHeight="1">
      <c r="B12" s="12" t="inlineStr">
        <is>
          <t>Risikoklasse</t>
        </is>
      </c>
      <c r="C12" s="12" t="inlineStr">
        <is>
          <t>RPZ von</t>
        </is>
      </c>
      <c r="D12" s="12" t="inlineStr">
        <is>
          <t>RPZ bis</t>
        </is>
      </c>
      <c r="E12" s="12" t="inlineStr">
        <is>
          <t>Intervall</t>
        </is>
      </c>
      <c r="F12" s="12" t="inlineStr">
        <is>
          <t>Bewertung / Handlungsbedarf</t>
        </is>
      </c>
      <c r="G12" s="12" t="inlineStr">
        <is>
          <t>Herkunft</t>
        </is>
      </c>
    </row>
    <row r="13" ht="28" customHeight="1">
      <c r="B13" s="28" t="inlineStr">
        <is>
          <t>gering</t>
        </is>
      </c>
      <c r="C13" s="47">
        <f>0</f>
        <v/>
      </c>
      <c r="D13" s="43">
        <f>"&lt; "&amp;P_Grenze_mittel</f>
        <v/>
      </c>
      <c r="E13" s="83" t="inlineStr">
        <is>
          <t>jährlich</t>
        </is>
      </c>
      <c r="F13" s="15" t="inlineStr">
        <is>
          <t>Risiko gering; jährliche Wartung genügt</t>
        </is>
      </c>
      <c r="G13" s="121" t="inlineStr">
        <is>
          <t>Vorversion</t>
        </is>
      </c>
    </row>
    <row r="14" ht="28" customHeight="1">
      <c r="B14" s="29" t="inlineStr">
        <is>
          <t>mittel</t>
        </is>
      </c>
      <c r="C14" s="47">
        <f>P_Grenze_mittel</f>
        <v/>
      </c>
      <c r="D14" s="43">
        <f>"&lt; "&amp;P_Grenze_hoch</f>
        <v/>
      </c>
      <c r="E14" s="83" t="inlineStr">
        <is>
          <t>16 Wochen</t>
        </is>
      </c>
      <c r="F14" s="15" t="inlineStr">
        <is>
          <t>Mittlere Risikolage; Inspektion/Wartung nötig (Intervall 9–16 Wochen)</t>
        </is>
      </c>
      <c r="G14" s="121" t="inlineStr">
        <is>
          <t>Vorversion</t>
        </is>
      </c>
    </row>
    <row r="15" ht="28" customHeight="1">
      <c r="B15" s="30" t="inlineStr">
        <is>
          <t>hoch</t>
        </is>
      </c>
      <c r="C15" s="47">
        <f>P_Grenze_hoch</f>
        <v/>
      </c>
      <c r="D15" s="43">
        <f>"≤ "&amp;P_Grenze_kritisch</f>
        <v/>
      </c>
      <c r="E15" s="83" t="inlineStr">
        <is>
          <t>8 Wochen</t>
        </is>
      </c>
      <c r="F15" s="15" t="inlineStr">
        <is>
          <t>Hohes Risiko; Inspektion/Wartung nötig (Intervall 1–8 Wochen)</t>
        </is>
      </c>
      <c r="G15" s="121" t="inlineStr">
        <is>
          <t>Vorversion</t>
        </is>
      </c>
    </row>
    <row r="16" ht="28" customHeight="1">
      <c r="B16" s="31" t="inlineStr">
        <is>
          <t>kritisch</t>
        </is>
      </c>
      <c r="C16" s="47">
        <f>"&gt; "&amp;P_Grenze_kritisch</f>
        <v/>
      </c>
      <c r="D16" s="43" t="inlineStr">
        <is>
          <t>–</t>
        </is>
      </c>
      <c r="E16" s="83" t="inlineStr">
        <is>
          <t>4 Wochen</t>
        </is>
      </c>
      <c r="F16" s="15" t="inlineStr">
        <is>
          <t>Sehr hohes Risiko; Intervall ≤ 4 Wochen UND technische Maßnahme zur Risikominderung prüfen (z. B. Zustandsüberwachung, Konstruktionsänderung)</t>
        </is>
      </c>
      <c r="G16" s="121" t="inlineStr">
        <is>
          <t>NEU – Vorschlag (Lücke der Vorversion geschlossen)</t>
        </is>
      </c>
    </row>
    <row r="18">
      <c r="B18" s="4" t="inlineStr">
        <is>
          <t>3  Intervallkatalog (Auswahl für „Intervall festgelegt“)</t>
        </is>
      </c>
    </row>
    <row r="19" ht="30" customHeight="1">
      <c r="B19" s="12" t="inlineStr">
        <is>
          <t>Intervall</t>
        </is>
      </c>
      <c r="C19" s="12" t="inlineStr">
        <is>
          <t>Wochen</t>
        </is>
      </c>
      <c r="D19" s="12" t="inlineStr">
        <is>
          <t>Durchf./Jahr</t>
        </is>
      </c>
      <c r="E19" s="12" t="inlineStr"/>
      <c r="F19" s="12" t="inlineStr">
        <is>
          <t>Verwendung</t>
        </is>
      </c>
    </row>
    <row r="20">
      <c r="B20" s="6" t="inlineStr">
        <is>
          <t>täglich</t>
        </is>
      </c>
      <c r="C20" s="122">
        <f>1/7</f>
        <v/>
      </c>
      <c r="D20" s="47">
        <f>52/C20</f>
        <v/>
      </c>
      <c r="F20" s="15" t="inlineStr">
        <is>
          <t>Bedienerprüfung je Produktionstag (z. B. Not-Aus, Sichtkontrolle)</t>
        </is>
      </c>
    </row>
    <row r="21">
      <c r="B21" s="6" t="inlineStr">
        <is>
          <t>wöchentlich</t>
        </is>
      </c>
      <c r="C21" s="122" t="n">
        <v>1</v>
      </c>
      <c r="D21" s="47">
        <f>52/C21</f>
        <v/>
      </c>
      <c r="F21" s="15" t="inlineStr">
        <is>
          <t>Bediener-/TPM-Aufgaben</t>
        </is>
      </c>
    </row>
    <row r="22">
      <c r="B22" s="6" t="inlineStr">
        <is>
          <t>4 Wochen</t>
        </is>
      </c>
      <c r="C22" s="122" t="n">
        <v>4</v>
      </c>
      <c r="D22" s="47">
        <f>52/C22</f>
        <v/>
      </c>
      <c r="F22" s="15" t="inlineStr">
        <is>
          <t>Risikoklasse „kritisch“ (neu)</t>
        </is>
      </c>
    </row>
    <row r="23">
      <c r="B23" s="6" t="inlineStr">
        <is>
          <t>8 Wochen</t>
        </is>
      </c>
      <c r="C23" s="122" t="n">
        <v>8</v>
      </c>
      <c r="D23" s="47">
        <f>52/C23</f>
        <v/>
      </c>
      <c r="F23" s="15" t="inlineStr">
        <is>
          <t>Risikoklasse „hoch“</t>
        </is>
      </c>
    </row>
    <row r="24">
      <c r="B24" s="6" t="inlineStr">
        <is>
          <t>16 Wochen</t>
        </is>
      </c>
      <c r="C24" s="122" t="n">
        <v>16</v>
      </c>
      <c r="D24" s="47">
        <f>52/C24</f>
        <v/>
      </c>
      <c r="F24" s="15" t="inlineStr">
        <is>
          <t>Risikoklasse „mittel“</t>
        </is>
      </c>
    </row>
    <row r="25">
      <c r="B25" s="6" t="inlineStr">
        <is>
          <t>halbjährlich</t>
        </is>
      </c>
      <c r="C25" s="122" t="n">
        <v>26</v>
      </c>
      <c r="D25" s="47">
        <f>52/C25</f>
        <v/>
      </c>
      <c r="F25" s="15" t="inlineStr">
        <is>
          <t>manuelle Festlegung (z. B. Herstellervorgabe)</t>
        </is>
      </c>
    </row>
    <row r="26">
      <c r="B26" s="6" t="inlineStr">
        <is>
          <t>jährlich</t>
        </is>
      </c>
      <c r="C26" s="122" t="n">
        <v>52</v>
      </c>
      <c r="D26" s="47">
        <f>52/C26</f>
        <v/>
      </c>
      <c r="F26" s="15" t="inlineStr">
        <is>
          <t>Risikoklasse „gering“</t>
        </is>
      </c>
    </row>
    <row r="28">
      <c r="B28" s="4" t="inlineStr">
        <is>
          <t>4  Schichtfaktor SF</t>
        </is>
      </c>
    </row>
    <row r="29" ht="30" customHeight="1">
      <c r="B29" s="12" t="inlineStr">
        <is>
          <t>Schichtmodell</t>
        </is>
      </c>
      <c r="C29" s="12" t="inlineStr">
        <is>
          <t>SF</t>
        </is>
      </c>
      <c r="D29" s="12" t="inlineStr"/>
      <c r="E29" s="12" t="inlineStr"/>
      <c r="F29" s="12" t="inlineStr">
        <is>
          <t>Erläuterung</t>
        </is>
      </c>
      <c r="G29" s="12" t="inlineStr">
        <is>
          <t>Herkunft</t>
        </is>
      </c>
    </row>
    <row r="30">
      <c r="B30" s="15" t="inlineStr">
        <is>
          <t>1-Schicht</t>
        </is>
      </c>
      <c r="C30" s="122" t="n">
        <v>0.33</v>
      </c>
      <c r="F30" s="15" t="inlineStr">
        <is>
          <t>SF 0,33 bei 1 Schichtbetrieb</t>
        </is>
      </c>
      <c r="G30" s="121" t="inlineStr">
        <is>
          <t>Vorversion (Kommentar „Schichtfaktor“)</t>
        </is>
      </c>
    </row>
    <row r="31">
      <c r="B31" s="15" t="inlineStr">
        <is>
          <t>2-Schicht</t>
        </is>
      </c>
      <c r="C31" s="122" t="n">
        <v>0.66</v>
      </c>
      <c r="F31" s="15" t="inlineStr">
        <is>
          <t>SF 0,66 bei 2 Schichtbetrieb</t>
        </is>
      </c>
      <c r="G31" s="121" t="inlineStr">
        <is>
          <t>Vorversion (Kommentar „Schichtfaktor“)</t>
        </is>
      </c>
    </row>
    <row r="32">
      <c r="B32" s="15" t="inlineStr">
        <is>
          <t>3-Schicht</t>
        </is>
      </c>
      <c r="C32" s="122" t="n">
        <v>1</v>
      </c>
      <c r="F32" s="15" t="inlineStr">
        <is>
          <t>SF 1 bei 3 Schichtbetrieb</t>
        </is>
      </c>
      <c r="G32" s="121" t="inlineStr">
        <is>
          <t>Vorversion (Kommentar „Schichtfaktor“)</t>
        </is>
      </c>
    </row>
    <row r="34">
      <c r="B34" s="4" t="inlineStr">
        <is>
          <t>5  Instandsetzungsaufwand bei Ausfall (aus Kriterium IH)</t>
        </is>
      </c>
    </row>
    <row r="35" ht="30" customHeight="1">
      <c r="B35" s="12" t="inlineStr">
        <is>
          <t>IH-Stufe</t>
        </is>
      </c>
      <c r="C35" s="12" t="inlineStr">
        <is>
          <t>Kurztext</t>
        </is>
      </c>
      <c r="D35" s="12" t="inlineStr"/>
      <c r="E35" s="12" t="inlineStr"/>
      <c r="F35" s="12" t="inlineStr">
        <is>
          <t>Bedeutung (Bewertungskatalog)</t>
        </is>
      </c>
    </row>
    <row r="36">
      <c r="B36" s="43" t="n">
        <v>1</v>
      </c>
      <c r="C36" s="15" t="inlineStr">
        <is>
          <t>&lt; 10 min · Bediener</t>
        </is>
      </c>
      <c r="D36" s="13" t="n"/>
      <c r="E36" s="14" t="n"/>
      <c r="F36" s="15" t="inlineStr">
        <is>
          <t>Zeit &lt; 10 min; kann durch geschulten Anlagenbediener durchgeführt werden</t>
        </is>
      </c>
    </row>
    <row r="37">
      <c r="B37" s="43" t="n">
        <v>2</v>
      </c>
      <c r="C37" s="15" t="inlineStr">
        <is>
          <t>10–30 min · IH allein</t>
        </is>
      </c>
      <c r="D37" s="13" t="n"/>
      <c r="E37" s="14" t="n"/>
      <c r="F37" s="15" t="inlineStr">
        <is>
          <t>Zeit 10–30 min; kann vom Instandhalter allein durchgeführt werden</t>
        </is>
      </c>
    </row>
    <row r="38">
      <c r="B38" s="43" t="n">
        <v>3</v>
      </c>
      <c r="C38" s="15" t="inlineStr">
        <is>
          <t>30–60 min · IH + Bediener</t>
        </is>
      </c>
      <c r="D38" s="13" t="n"/>
      <c r="E38" s="14" t="n"/>
      <c r="F38" s="15" t="inlineStr">
        <is>
          <t>Zeit 30–60 min; kann von Instandhalter und Anlagenbediener durchgeführt werden</t>
        </is>
      </c>
    </row>
    <row r="39">
      <c r="B39" s="43" t="n">
        <v>4</v>
      </c>
      <c r="C39" s="15" t="inlineStr">
        <is>
          <t>1–3 h · mind. 2 MA</t>
        </is>
      </c>
      <c r="D39" s="13" t="n"/>
      <c r="E39" s="14" t="n"/>
      <c r="F39" s="15" t="inlineStr">
        <is>
          <t>Zeit 1–3 h; mindestens 2 Mitarbeiter erforderlich</t>
        </is>
      </c>
    </row>
    <row r="40">
      <c r="B40" s="43" t="n">
        <v>5</v>
      </c>
      <c r="C40" s="15" t="inlineStr">
        <is>
          <t>&gt; 3 h · Spezialisten</t>
        </is>
      </c>
      <c r="D40" s="13" t="n"/>
      <c r="E40" s="14" t="n"/>
      <c r="F40" s="15" t="inlineStr">
        <is>
          <t>Zeit &gt; 3 h; mindestens 2 Mitarbeiter / Spezialisten erforderlich</t>
        </is>
      </c>
    </row>
    <row r="42">
      <c r="B42" s="4" t="inlineStr">
        <is>
          <t>6  Sonstige Einstellungen</t>
        </is>
      </c>
    </row>
    <row r="43" ht="30" customHeight="1">
      <c r="B43" s="12" t="inlineStr">
        <is>
          <t>Einstellung</t>
        </is>
      </c>
      <c r="C43" s="12" t="inlineStr">
        <is>
          <t>Wert</t>
        </is>
      </c>
      <c r="D43" s="12" t="inlineStr"/>
      <c r="E43" s="12" t="inlineStr"/>
      <c r="F43" s="12" t="inlineStr">
        <is>
          <t>Erläuterung</t>
        </is>
      </c>
    </row>
    <row r="44">
      <c r="B44" s="15" t="inlineStr">
        <is>
          <t>Relevanzschwelle AS/Q/US (≥)</t>
        </is>
      </c>
      <c r="C44" s="83" t="n">
        <v>4</v>
      </c>
      <c r="F44" s="15" t="inlineStr">
        <is>
          <t>Ab dieser Bewertung gilt eine Maßnahme als arbeitssicherheits-, qualitäts- bzw. umweltrelevant (Spalte „Relevanz“).</t>
        </is>
      </c>
    </row>
    <row r="45">
      <c r="B45" s="15" t="inlineStr">
        <is>
          <t>Vorwarnzeit Fälligkeit [Tage]</t>
        </is>
      </c>
      <c r="C45" s="83" t="n">
        <v>14</v>
      </c>
      <c r="F45" s="15" t="inlineStr">
        <is>
          <t>Maßnahmen, die innerhalb dieser Frist fällig werden, erscheinen als „bald fällig“.</t>
        </is>
      </c>
    </row>
    <row r="47">
      <c r="B47" s="4" t="inlineStr">
        <is>
          <t>7  Auswahllisten</t>
        </is>
      </c>
    </row>
    <row r="48" ht="30" customHeight="1">
      <c r="B48" s="12" t="inlineStr">
        <is>
          <t>Art der Maßnahme</t>
        </is>
      </c>
      <c r="C48" s="14" t="n"/>
      <c r="D48" s="12" t="inlineStr">
        <is>
          <t>Ausführung durch</t>
        </is>
      </c>
      <c r="E48" s="14" t="n"/>
      <c r="F48" s="12" t="inlineStr">
        <is>
          <t>Befund (Nachweis)</t>
        </is>
      </c>
      <c r="G48" s="12" t="inlineStr">
        <is>
          <t>Status (Offene Punkte)</t>
        </is>
      </c>
    </row>
    <row r="49">
      <c r="B49" s="6" t="inlineStr">
        <is>
          <t>Inspektion</t>
        </is>
      </c>
      <c r="D49" s="6" t="inlineStr">
        <is>
          <t>Anlagenbediener</t>
        </is>
      </c>
      <c r="F49" s="6" t="inlineStr">
        <is>
          <t>i.O.</t>
        </is>
      </c>
      <c r="G49" s="6" t="inlineStr">
        <is>
          <t>offen</t>
        </is>
      </c>
    </row>
    <row r="50">
      <c r="B50" s="6" t="inlineStr">
        <is>
          <t>Funktionsprüfung</t>
        </is>
      </c>
      <c r="D50" s="6" t="inlineStr">
        <is>
          <t>IH Mechanik</t>
        </is>
      </c>
      <c r="F50" s="6" t="inlineStr">
        <is>
          <t>n.i.O. – behoben</t>
        </is>
      </c>
      <c r="G50" s="6" t="inlineStr">
        <is>
          <t>in Arbeit</t>
        </is>
      </c>
    </row>
    <row r="51">
      <c r="B51" s="6" t="inlineStr">
        <is>
          <t>Messung</t>
        </is>
      </c>
      <c r="D51" s="6" t="inlineStr">
        <is>
          <t>IH Elektrik</t>
        </is>
      </c>
      <c r="F51" s="6" t="inlineStr">
        <is>
          <t>n.i.O. – Folgeauftrag</t>
        </is>
      </c>
      <c r="G51" s="6" t="inlineStr">
        <is>
          <t>erledigt</t>
        </is>
      </c>
    </row>
    <row r="52">
      <c r="B52" s="6" t="inlineStr">
        <is>
          <t>Schmierung</t>
        </is>
      </c>
      <c r="D52" s="6" t="inlineStr">
        <is>
          <t>IH Mechanik + Elektrik</t>
        </is>
      </c>
      <c r="G52" s="6" t="inlineStr">
        <is>
          <t>verworfen</t>
        </is>
      </c>
    </row>
    <row r="53">
      <c r="B53" s="6" t="inlineStr">
        <is>
          <t>Reinigung</t>
        </is>
      </c>
      <c r="D53" s="6" t="inlineStr">
        <is>
          <t>Fremdfirma</t>
        </is>
      </c>
    </row>
    <row r="54">
      <c r="B54" s="6" t="inlineStr">
        <is>
          <t>Wartung</t>
        </is>
      </c>
    </row>
    <row r="55">
      <c r="B55" s="6" t="inlineStr">
        <is>
          <t>Austausch</t>
        </is>
      </c>
    </row>
  </sheetData>
  <mergeCells count="10">
    <mergeCell ref="D8:E8"/>
    <mergeCell ref="C36:E36"/>
    <mergeCell ref="B48:C48"/>
    <mergeCell ref="D7:E7"/>
    <mergeCell ref="C37:E37"/>
    <mergeCell ref="C39:E39"/>
    <mergeCell ref="C40:E40"/>
    <mergeCell ref="D48:E48"/>
    <mergeCell ref="D9:E9"/>
    <mergeCell ref="C38:E38"/>
  </mergeCells>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worksheet>
</file>

<file path=xl/worksheets/sheet9.xml><?xml version="1.0" encoding="utf-8"?>
<worksheet xmlns="http://schemas.openxmlformats.org/spreadsheetml/2006/main">
  <sheetPr>
    <tabColor rgb="00A6A6A6"/>
    <outlinePr summaryBelow="1" summaryRight="1"/>
    <pageSetUpPr fitToPage="1"/>
  </sheetPr>
  <dimension ref="B1:J18"/>
  <sheetViews>
    <sheetView showGridLines="0"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18" customWidth="1" min="3" max="3"/>
    <col width="48" customWidth="1" min="4" max="4"/>
    <col width="30" customWidth="1" min="5" max="5"/>
    <col width="44" customWidth="1" min="6" max="6"/>
    <col width="9" customWidth="1" min="7" max="7"/>
    <col width="14" customWidth="1" min="8" max="8"/>
    <col width="11" customWidth="1" min="9" max="9"/>
    <col width="10" customWidth="1" min="10" max="10"/>
  </cols>
  <sheetData>
    <row r="1" ht="26" customHeight="1">
      <c r="B1" s="33" t="inlineStr">
        <is>
          <t>Offene Punkte – Befunde aus der Überarbeitung</t>
        </is>
      </c>
    </row>
    <row r="2">
      <c r="B2" s="2" t="inlineStr">
        <is>
          <t>Lücken und Unstimmigkeiten der Vorversion, die fachlich durch das Bewertungsteam zu klären sind. Gelbe Spalten pflegen.</t>
        </is>
      </c>
    </row>
    <row r="3">
      <c r="B3" s="3" t="n"/>
      <c r="C3" s="3" t="n"/>
      <c r="D3" s="3" t="n"/>
      <c r="E3" s="3" t="n"/>
      <c r="F3" s="3" t="n"/>
      <c r="G3" s="3" t="n"/>
      <c r="H3" s="3" t="n"/>
      <c r="I3" s="3" t="n"/>
      <c r="J3" s="3" t="n"/>
    </row>
    <row r="5" ht="22" customHeight="1">
      <c r="B5" s="12" t="inlineStr">
        <is>
          <t>Nr.</t>
        </is>
      </c>
      <c r="C5" s="12" t="inlineStr">
        <is>
          <t>Bereich / Maßnahme</t>
        </is>
      </c>
      <c r="D5" s="12" t="inlineStr">
        <is>
          <t>Befund</t>
        </is>
      </c>
      <c r="E5" s="12" t="inlineStr">
        <is>
          <t>Auswirkung</t>
        </is>
      </c>
      <c r="F5" s="12" t="inlineStr">
        <is>
          <t>Empfohlene Maßnahme</t>
        </is>
      </c>
      <c r="G5" s="12" t="inlineStr">
        <is>
          <t>Priorität</t>
        </is>
      </c>
      <c r="H5" s="12" t="inlineStr">
        <is>
          <t>Verantwortlich</t>
        </is>
      </c>
      <c r="I5" s="12" t="inlineStr">
        <is>
          <t>Termin</t>
        </is>
      </c>
      <c r="J5" s="12" t="inlineStr">
        <is>
          <t>Status</t>
        </is>
      </c>
    </row>
    <row r="6" ht="58" customHeight="1">
      <c r="B6" s="43" t="n">
        <v>1</v>
      </c>
      <c r="C6" s="19" t="inlineStr">
        <is>
          <t>4.1.4 (alt 4.1.4)</t>
        </is>
      </c>
      <c r="D6" s="19" t="inlineStr">
        <is>
          <t>Hauptführung Y-Schlitten: Ausfall- (A) und Entdeckungswahrscheinlichkeit (E) fehlen. Vorversion errechnete RPZ = 0 und kein Intervall.</t>
        </is>
      </c>
      <c r="E6" s="19" t="inlineStr">
        <is>
          <t>Maßnahme wird ohne Intervall geplant; floss mit RPZ 0 in den Mittelwert ein.</t>
        </is>
      </c>
      <c r="F6" s="19" t="inlineStr">
        <is>
          <t>A und E im Team bewerten (Vergleich: 4.1.3 Spindel abschmieren A = 5, E = 2 → RPZ 45 → 16 Wochen).</t>
        </is>
      </c>
      <c r="G6" s="43" t="inlineStr">
        <is>
          <t>hoch</t>
        </is>
      </c>
      <c r="H6" s="83" t="n"/>
      <c r="I6" s="98" t="n"/>
      <c r="J6" s="83" t="inlineStr">
        <is>
          <t>offen</t>
        </is>
      </c>
    </row>
    <row r="7" ht="45" customHeight="1">
      <c r="B7" s="43" t="n">
        <v>2</v>
      </c>
      <c r="C7" s="19" t="inlineStr">
        <is>
          <t>17.1 (alt 17)</t>
        </is>
      </c>
      <c r="D7" s="19" t="inlineStr">
        <is>
          <t>Hydraulik-Druckfilter: Tätigkeit stand nur in der Überschrift, ohne Bewertung.</t>
        </is>
      </c>
      <c r="E7" s="19" t="inlineStr">
        <is>
          <t>Kein Intervall ermittelbar.</t>
        </is>
      </c>
      <c r="F7" s="19" t="inlineStr">
        <is>
          <t>Maßnahme bewerten; zusätzlich Filterelementwechsel (nach Verschmutzungsanzeige bzw. Herstellerintervall) aufnehmen.</t>
        </is>
      </c>
      <c r="G7" s="43" t="inlineStr">
        <is>
          <t>hoch</t>
        </is>
      </c>
      <c r="H7" s="83" t="n"/>
      <c r="I7" s="98" t="n"/>
      <c r="J7" s="83" t="inlineStr">
        <is>
          <t>offen</t>
        </is>
      </c>
    </row>
    <row r="8" ht="45" customHeight="1">
      <c r="B8" s="43" t="n">
        <v>3</v>
      </c>
      <c r="C8" s="19" t="inlineStr">
        <is>
          <t>Abschnitt 6 (alt 6.x)</t>
        </is>
      </c>
      <c r="D8" s="19" t="inlineStr">
        <is>
          <t>Baugruppe der Zylinder/Sensoren in Abschnitt 6 ist in der Vorversion nicht benannt.</t>
        </is>
      </c>
      <c r="E8" s="19" t="inlineStr">
        <is>
          <t>Zuordnung an der Anlage unklar.</t>
        </is>
      </c>
      <c r="F8" s="19" t="inlineStr">
        <is>
          <t>Baugruppe benennen (z. B. Position in Übersichtszeichnung) und Bezeichnung in Spalte Baugruppe eintragen.</t>
        </is>
      </c>
      <c r="G8" s="43" t="inlineStr">
        <is>
          <t>mittel</t>
        </is>
      </c>
      <c r="H8" s="83" t="n"/>
      <c r="I8" s="98" t="n"/>
      <c r="J8" s="83" t="inlineStr">
        <is>
          <t>offen</t>
        </is>
      </c>
    </row>
    <row r="9" ht="45" customHeight="1">
      <c r="B9" s="43" t="n">
        <v>4</v>
      </c>
      <c r="C9" s="19" t="inlineStr">
        <is>
          <t>11.1.x (Pneumatik)</t>
        </is>
      </c>
      <c r="D9" s="19" t="inlineStr">
        <is>
          <t>Bewertungen der Pneumatikventile wurden 1:1 von Hydraulikzylindern übernommen (z. B. US = 5 für Anschlüsse).</t>
        </is>
      </c>
      <c r="E9" s="19" t="inlineStr">
        <is>
          <t>Umweltrisiko von Druckluftleckagen vermutlich überbewertet → zu kurzes Intervall.</t>
        </is>
      </c>
      <c r="F9" s="19" t="inlineStr">
        <is>
          <t>Bewertung für Pneumatik eigenständig plausibilisieren.</t>
        </is>
      </c>
      <c r="G9" s="43" t="inlineStr">
        <is>
          <t>mittel</t>
        </is>
      </c>
      <c r="H9" s="83" t="n"/>
      <c r="I9" s="98" t="n"/>
      <c r="J9" s="83" t="inlineStr">
        <is>
          <t>offen</t>
        </is>
      </c>
    </row>
    <row r="10" ht="71" customHeight="1">
      <c r="B10" s="43" t="n">
        <v>5</v>
      </c>
      <c r="C10" s="19" t="inlineStr">
        <is>
          <t>6.x, 9.4.x, 11.x, 12.x, 14.x</t>
        </is>
      </c>
      <c r="D10" s="19" t="inlineStr">
        <is>
          <t>29 Bewertungen werden per Verknüpfung von anderen Maßnahmen übernommen (Spalte „Bewertung übernommen von“).</t>
        </is>
      </c>
      <c r="E10" s="19" t="inlineStr">
        <is>
          <t>Änderung der Quelle ändert unbemerkt alle Folgemaßnahmen; Übertragbarkeit nicht immer gegeben (z. B. 14.5 Lüfter = Filtermatten).</t>
        </is>
      </c>
      <c r="F10" s="19" t="inlineStr">
        <is>
          <t>Je Baugruppe prüfen, ob Übernahme fachlich passt; ggf. eigene Werte eintragen.</t>
        </is>
      </c>
      <c r="G10" s="43" t="inlineStr">
        <is>
          <t>mittel</t>
        </is>
      </c>
      <c r="H10" s="83" t="n"/>
      <c r="I10" s="98" t="n"/>
      <c r="J10" s="83" t="inlineStr">
        <is>
          <t>offen</t>
        </is>
      </c>
    </row>
    <row r="11" ht="45" customHeight="1">
      <c r="B11" s="43" t="n">
        <v>6</v>
      </c>
      <c r="C11" s="19" t="inlineStr">
        <is>
          <t>1.1 Not-Aus</t>
        </is>
      </c>
      <c r="D11" s="19" t="inlineStr">
        <is>
          <t>Berechnetes Intervall „jährlich“; Sollzustand fordert tägliche Prüfung vor Arbeitsbeginn.</t>
        </is>
      </c>
      <c r="E11" s="19" t="inlineStr">
        <is>
          <t>Tägliche Bedienerprüfung ist nicht im Plan terminiert.</t>
        </is>
      </c>
      <c r="F11" s="19" t="inlineStr">
        <is>
          <t>Tägliche Prüfung in Bediener-/TPM-Checkliste aufnehmen; jährliche Prüfung durch befähigte Person (BetrSichV) beibehalten.</t>
        </is>
      </c>
      <c r="G11" s="43" t="inlineStr">
        <is>
          <t>hoch</t>
        </is>
      </c>
      <c r="H11" s="83" t="n"/>
      <c r="I11" s="98" t="n"/>
      <c r="J11" s="83" t="inlineStr">
        <is>
          <t>offen</t>
        </is>
      </c>
    </row>
    <row r="12" ht="32" customHeight="1">
      <c r="B12" s="43" t="n">
        <v>7</v>
      </c>
      <c r="C12" s="19" t="inlineStr">
        <is>
          <t>21.2</t>
        </is>
      </c>
      <c r="D12" s="19" t="inlineStr">
        <is>
          <t>Maßnahme „Wasserventile und Hydraulikventile“ ohne Tätigkeitsbeschreibung.</t>
        </is>
      </c>
      <c r="E12" s="19" t="inlineStr">
        <is>
          <t>Ausführung nicht eindeutig; Überschneidung mit 21.3.</t>
        </is>
      </c>
      <c r="F12" s="19" t="inlineStr">
        <is>
          <t>Tätigkeit konkretisieren oder mit 21.3 zusammenführen.</t>
        </is>
      </c>
      <c r="G12" s="43" t="inlineStr">
        <is>
          <t>niedrig</t>
        </is>
      </c>
      <c r="H12" s="83" t="n"/>
      <c r="I12" s="98" t="n"/>
      <c r="J12" s="83" t="inlineStr">
        <is>
          <t>offen</t>
        </is>
      </c>
    </row>
    <row r="13" ht="32" customHeight="1">
      <c r="B13" s="43" t="n">
        <v>8</v>
      </c>
      <c r="C13" s="19" t="inlineStr">
        <is>
          <t>12.2</t>
        </is>
      </c>
      <c r="D13" s="19" t="inlineStr">
        <is>
          <t>Unter „Handbediengerät“ stand „Bedienpult reinigen“ (vermutlich Kopierfehler).</t>
        </is>
      </c>
      <c r="E13" s="19" t="inlineStr">
        <is>
          <t>Missverständlich.</t>
        </is>
      </c>
      <c r="F13" s="19" t="inlineStr">
        <is>
          <t>Geändert in „Handbediengerät reinigen“ – bitte bestätigen.</t>
        </is>
      </c>
      <c r="G13" s="43" t="inlineStr">
        <is>
          <t>niedrig</t>
        </is>
      </c>
      <c r="H13" s="83" t="n"/>
      <c r="I13" s="98" t="n"/>
      <c r="J13" s="83" t="inlineStr">
        <is>
          <t>offen</t>
        </is>
      </c>
    </row>
    <row r="14" ht="32" customHeight="1">
      <c r="B14" s="43" t="n">
        <v>9</v>
      </c>
      <c r="C14" s="19" t="inlineStr">
        <is>
          <t>4.1.1</t>
        </is>
      </c>
      <c r="D14" s="19" t="inlineStr">
        <is>
          <t>Text nennt „Stauchspindel“ statt Spindel des Werkzeugträgers (Kopierfehler).</t>
        </is>
      </c>
      <c r="E14" s="19" t="inlineStr">
        <is>
          <t>Missverständlich.</t>
        </is>
      </c>
      <c r="F14" s="19" t="inlineStr">
        <is>
          <t>Auf „Spindel“ vereinheitlicht – bitte bestätigen.</t>
        </is>
      </c>
      <c r="G14" s="43" t="inlineStr">
        <is>
          <t>niedrig</t>
        </is>
      </c>
      <c r="H14" s="83" t="n"/>
      <c r="I14" s="98" t="n"/>
      <c r="J14" s="83" t="inlineStr">
        <is>
          <t>offen</t>
        </is>
      </c>
    </row>
    <row r="15" ht="45" customHeight="1">
      <c r="B15" s="43" t="n">
        <v>10</v>
      </c>
      <c r="C15" s="19" t="inlineStr">
        <is>
          <t>Anlagenübersicht</t>
        </is>
      </c>
      <c r="D15" s="19" t="inlineStr">
        <is>
          <t>Positionen 4, 7, 9, 10, 12, 18, 21, 23, 27, 28 sind in der Zeichnung nummeriert, aber im Plan nicht berücksichtigt.</t>
        </is>
      </c>
      <c r="E15" s="19" t="inlineStr">
        <is>
          <t>Mögliche Wartungslücken.</t>
        </is>
      </c>
      <c r="F15" s="19" t="inlineStr">
        <is>
          <t>Positionen benennen und Wartungsbedarf im Team bewerten.</t>
        </is>
      </c>
      <c r="G15" s="43" t="inlineStr">
        <is>
          <t>mittel</t>
        </is>
      </c>
      <c r="H15" s="83" t="n"/>
      <c r="I15" s="98" t="n"/>
      <c r="J15" s="83" t="inlineStr">
        <is>
          <t>offen</t>
        </is>
      </c>
    </row>
    <row r="16" ht="32" customHeight="1">
      <c r="B16" s="43" t="n">
        <v>11</v>
      </c>
      <c r="C16" s="19" t="inlineStr">
        <is>
          <t>Stammdaten</t>
        </is>
      </c>
      <c r="D16" s="19" t="inlineStr">
        <is>
          <t>Equipmentnummer, Standort, Hersteller/Baujahr fehlen.</t>
        </is>
      </c>
      <c r="E16" s="19" t="inlineStr">
        <is>
          <t>Keine eindeutige Zuordnung zu SAP-PM / Audit-Nachweis.</t>
        </is>
      </c>
      <c r="F16" s="19" t="inlineStr">
        <is>
          <t>Auf dem Deckblatt ergänzen.</t>
        </is>
      </c>
      <c r="G16" s="43" t="inlineStr">
        <is>
          <t>mittel</t>
        </is>
      </c>
      <c r="H16" s="83" t="n"/>
      <c r="I16" s="98" t="n"/>
      <c r="J16" s="83" t="inlineStr">
        <is>
          <t>offen</t>
        </is>
      </c>
    </row>
    <row r="17" ht="45" customHeight="1">
      <c r="B17" s="43" t="n">
        <v>12</v>
      </c>
      <c r="C17" s="19" t="inlineStr">
        <is>
          <t>Sollzustände</t>
        </is>
      </c>
      <c r="D17" s="19" t="inlineStr">
        <is>
          <t>In der Vorversion nur bei 2 Maßnahmen Sollzustand angegeben; neue Vorschläge (grau kursiv) ergänzt.</t>
        </is>
      </c>
      <c r="E17" s="19" t="inlineStr">
        <is>
          <t>Ohne Prüfkriterium keine objektive i.O./n.i.O.-Entscheidung.</t>
        </is>
      </c>
      <c r="F17" s="19" t="inlineStr">
        <is>
          <t>Vorschläge prüfen, mit Messwerten/Toleranzen (Drücke, Spiel, Temperaturen) konkretisieren und freigeben.</t>
        </is>
      </c>
      <c r="G17" s="43" t="inlineStr">
        <is>
          <t>mittel</t>
        </is>
      </c>
      <c r="H17" s="83" t="n"/>
      <c r="I17" s="98" t="n"/>
      <c r="J17" s="83" t="inlineStr">
        <is>
          <t>offen</t>
        </is>
      </c>
    </row>
    <row r="18" ht="58" customHeight="1">
      <c r="B18" s="43" t="n">
        <v>13</v>
      </c>
      <c r="C18" s="19" t="inlineStr">
        <is>
          <t>Hydraulik / Gesetzliche Prüfungen</t>
        </is>
      </c>
      <c r="D18" s="19" t="inlineStr">
        <is>
          <t>Ölwechsel/Ölanalyse, Austausch von Hydraulikschlauchleitungen (Verwendungsdauer, DGUV Regel 113-020), DGUV V3 (Elektrik) und BetrSichV-Prüfungen sind nicht enthalten.</t>
        </is>
      </c>
      <c r="E18" s="19" t="inlineStr">
        <is>
          <t>Gesetzliche/normative Pflichten nicht nachweisbar.</t>
        </is>
      </c>
      <c r="F18" s="19" t="inlineStr">
        <is>
          <t>Ergänzen bzw. auf bestehende Prüfpläne verweisen (siehe Blatt Weiterentwicklung).</t>
        </is>
      </c>
      <c r="G18" s="43" t="inlineStr">
        <is>
          <t>hoch</t>
        </is>
      </c>
      <c r="H18" s="83" t="n"/>
      <c r="I18" s="98" t="n"/>
      <c r="J18" s="83" t="inlineStr">
        <is>
          <t>offen</t>
        </is>
      </c>
    </row>
  </sheetData>
  <conditionalFormatting sqref="G6:G68">
    <cfRule type="cellIs" priority="1" operator="equal" dxfId="2">
      <formula>"hoch"</formula>
    </cfRule>
    <cfRule type="cellIs" priority="2" operator="equal" dxfId="1">
      <formula>"mittel"</formula>
    </cfRule>
    <cfRule type="cellIs" priority="3" operator="equal" dxfId="0">
      <formula>"niedrig"</formula>
    </cfRule>
  </conditionalFormatting>
  <conditionalFormatting sqref="J6:J68">
    <cfRule type="cellIs" priority="4" operator="equal" dxfId="11">
      <formula>"erledigt"</formula>
    </cfRule>
  </conditionalFormatting>
  <dataValidations count="2">
    <dataValidation sqref="J6:J68" showDropDown="0" showInputMessage="0" showErrorMessage="0" allowBlank="1" type="list">
      <formula1>=L_Status</formula1>
    </dataValidation>
    <dataValidation sqref="G6:G68" showDropDown="0" showInputMessage="0" showErrorMessage="0" allowBlank="1" type="list">
      <formula1>"hoch,mittel,niedrig"</formula1>
    </dataValidation>
  </dataValidations>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A6A6A6"/>
    <outlinePr summaryBelow="1" summaryRight="1"/>
    <pageSetUpPr fitToPage="1"/>
  </sheetPr>
  <dimension ref="B1:G31"/>
  <sheetViews>
    <sheetView showGridLines="0" tabSelected="0" zoomScale="90" workbookViewId="0">
      <selection activeCell="A1" sqref="A1"/>
    </sheetView>
  </sheetViews>
  <sheetFormatPr baseColWidth="8" defaultRowHeight="15"/>
  <cols>
    <col width="2" customWidth="1" min="1" max="1"/>
    <col width="30" customWidth="1" min="2" max="2"/>
    <col width="50" customWidth="1" min="3" max="3"/>
    <col width="44" customWidth="1" min="4" max="4"/>
    <col width="24" customWidth="1" min="5" max="5"/>
    <col width="16" customWidth="1" min="6" max="6"/>
    <col width="2" customWidth="1" min="7" max="7"/>
  </cols>
  <sheetData>
    <row r="1" ht="26" customHeight="1">
      <c r="B1" s="33" t="inlineStr">
        <is>
          <t>Weiterentwicklung – Vorschläge für zusätzliche Kriterien und Kennzahlen</t>
        </is>
      </c>
    </row>
    <row r="2">
      <c r="B2" s="2" t="inlineStr">
        <is>
          <t>Ausrichtung auf IATF 16949 (Kap. 8.5.1.5 TPM, 7.1.3, 8.5.1.6, 10.2), TPM und datenbasierte Instandhaltung</t>
        </is>
      </c>
    </row>
    <row r="3">
      <c r="B3" s="3" t="n"/>
      <c r="C3" s="3" t="n"/>
      <c r="D3" s="3" t="n"/>
      <c r="E3" s="3" t="n"/>
      <c r="F3" s="3" t="n"/>
      <c r="G3" s="3" t="n"/>
    </row>
    <row r="5">
      <c r="B5" s="4" t="inlineStr">
        <is>
          <t>A  Zusätzliche Bewertungs- und Planungskriterien</t>
        </is>
      </c>
    </row>
    <row r="6" ht="20" customHeight="1">
      <c r="B6" s="12" t="inlineStr">
        <is>
          <t>Kriterium</t>
        </is>
      </c>
      <c r="C6" s="12" t="inlineStr">
        <is>
          <t>Nutzen</t>
        </is>
      </c>
      <c r="D6" s="12" t="inlineStr">
        <is>
          <t>Umsetzung</t>
        </is>
      </c>
      <c r="E6" s="12" t="inlineStr">
        <is>
          <t>Bezug</t>
        </is>
      </c>
      <c r="F6" s="12" t="inlineStr">
        <is>
          <t>Status in Datei</t>
        </is>
      </c>
    </row>
    <row r="7" ht="43" customHeight="1">
      <c r="B7" s="123" t="inlineStr">
        <is>
          <t>Ausführung durch (Qualifikation)</t>
        </is>
      </c>
      <c r="C7" s="19" t="inlineStr">
        <is>
          <t>Klare Zuständigkeit Bediener / IH Mechanik / IH Elektrik / Fremdfirma; Basis für TPM-Aufteilung</t>
        </is>
      </c>
      <c r="D7" s="19" t="inlineStr">
        <is>
          <t>Spalte „Ausführung durch“ (Auswahlliste)</t>
        </is>
      </c>
      <c r="E7" s="19" t="inlineStr">
        <is>
          <t>IATF 8.5.1.5, 7.2</t>
        </is>
      </c>
      <c r="F7" s="124" t="inlineStr">
        <is>
          <t>umgesetzt (Eingabe)</t>
        </is>
      </c>
    </row>
    <row r="8" ht="30" customHeight="1">
      <c r="B8" s="123" t="inlineStr">
        <is>
          <t>Plan-Zeit je Durchführung</t>
        </is>
      </c>
      <c r="C8" s="19" t="inlineStr">
        <is>
          <t>Kapazitäts- und Stillstandsplanung, Jahresaufwand</t>
        </is>
      </c>
      <c r="D8" s="19" t="inlineStr">
        <is>
          <t>Spalte „Plan-Zeit [min]“ → „Aufwand [h/Jahr]“ und Dashboard</t>
        </is>
      </c>
      <c r="E8" s="19" t="inlineStr">
        <is>
          <t>IATF 8.5.1.5</t>
        </is>
      </c>
      <c r="F8" s="124" t="inlineStr">
        <is>
          <t>umgesetzt (Eingabe)</t>
        </is>
      </c>
    </row>
    <row r="9" ht="43" customHeight="1">
      <c r="B9" s="123" t="inlineStr">
        <is>
          <t>Abweichendes Intervall mit Begründung</t>
        </is>
      </c>
      <c r="C9" s="19" t="inlineStr">
        <is>
          <t>Herstellervorgaben, gesetzliche Fristen, Erfahrung können RPZ-Ergebnis übersteuern – nachvollziehbar</t>
        </is>
      </c>
      <c r="D9" s="19" t="inlineStr">
        <is>
          <t>Spalten „Intervall festgelegt“ + „Begründung“</t>
        </is>
      </c>
      <c r="E9" s="19" t="inlineStr">
        <is>
          <t>IATF 7.5, 8.5.1.5</t>
        </is>
      </c>
      <c r="F9" s="124" t="inlineStr">
        <is>
          <t>umgesetzt</t>
        </is>
      </c>
    </row>
    <row r="10" ht="30" customHeight="1">
      <c r="B10" s="123" t="inlineStr">
        <is>
          <t>Relevanz für Arbeitssicherheit / Qualität / Umwelt</t>
        </is>
      </c>
      <c r="C10" s="19" t="inlineStr">
        <is>
          <t>Sicherheits- und qualitätskritische Maßnahmen unabhängig von der RPZ sichtbar</t>
        </is>
      </c>
      <c r="D10" s="19" t="inlineStr">
        <is>
          <t>Spalte „Relevanz AS/Q/US“ + Dashboard</t>
        </is>
      </c>
      <c r="E10" s="19" t="inlineStr">
        <is>
          <t>IATF 8.5.1.5, ISO 45001/14001</t>
        </is>
      </c>
      <c r="F10" s="124" t="inlineStr">
        <is>
          <t>umgesetzt</t>
        </is>
      </c>
    </row>
    <row r="11" ht="30" customHeight="1">
      <c r="B11" s="123" t="inlineStr">
        <is>
          <t>Maschinenzustand bei Durchführung</t>
        </is>
      </c>
      <c r="C11" s="19" t="inlineStr">
        <is>
          <t>Betrieb / Stillstand / LOTO (Lockout-Tagout) – Arbeitsschutz und Stillstandsplanung</t>
        </is>
      </c>
      <c r="D11" s="19" t="inlineStr">
        <is>
          <t>Neue Spalte mit Auswahlliste</t>
        </is>
      </c>
      <c r="E11" s="19" t="inlineStr">
        <is>
          <t>DGUV, BetrSichV</t>
        </is>
      </c>
      <c r="F11" s="125" t="inlineStr">
        <is>
          <t>vorgeschlagen</t>
        </is>
      </c>
    </row>
    <row r="12" ht="30" customHeight="1">
      <c r="B12" s="123" t="inlineStr">
        <is>
          <t>Gesetzliche / normative Prüfpflicht</t>
        </is>
      </c>
      <c r="C12" s="19" t="inlineStr">
        <is>
          <t>Kennzeichnung z. B. BetrSichV, DGUV V3, DGUV Regel 113-020 (Hydraulikschläuche), Druckgeräte</t>
        </is>
      </c>
      <c r="D12" s="19" t="inlineStr">
        <is>
          <t>Neue Spalte „Prüfgrundlage“ + Frist</t>
        </is>
      </c>
      <c r="E12" s="19" t="inlineStr">
        <is>
          <t>Rechtspflicht</t>
        </is>
      </c>
      <c r="F12" s="125" t="inlineStr">
        <is>
          <t>vorgeschlagen</t>
        </is>
      </c>
    </row>
    <row r="13" ht="30" customHeight="1">
      <c r="B13" s="123" t="inlineStr">
        <is>
          <t>Ersatzteile / Material (SAP-Nr.)</t>
        </is>
      </c>
      <c r="C13" s="19" t="inlineStr">
        <is>
          <t>Teileverfügbarkeit sicherstellen; Bezug zu kritischen Ersatzteilen</t>
        </is>
      </c>
      <c r="D13" s="19" t="inlineStr">
        <is>
          <t>Neue Spalte „Material/Ersatzteil“</t>
        </is>
      </c>
      <c r="E13" s="19" t="inlineStr">
        <is>
          <t>IATF 8.5.1.5 (Ersatzteilverfügbarkeit)</t>
        </is>
      </c>
      <c r="F13" s="125" t="inlineStr">
        <is>
          <t>vorgeschlagen</t>
        </is>
      </c>
    </row>
    <row r="14" ht="30" customHeight="1">
      <c r="B14" s="123" t="inlineStr">
        <is>
          <t>Ersatzteil-Wiederbeschaffungszeit</t>
        </is>
      </c>
      <c r="C14" s="19" t="inlineStr">
        <is>
          <t>Lange Lieferzeit erhöht das Ausfallrisiko → als Zusatzkriterium oder in S bewerten</t>
        </is>
      </c>
      <c r="D14" s="19" t="inlineStr">
        <is>
          <t>Zusatzkriterium oder Faktor</t>
        </is>
      </c>
      <c r="E14" s="19" t="inlineStr">
        <is>
          <t>IATF 8.5.1.5</t>
        </is>
      </c>
      <c r="F14" s="125" t="inlineStr">
        <is>
          <t>vorgeschlagen</t>
        </is>
      </c>
    </row>
    <row r="15" ht="30" customHeight="1">
      <c r="B15" s="123" t="inlineStr">
        <is>
          <t>Mess-/Prüfmittel und Grenzwerte</t>
        </is>
      </c>
      <c r="C15" s="19" t="inlineStr">
        <is>
          <t>Objektive i.O.-Entscheidung (z. B. Öltemperatur &lt; 75 °C, Drücke, Spiel)</t>
        </is>
      </c>
      <c r="D15" s="19" t="inlineStr">
        <is>
          <t>Spalte Sollzustand konkretisieren; Prüfmittel in Hilfsmittel</t>
        </is>
      </c>
      <c r="E15" s="19" t="inlineStr">
        <is>
          <t>IATF 7.1.5</t>
        </is>
      </c>
      <c r="F15" s="126" t="inlineStr">
        <is>
          <t>teilweise (Vorschläge grau)</t>
        </is>
      </c>
    </row>
    <row r="16" ht="30" customHeight="1">
      <c r="B16" s="123" t="inlineStr">
        <is>
          <t>Bezug zu FMEA / Control Plan</t>
        </is>
      </c>
      <c r="C16" s="19" t="inlineStr">
        <is>
          <t>Maßnahmen mit Q ≥ 4 mit besonderen Merkmalen verknüpfen</t>
        </is>
      </c>
      <c r="D16" s="19" t="inlineStr">
        <is>
          <t>Spalte „Bezug PFMEA/CP“</t>
        </is>
      </c>
      <c r="E16" s="19" t="inlineStr">
        <is>
          <t>IATF 8.3.5.2, 8.5.1.1</t>
        </is>
      </c>
      <c r="F16" s="125" t="inlineStr">
        <is>
          <t>vorgeschlagen</t>
        </is>
      </c>
    </row>
    <row r="17" ht="30" customHeight="1">
      <c r="B17" s="123" t="inlineStr">
        <is>
          <t>Zustandsorientierte Instandhaltung</t>
        </is>
      </c>
      <c r="C17" s="19" t="inlineStr">
        <is>
          <t>Für A ≥ 4 und E ≥ 4: Sensorik, Thermografie, Schwingungs-/Ölanalyse statt fixer Intervalle</t>
        </is>
      </c>
      <c r="D17" s="19" t="inlineStr">
        <is>
          <t>Risikomatrix im Dashboard zeigt Kandidaten</t>
        </is>
      </c>
      <c r="E17" s="19" t="inlineStr">
        <is>
          <t>IATF 8.5.1.5 (vorausschauende IH)</t>
        </is>
      </c>
      <c r="F17" s="126" t="inlineStr">
        <is>
          <t>vorbereitet</t>
        </is>
      </c>
    </row>
    <row r="18" ht="30" customHeight="1">
      <c r="B18" s="123" t="inlineStr">
        <is>
          <t>Validierung A aus Störhistorie</t>
        </is>
      </c>
      <c r="C18" s="19" t="inlineStr">
        <is>
          <t>A aus SAP-PM-Störmeldungen (MTBF) statt Schätzung</t>
        </is>
      </c>
      <c r="D18" s="19" t="inlineStr">
        <is>
          <t>Import Störhistorie, Abgleich je Baugruppe</t>
        </is>
      </c>
      <c r="E18" s="19" t="inlineStr">
        <is>
          <t>IATF 8.5.1.5, 10.2</t>
        </is>
      </c>
      <c r="F18" s="125" t="inlineStr">
        <is>
          <t>vorgeschlagen</t>
        </is>
      </c>
    </row>
    <row r="20">
      <c r="B20" s="4" t="inlineStr">
        <is>
          <t>B  Kennzahlen (KPI) für Instandhaltung und Management</t>
        </is>
      </c>
    </row>
    <row r="21" ht="20" customHeight="1">
      <c r="B21" s="12" t="inlineStr">
        <is>
          <t>Kennzahl</t>
        </is>
      </c>
      <c r="C21" s="12" t="inlineStr">
        <is>
          <t>Definition</t>
        </is>
      </c>
      <c r="D21" s="12" t="inlineStr">
        <is>
          <t>Datenquelle</t>
        </is>
      </c>
      <c r="E21" s="12" t="inlineStr">
        <is>
          <t>Zielwert (Vorschlag)</t>
        </is>
      </c>
      <c r="F21" s="12" t="inlineStr">
        <is>
          <t>Status in Datei</t>
        </is>
      </c>
    </row>
    <row r="22" ht="28" customHeight="1">
      <c r="B22" s="123" t="inlineStr">
        <is>
          <t>Termintreue / PM-Compliance</t>
        </is>
      </c>
      <c r="C22" s="19" t="inlineStr">
        <is>
          <t>durchgeführte fristgerechte Wartungen / fällige Wartungen</t>
        </is>
      </c>
      <c r="D22" s="19" t="inlineStr">
        <is>
          <t>Durchführungsnachweis</t>
        </is>
      </c>
      <c r="E22" s="19" t="inlineStr">
        <is>
          <t>≥ 95 %</t>
        </is>
      </c>
      <c r="F22" s="124" t="inlineStr">
        <is>
          <t>umgesetzt</t>
        </is>
      </c>
    </row>
    <row r="23" ht="28" customHeight="1">
      <c r="B23" s="123" t="inlineStr">
        <is>
          <t>Überfällige Maßnahmen</t>
        </is>
      </c>
      <c r="C23" s="19" t="inlineStr">
        <is>
          <t>Anzahl Maßnahmen mit überschrittener Fälligkeit</t>
        </is>
      </c>
      <c r="D23" s="19" t="inlineStr">
        <is>
          <t>Durchführungsnachweis</t>
        </is>
      </c>
      <c r="E23" s="19" t="inlineStr">
        <is>
          <t>0</t>
        </is>
      </c>
      <c r="F23" s="124" t="inlineStr">
        <is>
          <t>umgesetzt</t>
        </is>
      </c>
    </row>
    <row r="24" ht="28" customHeight="1">
      <c r="B24" s="123" t="inlineStr">
        <is>
          <t>Anteil hoch/kritisch</t>
        </is>
      </c>
      <c r="C24" s="19" t="inlineStr">
        <is>
          <t>Maßnahmen mit Risikoklasse hoch oder kritisch / alle Maßnahmen</t>
        </is>
      </c>
      <c r="D24" s="19" t="inlineStr">
        <is>
          <t>Wartungsplan</t>
        </is>
      </c>
      <c r="E24" s="19" t="inlineStr">
        <is>
          <t>sinkend (Risikominderung)</t>
        </is>
      </c>
      <c r="F24" s="124" t="inlineStr">
        <is>
          <t>umgesetzt</t>
        </is>
      </c>
    </row>
    <row r="25" ht="28" customHeight="1">
      <c r="B25" s="123" t="inlineStr">
        <is>
          <t>Ø RPZ je Baugruppe</t>
        </is>
      </c>
      <c r="C25" s="19" t="inlineStr">
        <is>
          <t>Mittelwert RPZ je Baugruppe – zeigt Schwerpunkte</t>
        </is>
      </c>
      <c r="D25" s="19" t="inlineStr">
        <is>
          <t>Wartungsplan</t>
        </is>
      </c>
      <c r="E25" s="19" t="inlineStr">
        <is>
          <t>Trend sinkend</t>
        </is>
      </c>
      <c r="F25" s="124" t="inlineStr">
        <is>
          <t>umgesetzt</t>
        </is>
      </c>
    </row>
    <row r="26" ht="28" customHeight="1">
      <c r="B26" s="123" t="inlineStr">
        <is>
          <t>Befundquote n.i.O.</t>
        </is>
      </c>
      <c r="C26" s="19" t="inlineStr">
        <is>
          <t>Durchführungen mit Befund n.i.O. / alle Durchführungen</t>
        </is>
      </c>
      <c r="D26" s="19" t="inlineStr">
        <is>
          <t>Durchführungsnachweis</t>
        </is>
      </c>
      <c r="E26" s="19" t="inlineStr">
        <is>
          <t>Trend beobachten</t>
        </is>
      </c>
      <c r="F26" s="124" t="inlineStr">
        <is>
          <t>umgesetzt</t>
        </is>
      </c>
    </row>
    <row r="27" ht="28" customHeight="1">
      <c r="B27" s="123" t="inlineStr">
        <is>
          <t>Geplanter Wartungsaufwand</t>
        </is>
      </c>
      <c r="C27" s="19" t="inlineStr">
        <is>
          <t>Σ (52 / Intervall × Plan-Zeit)</t>
        </is>
      </c>
      <c r="D27" s="19" t="inlineStr">
        <is>
          <t>Wartungsplan</t>
        </is>
      </c>
      <c r="E27" s="19" t="inlineStr">
        <is>
          <t>≤ verfügbare IH-Kapazität</t>
        </is>
      </c>
      <c r="F27" s="124" t="inlineStr">
        <is>
          <t>umgesetzt (nach Erfassung Plan-Zeiten)</t>
        </is>
      </c>
    </row>
    <row r="28" ht="28" customHeight="1">
      <c r="B28" s="123" t="inlineStr">
        <is>
          <t>OEE (Gesamtanlageneffektivität)</t>
        </is>
      </c>
      <c r="C28" s="19" t="inlineStr">
        <is>
          <t>Verfügbarkeit × Leistung × Qualität</t>
        </is>
      </c>
      <c r="D28" s="19" t="inlineStr">
        <is>
          <t>MES / BDE</t>
        </is>
      </c>
      <c r="E28" s="19" t="inlineStr">
        <is>
          <t>anlagenspezifisch, z. B. ≥ 85 %</t>
        </is>
      </c>
      <c r="F28" s="125" t="inlineStr">
        <is>
          <t>vorgeschlagen</t>
        </is>
      </c>
    </row>
    <row r="29" ht="28" customHeight="1">
      <c r="B29" s="123" t="inlineStr">
        <is>
          <t>MTBF</t>
        </is>
      </c>
      <c r="C29" s="19" t="inlineStr">
        <is>
          <t>Betriebszeit / Anzahl Ausfälle</t>
        </is>
      </c>
      <c r="D29" s="19" t="inlineStr">
        <is>
          <t>SAP-PM Störmeldungen</t>
        </is>
      </c>
      <c r="E29" s="19" t="inlineStr">
        <is>
          <t>steigend</t>
        </is>
      </c>
      <c r="F29" s="125" t="inlineStr">
        <is>
          <t>vorgeschlagen</t>
        </is>
      </c>
    </row>
    <row r="30" ht="28" customHeight="1">
      <c r="B30" s="123" t="inlineStr">
        <is>
          <t>MTTR</t>
        </is>
      </c>
      <c r="C30" s="19" t="inlineStr">
        <is>
          <t>Σ Reparaturzeit / Anzahl Ausfälle</t>
        </is>
      </c>
      <c r="D30" s="19" t="inlineStr">
        <is>
          <t>SAP-PM Störmeldungen</t>
        </is>
      </c>
      <c r="E30" s="19" t="inlineStr">
        <is>
          <t>sinkend</t>
        </is>
      </c>
      <c r="F30" s="125" t="inlineStr">
        <is>
          <t>vorgeschlagen</t>
        </is>
      </c>
    </row>
    <row r="31" ht="28" customHeight="1">
      <c r="B31" s="123" t="inlineStr">
        <is>
          <t>Anteil geplanter Instandhaltung</t>
        </is>
      </c>
      <c r="C31" s="19" t="inlineStr">
        <is>
          <t>geplante IH-Stunden / gesamte IH-Stunden</t>
        </is>
      </c>
      <c r="D31" s="19" t="inlineStr">
        <is>
          <t>SAP-PM Rückmeldungen</t>
        </is>
      </c>
      <c r="E31" s="19" t="inlineStr">
        <is>
          <t>≥ 70 %</t>
        </is>
      </c>
      <c r="F31" s="125" t="inlineStr">
        <is>
          <t>vorgeschlagen</t>
        </is>
      </c>
    </row>
  </sheetData>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worksheet>
</file>

<file path=xl/worksheets/sheet11.xml><?xml version="1.0" encoding="utf-8"?>
<worksheet xmlns="http://schemas.openxmlformats.org/spreadsheetml/2006/main">
  <sheetPr>
    <tabColor rgb="00A6A6A6"/>
    <outlinePr summaryBelow="1" summaryRight="1"/>
    <pageSetUpPr fitToPage="1"/>
  </sheetPr>
  <dimension ref="B1:F30"/>
  <sheetViews>
    <sheetView showGridLines="0" tabSelected="0" zoomScale="90" workbookViewId="0">
      <selection activeCell="A1" sqref="A1"/>
    </sheetView>
  </sheetViews>
  <sheetFormatPr baseColWidth="8" defaultRowHeight="15"/>
  <cols>
    <col width="2" customWidth="1" min="1" max="1"/>
    <col width="5" customWidth="1" min="2" max="2"/>
    <col width="22" customWidth="1" min="3" max="3"/>
    <col width="60" customWidth="1" min="4" max="4"/>
    <col width="60" customWidth="1" min="5" max="5"/>
    <col width="2" customWidth="1" min="6" max="6"/>
  </cols>
  <sheetData>
    <row r="1" ht="26" customHeight="1">
      <c r="B1" s="33" t="inlineStr">
        <is>
          <t>Änderungsprotokoll – Stand 01 (03.02.2009) → Stand 02 (Entwurf 17.10.2026)</t>
        </is>
      </c>
    </row>
    <row r="2">
      <c r="B2" s="2" t="inlineStr">
        <is>
          <t>Alle wesentlichen Änderungen mit Begründung. Kein Inhalt und keine Bewertung der Vorversion wurde entfernt.</t>
        </is>
      </c>
    </row>
    <row r="3">
      <c r="B3" s="3" t="n"/>
      <c r="C3" s="3" t="n"/>
      <c r="D3" s="3" t="n"/>
      <c r="E3" s="3" t="n"/>
      <c r="F3" s="3" t="n"/>
    </row>
    <row r="5" ht="20" customHeight="1">
      <c r="B5" s="12" t="inlineStr">
        <is>
          <t>Nr.</t>
        </is>
      </c>
      <c r="C5" s="12" t="inlineStr">
        <is>
          <t>Bereich</t>
        </is>
      </c>
      <c r="D5" s="12" t="inlineStr">
        <is>
          <t>Änderung</t>
        </is>
      </c>
      <c r="E5" s="12" t="inlineStr">
        <is>
          <t>Begründung / Nutzen</t>
        </is>
      </c>
    </row>
    <row r="6" ht="45" customHeight="1">
      <c r="B6" s="43" t="n">
        <v>1</v>
      </c>
      <c r="C6" s="123" t="inlineStr">
        <is>
          <t>Struktur</t>
        </is>
      </c>
      <c r="D6" s="19" t="inlineStr">
        <is>
          <t>8 Einzelblätter (Bedeutung F, IH, Q, AS, US, S, A, E) zu einem Blatt „Bewertungskatalog“ zusammengeführt; Inhalte vollständig übernommen.</t>
        </is>
      </c>
      <c r="E6" s="19" t="inlineStr">
        <is>
          <t>Alle Skalen auf einen Blick vergleichbar; weniger Blattwechsel beim Bewerten.</t>
        </is>
      </c>
    </row>
    <row r="7" ht="45" customHeight="1">
      <c r="B7" s="43" t="n">
        <v>2</v>
      </c>
      <c r="C7" s="123" t="inlineStr">
        <is>
          <t>Struktur</t>
        </is>
      </c>
      <c r="D7" s="19" t="inlineStr">
        <is>
          <t>Neue Blätter Deckblatt, Dashboard, Durchführungsnachweis, Anlagenübersicht, Parameter, Offene Punkte, Weiterentwicklung, Änderungsprotokoll.</t>
        </is>
      </c>
      <c r="E7" s="19" t="inlineStr">
        <is>
          <t>Klare Trennung nach Zielgruppe: Management (Dashboard), Ausführung (Plan, Nachweis), Methode (Katalog, Methodik), Steuerung (Parameter).</t>
        </is>
      </c>
    </row>
    <row r="8" ht="45" customHeight="1">
      <c r="B8" s="43" t="n">
        <v>3</v>
      </c>
      <c r="C8" s="123" t="inlineStr">
        <is>
          <t>Wartungsplan</t>
        </is>
      </c>
      <c r="D8" s="19" t="inlineStr">
        <is>
          <t>Übersichtszeichnung aus dem Kopf des Plans in eigenes Blatt „Anlagenübersicht“ verschoben, mit Positionsliste und Zuordnung.</t>
        </is>
      </c>
      <c r="E8" s="19" t="inlineStr">
        <is>
          <t>Plan beginnt direkt mit Maßnahmen; Positionen sind auffindbar; Lücken (nicht berücksichtigte Positionen) werden sichtbar.</t>
        </is>
      </c>
    </row>
    <row r="9" ht="58" customHeight="1">
      <c r="B9" s="43" t="n">
        <v>4</v>
      </c>
      <c r="C9" s="123" t="inlineStr">
        <is>
          <t>Wartungsplan</t>
        </is>
      </c>
      <c r="D9" s="19" t="inlineStr">
        <is>
          <t>Nummerierung vereinheitlicht (Baugruppe → Prüfgruppe → Maßnahme): z. B. 5.1.1 (Überschrift) → 5.2, 9.01–9.03 → 9.1–9.3, 11.1.1 (Überschrift) → 11.1. Alte Nr. in Spalte „Nr. Vorversion“ erhalten.</t>
        </is>
      </c>
      <c r="E9" s="19" t="inlineStr">
        <is>
          <t>Eindeutige, hierarchische Gliederung; Rückverfolgbarkeit zur Vorversion bleibt erhalten.</t>
        </is>
      </c>
    </row>
    <row r="10" ht="32" customHeight="1">
      <c r="B10" s="43" t="n">
        <v>5</v>
      </c>
      <c r="C10" s="123" t="inlineStr">
        <is>
          <t>Wartungsplan</t>
        </is>
      </c>
      <c r="D10" s="19" t="inlineStr">
        <is>
          <t>Positionsnummern aus Baugruppentiteln („1.)“, „3.) u. 6.)“ …) in eigene Spalte „Pos. Übersicht“ übernommen.</t>
        </is>
      </c>
      <c r="E10" s="19" t="inlineStr">
        <is>
          <t>Titel lesbarer; Positionsbezug filterbar.</t>
        </is>
      </c>
    </row>
    <row r="11" ht="71" customHeight="1">
      <c r="B11" s="43" t="n">
        <v>6</v>
      </c>
      <c r="C11" s="123" t="inlineStr">
        <is>
          <t>Wartungsplan</t>
        </is>
      </c>
      <c r="D11" s="19" t="inlineStr">
        <is>
          <t>Formulierungen vereinheitlicht (Objekt + Tätigkeit im Infinitiv, z. B. „Kolbenspiel kontrollieren“), Rechtschreibfehler korrigiert (Verschlußbalcken, Werkzuegträger, abschmiern, Riffen, vorn Arbeitsbegin …). Originaltext je Zeile in Spalte „Originaltext Vorversion“.</t>
        </is>
      </c>
      <c r="E11" s="19" t="inlineStr">
        <is>
          <t>Einheitlicher, professioneller Sprachgebrauch; kein Informationsverlust.</t>
        </is>
      </c>
    </row>
    <row r="12" ht="45" customHeight="1">
      <c r="B12" s="43" t="n">
        <v>7</v>
      </c>
      <c r="C12" s="123" t="inlineStr">
        <is>
          <t>Wartungsplan</t>
        </is>
      </c>
      <c r="D12" s="19" t="inlineStr">
        <is>
          <t>Maßnahme „Verschlussbalken abschmieren“ vor die Prüfgruppe Hydraulikzylinder gestellt (war fälschlich darunter einsortiert).</t>
        </is>
      </c>
      <c r="E12" s="19" t="inlineStr">
        <is>
          <t>Logische Zuordnung.</t>
        </is>
      </c>
    </row>
    <row r="13" ht="45" customHeight="1">
      <c r="B13" s="43" t="n">
        <v>8</v>
      </c>
      <c r="C13" s="123" t="inlineStr">
        <is>
          <t>Wartungsplan</t>
        </is>
      </c>
      <c r="D13" s="19" t="inlineStr">
        <is>
          <t>Hilfsmittel und Sollwert bei 16.2 getrennt: Hilfsmittel „Lasertemperatur-Messgerät“, Sollzustand „Öltemperatur &lt; 75 °C“.</t>
        </is>
      </c>
      <c r="E13" s="19" t="inlineStr">
        <is>
          <t>Prüfkriterium eindeutig.</t>
        </is>
      </c>
    </row>
    <row r="14" ht="32" customHeight="1">
      <c r="B14" s="43" t="n">
        <v>9</v>
      </c>
      <c r="C14" s="123" t="inlineStr">
        <is>
          <t>Wartungsplan</t>
        </is>
      </c>
      <c r="D14" s="19" t="inlineStr">
        <is>
          <t>Leere Zeile 38 entfernt; Abschnitt 17 (nur Überschrift) in Baugruppe + Maßnahme 17.1 aufgeteilt.</t>
        </is>
      </c>
      <c r="E14" s="19" t="inlineStr">
        <is>
          <t>Saubere Datenstruktur; fehlende Bewertung wird als „unvollständig“ sichtbar.</t>
        </is>
      </c>
    </row>
    <row r="15" ht="84" customHeight="1">
      <c r="B15" s="43" t="n">
        <v>10</v>
      </c>
      <c r="C15" s="123" t="inlineStr">
        <is>
          <t>Wartungsplan</t>
        </is>
      </c>
      <c r="D15" s="19" t="inlineStr">
        <is>
          <t>Neue Spalten: Art der Maßnahme, Hinweis (ersetzt Warn-/Info-Symbole durch filterbaren Text), Risikoklasse (Ampel), Intervall festgelegt + Begründung, Intervall [Wochen], Relevanz AS/Q/US, Instandsetzung bei Ausfall, Ausführung durch, Plan-Zeit, Aufwand, Baugruppe, Zeilentyp, Bewertung übernommen von.</t>
        </is>
      </c>
      <c r="E15" s="19" t="inlineStr">
        <is>
          <t>Plan wird filter- und auswertbar; Grundlage für Dashboard, Kapazitätsplanung und Auditnachweis.</t>
        </is>
      </c>
    </row>
    <row r="16" ht="32" customHeight="1">
      <c r="B16" s="43" t="n">
        <v>11</v>
      </c>
      <c r="C16" s="123" t="inlineStr">
        <is>
          <t>Wartungsplan</t>
        </is>
      </c>
      <c r="D16" s="19" t="inlineStr">
        <is>
          <t>Sollzustände für alle Maßnahmen als Vorschlag ergänzt (grau kursiv); vorhandene Sollzustände unverändert.</t>
        </is>
      </c>
      <c r="E16" s="19" t="inlineStr">
        <is>
          <t>Objektive i.O./n.i.O.-Entscheidung möglich; Vorschlagscharakter klar erkennbar.</t>
        </is>
      </c>
    </row>
    <row r="17" ht="58" customHeight="1">
      <c r="B17" s="43" t="n">
        <v>12</v>
      </c>
      <c r="C17" s="123" t="inlineStr">
        <is>
          <t>Wartungsplan</t>
        </is>
      </c>
      <c r="D17" s="19" t="inlineStr">
        <is>
          <t>Als Excel-Tabelle (tblWartungsplan) mit Filter, fixierten Kopfzeilen/Spalten, Eingabeprüfung 1–5 und Eingabehilfen je Kriterium angelegt. Druck: A3 quer, Wiederholungszeilen.</t>
        </is>
      </c>
      <c r="E17" s="19" t="inlineStr">
        <is>
          <t>Fehleingaben werden verhindert; Bewertung ohne Blattwechsel; druckfähig.</t>
        </is>
      </c>
    </row>
    <row r="18" ht="58" customHeight="1">
      <c r="B18" s="43" t="n">
        <v>13</v>
      </c>
      <c r="C18" s="123" t="inlineStr">
        <is>
          <t>Bewertung</t>
        </is>
      </c>
      <c r="D18" s="19" t="inlineStr">
        <is>
          <t>Alle 87 Bewertungen (F, IH, Q, AS, US, S, A, E, SF) unverändert übernommen; Verknüpfungen (=F44 usw.) bleiben als Verknüpfung erhalten. RPZ und Intervall jeder Maßnahme sind identisch zur Vorversion (geprüft).</t>
        </is>
      </c>
      <c r="E18" s="19" t="inlineStr">
        <is>
          <t>Bewertungssystematik und Ergebnisse bleiben erhalten.</t>
        </is>
      </c>
    </row>
    <row r="19" ht="45" customHeight="1">
      <c r="B19" s="43" t="n">
        <v>14</v>
      </c>
      <c r="C19" s="123" t="inlineStr">
        <is>
          <t>Bewertung</t>
        </is>
      </c>
      <c r="D19" s="19" t="inlineStr">
        <is>
          <t>Schichtfaktor zentral auf dem Deckblatt (Schichtmodell) statt als Einzelwert je Zeile; zeilenweise überschreibbar.</t>
        </is>
      </c>
      <c r="E19" s="19" t="inlineStr">
        <is>
          <t>Ein Wechsel des Schichtmodells wirkt konsistent auf alle Maßnahmen.</t>
        </is>
      </c>
    </row>
    <row r="20" ht="32" customHeight="1">
      <c r="B20" s="43" t="n">
        <v>15</v>
      </c>
      <c r="C20" s="123" t="inlineStr">
        <is>
          <t>Bewertung</t>
        </is>
      </c>
      <c r="D20" s="19" t="inlineStr">
        <is>
          <t>Grenzwerte (15 / 66 / 125) und Intervalle als Parameter hinterlegt statt fest in jeder Formel.</t>
        </is>
      </c>
      <c r="E20" s="19" t="inlineStr">
        <is>
          <t>Anpassung an einer Stelle; Formeln transparent.</t>
        </is>
      </c>
    </row>
    <row r="21" ht="58" customHeight="1">
      <c r="B21" s="43" t="n">
        <v>16</v>
      </c>
      <c r="C21" s="123" t="inlineStr">
        <is>
          <t>Bewertung</t>
        </is>
      </c>
      <c r="D21" s="19" t="inlineStr">
        <is>
          <t>Formellücke geschlossen: RPZ &gt; 125 und RPZ &lt; 1 lieferten keine Auswertung. Neu: Klasse „kritisch“ (&gt; 125 → 4 Wochen + Risikominderung) bzw. „gering“. Aktuell ist keine Maßnahme betroffen (max. RPZ 90).</t>
        </is>
      </c>
      <c r="E21" s="19" t="inlineStr">
        <is>
          <t>Jede vollständig bewertete Maßnahme erhält ein Intervall.</t>
        </is>
      </c>
    </row>
    <row r="22" ht="58" customHeight="1">
      <c r="B22" s="43" t="n">
        <v>17</v>
      </c>
      <c r="C22" s="123" t="inlineStr">
        <is>
          <t>Bewertung</t>
        </is>
      </c>
      <c r="D22" s="19" t="inlineStr">
        <is>
          <t>Widerspruch bereinigt: Kommentar „RPZ = B × A × E“ (ohne SF) vs. Methodik „RPZ = B × A × E × SF“ → einheitlich mit SF. Grenzen-Doku („16 &lt; RPZ &lt; 65“) an die Formel (≥ 15 / ≥ 66) angeglichen.</t>
        </is>
      </c>
      <c r="E22" s="19" t="inlineStr">
        <is>
          <t>Eindeutige Methodik.</t>
        </is>
      </c>
    </row>
    <row r="23" ht="45" customHeight="1">
      <c r="B23" s="43" t="n">
        <v>18</v>
      </c>
      <c r="C23" s="123" t="inlineStr">
        <is>
          <t>Bewertung</t>
        </is>
      </c>
      <c r="D23" s="19" t="inlineStr">
        <is>
          <t>Zeile 9.4.4 (alt 9.1.4): E war als fester Wert 3 statt als Verknüpfung eingetragen → einheitlich verknüpft (Wert unverändert 3).</t>
        </is>
      </c>
      <c r="E23" s="19" t="inlineStr">
        <is>
          <t>Konsistente Übernahmelogik.</t>
        </is>
      </c>
    </row>
    <row r="24" ht="45" customHeight="1">
      <c r="B24" s="43" t="n">
        <v>19</v>
      </c>
      <c r="C24" s="123" t="inlineStr">
        <is>
          <t>Auswertung</t>
        </is>
      </c>
      <c r="D24" s="19" t="inlineStr">
        <is>
          <t>Summenzeile der Vorversion (Σ B, Σ A, Σ E, „RPZ gesamt“ = Mittelwert nur über Zeilen 8–133 inkl. RPZ 0) durch Dashboard-Kennzahlen ersetzt.</t>
        </is>
      </c>
      <c r="E24" s="19" t="inlineStr">
        <is>
          <t>Summen von B/A/E sind fachlich nicht interpretierbar; alter Mittelwert war verzerrt (Abschnitte 19–21 fehlten). Vorversion: 28,9.</t>
        </is>
      </c>
    </row>
    <row r="25" ht="45" customHeight="1">
      <c r="B25" s="43" t="n">
        <v>20</v>
      </c>
      <c r="C25" s="123" t="inlineStr">
        <is>
          <t>Auswertung</t>
        </is>
      </c>
      <c r="D25" s="19" t="inlineStr">
        <is>
          <t>Dashboard mit Kennzahlen, Risikoverteilung, Intervallverteilung, Kriterienprofil, Risikomatrix A×E, Top-10-RPZ und Auswertung je Baugruppe (inkl. Diagrammen).</t>
        </is>
      </c>
      <c r="E25" s="19" t="inlineStr">
        <is>
          <t>Managementtaugliche Übersicht; Schwerpunkte und Handlungsbedarf sofort erkennbar.</t>
        </is>
      </c>
    </row>
    <row r="26" ht="32" customHeight="1">
      <c r="B26" s="43" t="n">
        <v>21</v>
      </c>
      <c r="C26" s="123" t="inlineStr">
        <is>
          <t>Nachweis</t>
        </is>
      </c>
      <c r="D26" s="19" t="inlineStr">
        <is>
          <t>Neues Blatt „Durchführungsnachweis“ mit Fälligkeitsberechnung und Status-Ampel.</t>
        </is>
      </c>
      <c r="E26" s="19" t="inlineStr">
        <is>
          <t>Nachweis der vorbeugenden Instandhaltung (IATF 16949, 8.5.1.5) und Termintreue-KPI.</t>
        </is>
      </c>
    </row>
    <row r="27" ht="58" customHeight="1">
      <c r="B27" s="43" t="n">
        <v>22</v>
      </c>
      <c r="C27" s="123" t="inlineStr">
        <is>
          <t>Technik</t>
        </is>
      </c>
      <c r="D27" s="19" t="inlineStr">
        <is>
          <t>Makro „NeueZeile“ entfernt; Datei als .xlsx ohne Makros.</t>
        </is>
      </c>
      <c r="E27" s="19" t="inlineStr">
        <is>
          <t>Das Makro kopierte die Kopfzeile (Zeile 6) über die aktive Zeile und überschrieb dabei Inhalte. Die Excel-Tabelle erweitert sich beim Einfügen von Zeilen selbst; .xlsx ist IT-sicherheitskonform.</t>
        </is>
      </c>
    </row>
    <row r="28" ht="45" customHeight="1">
      <c r="B28" s="43" t="n">
        <v>23</v>
      </c>
      <c r="C28" s="123" t="inlineStr">
        <is>
          <t>Technik</t>
        </is>
      </c>
      <c r="D28" s="19" t="inlineStr">
        <is>
          <t>Verwaiste Namensbereiche (_DAT1–_DAT9, TEST*) mit Verweis auf externe Datei „2006 01 03 Jahresplanung REM.xls“ entfernt.</t>
        </is>
      </c>
      <c r="E28" s="19" t="inlineStr">
        <is>
          <t>Keine Verknüpfungswarnungen beim Öffnen; keine toten Bezüge.</t>
        </is>
      </c>
    </row>
    <row r="29" ht="58" customHeight="1">
      <c r="B29" s="43" t="n">
        <v>24</v>
      </c>
      <c r="C29" s="123" t="inlineStr">
        <is>
          <t>Bilder</t>
        </is>
      </c>
      <c r="D29" s="19" t="inlineStr">
        <is>
          <t>Fotos und Detailzeichnungen in die Spalte „Objekt / Bild“ der jeweiligen Maßnahme übernommen; Übersichtszeichnung und Logo übernommen. Warn-, Info- und Elektro-Symbole als Text in Spalte „Hinweis“.</t>
        </is>
      </c>
      <c r="E29" s="19" t="inlineStr">
        <is>
          <t>Bilder bleiben erhalten und stehen eindeutig bei der Maßnahme; Hinweise sind filterbar. Hinweis: Pfeil-/Linienmarkierungen der Vorversion auf einzelnen Fotos konnten nicht übernommen werden.</t>
        </is>
      </c>
    </row>
    <row r="30" ht="58" customHeight="1">
      <c r="B30" s="43" t="n">
        <v>25</v>
      </c>
      <c r="C30" s="123" t="inlineStr">
        <is>
          <t>Dokumentenlenkung</t>
        </is>
      </c>
      <c r="D30" s="19" t="inlineStr">
        <is>
          <t>Deckblatt mit Stammdaten, Version, Freigabe (IH, Produktion, QM, Arbeitssicherheit/Umwelt), nächster Überprüfung und Änderungshistorie; einheitliche Fußzeile auf allen Blättern.</t>
        </is>
      </c>
      <c r="E30" s="19" t="inlineStr">
        <is>
          <t>Gelenktes Dokument nach IATF 16949 / ISO 9001 Kap. 7.5.</t>
        </is>
      </c>
    </row>
  </sheetData>
  <printOptions horizontalCentered="1"/>
  <pageMargins left="0.4" right="0.4" top="0.6" bottom="0.6" header="0.5" footer="0.5"/>
  <pageSetup orientation="landscape" paperSize="9" fitToHeight="0" fitToWidth="1"/>
  <headerFooter>
    <oddHeader>&amp;R&amp;"Arial"&amp;8 &amp;A</oddHeader>
    <oddFooter>&amp;L&amp;"Arial"&amp;8 Verantwortlich für Änderungen: fz-pA / H. Mrugalla&amp;C&amp;"Arial"&amp;8 Seite &amp;P von &amp;N&amp;R&amp;"Arial"&amp;8 Stand 02 (Entwurf) / 17.10.2026     Druckdatum: &amp;D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fz-pA / H. Mrugalla</dc:creator>
  <dc:title xmlns:dc="http://purl.org/dc/elements/1.1/">Wartungsintervallberechnung große Wartung – HSIM</dc:title>
  <dcterms:created xmlns:dcterms="http://purl.org/dc/terms/" xmlns:xsi="http://www.w3.org/2001/XMLSchema-instance" xsi:type="dcterms:W3CDTF">2026-10-17T18:13:33Z</dcterms:created>
  <dcterms:modified xmlns:dcterms="http://purl.org/dc/terms/" xmlns:xsi="http://www.w3.org/2001/XMLSchema-instance" xsi:type="dcterms:W3CDTF">2026-10-17T18:13:34Z</dcterms:modified>
</cp:coreProperties>
</file>