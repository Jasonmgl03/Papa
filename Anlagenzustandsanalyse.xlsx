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udit" sheetId="2" state="visible" r:id="rId2"/>
    <sheet xmlns:r="http://schemas.openxmlformats.org/officeDocument/2006/relationships" name="Maßnahmen" sheetId="3" state="visible" r:id="rId3"/>
    <sheet xmlns:r="http://schemas.openxmlformats.org/officeDocument/2006/relationships" name="Anlagenübersicht" sheetId="4" state="visible" r:id="rId4"/>
    <sheet xmlns:r="http://schemas.openxmlformats.org/officeDocument/2006/relationships" name="Kritische Ersatzteile" sheetId="5" state="visible" r:id="rId5"/>
    <sheet xmlns:r="http://schemas.openxmlformats.org/officeDocument/2006/relationships" name="Einstellungen" sheetId="6" state="visible" r:id="rId6"/>
    <sheet xmlns:r="http://schemas.openxmlformats.org/officeDocument/2006/relationships" name="Anleitung" sheetId="7" state="visible" r:id="rId7"/>
  </sheets>
  <definedNames>
    <definedName name="Gewicht_bedOK">Einstellungen!$C$5</definedName>
    <definedName name="Ampel_gruen">Einstellungen!$C$6</definedName>
    <definedName name="Ampel_gelb">Einstellungen!$C$7</definedName>
    <definedName name="KO_aktiv">Einstellungen!$C$8</definedName>
    <definedName name="Ziel_Verfuegbarkeit">Einstellungen!$C$11</definedName>
    <definedName name="Grenz_IHKQ">Einstellungen!$C$12</definedName>
    <definedName name="Risiko_hoch">Einstellungen!$C$13</definedName>
    <definedName name="Risiko_mittel">Einstellungen!$C$14</definedName>
    <definedName name="Kapitel_Liste">Einstellungen!$B$18:$B$31</definedName>
    <definedName name="L_Geltung">Einstellungen!$A$65:$A$66</definedName>
    <definedName name="L_JaNein">Einstellungen!$B$65:$B$66</definedName>
    <definedName name="L_Krit">Einstellungen!$C$65:$C$67</definedName>
    <definedName name="L_Obs">Einstellungen!$D$65:$D$68</definedName>
    <definedName name="L_Support">Einstellungen!$E$65:$E$68</definedName>
    <definedName name="L_Ausweich">Einstellungen!$F$65:$F$67</definedName>
    <definedName name="L_Option">Einstellungen!$G$65:$G$69</definedName>
    <definedName name="Aud_Nr">Audit!$A$9:$A$106</definedName>
    <definedName name="Aud_Kapitel">Audit!$B$9:$B$106</definedName>
    <definedName name="Aud_Punkt">Audit!$C$9:$C$106</definedName>
    <definedName name="Aud_Gew">Audit!$F$9:$F$106</definedName>
    <definedName name="Aud_KO">Audit!$G$9:$G$106</definedName>
    <definedName name="Aud_Bew">Audit!$H$9:$H$106</definedName>
    <definedName name="Aud_Massn">Audit!$J$9:$J$106</definedName>
    <definedName name="Aud_Verantw">Audit!$K$9:$K$106</definedName>
    <definedName name="Aud_Termin">Audit!$L$9:$L$106</definedName>
    <definedName name="Aud_Status">Audit!$N$9:$N$106</definedName>
    <definedName name="Aud_MNr">Audit!$O$9:$O$106</definedName>
    <definedName name="Aud_NIO">Audit!$Q$9:$Q$106</definedName>
    <definedName name="Anl_Eq">'Anlagenübersicht'!$B$5:$B$34</definedName>
    <definedName name="Anl_Name">'Anlagenübersicht'!$C$5:$C$34</definedName>
    <definedName name="Anl_Krit">'Anlagenübersicht'!$H$5:$H$34</definedName>
    <definedName name="Anl_Engpass">'Anlagenübersicht'!$I$5:$I$34</definedName>
    <definedName name="Anl_Verf">'Anlagenübersicht'!$J$5:$J$34</definedName>
    <definedName name="Anl_Obs">'Anlagenübersicht'!$M$5:$M$34</definedName>
    <definedName name="Anl_Support">'Anlagenübersicht'!$N$5:$N$34</definedName>
    <definedName name="Anl_Ausweich">'Anlagenübersicht'!$O$5:$O$34</definedName>
    <definedName name="Anl_Notfall">'Anlagenübersicht'!$P$5:$P$34</definedName>
    <definedName name="Anl_W">'Anlagenübersicht'!$Q$5:$Q$34</definedName>
    <definedName name="Anl_A">'Anlagenübersicht'!$R$5:$R$34</definedName>
    <definedName name="Anl_RZ">'Anlagenübersicht'!$S$5:$S$34</definedName>
    <definedName name="Anl_RK">'Anlagenübersicht'!$T$5:$T$34</definedName>
    <definedName name="Anl_Option">'Anlagenübersicht'!$U$5:$U$34</definedName>
    <definedName name="Anl_Invest">'Anlagenübersicht'!$V$5:$V$34</definedName>
    <definedName name="Anl_Key">'Anlagenübersicht'!$Z$5:$Z$34</definedName>
    <definedName name="ET_Teil">'Kritische Ersatzteile'!$C$5:$C$44</definedName>
    <definedName name="ET_Allein">'Kritische Ersatzteile'!$F$5:$F$44</definedName>
    <definedName name="ET_Status">'Kritische Ersatzteile'!$M$5:$M$44</definedName>
    <definedName name="_xlnm.Print_Area" localSheetId="0">'Dashboard'!$A$1:$Y$99</definedName>
    <definedName name="_xlnm._FilterDatabase" localSheetId="1" hidden="1">'Audit'!$A$8:$Q$106</definedName>
    <definedName name="_xlnm.Print_Titles" localSheetId="1">'Audit'!$8:$8</definedName>
    <definedName name="_xlnm.Print_Area" localSheetId="1">'Audit'!$A$1:$Q$107</definedName>
    <definedName name="_xlnm._FilterDatabase" localSheetId="2" hidden="1">'Maßnahmen'!$A$4:$I$102</definedName>
    <definedName name="_xlnm.Print_Titles" localSheetId="2">'Maßnahmen'!$4:$4</definedName>
    <definedName name="_xlnm._FilterDatabase" localSheetId="3" hidden="1">'Anlagenübersicht'!$A$4:$Y$34</definedName>
    <definedName name="_xlnm.Print_Titles" localSheetId="3">'Anlagenübersicht'!$4:$4</definedName>
    <definedName name="_xlnm.Print_Area" localSheetId="3">'Anlagenübersicht'!$A$1:$Y$35</definedName>
    <definedName name="_xlnm._FilterDatabase" localSheetId="4" hidden="1">'Kritische Ersatzteile'!$A$4:$N$44</definedName>
    <definedName name="_xlnm.Print_Titles" localSheetId="4">'Kritische Ersatzteile'!$4:$4</definedName>
  </definedNames>
  <calcPr calcId="124519" fullCalcOnLoad="1"/>
</workbook>
</file>

<file path=xl/styles.xml><?xml version="1.0" encoding="utf-8"?>
<styleSheet xmlns="http://schemas.openxmlformats.org/spreadsheetml/2006/main">
  <numFmts count="7">
    <numFmt numFmtId="164" formatCode="0.0%"/>
    <numFmt numFmtId="165" formatCode="dd.mm.yyyy"/>
    <numFmt numFmtId="166" formatCode="#,##0.0"/>
    <numFmt numFmtId="167" formatCode="#,##0 &quot;€&quot;;-#,##0 &quot;€&quot;;&quot;–&quot;"/>
    <numFmt numFmtId="168" formatCode="0.00000"/>
    <numFmt numFmtId="169" formatCode="#,##0 &quot;€&quot;"/>
    <numFmt numFmtId="170" formatCode="0;-0;&quot;·&quot;"/>
  </numFmts>
  <fonts count="30">
    <font>
      <name val="Calibri"/>
      <family val="2"/>
      <color theme="1"/>
      <sz val="11"/>
      <scheme val="minor"/>
    </font>
    <font>
      <name val="Arial"/>
      <b val="1"/>
      <color rgb="000F172A"/>
      <sz val="16"/>
    </font>
    <font>
      <name val="Arial"/>
      <color rgb="005B6678"/>
      <sz val="10"/>
    </font>
    <font>
      <name val="Arial"/>
      <b val="1"/>
      <color rgb="000F172A"/>
      <sz val="12"/>
    </font>
    <font>
      <name val="Arial"/>
      <sz val="10"/>
    </font>
    <font>
      <name val="Arial"/>
      <color rgb="000000FF"/>
      <sz val="10"/>
    </font>
    <font>
      <name val="Arial"/>
      <color rgb="005B6678"/>
      <sz val="9"/>
    </font>
    <font>
      <name val="Arial"/>
      <b val="1"/>
      <color rgb="00FFFFFF"/>
      <sz val="10"/>
    </font>
    <font>
      <name val="Arial"/>
      <b val="1"/>
      <sz val="10"/>
    </font>
    <font>
      <name val="Arial"/>
      <b val="1"/>
      <color rgb="000F172A"/>
      <sz val="10"/>
    </font>
    <font>
      <name val="Arial"/>
      <b val="1"/>
      <sz val="12"/>
    </font>
    <font>
      <name val="Arial"/>
      <color rgb="005B6678"/>
      <sz val="8"/>
    </font>
    <font>
      <name val="Arial"/>
      <b val="1"/>
      <color rgb="00C62F2F"/>
      <sz val="9"/>
    </font>
    <font>
      <name val="Arial"/>
      <color rgb="008A94A6"/>
      <sz val="8"/>
    </font>
    <font>
      <name val="Arial"/>
      <sz val="9"/>
    </font>
    <font>
      <name val="Arial"/>
      <b val="1"/>
      <color rgb="00FFFFFF"/>
      <sz val="9"/>
    </font>
    <font>
      <name val="Arial"/>
      <color rgb="00C62F2F"/>
      <sz val="9"/>
    </font>
    <font>
      <name val="Arial"/>
      <b val="1"/>
      <sz val="9"/>
    </font>
    <font>
      <name val="Arial"/>
      <b val="1"/>
      <color rgb="000F172A"/>
      <sz val="18"/>
    </font>
    <font>
      <name val="Arial"/>
      <b val="1"/>
      <color rgb="005B6678"/>
      <sz val="11"/>
    </font>
    <font>
      <name val="Arial"/>
      <b val="1"/>
      <color rgb="000F172A"/>
      <sz val="11"/>
    </font>
    <font>
      <name val="Arial"/>
      <b val="1"/>
      <color rgb="000F172A"/>
      <sz val="20"/>
    </font>
    <font>
      <name val="Arial"/>
      <b val="1"/>
      <color rgb="008A94A6"/>
      <sz val="8"/>
    </font>
    <font>
      <name val="Arial"/>
      <color rgb="008A94A6"/>
      <sz val="10"/>
    </font>
    <font>
      <name val="Arial"/>
      <b val="1"/>
      <color rgb="005B6678"/>
      <sz val="8"/>
    </font>
    <font>
      <name val="Arial"/>
      <b val="1"/>
      <color rgb="000F172A"/>
      <sz val="9"/>
    </font>
    <font>
      <name val="Arial"/>
      <b val="1"/>
      <color rgb="000000FF"/>
      <sz val="10"/>
    </font>
    <font>
      <name val="Arial"/>
      <b val="1"/>
      <color rgb="001D4ED8"/>
      <sz val="10"/>
    </font>
    <font>
      <name val="Arial"/>
      <b val="1"/>
      <color rgb="00C62F2F"/>
      <sz val="10"/>
    </font>
    <font>
      <name val="Arial"/>
      <color theme="1"/>
      <sz val="11"/>
    </font>
  </fonts>
  <fills count="7">
    <fill>
      <patternFill/>
    </fill>
    <fill>
      <patternFill patternType="gray125"/>
    </fill>
    <fill>
      <patternFill patternType="solid">
        <fgColor rgb="00FFF7CC"/>
      </patternFill>
    </fill>
    <fill>
      <patternFill patternType="solid">
        <fgColor rgb="000F172A"/>
      </patternFill>
    </fill>
    <fill>
      <patternFill patternType="solid">
        <fgColor rgb="008A94A6"/>
      </patternFill>
    </fill>
    <fill>
      <patternFill patternType="solid">
        <fgColor rgb="00F4F6FA"/>
      </patternFill>
    </fill>
    <fill>
      <patternFill patternType="solid">
        <fgColor rgb="00DCEBFF"/>
      </patternFill>
    </fill>
  </fills>
  <borders count="12">
    <border>
      <left/>
      <right/>
      <top/>
      <bottom/>
      <diagonal/>
    </border>
    <border>
      <left style="thin">
        <color rgb="00D5DCE6"/>
      </left>
      <right style="thin">
        <color rgb="00D5DCE6"/>
      </right>
      <top style="thin">
        <color rgb="00D5DCE6"/>
      </top>
      <bottom style="thin">
        <color rgb="00D5DCE6"/>
      </bottom>
    </border>
    <border>
      <left/>
      <right/>
      <top style="thin">
        <color rgb="00D5DCE6"/>
      </top>
      <bottom/>
      <diagonal/>
    </border>
    <border>
      <left/>
      <right style="thin">
        <color rgb="00D5DCE6"/>
      </right>
      <top style="thin">
        <color rgb="00D5DCE6"/>
      </top>
      <bottom/>
      <diagonal/>
    </border>
    <border>
      <left/>
      <right style="thin">
        <color rgb="00D5DCE6"/>
      </right>
      <top style="thin">
        <color rgb="00D5DCE6"/>
      </top>
      <bottom style="thin">
        <color rgb="00D5DCE6"/>
      </bottom>
      <diagonal/>
    </border>
    <border>
      <left style="thin">
        <color rgb="00D5DCE6"/>
      </left>
      <right/>
      <top/>
      <bottom/>
      <diagonal/>
    </border>
    <border>
      <left style="thin">
        <color rgb="00D5DCE6"/>
      </left>
      <right style="thin">
        <color rgb="00D5DCE6"/>
      </right>
      <top/>
      <bottom/>
      <diagonal/>
    </border>
    <border>
      <left style="thin">
        <color rgb="00D5DCE6"/>
      </left>
      <right style="thin">
        <color rgb="00D5DCE6"/>
      </right>
      <top/>
      <bottom style="thin">
        <color rgb="00D5DCE6"/>
      </bottom>
      <diagonal/>
    </border>
    <border>
      <bottom style="thin">
        <color rgb="00D5DCE6"/>
      </bottom>
    </border>
    <border>
      <bottom style="medium">
        <color rgb="000F172A"/>
      </bottom>
    </border>
    <border>
      <left style="thick">
        <color rgb="00FFFFFF"/>
      </left>
      <right style="thick">
        <color rgb="00FFFFFF"/>
      </right>
    </border>
    <border>
      <top style="thin">
        <color rgb="000F172A"/>
      </top>
      <bottom style="thin">
        <color rgb="000F172A"/>
      </bottom>
    </border>
  </borders>
  <cellStyleXfs count="1">
    <xf numFmtId="0" fontId="0" fillId="0" borderId="0"/>
  </cellStyleXfs>
  <cellXfs count="95">
    <xf numFmtId="0" fontId="0" fillId="0" borderId="0" pivotButton="0" quotePrefix="0" xfId="0"/>
    <xf numFmtId="0" fontId="29" fillId="0" borderId="0" pivotButton="0" quotePrefix="0" xfId="0"/>
    <xf numFmtId="0" fontId="18" fillId="0" borderId="0" applyAlignment="1" pivotButton="0" quotePrefix="0" xfId="0">
      <alignment vertical="center"/>
    </xf>
    <xf numFmtId="0" fontId="19" fillId="0" borderId="0" applyAlignment="1" pivotButton="0" quotePrefix="0" xfId="0">
      <alignment horizontal="left" vertical="center"/>
    </xf>
    <xf numFmtId="0" fontId="6" fillId="0" borderId="0" pivotButton="0" quotePrefix="0" xfId="0"/>
    <xf numFmtId="0" fontId="11" fillId="0" borderId="0" pivotButton="0" quotePrefix="0" xfId="0"/>
    <xf numFmtId="0" fontId="9" fillId="0" borderId="8" pivotButton="0" quotePrefix="0" xfId="0"/>
    <xf numFmtId="0" fontId="29" fillId="0" borderId="8" pivotButton="0" quotePrefix="0" xfId="0"/>
    <xf numFmtId="165" fontId="9" fillId="0" borderId="8" pivotButton="0" quotePrefix="0" xfId="0"/>
    <xf numFmtId="0" fontId="20" fillId="0" borderId="9" applyAlignment="1" pivotButton="0" quotePrefix="0" xfId="0">
      <alignment vertical="center"/>
    </xf>
    <xf numFmtId="0" fontId="29" fillId="0" borderId="9" pivotButton="0" quotePrefix="0" xfId="0"/>
    <xf numFmtId="0" fontId="11" fillId="5" borderId="10" applyAlignment="1" pivotButton="0" quotePrefix="0" xfId="0">
      <alignment horizontal="center" vertical="center"/>
    </xf>
    <xf numFmtId="0" fontId="29" fillId="5" borderId="10" pivotButton="0" quotePrefix="0" xfId="0"/>
    <xf numFmtId="9" fontId="21" fillId="5" borderId="10" applyAlignment="1" pivotButton="0" quotePrefix="0" xfId="0">
      <alignment horizontal="center" vertical="center"/>
    </xf>
    <xf numFmtId="0" fontId="21" fillId="5" borderId="10" applyAlignment="1" pivotButton="0" quotePrefix="0" xfId="0">
      <alignment horizontal="center" vertical="center"/>
    </xf>
    <xf numFmtId="1" fontId="21" fillId="5" borderId="10" applyAlignment="1" pivotButton="0" quotePrefix="0" xfId="0">
      <alignment horizontal="center" vertical="center"/>
    </xf>
    <xf numFmtId="0" fontId="22" fillId="0" borderId="0" pivotButton="0" quotePrefix="0" xfId="0"/>
    <xf numFmtId="0" fontId="15" fillId="3" borderId="1" applyAlignment="1" pivotButton="0" quotePrefix="0" xfId="0">
      <alignment horizontal="left" vertical="center"/>
    </xf>
    <xf numFmtId="0" fontId="15" fillId="3" borderId="1" applyAlignment="1" pivotButton="0" quotePrefix="0" xfId="0">
      <alignment horizontal="center" vertical="center" wrapText="1"/>
    </xf>
    <xf numFmtId="0" fontId="4" fillId="0" borderId="1" applyAlignment="1" pivotButton="0" quotePrefix="0" xfId="0">
      <alignment horizontal="left" vertical="center"/>
    </xf>
    <xf numFmtId="0" fontId="4" fillId="0" borderId="1" applyAlignment="1" pivotButton="0" quotePrefix="0" xfId="0">
      <alignment horizontal="center" vertical="center"/>
    </xf>
    <xf numFmtId="9" fontId="8" fillId="0" borderId="1" applyAlignment="1" pivotButton="0" quotePrefix="0" xfId="0">
      <alignment horizontal="center" vertical="center"/>
    </xf>
    <xf numFmtId="9" fontId="23" fillId="0" borderId="0" pivotButton="0" quotePrefix="0" xfId="0"/>
    <xf numFmtId="0" fontId="23" fillId="0" borderId="0" pivotButton="0" quotePrefix="0" xfId="0"/>
    <xf numFmtId="0" fontId="8" fillId="5" borderId="11" applyAlignment="1" pivotButton="0" quotePrefix="0" xfId="0">
      <alignment horizontal="left" vertical="center"/>
    </xf>
    <xf numFmtId="0" fontId="8" fillId="5" borderId="11" applyAlignment="1" pivotButton="0" quotePrefix="0" xfId="0">
      <alignment horizontal="center" vertical="center"/>
    </xf>
    <xf numFmtId="9" fontId="8" fillId="5" borderId="11" applyAlignment="1" pivotButton="0" quotePrefix="0" xfId="0">
      <alignment horizontal="center" vertical="center"/>
    </xf>
    <xf numFmtId="9" fontId="4" fillId="0" borderId="1" applyAlignment="1" pivotButton="0" quotePrefix="0" xfId="0">
      <alignment horizontal="right" vertical="center"/>
    </xf>
    <xf numFmtId="0" fontId="11" fillId="5" borderId="11" applyAlignment="1" pivotButton="0" quotePrefix="0" xfId="0">
      <alignment horizontal="center" vertical="center"/>
    </xf>
    <xf numFmtId="0" fontId="14" fillId="0" borderId="1" applyAlignment="1" pivotButton="0" quotePrefix="0" xfId="0">
      <alignment horizontal="center" vertical="center"/>
    </xf>
    <xf numFmtId="0" fontId="14" fillId="0" borderId="1" applyAlignment="1" pivotButton="0" quotePrefix="0" xfId="0">
      <alignment vertical="center" wrapText="1"/>
    </xf>
    <xf numFmtId="165" fontId="14" fillId="0" borderId="1" applyAlignment="1" pivotButton="0" quotePrefix="0" xfId="0">
      <alignment horizontal="center" vertical="center"/>
    </xf>
    <xf numFmtId="0" fontId="17" fillId="0" borderId="1" applyAlignment="1" pivotButton="0" quotePrefix="0" xfId="0">
      <alignment horizontal="center" vertical="center"/>
    </xf>
    <xf numFmtId="169" fontId="1" fillId="5" borderId="10" applyAlignment="1" pivotButton="0" quotePrefix="0" xfId="0">
      <alignment horizontal="center" vertical="center"/>
    </xf>
    <xf numFmtId="0" fontId="24" fillId="0" borderId="0" applyAlignment="1" pivotButton="0" quotePrefix="0" xfId="0">
      <alignment horizontal="center" vertical="center" wrapText="1"/>
    </xf>
    <xf numFmtId="0" fontId="25" fillId="5" borderId="1" applyAlignment="1" pivotButton="0" quotePrefix="0" xfId="0">
      <alignment horizontal="center" vertical="center"/>
    </xf>
    <xf numFmtId="170" fontId="20" fillId="0" borderId="1" applyAlignment="1" pivotButton="0" quotePrefix="0" xfId="0">
      <alignment horizontal="center" vertical="center"/>
    </xf>
    <xf numFmtId="0" fontId="14" fillId="0" borderId="1" applyAlignment="1" pivotButton="0" quotePrefix="0" xfId="0">
      <alignment horizontal="left" vertical="center" wrapText="1"/>
    </xf>
    <xf numFmtId="0" fontId="24" fillId="0" borderId="0" applyAlignment="1" pivotButton="0" quotePrefix="0" xfId="0">
      <alignment horizontal="center"/>
    </xf>
    <xf numFmtId="167" fontId="4" fillId="0" borderId="1" applyAlignment="1" pivotButton="0" quotePrefix="0" xfId="0">
      <alignment horizontal="right" vertical="center"/>
    </xf>
    <xf numFmtId="0" fontId="14" fillId="0" borderId="1" applyAlignment="1" pivotButton="0" quotePrefix="0" xfId="0">
      <alignment horizontal="left" vertical="center"/>
    </xf>
    <xf numFmtId="0" fontId="8" fillId="0" borderId="1" applyAlignment="1" pivotButton="0" quotePrefix="0" xfId="0">
      <alignment horizontal="center" vertical="center"/>
    </xf>
    <xf numFmtId="0" fontId="11" fillId="0" borderId="1" applyAlignment="1" pivotButton="0" quotePrefix="0" xfId="0">
      <alignment horizontal="left" vertical="center"/>
    </xf>
    <xf numFmtId="167" fontId="8" fillId="5" borderId="11" applyAlignment="1" pivotButton="0" quotePrefix="0" xfId="0">
      <alignment horizontal="right" vertical="center"/>
    </xf>
    <xf numFmtId="0" fontId="1" fillId="0" borderId="0" pivotButton="0" quotePrefix="0" xfId="0"/>
    <xf numFmtId="0" fontId="2" fillId="0" borderId="0" pivotButton="0" quotePrefix="0" xfId="0"/>
    <xf numFmtId="0" fontId="9" fillId="0" borderId="0" pivotButton="0" quotePrefix="0" xfId="0"/>
    <xf numFmtId="0" fontId="8" fillId="0" borderId="0" applyAlignment="1" pivotButton="0" quotePrefix="0" xfId="0">
      <alignment vertical="center"/>
    </xf>
    <xf numFmtId="0" fontId="5" fillId="2" borderId="1" applyAlignment="1" pivotButton="0" quotePrefix="0" xfId="0">
      <alignment vertical="center" wrapText="1"/>
    </xf>
    <xf numFmtId="0" fontId="8" fillId="0" borderId="0" applyAlignment="1" pivotButton="0" quotePrefix="0" xfId="0">
      <alignment horizontal="right" vertical="center"/>
    </xf>
    <xf numFmtId="165" fontId="5" fillId="2" borderId="1" applyAlignment="1" pivotButton="0" quotePrefix="0" xfId="0">
      <alignment horizontal="left" vertical="center"/>
    </xf>
    <xf numFmtId="0" fontId="5" fillId="2" borderId="1" applyAlignment="1" pivotButton="0" quotePrefix="0" xfId="0">
      <alignment horizontal="left" vertical="center"/>
    </xf>
    <xf numFmtId="0" fontId="7" fillId="3" borderId="1" applyAlignment="1" pivotButton="0" quotePrefix="0" xfId="0">
      <alignment horizontal="center" vertical="center" wrapText="1"/>
    </xf>
    <xf numFmtId="1" fontId="10" fillId="0" borderId="1" applyAlignment="1" pivotButton="0" quotePrefix="0" xfId="0">
      <alignment horizontal="center" vertical="center"/>
    </xf>
    <xf numFmtId="9" fontId="10" fillId="0" borderId="1" applyAlignment="1" pivotButton="0" quotePrefix="0" xfId="0">
      <alignment horizontal="center" vertical="center"/>
    </xf>
    <xf numFmtId="0" fontId="11" fillId="0" borderId="0" applyAlignment="1" pivotButton="0" quotePrefix="0" xfId="0">
      <alignment vertical="top" wrapText="1"/>
    </xf>
    <xf numFmtId="0" fontId="29" fillId="0" borderId="7" pivotButton="0" quotePrefix="0" xfId="0"/>
    <xf numFmtId="0" fontId="4" fillId="0" borderId="1" applyAlignment="1" pivotButton="0" quotePrefix="0" xfId="0">
      <alignment horizontal="center" vertical="top"/>
    </xf>
    <xf numFmtId="0" fontId="4"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center" wrapText="1"/>
    </xf>
    <xf numFmtId="0" fontId="5" fillId="2" borderId="1" applyAlignment="1" pivotButton="0" quotePrefix="0" xfId="0">
      <alignment horizontal="center" vertical="center"/>
    </xf>
    <xf numFmtId="0" fontId="12" fillId="2" borderId="1" applyAlignment="1" pivotButton="0" quotePrefix="0" xfId="0">
      <alignment horizontal="center" vertical="center"/>
    </xf>
    <xf numFmtId="0" fontId="5" fillId="2" borderId="1" applyAlignment="1" pivotButton="0" quotePrefix="0" xfId="0">
      <alignment horizontal="center" vertical="center" wrapText="1"/>
    </xf>
    <xf numFmtId="0" fontId="5" fillId="2" borderId="1" applyAlignment="1" pivotButton="0" quotePrefix="0" xfId="0">
      <alignment vertical="top" wrapText="1"/>
    </xf>
    <xf numFmtId="165" fontId="5" fillId="2" borderId="1" applyAlignment="1" pivotButton="0" quotePrefix="0" xfId="0">
      <alignment horizontal="center" vertical="center"/>
    </xf>
    <xf numFmtId="0" fontId="13" fillId="0" borderId="1" applyAlignment="1" pivotButton="0" quotePrefix="0" xfId="0">
      <alignment horizontal="center" vertical="center"/>
    </xf>
    <xf numFmtId="165" fontId="4" fillId="0" borderId="1" applyAlignment="1" pivotButton="0" quotePrefix="0" xfId="0">
      <alignment horizontal="center" vertical="center"/>
    </xf>
    <xf numFmtId="0" fontId="15" fillId="4" borderId="1" applyAlignment="1" pivotButton="0" quotePrefix="0" xfId="0">
      <alignment horizontal="center" vertical="center" wrapText="1"/>
    </xf>
    <xf numFmtId="1" fontId="5" fillId="2" borderId="1" applyAlignment="1" pivotButton="0" quotePrefix="0" xfId="0">
      <alignment horizontal="center" vertical="center"/>
    </xf>
    <xf numFmtId="1" fontId="4" fillId="0" borderId="1" applyAlignment="1" pivotButton="0" quotePrefix="0" xfId="0">
      <alignment horizontal="center" vertical="center"/>
    </xf>
    <xf numFmtId="164" fontId="5" fillId="2" borderId="1" applyAlignment="1" pivotButton="0" quotePrefix="0" xfId="0">
      <alignment horizontal="center" vertical="center"/>
    </xf>
    <xf numFmtId="3" fontId="5" fillId="2" borderId="1" applyAlignment="1" pivotButton="0" quotePrefix="0" xfId="0">
      <alignment horizontal="center" vertical="center"/>
    </xf>
    <xf numFmtId="166" fontId="5" fillId="2" borderId="1" applyAlignment="1" pivotButton="0" quotePrefix="0" xfId="0">
      <alignment horizontal="center" vertical="center"/>
    </xf>
    <xf numFmtId="167" fontId="5" fillId="2" borderId="1" applyAlignment="1" pivotButton="0" quotePrefix="0" xfId="0">
      <alignment horizontal="right" vertical="center"/>
    </xf>
    <xf numFmtId="0" fontId="16" fillId="0" borderId="1" applyAlignment="1" pivotButton="0" quotePrefix="0" xfId="0">
      <alignment vertical="center" wrapText="1"/>
    </xf>
    <xf numFmtId="168" fontId="13" fillId="0" borderId="1" applyAlignment="1" pivotButton="0" quotePrefix="0" xfId="0">
      <alignment horizontal="center" vertical="center"/>
    </xf>
    <xf numFmtId="0" fontId="17" fillId="0" borderId="1" applyAlignment="1" pivotButton="0" quotePrefix="0" xfId="0">
      <alignment vertical="center" wrapText="1"/>
    </xf>
    <xf numFmtId="0" fontId="3" fillId="0" borderId="0" pivotButton="0" quotePrefix="0" xfId="0"/>
    <xf numFmtId="0" fontId="4" fillId="0" borderId="0" pivotButton="0" quotePrefix="0" xfId="0"/>
    <xf numFmtId="9" fontId="5" fillId="2" borderId="1" applyAlignment="1" pivotButton="0" quotePrefix="0" xfId="0">
      <alignment horizontal="center" vertical="center"/>
    </xf>
    <xf numFmtId="0" fontId="4" fillId="0" borderId="1" applyAlignment="1" pivotButton="0" quotePrefix="0" xfId="0">
      <alignment horizontal="center"/>
    </xf>
    <xf numFmtId="0" fontId="5" fillId="2" borderId="1" applyAlignment="1" pivotButton="0" quotePrefix="0" xfId="0">
      <alignment vertical="center"/>
    </xf>
    <xf numFmtId="0" fontId="6" fillId="0" borderId="0" applyAlignment="1" pivotButton="0" quotePrefix="0" xfId="0">
      <alignment vertical="top" wrapText="1"/>
    </xf>
    <xf numFmtId="0" fontId="4" fillId="0" borderId="1" pivotButton="0" quotePrefix="0" xfId="0"/>
    <xf numFmtId="9" fontId="4" fillId="0" borderId="1" applyAlignment="1" pivotButton="0" quotePrefix="0" xfId="0">
      <alignment horizontal="center"/>
    </xf>
    <xf numFmtId="0" fontId="4" fillId="0" borderId="1" applyAlignment="1" pivotButton="0" quotePrefix="0" xfId="0">
      <alignment wrapText="1"/>
    </xf>
    <xf numFmtId="0" fontId="6" fillId="0" borderId="1" pivotButton="0" quotePrefix="0" xfId="0"/>
    <xf numFmtId="0" fontId="29" fillId="0" borderId="4" pivotButton="0" quotePrefix="0" xfId="0"/>
    <xf numFmtId="0" fontId="5" fillId="2" borderId="1" pivotButton="0" quotePrefix="0" xfId="0"/>
    <xf numFmtId="0" fontId="8" fillId="0" borderId="0" applyAlignment="1" pivotButton="0" quotePrefix="0" xfId="0">
      <alignment vertical="top"/>
    </xf>
    <xf numFmtId="0" fontId="4" fillId="0" borderId="0" applyAlignment="1" pivotButton="0" quotePrefix="0" xfId="0">
      <alignment vertical="top" wrapText="1"/>
    </xf>
    <xf numFmtId="0" fontId="26" fillId="2" borderId="0" applyAlignment="1" pivotButton="0" quotePrefix="0" xfId="0">
      <alignment vertical="top"/>
    </xf>
    <xf numFmtId="0" fontId="27" fillId="6" borderId="0" applyAlignment="1" pivotButton="0" quotePrefix="0" xfId="0">
      <alignment vertical="top"/>
    </xf>
    <xf numFmtId="0" fontId="28" fillId="0" borderId="0" applyAlignment="1" pivotButton="0" quotePrefix="0" xfId="0">
      <alignment vertical="top"/>
    </xf>
  </cellXfs>
  <cellStyles count="1">
    <cellStyle name="Normal" xfId="0" builtinId="0" hidden="0"/>
  </cellStyles>
  <dxfs count="17">
    <dxf>
      <fill>
        <patternFill patternType="solid">
          <bgColor rgb="00D3F0DB"/>
        </patternFill>
      </fill>
    </dxf>
    <dxf>
      <fill>
        <patternFill patternType="solid">
          <bgColor rgb="00FCEBC2"/>
        </patternFill>
      </fill>
    </dxf>
    <dxf>
      <font>
        <color rgb="00C62F2F"/>
      </font>
      <fill>
        <patternFill patternType="solid">
          <bgColor rgb="00FBDADA"/>
        </patternFill>
      </fill>
    </dxf>
    <dxf>
      <font>
        <color rgb="00C62F2F"/>
      </font>
    </dxf>
    <dxf>
      <font>
        <b val="1"/>
        <color rgb="00C62F2F"/>
      </font>
    </dxf>
    <dxf>
      <fill>
        <patternFill patternType="solid">
          <bgColor rgb="00FBDADA"/>
        </patternFill>
      </fill>
    </dxf>
    <dxf>
      <font>
        <b val="1"/>
      </font>
      <fill>
        <patternFill patternType="solid">
          <bgColor rgb="00FBDADA"/>
        </patternFill>
      </fill>
    </dxf>
    <dxf>
      <font>
        <b val="1"/>
      </font>
      <fill>
        <patternFill patternType="solid">
          <bgColor rgb="00FCEBC2"/>
        </patternFill>
      </fill>
    </dxf>
    <dxf>
      <font>
        <b val="1"/>
      </font>
      <fill>
        <patternFill patternType="solid">
          <bgColor rgb="00D3F0DB"/>
        </patternFill>
      </fill>
    </dxf>
    <dxf>
      <font>
        <b val="1"/>
        <color rgb="00C62F2F"/>
      </font>
      <fill>
        <patternFill patternType="solid">
          <bgColor rgb="00FBDADA"/>
        </patternFill>
      </fill>
    </dxf>
    <dxf>
      <font>
        <b val="1"/>
        <color rgb="00FFFFFF"/>
      </font>
      <fill>
        <patternFill patternType="solid">
          <bgColor rgb="00C62F2F"/>
        </patternFill>
      </fill>
    </dxf>
    <dxf>
      <font>
        <b val="1"/>
        <color rgb="000F172A"/>
      </font>
      <fill>
        <patternFill patternType="solid">
          <bgColor rgb="00F0A812"/>
        </patternFill>
      </fill>
    </dxf>
    <dxf>
      <font>
        <b val="1"/>
        <color rgb="00FFFFFF"/>
      </font>
      <fill>
        <patternFill patternType="solid">
          <bgColor rgb="0013A13D"/>
        </patternFill>
      </fill>
    </dxf>
    <dxf>
      <font>
        <b val="1"/>
        <color rgb="00FFFFFF"/>
      </font>
      <fill>
        <patternFill patternType="solid">
          <bgColor rgb="008A94A6"/>
        </patternFill>
      </fill>
    </dxf>
    <dxf>
      <fill>
        <patternFill patternType="solid">
          <bgColor rgb="00DCEBFF"/>
        </patternFill>
      </fill>
    </dxf>
    <dxf>
      <font>
        <b val="1"/>
        <color rgb="001D4ED8"/>
      </font>
      <fill>
        <patternFill patternType="solid">
          <bgColor rgb="00DCEBFF"/>
        </patternFill>
      </fill>
    </dxf>
    <dxf>
      <font>
        <b val="1"/>
        <color rgb="000F172A"/>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plotArea>
      <barChart>
        <barDir val="bar"/>
        <grouping val="stacked"/>
        <ser>
          <idx val="0"/>
          <order val="0"/>
          <tx>
            <strRef>
              <f>'Dashboard'!AB12</f>
            </strRef>
          </tx>
          <spPr>
            <a:solidFill xmlns:a="http://schemas.openxmlformats.org/drawingml/2006/main">
              <a:srgbClr val="13A13D"/>
            </a:solidFill>
            <a:ln xmlns:a="http://schemas.openxmlformats.org/drawingml/2006/main">
              <a:noFill/>
              <a:prstDash val="solid"/>
            </a:ln>
          </spPr>
          <dLbls>
            <numFmt formatCode="0%"/>
            <txPr>
              <a:bodyPr xmlns:a="http://schemas.openxmlformats.org/drawingml/2006/main"/>
              <a:p xmlns:a="http://schemas.openxmlformats.org/drawingml/2006/main">
                <a:pPr>
                  <a:defRPr sz="800" b="1">
                    <a:solidFill>
                      <a:srgbClr val="FFFFFF"/>
                    </a:solidFill>
                    <a:latin typeface="Arial"/>
                  </a:defRPr>
                </a:pPr>
                <a:r>
                  <a:t/>
                </a:r>
                <a:endParaRPr/>
              </a:p>
            </txPr>
            <dLblPos val="inEnd"/>
            <showLegendKey val="0"/>
            <showVal val="1"/>
            <showCatName val="0"/>
            <showSerName val="0"/>
            <showPercent val="0"/>
          </dLbls>
          <cat>
            <numRef>
              <f>'Dashboard'!$B$13:$B$26</f>
            </numRef>
          </cat>
          <val>
            <numRef>
              <f>'Dashboard'!$AB$13:$AB$26</f>
            </numRef>
          </val>
        </ser>
        <ser>
          <idx val="1"/>
          <order val="1"/>
          <tx>
            <strRef>
              <f>'Dashboard'!AC12</f>
            </strRef>
          </tx>
          <spPr>
            <a:solidFill xmlns:a="http://schemas.openxmlformats.org/drawingml/2006/main">
              <a:srgbClr val="F0A812"/>
            </a:solidFill>
            <a:ln xmlns:a="http://schemas.openxmlformats.org/drawingml/2006/main">
              <a:noFill/>
              <a:prstDash val="solid"/>
            </a:ln>
          </spPr>
          <dLbls>
            <numFmt formatCode="0%"/>
            <txPr>
              <a:bodyPr xmlns:a="http://schemas.openxmlformats.org/drawingml/2006/main"/>
              <a:p xmlns:a="http://schemas.openxmlformats.org/drawingml/2006/main">
                <a:pPr>
                  <a:defRPr sz="800" b="1">
                    <a:solidFill>
                      <a:srgbClr val="FFFFFF"/>
                    </a:solidFill>
                    <a:latin typeface="Arial"/>
                  </a:defRPr>
                </a:pPr>
                <a:r>
                  <a:t/>
                </a:r>
                <a:endParaRPr/>
              </a:p>
            </txPr>
            <dLblPos val="inEnd"/>
            <showLegendKey val="0"/>
            <showVal val="1"/>
            <showCatName val="0"/>
            <showSerName val="0"/>
            <showPercent val="0"/>
          </dLbls>
          <cat>
            <numRef>
              <f>'Dashboard'!$B$13:$B$26</f>
            </numRef>
          </cat>
          <val>
            <numRef>
              <f>'Dashboard'!$AC$13:$AC$26</f>
            </numRef>
          </val>
        </ser>
        <ser>
          <idx val="2"/>
          <order val="2"/>
          <tx>
            <strRef>
              <f>'Dashboard'!AD12</f>
            </strRef>
          </tx>
          <spPr>
            <a:solidFill xmlns:a="http://schemas.openxmlformats.org/drawingml/2006/main">
              <a:srgbClr val="C62F2F"/>
            </a:solidFill>
            <a:ln xmlns:a="http://schemas.openxmlformats.org/drawingml/2006/main">
              <a:noFill/>
              <a:prstDash val="solid"/>
            </a:ln>
          </spPr>
          <dLbls>
            <numFmt formatCode="0%"/>
            <txPr>
              <a:bodyPr xmlns:a="http://schemas.openxmlformats.org/drawingml/2006/main"/>
              <a:p xmlns:a="http://schemas.openxmlformats.org/drawingml/2006/main">
                <a:pPr>
                  <a:defRPr sz="800" b="1">
                    <a:solidFill>
                      <a:srgbClr val="FFFFFF"/>
                    </a:solidFill>
                    <a:latin typeface="Arial"/>
                  </a:defRPr>
                </a:pPr>
                <a:r>
                  <a:t/>
                </a:r>
                <a:endParaRPr/>
              </a:p>
            </txPr>
            <dLblPos val="inEnd"/>
            <showLegendKey val="0"/>
            <showVal val="1"/>
            <showCatName val="0"/>
            <showSerName val="0"/>
            <showPercent val="0"/>
          </dLbls>
          <cat>
            <numRef>
              <f>'Dashboard'!$B$13:$B$26</f>
            </numRef>
          </cat>
          <val>
            <numRef>
              <f>'Dashboard'!$AD$13:$AD$26</f>
            </numRef>
          </val>
        </ser>
        <gapWidth val="45"/>
        <overlap val="100"/>
        <axId val="10"/>
        <axId val="100"/>
      </barChart>
      <catAx>
        <axId val="10"/>
        <scaling>
          <orientation val="maxMin"/>
        </scaling>
        <delete val="0"/>
        <axPos val="l"/>
        <majorTickMark val="none"/>
        <minorTickMark val="none"/>
        <spPr>
          <a:ln xmlns:a="http://schemas.openxmlformats.org/drawingml/2006/main">
            <a:solidFill>
              <a:srgbClr val="D5DCE6"/>
            </a:solidFill>
            <a:prstDash val="solid"/>
          </a:ln>
        </spPr>
        <txPr>
          <a:bodyPr xmlns:a="http://schemas.openxmlformats.org/drawingml/2006/main"/>
          <a:p xmlns:a="http://schemas.openxmlformats.org/drawingml/2006/main">
            <a:pPr>
              <a:defRPr sz="800" b="0">
                <a:solidFill>
                  <a:srgbClr val="0F172A"/>
                </a:solidFill>
                <a:latin typeface="Arial"/>
              </a:defRPr>
            </a:pPr>
            <a:r>
              <a:t/>
            </a:r>
            <a:endParaRPr/>
          </a:p>
        </txPr>
        <crossAx val="100"/>
        <lblOffset val="100"/>
      </catAx>
      <valAx>
        <axId val="100"/>
        <scaling>
          <orientation val="minMax"/>
          <max val="1"/>
          <min val="0"/>
        </scaling>
        <delete val="0"/>
        <axPos val="l"/>
        <majorGridlines>
          <spPr>
            <a:ln xmlns:a="http://schemas.openxmlformats.org/drawingml/2006/main">
              <a:solidFill>
                <a:srgbClr val="E8ECF2"/>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678"/>
                </a:solidFill>
                <a:latin typeface="Arial"/>
              </a:defRPr>
            </a:pPr>
            <a:r>
              <a:t/>
            </a:r>
            <a:endParaRPr/>
          </a:p>
        </txPr>
        <crossAx val="10"/>
        <majorUnit val="0.2"/>
      </valAx>
    </plotArea>
    <legend>
      <legendPos val="b"/>
      <txPr>
        <a:bodyPr xmlns:a="http://schemas.openxmlformats.org/drawingml/2006/main"/>
        <a:p xmlns:a="http://schemas.openxmlformats.org/drawingml/2006/main">
          <a:pPr>
            <a:defRPr sz="800" b="0">
              <a:solidFill>
                <a:srgbClr val="0F172A"/>
              </a:solidFill>
              <a:latin typeface="Arial"/>
            </a:defRPr>
          </a:pPr>
          <a:r>
            <a:t/>
          </a:r>
          <a:endParaRPr/>
        </a:p>
      </txPr>
    </legend>
    <plotVisOnly val="1"/>
    <dispBlanksAs val="gap"/>
  </chart>
</chartSpace>
</file>

<file path=xl/charts/chart2.xml><?xml version="1.0" encoding="utf-8"?>
<chartSpace xmlns="http://schemas.openxmlformats.org/drawingml/2006/chart">
  <chart>
    <plotArea>
      <barChart>
        <barDir val="bar"/>
        <grouping val="stacked"/>
        <ser>
          <idx val="0"/>
          <order val="0"/>
          <tx>
            <strRef>
              <f>'Dashboard'!I12</f>
            </strRef>
          </tx>
          <spPr>
            <a:solidFill xmlns:a="http://schemas.openxmlformats.org/drawingml/2006/main">
              <a:srgbClr val="C62F2F"/>
            </a:solidFill>
            <a:ln xmlns:a="http://schemas.openxmlformats.org/drawingml/2006/main">
              <a:noFill/>
              <a:prstDash val="solid"/>
            </a:ln>
          </spPr>
          <cat>
            <numRef>
              <f>'Dashboard'!$B$13:$B$26</f>
            </numRef>
          </cat>
          <val>
            <numRef>
              <f>'Dashboard'!$I$13:$I$26</f>
            </numRef>
          </val>
        </ser>
        <ser>
          <idx val="1"/>
          <order val="1"/>
          <tx>
            <strRef>
              <f>'Dashboard'!J12</f>
            </strRef>
          </tx>
          <spPr>
            <a:solidFill xmlns:a="http://schemas.openxmlformats.org/drawingml/2006/main">
              <a:srgbClr val="F0A812"/>
            </a:solidFill>
            <a:ln xmlns:a="http://schemas.openxmlformats.org/drawingml/2006/main">
              <a:noFill/>
              <a:prstDash val="solid"/>
            </a:ln>
          </spPr>
          <cat>
            <numRef>
              <f>'Dashboard'!$B$13:$B$26</f>
            </numRef>
          </cat>
          <val>
            <numRef>
              <f>'Dashboard'!$J$13:$J$26</f>
            </numRef>
          </val>
        </ser>
        <ser>
          <idx val="2"/>
          <order val="2"/>
          <tx>
            <strRef>
              <f>'Dashboard'!K12</f>
            </strRef>
          </tx>
          <spPr>
            <a:solidFill xmlns:a="http://schemas.openxmlformats.org/drawingml/2006/main">
              <a:srgbClr val="13A13D"/>
            </a:solidFill>
            <a:ln xmlns:a="http://schemas.openxmlformats.org/drawingml/2006/main">
              <a:noFill/>
              <a:prstDash val="solid"/>
            </a:ln>
          </spPr>
          <cat>
            <numRef>
              <f>'Dashboard'!$B$13:$B$26</f>
            </numRef>
          </cat>
          <val>
            <numRef>
              <f>'Dashboard'!$K$13:$K$26</f>
            </numRef>
          </val>
        </ser>
        <ser>
          <idx val="3"/>
          <order val="3"/>
          <tx>
            <strRef>
              <f>'Dashboard'!L12</f>
            </strRef>
          </tx>
          <spPr>
            <a:solidFill xmlns:a="http://schemas.openxmlformats.org/drawingml/2006/main">
              <a:srgbClr val="8A94A6"/>
            </a:solidFill>
            <a:ln xmlns:a="http://schemas.openxmlformats.org/drawingml/2006/main">
              <a:noFill/>
              <a:prstDash val="solid"/>
            </a:ln>
          </spPr>
          <cat>
            <numRef>
              <f>'Dashboard'!$B$13:$B$26</f>
            </numRef>
          </cat>
          <val>
            <numRef>
              <f>'Dashboard'!$L$13:$L$26</f>
            </numRef>
          </val>
        </ser>
        <ser>
          <idx val="4"/>
          <order val="4"/>
          <tx>
            <strRef>
              <f>'Dashboard'!M12</f>
            </strRef>
          </tx>
          <spPr>
            <a:solidFill xmlns:a="http://schemas.openxmlformats.org/drawingml/2006/main">
              <a:srgbClr val="D5DCE6"/>
            </a:solidFill>
            <a:ln xmlns:a="http://schemas.openxmlformats.org/drawingml/2006/main">
              <a:noFill/>
              <a:prstDash val="solid"/>
            </a:ln>
          </spPr>
          <cat>
            <numRef>
              <f>'Dashboard'!$B$13:$B$26</f>
            </numRef>
          </cat>
          <val>
            <numRef>
              <f>'Dashboard'!$M$13:$M$26</f>
            </numRef>
          </val>
        </ser>
        <gapWidth val="45"/>
        <overlap val="100"/>
        <axId val="10"/>
        <axId val="100"/>
      </barChart>
      <catAx>
        <axId val="10"/>
        <scaling>
          <orientation val="maxMin"/>
        </scaling>
        <delete val="0"/>
        <axPos val="l"/>
        <majorTickMark val="none"/>
        <minorTickMark val="none"/>
        <spPr>
          <a:ln xmlns:a="http://schemas.openxmlformats.org/drawingml/2006/main">
            <a:solidFill>
              <a:srgbClr val="D5DCE6"/>
            </a:solidFill>
            <a:prstDash val="solid"/>
          </a:ln>
        </spPr>
        <txPr>
          <a:bodyPr xmlns:a="http://schemas.openxmlformats.org/drawingml/2006/main"/>
          <a:p xmlns:a="http://schemas.openxmlformats.org/drawingml/2006/main">
            <a:pPr>
              <a:defRPr sz="800" b="0">
                <a:solidFill>
                  <a:srgbClr val="0F172A"/>
                </a:solidFill>
                <a:latin typeface="Arial"/>
              </a:defRPr>
            </a:pPr>
            <a:r>
              <a:t/>
            </a:r>
            <a:endParaRPr/>
          </a:p>
        </txPr>
        <crossAx val="100"/>
        <lblOffset val="100"/>
      </catAx>
      <valAx>
        <axId val="100"/>
        <scaling>
          <orientation val="minMax"/>
          <min val="0"/>
        </scaling>
        <delete val="0"/>
        <axPos val="l"/>
        <majorGridlines>
          <spPr>
            <a:ln xmlns:a="http://schemas.openxmlformats.org/drawingml/2006/main">
              <a:solidFill>
                <a:srgbClr val="E8ECF2"/>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b="0">
                <a:solidFill>
                  <a:srgbClr val="5B6678"/>
                </a:solidFill>
                <a:latin typeface="Arial"/>
              </a:defRPr>
            </a:pPr>
            <a:r>
              <a:t/>
            </a:r>
            <a:endParaRPr/>
          </a:p>
        </txPr>
        <crossAx val="10"/>
      </valAx>
    </plotArea>
    <legend>
      <legendPos val="b"/>
      <txPr>
        <a:bodyPr xmlns:a="http://schemas.openxmlformats.org/drawingml/2006/main"/>
        <a:p xmlns:a="http://schemas.openxmlformats.org/drawingml/2006/main">
          <a:pPr>
            <a:defRPr sz="800" b="0">
              <a:solidFill>
                <a:srgbClr val="0F172A"/>
              </a:solidFill>
              <a:latin typeface="Arial"/>
            </a:defRPr>
          </a:pPr>
          <a:r>
            <a:t/>
          </a:r>
          <a:endParaRPr/>
        </a:p>
      </txPr>
    </legend>
    <plotVisOnly val="1"/>
    <dispBlanksAs val="gap"/>
  </chart>
</chartSpace>
</file>

<file path=xl/charts/chart3.xml><?xml version="1.0" encoding="utf-8"?>
<chartSpace xmlns="http://schemas.openxmlformats.org/drawingml/2006/chart">
  <chart>
    <plotArea>
      <doughnutChart>
        <varyColors val="1"/>
        <ser>
          <idx val="0"/>
          <order val="0"/>
          <spPr>
            <a:ln xmlns:a="http://schemas.openxmlformats.org/drawingml/2006/main">
              <a:prstDash val="solid"/>
            </a:ln>
          </spPr>
          <dPt>
            <idx val="0"/>
            <spPr>
              <a:solidFill xmlns:a="http://schemas.openxmlformats.org/drawingml/2006/main">
                <a:srgbClr val="C62F2F"/>
              </a:solidFill>
              <a:ln xmlns:a="http://schemas.openxmlformats.org/drawingml/2006/main">
                <a:solidFill>
                  <a:srgbClr val="FFFFFF"/>
                </a:solidFill>
                <a:prstDash val="solid"/>
              </a:ln>
            </spPr>
          </dPt>
          <dPt>
            <idx val="1"/>
            <spPr>
              <a:solidFill xmlns:a="http://schemas.openxmlformats.org/drawingml/2006/main">
                <a:srgbClr val="F0A812"/>
              </a:solidFill>
              <a:ln xmlns:a="http://schemas.openxmlformats.org/drawingml/2006/main">
                <a:solidFill>
                  <a:srgbClr val="FFFFFF"/>
                </a:solidFill>
                <a:prstDash val="solid"/>
              </a:ln>
            </spPr>
          </dPt>
          <dPt>
            <idx val="2"/>
            <spPr>
              <a:solidFill xmlns:a="http://schemas.openxmlformats.org/drawingml/2006/main">
                <a:srgbClr val="13A13D"/>
              </a:solidFill>
              <a:ln xmlns:a="http://schemas.openxmlformats.org/drawingml/2006/main">
                <a:solidFill>
                  <a:srgbClr val="FFFFFF"/>
                </a:solidFill>
                <a:prstDash val="solid"/>
              </a:ln>
            </spPr>
          </dPt>
          <dPt>
            <idx val="3"/>
            <spPr>
              <a:solidFill xmlns:a="http://schemas.openxmlformats.org/drawingml/2006/main">
                <a:srgbClr val="8A94A6"/>
              </a:solidFill>
              <a:ln xmlns:a="http://schemas.openxmlformats.org/drawingml/2006/main">
                <a:solidFill>
                  <a:srgbClr val="FFFFFF"/>
                </a:solidFill>
                <a:prstDash val="solid"/>
              </a:ln>
            </spPr>
          </dPt>
          <dPt>
            <idx val="4"/>
            <spPr>
              <a:solidFill xmlns:a="http://schemas.openxmlformats.org/drawingml/2006/main">
                <a:srgbClr val="D5DCE6"/>
              </a:solidFill>
              <a:ln xmlns:a="http://schemas.openxmlformats.org/drawingml/2006/main">
                <a:solidFill>
                  <a:srgbClr val="FFFFFF"/>
                </a:solidFill>
                <a:prstDash val="solid"/>
              </a:ln>
            </spPr>
          </dPt>
          <dLbls>
            <txPr>
              <a:bodyPr xmlns:a="http://schemas.openxmlformats.org/drawingml/2006/main"/>
              <a:p xmlns:a="http://schemas.openxmlformats.org/drawingml/2006/main">
                <a:pPr>
                  <a:defRPr sz="800" b="1">
                    <a:solidFill>
                      <a:srgbClr val="0F172A"/>
                    </a:solidFill>
                    <a:latin typeface="Arial"/>
                  </a:defRPr>
                </a:pPr>
                <a:r>
                  <a:t/>
                </a:r>
                <a:endParaRPr/>
              </a:p>
            </txPr>
            <showLegendKey val="0"/>
            <showVal val="1"/>
            <showCatName val="0"/>
            <showSerName val="0"/>
            <showPercent val="0"/>
          </dLbls>
          <cat>
            <numRef>
              <f>'Dashboard'!$AG$13:$AG$17</f>
            </numRef>
          </cat>
          <val>
            <numRef>
              <f>'Dashboard'!$AH$13:$AH$17</f>
            </numRef>
          </val>
        </ser>
        <firstSliceAng val="0"/>
        <holeSize val="60"/>
      </doughnutChart>
    </plotArea>
    <legend>
      <legendPos val="r"/>
      <txPr>
        <a:bodyPr xmlns:a="http://schemas.openxmlformats.org/drawingml/2006/main"/>
        <a:p xmlns:a="http://schemas.openxmlformats.org/drawingml/2006/main">
          <a:pPr>
            <a:defRPr sz="800" b="0">
              <a:solidFill>
                <a:srgbClr val="0F172A"/>
              </a:solidFill>
              <a:latin typeface="Arial"/>
            </a:defRPr>
          </a:pPr>
          <a:r>
            <a:t/>
          </a:r>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image" Target="/xl/media/image1.png" Id="rId4"/></Relationships>
</file>

<file path=xl/drawings/drawing1.xml><?xml version="1.0" encoding="utf-8"?>
<wsDr xmlns="http://schemas.openxmlformats.org/drawingml/2006/spreadsheetDrawing">
  <oneCellAnchor>
    <from>
      <col>1</col>
      <colOff>0</colOff>
      <row>29</row>
      <rowOff>0</rowOff>
    </from>
    <ext cx="7740000" cy="352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29</row>
      <rowOff>0</rowOff>
    </from>
    <ext cx="7380000" cy="352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18</col>
      <colOff>0</colOff>
      <row>11</row>
      <rowOff>0</rowOff>
    </from>
    <ext cx="4536000" cy="374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21</col>
      <colOff>428625</colOff>
      <row>0</row>
      <rowOff>85725</rowOff>
    </from>
    <ext cx="1350465" cy="269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F172A"/>
    <outlinePr summaryBelow="1" summaryRight="1"/>
    <pageSetUpPr/>
  </sheetPr>
  <dimension ref="A1:AH99"/>
  <sheetViews>
    <sheetView showGridLines="0" workbookViewId="0">
      <selection activeCell="A1" sqref="A1"/>
    </sheetView>
  </sheetViews>
  <sheetFormatPr baseColWidth="8" defaultRowHeight="15"/>
  <cols>
    <col width="2.3" customWidth="1" min="1" max="1"/>
    <col width="6.7" customWidth="1" min="2" max="2"/>
    <col width="9.140000000000001" customWidth="1" min="3" max="3"/>
    <col width="9.140000000000001" customWidth="1" min="4" max="4"/>
    <col width="9.140000000000001" customWidth="1" min="5" max="5"/>
    <col width="9.140000000000001" customWidth="1" min="6" max="6"/>
    <col width="9.140000000000001" customWidth="1" min="7" max="7"/>
    <col width="9.140000000000001" customWidth="1" min="8" max="8"/>
    <col width="9.140000000000001" customWidth="1" min="9" max="9"/>
    <col width="9.140000000000001" customWidth="1" min="10" max="10"/>
    <col width="9.140000000000001" customWidth="1" min="11" max="11"/>
    <col width="9.140000000000001" customWidth="1" min="12" max="12"/>
    <col width="9.140000000000001" customWidth="1" min="13" max="13"/>
    <col width="9.140000000000001" customWidth="1" min="14" max="14"/>
    <col width="9.140000000000001" customWidth="1" min="15" max="15"/>
    <col width="9.140000000000001" customWidth="1" min="16" max="16"/>
    <col width="9.140000000000001" customWidth="1" min="17" max="17"/>
    <col width="9.140000000000001" customWidth="1" min="18" max="18"/>
    <col width="9.140000000000001" customWidth="1" min="19" max="19"/>
    <col width="9.140000000000001" customWidth="1" min="20" max="20"/>
    <col width="9.140000000000001" customWidth="1" min="21" max="21"/>
    <col width="9.140000000000001" customWidth="1" min="22" max="22"/>
    <col width="9.140000000000001" customWidth="1" min="23" max="23"/>
    <col width="9.140000000000001" customWidth="1" min="24" max="24"/>
    <col width="9.140000000000001" customWidth="1" min="25" max="25"/>
    <col width="3.7" customWidth="1" min="26" max="26"/>
    <col width="11.7" customWidth="1" min="27" max="27"/>
  </cols>
  <sheetData>
    <row r="1" ht="30" customHeight="1">
      <c r="A1" s="1" t="n"/>
      <c r="B1" s="2" t="inlineStr">
        <is>
          <t>Anlagenzustandsanalyse</t>
        </is>
      </c>
      <c r="C1" s="1" t="n"/>
      <c r="D1" s="1" t="n"/>
      <c r="E1" s="1" t="n"/>
      <c r="F1" s="1" t="n"/>
      <c r="G1" s="1" t="n"/>
      <c r="H1" s="1" t="n"/>
      <c r="I1" s="1" t="n"/>
      <c r="J1" s="1" t="n"/>
      <c r="K1" s="1" t="n"/>
      <c r="L1" s="1" t="n"/>
      <c r="M1" s="1" t="n"/>
      <c r="N1" s="1" t="n"/>
      <c r="O1" s="1" t="n"/>
      <c r="P1" s="1" t="n"/>
      <c r="Q1" s="1" t="n"/>
      <c r="R1" s="3" t="inlineStr">
        <is>
          <t>Dashboard · Bewertung</t>
        </is>
      </c>
      <c r="S1" s="1" t="n"/>
      <c r="T1" s="1" t="n"/>
      <c r="U1" s="1" t="n"/>
      <c r="V1" s="1" t="n"/>
      <c r="W1" s="1" t="n"/>
      <c r="X1" s="1" t="n"/>
      <c r="Y1" s="1" t="n"/>
      <c r="Z1" s="1" t="n"/>
      <c r="AA1" s="1" t="n"/>
      <c r="AB1" s="1" t="n"/>
      <c r="AC1" s="1" t="n"/>
      <c r="AD1" s="1" t="n"/>
      <c r="AE1" s="1" t="n"/>
      <c r="AF1" s="1" t="n"/>
      <c r="AG1" s="1" t="n"/>
      <c r="AH1" s="1" t="n"/>
    </row>
    <row r="2">
      <c r="A2" s="1" t="n"/>
      <c r="B2" s="4" t="inlineStr">
        <is>
          <t>Auswertung der Blätter „Audit“, „Anlagenübersicht“ und „Kritische Ersatzteile“. Alle Werte berechnen sich automatisch – Eingaben nur in diesen Blättern.</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row>
    <row r="3" ht="12.95" customHeight="1">
      <c r="A3" s="1" t="n"/>
      <c r="B3" s="5" t="inlineStr">
        <is>
          <t>Werk / Standort</t>
        </is>
      </c>
      <c r="C3" s="1" t="n"/>
      <c r="D3" s="1" t="n"/>
      <c r="E3" s="1" t="n"/>
      <c r="F3" s="1" t="n"/>
      <c r="G3" s="1" t="n"/>
      <c r="H3" s="5" t="inlineStr">
        <is>
          <t>Anlage / Maschinengruppe</t>
        </is>
      </c>
      <c r="I3" s="1" t="n"/>
      <c r="J3" s="1" t="n"/>
      <c r="K3" s="1" t="n"/>
      <c r="L3" s="1" t="n"/>
      <c r="M3" s="1" t="n"/>
      <c r="N3" s="5" t="inlineStr">
        <is>
          <t>Datum</t>
        </is>
      </c>
      <c r="O3" s="1" t="n"/>
      <c r="P3" s="1" t="n"/>
      <c r="Q3" s="5" t="inlineStr">
        <is>
          <t>Auditor</t>
        </is>
      </c>
      <c r="R3" s="1" t="n"/>
      <c r="S3" s="1" t="n"/>
      <c r="T3" s="1" t="n"/>
      <c r="U3" s="5" t="inlineStr">
        <is>
          <t>Geltungsbereich</t>
        </is>
      </c>
      <c r="V3" s="1" t="n"/>
      <c r="W3" s="1" t="n"/>
      <c r="X3" s="1" t="n"/>
      <c r="Y3" s="1" t="n"/>
      <c r="Z3" s="1" t="n"/>
      <c r="AA3" s="1" t="n"/>
      <c r="AB3" s="1" t="n"/>
      <c r="AC3" s="1" t="n"/>
      <c r="AD3" s="1" t="n"/>
      <c r="AE3" s="1" t="n"/>
      <c r="AF3" s="1" t="n"/>
      <c r="AG3" s="1" t="n"/>
      <c r="AH3" s="1" t="n"/>
    </row>
    <row r="4" ht="18" customHeight="1">
      <c r="A4" s="1" t="n"/>
      <c r="B4" s="6">
        <f>IF(Audit!$C$3="","–",Audit!$C$3)</f>
        <v/>
      </c>
      <c r="C4" s="7" t="n"/>
      <c r="D4" s="7" t="n"/>
      <c r="E4" s="7" t="n"/>
      <c r="F4" s="7" t="n"/>
      <c r="G4" s="7" t="n"/>
      <c r="H4" s="6">
        <f>IF(Audit!$C$4="","–",Audit!$C$4)</f>
        <v/>
      </c>
      <c r="I4" s="7" t="n"/>
      <c r="J4" s="7" t="n"/>
      <c r="K4" s="7" t="n"/>
      <c r="L4" s="7" t="n"/>
      <c r="M4" s="7" t="n"/>
      <c r="N4" s="8">
        <f>IF(Audit!$E$3="","–",Audit!$E$3)</f>
        <v/>
      </c>
      <c r="O4" s="7" t="n"/>
      <c r="P4" s="7" t="n"/>
      <c r="Q4" s="6">
        <f>IF(Audit!$E$4="","–",Audit!$E$4)</f>
        <v/>
      </c>
      <c r="R4" s="7" t="n"/>
      <c r="S4" s="7" t="n"/>
      <c r="T4" s="7" t="n"/>
      <c r="U4" s="6">
        <f>IF(Audit!$E$5="","–",Audit!$E$5)</f>
        <v/>
      </c>
      <c r="V4" s="7" t="n"/>
      <c r="W4" s="7" t="n"/>
      <c r="X4" s="7" t="n"/>
      <c r="Y4" s="7" t="n"/>
      <c r="Z4" s="1" t="n"/>
      <c r="AA4" s="1" t="n"/>
      <c r="AB4" s="1" t="n"/>
      <c r="AC4" s="1" t="n"/>
      <c r="AD4" s="1" t="n"/>
      <c r="AE4" s="1" t="n"/>
      <c r="AF4" s="1" t="n"/>
      <c r="AG4" s="1" t="n"/>
      <c r="AH4" s="1" t="n"/>
    </row>
    <row r="5" ht="8.1" customHeight="1">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row>
    <row r="6" ht="20.1" customHeight="1">
      <c r="A6" s="1" t="n"/>
      <c r="B6" s="9" t="inlineStr">
        <is>
          <t>Gesamtergebnis</t>
        </is>
      </c>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 t="n"/>
      <c r="AA6" s="1" t="n"/>
      <c r="AB6" s="1" t="n"/>
      <c r="AC6" s="1" t="n"/>
      <c r="AD6" s="1" t="n"/>
      <c r="AE6" s="1" t="n"/>
      <c r="AF6" s="1" t="n"/>
      <c r="AG6" s="1" t="n"/>
      <c r="AH6" s="1" t="n"/>
    </row>
    <row r="7" ht="15.95" customHeight="1">
      <c r="A7" s="1" t="n"/>
      <c r="B7" s="11" t="inlineStr">
        <is>
          <t>Erfüllungsgrad</t>
        </is>
      </c>
      <c r="C7" s="12" t="n"/>
      <c r="D7" s="12" t="n"/>
      <c r="E7" s="11" t="inlineStr">
        <is>
          <t>Gesamtbewertung</t>
        </is>
      </c>
      <c r="F7" s="12" t="n"/>
      <c r="G7" s="12" t="n"/>
      <c r="H7" s="11" t="inlineStr">
        <is>
          <t>Prüfpunkte bewertet</t>
        </is>
      </c>
      <c r="I7" s="12" t="n"/>
      <c r="J7" s="12" t="n"/>
      <c r="K7" s="11" t="inlineStr">
        <is>
          <t>N.I.O</t>
        </is>
      </c>
      <c r="L7" s="12" t="n"/>
      <c r="M7" s="12" t="n"/>
      <c r="N7" s="11" t="inlineStr">
        <is>
          <t>bed. OK</t>
        </is>
      </c>
      <c r="O7" s="12" t="n"/>
      <c r="P7" s="12" t="n"/>
      <c r="Q7" s="11" t="inlineStr">
        <is>
          <t>K.O.-Verstöße</t>
        </is>
      </c>
      <c r="R7" s="12" t="n"/>
      <c r="S7" s="12" t="n"/>
      <c r="T7" s="11" t="inlineStr">
        <is>
          <t>Maßnahmen offen</t>
        </is>
      </c>
      <c r="U7" s="12" t="n"/>
      <c r="V7" s="12" t="n"/>
      <c r="W7" s="11" t="inlineStr">
        <is>
          <t>Maßnahmen erledigt</t>
        </is>
      </c>
      <c r="X7" s="12" t="n"/>
      <c r="Y7" s="12" t="n"/>
      <c r="Z7" s="1" t="n"/>
      <c r="AA7" s="1" t="n"/>
      <c r="AB7" s="1" t="n"/>
      <c r="AC7" s="1" t="n"/>
      <c r="AD7" s="1" t="n"/>
      <c r="AE7" s="1" t="n"/>
      <c r="AF7" s="1" t="n"/>
      <c r="AG7" s="1" t="n"/>
      <c r="AH7" s="1" t="n"/>
    </row>
    <row r="8" ht="36" customHeight="1">
      <c r="A8" s="1" t="n"/>
      <c r="B8" s="13">
        <f>Audit!$P$4</f>
        <v/>
      </c>
      <c r="C8" s="12" t="n"/>
      <c r="D8" s="12" t="n"/>
      <c r="E8" s="14">
        <f>Audit!$P$5</f>
        <v/>
      </c>
      <c r="F8" s="12" t="n"/>
      <c r="G8" s="12" t="n"/>
      <c r="H8" s="14">
        <f>(COUNTA(Aud_Punkt)-Audit!$N$4)&amp;" / "&amp;COUNTA(Aud_Punkt)</f>
        <v/>
      </c>
      <c r="I8" s="12" t="n"/>
      <c r="J8" s="12" t="n"/>
      <c r="K8" s="15">
        <f>Audit!$J$4</f>
        <v/>
      </c>
      <c r="L8" s="12" t="n"/>
      <c r="M8" s="12" t="n"/>
      <c r="N8" s="15">
        <f>Audit!$K$4</f>
        <v/>
      </c>
      <c r="O8" s="12" t="n"/>
      <c r="P8" s="12" t="n"/>
      <c r="Q8" s="15">
        <f>Audit!$O$4</f>
        <v/>
      </c>
      <c r="R8" s="12" t="n"/>
      <c r="S8" s="12" t="n"/>
      <c r="T8" s="15">
        <f>COUNTIF(Aud_Status,"offen")+COUNTIF(Aud_Status,"überfällig")</f>
        <v/>
      </c>
      <c r="U8" s="12" t="n"/>
      <c r="V8" s="12" t="n"/>
      <c r="W8" s="14">
        <f>COUNTIF(Aud_Status,"erledigt")&amp;" / "&amp;COUNT(Aud_MNr)</f>
        <v/>
      </c>
      <c r="X8" s="12" t="n"/>
      <c r="Y8" s="12" t="n"/>
      <c r="Z8" s="1" t="n"/>
      <c r="AA8" s="1" t="n"/>
      <c r="AB8" s="1" t="n"/>
      <c r="AC8" s="1" t="n"/>
      <c r="AD8" s="1" t="n"/>
      <c r="AE8" s="1" t="n"/>
      <c r="AF8" s="1" t="n"/>
      <c r="AG8" s="1" t="n"/>
      <c r="AH8" s="1" t="n"/>
    </row>
    <row r="9" ht="15.95" customHeight="1">
      <c r="A9" s="1" t="n"/>
      <c r="B9" s="11">
        <f>"Ziel: ≥ "&amp;TEXT(Ampel_gruen,"0%")</f>
        <v/>
      </c>
      <c r="C9" s="12" t="n"/>
      <c r="D9" s="12" t="n"/>
      <c r="E9" s="11">
        <f>"grün ab "&amp;TEXT(Ampel_gruen,"0%")&amp;" · gelb ab "&amp;TEXT(Ampel_gelb,"0%")</f>
        <v/>
      </c>
      <c r="F9" s="12" t="n"/>
      <c r="G9" s="12" t="n"/>
      <c r="H9" s="11">
        <f>IFERROR(TEXT((COUNTA(Aud_Punkt)-Audit!$N$4)/COUNTA(Aud_Punkt),"0%")&amp;" bewertet","")</f>
        <v/>
      </c>
      <c r="I9" s="12" t="n"/>
      <c r="J9" s="12" t="n"/>
      <c r="K9" s="11">
        <f>"nicht erfüllt"</f>
        <v/>
      </c>
      <c r="L9" s="12" t="n"/>
      <c r="M9" s="12" t="n"/>
      <c r="N9" s="11">
        <f>"teilweise erfüllt"</f>
        <v/>
      </c>
      <c r="O9" s="12" t="n"/>
      <c r="P9" s="12" t="n"/>
      <c r="Q9" s="11">
        <f>"K.O.-Punkte mit N.I.O"</f>
        <v/>
      </c>
      <c r="R9" s="12" t="n"/>
      <c r="S9" s="12" t="n"/>
      <c r="T9" s="11">
        <f>"davon überfällig: "&amp;COUNTIF(Aud_Status,"überfällig")</f>
        <v/>
      </c>
      <c r="U9" s="12" t="n"/>
      <c r="V9" s="12" t="n"/>
      <c r="W9" s="11">
        <f>IFERROR(TEXT(COUNTIF(Aud_Status,"erledigt")/COUNT(Aud_MNr),"0%")&amp;" umgesetzt","keine Maßnahmen")</f>
        <v/>
      </c>
      <c r="X9" s="12" t="n"/>
      <c r="Y9" s="12" t="n"/>
      <c r="Z9" s="1" t="n"/>
      <c r="AA9" s="1" t="n"/>
      <c r="AB9" s="1" t="n"/>
      <c r="AC9" s="1" t="n"/>
      <c r="AD9" s="1" t="n"/>
      <c r="AE9" s="1" t="n"/>
      <c r="AF9" s="1" t="n"/>
      <c r="AG9" s="1" t="n"/>
      <c r="AH9" s="1" t="n"/>
    </row>
    <row r="10" ht="9.949999999999999"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row>
    <row r="11" ht="20.1" customHeight="1">
      <c r="A11" s="1" t="n"/>
      <c r="B11" s="9" t="inlineStr">
        <is>
          <t>Ergebnis je Kapitel</t>
        </is>
      </c>
      <c r="C11" s="10" t="n"/>
      <c r="D11" s="10" t="n"/>
      <c r="E11" s="10" t="n"/>
      <c r="F11" s="10" t="n"/>
      <c r="G11" s="10" t="n"/>
      <c r="H11" s="10" t="n"/>
      <c r="I11" s="10" t="n"/>
      <c r="J11" s="10" t="n"/>
      <c r="K11" s="10" t="n"/>
      <c r="L11" s="10" t="n"/>
      <c r="M11" s="10" t="n"/>
      <c r="N11" s="10" t="n"/>
      <c r="O11" s="10" t="n"/>
      <c r="P11" s="10" t="n"/>
      <c r="Q11" s="10" t="n"/>
      <c r="R11" s="1" t="n"/>
      <c r="S11" s="9" t="inlineStr">
        <is>
          <t>Verteilung der Bewertungen</t>
        </is>
      </c>
      <c r="T11" s="10" t="n"/>
      <c r="U11" s="10" t="n"/>
      <c r="V11" s="10" t="n"/>
      <c r="W11" s="10" t="n"/>
      <c r="X11" s="10" t="n"/>
      <c r="Y11" s="10" t="n"/>
      <c r="Z11" s="1" t="n"/>
      <c r="AA11" s="16" t="inlineStr">
        <is>
          <t>Hilfswerte (nicht ändern)</t>
        </is>
      </c>
      <c r="AB11" s="1" t="n"/>
      <c r="AC11" s="1" t="n"/>
      <c r="AD11" s="1" t="n"/>
      <c r="AE11" s="1" t="n"/>
      <c r="AF11" s="1" t="n"/>
      <c r="AG11" s="1" t="n"/>
      <c r="AH11" s="1" t="n"/>
    </row>
    <row r="12" ht="26.1" customHeight="1">
      <c r="A12" s="1" t="n"/>
      <c r="B12" s="17" t="inlineStr">
        <is>
          <t>Kapitel</t>
        </is>
      </c>
      <c r="C12" s="18" t="n"/>
      <c r="D12" s="18" t="n"/>
      <c r="E12" s="18" t="n"/>
      <c r="F12" s="18" t="n"/>
      <c r="G12" s="18" t="n"/>
      <c r="H12" s="18" t="inlineStr">
        <is>
          <t>Punkte</t>
        </is>
      </c>
      <c r="I12" s="18" t="inlineStr">
        <is>
          <t>N.I.O</t>
        </is>
      </c>
      <c r="J12" s="18" t="inlineStr">
        <is>
          <t>bed. OK</t>
        </is>
      </c>
      <c r="K12" s="18" t="inlineStr">
        <is>
          <t>OK</t>
        </is>
      </c>
      <c r="L12" s="18" t="inlineStr">
        <is>
          <t>n. b.</t>
        </is>
      </c>
      <c r="M12" s="18" t="inlineStr">
        <is>
          <t>offen</t>
        </is>
      </c>
      <c r="N12" s="18" t="inlineStr">
        <is>
          <t>Erfüllungsgrad</t>
        </is>
      </c>
      <c r="O12" s="18" t="n"/>
      <c r="P12" s="18" t="inlineStr">
        <is>
          <t>Ampel</t>
        </is>
      </c>
      <c r="Q12" s="18" t="n"/>
      <c r="R12" s="1" t="n"/>
      <c r="S12" s="1" t="n"/>
      <c r="T12" s="1" t="n"/>
      <c r="U12" s="1" t="n"/>
      <c r="V12" s="1" t="n"/>
      <c r="W12" s="1" t="n"/>
      <c r="X12" s="1" t="n"/>
      <c r="Y12" s="1" t="n"/>
      <c r="Z12" s="1" t="n"/>
      <c r="AA12" s="1" t="n"/>
      <c r="AB12" s="16" t="inlineStr">
        <is>
          <t>gut</t>
        </is>
      </c>
      <c r="AC12" s="16" t="inlineStr">
        <is>
          <t>mittel</t>
        </is>
      </c>
      <c r="AD12" s="16" t="inlineStr">
        <is>
          <t>kritisch</t>
        </is>
      </c>
      <c r="AE12" s="16" t="inlineStr">
        <is>
          <t>Rang-Schlüssel</t>
        </is>
      </c>
      <c r="AF12" s="1" t="n"/>
      <c r="AG12" s="16" t="inlineStr">
        <is>
          <t>Bewertung</t>
        </is>
      </c>
      <c r="AH12" s="16" t="inlineStr">
        <is>
          <t>Anzahl</t>
        </is>
      </c>
    </row>
    <row r="13" ht="18.95" customHeight="1">
      <c r="A13" s="1" t="n"/>
      <c r="B13" s="19">
        <f>Einstellungen!$B$18</f>
        <v/>
      </c>
      <c r="C13" s="20" t="n"/>
      <c r="D13" s="20" t="n"/>
      <c r="E13" s="20" t="n"/>
      <c r="F13" s="20" t="n"/>
      <c r="G13" s="20" t="n"/>
      <c r="H13" s="20">
        <f>COUNTIFS(Aud_Kapitel,$B13,Aud_Punkt,"?*")</f>
        <v/>
      </c>
      <c r="I13" s="20">
        <f>COUNTIFS(Aud_Kapitel,$B13,Aud_Bew,"N.I.O")</f>
        <v/>
      </c>
      <c r="J13" s="20">
        <f>COUNTIFS(Aud_Kapitel,$B13,Aud_Bew,"bed. OK")</f>
        <v/>
      </c>
      <c r="K13" s="20">
        <f>COUNTIFS(Aud_Kapitel,$B13,Aud_Bew,"OK")</f>
        <v/>
      </c>
      <c r="L13" s="20">
        <f>COUNTIFS(Aud_Kapitel,$B13,Aud_Bew,"n. b.")</f>
        <v/>
      </c>
      <c r="M13" s="20">
        <f>H13-SUM(I13:L13)</f>
        <v/>
      </c>
      <c r="N13" s="21">
        <f>IFERROR((SUMIFS(Aud_Gew,Aud_Kapitel,$B13,Aud_Bew,"OK")+Gewicht_bedOK*SUMIFS(Aud_Gew,Aud_Kapitel,$B13,Aud_Bew,"bed. OK"))/(SUMIFS(Aud_Gew,Aud_Kapitel,$B13,Aud_Bew,"N.I.O")+SUMIFS(Aud_Gew,Aud_Kapitel,$B13,Aud_Bew,"bed. OK")+SUMIFS(Aud_Gew,Aud_Kapitel,$B13,Aud_Bew,"OK")),"")</f>
        <v/>
      </c>
      <c r="O13" s="20" t="n"/>
      <c r="P13" s="20">
        <f>IF($N13="","nicht bewertet",IF(AND(KO_aktiv="ja",COUNTIFS(Aud_Kapitel,$B13,Aud_KO,"K.O.",Aud_Bew,"N.I.O")&gt;0),"kritisch (K.O.)",IF($N13&gt;=Ampel_gruen,"gut",IF($N13&gt;=Ampel_gelb,"mittel","kritisch"))))</f>
        <v/>
      </c>
      <c r="Q13" s="20" t="n"/>
      <c r="R13" s="1" t="n"/>
      <c r="S13" s="1" t="n"/>
      <c r="T13" s="1" t="n"/>
      <c r="U13" s="1" t="n"/>
      <c r="V13" s="1" t="n"/>
      <c r="W13" s="1" t="n"/>
      <c r="X13" s="1" t="n"/>
      <c r="Y13" s="1" t="n"/>
      <c r="Z13" s="1" t="n"/>
      <c r="AA13" s="1" t="n"/>
      <c r="AB13" s="22">
        <f>IF($N13="","",IF($N13&gt;=Ampel_gruen,$N13,""))</f>
        <v/>
      </c>
      <c r="AC13" s="22">
        <f>IF($N13="","",IF(AND($N13&gt;=Ampel_gelb,$N13&lt;Ampel_gruen),$N13,""))</f>
        <v/>
      </c>
      <c r="AD13" s="22">
        <f>IF($N13="","",IF($N13&lt;Ampel_gelb,$N13,""))</f>
        <v/>
      </c>
      <c r="AE13" s="23">
        <f>IF($N13="","",$N13+ROW()/100000)</f>
        <v/>
      </c>
      <c r="AF13" s="1" t="n"/>
      <c r="AG13" s="23" t="inlineStr">
        <is>
          <t>N.I.O</t>
        </is>
      </c>
      <c r="AH13" s="23">
        <f>I27</f>
        <v/>
      </c>
    </row>
    <row r="14" ht="18.95" customHeight="1">
      <c r="A14" s="1" t="n"/>
      <c r="B14" s="19">
        <f>Einstellungen!$B$19</f>
        <v/>
      </c>
      <c r="C14" s="20" t="n"/>
      <c r="D14" s="20" t="n"/>
      <c r="E14" s="20" t="n"/>
      <c r="F14" s="20" t="n"/>
      <c r="G14" s="20" t="n"/>
      <c r="H14" s="20">
        <f>COUNTIFS(Aud_Kapitel,$B14,Aud_Punkt,"?*")</f>
        <v/>
      </c>
      <c r="I14" s="20">
        <f>COUNTIFS(Aud_Kapitel,$B14,Aud_Bew,"N.I.O")</f>
        <v/>
      </c>
      <c r="J14" s="20">
        <f>COUNTIFS(Aud_Kapitel,$B14,Aud_Bew,"bed. OK")</f>
        <v/>
      </c>
      <c r="K14" s="20">
        <f>COUNTIFS(Aud_Kapitel,$B14,Aud_Bew,"OK")</f>
        <v/>
      </c>
      <c r="L14" s="20">
        <f>COUNTIFS(Aud_Kapitel,$B14,Aud_Bew,"n. b.")</f>
        <v/>
      </c>
      <c r="M14" s="20">
        <f>H14-SUM(I14:L14)</f>
        <v/>
      </c>
      <c r="N14" s="21">
        <f>IFERROR((SUMIFS(Aud_Gew,Aud_Kapitel,$B14,Aud_Bew,"OK")+Gewicht_bedOK*SUMIFS(Aud_Gew,Aud_Kapitel,$B14,Aud_Bew,"bed. OK"))/(SUMIFS(Aud_Gew,Aud_Kapitel,$B14,Aud_Bew,"N.I.O")+SUMIFS(Aud_Gew,Aud_Kapitel,$B14,Aud_Bew,"bed. OK")+SUMIFS(Aud_Gew,Aud_Kapitel,$B14,Aud_Bew,"OK")),"")</f>
        <v/>
      </c>
      <c r="O14" s="20" t="n"/>
      <c r="P14" s="20">
        <f>IF($N14="","nicht bewertet",IF(AND(KO_aktiv="ja",COUNTIFS(Aud_Kapitel,$B14,Aud_KO,"K.O.",Aud_Bew,"N.I.O")&gt;0),"kritisch (K.O.)",IF($N14&gt;=Ampel_gruen,"gut",IF($N14&gt;=Ampel_gelb,"mittel","kritisch"))))</f>
        <v/>
      </c>
      <c r="Q14" s="20" t="n"/>
      <c r="R14" s="1" t="n"/>
      <c r="S14" s="1" t="n"/>
      <c r="T14" s="1" t="n"/>
      <c r="U14" s="1" t="n"/>
      <c r="V14" s="1" t="n"/>
      <c r="W14" s="1" t="n"/>
      <c r="X14" s="1" t="n"/>
      <c r="Y14" s="1" t="n"/>
      <c r="Z14" s="1" t="n"/>
      <c r="AA14" s="1" t="n"/>
      <c r="AB14" s="22">
        <f>IF($N14="","",IF($N14&gt;=Ampel_gruen,$N14,""))</f>
        <v/>
      </c>
      <c r="AC14" s="22">
        <f>IF($N14="","",IF(AND($N14&gt;=Ampel_gelb,$N14&lt;Ampel_gruen),$N14,""))</f>
        <v/>
      </c>
      <c r="AD14" s="22">
        <f>IF($N14="","",IF($N14&lt;Ampel_gelb,$N14,""))</f>
        <v/>
      </c>
      <c r="AE14" s="23">
        <f>IF($N14="","",$N14+ROW()/100000)</f>
        <v/>
      </c>
      <c r="AF14" s="1" t="n"/>
      <c r="AG14" s="23" t="inlineStr">
        <is>
          <t>bed. OK</t>
        </is>
      </c>
      <c r="AH14" s="23">
        <f>J27</f>
        <v/>
      </c>
    </row>
    <row r="15" ht="18.95" customHeight="1">
      <c r="A15" s="1" t="n"/>
      <c r="B15" s="19">
        <f>Einstellungen!$B$20</f>
        <v/>
      </c>
      <c r="C15" s="20" t="n"/>
      <c r="D15" s="20" t="n"/>
      <c r="E15" s="20" t="n"/>
      <c r="F15" s="20" t="n"/>
      <c r="G15" s="20" t="n"/>
      <c r="H15" s="20">
        <f>COUNTIFS(Aud_Kapitel,$B15,Aud_Punkt,"?*")</f>
        <v/>
      </c>
      <c r="I15" s="20">
        <f>COUNTIFS(Aud_Kapitel,$B15,Aud_Bew,"N.I.O")</f>
        <v/>
      </c>
      <c r="J15" s="20">
        <f>COUNTIFS(Aud_Kapitel,$B15,Aud_Bew,"bed. OK")</f>
        <v/>
      </c>
      <c r="K15" s="20">
        <f>COUNTIFS(Aud_Kapitel,$B15,Aud_Bew,"OK")</f>
        <v/>
      </c>
      <c r="L15" s="20">
        <f>COUNTIFS(Aud_Kapitel,$B15,Aud_Bew,"n. b.")</f>
        <v/>
      </c>
      <c r="M15" s="20">
        <f>H15-SUM(I15:L15)</f>
        <v/>
      </c>
      <c r="N15" s="21">
        <f>IFERROR((SUMIFS(Aud_Gew,Aud_Kapitel,$B15,Aud_Bew,"OK")+Gewicht_bedOK*SUMIFS(Aud_Gew,Aud_Kapitel,$B15,Aud_Bew,"bed. OK"))/(SUMIFS(Aud_Gew,Aud_Kapitel,$B15,Aud_Bew,"N.I.O")+SUMIFS(Aud_Gew,Aud_Kapitel,$B15,Aud_Bew,"bed. OK")+SUMIFS(Aud_Gew,Aud_Kapitel,$B15,Aud_Bew,"OK")),"")</f>
        <v/>
      </c>
      <c r="O15" s="20" t="n"/>
      <c r="P15" s="20">
        <f>IF($N15="","nicht bewertet",IF(AND(KO_aktiv="ja",COUNTIFS(Aud_Kapitel,$B15,Aud_KO,"K.O.",Aud_Bew,"N.I.O")&gt;0),"kritisch (K.O.)",IF($N15&gt;=Ampel_gruen,"gut",IF($N15&gt;=Ampel_gelb,"mittel","kritisch"))))</f>
        <v/>
      </c>
      <c r="Q15" s="20" t="n"/>
      <c r="R15" s="1" t="n"/>
      <c r="S15" s="1" t="n"/>
      <c r="T15" s="1" t="n"/>
      <c r="U15" s="1" t="n"/>
      <c r="V15" s="1" t="n"/>
      <c r="W15" s="1" t="n"/>
      <c r="X15" s="1" t="n"/>
      <c r="Y15" s="1" t="n"/>
      <c r="Z15" s="1" t="n"/>
      <c r="AA15" s="1" t="n"/>
      <c r="AB15" s="22">
        <f>IF($N15="","",IF($N15&gt;=Ampel_gruen,$N15,""))</f>
        <v/>
      </c>
      <c r="AC15" s="22">
        <f>IF($N15="","",IF(AND($N15&gt;=Ampel_gelb,$N15&lt;Ampel_gruen),$N15,""))</f>
        <v/>
      </c>
      <c r="AD15" s="22">
        <f>IF($N15="","",IF($N15&lt;Ampel_gelb,$N15,""))</f>
        <v/>
      </c>
      <c r="AE15" s="23">
        <f>IF($N15="","",$N15+ROW()/100000)</f>
        <v/>
      </c>
      <c r="AF15" s="1" t="n"/>
      <c r="AG15" s="23" t="inlineStr">
        <is>
          <t>OK</t>
        </is>
      </c>
      <c r="AH15" s="23">
        <f>K27</f>
        <v/>
      </c>
    </row>
    <row r="16" ht="18.95" customHeight="1">
      <c r="A16" s="1" t="n"/>
      <c r="B16" s="19">
        <f>Einstellungen!$B$21</f>
        <v/>
      </c>
      <c r="C16" s="20" t="n"/>
      <c r="D16" s="20" t="n"/>
      <c r="E16" s="20" t="n"/>
      <c r="F16" s="20" t="n"/>
      <c r="G16" s="20" t="n"/>
      <c r="H16" s="20">
        <f>COUNTIFS(Aud_Kapitel,$B16,Aud_Punkt,"?*")</f>
        <v/>
      </c>
      <c r="I16" s="20">
        <f>COUNTIFS(Aud_Kapitel,$B16,Aud_Bew,"N.I.O")</f>
        <v/>
      </c>
      <c r="J16" s="20">
        <f>COUNTIFS(Aud_Kapitel,$B16,Aud_Bew,"bed. OK")</f>
        <v/>
      </c>
      <c r="K16" s="20">
        <f>COUNTIFS(Aud_Kapitel,$B16,Aud_Bew,"OK")</f>
        <v/>
      </c>
      <c r="L16" s="20">
        <f>COUNTIFS(Aud_Kapitel,$B16,Aud_Bew,"n. b.")</f>
        <v/>
      </c>
      <c r="M16" s="20">
        <f>H16-SUM(I16:L16)</f>
        <v/>
      </c>
      <c r="N16" s="21">
        <f>IFERROR((SUMIFS(Aud_Gew,Aud_Kapitel,$B16,Aud_Bew,"OK")+Gewicht_bedOK*SUMIFS(Aud_Gew,Aud_Kapitel,$B16,Aud_Bew,"bed. OK"))/(SUMIFS(Aud_Gew,Aud_Kapitel,$B16,Aud_Bew,"N.I.O")+SUMIFS(Aud_Gew,Aud_Kapitel,$B16,Aud_Bew,"bed. OK")+SUMIFS(Aud_Gew,Aud_Kapitel,$B16,Aud_Bew,"OK")),"")</f>
        <v/>
      </c>
      <c r="O16" s="20" t="n"/>
      <c r="P16" s="20">
        <f>IF($N16="","nicht bewertet",IF(AND(KO_aktiv="ja",COUNTIFS(Aud_Kapitel,$B16,Aud_KO,"K.O.",Aud_Bew,"N.I.O")&gt;0),"kritisch (K.O.)",IF($N16&gt;=Ampel_gruen,"gut",IF($N16&gt;=Ampel_gelb,"mittel","kritisch"))))</f>
        <v/>
      </c>
      <c r="Q16" s="20" t="n"/>
      <c r="R16" s="1" t="n"/>
      <c r="S16" s="1" t="n"/>
      <c r="T16" s="1" t="n"/>
      <c r="U16" s="1" t="n"/>
      <c r="V16" s="1" t="n"/>
      <c r="W16" s="1" t="n"/>
      <c r="X16" s="1" t="n"/>
      <c r="Y16" s="1" t="n"/>
      <c r="Z16" s="1" t="n"/>
      <c r="AA16" s="1" t="n"/>
      <c r="AB16" s="22">
        <f>IF($N16="","",IF($N16&gt;=Ampel_gruen,$N16,""))</f>
        <v/>
      </c>
      <c r="AC16" s="22">
        <f>IF($N16="","",IF(AND($N16&gt;=Ampel_gelb,$N16&lt;Ampel_gruen),$N16,""))</f>
        <v/>
      </c>
      <c r="AD16" s="22">
        <f>IF($N16="","",IF($N16&lt;Ampel_gelb,$N16,""))</f>
        <v/>
      </c>
      <c r="AE16" s="23">
        <f>IF($N16="","",$N16+ROW()/100000)</f>
        <v/>
      </c>
      <c r="AF16" s="1" t="n"/>
      <c r="AG16" s="23" t="inlineStr">
        <is>
          <t>n. b.</t>
        </is>
      </c>
      <c r="AH16" s="23">
        <f>L27</f>
        <v/>
      </c>
    </row>
    <row r="17" ht="18.95" customHeight="1">
      <c r="A17" s="1" t="n"/>
      <c r="B17" s="19">
        <f>Einstellungen!$B$22</f>
        <v/>
      </c>
      <c r="C17" s="20" t="n"/>
      <c r="D17" s="20" t="n"/>
      <c r="E17" s="20" t="n"/>
      <c r="F17" s="20" t="n"/>
      <c r="G17" s="20" t="n"/>
      <c r="H17" s="20">
        <f>COUNTIFS(Aud_Kapitel,$B17,Aud_Punkt,"?*")</f>
        <v/>
      </c>
      <c r="I17" s="20">
        <f>COUNTIFS(Aud_Kapitel,$B17,Aud_Bew,"N.I.O")</f>
        <v/>
      </c>
      <c r="J17" s="20">
        <f>COUNTIFS(Aud_Kapitel,$B17,Aud_Bew,"bed. OK")</f>
        <v/>
      </c>
      <c r="K17" s="20">
        <f>COUNTIFS(Aud_Kapitel,$B17,Aud_Bew,"OK")</f>
        <v/>
      </c>
      <c r="L17" s="20">
        <f>COUNTIFS(Aud_Kapitel,$B17,Aud_Bew,"n. b.")</f>
        <v/>
      </c>
      <c r="M17" s="20">
        <f>H17-SUM(I17:L17)</f>
        <v/>
      </c>
      <c r="N17" s="21">
        <f>IFERROR((SUMIFS(Aud_Gew,Aud_Kapitel,$B17,Aud_Bew,"OK")+Gewicht_bedOK*SUMIFS(Aud_Gew,Aud_Kapitel,$B17,Aud_Bew,"bed. OK"))/(SUMIFS(Aud_Gew,Aud_Kapitel,$B17,Aud_Bew,"N.I.O")+SUMIFS(Aud_Gew,Aud_Kapitel,$B17,Aud_Bew,"bed. OK")+SUMIFS(Aud_Gew,Aud_Kapitel,$B17,Aud_Bew,"OK")),"")</f>
        <v/>
      </c>
      <c r="O17" s="20" t="n"/>
      <c r="P17" s="20">
        <f>IF($N17="","nicht bewertet",IF(AND(KO_aktiv="ja",COUNTIFS(Aud_Kapitel,$B17,Aud_KO,"K.O.",Aud_Bew,"N.I.O")&gt;0),"kritisch (K.O.)",IF($N17&gt;=Ampel_gruen,"gut",IF($N17&gt;=Ampel_gelb,"mittel","kritisch"))))</f>
        <v/>
      </c>
      <c r="Q17" s="20" t="n"/>
      <c r="R17" s="1" t="n"/>
      <c r="S17" s="1" t="n"/>
      <c r="T17" s="1" t="n"/>
      <c r="U17" s="1" t="n"/>
      <c r="V17" s="1" t="n"/>
      <c r="W17" s="1" t="n"/>
      <c r="X17" s="1" t="n"/>
      <c r="Y17" s="1" t="n"/>
      <c r="Z17" s="1" t="n"/>
      <c r="AA17" s="1" t="n"/>
      <c r="AB17" s="22">
        <f>IF($N17="","",IF($N17&gt;=Ampel_gruen,$N17,""))</f>
        <v/>
      </c>
      <c r="AC17" s="22">
        <f>IF($N17="","",IF(AND($N17&gt;=Ampel_gelb,$N17&lt;Ampel_gruen),$N17,""))</f>
        <v/>
      </c>
      <c r="AD17" s="22">
        <f>IF($N17="","",IF($N17&lt;Ampel_gelb,$N17,""))</f>
        <v/>
      </c>
      <c r="AE17" s="23">
        <f>IF($N17="","",$N17+ROW()/100000)</f>
        <v/>
      </c>
      <c r="AF17" s="1" t="n"/>
      <c r="AG17" s="23" t="inlineStr">
        <is>
          <t>offen</t>
        </is>
      </c>
      <c r="AH17" s="23">
        <f>M27</f>
        <v/>
      </c>
    </row>
    <row r="18" ht="18.95" customHeight="1">
      <c r="A18" s="1" t="n"/>
      <c r="B18" s="19">
        <f>Einstellungen!$B$23</f>
        <v/>
      </c>
      <c r="C18" s="20" t="n"/>
      <c r="D18" s="20" t="n"/>
      <c r="E18" s="20" t="n"/>
      <c r="F18" s="20" t="n"/>
      <c r="G18" s="20" t="n"/>
      <c r="H18" s="20">
        <f>COUNTIFS(Aud_Kapitel,$B18,Aud_Punkt,"?*")</f>
        <v/>
      </c>
      <c r="I18" s="20">
        <f>COUNTIFS(Aud_Kapitel,$B18,Aud_Bew,"N.I.O")</f>
        <v/>
      </c>
      <c r="J18" s="20">
        <f>COUNTIFS(Aud_Kapitel,$B18,Aud_Bew,"bed. OK")</f>
        <v/>
      </c>
      <c r="K18" s="20">
        <f>COUNTIFS(Aud_Kapitel,$B18,Aud_Bew,"OK")</f>
        <v/>
      </c>
      <c r="L18" s="20">
        <f>COUNTIFS(Aud_Kapitel,$B18,Aud_Bew,"n. b.")</f>
        <v/>
      </c>
      <c r="M18" s="20">
        <f>H18-SUM(I18:L18)</f>
        <v/>
      </c>
      <c r="N18" s="21">
        <f>IFERROR((SUMIFS(Aud_Gew,Aud_Kapitel,$B18,Aud_Bew,"OK")+Gewicht_bedOK*SUMIFS(Aud_Gew,Aud_Kapitel,$B18,Aud_Bew,"bed. OK"))/(SUMIFS(Aud_Gew,Aud_Kapitel,$B18,Aud_Bew,"N.I.O")+SUMIFS(Aud_Gew,Aud_Kapitel,$B18,Aud_Bew,"bed. OK")+SUMIFS(Aud_Gew,Aud_Kapitel,$B18,Aud_Bew,"OK")),"")</f>
        <v/>
      </c>
      <c r="O18" s="20" t="n"/>
      <c r="P18" s="20">
        <f>IF($N18="","nicht bewertet",IF(AND(KO_aktiv="ja",COUNTIFS(Aud_Kapitel,$B18,Aud_KO,"K.O.",Aud_Bew,"N.I.O")&gt;0),"kritisch (K.O.)",IF($N18&gt;=Ampel_gruen,"gut",IF($N18&gt;=Ampel_gelb,"mittel","kritisch"))))</f>
        <v/>
      </c>
      <c r="Q18" s="20" t="n"/>
      <c r="R18" s="1" t="n"/>
      <c r="S18" s="1" t="n"/>
      <c r="T18" s="1" t="n"/>
      <c r="U18" s="1" t="n"/>
      <c r="V18" s="1" t="n"/>
      <c r="W18" s="1" t="n"/>
      <c r="X18" s="1" t="n"/>
      <c r="Y18" s="1" t="n"/>
      <c r="Z18" s="1" t="n"/>
      <c r="AA18" s="1" t="n"/>
      <c r="AB18" s="22">
        <f>IF($N18="","",IF($N18&gt;=Ampel_gruen,$N18,""))</f>
        <v/>
      </c>
      <c r="AC18" s="22">
        <f>IF($N18="","",IF(AND($N18&gt;=Ampel_gelb,$N18&lt;Ampel_gruen),$N18,""))</f>
        <v/>
      </c>
      <c r="AD18" s="22">
        <f>IF($N18="","",IF($N18&lt;Ampel_gelb,$N18,""))</f>
        <v/>
      </c>
      <c r="AE18" s="23">
        <f>IF($N18="","",$N18+ROW()/100000)</f>
        <v/>
      </c>
      <c r="AF18" s="1" t="n"/>
      <c r="AG18" s="1" t="n"/>
      <c r="AH18" s="1" t="n"/>
    </row>
    <row r="19" ht="18.95" customHeight="1">
      <c r="A19" s="1" t="n"/>
      <c r="B19" s="19">
        <f>Einstellungen!$B$24</f>
        <v/>
      </c>
      <c r="C19" s="20" t="n"/>
      <c r="D19" s="20" t="n"/>
      <c r="E19" s="20" t="n"/>
      <c r="F19" s="20" t="n"/>
      <c r="G19" s="20" t="n"/>
      <c r="H19" s="20">
        <f>COUNTIFS(Aud_Kapitel,$B19,Aud_Punkt,"?*")</f>
        <v/>
      </c>
      <c r="I19" s="20">
        <f>COUNTIFS(Aud_Kapitel,$B19,Aud_Bew,"N.I.O")</f>
        <v/>
      </c>
      <c r="J19" s="20">
        <f>COUNTIFS(Aud_Kapitel,$B19,Aud_Bew,"bed. OK")</f>
        <v/>
      </c>
      <c r="K19" s="20">
        <f>COUNTIFS(Aud_Kapitel,$B19,Aud_Bew,"OK")</f>
        <v/>
      </c>
      <c r="L19" s="20">
        <f>COUNTIFS(Aud_Kapitel,$B19,Aud_Bew,"n. b.")</f>
        <v/>
      </c>
      <c r="M19" s="20">
        <f>H19-SUM(I19:L19)</f>
        <v/>
      </c>
      <c r="N19" s="21">
        <f>IFERROR((SUMIFS(Aud_Gew,Aud_Kapitel,$B19,Aud_Bew,"OK")+Gewicht_bedOK*SUMIFS(Aud_Gew,Aud_Kapitel,$B19,Aud_Bew,"bed. OK"))/(SUMIFS(Aud_Gew,Aud_Kapitel,$B19,Aud_Bew,"N.I.O")+SUMIFS(Aud_Gew,Aud_Kapitel,$B19,Aud_Bew,"bed. OK")+SUMIFS(Aud_Gew,Aud_Kapitel,$B19,Aud_Bew,"OK")),"")</f>
        <v/>
      </c>
      <c r="O19" s="20" t="n"/>
      <c r="P19" s="20">
        <f>IF($N19="","nicht bewertet",IF(AND(KO_aktiv="ja",COUNTIFS(Aud_Kapitel,$B19,Aud_KO,"K.O.",Aud_Bew,"N.I.O")&gt;0),"kritisch (K.O.)",IF($N19&gt;=Ampel_gruen,"gut",IF($N19&gt;=Ampel_gelb,"mittel","kritisch"))))</f>
        <v/>
      </c>
      <c r="Q19" s="20" t="n"/>
      <c r="R19" s="1" t="n"/>
      <c r="S19" s="1" t="n"/>
      <c r="T19" s="1" t="n"/>
      <c r="U19" s="1" t="n"/>
      <c r="V19" s="1" t="n"/>
      <c r="W19" s="1" t="n"/>
      <c r="X19" s="1" t="n"/>
      <c r="Y19" s="1" t="n"/>
      <c r="Z19" s="1" t="n"/>
      <c r="AA19" s="1" t="n"/>
      <c r="AB19" s="22">
        <f>IF($N19="","",IF($N19&gt;=Ampel_gruen,$N19,""))</f>
        <v/>
      </c>
      <c r="AC19" s="22">
        <f>IF($N19="","",IF(AND($N19&gt;=Ampel_gelb,$N19&lt;Ampel_gruen),$N19,""))</f>
        <v/>
      </c>
      <c r="AD19" s="22">
        <f>IF($N19="","",IF($N19&lt;Ampel_gelb,$N19,""))</f>
        <v/>
      </c>
      <c r="AE19" s="23">
        <f>IF($N19="","",$N19+ROW()/100000)</f>
        <v/>
      </c>
      <c r="AF19" s="1" t="n"/>
      <c r="AG19" s="1" t="n"/>
      <c r="AH19" s="1" t="n"/>
    </row>
    <row r="20" ht="18.95" customHeight="1">
      <c r="A20" s="1" t="n"/>
      <c r="B20" s="19">
        <f>Einstellungen!$B$25</f>
        <v/>
      </c>
      <c r="C20" s="20" t="n"/>
      <c r="D20" s="20" t="n"/>
      <c r="E20" s="20" t="n"/>
      <c r="F20" s="20" t="n"/>
      <c r="G20" s="20" t="n"/>
      <c r="H20" s="20">
        <f>COUNTIFS(Aud_Kapitel,$B20,Aud_Punkt,"?*")</f>
        <v/>
      </c>
      <c r="I20" s="20">
        <f>COUNTIFS(Aud_Kapitel,$B20,Aud_Bew,"N.I.O")</f>
        <v/>
      </c>
      <c r="J20" s="20">
        <f>COUNTIFS(Aud_Kapitel,$B20,Aud_Bew,"bed. OK")</f>
        <v/>
      </c>
      <c r="K20" s="20">
        <f>COUNTIFS(Aud_Kapitel,$B20,Aud_Bew,"OK")</f>
        <v/>
      </c>
      <c r="L20" s="20">
        <f>COUNTIFS(Aud_Kapitel,$B20,Aud_Bew,"n. b.")</f>
        <v/>
      </c>
      <c r="M20" s="20">
        <f>H20-SUM(I20:L20)</f>
        <v/>
      </c>
      <c r="N20" s="21">
        <f>IFERROR((SUMIFS(Aud_Gew,Aud_Kapitel,$B20,Aud_Bew,"OK")+Gewicht_bedOK*SUMIFS(Aud_Gew,Aud_Kapitel,$B20,Aud_Bew,"bed. OK"))/(SUMIFS(Aud_Gew,Aud_Kapitel,$B20,Aud_Bew,"N.I.O")+SUMIFS(Aud_Gew,Aud_Kapitel,$B20,Aud_Bew,"bed. OK")+SUMIFS(Aud_Gew,Aud_Kapitel,$B20,Aud_Bew,"OK")),"")</f>
        <v/>
      </c>
      <c r="O20" s="20" t="n"/>
      <c r="P20" s="20">
        <f>IF($N20="","nicht bewertet",IF(AND(KO_aktiv="ja",COUNTIFS(Aud_Kapitel,$B20,Aud_KO,"K.O.",Aud_Bew,"N.I.O")&gt;0),"kritisch (K.O.)",IF($N20&gt;=Ampel_gruen,"gut",IF($N20&gt;=Ampel_gelb,"mittel","kritisch"))))</f>
        <v/>
      </c>
      <c r="Q20" s="20" t="n"/>
      <c r="R20" s="1" t="n"/>
      <c r="S20" s="1" t="n"/>
      <c r="T20" s="1" t="n"/>
      <c r="U20" s="1" t="n"/>
      <c r="V20" s="1" t="n"/>
      <c r="W20" s="1" t="n"/>
      <c r="X20" s="1" t="n"/>
      <c r="Y20" s="1" t="n"/>
      <c r="Z20" s="1" t="n"/>
      <c r="AA20" s="1" t="n"/>
      <c r="AB20" s="22">
        <f>IF($N20="","",IF($N20&gt;=Ampel_gruen,$N20,""))</f>
        <v/>
      </c>
      <c r="AC20" s="22">
        <f>IF($N20="","",IF(AND($N20&gt;=Ampel_gelb,$N20&lt;Ampel_gruen),$N20,""))</f>
        <v/>
      </c>
      <c r="AD20" s="22">
        <f>IF($N20="","",IF($N20&lt;Ampel_gelb,$N20,""))</f>
        <v/>
      </c>
      <c r="AE20" s="23">
        <f>IF($N20="","",$N20+ROW()/100000)</f>
        <v/>
      </c>
      <c r="AF20" s="1" t="n"/>
      <c r="AG20" s="1" t="n"/>
      <c r="AH20" s="1" t="n"/>
    </row>
    <row r="21" ht="18.95" customHeight="1">
      <c r="A21" s="1" t="n"/>
      <c r="B21" s="19">
        <f>Einstellungen!$B$26</f>
        <v/>
      </c>
      <c r="C21" s="20" t="n"/>
      <c r="D21" s="20" t="n"/>
      <c r="E21" s="20" t="n"/>
      <c r="F21" s="20" t="n"/>
      <c r="G21" s="20" t="n"/>
      <c r="H21" s="20">
        <f>COUNTIFS(Aud_Kapitel,$B21,Aud_Punkt,"?*")</f>
        <v/>
      </c>
      <c r="I21" s="20">
        <f>COUNTIFS(Aud_Kapitel,$B21,Aud_Bew,"N.I.O")</f>
        <v/>
      </c>
      <c r="J21" s="20">
        <f>COUNTIFS(Aud_Kapitel,$B21,Aud_Bew,"bed. OK")</f>
        <v/>
      </c>
      <c r="K21" s="20">
        <f>COUNTIFS(Aud_Kapitel,$B21,Aud_Bew,"OK")</f>
        <v/>
      </c>
      <c r="L21" s="20">
        <f>COUNTIFS(Aud_Kapitel,$B21,Aud_Bew,"n. b.")</f>
        <v/>
      </c>
      <c r="M21" s="20">
        <f>H21-SUM(I21:L21)</f>
        <v/>
      </c>
      <c r="N21" s="21">
        <f>IFERROR((SUMIFS(Aud_Gew,Aud_Kapitel,$B21,Aud_Bew,"OK")+Gewicht_bedOK*SUMIFS(Aud_Gew,Aud_Kapitel,$B21,Aud_Bew,"bed. OK"))/(SUMIFS(Aud_Gew,Aud_Kapitel,$B21,Aud_Bew,"N.I.O")+SUMIFS(Aud_Gew,Aud_Kapitel,$B21,Aud_Bew,"bed. OK")+SUMIFS(Aud_Gew,Aud_Kapitel,$B21,Aud_Bew,"OK")),"")</f>
        <v/>
      </c>
      <c r="O21" s="20" t="n"/>
      <c r="P21" s="20">
        <f>IF($N21="","nicht bewertet",IF(AND(KO_aktiv="ja",COUNTIFS(Aud_Kapitel,$B21,Aud_KO,"K.O.",Aud_Bew,"N.I.O")&gt;0),"kritisch (K.O.)",IF($N21&gt;=Ampel_gruen,"gut",IF($N21&gt;=Ampel_gelb,"mittel","kritisch"))))</f>
        <v/>
      </c>
      <c r="Q21" s="20" t="n"/>
      <c r="R21" s="1" t="n"/>
      <c r="S21" s="1" t="n"/>
      <c r="T21" s="1" t="n"/>
      <c r="U21" s="1" t="n"/>
      <c r="V21" s="1" t="n"/>
      <c r="W21" s="1" t="n"/>
      <c r="X21" s="1" t="n"/>
      <c r="Y21" s="1" t="n"/>
      <c r="Z21" s="1" t="n"/>
      <c r="AA21" s="1" t="n"/>
      <c r="AB21" s="22">
        <f>IF($N21="","",IF($N21&gt;=Ampel_gruen,$N21,""))</f>
        <v/>
      </c>
      <c r="AC21" s="22">
        <f>IF($N21="","",IF(AND($N21&gt;=Ampel_gelb,$N21&lt;Ampel_gruen),$N21,""))</f>
        <v/>
      </c>
      <c r="AD21" s="22">
        <f>IF($N21="","",IF($N21&lt;Ampel_gelb,$N21,""))</f>
        <v/>
      </c>
      <c r="AE21" s="23">
        <f>IF($N21="","",$N21+ROW()/100000)</f>
        <v/>
      </c>
      <c r="AF21" s="1" t="n"/>
      <c r="AG21" s="1" t="n"/>
      <c r="AH21" s="1" t="n"/>
    </row>
    <row r="22" ht="18.95" customHeight="1">
      <c r="A22" s="1" t="n"/>
      <c r="B22" s="19">
        <f>Einstellungen!$B$27</f>
        <v/>
      </c>
      <c r="C22" s="20" t="n"/>
      <c r="D22" s="20" t="n"/>
      <c r="E22" s="20" t="n"/>
      <c r="F22" s="20" t="n"/>
      <c r="G22" s="20" t="n"/>
      <c r="H22" s="20">
        <f>COUNTIFS(Aud_Kapitel,$B22,Aud_Punkt,"?*")</f>
        <v/>
      </c>
      <c r="I22" s="20">
        <f>COUNTIFS(Aud_Kapitel,$B22,Aud_Bew,"N.I.O")</f>
        <v/>
      </c>
      <c r="J22" s="20">
        <f>COUNTIFS(Aud_Kapitel,$B22,Aud_Bew,"bed. OK")</f>
        <v/>
      </c>
      <c r="K22" s="20">
        <f>COUNTIFS(Aud_Kapitel,$B22,Aud_Bew,"OK")</f>
        <v/>
      </c>
      <c r="L22" s="20">
        <f>COUNTIFS(Aud_Kapitel,$B22,Aud_Bew,"n. b.")</f>
        <v/>
      </c>
      <c r="M22" s="20">
        <f>H22-SUM(I22:L22)</f>
        <v/>
      </c>
      <c r="N22" s="21">
        <f>IFERROR((SUMIFS(Aud_Gew,Aud_Kapitel,$B22,Aud_Bew,"OK")+Gewicht_bedOK*SUMIFS(Aud_Gew,Aud_Kapitel,$B22,Aud_Bew,"bed. OK"))/(SUMIFS(Aud_Gew,Aud_Kapitel,$B22,Aud_Bew,"N.I.O")+SUMIFS(Aud_Gew,Aud_Kapitel,$B22,Aud_Bew,"bed. OK")+SUMIFS(Aud_Gew,Aud_Kapitel,$B22,Aud_Bew,"OK")),"")</f>
        <v/>
      </c>
      <c r="O22" s="20" t="n"/>
      <c r="P22" s="20">
        <f>IF($N22="","nicht bewertet",IF(AND(KO_aktiv="ja",COUNTIFS(Aud_Kapitel,$B22,Aud_KO,"K.O.",Aud_Bew,"N.I.O")&gt;0),"kritisch (K.O.)",IF($N22&gt;=Ampel_gruen,"gut",IF($N22&gt;=Ampel_gelb,"mittel","kritisch"))))</f>
        <v/>
      </c>
      <c r="Q22" s="20" t="n"/>
      <c r="R22" s="1" t="n"/>
      <c r="S22" s="1" t="n"/>
      <c r="T22" s="1" t="n"/>
      <c r="U22" s="1" t="n"/>
      <c r="V22" s="1" t="n"/>
      <c r="W22" s="1" t="n"/>
      <c r="X22" s="1" t="n"/>
      <c r="Y22" s="1" t="n"/>
      <c r="Z22" s="1" t="n"/>
      <c r="AA22" s="1" t="n"/>
      <c r="AB22" s="22">
        <f>IF($N22="","",IF($N22&gt;=Ampel_gruen,$N22,""))</f>
        <v/>
      </c>
      <c r="AC22" s="22">
        <f>IF($N22="","",IF(AND($N22&gt;=Ampel_gelb,$N22&lt;Ampel_gruen),$N22,""))</f>
        <v/>
      </c>
      <c r="AD22" s="22">
        <f>IF($N22="","",IF($N22&lt;Ampel_gelb,$N22,""))</f>
        <v/>
      </c>
      <c r="AE22" s="23">
        <f>IF($N22="","",$N22+ROW()/100000)</f>
        <v/>
      </c>
      <c r="AF22" s="1" t="n"/>
      <c r="AG22" s="1" t="n"/>
      <c r="AH22" s="1" t="n"/>
    </row>
    <row r="23" ht="18.95" customHeight="1">
      <c r="A23" s="1" t="n"/>
      <c r="B23" s="19">
        <f>Einstellungen!$B$28</f>
        <v/>
      </c>
      <c r="C23" s="20" t="n"/>
      <c r="D23" s="20" t="n"/>
      <c r="E23" s="20" t="n"/>
      <c r="F23" s="20" t="n"/>
      <c r="G23" s="20" t="n"/>
      <c r="H23" s="20">
        <f>COUNTIFS(Aud_Kapitel,$B23,Aud_Punkt,"?*")</f>
        <v/>
      </c>
      <c r="I23" s="20">
        <f>COUNTIFS(Aud_Kapitel,$B23,Aud_Bew,"N.I.O")</f>
        <v/>
      </c>
      <c r="J23" s="20">
        <f>COUNTIFS(Aud_Kapitel,$B23,Aud_Bew,"bed. OK")</f>
        <v/>
      </c>
      <c r="K23" s="20">
        <f>COUNTIFS(Aud_Kapitel,$B23,Aud_Bew,"OK")</f>
        <v/>
      </c>
      <c r="L23" s="20">
        <f>COUNTIFS(Aud_Kapitel,$B23,Aud_Bew,"n. b.")</f>
        <v/>
      </c>
      <c r="M23" s="20">
        <f>H23-SUM(I23:L23)</f>
        <v/>
      </c>
      <c r="N23" s="21">
        <f>IFERROR((SUMIFS(Aud_Gew,Aud_Kapitel,$B23,Aud_Bew,"OK")+Gewicht_bedOK*SUMIFS(Aud_Gew,Aud_Kapitel,$B23,Aud_Bew,"bed. OK"))/(SUMIFS(Aud_Gew,Aud_Kapitel,$B23,Aud_Bew,"N.I.O")+SUMIFS(Aud_Gew,Aud_Kapitel,$B23,Aud_Bew,"bed. OK")+SUMIFS(Aud_Gew,Aud_Kapitel,$B23,Aud_Bew,"OK")),"")</f>
        <v/>
      </c>
      <c r="O23" s="20" t="n"/>
      <c r="P23" s="20">
        <f>IF($N23="","nicht bewertet",IF(AND(KO_aktiv="ja",COUNTIFS(Aud_Kapitel,$B23,Aud_KO,"K.O.",Aud_Bew,"N.I.O")&gt;0),"kritisch (K.O.)",IF($N23&gt;=Ampel_gruen,"gut",IF($N23&gt;=Ampel_gelb,"mittel","kritisch"))))</f>
        <v/>
      </c>
      <c r="Q23" s="20" t="n"/>
      <c r="R23" s="1" t="n"/>
      <c r="S23" s="1" t="n"/>
      <c r="T23" s="1" t="n"/>
      <c r="U23" s="1" t="n"/>
      <c r="V23" s="1" t="n"/>
      <c r="W23" s="1" t="n"/>
      <c r="X23" s="1" t="n"/>
      <c r="Y23" s="1" t="n"/>
      <c r="Z23" s="1" t="n"/>
      <c r="AA23" s="1" t="n"/>
      <c r="AB23" s="22">
        <f>IF($N23="","",IF($N23&gt;=Ampel_gruen,$N23,""))</f>
        <v/>
      </c>
      <c r="AC23" s="22">
        <f>IF($N23="","",IF(AND($N23&gt;=Ampel_gelb,$N23&lt;Ampel_gruen),$N23,""))</f>
        <v/>
      </c>
      <c r="AD23" s="22">
        <f>IF($N23="","",IF($N23&lt;Ampel_gelb,$N23,""))</f>
        <v/>
      </c>
      <c r="AE23" s="23">
        <f>IF($N23="","",$N23+ROW()/100000)</f>
        <v/>
      </c>
      <c r="AF23" s="1" t="n"/>
      <c r="AG23" s="1" t="n"/>
      <c r="AH23" s="1" t="n"/>
    </row>
    <row r="24" ht="18.95" customHeight="1">
      <c r="A24" s="1" t="n"/>
      <c r="B24" s="19">
        <f>Einstellungen!$B$29</f>
        <v/>
      </c>
      <c r="C24" s="20" t="n"/>
      <c r="D24" s="20" t="n"/>
      <c r="E24" s="20" t="n"/>
      <c r="F24" s="20" t="n"/>
      <c r="G24" s="20" t="n"/>
      <c r="H24" s="20">
        <f>COUNTIFS(Aud_Kapitel,$B24,Aud_Punkt,"?*")</f>
        <v/>
      </c>
      <c r="I24" s="20">
        <f>COUNTIFS(Aud_Kapitel,$B24,Aud_Bew,"N.I.O")</f>
        <v/>
      </c>
      <c r="J24" s="20">
        <f>COUNTIFS(Aud_Kapitel,$B24,Aud_Bew,"bed. OK")</f>
        <v/>
      </c>
      <c r="K24" s="20">
        <f>COUNTIFS(Aud_Kapitel,$B24,Aud_Bew,"OK")</f>
        <v/>
      </c>
      <c r="L24" s="20">
        <f>COUNTIFS(Aud_Kapitel,$B24,Aud_Bew,"n. b.")</f>
        <v/>
      </c>
      <c r="M24" s="20">
        <f>H24-SUM(I24:L24)</f>
        <v/>
      </c>
      <c r="N24" s="21">
        <f>IFERROR((SUMIFS(Aud_Gew,Aud_Kapitel,$B24,Aud_Bew,"OK")+Gewicht_bedOK*SUMIFS(Aud_Gew,Aud_Kapitel,$B24,Aud_Bew,"bed. OK"))/(SUMIFS(Aud_Gew,Aud_Kapitel,$B24,Aud_Bew,"N.I.O")+SUMIFS(Aud_Gew,Aud_Kapitel,$B24,Aud_Bew,"bed. OK")+SUMIFS(Aud_Gew,Aud_Kapitel,$B24,Aud_Bew,"OK")),"")</f>
        <v/>
      </c>
      <c r="O24" s="20" t="n"/>
      <c r="P24" s="20">
        <f>IF($N24="","nicht bewertet",IF(AND(KO_aktiv="ja",COUNTIFS(Aud_Kapitel,$B24,Aud_KO,"K.O.",Aud_Bew,"N.I.O")&gt;0),"kritisch (K.O.)",IF($N24&gt;=Ampel_gruen,"gut",IF($N24&gt;=Ampel_gelb,"mittel","kritisch"))))</f>
        <v/>
      </c>
      <c r="Q24" s="20" t="n"/>
      <c r="R24" s="1" t="n"/>
      <c r="S24" s="1" t="n"/>
      <c r="T24" s="1" t="n"/>
      <c r="U24" s="1" t="n"/>
      <c r="V24" s="1" t="n"/>
      <c r="W24" s="1" t="n"/>
      <c r="X24" s="1" t="n"/>
      <c r="Y24" s="1" t="n"/>
      <c r="Z24" s="1" t="n"/>
      <c r="AA24" s="1" t="n"/>
      <c r="AB24" s="22">
        <f>IF($N24="","",IF($N24&gt;=Ampel_gruen,$N24,""))</f>
        <v/>
      </c>
      <c r="AC24" s="22">
        <f>IF($N24="","",IF(AND($N24&gt;=Ampel_gelb,$N24&lt;Ampel_gruen),$N24,""))</f>
        <v/>
      </c>
      <c r="AD24" s="22">
        <f>IF($N24="","",IF($N24&lt;Ampel_gelb,$N24,""))</f>
        <v/>
      </c>
      <c r="AE24" s="23">
        <f>IF($N24="","",$N24+ROW()/100000)</f>
        <v/>
      </c>
      <c r="AF24" s="1" t="n"/>
      <c r="AG24" s="1" t="n"/>
      <c r="AH24" s="1" t="n"/>
    </row>
    <row r="25" ht="18.95" customHeight="1">
      <c r="A25" s="1" t="n"/>
      <c r="B25" s="19">
        <f>Einstellungen!$B$30</f>
        <v/>
      </c>
      <c r="C25" s="20" t="n"/>
      <c r="D25" s="20" t="n"/>
      <c r="E25" s="20" t="n"/>
      <c r="F25" s="20" t="n"/>
      <c r="G25" s="20" t="n"/>
      <c r="H25" s="20">
        <f>COUNTIFS(Aud_Kapitel,$B25,Aud_Punkt,"?*")</f>
        <v/>
      </c>
      <c r="I25" s="20">
        <f>COUNTIFS(Aud_Kapitel,$B25,Aud_Bew,"N.I.O")</f>
        <v/>
      </c>
      <c r="J25" s="20">
        <f>COUNTIFS(Aud_Kapitel,$B25,Aud_Bew,"bed. OK")</f>
        <v/>
      </c>
      <c r="K25" s="20">
        <f>COUNTIFS(Aud_Kapitel,$B25,Aud_Bew,"OK")</f>
        <v/>
      </c>
      <c r="L25" s="20">
        <f>COUNTIFS(Aud_Kapitel,$B25,Aud_Bew,"n. b.")</f>
        <v/>
      </c>
      <c r="M25" s="20">
        <f>H25-SUM(I25:L25)</f>
        <v/>
      </c>
      <c r="N25" s="21">
        <f>IFERROR((SUMIFS(Aud_Gew,Aud_Kapitel,$B25,Aud_Bew,"OK")+Gewicht_bedOK*SUMIFS(Aud_Gew,Aud_Kapitel,$B25,Aud_Bew,"bed. OK"))/(SUMIFS(Aud_Gew,Aud_Kapitel,$B25,Aud_Bew,"N.I.O")+SUMIFS(Aud_Gew,Aud_Kapitel,$B25,Aud_Bew,"bed. OK")+SUMIFS(Aud_Gew,Aud_Kapitel,$B25,Aud_Bew,"OK")),"")</f>
        <v/>
      </c>
      <c r="O25" s="20" t="n"/>
      <c r="P25" s="20">
        <f>IF($N25="","nicht bewertet",IF(AND(KO_aktiv="ja",COUNTIFS(Aud_Kapitel,$B25,Aud_KO,"K.O.",Aud_Bew,"N.I.O")&gt;0),"kritisch (K.O.)",IF($N25&gt;=Ampel_gruen,"gut",IF($N25&gt;=Ampel_gelb,"mittel","kritisch"))))</f>
        <v/>
      </c>
      <c r="Q25" s="20" t="n"/>
      <c r="R25" s="1" t="n"/>
      <c r="S25" s="1" t="n"/>
      <c r="T25" s="1" t="n"/>
      <c r="U25" s="1" t="n"/>
      <c r="V25" s="1" t="n"/>
      <c r="W25" s="1" t="n"/>
      <c r="X25" s="1" t="n"/>
      <c r="Y25" s="1" t="n"/>
      <c r="Z25" s="1" t="n"/>
      <c r="AA25" s="1" t="n"/>
      <c r="AB25" s="22">
        <f>IF($N25="","",IF($N25&gt;=Ampel_gruen,$N25,""))</f>
        <v/>
      </c>
      <c r="AC25" s="22">
        <f>IF($N25="","",IF(AND($N25&gt;=Ampel_gelb,$N25&lt;Ampel_gruen),$N25,""))</f>
        <v/>
      </c>
      <c r="AD25" s="22">
        <f>IF($N25="","",IF($N25&lt;Ampel_gelb,$N25,""))</f>
        <v/>
      </c>
      <c r="AE25" s="23">
        <f>IF($N25="","",$N25+ROW()/100000)</f>
        <v/>
      </c>
      <c r="AF25" s="1" t="n"/>
      <c r="AG25" s="1" t="n"/>
      <c r="AH25" s="1" t="n"/>
    </row>
    <row r="26" ht="18.95" customHeight="1">
      <c r="A26" s="1" t="n"/>
      <c r="B26" s="19">
        <f>Einstellungen!$B$31</f>
        <v/>
      </c>
      <c r="C26" s="20" t="n"/>
      <c r="D26" s="20" t="n"/>
      <c r="E26" s="20" t="n"/>
      <c r="F26" s="20" t="n"/>
      <c r="G26" s="20" t="n"/>
      <c r="H26" s="20">
        <f>COUNTIFS(Aud_Kapitel,$B26,Aud_Punkt,"?*")</f>
        <v/>
      </c>
      <c r="I26" s="20">
        <f>COUNTIFS(Aud_Kapitel,$B26,Aud_Bew,"N.I.O")</f>
        <v/>
      </c>
      <c r="J26" s="20">
        <f>COUNTIFS(Aud_Kapitel,$B26,Aud_Bew,"bed. OK")</f>
        <v/>
      </c>
      <c r="K26" s="20">
        <f>COUNTIFS(Aud_Kapitel,$B26,Aud_Bew,"OK")</f>
        <v/>
      </c>
      <c r="L26" s="20">
        <f>COUNTIFS(Aud_Kapitel,$B26,Aud_Bew,"n. b.")</f>
        <v/>
      </c>
      <c r="M26" s="20">
        <f>H26-SUM(I26:L26)</f>
        <v/>
      </c>
      <c r="N26" s="21">
        <f>IFERROR((SUMIFS(Aud_Gew,Aud_Kapitel,$B26,Aud_Bew,"OK")+Gewicht_bedOK*SUMIFS(Aud_Gew,Aud_Kapitel,$B26,Aud_Bew,"bed. OK"))/(SUMIFS(Aud_Gew,Aud_Kapitel,$B26,Aud_Bew,"N.I.O")+SUMIFS(Aud_Gew,Aud_Kapitel,$B26,Aud_Bew,"bed. OK")+SUMIFS(Aud_Gew,Aud_Kapitel,$B26,Aud_Bew,"OK")),"")</f>
        <v/>
      </c>
      <c r="O26" s="20" t="n"/>
      <c r="P26" s="20">
        <f>IF($N26="","nicht bewertet",IF(AND(KO_aktiv="ja",COUNTIFS(Aud_Kapitel,$B26,Aud_KO,"K.O.",Aud_Bew,"N.I.O")&gt;0),"kritisch (K.O.)",IF($N26&gt;=Ampel_gruen,"gut",IF($N26&gt;=Ampel_gelb,"mittel","kritisch"))))</f>
        <v/>
      </c>
      <c r="Q26" s="20" t="n"/>
      <c r="R26" s="1" t="n"/>
      <c r="S26" s="1" t="n"/>
      <c r="T26" s="1" t="n"/>
      <c r="U26" s="1" t="n"/>
      <c r="V26" s="1" t="n"/>
      <c r="W26" s="1" t="n"/>
      <c r="X26" s="1" t="n"/>
      <c r="Y26" s="1" t="n"/>
      <c r="Z26" s="1" t="n"/>
      <c r="AA26" s="1" t="n"/>
      <c r="AB26" s="22">
        <f>IF($N26="","",IF($N26&gt;=Ampel_gruen,$N26,""))</f>
        <v/>
      </c>
      <c r="AC26" s="22">
        <f>IF($N26="","",IF(AND($N26&gt;=Ampel_gelb,$N26&lt;Ampel_gruen),$N26,""))</f>
        <v/>
      </c>
      <c r="AD26" s="22">
        <f>IF($N26="","",IF($N26&lt;Ampel_gelb,$N26,""))</f>
        <v/>
      </c>
      <c r="AE26" s="23">
        <f>IF($N26="","",$N26+ROW()/100000)</f>
        <v/>
      </c>
      <c r="AF26" s="1" t="n"/>
      <c r="AG26" s="1" t="n"/>
      <c r="AH26" s="1" t="n"/>
    </row>
    <row r="27" ht="18.95" customHeight="1">
      <c r="A27" s="1" t="n"/>
      <c r="B27" s="24" t="inlineStr">
        <is>
          <t>Gesamt</t>
        </is>
      </c>
      <c r="C27" s="25" t="n"/>
      <c r="D27" s="25" t="n"/>
      <c r="E27" s="25" t="n"/>
      <c r="F27" s="25" t="n"/>
      <c r="G27" s="25" t="n"/>
      <c r="H27" s="25">
        <f>SUM(H13:H26)</f>
        <v/>
      </c>
      <c r="I27" s="25">
        <f>SUM(I13:I26)</f>
        <v/>
      </c>
      <c r="J27" s="25">
        <f>SUM(J13:J26)</f>
        <v/>
      </c>
      <c r="K27" s="25">
        <f>SUM(K13:K26)</f>
        <v/>
      </c>
      <c r="L27" s="25">
        <f>SUM(L13:L26)</f>
        <v/>
      </c>
      <c r="M27" s="25">
        <f>SUM(M13:M26)</f>
        <v/>
      </c>
      <c r="N27" s="26">
        <f>Audit!$P$4</f>
        <v/>
      </c>
      <c r="O27" s="25" t="n"/>
      <c r="P27" s="25">
        <f>Audit!$P$5</f>
        <v/>
      </c>
      <c r="Q27" s="25" t="n"/>
      <c r="R27" s="1" t="n"/>
      <c r="S27" s="1" t="n"/>
      <c r="T27" s="1" t="n"/>
      <c r="U27" s="1" t="n"/>
      <c r="V27" s="1" t="n"/>
      <c r="W27" s="1" t="n"/>
      <c r="X27" s="1" t="n"/>
      <c r="Y27" s="1" t="n"/>
      <c r="Z27" s="1" t="n"/>
      <c r="AA27" s="1" t="n"/>
      <c r="AB27" s="1" t="n"/>
      <c r="AC27" s="1" t="n"/>
      <c r="AD27" s="1" t="n"/>
      <c r="AE27" s="1" t="n"/>
      <c r="AF27" s="1" t="n"/>
      <c r="AG27" s="1" t="n"/>
      <c r="AH27" s="1" t="n"/>
    </row>
    <row r="2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row>
    <row r="29" ht="20.1" customHeight="1">
      <c r="A29" s="1" t="n"/>
      <c r="B29" s="9" t="inlineStr">
        <is>
          <t>Erfüllungsgrad je Kapitel</t>
        </is>
      </c>
      <c r="C29" s="10" t="n"/>
      <c r="D29" s="10" t="n"/>
      <c r="E29" s="10" t="n"/>
      <c r="F29" s="10" t="n"/>
      <c r="G29" s="10" t="n"/>
      <c r="H29" s="10" t="n"/>
      <c r="I29" s="10" t="n"/>
      <c r="J29" s="10" t="n"/>
      <c r="K29" s="10" t="n"/>
      <c r="L29" s="10" t="n"/>
      <c r="M29" s="10" t="n"/>
      <c r="N29" s="1" t="n"/>
      <c r="O29" s="9" t="inlineStr">
        <is>
          <t>Bewertungen je Kapitel (Anzahl Prüfpunkte)</t>
        </is>
      </c>
      <c r="P29" s="10" t="n"/>
      <c r="Q29" s="10" t="n"/>
      <c r="R29" s="10" t="n"/>
      <c r="S29" s="10" t="n"/>
      <c r="T29" s="10" t="n"/>
      <c r="U29" s="10" t="n"/>
      <c r="V29" s="10" t="n"/>
      <c r="W29" s="10" t="n"/>
      <c r="X29" s="10" t="n"/>
      <c r="Y29" s="10" t="n"/>
      <c r="Z29" s="1" t="n"/>
      <c r="AA29" s="1" t="n"/>
      <c r="AB29" s="1" t="n"/>
      <c r="AC29" s="1" t="n"/>
      <c r="AD29" s="1" t="n"/>
      <c r="AE29" s="1" t="n"/>
      <c r="AF29" s="1" t="n"/>
      <c r="AG29" s="1" t="n"/>
      <c r="AH29" s="1" t="n"/>
    </row>
    <row r="3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row>
    <row r="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row>
    <row r="32">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row>
    <row r="3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row>
    <row r="3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row>
    <row r="3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row>
    <row r="3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row>
    <row r="37">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row>
    <row r="3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row>
    <row r="3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row>
    <row r="4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row>
    <row r="4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row>
    <row r="42">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row>
    <row r="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row>
    <row r="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row>
    <row r="4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row>
    <row r="4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row>
    <row r="47">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row>
    <row r="4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row>
    <row r="49">
      <c r="A49" s="1" t="n"/>
      <c r="B49" s="5" t="inlineStr">
        <is>
          <t>Erfüllungsgrad = Σ(Gewicht × Wertung) ÷ Σ(Gewicht) der bewerteten Punkte. Gewicht „bed. OK“, Ampelgrenzen und K.O.-Regel: Blatt „Einstellungen“.</t>
        </is>
      </c>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row>
    <row r="5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row>
    <row r="51" ht="20.1" customHeight="1">
      <c r="A51" s="1" t="n"/>
      <c r="B51" s="9" t="inlineStr">
        <is>
          <t>Größter Handlungsbedarf (5 Kapitel mit dem niedrigsten Erfüllungsgrad)</t>
        </is>
      </c>
      <c r="C51" s="10" t="n"/>
      <c r="D51" s="10" t="n"/>
      <c r="E51" s="10" t="n"/>
      <c r="F51" s="10" t="n"/>
      <c r="G51" s="10" t="n"/>
      <c r="H51" s="10" t="n"/>
      <c r="I51" s="10" t="n"/>
      <c r="J51" s="10" t="n"/>
      <c r="K51" s="10" t="n"/>
      <c r="L51" s="10" t="n"/>
      <c r="M51" s="10" t="n"/>
      <c r="N51" s="1" t="n"/>
      <c r="O51" s="9" t="inlineStr">
        <is>
          <t>Umsetzungsstand der Maßnahmen</t>
        </is>
      </c>
      <c r="P51" s="10" t="n"/>
      <c r="Q51" s="10" t="n"/>
      <c r="R51" s="10" t="n"/>
      <c r="S51" s="10" t="n"/>
      <c r="T51" s="10" t="n"/>
      <c r="U51" s="10" t="n"/>
      <c r="V51" s="10" t="n"/>
      <c r="W51" s="10" t="n"/>
      <c r="X51" s="10" t="n"/>
      <c r="Y51" s="10" t="n"/>
      <c r="Z51" s="1" t="n"/>
      <c r="AA51" s="1" t="n"/>
      <c r="AB51" s="1" t="n"/>
      <c r="AC51" s="1" t="n"/>
      <c r="AD51" s="1" t="n"/>
      <c r="AE51" s="1" t="n"/>
      <c r="AF51" s="1" t="n"/>
      <c r="AG51" s="1" t="n"/>
      <c r="AH51" s="1" t="n"/>
    </row>
    <row r="52" ht="26.1" customHeight="1">
      <c r="A52" s="1" t="n"/>
      <c r="B52" s="18" t="inlineStr">
        <is>
          <t>Rang</t>
        </is>
      </c>
      <c r="C52" s="18" t="inlineStr">
        <is>
          <t>Kapitel</t>
        </is>
      </c>
      <c r="D52" s="18" t="n"/>
      <c r="E52" s="18" t="n"/>
      <c r="F52" s="18" t="n"/>
      <c r="G52" s="18" t="n"/>
      <c r="H52" s="18" t="n"/>
      <c r="I52" s="18" t="inlineStr">
        <is>
          <t>Erfüllungsgrad</t>
        </is>
      </c>
      <c r="J52" s="18" t="n"/>
      <c r="K52" s="18" t="inlineStr">
        <is>
          <t>N.I.O</t>
        </is>
      </c>
      <c r="L52" s="18" t="inlineStr">
        <is>
          <t>bed. OK</t>
        </is>
      </c>
      <c r="M52" s="18" t="n"/>
      <c r="N52" s="1" t="n"/>
      <c r="O52" s="18" t="inlineStr">
        <is>
          <t>Status</t>
        </is>
      </c>
      <c r="P52" s="18" t="n"/>
      <c r="Q52" s="18" t="n"/>
      <c r="R52" s="18" t="n"/>
      <c r="S52" s="18" t="inlineStr">
        <is>
          <t>Anzahl</t>
        </is>
      </c>
      <c r="T52" s="18" t="n"/>
      <c r="U52" s="18" t="inlineStr">
        <is>
          <t>Anteil</t>
        </is>
      </c>
      <c r="V52" s="18" t="n"/>
      <c r="W52" s="18" t="n"/>
      <c r="X52" s="18" t="n"/>
      <c r="Y52" s="18" t="n"/>
      <c r="Z52" s="1" t="n"/>
      <c r="AA52" s="1" t="n"/>
      <c r="AB52" s="1" t="n"/>
      <c r="AC52" s="1" t="n"/>
      <c r="AD52" s="1" t="n"/>
      <c r="AE52" s="1" t="n"/>
      <c r="AF52" s="16" t="inlineStr">
        <is>
          <t>k-kleinster</t>
        </is>
      </c>
      <c r="AG52" s="16" t="inlineStr">
        <is>
          <t>Position</t>
        </is>
      </c>
      <c r="AH52" s="1" t="n"/>
    </row>
    <row r="53" ht="18.95" customHeight="1">
      <c r="A53" s="1" t="n"/>
      <c r="B53" s="20">
        <f>IF($AG53="","",1)</f>
        <v/>
      </c>
      <c r="C53" s="19">
        <f>IF($AG53="","",INDEX($B$13:$B$26,$AG53))</f>
        <v/>
      </c>
      <c r="D53" s="20" t="n"/>
      <c r="E53" s="20" t="n"/>
      <c r="F53" s="20" t="n"/>
      <c r="G53" s="20" t="n"/>
      <c r="H53" s="20" t="n"/>
      <c r="I53" s="21">
        <f>IF($AG53="","",INDEX($N$13:$N$26,$AG53))</f>
        <v/>
      </c>
      <c r="J53" s="20" t="n"/>
      <c r="K53" s="20">
        <f>IF($AG53="","",INDEX($I$13:$I$26,$AG53))</f>
        <v/>
      </c>
      <c r="L53" s="20">
        <f>IF($AG53="","",INDEX($J$13:$J$26,$AG53))</f>
        <v/>
      </c>
      <c r="M53" s="20" t="n"/>
      <c r="N53" s="1" t="n"/>
      <c r="O53" s="19" t="inlineStr">
        <is>
          <t>überfällig</t>
        </is>
      </c>
      <c r="P53" s="20" t="n"/>
      <c r="Q53" s="20" t="n"/>
      <c r="R53" s="20" t="n"/>
      <c r="S53" s="20">
        <f>COUNTIF(Aud_Status,"überfällig")</f>
        <v/>
      </c>
      <c r="T53" s="20" t="n"/>
      <c r="U53" s="27">
        <f>IFERROR(S53/$S$56,0)</f>
        <v/>
      </c>
      <c r="V53" s="20" t="n"/>
      <c r="W53" s="20" t="n"/>
      <c r="X53" s="20" t="n"/>
      <c r="Y53" s="20" t="n"/>
      <c r="Z53" s="1" t="n"/>
      <c r="AA53" s="1" t="n"/>
      <c r="AB53" s="1" t="n"/>
      <c r="AC53" s="1" t="n"/>
      <c r="AD53" s="1" t="n"/>
      <c r="AE53" s="1" t="n"/>
      <c r="AF53" s="23">
        <f>IFERROR(SMALL($AE$13:$AE$26,1),"")</f>
        <v/>
      </c>
      <c r="AG53" s="23">
        <f>IF($AF53="","",MATCH($AF53,$AE$13:$AE$26,0))</f>
        <v/>
      </c>
      <c r="AH53" s="1" t="n"/>
    </row>
    <row r="54" ht="18.95" customHeight="1">
      <c r="A54" s="1" t="n"/>
      <c r="B54" s="20">
        <f>IF($AG54="","",2)</f>
        <v/>
      </c>
      <c r="C54" s="19">
        <f>IF($AG54="","",INDEX($B$13:$B$26,$AG54))</f>
        <v/>
      </c>
      <c r="D54" s="20" t="n"/>
      <c r="E54" s="20" t="n"/>
      <c r="F54" s="20" t="n"/>
      <c r="G54" s="20" t="n"/>
      <c r="H54" s="20" t="n"/>
      <c r="I54" s="21">
        <f>IF($AG54="","",INDEX($N$13:$N$26,$AG54))</f>
        <v/>
      </c>
      <c r="J54" s="20" t="n"/>
      <c r="K54" s="20">
        <f>IF($AG54="","",INDEX($I$13:$I$26,$AG54))</f>
        <v/>
      </c>
      <c r="L54" s="20">
        <f>IF($AG54="","",INDEX($J$13:$J$26,$AG54))</f>
        <v/>
      </c>
      <c r="M54" s="20" t="n"/>
      <c r="N54" s="1" t="n"/>
      <c r="O54" s="19" t="inlineStr">
        <is>
          <t>offen</t>
        </is>
      </c>
      <c r="P54" s="20" t="n"/>
      <c r="Q54" s="20" t="n"/>
      <c r="R54" s="20" t="n"/>
      <c r="S54" s="20">
        <f>COUNTIF(Aud_Status,"offen")</f>
        <v/>
      </c>
      <c r="T54" s="20" t="n"/>
      <c r="U54" s="27">
        <f>IFERROR(S54/$S$56,0)</f>
        <v/>
      </c>
      <c r="V54" s="20" t="n"/>
      <c r="W54" s="20" t="n"/>
      <c r="X54" s="20" t="n"/>
      <c r="Y54" s="20" t="n"/>
      <c r="Z54" s="1" t="n"/>
      <c r="AA54" s="1" t="n"/>
      <c r="AB54" s="1" t="n"/>
      <c r="AC54" s="1" t="n"/>
      <c r="AD54" s="1" t="n"/>
      <c r="AE54" s="1" t="n"/>
      <c r="AF54" s="23">
        <f>IFERROR(SMALL($AE$13:$AE$26,2),"")</f>
        <v/>
      </c>
      <c r="AG54" s="23">
        <f>IF($AF54="","",MATCH($AF54,$AE$13:$AE$26,0))</f>
        <v/>
      </c>
      <c r="AH54" s="1" t="n"/>
    </row>
    <row r="55" ht="18.95" customHeight="1">
      <c r="A55" s="1" t="n"/>
      <c r="B55" s="20">
        <f>IF($AG55="","",3)</f>
        <v/>
      </c>
      <c r="C55" s="19">
        <f>IF($AG55="","",INDEX($B$13:$B$26,$AG55))</f>
        <v/>
      </c>
      <c r="D55" s="20" t="n"/>
      <c r="E55" s="20" t="n"/>
      <c r="F55" s="20" t="n"/>
      <c r="G55" s="20" t="n"/>
      <c r="H55" s="20" t="n"/>
      <c r="I55" s="21">
        <f>IF($AG55="","",INDEX($N$13:$N$26,$AG55))</f>
        <v/>
      </c>
      <c r="J55" s="20" t="n"/>
      <c r="K55" s="20">
        <f>IF($AG55="","",INDEX($I$13:$I$26,$AG55))</f>
        <v/>
      </c>
      <c r="L55" s="20">
        <f>IF($AG55="","",INDEX($J$13:$J$26,$AG55))</f>
        <v/>
      </c>
      <c r="M55" s="20" t="n"/>
      <c r="N55" s="1" t="n"/>
      <c r="O55" s="19" t="inlineStr">
        <is>
          <t>erledigt</t>
        </is>
      </c>
      <c r="P55" s="20" t="n"/>
      <c r="Q55" s="20" t="n"/>
      <c r="R55" s="20" t="n"/>
      <c r="S55" s="20">
        <f>COUNTIF(Aud_Status,"erledigt")</f>
        <v/>
      </c>
      <c r="T55" s="20" t="n"/>
      <c r="U55" s="27">
        <f>IFERROR(S55/$S$56,0)</f>
        <v/>
      </c>
      <c r="V55" s="20" t="n"/>
      <c r="W55" s="20" t="n"/>
      <c r="X55" s="20" t="n"/>
      <c r="Y55" s="20" t="n"/>
      <c r="Z55" s="1" t="n"/>
      <c r="AA55" s="1" t="n"/>
      <c r="AB55" s="1" t="n"/>
      <c r="AC55" s="1" t="n"/>
      <c r="AD55" s="1" t="n"/>
      <c r="AE55" s="1" t="n"/>
      <c r="AF55" s="23">
        <f>IFERROR(SMALL($AE$13:$AE$26,3),"")</f>
        <v/>
      </c>
      <c r="AG55" s="23">
        <f>IF($AF55="","",MATCH($AF55,$AE$13:$AE$26,0))</f>
        <v/>
      </c>
      <c r="AH55" s="1" t="n"/>
    </row>
    <row r="56" ht="18.95" customHeight="1">
      <c r="A56" s="1" t="n"/>
      <c r="B56" s="20">
        <f>IF($AG56="","",4)</f>
        <v/>
      </c>
      <c r="C56" s="19">
        <f>IF($AG56="","",INDEX($B$13:$B$26,$AG56))</f>
        <v/>
      </c>
      <c r="D56" s="20" t="n"/>
      <c r="E56" s="20" t="n"/>
      <c r="F56" s="20" t="n"/>
      <c r="G56" s="20" t="n"/>
      <c r="H56" s="20" t="n"/>
      <c r="I56" s="21">
        <f>IF($AG56="","",INDEX($N$13:$N$26,$AG56))</f>
        <v/>
      </c>
      <c r="J56" s="20" t="n"/>
      <c r="K56" s="20">
        <f>IF($AG56="","",INDEX($I$13:$I$26,$AG56))</f>
        <v/>
      </c>
      <c r="L56" s="20">
        <f>IF($AG56="","",INDEX($J$13:$J$26,$AG56))</f>
        <v/>
      </c>
      <c r="M56" s="20" t="n"/>
      <c r="N56" s="1" t="n"/>
      <c r="O56" s="24" t="inlineStr">
        <is>
          <t>Gesamt</t>
        </is>
      </c>
      <c r="P56" s="25" t="n"/>
      <c r="Q56" s="25" t="n"/>
      <c r="R56" s="25" t="n"/>
      <c r="S56" s="25">
        <f>SUM(S53:S55)</f>
        <v/>
      </c>
      <c r="T56" s="25" t="n"/>
      <c r="U56" s="28">
        <f>IF(S56=0,"keine Maßnahmen","Maßnahmen aus N.I.O und bed. OK")</f>
        <v/>
      </c>
      <c r="V56" s="25" t="n"/>
      <c r="W56" s="25" t="n"/>
      <c r="X56" s="25" t="n"/>
      <c r="Y56" s="25" t="n"/>
      <c r="Z56" s="1" t="n"/>
      <c r="AA56" s="1" t="n"/>
      <c r="AB56" s="1" t="n"/>
      <c r="AC56" s="1" t="n"/>
      <c r="AD56" s="1" t="n"/>
      <c r="AE56" s="1" t="n"/>
      <c r="AF56" s="23">
        <f>IFERROR(SMALL($AE$13:$AE$26,4),"")</f>
        <v/>
      </c>
      <c r="AG56" s="23">
        <f>IF($AF56="","",MATCH($AF56,$AE$13:$AE$26,0))</f>
        <v/>
      </c>
      <c r="AH56" s="1" t="n"/>
    </row>
    <row r="57" ht="18.95" customHeight="1">
      <c r="A57" s="1" t="n"/>
      <c r="B57" s="20">
        <f>IF($AG57="","",5)</f>
        <v/>
      </c>
      <c r="C57" s="19">
        <f>IF($AG57="","",INDEX($B$13:$B$26,$AG57))</f>
        <v/>
      </c>
      <c r="D57" s="20" t="n"/>
      <c r="E57" s="20" t="n"/>
      <c r="F57" s="20" t="n"/>
      <c r="G57" s="20" t="n"/>
      <c r="H57" s="20" t="n"/>
      <c r="I57" s="21">
        <f>IF($AG57="","",INDEX($N$13:$N$26,$AG57))</f>
        <v/>
      </c>
      <c r="J57" s="20" t="n"/>
      <c r="K57" s="20">
        <f>IF($AG57="","",INDEX($I$13:$I$26,$AG57))</f>
        <v/>
      </c>
      <c r="L57" s="20">
        <f>IF($AG57="","",INDEX($J$13:$J$26,$AG57))</f>
        <v/>
      </c>
      <c r="M57" s="20" t="n"/>
      <c r="N57" s="1" t="n"/>
      <c r="O57" s="1" t="n"/>
      <c r="P57" s="1" t="n"/>
      <c r="Q57" s="1" t="n"/>
      <c r="R57" s="1" t="n"/>
      <c r="S57" s="1" t="n"/>
      <c r="T57" s="1" t="n"/>
      <c r="U57" s="1" t="n"/>
      <c r="V57" s="1" t="n"/>
      <c r="W57" s="1" t="n"/>
      <c r="X57" s="1" t="n"/>
      <c r="Y57" s="1" t="n"/>
      <c r="Z57" s="1" t="n"/>
      <c r="AA57" s="1" t="n"/>
      <c r="AB57" s="1" t="n"/>
      <c r="AC57" s="1" t="n"/>
      <c r="AD57" s="1" t="n"/>
      <c r="AE57" s="1" t="n"/>
      <c r="AF57" s="23">
        <f>IFERROR(SMALL($AE$13:$AE$26,5),"")</f>
        <v/>
      </c>
      <c r="AG57" s="23">
        <f>IF($AF57="","",MATCH($AF57,$AE$13:$AE$26,0))</f>
        <v/>
      </c>
      <c r="AH57" s="1" t="n"/>
    </row>
    <row r="58">
      <c r="A58" s="1" t="n"/>
      <c r="B58" s="5" t="inlineStr">
        <is>
          <t>Reihenfolge nach Erfüllungsgrad; bei Gleichstand zählt die Kapitelreihenfolge.</t>
        </is>
      </c>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row>
    <row r="5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row>
    <row r="60" ht="20.1" customHeight="1">
      <c r="A60" s="1" t="n"/>
      <c r="B60" s="9" t="inlineStr">
        <is>
          <t>Kritische Abweichungen – Prüfpunkte mit N.I.O</t>
        </is>
      </c>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 t="n"/>
      <c r="AA60" s="1" t="n"/>
      <c r="AB60" s="1" t="n"/>
      <c r="AC60" s="1" t="n"/>
      <c r="AD60" s="1" t="n"/>
      <c r="AE60" s="1" t="n"/>
      <c r="AF60" s="1" t="n"/>
      <c r="AG60" s="1" t="n"/>
      <c r="AH60" s="1" t="n"/>
    </row>
    <row r="61" ht="26.1" customHeight="1">
      <c r="A61" s="1" t="n"/>
      <c r="B61" s="18" t="inlineStr">
        <is>
          <t>Nr.</t>
        </is>
      </c>
      <c r="C61" s="18" t="inlineStr">
        <is>
          <t>Kapitel</t>
        </is>
      </c>
      <c r="D61" s="18" t="n"/>
      <c r="E61" s="18" t="n"/>
      <c r="F61" s="18" t="n"/>
      <c r="G61" s="18" t="inlineStr">
        <is>
          <t>Check-Punkt</t>
        </is>
      </c>
      <c r="H61" s="18" t="n"/>
      <c r="I61" s="18" t="n"/>
      <c r="J61" s="18" t="n"/>
      <c r="K61" s="18" t="n"/>
      <c r="L61" s="18" t="n"/>
      <c r="M61" s="18" t="n"/>
      <c r="N61" s="18" t="n"/>
      <c r="O61" s="18" t="inlineStr">
        <is>
          <t>Maßnahme / Bemerkung</t>
        </is>
      </c>
      <c r="P61" s="18" t="n"/>
      <c r="Q61" s="18" t="n"/>
      <c r="R61" s="18" t="n"/>
      <c r="S61" s="18" t="n"/>
      <c r="T61" s="18" t="inlineStr">
        <is>
          <t>Verantwortlich</t>
        </is>
      </c>
      <c r="U61" s="18" t="n"/>
      <c r="V61" s="18" t="inlineStr">
        <is>
          <t>Termin</t>
        </is>
      </c>
      <c r="W61" s="18" t="n"/>
      <c r="X61" s="18" t="inlineStr">
        <is>
          <t>Status</t>
        </is>
      </c>
      <c r="Y61" s="18" t="n"/>
      <c r="Z61" s="1" t="n"/>
      <c r="AA61" s="1" t="n"/>
      <c r="AB61" s="1" t="n"/>
      <c r="AC61" s="1" t="n"/>
      <c r="AD61" s="1" t="n"/>
      <c r="AE61" s="1" t="n"/>
      <c r="AF61" s="16" t="inlineStr">
        <is>
          <t>Position</t>
        </is>
      </c>
      <c r="AG61" s="1" t="n"/>
      <c r="AH61" s="1" t="n"/>
    </row>
    <row r="62" ht="30" customHeight="1">
      <c r="A62" s="1" t="n"/>
      <c r="B62" s="29">
        <f>IF($AF62="","",INDEX(Aud_Nr,$AF62))</f>
        <v/>
      </c>
      <c r="C62" s="30">
        <f>IF($AF62="","",INDEX(Aud_Kapitel,$AF62))</f>
        <v/>
      </c>
      <c r="D62" s="30" t="n"/>
      <c r="E62" s="30" t="n"/>
      <c r="F62" s="30" t="n"/>
      <c r="G62" s="30">
        <f>IF($AF62="","",INDEX(Aud_Punkt,$AF62))</f>
        <v/>
      </c>
      <c r="H62" s="30" t="n"/>
      <c r="I62" s="30" t="n"/>
      <c r="J62" s="30" t="n"/>
      <c r="K62" s="30" t="n"/>
      <c r="L62" s="30" t="n"/>
      <c r="M62" s="30" t="n"/>
      <c r="N62" s="30" t="n"/>
      <c r="O62" s="30">
        <f>IF($AF62="","",IF(INDEX(Aud_Massn,$AF62)="","– fehlt –",INDEX(Aud_Massn,$AF62)))</f>
        <v/>
      </c>
      <c r="P62" s="30" t="n"/>
      <c r="Q62" s="30" t="n"/>
      <c r="R62" s="30" t="n"/>
      <c r="S62" s="30" t="n"/>
      <c r="T62" s="30">
        <f>IF($AF62="","",IF(INDEX(Aud_Verantw,$AF62)="","– fehlt –",INDEX(Aud_Verantw,$AF62)))</f>
        <v/>
      </c>
      <c r="U62" s="30" t="n"/>
      <c r="V62" s="31">
        <f>IF($AF62="","",IF(INDEX(Aud_Termin,$AF62)="","– fehlt –",INDEX(Aud_Termin,$AF62)))</f>
        <v/>
      </c>
      <c r="W62" s="30" t="n"/>
      <c r="X62" s="32">
        <f>IF($AF62="","",INDEX(Aud_Status,$AF62))</f>
        <v/>
      </c>
      <c r="Y62" s="30" t="n"/>
      <c r="Z62" s="1" t="n"/>
      <c r="AA62" s="1" t="n"/>
      <c r="AB62" s="1" t="n"/>
      <c r="AC62" s="1" t="n"/>
      <c r="AD62" s="1" t="n"/>
      <c r="AE62" s="1" t="n"/>
      <c r="AF62" s="23">
        <f>IFERROR(MATCH(1,Aud_NIO,0),"")</f>
        <v/>
      </c>
      <c r="AG62" s="1" t="n"/>
      <c r="AH62" s="1" t="n"/>
    </row>
    <row r="63" ht="30" customHeight="1">
      <c r="A63" s="1" t="n"/>
      <c r="B63" s="29">
        <f>IF($AF63="","",INDEX(Aud_Nr,$AF63))</f>
        <v/>
      </c>
      <c r="C63" s="30">
        <f>IF($AF63="","",INDEX(Aud_Kapitel,$AF63))</f>
        <v/>
      </c>
      <c r="D63" s="30" t="n"/>
      <c r="E63" s="30" t="n"/>
      <c r="F63" s="30" t="n"/>
      <c r="G63" s="30">
        <f>IF($AF63="","",INDEX(Aud_Punkt,$AF63))</f>
        <v/>
      </c>
      <c r="H63" s="30" t="n"/>
      <c r="I63" s="30" t="n"/>
      <c r="J63" s="30" t="n"/>
      <c r="K63" s="30" t="n"/>
      <c r="L63" s="30" t="n"/>
      <c r="M63" s="30" t="n"/>
      <c r="N63" s="30" t="n"/>
      <c r="O63" s="30">
        <f>IF($AF63="","",IF(INDEX(Aud_Massn,$AF63)="","– fehlt –",INDEX(Aud_Massn,$AF63)))</f>
        <v/>
      </c>
      <c r="P63" s="30" t="n"/>
      <c r="Q63" s="30" t="n"/>
      <c r="R63" s="30" t="n"/>
      <c r="S63" s="30" t="n"/>
      <c r="T63" s="30">
        <f>IF($AF63="","",IF(INDEX(Aud_Verantw,$AF63)="","– fehlt –",INDEX(Aud_Verantw,$AF63)))</f>
        <v/>
      </c>
      <c r="U63" s="30" t="n"/>
      <c r="V63" s="31">
        <f>IF($AF63="","",IF(INDEX(Aud_Termin,$AF63)="","– fehlt –",INDEX(Aud_Termin,$AF63)))</f>
        <v/>
      </c>
      <c r="W63" s="30" t="n"/>
      <c r="X63" s="32">
        <f>IF($AF63="","",INDEX(Aud_Status,$AF63))</f>
        <v/>
      </c>
      <c r="Y63" s="30" t="n"/>
      <c r="Z63" s="1" t="n"/>
      <c r="AA63" s="1" t="n"/>
      <c r="AB63" s="1" t="n"/>
      <c r="AC63" s="1" t="n"/>
      <c r="AD63" s="1" t="n"/>
      <c r="AE63" s="1" t="n"/>
      <c r="AF63" s="23">
        <f>IFERROR(MATCH(2,Aud_NIO,0),"")</f>
        <v/>
      </c>
      <c r="AG63" s="1" t="n"/>
      <c r="AH63" s="1" t="n"/>
    </row>
    <row r="64" ht="30" customHeight="1">
      <c r="A64" s="1" t="n"/>
      <c r="B64" s="29">
        <f>IF($AF64="","",INDEX(Aud_Nr,$AF64))</f>
        <v/>
      </c>
      <c r="C64" s="30">
        <f>IF($AF64="","",INDEX(Aud_Kapitel,$AF64))</f>
        <v/>
      </c>
      <c r="D64" s="30" t="n"/>
      <c r="E64" s="30" t="n"/>
      <c r="F64" s="30" t="n"/>
      <c r="G64" s="30">
        <f>IF($AF64="","",INDEX(Aud_Punkt,$AF64))</f>
        <v/>
      </c>
      <c r="H64" s="30" t="n"/>
      <c r="I64" s="30" t="n"/>
      <c r="J64" s="30" t="n"/>
      <c r="K64" s="30" t="n"/>
      <c r="L64" s="30" t="n"/>
      <c r="M64" s="30" t="n"/>
      <c r="N64" s="30" t="n"/>
      <c r="O64" s="30">
        <f>IF($AF64="","",IF(INDEX(Aud_Massn,$AF64)="","– fehlt –",INDEX(Aud_Massn,$AF64)))</f>
        <v/>
      </c>
      <c r="P64" s="30" t="n"/>
      <c r="Q64" s="30" t="n"/>
      <c r="R64" s="30" t="n"/>
      <c r="S64" s="30" t="n"/>
      <c r="T64" s="30">
        <f>IF($AF64="","",IF(INDEX(Aud_Verantw,$AF64)="","– fehlt –",INDEX(Aud_Verantw,$AF64)))</f>
        <v/>
      </c>
      <c r="U64" s="30" t="n"/>
      <c r="V64" s="31">
        <f>IF($AF64="","",IF(INDEX(Aud_Termin,$AF64)="","– fehlt –",INDEX(Aud_Termin,$AF64)))</f>
        <v/>
      </c>
      <c r="W64" s="30" t="n"/>
      <c r="X64" s="32">
        <f>IF($AF64="","",INDEX(Aud_Status,$AF64))</f>
        <v/>
      </c>
      <c r="Y64" s="30" t="n"/>
      <c r="Z64" s="1" t="n"/>
      <c r="AA64" s="1" t="n"/>
      <c r="AB64" s="1" t="n"/>
      <c r="AC64" s="1" t="n"/>
      <c r="AD64" s="1" t="n"/>
      <c r="AE64" s="1" t="n"/>
      <c r="AF64" s="23">
        <f>IFERROR(MATCH(3,Aud_NIO,0),"")</f>
        <v/>
      </c>
      <c r="AG64" s="1" t="n"/>
      <c r="AH64" s="1" t="n"/>
    </row>
    <row r="65" ht="30" customHeight="1">
      <c r="A65" s="1" t="n"/>
      <c r="B65" s="29">
        <f>IF($AF65="","",INDEX(Aud_Nr,$AF65))</f>
        <v/>
      </c>
      <c r="C65" s="30">
        <f>IF($AF65="","",INDEX(Aud_Kapitel,$AF65))</f>
        <v/>
      </c>
      <c r="D65" s="30" t="n"/>
      <c r="E65" s="30" t="n"/>
      <c r="F65" s="30" t="n"/>
      <c r="G65" s="30">
        <f>IF($AF65="","",INDEX(Aud_Punkt,$AF65))</f>
        <v/>
      </c>
      <c r="H65" s="30" t="n"/>
      <c r="I65" s="30" t="n"/>
      <c r="J65" s="30" t="n"/>
      <c r="K65" s="30" t="n"/>
      <c r="L65" s="30" t="n"/>
      <c r="M65" s="30" t="n"/>
      <c r="N65" s="30" t="n"/>
      <c r="O65" s="30">
        <f>IF($AF65="","",IF(INDEX(Aud_Massn,$AF65)="","– fehlt –",INDEX(Aud_Massn,$AF65)))</f>
        <v/>
      </c>
      <c r="P65" s="30" t="n"/>
      <c r="Q65" s="30" t="n"/>
      <c r="R65" s="30" t="n"/>
      <c r="S65" s="30" t="n"/>
      <c r="T65" s="30">
        <f>IF($AF65="","",IF(INDEX(Aud_Verantw,$AF65)="","– fehlt –",INDEX(Aud_Verantw,$AF65)))</f>
        <v/>
      </c>
      <c r="U65" s="30" t="n"/>
      <c r="V65" s="31">
        <f>IF($AF65="","",IF(INDEX(Aud_Termin,$AF65)="","– fehlt –",INDEX(Aud_Termin,$AF65)))</f>
        <v/>
      </c>
      <c r="W65" s="30" t="n"/>
      <c r="X65" s="32">
        <f>IF($AF65="","",INDEX(Aud_Status,$AF65))</f>
        <v/>
      </c>
      <c r="Y65" s="30" t="n"/>
      <c r="Z65" s="1" t="n"/>
      <c r="AA65" s="1" t="n"/>
      <c r="AB65" s="1" t="n"/>
      <c r="AC65" s="1" t="n"/>
      <c r="AD65" s="1" t="n"/>
      <c r="AE65" s="1" t="n"/>
      <c r="AF65" s="23">
        <f>IFERROR(MATCH(4,Aud_NIO,0),"")</f>
        <v/>
      </c>
      <c r="AG65" s="1" t="n"/>
      <c r="AH65" s="1" t="n"/>
    </row>
    <row r="66" ht="30" customHeight="1">
      <c r="A66" s="1" t="n"/>
      <c r="B66" s="29">
        <f>IF($AF66="","",INDEX(Aud_Nr,$AF66))</f>
        <v/>
      </c>
      <c r="C66" s="30">
        <f>IF($AF66="","",INDEX(Aud_Kapitel,$AF66))</f>
        <v/>
      </c>
      <c r="D66" s="30" t="n"/>
      <c r="E66" s="30" t="n"/>
      <c r="F66" s="30" t="n"/>
      <c r="G66" s="30">
        <f>IF($AF66="","",INDEX(Aud_Punkt,$AF66))</f>
        <v/>
      </c>
      <c r="H66" s="30" t="n"/>
      <c r="I66" s="30" t="n"/>
      <c r="J66" s="30" t="n"/>
      <c r="K66" s="30" t="n"/>
      <c r="L66" s="30" t="n"/>
      <c r="M66" s="30" t="n"/>
      <c r="N66" s="30" t="n"/>
      <c r="O66" s="30">
        <f>IF($AF66="","",IF(INDEX(Aud_Massn,$AF66)="","– fehlt –",INDEX(Aud_Massn,$AF66)))</f>
        <v/>
      </c>
      <c r="P66" s="30" t="n"/>
      <c r="Q66" s="30" t="n"/>
      <c r="R66" s="30" t="n"/>
      <c r="S66" s="30" t="n"/>
      <c r="T66" s="30">
        <f>IF($AF66="","",IF(INDEX(Aud_Verantw,$AF66)="","– fehlt –",INDEX(Aud_Verantw,$AF66)))</f>
        <v/>
      </c>
      <c r="U66" s="30" t="n"/>
      <c r="V66" s="31">
        <f>IF($AF66="","",IF(INDEX(Aud_Termin,$AF66)="","– fehlt –",INDEX(Aud_Termin,$AF66)))</f>
        <v/>
      </c>
      <c r="W66" s="30" t="n"/>
      <c r="X66" s="32">
        <f>IF($AF66="","",INDEX(Aud_Status,$AF66))</f>
        <v/>
      </c>
      <c r="Y66" s="30" t="n"/>
      <c r="Z66" s="1" t="n"/>
      <c r="AA66" s="1" t="n"/>
      <c r="AB66" s="1" t="n"/>
      <c r="AC66" s="1" t="n"/>
      <c r="AD66" s="1" t="n"/>
      <c r="AE66" s="1" t="n"/>
      <c r="AF66" s="23">
        <f>IFERROR(MATCH(5,Aud_NIO,0),"")</f>
        <v/>
      </c>
      <c r="AG66" s="1" t="n"/>
      <c r="AH66" s="1" t="n"/>
    </row>
    <row r="67" ht="30" customHeight="1">
      <c r="A67" s="1" t="n"/>
      <c r="B67" s="29">
        <f>IF($AF67="","",INDEX(Aud_Nr,$AF67))</f>
        <v/>
      </c>
      <c r="C67" s="30">
        <f>IF($AF67="","",INDEX(Aud_Kapitel,$AF67))</f>
        <v/>
      </c>
      <c r="D67" s="30" t="n"/>
      <c r="E67" s="30" t="n"/>
      <c r="F67" s="30" t="n"/>
      <c r="G67" s="30">
        <f>IF($AF67="","",INDEX(Aud_Punkt,$AF67))</f>
        <v/>
      </c>
      <c r="H67" s="30" t="n"/>
      <c r="I67" s="30" t="n"/>
      <c r="J67" s="30" t="n"/>
      <c r="K67" s="30" t="n"/>
      <c r="L67" s="30" t="n"/>
      <c r="M67" s="30" t="n"/>
      <c r="N67" s="30" t="n"/>
      <c r="O67" s="30">
        <f>IF($AF67="","",IF(INDEX(Aud_Massn,$AF67)="","– fehlt –",INDEX(Aud_Massn,$AF67)))</f>
        <v/>
      </c>
      <c r="P67" s="30" t="n"/>
      <c r="Q67" s="30" t="n"/>
      <c r="R67" s="30" t="n"/>
      <c r="S67" s="30" t="n"/>
      <c r="T67" s="30">
        <f>IF($AF67="","",IF(INDEX(Aud_Verantw,$AF67)="","– fehlt –",INDEX(Aud_Verantw,$AF67)))</f>
        <v/>
      </c>
      <c r="U67" s="30" t="n"/>
      <c r="V67" s="31">
        <f>IF($AF67="","",IF(INDEX(Aud_Termin,$AF67)="","– fehlt –",INDEX(Aud_Termin,$AF67)))</f>
        <v/>
      </c>
      <c r="W67" s="30" t="n"/>
      <c r="X67" s="32">
        <f>IF($AF67="","",INDEX(Aud_Status,$AF67))</f>
        <v/>
      </c>
      <c r="Y67" s="30" t="n"/>
      <c r="Z67" s="1" t="n"/>
      <c r="AA67" s="1" t="n"/>
      <c r="AB67" s="1" t="n"/>
      <c r="AC67" s="1" t="n"/>
      <c r="AD67" s="1" t="n"/>
      <c r="AE67" s="1" t="n"/>
      <c r="AF67" s="23">
        <f>IFERROR(MATCH(6,Aud_NIO,0),"")</f>
        <v/>
      </c>
      <c r="AG67" s="1" t="n"/>
      <c r="AH67" s="1" t="n"/>
    </row>
    <row r="68" ht="30" customHeight="1">
      <c r="A68" s="1" t="n"/>
      <c r="B68" s="29">
        <f>IF($AF68="","",INDEX(Aud_Nr,$AF68))</f>
        <v/>
      </c>
      <c r="C68" s="30">
        <f>IF($AF68="","",INDEX(Aud_Kapitel,$AF68))</f>
        <v/>
      </c>
      <c r="D68" s="30" t="n"/>
      <c r="E68" s="30" t="n"/>
      <c r="F68" s="30" t="n"/>
      <c r="G68" s="30">
        <f>IF($AF68="","",INDEX(Aud_Punkt,$AF68))</f>
        <v/>
      </c>
      <c r="H68" s="30" t="n"/>
      <c r="I68" s="30" t="n"/>
      <c r="J68" s="30" t="n"/>
      <c r="K68" s="30" t="n"/>
      <c r="L68" s="30" t="n"/>
      <c r="M68" s="30" t="n"/>
      <c r="N68" s="30" t="n"/>
      <c r="O68" s="30">
        <f>IF($AF68="","",IF(INDEX(Aud_Massn,$AF68)="","– fehlt –",INDEX(Aud_Massn,$AF68)))</f>
        <v/>
      </c>
      <c r="P68" s="30" t="n"/>
      <c r="Q68" s="30" t="n"/>
      <c r="R68" s="30" t="n"/>
      <c r="S68" s="30" t="n"/>
      <c r="T68" s="30">
        <f>IF($AF68="","",IF(INDEX(Aud_Verantw,$AF68)="","– fehlt –",INDEX(Aud_Verantw,$AF68)))</f>
        <v/>
      </c>
      <c r="U68" s="30" t="n"/>
      <c r="V68" s="31">
        <f>IF($AF68="","",IF(INDEX(Aud_Termin,$AF68)="","– fehlt –",INDEX(Aud_Termin,$AF68)))</f>
        <v/>
      </c>
      <c r="W68" s="30" t="n"/>
      <c r="X68" s="32">
        <f>IF($AF68="","",INDEX(Aud_Status,$AF68))</f>
        <v/>
      </c>
      <c r="Y68" s="30" t="n"/>
      <c r="Z68" s="1" t="n"/>
      <c r="AA68" s="1" t="n"/>
      <c r="AB68" s="1" t="n"/>
      <c r="AC68" s="1" t="n"/>
      <c r="AD68" s="1" t="n"/>
      <c r="AE68" s="1" t="n"/>
      <c r="AF68" s="23">
        <f>IFERROR(MATCH(7,Aud_NIO,0),"")</f>
        <v/>
      </c>
      <c r="AG68" s="1" t="n"/>
      <c r="AH68" s="1" t="n"/>
    </row>
    <row r="69" ht="30" customHeight="1">
      <c r="A69" s="1" t="n"/>
      <c r="B69" s="29">
        <f>IF($AF69="","",INDEX(Aud_Nr,$AF69))</f>
        <v/>
      </c>
      <c r="C69" s="30">
        <f>IF($AF69="","",INDEX(Aud_Kapitel,$AF69))</f>
        <v/>
      </c>
      <c r="D69" s="30" t="n"/>
      <c r="E69" s="30" t="n"/>
      <c r="F69" s="30" t="n"/>
      <c r="G69" s="30">
        <f>IF($AF69="","",INDEX(Aud_Punkt,$AF69))</f>
        <v/>
      </c>
      <c r="H69" s="30" t="n"/>
      <c r="I69" s="30" t="n"/>
      <c r="J69" s="30" t="n"/>
      <c r="K69" s="30" t="n"/>
      <c r="L69" s="30" t="n"/>
      <c r="M69" s="30" t="n"/>
      <c r="N69" s="30" t="n"/>
      <c r="O69" s="30">
        <f>IF($AF69="","",IF(INDEX(Aud_Massn,$AF69)="","– fehlt –",INDEX(Aud_Massn,$AF69)))</f>
        <v/>
      </c>
      <c r="P69" s="30" t="n"/>
      <c r="Q69" s="30" t="n"/>
      <c r="R69" s="30" t="n"/>
      <c r="S69" s="30" t="n"/>
      <c r="T69" s="30">
        <f>IF($AF69="","",IF(INDEX(Aud_Verantw,$AF69)="","– fehlt –",INDEX(Aud_Verantw,$AF69)))</f>
        <v/>
      </c>
      <c r="U69" s="30" t="n"/>
      <c r="V69" s="31">
        <f>IF($AF69="","",IF(INDEX(Aud_Termin,$AF69)="","– fehlt –",INDEX(Aud_Termin,$AF69)))</f>
        <v/>
      </c>
      <c r="W69" s="30" t="n"/>
      <c r="X69" s="32">
        <f>IF($AF69="","",INDEX(Aud_Status,$AF69))</f>
        <v/>
      </c>
      <c r="Y69" s="30" t="n"/>
      <c r="Z69" s="1" t="n"/>
      <c r="AA69" s="1" t="n"/>
      <c r="AB69" s="1" t="n"/>
      <c r="AC69" s="1" t="n"/>
      <c r="AD69" s="1" t="n"/>
      <c r="AE69" s="1" t="n"/>
      <c r="AF69" s="23">
        <f>IFERROR(MATCH(8,Aud_NIO,0),"")</f>
        <v/>
      </c>
      <c r="AG69" s="1" t="n"/>
      <c r="AH69" s="1" t="n"/>
    </row>
    <row r="70" ht="30" customHeight="1">
      <c r="A70" s="1" t="n"/>
      <c r="B70" s="29">
        <f>IF($AF70="","",INDEX(Aud_Nr,$AF70))</f>
        <v/>
      </c>
      <c r="C70" s="30">
        <f>IF($AF70="","",INDEX(Aud_Kapitel,$AF70))</f>
        <v/>
      </c>
      <c r="D70" s="30" t="n"/>
      <c r="E70" s="30" t="n"/>
      <c r="F70" s="30" t="n"/>
      <c r="G70" s="30">
        <f>IF($AF70="","",INDEX(Aud_Punkt,$AF70))</f>
        <v/>
      </c>
      <c r="H70" s="30" t="n"/>
      <c r="I70" s="30" t="n"/>
      <c r="J70" s="30" t="n"/>
      <c r="K70" s="30" t="n"/>
      <c r="L70" s="30" t="n"/>
      <c r="M70" s="30" t="n"/>
      <c r="N70" s="30" t="n"/>
      <c r="O70" s="30">
        <f>IF($AF70="","",IF(INDEX(Aud_Massn,$AF70)="","– fehlt –",INDEX(Aud_Massn,$AF70)))</f>
        <v/>
      </c>
      <c r="P70" s="30" t="n"/>
      <c r="Q70" s="30" t="n"/>
      <c r="R70" s="30" t="n"/>
      <c r="S70" s="30" t="n"/>
      <c r="T70" s="30">
        <f>IF($AF70="","",IF(INDEX(Aud_Verantw,$AF70)="","– fehlt –",INDEX(Aud_Verantw,$AF70)))</f>
        <v/>
      </c>
      <c r="U70" s="30" t="n"/>
      <c r="V70" s="31">
        <f>IF($AF70="","",IF(INDEX(Aud_Termin,$AF70)="","– fehlt –",INDEX(Aud_Termin,$AF70)))</f>
        <v/>
      </c>
      <c r="W70" s="30" t="n"/>
      <c r="X70" s="32">
        <f>IF($AF70="","",INDEX(Aud_Status,$AF70))</f>
        <v/>
      </c>
      <c r="Y70" s="30" t="n"/>
      <c r="Z70" s="1" t="n"/>
      <c r="AA70" s="1" t="n"/>
      <c r="AB70" s="1" t="n"/>
      <c r="AC70" s="1" t="n"/>
      <c r="AD70" s="1" t="n"/>
      <c r="AE70" s="1" t="n"/>
      <c r="AF70" s="23">
        <f>IFERROR(MATCH(9,Aud_NIO,0),"")</f>
        <v/>
      </c>
      <c r="AG70" s="1" t="n"/>
      <c r="AH70" s="1" t="n"/>
    </row>
    <row r="71" ht="30" customHeight="1">
      <c r="A71" s="1" t="n"/>
      <c r="B71" s="29">
        <f>IF($AF71="","",INDEX(Aud_Nr,$AF71))</f>
        <v/>
      </c>
      <c r="C71" s="30">
        <f>IF($AF71="","",INDEX(Aud_Kapitel,$AF71))</f>
        <v/>
      </c>
      <c r="D71" s="30" t="n"/>
      <c r="E71" s="30" t="n"/>
      <c r="F71" s="30" t="n"/>
      <c r="G71" s="30">
        <f>IF($AF71="","",INDEX(Aud_Punkt,$AF71))</f>
        <v/>
      </c>
      <c r="H71" s="30" t="n"/>
      <c r="I71" s="30" t="n"/>
      <c r="J71" s="30" t="n"/>
      <c r="K71" s="30" t="n"/>
      <c r="L71" s="30" t="n"/>
      <c r="M71" s="30" t="n"/>
      <c r="N71" s="30" t="n"/>
      <c r="O71" s="30">
        <f>IF($AF71="","",IF(INDEX(Aud_Massn,$AF71)="","– fehlt –",INDEX(Aud_Massn,$AF71)))</f>
        <v/>
      </c>
      <c r="P71" s="30" t="n"/>
      <c r="Q71" s="30" t="n"/>
      <c r="R71" s="30" t="n"/>
      <c r="S71" s="30" t="n"/>
      <c r="T71" s="30">
        <f>IF($AF71="","",IF(INDEX(Aud_Verantw,$AF71)="","– fehlt –",INDEX(Aud_Verantw,$AF71)))</f>
        <v/>
      </c>
      <c r="U71" s="30" t="n"/>
      <c r="V71" s="31">
        <f>IF($AF71="","",IF(INDEX(Aud_Termin,$AF71)="","– fehlt –",INDEX(Aud_Termin,$AF71)))</f>
        <v/>
      </c>
      <c r="W71" s="30" t="n"/>
      <c r="X71" s="32">
        <f>IF($AF71="","",INDEX(Aud_Status,$AF71))</f>
        <v/>
      </c>
      <c r="Y71" s="30" t="n"/>
      <c r="Z71" s="1" t="n"/>
      <c r="AA71" s="1" t="n"/>
      <c r="AB71" s="1" t="n"/>
      <c r="AC71" s="1" t="n"/>
      <c r="AD71" s="1" t="n"/>
      <c r="AE71" s="1" t="n"/>
      <c r="AF71" s="23">
        <f>IFERROR(MATCH(10,Aud_NIO,0),"")</f>
        <v/>
      </c>
      <c r="AG71" s="1" t="n"/>
      <c r="AH71" s="1" t="n"/>
    </row>
    <row r="72">
      <c r="A72" s="1" t="n"/>
      <c r="B72" s="5">
        <f>IF(Audit!$J$4=0,"Keine Prüfpunkte mit N.I.O bewertet.",IF(Audit!$J$4&gt;10,"Weitere N.I.O-Punkte: "&amp;(Audit!$J$4-10)&amp;" – vollständige Liste (N.I.O und bed. OK) im Blatt „Maßnahmen“.","Vollständige Liste (N.I.O und bed. OK) im Blatt „Maßnahmen“."))</f>
        <v/>
      </c>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row>
    <row r="7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row>
    <row r="7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row>
    <row r="75" ht="20.1" customHeight="1">
      <c r="A75" s="1" t="n"/>
      <c r="B75" s="9" t="inlineStr">
        <is>
          <t>Anlagenrisiko, kritische Ersatzteile und Investitionsbedarf (NEU – aus „Anlagenübersicht“ und „Kritische Ersatzteile“)</t>
        </is>
      </c>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 t="n"/>
      <c r="AA75" s="1" t="n"/>
      <c r="AB75" s="1" t="n"/>
      <c r="AC75" s="1" t="n"/>
      <c r="AD75" s="1" t="n"/>
      <c r="AE75" s="1" t="n"/>
      <c r="AF75" s="1" t="n"/>
      <c r="AG75" s="1" t="n"/>
      <c r="AH75" s="1" t="n"/>
    </row>
    <row r="76" ht="15.95" customHeight="1">
      <c r="A76" s="1" t="n"/>
      <c r="B76" s="11" t="inlineStr">
        <is>
          <t>Anlagen erfasst</t>
        </is>
      </c>
      <c r="C76" s="12" t="n"/>
      <c r="D76" s="12" t="n"/>
      <c r="E76" s="11" t="inlineStr">
        <is>
          <t>Risiko hoch</t>
        </is>
      </c>
      <c r="F76" s="12" t="n"/>
      <c r="G76" s="12" t="n"/>
      <c r="H76" s="11" t="inlineStr">
        <is>
          <t>Risiko mittel</t>
        </is>
      </c>
      <c r="I76" s="12" t="n"/>
      <c r="J76" s="12" t="n"/>
      <c r="K76" s="11" t="inlineStr">
        <is>
          <t>Risiko gering</t>
        </is>
      </c>
      <c r="L76" s="12" t="n"/>
      <c r="M76" s="12" t="n"/>
      <c r="N76" s="11" t="inlineStr">
        <is>
          <t>A-Anlagen ohne Notfallplan</t>
        </is>
      </c>
      <c r="O76" s="12" t="n"/>
      <c r="P76" s="12" t="n"/>
      <c r="Q76" s="11" t="inlineStr">
        <is>
          <t>Obsoleszenzrisiken</t>
        </is>
      </c>
      <c r="R76" s="12" t="n"/>
      <c r="S76" s="12" t="n"/>
      <c r="T76" s="11" t="inlineStr">
        <is>
          <t>Krit. Ersatzteile auffällig</t>
        </is>
      </c>
      <c r="U76" s="12" t="n"/>
      <c r="V76" s="12" t="n"/>
      <c r="W76" s="11" t="inlineStr">
        <is>
          <t>Investitionsbedarf</t>
        </is>
      </c>
      <c r="X76" s="12" t="n"/>
      <c r="Y76" s="12" t="n"/>
      <c r="Z76" s="1" t="n"/>
      <c r="AA76" s="1" t="n"/>
      <c r="AB76" s="1" t="n"/>
      <c r="AC76" s="1" t="n"/>
      <c r="AD76" s="1" t="n"/>
      <c r="AE76" s="1" t="n"/>
      <c r="AF76" s="1" t="n"/>
      <c r="AG76" s="1" t="n"/>
      <c r="AH76" s="1" t="n"/>
    </row>
    <row r="77" ht="36" customHeight="1">
      <c r="A77" s="1" t="n"/>
      <c r="B77" s="15">
        <f>COUNTIF(Anl_Eq,"?*")</f>
        <v/>
      </c>
      <c r="C77" s="12" t="n"/>
      <c r="D77" s="12" t="n"/>
      <c r="E77" s="15">
        <f>COUNTIF(Anl_RK,"hoch")</f>
        <v/>
      </c>
      <c r="F77" s="12" t="n"/>
      <c r="G77" s="12" t="n"/>
      <c r="H77" s="15">
        <f>COUNTIF(Anl_RK,"mittel")</f>
        <v/>
      </c>
      <c r="I77" s="12" t="n"/>
      <c r="J77" s="12" t="n"/>
      <c r="K77" s="15">
        <f>COUNTIF(Anl_RK,"gering")</f>
        <v/>
      </c>
      <c r="L77" s="12" t="n"/>
      <c r="M77" s="12" t="n"/>
      <c r="N77" s="15">
        <f>COUNTIFS(Anl_Krit,"A",Anl_Notfall,"nein")</f>
        <v/>
      </c>
      <c r="O77" s="12" t="n"/>
      <c r="P77" s="12" t="n"/>
      <c r="Q77" s="15">
        <f>COUNTIF(Anl_Obs,"abgekündigt")+COUNTIF(Anl_Obs,"nicht mehr lieferbar")</f>
        <v/>
      </c>
      <c r="R77" s="12" t="n"/>
      <c r="S77" s="12" t="n"/>
      <c r="T77" s="15">
        <f>COUNTIF(ET_Status,"?*")-COUNTIF(ET_Status,"in Ordnung")</f>
        <v/>
      </c>
      <c r="U77" s="12" t="n"/>
      <c r="V77" s="12" t="n"/>
      <c r="W77" s="33">
        <f>SUM(Anl_Invest)</f>
        <v/>
      </c>
      <c r="X77" s="12" t="n"/>
      <c r="Y77" s="12" t="n"/>
      <c r="Z77" s="1" t="n"/>
      <c r="AA77" s="1" t="n"/>
      <c r="AB77" s="1" t="n"/>
      <c r="AC77" s="1" t="n"/>
      <c r="AD77" s="1" t="n"/>
      <c r="AE77" s="1" t="n"/>
      <c r="AF77" s="1" t="n"/>
      <c r="AG77" s="1" t="n"/>
      <c r="AH77" s="1" t="n"/>
    </row>
    <row r="78" ht="15.95" customHeight="1">
      <c r="A78" s="1" t="n"/>
      <c r="B78" s="11">
        <f>COUNTIF(Anl_Krit,"A")&amp;" A · "&amp;COUNTIF(Anl_Krit,"B")&amp;" B · "&amp;COUNTIF(Anl_Krit,"C")&amp;" C"</f>
        <v/>
      </c>
      <c r="C78" s="12" t="n"/>
      <c r="D78" s="12" t="n"/>
      <c r="E78" s="11">
        <f>"Risikozahl ≥ "&amp;Risiko_hoch</f>
        <v/>
      </c>
      <c r="F78" s="12" t="n"/>
      <c r="G78" s="12" t="n"/>
      <c r="H78" s="11">
        <f>"Risikozahl ≥ "&amp;Risiko_mittel</f>
        <v/>
      </c>
      <c r="I78" s="12" t="n"/>
      <c r="J78" s="12" t="n"/>
      <c r="K78" s="11">
        <f>"nicht bewertet: "&amp;(COUNTIF(Anl_Eq,"?*")-COUNTIF(Anl_RK,"?*"))</f>
        <v/>
      </c>
      <c r="L78" s="12" t="n"/>
      <c r="M78" s="12" t="n"/>
      <c r="N78" s="11">
        <f>"Pflicht nach IATF 6.1.2.3"</f>
        <v/>
      </c>
      <c r="O78" s="12" t="n"/>
      <c r="P78" s="12" t="n"/>
      <c r="Q78" s="11">
        <f>"Anlagen mit abgekündigten Komp."</f>
        <v/>
      </c>
      <c r="R78" s="12" t="n"/>
      <c r="S78" s="12" t="n"/>
      <c r="T78" s="11">
        <f>"von "&amp;COUNTIF(ET_Teil,"?*")&amp;" erfassten Teilen"</f>
        <v/>
      </c>
      <c r="U78" s="12" t="n"/>
      <c r="V78" s="12" t="n"/>
      <c r="W78" s="11">
        <f>"Summe geschätzt (Anlagenübersicht)"</f>
        <v/>
      </c>
      <c r="X78" s="12" t="n"/>
      <c r="Y78" s="12" t="n"/>
      <c r="Z78" s="1" t="n"/>
      <c r="AA78" s="1" t="n"/>
      <c r="AB78" s="1" t="n"/>
      <c r="AC78" s="1" t="n"/>
      <c r="AD78" s="1" t="n"/>
      <c r="AE78" s="1" t="n"/>
      <c r="AF78" s="1" t="n"/>
      <c r="AG78" s="1" t="n"/>
      <c r="AH78" s="1" t="n"/>
    </row>
    <row r="79" ht="9.949999999999999"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row>
    <row r="80" ht="20.1" customHeight="1">
      <c r="A80" s="1" t="n"/>
      <c r="B80" s="9" t="inlineStr">
        <is>
          <t>Risikomatrix (Anzahl Anlagen)</t>
        </is>
      </c>
      <c r="C80" s="10" t="n"/>
      <c r="D80" s="10" t="n"/>
      <c r="E80" s="10" t="n"/>
      <c r="F80" s="10" t="n"/>
      <c r="G80" s="10" t="n"/>
      <c r="H80" s="10" t="n"/>
      <c r="I80" s="10" t="n"/>
      <c r="J80" s="10" t="n"/>
      <c r="K80" s="10" t="n"/>
      <c r="L80" s="1" t="n"/>
      <c r="M80" s="9" t="inlineStr">
        <is>
          <t>Top 5 Anlagen nach Risikozahl</t>
        </is>
      </c>
      <c r="N80" s="10" t="n"/>
      <c r="O80" s="10" t="n"/>
      <c r="P80" s="10" t="n"/>
      <c r="Q80" s="10" t="n"/>
      <c r="R80" s="10" t="n"/>
      <c r="S80" s="10" t="n"/>
      <c r="T80" s="10" t="n"/>
      <c r="U80" s="10" t="n"/>
      <c r="V80" s="10" t="n"/>
      <c r="W80" s="10" t="n"/>
      <c r="X80" s="10" t="n"/>
      <c r="Y80" s="10" t="n"/>
      <c r="Z80" s="1" t="n"/>
      <c r="AA80" s="1" t="n"/>
      <c r="AB80" s="1" t="n"/>
      <c r="AC80" s="1" t="n"/>
      <c r="AD80" s="1" t="n"/>
      <c r="AE80" s="1" t="n"/>
      <c r="AF80" s="1" t="n"/>
      <c r="AG80" s="1" t="n"/>
      <c r="AH80" s="1" t="n"/>
    </row>
    <row r="81">
      <c r="A81" s="1" t="n"/>
      <c r="B81" s="5" t="inlineStr">
        <is>
          <t>Zelle = Anzahl Anlagen; Farbe = Risikoklasse (W × A).</t>
        </is>
      </c>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row>
    <row r="82" ht="22" customHeight="1">
      <c r="A82" s="1" t="n"/>
      <c r="B82" s="34" t="inlineStr">
        <is>
          <t>Ausfall-
wahrschein-
lichkeit (W)</t>
        </is>
      </c>
      <c r="C82" s="1" t="n"/>
      <c r="D82" s="35" t="n">
        <v>5</v>
      </c>
      <c r="E82" s="36">
        <f>COUNTIFS(Anl_W,5,Anl_A,1)</f>
        <v/>
      </c>
      <c r="F82" s="36">
        <f>COUNTIFS(Anl_W,5,Anl_A,2)</f>
        <v/>
      </c>
      <c r="G82" s="36">
        <f>COUNTIFS(Anl_W,5,Anl_A,3)</f>
        <v/>
      </c>
      <c r="H82" s="36">
        <f>COUNTIFS(Anl_W,5,Anl_A,4)</f>
        <v/>
      </c>
      <c r="I82" s="36">
        <f>COUNTIFS(Anl_W,5,Anl_A,5)</f>
        <v/>
      </c>
      <c r="J82" s="1" t="n"/>
      <c r="K82" s="1" t="n"/>
      <c r="L82" s="1" t="n"/>
      <c r="M82" s="18" t="inlineStr">
        <is>
          <t>Rang</t>
        </is>
      </c>
      <c r="N82" s="18" t="inlineStr">
        <is>
          <t>Equipment-Nr.</t>
        </is>
      </c>
      <c r="O82" s="18" t="n"/>
      <c r="P82" s="18" t="inlineStr">
        <is>
          <t>Anlage</t>
        </is>
      </c>
      <c r="Q82" s="18" t="n"/>
      <c r="R82" s="18" t="n"/>
      <c r="S82" s="18" t="n"/>
      <c r="T82" s="18" t="inlineStr">
        <is>
          <t>Krit.</t>
        </is>
      </c>
      <c r="U82" s="18" t="inlineStr">
        <is>
          <t>W</t>
        </is>
      </c>
      <c r="V82" s="18" t="inlineStr">
        <is>
          <t>A</t>
        </is>
      </c>
      <c r="W82" s="18" t="inlineStr">
        <is>
          <t>W × A</t>
        </is>
      </c>
      <c r="X82" s="18" t="inlineStr">
        <is>
          <t>Risikoklasse</t>
        </is>
      </c>
      <c r="Y82" s="18" t="n"/>
      <c r="Z82" s="1" t="n"/>
      <c r="AA82" s="1" t="n"/>
      <c r="AB82" s="1" t="n"/>
      <c r="AC82" s="1" t="n"/>
      <c r="AD82" s="1" t="n"/>
      <c r="AE82" s="1" t="n"/>
      <c r="AF82" s="16" t="inlineStr">
        <is>
          <t>k-größter</t>
        </is>
      </c>
      <c r="AG82" s="16" t="inlineStr">
        <is>
          <t>Position</t>
        </is>
      </c>
      <c r="AH82" s="1" t="n"/>
    </row>
    <row r="83" ht="22" customHeight="1">
      <c r="A83" s="1" t="n"/>
      <c r="B83" s="1" t="n"/>
      <c r="C83" s="1" t="n"/>
      <c r="D83" s="35" t="n">
        <v>4</v>
      </c>
      <c r="E83" s="36">
        <f>COUNTIFS(Anl_W,4,Anl_A,1)</f>
        <v/>
      </c>
      <c r="F83" s="36">
        <f>COUNTIFS(Anl_W,4,Anl_A,2)</f>
        <v/>
      </c>
      <c r="G83" s="36">
        <f>COUNTIFS(Anl_W,4,Anl_A,3)</f>
        <v/>
      </c>
      <c r="H83" s="36">
        <f>COUNTIFS(Anl_W,4,Anl_A,4)</f>
        <v/>
      </c>
      <c r="I83" s="36">
        <f>COUNTIFS(Anl_W,4,Anl_A,5)</f>
        <v/>
      </c>
      <c r="J83" s="1" t="n"/>
      <c r="K83" s="1" t="n"/>
      <c r="L83" s="1" t="n"/>
      <c r="M83" s="29">
        <f>IF($AG83="","",1)</f>
        <v/>
      </c>
      <c r="N83" s="29">
        <f>IF($AG83="","",INDEX(Anl_Eq,$AG83))</f>
        <v/>
      </c>
      <c r="O83" s="29" t="n"/>
      <c r="P83" s="37">
        <f>IF($AG83="","",INDEX(Anl_Name,$AG83))</f>
        <v/>
      </c>
      <c r="Q83" s="29" t="n"/>
      <c r="R83" s="29" t="n"/>
      <c r="S83" s="29" t="n"/>
      <c r="T83" s="29">
        <f>IF($AG83="","",INDEX(Anl_Krit,$AG83))</f>
        <v/>
      </c>
      <c r="U83" s="29">
        <f>IF($AG83="","",INDEX(Anl_W,$AG83))</f>
        <v/>
      </c>
      <c r="V83" s="29">
        <f>IF($AG83="","",INDEX(Anl_A,$AG83))</f>
        <v/>
      </c>
      <c r="W83" s="32">
        <f>IF($AG83="","",INDEX(Anl_RZ,$AG83))</f>
        <v/>
      </c>
      <c r="X83" s="29">
        <f>IF($AG83="","",INDEX(Anl_RK,$AG83))</f>
        <v/>
      </c>
      <c r="Y83" s="29" t="n"/>
      <c r="Z83" s="1" t="n"/>
      <c r="AA83" s="1" t="n"/>
      <c r="AB83" s="1" t="n"/>
      <c r="AC83" s="1" t="n"/>
      <c r="AD83" s="1" t="n"/>
      <c r="AE83" s="1" t="n"/>
      <c r="AF83" s="23">
        <f>IFERROR(LARGE(Anl_Key,1),"")</f>
        <v/>
      </c>
      <c r="AG83" s="23">
        <f>IF($AF83="","",MATCH($AF83,Anl_Key,0))</f>
        <v/>
      </c>
      <c r="AH83" s="1" t="n"/>
    </row>
    <row r="84" ht="22" customHeight="1">
      <c r="A84" s="1" t="n"/>
      <c r="B84" s="1" t="n"/>
      <c r="C84" s="1" t="n"/>
      <c r="D84" s="35" t="n">
        <v>3</v>
      </c>
      <c r="E84" s="36">
        <f>COUNTIFS(Anl_W,3,Anl_A,1)</f>
        <v/>
      </c>
      <c r="F84" s="36">
        <f>COUNTIFS(Anl_W,3,Anl_A,2)</f>
        <v/>
      </c>
      <c r="G84" s="36">
        <f>COUNTIFS(Anl_W,3,Anl_A,3)</f>
        <v/>
      </c>
      <c r="H84" s="36">
        <f>COUNTIFS(Anl_W,3,Anl_A,4)</f>
        <v/>
      </c>
      <c r="I84" s="36">
        <f>COUNTIFS(Anl_W,3,Anl_A,5)</f>
        <v/>
      </c>
      <c r="J84" s="1" t="n"/>
      <c r="K84" s="1" t="n"/>
      <c r="L84" s="1" t="n"/>
      <c r="M84" s="29">
        <f>IF($AG84="","",2)</f>
        <v/>
      </c>
      <c r="N84" s="29">
        <f>IF($AG84="","",INDEX(Anl_Eq,$AG84))</f>
        <v/>
      </c>
      <c r="O84" s="29" t="n"/>
      <c r="P84" s="37">
        <f>IF($AG84="","",INDEX(Anl_Name,$AG84))</f>
        <v/>
      </c>
      <c r="Q84" s="29" t="n"/>
      <c r="R84" s="29" t="n"/>
      <c r="S84" s="29" t="n"/>
      <c r="T84" s="29">
        <f>IF($AG84="","",INDEX(Anl_Krit,$AG84))</f>
        <v/>
      </c>
      <c r="U84" s="29">
        <f>IF($AG84="","",INDEX(Anl_W,$AG84))</f>
        <v/>
      </c>
      <c r="V84" s="29">
        <f>IF($AG84="","",INDEX(Anl_A,$AG84))</f>
        <v/>
      </c>
      <c r="W84" s="32">
        <f>IF($AG84="","",INDEX(Anl_RZ,$AG84))</f>
        <v/>
      </c>
      <c r="X84" s="29">
        <f>IF($AG84="","",INDEX(Anl_RK,$AG84))</f>
        <v/>
      </c>
      <c r="Y84" s="29" t="n"/>
      <c r="Z84" s="1" t="n"/>
      <c r="AA84" s="1" t="n"/>
      <c r="AB84" s="1" t="n"/>
      <c r="AC84" s="1" t="n"/>
      <c r="AD84" s="1" t="n"/>
      <c r="AE84" s="1" t="n"/>
      <c r="AF84" s="23">
        <f>IFERROR(LARGE(Anl_Key,2),"")</f>
        <v/>
      </c>
      <c r="AG84" s="23">
        <f>IF($AF84="","",MATCH($AF84,Anl_Key,0))</f>
        <v/>
      </c>
      <c r="AH84" s="1" t="n"/>
    </row>
    <row r="85" ht="22" customHeight="1">
      <c r="A85" s="1" t="n"/>
      <c r="B85" s="1" t="n"/>
      <c r="C85" s="1" t="n"/>
      <c r="D85" s="35" t="n">
        <v>2</v>
      </c>
      <c r="E85" s="36">
        <f>COUNTIFS(Anl_W,2,Anl_A,1)</f>
        <v/>
      </c>
      <c r="F85" s="36">
        <f>COUNTIFS(Anl_W,2,Anl_A,2)</f>
        <v/>
      </c>
      <c r="G85" s="36">
        <f>COUNTIFS(Anl_W,2,Anl_A,3)</f>
        <v/>
      </c>
      <c r="H85" s="36">
        <f>COUNTIFS(Anl_W,2,Anl_A,4)</f>
        <v/>
      </c>
      <c r="I85" s="36">
        <f>COUNTIFS(Anl_W,2,Anl_A,5)</f>
        <v/>
      </c>
      <c r="J85" s="1" t="n"/>
      <c r="K85" s="1" t="n"/>
      <c r="L85" s="1" t="n"/>
      <c r="M85" s="29">
        <f>IF($AG85="","",3)</f>
        <v/>
      </c>
      <c r="N85" s="29">
        <f>IF($AG85="","",INDEX(Anl_Eq,$AG85))</f>
        <v/>
      </c>
      <c r="O85" s="29" t="n"/>
      <c r="P85" s="37">
        <f>IF($AG85="","",INDEX(Anl_Name,$AG85))</f>
        <v/>
      </c>
      <c r="Q85" s="29" t="n"/>
      <c r="R85" s="29" t="n"/>
      <c r="S85" s="29" t="n"/>
      <c r="T85" s="29">
        <f>IF($AG85="","",INDEX(Anl_Krit,$AG85))</f>
        <v/>
      </c>
      <c r="U85" s="29">
        <f>IF($AG85="","",INDEX(Anl_W,$AG85))</f>
        <v/>
      </c>
      <c r="V85" s="29">
        <f>IF($AG85="","",INDEX(Anl_A,$AG85))</f>
        <v/>
      </c>
      <c r="W85" s="32">
        <f>IF($AG85="","",INDEX(Anl_RZ,$AG85))</f>
        <v/>
      </c>
      <c r="X85" s="29">
        <f>IF($AG85="","",INDEX(Anl_RK,$AG85))</f>
        <v/>
      </c>
      <c r="Y85" s="29" t="n"/>
      <c r="Z85" s="1" t="n"/>
      <c r="AA85" s="1" t="n"/>
      <c r="AB85" s="1" t="n"/>
      <c r="AC85" s="1" t="n"/>
      <c r="AD85" s="1" t="n"/>
      <c r="AE85" s="1" t="n"/>
      <c r="AF85" s="23">
        <f>IFERROR(LARGE(Anl_Key,3),"")</f>
        <v/>
      </c>
      <c r="AG85" s="23">
        <f>IF($AF85="","",MATCH($AF85,Anl_Key,0))</f>
        <v/>
      </c>
      <c r="AH85" s="1" t="n"/>
    </row>
    <row r="86" ht="22" customHeight="1">
      <c r="A86" s="1" t="n"/>
      <c r="B86" s="1" t="n"/>
      <c r="C86" s="1" t="n"/>
      <c r="D86" s="35" t="n">
        <v>1</v>
      </c>
      <c r="E86" s="36">
        <f>COUNTIFS(Anl_W,1,Anl_A,1)</f>
        <v/>
      </c>
      <c r="F86" s="36">
        <f>COUNTIFS(Anl_W,1,Anl_A,2)</f>
        <v/>
      </c>
      <c r="G86" s="36">
        <f>COUNTIFS(Anl_W,1,Anl_A,3)</f>
        <v/>
      </c>
      <c r="H86" s="36">
        <f>COUNTIFS(Anl_W,1,Anl_A,4)</f>
        <v/>
      </c>
      <c r="I86" s="36">
        <f>COUNTIFS(Anl_W,1,Anl_A,5)</f>
        <v/>
      </c>
      <c r="J86" s="1" t="n"/>
      <c r="K86" s="1" t="n"/>
      <c r="L86" s="1" t="n"/>
      <c r="M86" s="29">
        <f>IF($AG86="","",4)</f>
        <v/>
      </c>
      <c r="N86" s="29">
        <f>IF($AG86="","",INDEX(Anl_Eq,$AG86))</f>
        <v/>
      </c>
      <c r="O86" s="29" t="n"/>
      <c r="P86" s="37">
        <f>IF($AG86="","",INDEX(Anl_Name,$AG86))</f>
        <v/>
      </c>
      <c r="Q86" s="29" t="n"/>
      <c r="R86" s="29" t="n"/>
      <c r="S86" s="29" t="n"/>
      <c r="T86" s="29">
        <f>IF($AG86="","",INDEX(Anl_Krit,$AG86))</f>
        <v/>
      </c>
      <c r="U86" s="29">
        <f>IF($AG86="","",INDEX(Anl_W,$AG86))</f>
        <v/>
      </c>
      <c r="V86" s="29">
        <f>IF($AG86="","",INDEX(Anl_A,$AG86))</f>
        <v/>
      </c>
      <c r="W86" s="32">
        <f>IF($AG86="","",INDEX(Anl_RZ,$AG86))</f>
        <v/>
      </c>
      <c r="X86" s="29">
        <f>IF($AG86="","",INDEX(Anl_RK,$AG86))</f>
        <v/>
      </c>
      <c r="Y86" s="29" t="n"/>
      <c r="Z86" s="1" t="n"/>
      <c r="AA86" s="1" t="n"/>
      <c r="AB86" s="1" t="n"/>
      <c r="AC86" s="1" t="n"/>
      <c r="AD86" s="1" t="n"/>
      <c r="AE86" s="1" t="n"/>
      <c r="AF86" s="23">
        <f>IFERROR(LARGE(Anl_Key,4),"")</f>
        <v/>
      </c>
      <c r="AG86" s="23">
        <f>IF($AF86="","",MATCH($AF86,Anl_Key,0))</f>
        <v/>
      </c>
      <c r="AH86" s="1" t="n"/>
    </row>
    <row r="87">
      <c r="A87" s="1" t="n"/>
      <c r="B87" s="1" t="n"/>
      <c r="C87" s="1" t="n"/>
      <c r="D87" s="1" t="n"/>
      <c r="E87" s="35" t="n">
        <v>1</v>
      </c>
      <c r="F87" s="35" t="n">
        <v>2</v>
      </c>
      <c r="G87" s="35" t="n">
        <v>3</v>
      </c>
      <c r="H87" s="35" t="n">
        <v>4</v>
      </c>
      <c r="I87" s="35" t="n">
        <v>5</v>
      </c>
      <c r="J87" s="1" t="n"/>
      <c r="K87" s="1" t="n"/>
      <c r="L87" s="1" t="n"/>
      <c r="M87" s="29">
        <f>IF($AG87="","",5)</f>
        <v/>
      </c>
      <c r="N87" s="29">
        <f>IF($AG87="","",INDEX(Anl_Eq,$AG87))</f>
        <v/>
      </c>
      <c r="O87" s="29" t="n"/>
      <c r="P87" s="37">
        <f>IF($AG87="","",INDEX(Anl_Name,$AG87))</f>
        <v/>
      </c>
      <c r="Q87" s="29" t="n"/>
      <c r="R87" s="29" t="n"/>
      <c r="S87" s="29" t="n"/>
      <c r="T87" s="29">
        <f>IF($AG87="","",INDEX(Anl_Krit,$AG87))</f>
        <v/>
      </c>
      <c r="U87" s="29">
        <f>IF($AG87="","",INDEX(Anl_W,$AG87))</f>
        <v/>
      </c>
      <c r="V87" s="29">
        <f>IF($AG87="","",INDEX(Anl_A,$AG87))</f>
        <v/>
      </c>
      <c r="W87" s="32">
        <f>IF($AG87="","",INDEX(Anl_RZ,$AG87))</f>
        <v/>
      </c>
      <c r="X87" s="29">
        <f>IF($AG87="","",INDEX(Anl_RK,$AG87))</f>
        <v/>
      </c>
      <c r="Y87" s="29" t="n"/>
      <c r="Z87" s="1" t="n"/>
      <c r="AA87" s="1" t="n"/>
      <c r="AB87" s="1" t="n"/>
      <c r="AC87" s="1" t="n"/>
      <c r="AD87" s="1" t="n"/>
      <c r="AE87" s="1" t="n"/>
      <c r="AF87" s="23">
        <f>IFERROR(LARGE(Anl_Key,5),"")</f>
        <v/>
      </c>
      <c r="AG87" s="23">
        <f>IF($AF87="","",MATCH($AF87,Anl_Key,0))</f>
        <v/>
      </c>
      <c r="AH87" s="1" t="n"/>
    </row>
    <row r="88">
      <c r="A88" s="1" t="n"/>
      <c r="B88" s="1" t="n"/>
      <c r="C88" s="1" t="n"/>
      <c r="D88" s="1" t="n"/>
      <c r="E88" s="38" t="inlineStr">
        <is>
          <t>Auswirkung (A)</t>
        </is>
      </c>
      <c r="F88" s="1" t="n"/>
      <c r="G88" s="1" t="n"/>
      <c r="H88" s="1" t="n"/>
      <c r="I88" s="1" t="n"/>
      <c r="J88" s="1" t="n"/>
      <c r="K88" s="1" t="n"/>
      <c r="L88" s="1" t="n"/>
      <c r="M88" s="5" t="inlineStr">
        <is>
          <t>Bei Gleichstand zählt die Reihenfolge im Blatt „Anlagenübersicht“.</t>
        </is>
      </c>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row>
    <row r="8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row>
    <row r="90" ht="20.1" customHeight="1">
      <c r="A90" s="1" t="n"/>
      <c r="B90" s="9" t="inlineStr">
        <is>
          <t>Investitionsbedarf nach empfohlener Option</t>
        </is>
      </c>
      <c r="C90" s="10" t="n"/>
      <c r="D90" s="10" t="n"/>
      <c r="E90" s="10" t="n"/>
      <c r="F90" s="10" t="n"/>
      <c r="G90" s="10" t="n"/>
      <c r="H90" s="10" t="n"/>
      <c r="I90" s="10" t="n"/>
      <c r="J90" s="10" t="n"/>
      <c r="K90" s="10" t="n"/>
      <c r="L90" s="1" t="n"/>
      <c r="M90" s="9" t="inlineStr">
        <is>
          <t>Kritische Ersatzteile – Bewertung</t>
        </is>
      </c>
      <c r="N90" s="10" t="n"/>
      <c r="O90" s="10" t="n"/>
      <c r="P90" s="10" t="n"/>
      <c r="Q90" s="10" t="n"/>
      <c r="R90" s="10" t="n"/>
      <c r="S90" s="10" t="n"/>
      <c r="T90" s="10" t="n"/>
      <c r="U90" s="10" t="n"/>
      <c r="V90" s="10" t="n"/>
      <c r="W90" s="10" t="n"/>
      <c r="X90" s="10" t="n"/>
      <c r="Y90" s="10" t="n"/>
      <c r="Z90" s="1" t="n"/>
      <c r="AA90" s="1" t="n"/>
      <c r="AB90" s="1" t="n"/>
      <c r="AC90" s="1" t="n"/>
      <c r="AD90" s="1" t="n"/>
      <c r="AE90" s="1" t="n"/>
      <c r="AF90" s="1" t="n"/>
      <c r="AG90" s="1" t="n"/>
      <c r="AH90" s="1" t="n"/>
    </row>
    <row r="91">
      <c r="A91" s="1" t="n"/>
      <c r="B91" s="18" t="inlineStr">
        <is>
          <t>Option</t>
        </is>
      </c>
      <c r="C91" s="18" t="n"/>
      <c r="D91" s="18" t="n"/>
      <c r="E91" s="18" t="n"/>
      <c r="F91" s="18" t="n"/>
      <c r="G91" s="18" t="inlineStr">
        <is>
          <t>Anlagen</t>
        </is>
      </c>
      <c r="H91" s="18" t="n"/>
      <c r="I91" s="18" t="inlineStr">
        <is>
          <t>Investition (€)</t>
        </is>
      </c>
      <c r="J91" s="18" t="n"/>
      <c r="K91" s="18" t="n"/>
      <c r="L91" s="1" t="n"/>
      <c r="M91" s="18" t="inlineStr">
        <is>
          <t>Bewertung</t>
        </is>
      </c>
      <c r="N91" s="18" t="n"/>
      <c r="O91" s="18" t="n"/>
      <c r="P91" s="18" t="n"/>
      <c r="Q91" s="18" t="n"/>
      <c r="R91" s="18" t="n"/>
      <c r="S91" s="18" t="n"/>
      <c r="T91" s="18" t="inlineStr">
        <is>
          <t>Anzahl</t>
        </is>
      </c>
      <c r="U91" s="18" t="n"/>
      <c r="V91" s="18" t="inlineStr">
        <is>
          <t>Bedeutung</t>
        </is>
      </c>
      <c r="W91" s="18" t="n"/>
      <c r="X91" s="18" t="n"/>
      <c r="Y91" s="18" t="n"/>
      <c r="Z91" s="1" t="n"/>
      <c r="AA91" s="1" t="n"/>
      <c r="AB91" s="1" t="n"/>
      <c r="AC91" s="1" t="n"/>
      <c r="AD91" s="1" t="n"/>
      <c r="AE91" s="1" t="n"/>
      <c r="AF91" s="1" t="n"/>
      <c r="AG91" s="1" t="n"/>
      <c r="AH91" s="1" t="n"/>
    </row>
    <row r="92" ht="18.95" customHeight="1">
      <c r="A92" s="1" t="n"/>
      <c r="B92" s="19">
        <f>Einstellungen!$G$65</f>
        <v/>
      </c>
      <c r="C92" s="20" t="n"/>
      <c r="D92" s="20" t="n"/>
      <c r="E92" s="20" t="n"/>
      <c r="F92" s="20" t="n"/>
      <c r="G92" s="20">
        <f>COUNTIF(Anl_Option,B92)</f>
        <v/>
      </c>
      <c r="H92" s="20" t="n"/>
      <c r="I92" s="39">
        <f>SUMIFS(Anl_Invest,Anl_Option,B92)</f>
        <v/>
      </c>
      <c r="J92" s="20" t="n"/>
      <c r="K92" s="20" t="n"/>
      <c r="L92" s="1" t="n"/>
      <c r="M92" s="40" t="inlineStr">
        <is>
          <t>Bestand unter Minimum</t>
        </is>
      </c>
      <c r="N92" s="29" t="n"/>
      <c r="O92" s="29" t="n"/>
      <c r="P92" s="29" t="n"/>
      <c r="Q92" s="29" t="n"/>
      <c r="R92" s="29" t="n"/>
      <c r="S92" s="29" t="n"/>
      <c r="T92" s="41">
        <f>COUNTIF(ET_Status,M92)</f>
        <v/>
      </c>
      <c r="U92" s="29" t="n"/>
      <c r="V92" s="42" t="inlineStr">
        <is>
          <t>sofort nachbestellen</t>
        </is>
      </c>
      <c r="W92" s="29" t="n"/>
      <c r="X92" s="29" t="n"/>
      <c r="Y92" s="29" t="n"/>
      <c r="Z92" s="1" t="n"/>
      <c r="AA92" s="1" t="n"/>
      <c r="AB92" s="1" t="n"/>
      <c r="AC92" s="1" t="n"/>
      <c r="AD92" s="1" t="n"/>
      <c r="AE92" s="1" t="n"/>
      <c r="AF92" s="1" t="n"/>
      <c r="AG92" s="1" t="n"/>
      <c r="AH92" s="1" t="n"/>
    </row>
    <row r="93" ht="18.95" customHeight="1">
      <c r="A93" s="1" t="n"/>
      <c r="B93" s="19">
        <f>Einstellungen!$G$66</f>
        <v/>
      </c>
      <c r="C93" s="20" t="n"/>
      <c r="D93" s="20" t="n"/>
      <c r="E93" s="20" t="n"/>
      <c r="F93" s="20" t="n"/>
      <c r="G93" s="20">
        <f>COUNTIF(Anl_Option,B93)</f>
        <v/>
      </c>
      <c r="H93" s="20" t="n"/>
      <c r="I93" s="39">
        <f>SUMIFS(Anl_Invest,Anl_Option,B93)</f>
        <v/>
      </c>
      <c r="J93" s="20" t="n"/>
      <c r="K93" s="20" t="n"/>
      <c r="L93" s="1" t="n"/>
      <c r="M93" s="40" t="inlineStr">
        <is>
          <t>Bestand nicht erfasst</t>
        </is>
      </c>
      <c r="N93" s="29" t="n"/>
      <c r="O93" s="29" t="n"/>
      <c r="P93" s="29" t="n"/>
      <c r="Q93" s="29" t="n"/>
      <c r="R93" s="29" t="n"/>
      <c r="S93" s="29" t="n"/>
      <c r="T93" s="41">
        <f>COUNTIF(ET_Status,M93)</f>
        <v/>
      </c>
      <c r="U93" s="29" t="n"/>
      <c r="V93" s="42" t="inlineStr">
        <is>
          <t>Ist-Bestand erfassen</t>
        </is>
      </c>
      <c r="W93" s="29" t="n"/>
      <c r="X93" s="29" t="n"/>
      <c r="Y93" s="29" t="n"/>
      <c r="Z93" s="1" t="n"/>
      <c r="AA93" s="1" t="n"/>
      <c r="AB93" s="1" t="n"/>
      <c r="AC93" s="1" t="n"/>
      <c r="AD93" s="1" t="n"/>
      <c r="AE93" s="1" t="n"/>
      <c r="AF93" s="1" t="n"/>
      <c r="AG93" s="1" t="n"/>
      <c r="AH93" s="1" t="n"/>
    </row>
    <row r="94" ht="18.95" customHeight="1">
      <c r="A94" s="1" t="n"/>
      <c r="B94" s="19">
        <f>Einstellungen!$G$67</f>
        <v/>
      </c>
      <c r="C94" s="20" t="n"/>
      <c r="D94" s="20" t="n"/>
      <c r="E94" s="20" t="n"/>
      <c r="F94" s="20" t="n"/>
      <c r="G94" s="20">
        <f>COUNTIF(Anl_Option,B94)</f>
        <v/>
      </c>
      <c r="H94" s="20" t="n"/>
      <c r="I94" s="39">
        <f>SUMIFS(Anl_Invest,Anl_Option,B94)</f>
        <v/>
      </c>
      <c r="J94" s="20" t="n"/>
      <c r="K94" s="20" t="n"/>
      <c r="L94" s="1" t="n"/>
      <c r="M94" s="40" t="inlineStr">
        <is>
          <t>obsolet ohne Ersatzlösung</t>
        </is>
      </c>
      <c r="N94" s="29" t="n"/>
      <c r="O94" s="29" t="n"/>
      <c r="P94" s="29" t="n"/>
      <c r="Q94" s="29" t="n"/>
      <c r="R94" s="29" t="n"/>
      <c r="S94" s="29" t="n"/>
      <c r="T94" s="41">
        <f>COUNTIF(ET_Status,M94)</f>
        <v/>
      </c>
      <c r="U94" s="29" t="n"/>
      <c r="V94" s="42" t="inlineStr">
        <is>
          <t>Ersatzlösung / Retrofit klären</t>
        </is>
      </c>
      <c r="W94" s="29" t="n"/>
      <c r="X94" s="29" t="n"/>
      <c r="Y94" s="29" t="n"/>
      <c r="Z94" s="1" t="n"/>
      <c r="AA94" s="1" t="n"/>
      <c r="AB94" s="1" t="n"/>
      <c r="AC94" s="1" t="n"/>
      <c r="AD94" s="1" t="n"/>
      <c r="AE94" s="1" t="n"/>
      <c r="AF94" s="1" t="n"/>
      <c r="AG94" s="1" t="n"/>
      <c r="AH94" s="1" t="n"/>
    </row>
    <row r="95" ht="18.95" customHeight="1">
      <c r="A95" s="1" t="n"/>
      <c r="B95" s="19">
        <f>Einstellungen!$G$68</f>
        <v/>
      </c>
      <c r="C95" s="20" t="n"/>
      <c r="D95" s="20" t="n"/>
      <c r="E95" s="20" t="n"/>
      <c r="F95" s="20" t="n"/>
      <c r="G95" s="20">
        <f>COUNTIF(Anl_Option,B95)</f>
        <v/>
      </c>
      <c r="H95" s="20" t="n"/>
      <c r="I95" s="39">
        <f>SUMIFS(Anl_Invest,Anl_Option,B95)</f>
        <v/>
      </c>
      <c r="J95" s="20" t="n"/>
      <c r="K95" s="20" t="n"/>
      <c r="L95" s="1" t="n"/>
      <c r="M95" s="40" t="inlineStr">
        <is>
          <t>abgekündigt – Endbevorratung prüfen</t>
        </is>
      </c>
      <c r="N95" s="29" t="n"/>
      <c r="O95" s="29" t="n"/>
      <c r="P95" s="29" t="n"/>
      <c r="Q95" s="29" t="n"/>
      <c r="R95" s="29" t="n"/>
      <c r="S95" s="29" t="n"/>
      <c r="T95" s="41">
        <f>COUNTIF(ET_Status,M95)</f>
        <v/>
      </c>
      <c r="U95" s="29" t="n"/>
      <c r="V95" s="42" t="inlineStr">
        <is>
          <t>Last-Time-Buy prüfen</t>
        </is>
      </c>
      <c r="W95" s="29" t="n"/>
      <c r="X95" s="29" t="n"/>
      <c r="Y95" s="29" t="n"/>
      <c r="Z95" s="1" t="n"/>
      <c r="AA95" s="1" t="n"/>
      <c r="AB95" s="1" t="n"/>
      <c r="AC95" s="1" t="n"/>
      <c r="AD95" s="1" t="n"/>
      <c r="AE95" s="1" t="n"/>
      <c r="AF95" s="1" t="n"/>
      <c r="AG95" s="1" t="n"/>
      <c r="AH95" s="1" t="n"/>
    </row>
    <row r="96" ht="18.95" customHeight="1">
      <c r="A96" s="1" t="n"/>
      <c r="B96" s="19">
        <f>Einstellungen!$G$69</f>
        <v/>
      </c>
      <c r="C96" s="20" t="n"/>
      <c r="D96" s="20" t="n"/>
      <c r="E96" s="20" t="n"/>
      <c r="F96" s="20" t="n"/>
      <c r="G96" s="20">
        <f>COUNTIF(Anl_Option,B96)</f>
        <v/>
      </c>
      <c r="H96" s="20" t="n"/>
      <c r="I96" s="39">
        <f>SUMIFS(Anl_Invest,Anl_Option,B96)</f>
        <v/>
      </c>
      <c r="J96" s="20" t="n"/>
      <c r="K96" s="20" t="n"/>
      <c r="L96" s="1" t="n"/>
      <c r="M96" s="40" t="inlineStr">
        <is>
          <t>Alleinlieferant – Lieferung absichern</t>
        </is>
      </c>
      <c r="N96" s="29" t="n"/>
      <c r="O96" s="29" t="n"/>
      <c r="P96" s="29" t="n"/>
      <c r="Q96" s="29" t="n"/>
      <c r="R96" s="29" t="n"/>
      <c r="S96" s="29" t="n"/>
      <c r="T96" s="41">
        <f>COUNTIF(ET_Status,M96)</f>
        <v/>
      </c>
      <c r="U96" s="29" t="n"/>
      <c r="V96" s="42" t="inlineStr">
        <is>
          <t>Rahmenvertrag / Zweitquelle</t>
        </is>
      </c>
      <c r="W96" s="29" t="n"/>
      <c r="X96" s="29" t="n"/>
      <c r="Y96" s="29" t="n"/>
      <c r="Z96" s="1" t="n"/>
      <c r="AA96" s="1" t="n"/>
      <c r="AB96" s="1" t="n"/>
      <c r="AC96" s="1" t="n"/>
      <c r="AD96" s="1" t="n"/>
      <c r="AE96" s="1" t="n"/>
      <c r="AF96" s="1" t="n"/>
      <c r="AG96" s="1" t="n"/>
      <c r="AH96" s="1" t="n"/>
    </row>
    <row r="97" ht="18.95" customHeight="1">
      <c r="A97" s="1" t="n"/>
      <c r="B97" s="24" t="inlineStr">
        <is>
          <t>Gesamt</t>
        </is>
      </c>
      <c r="C97" s="25" t="n"/>
      <c r="D97" s="25" t="n"/>
      <c r="E97" s="25" t="n"/>
      <c r="F97" s="25" t="n"/>
      <c r="G97" s="25">
        <f>SUM(G92:G96)</f>
        <v/>
      </c>
      <c r="H97" s="25" t="n"/>
      <c r="I97" s="43">
        <f>SUM(Anl_Invest)</f>
        <v/>
      </c>
      <c r="J97" s="25" t="n"/>
      <c r="K97" s="25" t="n"/>
      <c r="L97" s="1" t="n"/>
      <c r="M97" s="40" t="inlineStr">
        <is>
          <t>in Ordnung</t>
        </is>
      </c>
      <c r="N97" s="29" t="n"/>
      <c r="O97" s="29" t="n"/>
      <c r="P97" s="29" t="n"/>
      <c r="Q97" s="29" t="n"/>
      <c r="R97" s="29" t="n"/>
      <c r="S97" s="29" t="n"/>
      <c r="T97" s="41">
        <f>COUNTIF(ET_Status,M97)</f>
        <v/>
      </c>
      <c r="U97" s="29" t="n"/>
      <c r="V97" s="42" t="inlineStr">
        <is>
          <t>keine Maßnahme</t>
        </is>
      </c>
      <c r="W97" s="29" t="n"/>
      <c r="X97" s="29" t="n"/>
      <c r="Y97" s="29" t="n"/>
      <c r="Z97" s="1" t="n"/>
      <c r="AA97" s="1" t="n"/>
      <c r="AB97" s="1" t="n"/>
      <c r="AC97" s="1" t="n"/>
      <c r="AD97" s="1" t="n"/>
      <c r="AE97" s="1" t="n"/>
      <c r="AF97" s="1" t="n"/>
      <c r="AG97" s="1" t="n"/>
      <c r="AH97" s="1" t="n"/>
    </row>
    <row r="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row>
    <row r="99">
      <c r="A99" s="1" t="n"/>
      <c r="B99" s="5" t="inlineStr">
        <is>
          <t>Risikozahl = Ausfallwahrscheinlichkeit (W, 1–5) × Auswirkung (A, 1–5); Skalen und Klassengrenzen im Blatt „Einstellungen“. Investitionswerte sind Schätzungen aus dem Blatt „Anlagenübersicht“.</t>
        </is>
      </c>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row>
  </sheetData>
  <mergeCells count="285">
    <mergeCell ref="M80:Y80"/>
    <mergeCell ref="C61:F61"/>
    <mergeCell ref="C55:H55"/>
    <mergeCell ref="N20:O20"/>
    <mergeCell ref="I97:K97"/>
    <mergeCell ref="P20:Q20"/>
    <mergeCell ref="O52:R52"/>
    <mergeCell ref="O68:S68"/>
    <mergeCell ref="N85:O85"/>
    <mergeCell ref="X71:Y71"/>
    <mergeCell ref="Q78:S78"/>
    <mergeCell ref="I96:K96"/>
    <mergeCell ref="L53:M53"/>
    <mergeCell ref="G97:H97"/>
    <mergeCell ref="W7:Y7"/>
    <mergeCell ref="N22:O22"/>
    <mergeCell ref="X66:Y66"/>
    <mergeCell ref="P22:Q22"/>
    <mergeCell ref="B80:K80"/>
    <mergeCell ref="P83:S83"/>
    <mergeCell ref="N12:O12"/>
    <mergeCell ref="C52:H52"/>
    <mergeCell ref="C62:F62"/>
    <mergeCell ref="T62:U62"/>
    <mergeCell ref="N9:P9"/>
    <mergeCell ref="O65:S65"/>
    <mergeCell ref="M92:S92"/>
    <mergeCell ref="B99:Y99"/>
    <mergeCell ref="P85:S85"/>
    <mergeCell ref="E7:G7"/>
    <mergeCell ref="W8:Y8"/>
    <mergeCell ref="N14:O14"/>
    <mergeCell ref="G69:N69"/>
    <mergeCell ref="C64:F64"/>
    <mergeCell ref="T64:U64"/>
    <mergeCell ref="P84:S84"/>
    <mergeCell ref="T61:U61"/>
    <mergeCell ref="C63:F63"/>
    <mergeCell ref="N4:P4"/>
    <mergeCell ref="P13:Q13"/>
    <mergeCell ref="I52:J52"/>
    <mergeCell ref="O62:S62"/>
    <mergeCell ref="O54:R54"/>
    <mergeCell ref="B11:Q11"/>
    <mergeCell ref="O70:S70"/>
    <mergeCell ref="T70:U70"/>
    <mergeCell ref="V70:W70"/>
    <mergeCell ref="H78:J78"/>
    <mergeCell ref="N87:O87"/>
    <mergeCell ref="B92:F92"/>
    <mergeCell ref="M90:Y90"/>
    <mergeCell ref="G64:N64"/>
    <mergeCell ref="B75:Y75"/>
    <mergeCell ref="Q77:S77"/>
    <mergeCell ref="G91:H91"/>
    <mergeCell ref="N15:O15"/>
    <mergeCell ref="K9:M9"/>
    <mergeCell ref="B22:G22"/>
    <mergeCell ref="P15:Q15"/>
    <mergeCell ref="N24:O24"/>
    <mergeCell ref="G94:H94"/>
    <mergeCell ref="T96:U96"/>
    <mergeCell ref="P24:Q24"/>
    <mergeCell ref="B94:F94"/>
    <mergeCell ref="B12:G12"/>
    <mergeCell ref="O55:R55"/>
    <mergeCell ref="V62:W62"/>
    <mergeCell ref="N83:O83"/>
    <mergeCell ref="B21:G21"/>
    <mergeCell ref="T67:U67"/>
    <mergeCell ref="N26:O26"/>
    <mergeCell ref="X70:Y70"/>
    <mergeCell ref="P26:Q26"/>
    <mergeCell ref="B14:G14"/>
    <mergeCell ref="T91:U91"/>
    <mergeCell ref="B8:D8"/>
    <mergeCell ref="N16:O16"/>
    <mergeCell ref="B23:G23"/>
    <mergeCell ref="N25:O25"/>
    <mergeCell ref="G71:N71"/>
    <mergeCell ref="E78:G78"/>
    <mergeCell ref="P25:Q25"/>
    <mergeCell ref="N8:P8"/>
    <mergeCell ref="B13:G13"/>
    <mergeCell ref="L57:M57"/>
    <mergeCell ref="C67:F67"/>
    <mergeCell ref="M91:S91"/>
    <mergeCell ref="S52:T52"/>
    <mergeCell ref="I92:K92"/>
    <mergeCell ref="B96:F96"/>
    <mergeCell ref="H7:J7"/>
    <mergeCell ref="T93:U93"/>
    <mergeCell ref="E77:G77"/>
    <mergeCell ref="X82:Y82"/>
    <mergeCell ref="K8:M8"/>
    <mergeCell ref="I57:J57"/>
    <mergeCell ref="T76:V76"/>
    <mergeCell ref="I54:J54"/>
    <mergeCell ref="C69:F69"/>
    <mergeCell ref="T68:U68"/>
    <mergeCell ref="M93:S93"/>
    <mergeCell ref="O29:Y29"/>
    <mergeCell ref="T8:V8"/>
    <mergeCell ref="W9:Y9"/>
    <mergeCell ref="Q3:T3"/>
    <mergeCell ref="B9:D9"/>
    <mergeCell ref="G66:N66"/>
    <mergeCell ref="V91:Y91"/>
    <mergeCell ref="T92:U92"/>
    <mergeCell ref="K7:M7"/>
    <mergeCell ref="I56:J56"/>
    <mergeCell ref="O53:R53"/>
    <mergeCell ref="H77:J77"/>
    <mergeCell ref="X68:Y68"/>
    <mergeCell ref="X83:Y83"/>
    <mergeCell ref="B76:D76"/>
    <mergeCell ref="G68:N68"/>
    <mergeCell ref="T94:U94"/>
    <mergeCell ref="Q7:S7"/>
    <mergeCell ref="X85:Y85"/>
    <mergeCell ref="T66:U66"/>
    <mergeCell ref="N13:O13"/>
    <mergeCell ref="V66:W66"/>
    <mergeCell ref="N84:O84"/>
    <mergeCell ref="B25:G25"/>
    <mergeCell ref="B3:G3"/>
    <mergeCell ref="U54:Y54"/>
    <mergeCell ref="O61:S61"/>
    <mergeCell ref="X69:Y69"/>
    <mergeCell ref="U55:Y55"/>
    <mergeCell ref="P86:S86"/>
    <mergeCell ref="E8:G8"/>
    <mergeCell ref="B27:G27"/>
    <mergeCell ref="T95:U95"/>
    <mergeCell ref="P14:Q14"/>
    <mergeCell ref="Q8:S8"/>
    <mergeCell ref="T78:V78"/>
    <mergeCell ref="C71:F71"/>
    <mergeCell ref="M95:S95"/>
    <mergeCell ref="V65:W65"/>
    <mergeCell ref="I91:K91"/>
    <mergeCell ref="K76:M76"/>
    <mergeCell ref="V61:W61"/>
    <mergeCell ref="O56:R56"/>
    <mergeCell ref="C54:H54"/>
    <mergeCell ref="W76:Y76"/>
    <mergeCell ref="M97:S97"/>
    <mergeCell ref="I93:K93"/>
    <mergeCell ref="P87:S87"/>
    <mergeCell ref="E9:G9"/>
    <mergeCell ref="B78:D78"/>
    <mergeCell ref="C56:H56"/>
    <mergeCell ref="G70:N70"/>
    <mergeCell ref="V64:W64"/>
    <mergeCell ref="C66:F66"/>
    <mergeCell ref="E88:I88"/>
    <mergeCell ref="K77:M77"/>
    <mergeCell ref="V95:Y95"/>
    <mergeCell ref="X87:Y87"/>
    <mergeCell ref="R1:U1"/>
    <mergeCell ref="T63:U63"/>
    <mergeCell ref="V63:W63"/>
    <mergeCell ref="O63:S63"/>
    <mergeCell ref="C68:F68"/>
    <mergeCell ref="N18:O18"/>
    <mergeCell ref="P27:Q27"/>
    <mergeCell ref="G62:N62"/>
    <mergeCell ref="T7:V7"/>
    <mergeCell ref="B15:G15"/>
    <mergeCell ref="T71:U71"/>
    <mergeCell ref="N17:O17"/>
    <mergeCell ref="B24:G24"/>
    <mergeCell ref="X65:Y65"/>
    <mergeCell ref="P17:Q17"/>
    <mergeCell ref="C57:H57"/>
    <mergeCell ref="U53:Y53"/>
    <mergeCell ref="O69:S69"/>
    <mergeCell ref="H76:J76"/>
    <mergeCell ref="N82:O82"/>
    <mergeCell ref="I94:K94"/>
    <mergeCell ref="U3:Y3"/>
    <mergeCell ref="S53:T53"/>
    <mergeCell ref="C53:H53"/>
    <mergeCell ref="H8:J8"/>
    <mergeCell ref="K78:M78"/>
    <mergeCell ref="G95:H95"/>
    <mergeCell ref="N19:O19"/>
    <mergeCell ref="B26:G26"/>
    <mergeCell ref="X63:Y63"/>
    <mergeCell ref="S11:Y11"/>
    <mergeCell ref="P19:Q19"/>
    <mergeCell ref="O51:Y51"/>
    <mergeCell ref="C65:F65"/>
    <mergeCell ref="T77:V77"/>
    <mergeCell ref="W78:Y78"/>
    <mergeCell ref="U52:Y52"/>
    <mergeCell ref="T69:U69"/>
    <mergeCell ref="B82:C86"/>
    <mergeCell ref="V93:Y93"/>
    <mergeCell ref="B16:G16"/>
    <mergeCell ref="S55:T55"/>
    <mergeCell ref="N76:P76"/>
    <mergeCell ref="O64:S64"/>
    <mergeCell ref="L52:M52"/>
    <mergeCell ref="I95:K95"/>
    <mergeCell ref="P12:Q12"/>
    <mergeCell ref="Q4:T4"/>
    <mergeCell ref="M94:S94"/>
    <mergeCell ref="O67:S67"/>
    <mergeCell ref="S54:T54"/>
    <mergeCell ref="P82:S82"/>
    <mergeCell ref="H9:J9"/>
    <mergeCell ref="B18:G18"/>
    <mergeCell ref="X84:Y84"/>
    <mergeCell ref="B77:D77"/>
    <mergeCell ref="U4:Y4"/>
    <mergeCell ref="N3:P3"/>
    <mergeCell ref="G96:H96"/>
    <mergeCell ref="V68:W68"/>
    <mergeCell ref="C70:F70"/>
    <mergeCell ref="N77:P77"/>
    <mergeCell ref="N86:O86"/>
    <mergeCell ref="S56:T56"/>
    <mergeCell ref="B91:F91"/>
    <mergeCell ref="T9:V9"/>
    <mergeCell ref="X86:Y86"/>
    <mergeCell ref="B2:Y2"/>
    <mergeCell ref="B17:G17"/>
    <mergeCell ref="V67:W67"/>
    <mergeCell ref="X67:Y67"/>
    <mergeCell ref="B60:Y60"/>
    <mergeCell ref="X61:Y61"/>
    <mergeCell ref="T97:U97"/>
    <mergeCell ref="B93:F93"/>
    <mergeCell ref="G67:N67"/>
    <mergeCell ref="B29:M29"/>
    <mergeCell ref="G61:N61"/>
    <mergeCell ref="B19:G19"/>
    <mergeCell ref="V69:W69"/>
    <mergeCell ref="T65:U65"/>
    <mergeCell ref="N21:O21"/>
    <mergeCell ref="P21:Q21"/>
    <mergeCell ref="M96:S96"/>
    <mergeCell ref="Q9:S9"/>
    <mergeCell ref="N78:P78"/>
    <mergeCell ref="V92:Y92"/>
    <mergeCell ref="G93:H93"/>
    <mergeCell ref="I53:J53"/>
    <mergeCell ref="X62:Y62"/>
    <mergeCell ref="N23:O23"/>
    <mergeCell ref="E76:G76"/>
    <mergeCell ref="W77:Y77"/>
    <mergeCell ref="H3:M3"/>
    <mergeCell ref="P23:Q23"/>
    <mergeCell ref="L55:M55"/>
    <mergeCell ref="B90:K90"/>
    <mergeCell ref="B20:G20"/>
    <mergeCell ref="U56:Y56"/>
    <mergeCell ref="Q76:S76"/>
    <mergeCell ref="V97:Y97"/>
    <mergeCell ref="G92:H92"/>
    <mergeCell ref="V94:Y94"/>
    <mergeCell ref="B6:Y6"/>
    <mergeCell ref="B51:M51"/>
    <mergeCell ref="I55:J55"/>
    <mergeCell ref="P16:Q16"/>
    <mergeCell ref="X64:Y64"/>
    <mergeCell ref="L54:M54"/>
    <mergeCell ref="V96:Y96"/>
    <mergeCell ref="B4:G4"/>
    <mergeCell ref="O71:S71"/>
    <mergeCell ref="B7:D7"/>
    <mergeCell ref="G65:N65"/>
    <mergeCell ref="P18:Q18"/>
    <mergeCell ref="N7:P7"/>
    <mergeCell ref="L56:M56"/>
    <mergeCell ref="B95:F95"/>
    <mergeCell ref="H4:M4"/>
    <mergeCell ref="B1:Q1"/>
    <mergeCell ref="G63:N63"/>
    <mergeCell ref="B72:Y72"/>
    <mergeCell ref="V71:W71"/>
    <mergeCell ref="N27:O27"/>
    <mergeCell ref="O66:S66"/>
    <mergeCell ref="B97:F97"/>
  </mergeCells>
  <conditionalFormatting sqref="E8">
    <cfRule type="expression" priority="1" dxfId="0">
      <formula>$E$8="gut"</formula>
    </cfRule>
    <cfRule type="expression" priority="2" dxfId="1">
      <formula>$E$8="mittel"</formula>
    </cfRule>
    <cfRule type="expression" priority="3" dxfId="2">
      <formula>LEFT($E$8,8)="kritisch"</formula>
    </cfRule>
  </conditionalFormatting>
  <conditionalFormatting sqref="K8">
    <cfRule type="cellIs" priority="4" operator="greaterThan" dxfId="3">
      <formula>0</formula>
    </cfRule>
  </conditionalFormatting>
  <conditionalFormatting sqref="Q8">
    <cfRule type="cellIs" priority="5" operator="greaterThan" dxfId="2">
      <formula>0</formula>
    </cfRule>
  </conditionalFormatting>
  <conditionalFormatting sqref="T8">
    <cfRule type="expression" priority="6" dxfId="3">
      <formula>COUNTIF(Aud_Status,"überfällig")&gt;0</formula>
    </cfRule>
  </conditionalFormatting>
  <conditionalFormatting sqref="I13:I26">
    <cfRule type="cellIs" priority="7" operator="greaterThan" dxfId="4">
      <formula>0</formula>
    </cfRule>
  </conditionalFormatting>
  <conditionalFormatting sqref="N13:N26">
    <cfRule type="dataBar" priority="8">
      <dataBar>
        <cfvo type="num" val="0"/>
        <cfvo type="num" val="1"/>
        <color rgb="00B8C7E0"/>
      </dataBar>
    </cfRule>
  </conditionalFormatting>
  <conditionalFormatting sqref="P13:Q27">
    <cfRule type="expression" priority="9" dxfId="0">
      <formula>$P13="gut"</formula>
    </cfRule>
    <cfRule type="expression" priority="10" dxfId="1">
      <formula>$P13="mittel"</formula>
    </cfRule>
    <cfRule type="expression" priority="11" dxfId="5">
      <formula>LEFT($P13,8)="kritisch"</formula>
    </cfRule>
  </conditionalFormatting>
  <conditionalFormatting sqref="I53:J57">
    <cfRule type="expression" priority="12" dxfId="0">
      <formula>AND($I53&lt;&gt;"",$I53&gt;=Ampel_gruen)</formula>
    </cfRule>
    <cfRule type="expression" priority="13" dxfId="1">
      <formula>AND($I53&lt;&gt;"",$I53&gt;=Ampel_gelb,$I53&lt;Ampel_gruen)</formula>
    </cfRule>
    <cfRule type="expression" priority="14" dxfId="5">
      <formula>AND($I53&lt;&gt;"",$I53&lt;Ampel_gelb)</formula>
    </cfRule>
  </conditionalFormatting>
  <conditionalFormatting sqref="U53">
    <cfRule type="dataBar" priority="15">
      <dataBar>
        <cfvo type="num" val="0"/>
        <cfvo type="num" val="1"/>
        <color rgb="00EE9B9B"/>
      </dataBar>
    </cfRule>
  </conditionalFormatting>
  <conditionalFormatting sqref="U54">
    <cfRule type="dataBar" priority="16">
      <dataBar>
        <cfvo type="num" val="0"/>
        <cfvo type="num" val="1"/>
        <color rgb="00F3CF7A"/>
      </dataBar>
    </cfRule>
  </conditionalFormatting>
  <conditionalFormatting sqref="U55">
    <cfRule type="dataBar" priority="17">
      <dataBar>
        <cfvo type="num" val="0"/>
        <cfvo type="num" val="1"/>
        <color rgb="008FD9A3"/>
      </dataBar>
    </cfRule>
  </conditionalFormatting>
  <conditionalFormatting sqref="O53:R53">
    <cfRule type="expression" priority="18" dxfId="4">
      <formula>$S$53&gt;0</formula>
    </cfRule>
  </conditionalFormatting>
  <conditionalFormatting sqref="X62:Y71">
    <cfRule type="cellIs" priority="19" operator="equal" dxfId="5">
      <formula>"überfällig"</formula>
    </cfRule>
    <cfRule type="cellIs" priority="20" operator="equal" dxfId="1">
      <formula>"offen"</formula>
    </cfRule>
    <cfRule type="cellIs" priority="21" operator="equal" dxfId="0">
      <formula>"erledigt"</formula>
    </cfRule>
  </conditionalFormatting>
  <conditionalFormatting sqref="O62:W71">
    <cfRule type="cellIs" priority="22" operator="equal" dxfId="4">
      <formula>"– fehlt –"</formula>
    </cfRule>
  </conditionalFormatting>
  <conditionalFormatting sqref="E77">
    <cfRule type="cellIs" priority="23" operator="greaterThan" dxfId="3">
      <formula>0</formula>
    </cfRule>
  </conditionalFormatting>
  <conditionalFormatting sqref="N77">
    <cfRule type="cellIs" priority="24" operator="greaterThan" dxfId="3">
      <formula>0</formula>
    </cfRule>
  </conditionalFormatting>
  <conditionalFormatting sqref="Q77">
    <cfRule type="cellIs" priority="25" operator="greaterThan" dxfId="3">
      <formula>0</formula>
    </cfRule>
  </conditionalFormatting>
  <conditionalFormatting sqref="T77">
    <cfRule type="cellIs" priority="26" operator="greaterThan" dxfId="3">
      <formula>0</formula>
    </cfRule>
  </conditionalFormatting>
  <conditionalFormatting sqref="E82">
    <cfRule type="expression" priority="27" dxfId="5" stopIfTrue="1">
      <formula>5&gt;=Risiko_hoch</formula>
    </cfRule>
    <cfRule type="expression" priority="28" dxfId="1" stopIfTrue="1">
      <formula>5&gt;=Risiko_mittel</formula>
    </cfRule>
    <cfRule type="expression" priority="29" dxfId="0">
      <formula>TRUE</formula>
    </cfRule>
  </conditionalFormatting>
  <conditionalFormatting sqref="F82">
    <cfRule type="expression" priority="30" dxfId="5" stopIfTrue="1">
      <formula>10&gt;=Risiko_hoch</formula>
    </cfRule>
    <cfRule type="expression" priority="31" dxfId="1" stopIfTrue="1">
      <formula>10&gt;=Risiko_mittel</formula>
    </cfRule>
    <cfRule type="expression" priority="32" dxfId="0">
      <formula>TRUE</formula>
    </cfRule>
  </conditionalFormatting>
  <conditionalFormatting sqref="G82">
    <cfRule type="expression" priority="33" dxfId="5" stopIfTrue="1">
      <formula>15&gt;=Risiko_hoch</formula>
    </cfRule>
    <cfRule type="expression" priority="34" dxfId="1" stopIfTrue="1">
      <formula>15&gt;=Risiko_mittel</formula>
    </cfRule>
    <cfRule type="expression" priority="35" dxfId="0">
      <formula>TRUE</formula>
    </cfRule>
  </conditionalFormatting>
  <conditionalFormatting sqref="H82">
    <cfRule type="expression" priority="36" dxfId="5" stopIfTrue="1">
      <formula>20&gt;=Risiko_hoch</formula>
    </cfRule>
    <cfRule type="expression" priority="37" dxfId="1" stopIfTrue="1">
      <formula>20&gt;=Risiko_mittel</formula>
    </cfRule>
    <cfRule type="expression" priority="38" dxfId="0">
      <formula>TRUE</formula>
    </cfRule>
  </conditionalFormatting>
  <conditionalFormatting sqref="I82">
    <cfRule type="expression" priority="39" dxfId="5" stopIfTrue="1">
      <formula>25&gt;=Risiko_hoch</formula>
    </cfRule>
    <cfRule type="expression" priority="40" dxfId="1" stopIfTrue="1">
      <formula>25&gt;=Risiko_mittel</formula>
    </cfRule>
    <cfRule type="expression" priority="41" dxfId="0">
      <formula>TRUE</formula>
    </cfRule>
  </conditionalFormatting>
  <conditionalFormatting sqref="E83">
    <cfRule type="expression" priority="42" dxfId="5" stopIfTrue="1">
      <formula>4&gt;=Risiko_hoch</formula>
    </cfRule>
    <cfRule type="expression" priority="43" dxfId="1" stopIfTrue="1">
      <formula>4&gt;=Risiko_mittel</formula>
    </cfRule>
    <cfRule type="expression" priority="44" dxfId="0">
      <formula>TRUE</formula>
    </cfRule>
  </conditionalFormatting>
  <conditionalFormatting sqref="F83">
    <cfRule type="expression" priority="45" dxfId="5" stopIfTrue="1">
      <formula>8&gt;=Risiko_hoch</formula>
    </cfRule>
    <cfRule type="expression" priority="46" dxfId="1" stopIfTrue="1">
      <formula>8&gt;=Risiko_mittel</formula>
    </cfRule>
    <cfRule type="expression" priority="47" dxfId="0">
      <formula>TRUE</formula>
    </cfRule>
  </conditionalFormatting>
  <conditionalFormatting sqref="G83">
    <cfRule type="expression" priority="48" dxfId="5" stopIfTrue="1">
      <formula>12&gt;=Risiko_hoch</formula>
    </cfRule>
    <cfRule type="expression" priority="49" dxfId="1" stopIfTrue="1">
      <formula>12&gt;=Risiko_mittel</formula>
    </cfRule>
    <cfRule type="expression" priority="50" dxfId="0">
      <formula>TRUE</formula>
    </cfRule>
  </conditionalFormatting>
  <conditionalFormatting sqref="H83">
    <cfRule type="expression" priority="51" dxfId="5" stopIfTrue="1">
      <formula>16&gt;=Risiko_hoch</formula>
    </cfRule>
    <cfRule type="expression" priority="52" dxfId="1" stopIfTrue="1">
      <formula>16&gt;=Risiko_mittel</formula>
    </cfRule>
    <cfRule type="expression" priority="53" dxfId="0">
      <formula>TRUE</formula>
    </cfRule>
  </conditionalFormatting>
  <conditionalFormatting sqref="I83">
    <cfRule type="expression" priority="54" dxfId="5" stopIfTrue="1">
      <formula>20&gt;=Risiko_hoch</formula>
    </cfRule>
    <cfRule type="expression" priority="55" dxfId="1" stopIfTrue="1">
      <formula>20&gt;=Risiko_mittel</formula>
    </cfRule>
    <cfRule type="expression" priority="56" dxfId="0">
      <formula>TRUE</formula>
    </cfRule>
  </conditionalFormatting>
  <conditionalFormatting sqref="E84">
    <cfRule type="expression" priority="57" dxfId="5" stopIfTrue="1">
      <formula>3&gt;=Risiko_hoch</formula>
    </cfRule>
    <cfRule type="expression" priority="58" dxfId="1" stopIfTrue="1">
      <formula>3&gt;=Risiko_mittel</formula>
    </cfRule>
    <cfRule type="expression" priority="59" dxfId="0">
      <formula>TRUE</formula>
    </cfRule>
  </conditionalFormatting>
  <conditionalFormatting sqref="F84">
    <cfRule type="expression" priority="60" dxfId="5" stopIfTrue="1">
      <formula>6&gt;=Risiko_hoch</formula>
    </cfRule>
    <cfRule type="expression" priority="61" dxfId="1" stopIfTrue="1">
      <formula>6&gt;=Risiko_mittel</formula>
    </cfRule>
    <cfRule type="expression" priority="62" dxfId="0">
      <formula>TRUE</formula>
    </cfRule>
  </conditionalFormatting>
  <conditionalFormatting sqref="G84">
    <cfRule type="expression" priority="63" dxfId="5" stopIfTrue="1">
      <formula>9&gt;=Risiko_hoch</formula>
    </cfRule>
    <cfRule type="expression" priority="64" dxfId="1" stopIfTrue="1">
      <formula>9&gt;=Risiko_mittel</formula>
    </cfRule>
    <cfRule type="expression" priority="65" dxfId="0">
      <formula>TRUE</formula>
    </cfRule>
  </conditionalFormatting>
  <conditionalFormatting sqref="H84">
    <cfRule type="expression" priority="66" dxfId="5" stopIfTrue="1">
      <formula>12&gt;=Risiko_hoch</formula>
    </cfRule>
    <cfRule type="expression" priority="67" dxfId="1" stopIfTrue="1">
      <formula>12&gt;=Risiko_mittel</formula>
    </cfRule>
    <cfRule type="expression" priority="68" dxfId="0">
      <formula>TRUE</formula>
    </cfRule>
  </conditionalFormatting>
  <conditionalFormatting sqref="I84">
    <cfRule type="expression" priority="69" dxfId="5" stopIfTrue="1">
      <formula>15&gt;=Risiko_hoch</formula>
    </cfRule>
    <cfRule type="expression" priority="70" dxfId="1" stopIfTrue="1">
      <formula>15&gt;=Risiko_mittel</formula>
    </cfRule>
    <cfRule type="expression" priority="71" dxfId="0">
      <formula>TRUE</formula>
    </cfRule>
  </conditionalFormatting>
  <conditionalFormatting sqref="E85">
    <cfRule type="expression" priority="72" dxfId="5" stopIfTrue="1">
      <formula>2&gt;=Risiko_hoch</formula>
    </cfRule>
    <cfRule type="expression" priority="73" dxfId="1" stopIfTrue="1">
      <formula>2&gt;=Risiko_mittel</formula>
    </cfRule>
    <cfRule type="expression" priority="74" dxfId="0">
      <formula>TRUE</formula>
    </cfRule>
  </conditionalFormatting>
  <conditionalFormatting sqref="F85">
    <cfRule type="expression" priority="75" dxfId="5" stopIfTrue="1">
      <formula>4&gt;=Risiko_hoch</formula>
    </cfRule>
    <cfRule type="expression" priority="76" dxfId="1" stopIfTrue="1">
      <formula>4&gt;=Risiko_mittel</formula>
    </cfRule>
    <cfRule type="expression" priority="77" dxfId="0">
      <formula>TRUE</formula>
    </cfRule>
  </conditionalFormatting>
  <conditionalFormatting sqref="G85">
    <cfRule type="expression" priority="78" dxfId="5" stopIfTrue="1">
      <formula>6&gt;=Risiko_hoch</formula>
    </cfRule>
    <cfRule type="expression" priority="79" dxfId="1" stopIfTrue="1">
      <formula>6&gt;=Risiko_mittel</formula>
    </cfRule>
    <cfRule type="expression" priority="80" dxfId="0">
      <formula>TRUE</formula>
    </cfRule>
  </conditionalFormatting>
  <conditionalFormatting sqref="H85">
    <cfRule type="expression" priority="81" dxfId="5" stopIfTrue="1">
      <formula>8&gt;=Risiko_hoch</formula>
    </cfRule>
    <cfRule type="expression" priority="82" dxfId="1" stopIfTrue="1">
      <formula>8&gt;=Risiko_mittel</formula>
    </cfRule>
    <cfRule type="expression" priority="83" dxfId="0">
      <formula>TRUE</formula>
    </cfRule>
  </conditionalFormatting>
  <conditionalFormatting sqref="I85">
    <cfRule type="expression" priority="84" dxfId="5" stopIfTrue="1">
      <formula>10&gt;=Risiko_hoch</formula>
    </cfRule>
    <cfRule type="expression" priority="85" dxfId="1" stopIfTrue="1">
      <formula>10&gt;=Risiko_mittel</formula>
    </cfRule>
    <cfRule type="expression" priority="86" dxfId="0">
      <formula>TRUE</formula>
    </cfRule>
  </conditionalFormatting>
  <conditionalFormatting sqref="E86">
    <cfRule type="expression" priority="87" dxfId="5" stopIfTrue="1">
      <formula>1&gt;=Risiko_hoch</formula>
    </cfRule>
    <cfRule type="expression" priority="88" dxfId="1" stopIfTrue="1">
      <formula>1&gt;=Risiko_mittel</formula>
    </cfRule>
    <cfRule type="expression" priority="89" dxfId="0">
      <formula>TRUE</formula>
    </cfRule>
  </conditionalFormatting>
  <conditionalFormatting sqref="F86">
    <cfRule type="expression" priority="90" dxfId="5" stopIfTrue="1">
      <formula>2&gt;=Risiko_hoch</formula>
    </cfRule>
    <cfRule type="expression" priority="91" dxfId="1" stopIfTrue="1">
      <formula>2&gt;=Risiko_mittel</formula>
    </cfRule>
    <cfRule type="expression" priority="92" dxfId="0">
      <formula>TRUE</formula>
    </cfRule>
  </conditionalFormatting>
  <conditionalFormatting sqref="G86">
    <cfRule type="expression" priority="93" dxfId="5" stopIfTrue="1">
      <formula>3&gt;=Risiko_hoch</formula>
    </cfRule>
    <cfRule type="expression" priority="94" dxfId="1" stopIfTrue="1">
      <formula>3&gt;=Risiko_mittel</formula>
    </cfRule>
    <cfRule type="expression" priority="95" dxfId="0">
      <formula>TRUE</formula>
    </cfRule>
  </conditionalFormatting>
  <conditionalFormatting sqref="H86">
    <cfRule type="expression" priority="96" dxfId="5" stopIfTrue="1">
      <formula>4&gt;=Risiko_hoch</formula>
    </cfRule>
    <cfRule type="expression" priority="97" dxfId="1" stopIfTrue="1">
      <formula>4&gt;=Risiko_mittel</formula>
    </cfRule>
    <cfRule type="expression" priority="98" dxfId="0">
      <formula>TRUE</formula>
    </cfRule>
  </conditionalFormatting>
  <conditionalFormatting sqref="I86">
    <cfRule type="expression" priority="99" dxfId="5" stopIfTrue="1">
      <formula>5&gt;=Risiko_hoch</formula>
    </cfRule>
    <cfRule type="expression" priority="100" dxfId="1" stopIfTrue="1">
      <formula>5&gt;=Risiko_mittel</formula>
    </cfRule>
    <cfRule type="expression" priority="101" dxfId="0">
      <formula>TRUE</formula>
    </cfRule>
  </conditionalFormatting>
  <conditionalFormatting sqref="X83:Y87">
    <cfRule type="expression" priority="102" dxfId="6">
      <formula>$X83="hoch"</formula>
    </cfRule>
    <cfRule type="expression" priority="103" dxfId="7">
      <formula>$X83="mittel"</formula>
    </cfRule>
    <cfRule type="expression" priority="104" dxfId="8">
      <formula>$X83="gering"</formula>
    </cfRule>
  </conditionalFormatting>
  <conditionalFormatting sqref="M92:S92">
    <cfRule type="expression" priority="105" dxfId="5">
      <formula>$T$92&gt;0</formula>
    </cfRule>
  </conditionalFormatting>
  <conditionalFormatting sqref="M93:S93">
    <cfRule type="expression" priority="106" dxfId="1">
      <formula>$T$93&gt;0</formula>
    </cfRule>
  </conditionalFormatting>
  <conditionalFormatting sqref="M94:S94">
    <cfRule type="expression" priority="107" dxfId="5">
      <formula>$T$94&gt;0</formula>
    </cfRule>
  </conditionalFormatting>
  <conditionalFormatting sqref="M95:S95">
    <cfRule type="expression" priority="108" dxfId="1">
      <formula>$T$95&gt;0</formula>
    </cfRule>
  </conditionalFormatting>
  <conditionalFormatting sqref="M96:S96">
    <cfRule type="expression" priority="109" dxfId="1">
      <formula>$T$96&gt;0</formula>
    </cfRule>
  </conditionalFormatting>
  <conditionalFormatting sqref="M97:S97">
    <cfRule type="expression" priority="110" dxfId="0">
      <formula>$T$97&gt;0</formula>
    </cfRule>
  </conditionalFormatting>
  <pageMargins left="0.4" right="0.4" top="0.5" bottom="0.5" header="0.5" footer="0.5"/>
  <pageSetup orientation="landscape" paperSize="9" scale="58" fitToHeight="0"/>
  <headerFooter>
    <oddHeader/>
    <oddFooter>&amp;L&amp;8 Anlagenzustandsanalyse – Dashboard&amp;R&amp;8 Seite &amp;P von &amp;N</oddFooter>
    <evenHeader/>
    <evenFooter/>
    <firstHeader/>
    <firstFooter/>
  </headerFooter>
  <rowBreaks count="2" manualBreakCount="2">
    <brk id="49" min="0" max="16383" man="1"/>
    <brk id="73" min="0" max="16383" man="1"/>
  </rowBreaks>
  <drawing xmlns:r="http://schemas.openxmlformats.org/officeDocument/2006/relationships" r:id="rId1"/>
</worksheet>
</file>

<file path=xl/worksheets/sheet2.xml><?xml version="1.0" encoding="utf-8"?>
<worksheet xmlns="http://schemas.openxmlformats.org/spreadsheetml/2006/main">
  <sheetPr>
    <tabColor rgb="0013A13D"/>
    <outlinePr summaryBelow="1" summaryRight="1"/>
    <pageSetUpPr fitToPage="1"/>
  </sheetPr>
  <dimension ref="A1:Q107"/>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6.7" customWidth="1" min="1" max="1"/>
    <col width="22.7" customWidth="1" min="2" max="2"/>
    <col width="56.7" customWidth="1" min="3" max="3"/>
    <col width="42.7" customWidth="1" min="4" max="4"/>
    <col width="15.7" customWidth="1" min="5" max="5"/>
    <col width="8.699999999999999" customWidth="1" min="6" max="6"/>
    <col width="6.7" customWidth="1" min="7" max="7"/>
    <col width="12.7" customWidth="1" min="8" max="8"/>
    <col width="28.7" customWidth="1" min="9" max="9"/>
    <col width="36.7" customWidth="1" min="10" max="10"/>
    <col width="16.7" customWidth="1" min="11" max="11"/>
    <col width="12.7" customWidth="1" min="12" max="12"/>
    <col width="9.699999999999999" customWidth="1" min="13" max="13"/>
    <col width="12.7" customWidth="1" min="14" max="14"/>
    <col width="9.699999999999999" customWidth="1" min="15" max="15"/>
    <col width="18.7" customWidth="1" min="16" max="16"/>
    <col width="8.699999999999999" customWidth="1" min="17" max="17"/>
  </cols>
  <sheetData>
    <row r="1" ht="21.95" customHeight="1">
      <c r="A1" s="44" t="inlineStr">
        <is>
          <t>Anlagenzustandsanalyse – Checkliste</t>
        </is>
      </c>
      <c r="B1" s="1" t="n"/>
      <c r="C1" s="1" t="n"/>
      <c r="D1" s="1" t="n"/>
      <c r="E1" s="1" t="n"/>
      <c r="F1" s="1" t="n"/>
      <c r="G1" s="1" t="n"/>
      <c r="H1" s="1" t="n"/>
      <c r="I1" s="1" t="n"/>
      <c r="J1" s="1" t="n"/>
      <c r="K1" s="1" t="n"/>
      <c r="L1" s="1" t="n"/>
      <c r="M1" s="1" t="n"/>
      <c r="N1" s="1" t="n"/>
      <c r="O1" s="1" t="n"/>
      <c r="P1" s="1" t="n"/>
      <c r="Q1" s="1" t="n"/>
    </row>
    <row r="2">
      <c r="A2" s="45" t="inlineStr">
        <is>
          <t>Gelbe Felder ausfüllen. Bewertung je Prüfpunkt: N.I.O · bed. OK · OK · n. b. – die Auswertung steht im Blatt „Dashboard“.</t>
        </is>
      </c>
      <c r="B2" s="1" t="n"/>
      <c r="C2" s="1" t="n"/>
      <c r="D2" s="1" t="n"/>
      <c r="E2" s="1" t="n"/>
      <c r="F2" s="1" t="n"/>
      <c r="G2" s="1" t="n"/>
      <c r="H2" s="1" t="n"/>
      <c r="I2" s="1" t="n"/>
      <c r="J2" s="46" t="inlineStr">
        <is>
          <t>Ergebnis</t>
        </is>
      </c>
      <c r="K2" s="1" t="n"/>
      <c r="L2" s="1" t="n"/>
      <c r="M2" s="1" t="n"/>
      <c r="N2" s="1" t="n"/>
      <c r="O2" s="1" t="n"/>
      <c r="P2" s="1" t="n"/>
      <c r="Q2" s="1" t="n"/>
    </row>
    <row r="3" ht="18" customHeight="1">
      <c r="A3" s="47" t="inlineStr">
        <is>
          <t>Werk / Standort</t>
        </is>
      </c>
      <c r="B3" s="1" t="n"/>
      <c r="C3" s="48" t="n"/>
      <c r="D3" s="49" t="inlineStr">
        <is>
          <t xml:space="preserve">Datum  </t>
        </is>
      </c>
      <c r="E3" s="50" t="n"/>
      <c r="F3" s="51" t="n"/>
      <c r="G3" s="51" t="n"/>
      <c r="H3" s="51" t="n"/>
      <c r="I3" s="1" t="n"/>
      <c r="J3" s="52" t="inlineStr">
        <is>
          <t>N.I.O</t>
        </is>
      </c>
      <c r="K3" s="52" t="inlineStr">
        <is>
          <t>bed. OK</t>
        </is>
      </c>
      <c r="L3" s="52" t="inlineStr">
        <is>
          <t>OK</t>
        </is>
      </c>
      <c r="M3" s="52" t="inlineStr">
        <is>
          <t>n. b.</t>
        </is>
      </c>
      <c r="N3" s="52" t="inlineStr">
        <is>
          <t>offen</t>
        </is>
      </c>
      <c r="O3" s="52" t="inlineStr">
        <is>
          <t>K.O.</t>
        </is>
      </c>
      <c r="P3" s="52" t="inlineStr">
        <is>
          <t>Erfüllungsgrad</t>
        </is>
      </c>
      <c r="Q3" s="1" t="n"/>
    </row>
    <row r="4" ht="18" customHeight="1">
      <c r="A4" s="47" t="inlineStr">
        <is>
          <t>Anlage / Maschinengruppe</t>
        </is>
      </c>
      <c r="B4" s="1" t="n"/>
      <c r="C4" s="48" t="n"/>
      <c r="D4" s="49" t="inlineStr">
        <is>
          <t xml:space="preserve">Auditor  </t>
        </is>
      </c>
      <c r="E4" s="51" t="n"/>
      <c r="F4" s="51" t="n"/>
      <c r="G4" s="51" t="n"/>
      <c r="H4" s="51" t="n"/>
      <c r="I4" s="1" t="n"/>
      <c r="J4" s="53">
        <f>COUNTIF(Aud_Bew,"N.I.O")</f>
        <v/>
      </c>
      <c r="K4" s="53">
        <f>COUNTIF(Aud_Bew,"bed. OK")</f>
        <v/>
      </c>
      <c r="L4" s="53">
        <f>COUNTIF(Aud_Bew,"OK")</f>
        <v/>
      </c>
      <c r="M4" s="53">
        <f>COUNTIF(Aud_Bew,"n. b.")</f>
        <v/>
      </c>
      <c r="N4" s="53">
        <f>COUNTA(Aud_Punkt)-SUM(J4:M4)</f>
        <v/>
      </c>
      <c r="O4" s="53">
        <f>COUNTIFS(Aud_KO,"K.O.",Aud_Bew,"N.I.O")</f>
        <v/>
      </c>
      <c r="P4" s="54">
        <f>IFERROR((SUMIFS(Aud_Gew,Aud_Bew,"OK")+Gewicht_bedOK*SUMIFS(Aud_Gew,Aud_Bew,"bed. OK"))/(SUMIFS(Aud_Gew,Aud_Bew,"N.I.O")+SUMIFS(Aud_Gew,Aud_Bew,"bed. OK")+SUMIFS(Aud_Gew,Aud_Bew,"OK")),"")</f>
        <v/>
      </c>
      <c r="Q4" s="1" t="n"/>
    </row>
    <row r="5" ht="18" customHeight="1">
      <c r="A5" s="47" t="inlineStr">
        <is>
          <t>Equipment-Nr. (bei Gruppe: alle)</t>
        </is>
      </c>
      <c r="B5" s="1" t="n"/>
      <c r="C5" s="48" t="n"/>
      <c r="D5" s="49" t="inlineStr">
        <is>
          <t xml:space="preserve">Geltungsbereich  </t>
        </is>
      </c>
      <c r="E5" s="51" t="n"/>
      <c r="F5" s="51" t="n"/>
      <c r="G5" s="51" t="n"/>
      <c r="H5" s="51" t="n"/>
      <c r="I5" s="1" t="n"/>
      <c r="J5" s="55" t="inlineStr">
        <is>
          <t>Erfüllungsgrad = Σ(Gewicht × Wertung) ÷ Σ(Gewicht) der mit N.I.O, bed. OK oder OK bewerteten Punkte (OK = 100 %, bed. OK = Gewicht aus „Einstellungen“, N.I.O = 0 %). „n. b.“ und offene Punkte zählen nicht. K.O.-Punkt mit N.I.O ⇒ „kritisch (K.O.)“.</t>
        </is>
      </c>
      <c r="K5" s="1" t="n"/>
      <c r="L5" s="1" t="n"/>
      <c r="M5" s="1" t="n"/>
      <c r="N5" s="1" t="n"/>
      <c r="O5" s="1" t="n"/>
      <c r="P5" s="41">
        <f>IF(P4="","nicht bewertet",IF(AND(KO_aktiv="ja",O4&gt;0),"kritisch (K.O.)",IF(P4&gt;=Ampel_gruen,"gut",IF(P4&gt;=Ampel_gelb,"mittel","kritisch"))))</f>
        <v/>
      </c>
      <c r="Q5" s="1" t="n"/>
    </row>
    <row r="6" ht="18" customHeight="1">
      <c r="A6" s="47" t="inlineStr">
        <is>
          <t>Teilnehmer</t>
        </is>
      </c>
      <c r="B6" s="1" t="n"/>
      <c r="C6" s="48" t="n"/>
      <c r="D6" s="49" t="inlineStr">
        <is>
          <t xml:space="preserve">Kostenstelle / Bereich  </t>
        </is>
      </c>
      <c r="E6" s="51" t="n"/>
      <c r="F6" s="51" t="n"/>
      <c r="G6" s="51" t="n"/>
      <c r="H6" s="51" t="n"/>
      <c r="I6" s="1" t="n"/>
      <c r="J6" s="1" t="n"/>
      <c r="K6" s="1" t="n"/>
      <c r="L6" s="1" t="n"/>
      <c r="M6" s="1" t="n"/>
      <c r="N6" s="1" t="n"/>
      <c r="O6" s="1" t="n"/>
      <c r="P6" s="56" t="n"/>
      <c r="Q6" s="1" t="n"/>
    </row>
    <row r="7" ht="6" customHeight="1">
      <c r="A7" s="1" t="n"/>
      <c r="B7" s="1" t="n"/>
      <c r="C7" s="1" t="n"/>
      <c r="D7" s="1" t="n"/>
      <c r="E7" s="1" t="n"/>
      <c r="F7" s="1" t="n"/>
      <c r="G7" s="1" t="n"/>
      <c r="H7" s="1" t="n"/>
      <c r="I7" s="1" t="n"/>
      <c r="J7" s="1" t="n"/>
      <c r="K7" s="1" t="n"/>
      <c r="L7" s="1" t="n"/>
      <c r="M7" s="1" t="n"/>
      <c r="N7" s="1" t="n"/>
      <c r="O7" s="1" t="n"/>
      <c r="P7" s="1" t="n"/>
      <c r="Q7" s="1" t="n"/>
    </row>
    <row r="8" ht="26.1" customHeight="1">
      <c r="A8" s="52" t="inlineStr">
        <is>
          <t>Nr.</t>
        </is>
      </c>
      <c r="B8" s="52" t="inlineStr">
        <is>
          <t>Kapitel</t>
        </is>
      </c>
      <c r="C8" s="52" t="inlineStr">
        <is>
          <t>Check-Punkt</t>
        </is>
      </c>
      <c r="D8" s="52" t="inlineStr">
        <is>
          <t>Check-Punkt (EN)</t>
        </is>
      </c>
      <c r="E8" s="52" t="inlineStr">
        <is>
          <t>Normbezug</t>
        </is>
      </c>
      <c r="F8" s="52" t="inlineStr">
        <is>
          <t>Gewicht</t>
        </is>
      </c>
      <c r="G8" s="52" t="inlineStr">
        <is>
          <t>K.O.</t>
        </is>
      </c>
      <c r="H8" s="52" t="inlineStr">
        <is>
          <t>Bewertung</t>
        </is>
      </c>
      <c r="I8" s="52" t="inlineStr">
        <is>
          <t>Nachweis / Evidenz</t>
        </is>
      </c>
      <c r="J8" s="52" t="inlineStr">
        <is>
          <t>Maßnahmen / Bemerkung</t>
        </is>
      </c>
      <c r="K8" s="52" t="inlineStr">
        <is>
          <t>Verantwortlich</t>
        </is>
      </c>
      <c r="L8" s="52" t="inlineStr">
        <is>
          <t>Termin</t>
        </is>
      </c>
      <c r="M8" s="52" t="inlineStr">
        <is>
          <t>Erledigt</t>
        </is>
      </c>
      <c r="N8" s="52" t="inlineStr">
        <is>
          <t>Status</t>
        </is>
      </c>
      <c r="O8" s="52" t="inlineStr">
        <is>
          <t>Maßn.-Nr.</t>
        </is>
      </c>
      <c r="P8" s="52" t="inlineStr">
        <is>
          <t>Herkunft</t>
        </is>
      </c>
      <c r="Q8" s="52" t="inlineStr">
        <is>
          <t>N.I.O-Nr.</t>
        </is>
      </c>
    </row>
    <row r="9" ht="42.25" customHeight="1">
      <c r="A9" s="57">
        <f>IF(C9="","",COUNTA($C$9:C9))</f>
        <v/>
      </c>
      <c r="B9" s="58" t="inlineStr">
        <is>
          <t>Technischer Zustand</t>
        </is>
      </c>
      <c r="C9" s="58" t="inlineStr">
        <is>
          <t>Ist der allgemeine Zustand der Maschine in Ordnung (Sauberkeit, Umgebung, Kennzeichnung mit Anlagenbezeichnung / Equipment-Nr.)?</t>
        </is>
      </c>
      <c r="D9" s="59" t="inlineStr">
        <is>
          <t>Is the general condition of the machine in order (cleanliness, surroundings, labelling with machine name / equipment no.)?</t>
        </is>
      </c>
      <c r="E9" s="60" t="inlineStr">
        <is>
          <t>IATF 7.1.4.1</t>
        </is>
      </c>
      <c r="F9" s="61" t="n">
        <v>1</v>
      </c>
      <c r="G9" s="62" t="n"/>
      <c r="H9" s="63" t="n"/>
      <c r="I9" s="64" t="n"/>
      <c r="J9" s="64" t="n"/>
      <c r="K9" s="64" t="n"/>
      <c r="L9" s="65" t="n"/>
      <c r="M9" s="61" t="n"/>
      <c r="N9" s="41">
        <f>IF(OR(H9="N.I.O",H9="bed. OK"),IF(M9="ja","erledigt",IF(AND(L9&lt;&gt;"",L9&lt;TODAY()),"überfällig","offen")),"")</f>
        <v/>
      </c>
      <c r="O9" s="66">
        <f>IF(OR(H9="N.I.O",H9="bed. OK"),COUNTIF($H$9:H9,"N.I.O")+COUNTIF($H$9:H9,"bed. OK"),"")</f>
        <v/>
      </c>
      <c r="P9" s="60" t="inlineStr">
        <is>
          <t>Vorlage M 1 / A1 B6</t>
        </is>
      </c>
      <c r="Q9" s="66">
        <f>IF(H9="N.I.O",COUNTIF($H$9:H9,"N.I.O"),"")</f>
        <v/>
      </c>
    </row>
    <row r="10" ht="42.25" customHeight="1">
      <c r="A10" s="57">
        <f>IF(C10="","",COUNTA($C$9:C10))</f>
        <v/>
      </c>
      <c r="B10" s="58" t="inlineStr">
        <is>
          <t>Technischer Zustand</t>
        </is>
      </c>
      <c r="C10" s="58" t="inlineStr">
        <is>
          <t>Wird das Umfeld der Anlage in einem ordentlichen, sauberen und instand gehaltenen Zustand gehalten (5S, feste Plätze)?</t>
        </is>
      </c>
      <c r="D10" s="59" t="inlineStr">
        <is>
          <t>Is the area around the machine kept in an orderly, clean and well-maintained condition (5S, fixed locations)?</t>
        </is>
      </c>
      <c r="E10" s="60" t="inlineStr">
        <is>
          <t>IATF 7.1.4.1</t>
        </is>
      </c>
      <c r="F10" s="61" t="n">
        <v>1</v>
      </c>
      <c r="G10" s="62" t="n"/>
      <c r="H10" s="63" t="n"/>
      <c r="I10" s="64" t="n"/>
      <c r="J10" s="64" t="n"/>
      <c r="K10" s="64" t="n"/>
      <c r="L10" s="65" t="n"/>
      <c r="M10" s="61" t="n"/>
      <c r="N10" s="41">
        <f>IF(OR(H10="N.I.O",H10="bed. OK"),IF(M10="ja","erledigt",IF(AND(L10&lt;&gt;"",L10&lt;TODAY()),"überfällig","offen")),"")</f>
        <v/>
      </c>
      <c r="O10" s="66">
        <f>IF(OR(H10="N.I.O",H10="bed. OK"),COUNTIF($H$9:H10,"N.I.O")+COUNTIF($H$9:H10,"bed. OK"),"")</f>
        <v/>
      </c>
      <c r="P10" s="60" t="inlineStr">
        <is>
          <t>Vorlage A1 B15</t>
        </is>
      </c>
      <c r="Q10" s="66">
        <f>IF(H10="N.I.O",COUNTIF($H$9:H10,"N.I.O"),"")</f>
        <v/>
      </c>
    </row>
    <row r="11" ht="42.25" customHeight="1">
      <c r="A11" s="57">
        <f>IF(C11="","",COUNTA($C$9:C11))</f>
        <v/>
      </c>
      <c r="B11" s="58" t="inlineStr">
        <is>
          <t>Technischer Zustand</t>
        </is>
      </c>
      <c r="C11" s="58" t="inlineStr">
        <is>
          <t>Sind Funktion und Zustand der Mechanik in Ordnung (Führungen, Lager, Spindeln, Spiel) – bezogen auf die letzte Inspektion?</t>
        </is>
      </c>
      <c r="D11" s="59" t="inlineStr">
        <is>
          <t>Are function and condition of the mechanics in order (guides, bearings, spindles, backlash) – based on the last inspection?</t>
        </is>
      </c>
      <c r="E11" s="60" t="inlineStr">
        <is>
          <t>DIN 31051</t>
        </is>
      </c>
      <c r="F11" s="61" t="n">
        <v>2</v>
      </c>
      <c r="G11" s="62" t="n"/>
      <c r="H11" s="63" t="n"/>
      <c r="I11" s="64" t="n"/>
      <c r="J11" s="64" t="n"/>
      <c r="K11" s="64" t="n"/>
      <c r="L11" s="65" t="n"/>
      <c r="M11" s="61" t="n"/>
      <c r="N11" s="41">
        <f>IF(OR(H11="N.I.O",H11="bed. OK"),IF(M11="ja","erledigt",IF(AND(L11&lt;&gt;"",L11&lt;TODAY()),"überfällig","offen")),"")</f>
        <v/>
      </c>
      <c r="O11" s="66">
        <f>IF(OR(H11="N.I.O",H11="bed. OK"),COUNTIF($H$9:H11,"N.I.O")+COUNTIF($H$9:H11,"bed. OK"),"")</f>
        <v/>
      </c>
      <c r="P11" s="60" t="inlineStr">
        <is>
          <t>Vorlage M 2.5</t>
        </is>
      </c>
      <c r="Q11" s="66">
        <f>IF(H11="N.I.O",COUNTIF($H$9:H11,"N.I.O"),"")</f>
        <v/>
      </c>
    </row>
    <row r="12" ht="30" customHeight="1">
      <c r="A12" s="57">
        <f>IF(C12="","",COUNTA($C$9:C12))</f>
        <v/>
      </c>
      <c r="B12" s="58" t="inlineStr">
        <is>
          <t>Technischer Zustand</t>
        </is>
      </c>
      <c r="C12" s="58" t="inlineStr">
        <is>
          <t>Sind Funktion und Zustand der Hydraulik in Ordnung (Dichtheit, Ölzustand, Drücke, Filter)?</t>
        </is>
      </c>
      <c r="D12" s="59" t="inlineStr">
        <is>
          <t>Are function and condition of the hydraulics in order (tightness, oil condition, pressures, filters)?</t>
        </is>
      </c>
      <c r="E12" s="60" t="inlineStr">
        <is>
          <t>DIN 31051</t>
        </is>
      </c>
      <c r="F12" s="61" t="n">
        <v>2</v>
      </c>
      <c r="G12" s="62" t="n"/>
      <c r="H12" s="63" t="n"/>
      <c r="I12" s="64" t="n"/>
      <c r="J12" s="64" t="n"/>
      <c r="K12" s="64" t="n"/>
      <c r="L12" s="65" t="n"/>
      <c r="M12" s="61" t="n"/>
      <c r="N12" s="41">
        <f>IF(OR(H12="N.I.O",H12="bed. OK"),IF(M12="ja","erledigt",IF(AND(L12&lt;&gt;"",L12&lt;TODAY()),"überfällig","offen")),"")</f>
        <v/>
      </c>
      <c r="O12" s="66">
        <f>IF(OR(H12="N.I.O",H12="bed. OK"),COUNTIF($H$9:H12,"N.I.O")+COUNTIF($H$9:H12,"bed. OK"),"")</f>
        <v/>
      </c>
      <c r="P12" s="60" t="inlineStr">
        <is>
          <t>Vorlage M 2.6</t>
        </is>
      </c>
      <c r="Q12" s="66">
        <f>IF(H12="N.I.O",COUNTIF($H$9:H12,"N.I.O"),"")</f>
        <v/>
      </c>
    </row>
    <row r="13" ht="30" customHeight="1">
      <c r="A13" s="57">
        <f>IF(C13="","",COUNTA($C$9:C13))</f>
        <v/>
      </c>
      <c r="B13" s="58" t="inlineStr">
        <is>
          <t>Technischer Zustand</t>
        </is>
      </c>
      <c r="C13" s="58" t="inlineStr">
        <is>
          <t>Sind Funktion und Zustand der Pneumatik in Ordnung (Dichtheit, Wartungseinheit, Ventile)?</t>
        </is>
      </c>
      <c r="D13" s="59" t="inlineStr">
        <is>
          <t>Are function and condition of the pneumatics in order (tightness, service unit, valves)?</t>
        </is>
      </c>
      <c r="E13" s="60" t="inlineStr">
        <is>
          <t>DIN 31051</t>
        </is>
      </c>
      <c r="F13" s="61" t="n">
        <v>2</v>
      </c>
      <c r="G13" s="62" t="n"/>
      <c r="H13" s="63" t="n"/>
      <c r="I13" s="64" t="n"/>
      <c r="J13" s="64" t="n"/>
      <c r="K13" s="64" t="n"/>
      <c r="L13" s="65" t="n"/>
      <c r="M13" s="61" t="n"/>
      <c r="N13" s="41">
        <f>IF(OR(H13="N.I.O",H13="bed. OK"),IF(M13="ja","erledigt",IF(AND(L13&lt;&gt;"",L13&lt;TODAY()),"überfällig","offen")),"")</f>
        <v/>
      </c>
      <c r="O13" s="66">
        <f>IF(OR(H13="N.I.O",H13="bed. OK"),COUNTIF($H$9:H13,"N.I.O")+COUNTIF($H$9:H13,"bed. OK"),"")</f>
        <v/>
      </c>
      <c r="P13" s="60" t="inlineStr">
        <is>
          <t>Vorlage M 2.7</t>
        </is>
      </c>
      <c r="Q13" s="66">
        <f>IF(H13="N.I.O",COUNTIF($H$9:H13,"N.I.O"),"")</f>
        <v/>
      </c>
    </row>
    <row r="14" ht="42.25" customHeight="1">
      <c r="A14" s="57">
        <f>IF(C14="","",COUNTA($C$9:C14))</f>
        <v/>
      </c>
      <c r="B14" s="58" t="inlineStr">
        <is>
          <t>Technischer Zustand</t>
        </is>
      </c>
      <c r="C14" s="58" t="inlineStr">
        <is>
          <t>Sind Funktion und Zustand der Elektrik in Ordnung (Schaltschrank, Verkabelung, Klimatisierung, Sensorik)?</t>
        </is>
      </c>
      <c r="D14" s="59" t="inlineStr">
        <is>
          <t>Are function and condition of the electrics in order (control cabinet, wiring, air conditioning, sensors)?</t>
        </is>
      </c>
      <c r="E14" s="60" t="inlineStr">
        <is>
          <t>DIN 31051</t>
        </is>
      </c>
      <c r="F14" s="61" t="n">
        <v>2</v>
      </c>
      <c r="G14" s="62" t="n"/>
      <c r="H14" s="63" t="n"/>
      <c r="I14" s="64" t="n"/>
      <c r="J14" s="64" t="n"/>
      <c r="K14" s="64" t="n"/>
      <c r="L14" s="65" t="n"/>
      <c r="M14" s="61" t="n"/>
      <c r="N14" s="41">
        <f>IF(OR(H14="N.I.O",H14="bed. OK"),IF(M14="ja","erledigt",IF(AND(L14&lt;&gt;"",L14&lt;TODAY()),"überfällig","offen")),"")</f>
        <v/>
      </c>
      <c r="O14" s="66">
        <f>IF(OR(H14="N.I.O",H14="bed. OK"),COUNTIF($H$9:H14,"N.I.O")+COUNTIF($H$9:H14,"bed. OK"),"")</f>
        <v/>
      </c>
      <c r="P14" s="60" t="inlineStr">
        <is>
          <t>Vorlage M 2.8</t>
        </is>
      </c>
      <c r="Q14" s="66">
        <f>IF(H14="N.I.O",COUNTIF($H$9:H14,"N.I.O"),"")</f>
        <v/>
      </c>
    </row>
    <row r="15" ht="30" customHeight="1">
      <c r="A15" s="57">
        <f>IF(C15="","",COUNTA($C$9:C15))</f>
        <v/>
      </c>
      <c r="B15" s="58" t="inlineStr">
        <is>
          <t>Technischer Zustand</t>
        </is>
      </c>
      <c r="C15" s="58" t="inlineStr">
        <is>
          <t>Arbeiten Steuerung, Antriebe und Bedienpanel (HMI) zuverlässig, ohne wiederkehrende Fehlermeldungen?</t>
        </is>
      </c>
      <c r="D15" s="59" t="inlineStr">
        <is>
          <t>Do the control system, drives and operator panel (HMI) work reliably without recurring error messages?</t>
        </is>
      </c>
      <c r="E15" s="60" t="inlineStr">
        <is>
          <t>DIN 31051</t>
        </is>
      </c>
      <c r="F15" s="61" t="n">
        <v>2</v>
      </c>
      <c r="G15" s="62" t="n"/>
      <c r="H15" s="63" t="n"/>
      <c r="I15" s="64" t="n"/>
      <c r="J15" s="64" t="n"/>
      <c r="K15" s="64" t="n"/>
      <c r="L15" s="65" t="n"/>
      <c r="M15" s="61" t="n"/>
      <c r="N15" s="41">
        <f>IF(OR(H15="N.I.O",H15="bed. OK"),IF(M15="ja","erledigt",IF(AND(L15&lt;&gt;"",L15&lt;TODAY()),"überfällig","offen")),"")</f>
        <v/>
      </c>
      <c r="O15" s="66">
        <f>IF(OR(H15="N.I.O",H15="bed. OK"),COUNTIF($H$9:H15,"N.I.O")+COUNTIF($H$9:H15,"bed. OK"),"")</f>
        <v/>
      </c>
      <c r="P15" s="60" t="inlineStr">
        <is>
          <t>NEU</t>
        </is>
      </c>
      <c r="Q15" s="66">
        <f>IF(H15="N.I.O",COUNTIF($H$9:H15,"N.I.O"),"")</f>
        <v/>
      </c>
    </row>
    <row r="16" ht="42.25" customHeight="1">
      <c r="A16" s="57">
        <f>IF(C16="","",COUNTA($C$9:C16))</f>
        <v/>
      </c>
      <c r="B16" s="58" t="inlineStr">
        <is>
          <t>Technischer Zustand</t>
        </is>
      </c>
      <c r="C16" s="58" t="inlineStr">
        <is>
          <t>Ist die Anlage frei von Auffälligkeiten wie Leckagen, ungewöhnlichen Geräuschen, Vibrationen oder Temperaturen (ggf. aus Zustandsüberwachung)?</t>
        </is>
      </c>
      <c r="D16" s="59" t="inlineStr">
        <is>
          <t>Is the machine free of abnormalities such as leaks, unusual noise, vibration or temperatures (from condition monitoring, if available)?</t>
        </is>
      </c>
      <c r="E16" s="60" t="inlineStr">
        <is>
          <t>DIN EN 13306</t>
        </is>
      </c>
      <c r="F16" s="61" t="n">
        <v>2</v>
      </c>
      <c r="G16" s="62" t="n"/>
      <c r="H16" s="63" t="n"/>
      <c r="I16" s="64" t="n"/>
      <c r="J16" s="64" t="n"/>
      <c r="K16" s="64" t="n"/>
      <c r="L16" s="65" t="n"/>
      <c r="M16" s="61" t="n"/>
      <c r="N16" s="41">
        <f>IF(OR(H16="N.I.O",H16="bed. OK"),IF(M16="ja","erledigt",IF(AND(L16&lt;&gt;"",L16&lt;TODAY()),"überfällig","offen")),"")</f>
        <v/>
      </c>
      <c r="O16" s="66">
        <f>IF(OR(H16="N.I.O",H16="bed. OK"),COUNTIF($H$9:H16,"N.I.O")+COUNTIF($H$9:H16,"bed. OK"),"")</f>
        <v/>
      </c>
      <c r="P16" s="60" t="inlineStr">
        <is>
          <t>NEU</t>
        </is>
      </c>
      <c r="Q16" s="66">
        <f>IF(H16="N.I.O",COUNTIF($H$9:H16,"N.I.O"),"")</f>
        <v/>
      </c>
    </row>
    <row r="17" ht="30" customHeight="1">
      <c r="A17" s="57">
        <f>IF(C17="","",COUNTA($C$9:C17))</f>
        <v/>
      </c>
      <c r="B17" s="58" t="inlineStr">
        <is>
          <t>Technischer Zustand</t>
        </is>
      </c>
      <c r="C17" s="58" t="inlineStr">
        <is>
          <t>Sind Baujahr, Betriebsstunden und letzte Generalüberholung bekannt und dokumentiert?</t>
        </is>
      </c>
      <c r="D17" s="59" t="inlineStr">
        <is>
          <t>Are year of construction, operating hours and the last general overhaul known and documented?</t>
        </is>
      </c>
      <c r="E17" s="60" t="inlineStr">
        <is>
          <t>DIN EN 13306</t>
        </is>
      </c>
      <c r="F17" s="61" t="n">
        <v>1</v>
      </c>
      <c r="G17" s="62" t="n"/>
      <c r="H17" s="63" t="n"/>
      <c r="I17" s="64" t="n"/>
      <c r="J17" s="64" t="n"/>
      <c r="K17" s="64" t="n"/>
      <c r="L17" s="65" t="n"/>
      <c r="M17" s="61" t="n"/>
      <c r="N17" s="41">
        <f>IF(OR(H17="N.I.O",H17="bed. OK"),IF(M17="ja","erledigt",IF(AND(L17&lt;&gt;"",L17&lt;TODAY()),"überfällig","offen")),"")</f>
        <v/>
      </c>
      <c r="O17" s="66">
        <f>IF(OR(H17="N.I.O",H17="bed. OK"),COUNTIF($H$9:H17,"N.I.O")+COUNTIF($H$9:H17,"bed. OK"),"")</f>
        <v/>
      </c>
      <c r="P17" s="60" t="inlineStr">
        <is>
          <t>NEU</t>
        </is>
      </c>
      <c r="Q17" s="66">
        <f>IF(H17="N.I.O",COUNTIF($H$9:H17,"N.I.O"),"")</f>
        <v/>
      </c>
    </row>
    <row r="18" ht="30" customHeight="1">
      <c r="A18" s="57">
        <f>IF(C18="","",COUNTA($C$9:C18))</f>
        <v/>
      </c>
      <c r="B18" s="58" t="inlineStr">
        <is>
          <t>Technischer Zustand</t>
        </is>
      </c>
      <c r="C18" s="58" t="inlineStr">
        <is>
          <t>Ist die Maschinen- bzw. Prozessfähigkeit (Cmk / Cpk) für die relevanten Merkmale nachgewiesen und stabil?</t>
        </is>
      </c>
      <c r="D18" s="59" t="inlineStr">
        <is>
          <t>Is machine / process capability (Cmk / Cpk) for the relevant characteristics proven and stable?</t>
        </is>
      </c>
      <c r="E18" s="60" t="inlineStr">
        <is>
          <t>IATF 9.1.1.1</t>
        </is>
      </c>
      <c r="F18" s="61" t="n">
        <v>2</v>
      </c>
      <c r="G18" s="62" t="n"/>
      <c r="H18" s="63" t="n"/>
      <c r="I18" s="64" t="n"/>
      <c r="J18" s="64" t="n"/>
      <c r="K18" s="64" t="n"/>
      <c r="L18" s="65" t="n"/>
      <c r="M18" s="61" t="n"/>
      <c r="N18" s="41">
        <f>IF(OR(H18="N.I.O",H18="bed. OK"),IF(M18="ja","erledigt",IF(AND(L18&lt;&gt;"",L18&lt;TODAY()),"überfällig","offen")),"")</f>
        <v/>
      </c>
      <c r="O18" s="66">
        <f>IF(OR(H18="N.I.O",H18="bed. OK"),COUNTIF($H$9:H18,"N.I.O")+COUNTIF($H$9:H18,"bed. OK"),"")</f>
        <v/>
      </c>
      <c r="P18" s="60" t="inlineStr">
        <is>
          <t>NEU</t>
        </is>
      </c>
      <c r="Q18" s="66">
        <f>IF(H18="N.I.O",COUNTIF($H$9:H18,"N.I.O"),"")</f>
        <v/>
      </c>
    </row>
    <row r="19" ht="30" customHeight="1">
      <c r="A19" s="57">
        <f>IF(C19="","",COUNTA($C$9:C19))</f>
        <v/>
      </c>
      <c r="B19" s="58" t="inlineStr">
        <is>
          <t>Betriebsbereitschaft</t>
        </is>
      </c>
      <c r="C19" s="58" t="inlineStr">
        <is>
          <t>Ist die Anlage betriebsbereit und für die Produktion freigegeben – ohne Provisorien oder Überbrückungen?</t>
        </is>
      </c>
      <c r="D19" s="59" t="inlineStr">
        <is>
          <t>Is the machine ready for operation and released for production – without temporary fixes or bypasses?</t>
        </is>
      </c>
      <c r="E19" s="60" t="inlineStr">
        <is>
          <t>IATF 8.5.1.5</t>
        </is>
      </c>
      <c r="F19" s="61" t="n">
        <v>2</v>
      </c>
      <c r="G19" s="62" t="n"/>
      <c r="H19" s="63" t="n"/>
      <c r="I19" s="64" t="n"/>
      <c r="J19" s="64" t="n"/>
      <c r="K19" s="64" t="n"/>
      <c r="L19" s="65" t="n"/>
      <c r="M19" s="61" t="n"/>
      <c r="N19" s="41">
        <f>IF(OR(H19="N.I.O",H19="bed. OK"),IF(M19="ja","erledigt",IF(AND(L19&lt;&gt;"",L19&lt;TODAY()),"überfällig","offen")),"")</f>
        <v/>
      </c>
      <c r="O19" s="66">
        <f>IF(OR(H19="N.I.O",H19="bed. OK"),COUNTIF($H$9:H19,"N.I.O")+COUNTIF($H$9:H19,"bed. OK"),"")</f>
        <v/>
      </c>
      <c r="P19" s="60" t="inlineStr">
        <is>
          <t>Vorlage A1 B18 (präzisiert)</t>
        </is>
      </c>
      <c r="Q19" s="66">
        <f>IF(H19="N.I.O",COUNTIF($H$9:H19,"N.I.O"),"")</f>
        <v/>
      </c>
    </row>
    <row r="20" ht="30" customHeight="1">
      <c r="A20" s="57">
        <f>IF(C20="","",COUNTA($C$9:C20))</f>
        <v/>
      </c>
      <c r="B20" s="58" t="inlineStr">
        <is>
          <t>Betriebsbereitschaft</t>
        </is>
      </c>
      <c r="C20" s="58" t="inlineStr">
        <is>
          <t>Gibt es eine festgelegte Vorgehensweise beim Rüsten (Rüstanweisung, Qualifikationsmatrix)?</t>
        </is>
      </c>
      <c r="D20" s="59" t="inlineStr">
        <is>
          <t>Is there a defined set-up procedure (set-up instruction, qualification matrix)?</t>
        </is>
      </c>
      <c r="E20" s="60" t="inlineStr">
        <is>
          <t>IATF 8.5.1.3</t>
        </is>
      </c>
      <c r="F20" s="61" t="n">
        <v>1</v>
      </c>
      <c r="G20" s="62" t="n"/>
      <c r="H20" s="63" t="n"/>
      <c r="I20" s="64" t="n"/>
      <c r="J20" s="64" t="n"/>
      <c r="K20" s="64" t="n"/>
      <c r="L20" s="65" t="n"/>
      <c r="M20" s="61" t="n"/>
      <c r="N20" s="41">
        <f>IF(OR(H20="N.I.O",H20="bed. OK"),IF(M20="ja","erledigt",IF(AND(L20&lt;&gt;"",L20&lt;TODAY()),"überfällig","offen")),"")</f>
        <v/>
      </c>
      <c r="O20" s="66">
        <f>IF(OR(H20="N.I.O",H20="bed. OK"),COUNTIF($H$9:H20,"N.I.O")+COUNTIF($H$9:H20,"bed. OK"),"")</f>
        <v/>
      </c>
      <c r="P20" s="60" t="inlineStr">
        <is>
          <t>Vorlage M 3</t>
        </is>
      </c>
      <c r="Q20" s="66">
        <f>IF(H20="N.I.O",COUNTIF($H$9:H20,"N.I.O"),"")</f>
        <v/>
      </c>
    </row>
    <row r="21" ht="30" customHeight="1">
      <c r="A21" s="57">
        <f>IF(C21="","",COUNTA($C$9:C21))</f>
        <v/>
      </c>
      <c r="B21" s="58" t="inlineStr">
        <is>
          <t>Betriebsbereitschaft</t>
        </is>
      </c>
      <c r="C21" s="58" t="inlineStr">
        <is>
          <t>Wird jede Rüstung verifiziert und dokumentiert freigegeben (Erstteilfreigabe)?</t>
        </is>
      </c>
      <c r="D21" s="59" t="inlineStr">
        <is>
          <t>Is every set-up verified and released with documentation (first-part approval)?</t>
        </is>
      </c>
      <c r="E21" s="60" t="inlineStr">
        <is>
          <t>IATF 8.5.1.3</t>
        </is>
      </c>
      <c r="F21" s="61" t="n">
        <v>2</v>
      </c>
      <c r="G21" s="62" t="n"/>
      <c r="H21" s="63" t="n"/>
      <c r="I21" s="64" t="n"/>
      <c r="J21" s="64" t="n"/>
      <c r="K21" s="64" t="n"/>
      <c r="L21" s="65" t="n"/>
      <c r="M21" s="61" t="n"/>
      <c r="N21" s="41">
        <f>IF(OR(H21="N.I.O",H21="bed. OK"),IF(M21="ja","erledigt",IF(AND(L21&lt;&gt;"",L21&lt;TODAY()),"überfällig","offen")),"")</f>
        <v/>
      </c>
      <c r="O21" s="66">
        <f>IF(OR(H21="N.I.O",H21="bed. OK"),COUNTIF($H$9:H21,"N.I.O")+COUNTIF($H$9:H21,"bed. OK"),"")</f>
        <v/>
      </c>
      <c r="P21" s="60" t="inlineStr">
        <is>
          <t>NEU</t>
        </is>
      </c>
      <c r="Q21" s="66">
        <f>IF(H21="N.I.O",COUNTIF($H$9:H21,"N.I.O"),"")</f>
        <v/>
      </c>
    </row>
    <row r="22" ht="30" customHeight="1">
      <c r="A22" s="57">
        <f>IF(C22="","",COUNTA($C$9:C22))</f>
        <v/>
      </c>
      <c r="B22" s="58" t="inlineStr">
        <is>
          <t>Betriebsbereitschaft</t>
        </is>
      </c>
      <c r="C22" s="58" t="inlineStr">
        <is>
          <t>Wird die Anlage nach Instandsetzung oder längerem Stillstand dokumentiert geprüft und an die Produktion freigegeben?</t>
        </is>
      </c>
      <c r="D22" s="59" t="inlineStr">
        <is>
          <t>Is the machine checked and released to production with documentation after repair or longer downtime?</t>
        </is>
      </c>
      <c r="E22" s="60" t="inlineStr">
        <is>
          <t>IATF 8.5.1.4</t>
        </is>
      </c>
      <c r="F22" s="61" t="n">
        <v>2</v>
      </c>
      <c r="G22" s="62" t="n"/>
      <c r="H22" s="63" t="n"/>
      <c r="I22" s="64" t="n"/>
      <c r="J22" s="64" t="n"/>
      <c r="K22" s="64" t="n"/>
      <c r="L22" s="65" t="n"/>
      <c r="M22" s="61" t="n"/>
      <c r="N22" s="41">
        <f>IF(OR(H22="N.I.O",H22="bed. OK"),IF(M22="ja","erledigt",IF(AND(L22&lt;&gt;"",L22&lt;TODAY()),"überfällig","offen")),"")</f>
        <v/>
      </c>
      <c r="O22" s="66">
        <f>IF(OR(H22="N.I.O",H22="bed. OK"),COUNTIF($H$9:H22,"N.I.O")+COUNTIF($H$9:H22,"bed. OK"),"")</f>
        <v/>
      </c>
      <c r="P22" s="60" t="inlineStr">
        <is>
          <t>NEU</t>
        </is>
      </c>
      <c r="Q22" s="66">
        <f>IF(H22="N.I.O",COUNTIF($H$9:H22,"N.I.O"),"")</f>
        <v/>
      </c>
    </row>
    <row r="23" ht="30" customHeight="1">
      <c r="A23" s="57">
        <f>IF(C23="","",COUNTA($C$9:C23))</f>
        <v/>
      </c>
      <c r="B23" s="58" t="inlineStr">
        <is>
          <t>Betriebsbereitschaft</t>
        </is>
      </c>
      <c r="C23" s="58" t="inlineStr">
        <is>
          <t>Ist die Versorgung mit Medien gesichert (Strom, Druckluft, Kühlwasser, Absaugung, Hydraulikaggregat)?</t>
        </is>
      </c>
      <c r="D23" s="59" t="inlineStr">
        <is>
          <t>Is the supply of utilities secured (power, compressed air, cooling water, extraction, hydraulic unit)?</t>
        </is>
      </c>
      <c r="E23" s="60" t="inlineStr">
        <is>
          <t>IATF 7.1.3</t>
        </is>
      </c>
      <c r="F23" s="61" t="n">
        <v>1</v>
      </c>
      <c r="G23" s="62" t="n"/>
      <c r="H23" s="63" t="n"/>
      <c r="I23" s="64" t="n"/>
      <c r="J23" s="64" t="n"/>
      <c r="K23" s="64" t="n"/>
      <c r="L23" s="65" t="n"/>
      <c r="M23" s="61" t="n"/>
      <c r="N23" s="41">
        <f>IF(OR(H23="N.I.O",H23="bed. OK"),IF(M23="ja","erledigt",IF(AND(L23&lt;&gt;"",L23&lt;TODAY()),"überfällig","offen")),"")</f>
        <v/>
      </c>
      <c r="O23" s="66">
        <f>IF(OR(H23="N.I.O",H23="bed. OK"),COUNTIF($H$9:H23,"N.I.O")+COUNTIF($H$9:H23,"bed. OK"),"")</f>
        <v/>
      </c>
      <c r="P23" s="60" t="inlineStr">
        <is>
          <t>NEU</t>
        </is>
      </c>
      <c r="Q23" s="66">
        <f>IF(H23="N.I.O",COUNTIF($H$9:H23,"N.I.O"),"")</f>
        <v/>
      </c>
    </row>
    <row r="24" ht="30" customHeight="1">
      <c r="A24" s="57">
        <f>IF(C24="","",COUNTA($C$9:C24))</f>
        <v/>
      </c>
      <c r="B24" s="58" t="inlineStr">
        <is>
          <t>Verfügbarkeit &amp; Störanfälligkeit</t>
        </is>
      </c>
      <c r="C24" s="58" t="inlineStr">
        <is>
          <t>Wird die technische Verfügbarkeit erfasst und erreicht sie den Zielwert (Blatt „Einstellungen“)?</t>
        </is>
      </c>
      <c r="D24" s="59" t="inlineStr">
        <is>
          <t>Is technical availability recorded and does it reach the target value (sheet “Einstellungen”)?</t>
        </is>
      </c>
      <c r="E24" s="60" t="inlineStr">
        <is>
          <t>IATF 8.5.1.5 / DIN EN 15341</t>
        </is>
      </c>
      <c r="F24" s="61" t="n">
        <v>2</v>
      </c>
      <c r="G24" s="62" t="n"/>
      <c r="H24" s="63" t="n"/>
      <c r="I24" s="64" t="n"/>
      <c r="J24" s="64" t="n"/>
      <c r="K24" s="64" t="n"/>
      <c r="L24" s="65" t="n"/>
      <c r="M24" s="61" t="n"/>
      <c r="N24" s="41">
        <f>IF(OR(H24="N.I.O",H24="bed. OK"),IF(M24="ja","erledigt",IF(AND(L24&lt;&gt;"",L24&lt;TODAY()),"überfällig","offen")),"")</f>
        <v/>
      </c>
      <c r="O24" s="66">
        <f>IF(OR(H24="N.I.O",H24="bed. OK"),COUNTIF($H$9:H24,"N.I.O")+COUNTIF($H$9:H24,"bed. OK"),"")</f>
        <v/>
      </c>
      <c r="P24" s="60" t="inlineStr">
        <is>
          <t>NEU</t>
        </is>
      </c>
      <c r="Q24" s="66">
        <f>IF(H24="N.I.O",COUNTIF($H$9:H24,"N.I.O"),"")</f>
        <v/>
      </c>
    </row>
    <row r="25" ht="30" customHeight="1">
      <c r="A25" s="57">
        <f>IF(C25="","",COUNTA($C$9:C25))</f>
        <v/>
      </c>
      <c r="B25" s="58" t="inlineStr">
        <is>
          <t>Verfügbarkeit &amp; Störanfälligkeit</t>
        </is>
      </c>
      <c r="C25" s="58" t="inlineStr">
        <is>
          <t>Wird die OEE erfasst und werden die Verluste nach Ursachen (Verfügbarkeit, Leistung, Qualität) ausgewertet?</t>
        </is>
      </c>
      <c r="D25" s="59" t="inlineStr">
        <is>
          <t>Is OEE recorded and are losses analysed by cause (availability, performance, quality)?</t>
        </is>
      </c>
      <c r="E25" s="60" t="inlineStr">
        <is>
          <t>IATF 8.5.1.5</t>
        </is>
      </c>
      <c r="F25" s="61" t="n">
        <v>1</v>
      </c>
      <c r="G25" s="62" t="n"/>
      <c r="H25" s="63" t="n"/>
      <c r="I25" s="64" t="n"/>
      <c r="J25" s="64" t="n"/>
      <c r="K25" s="64" t="n"/>
      <c r="L25" s="65" t="n"/>
      <c r="M25" s="61" t="n"/>
      <c r="N25" s="41">
        <f>IF(OR(H25="N.I.O",H25="bed. OK"),IF(M25="ja","erledigt",IF(AND(L25&lt;&gt;"",L25&lt;TODAY()),"überfällig","offen")),"")</f>
        <v/>
      </c>
      <c r="O25" s="66">
        <f>IF(OR(H25="N.I.O",H25="bed. OK"),COUNTIF($H$9:H25,"N.I.O")+COUNTIF($H$9:H25,"bed. OK"),"")</f>
        <v/>
      </c>
      <c r="P25" s="60" t="inlineStr">
        <is>
          <t>NEU</t>
        </is>
      </c>
      <c r="Q25" s="66">
        <f>IF(H25="N.I.O",COUNTIF($H$9:H25,"N.I.O"),"")</f>
        <v/>
      </c>
    </row>
    <row r="26" ht="30" customHeight="1">
      <c r="A26" s="57">
        <f>IF(C26="","",COUNTA($C$9:C26))</f>
        <v/>
      </c>
      <c r="B26" s="58" t="inlineStr">
        <is>
          <t>Verfügbarkeit &amp; Störanfälligkeit</t>
        </is>
      </c>
      <c r="C26" s="58" t="inlineStr">
        <is>
          <t>Werden MTBF und MTTR ermittelt und ist der Trend über 12 Monate stabil oder positiv?</t>
        </is>
      </c>
      <c r="D26" s="59" t="inlineStr">
        <is>
          <t>Are MTBF and MTTR determined and is the 12-month trend stable or positive?</t>
        </is>
      </c>
      <c r="E26" s="60" t="inlineStr">
        <is>
          <t>IATF 8.5.1.5 / DIN EN 15341</t>
        </is>
      </c>
      <c r="F26" s="61" t="n">
        <v>2</v>
      </c>
      <c r="G26" s="62" t="n"/>
      <c r="H26" s="63" t="n"/>
      <c r="I26" s="64" t="n"/>
      <c r="J26" s="64" t="n"/>
      <c r="K26" s="64" t="n"/>
      <c r="L26" s="65" t="n"/>
      <c r="M26" s="61" t="n"/>
      <c r="N26" s="41">
        <f>IF(OR(H26="N.I.O",H26="bed. OK"),IF(M26="ja","erledigt",IF(AND(L26&lt;&gt;"",L26&lt;TODAY()),"überfällig","offen")),"")</f>
        <v/>
      </c>
      <c r="O26" s="66">
        <f>IF(OR(H26="N.I.O",H26="bed. OK"),COUNTIF($H$9:H26,"N.I.O")+COUNTIF($H$9:H26,"bed. OK"),"")</f>
        <v/>
      </c>
      <c r="P26" s="60" t="inlineStr">
        <is>
          <t>NEU</t>
        </is>
      </c>
      <c r="Q26" s="66">
        <f>IF(H26="N.I.O",COUNTIF($H$9:H26,"N.I.O"),"")</f>
        <v/>
      </c>
    </row>
    <row r="27" ht="30" customHeight="1">
      <c r="A27" s="57">
        <f>IF(C27="","",COUNTA($C$9:C27))</f>
        <v/>
      </c>
      <c r="B27" s="58" t="inlineStr">
        <is>
          <t>Verfügbarkeit &amp; Störanfälligkeit</t>
        </is>
      </c>
      <c r="C27" s="58" t="inlineStr">
        <is>
          <t>Ist der Anteil ungeplanter Stillstände gering bzw. rückläufig?</t>
        </is>
      </c>
      <c r="D27" s="59" t="inlineStr">
        <is>
          <t>Is the share of unplanned downtime low or decreasing?</t>
        </is>
      </c>
      <c r="E27" s="60" t="inlineStr">
        <is>
          <t>DIN EN 15341</t>
        </is>
      </c>
      <c r="F27" s="61" t="n">
        <v>1</v>
      </c>
      <c r="G27" s="62" t="n"/>
      <c r="H27" s="63" t="n"/>
      <c r="I27" s="64" t="n"/>
      <c r="J27" s="64" t="n"/>
      <c r="K27" s="64" t="n"/>
      <c r="L27" s="65" t="n"/>
      <c r="M27" s="61" t="n"/>
      <c r="N27" s="41">
        <f>IF(OR(H27="N.I.O",H27="bed. OK"),IF(M27="ja","erledigt",IF(AND(L27&lt;&gt;"",L27&lt;TODAY()),"überfällig","offen")),"")</f>
        <v/>
      </c>
      <c r="O27" s="66">
        <f>IF(OR(H27="N.I.O",H27="bed. OK"),COUNTIF($H$9:H27,"N.I.O")+COUNTIF($H$9:H27,"bed. OK"),"")</f>
        <v/>
      </c>
      <c r="P27" s="60" t="inlineStr">
        <is>
          <t>NEU</t>
        </is>
      </c>
      <c r="Q27" s="66">
        <f>IF(H27="N.I.O",COUNTIF($H$9:H27,"N.I.O"),"")</f>
        <v/>
      </c>
    </row>
    <row r="28" ht="30" customHeight="1">
      <c r="A28" s="57">
        <f>IF(C28="","",COUNTA($C$9:C28))</f>
        <v/>
      </c>
      <c r="B28" s="58" t="inlineStr">
        <is>
          <t>Verfügbarkeit &amp; Störanfälligkeit</t>
        </is>
      </c>
      <c r="C28" s="58" t="inlineStr">
        <is>
          <t>Gibt es eine festgelegte Vorgehensweise bei ungeplanten Störungen (inkl. Schwachstellenanalyse)?</t>
        </is>
      </c>
      <c r="D28" s="59" t="inlineStr">
        <is>
          <t>Is there a defined procedure for unplanned breakdowns (including weak-point analysis)?</t>
        </is>
      </c>
      <c r="E28" s="60" t="inlineStr">
        <is>
          <t>DIN 31051</t>
        </is>
      </c>
      <c r="F28" s="61" t="n">
        <v>1</v>
      </c>
      <c r="G28" s="62" t="n"/>
      <c r="H28" s="63" t="n"/>
      <c r="I28" s="64" t="n"/>
      <c r="J28" s="64" t="n"/>
      <c r="K28" s="64" t="n"/>
      <c r="L28" s="65" t="n"/>
      <c r="M28" s="61" t="n"/>
      <c r="N28" s="41">
        <f>IF(OR(H28="N.I.O",H28="bed. OK"),IF(M28="ja","erledigt",IF(AND(L28&lt;&gt;"",L28&lt;TODAY()),"überfällig","offen")),"")</f>
        <v/>
      </c>
      <c r="O28" s="66">
        <f>IF(OR(H28="N.I.O",H28="bed. OK"),COUNTIF($H$9:H28,"N.I.O")+COUNTIF($H$9:H28,"bed. OK"),"")</f>
        <v/>
      </c>
      <c r="P28" s="60" t="inlineStr">
        <is>
          <t>Vorlage M 4 / A1 B11</t>
        </is>
      </c>
      <c r="Q28" s="66">
        <f>IF(H28="N.I.O",COUNTIF($H$9:H28,"N.I.O"),"")</f>
        <v/>
      </c>
    </row>
    <row r="29" ht="42.25" customHeight="1">
      <c r="A29" s="57">
        <f>IF(C29="","",COUNTA($C$9:C29))</f>
        <v/>
      </c>
      <c r="B29" s="58" t="inlineStr">
        <is>
          <t>Verfügbarkeit &amp; Störanfälligkeit</t>
        </is>
      </c>
      <c r="C29" s="58" t="inlineStr">
        <is>
          <t>Sind Ablauf, Maßnahmenpläne und Qualifikation für eine schnelle Reparatur beschrieben und werden Betriebsmittel dafür bereitgestellt?</t>
        </is>
      </c>
      <c r="D29" s="59" t="inlineStr">
        <is>
          <t>Are procedure, action plans and qualification for fast repair described, and are resources provided for it?</t>
        </is>
      </c>
      <c r="E29" s="60" t="inlineStr">
        <is>
          <t>IATF 8.5.1.5</t>
        </is>
      </c>
      <c r="F29" s="61" t="n">
        <v>2</v>
      </c>
      <c r="G29" s="62" t="n"/>
      <c r="H29" s="63" t="n"/>
      <c r="I29" s="64" t="n"/>
      <c r="J29" s="64" t="n"/>
      <c r="K29" s="64" t="n"/>
      <c r="L29" s="65" t="n"/>
      <c r="M29" s="61" t="n"/>
      <c r="N29" s="41">
        <f>IF(OR(H29="N.I.O",H29="bed. OK"),IF(M29="ja","erledigt",IF(AND(L29&lt;&gt;"",L29&lt;TODAY()),"überfällig","offen")),"")</f>
        <v/>
      </c>
      <c r="O29" s="66">
        <f>IF(OR(H29="N.I.O",H29="bed. OK"),COUNTIF($H$9:H29,"N.I.O")+COUNTIF($H$9:H29,"bed. OK"),"")</f>
        <v/>
      </c>
      <c r="P29" s="60" t="inlineStr">
        <is>
          <t>Vorlage M 4.1 / A1 B11</t>
        </is>
      </c>
      <c r="Q29" s="66">
        <f>IF(H29="N.I.O",COUNTIF($H$9:H29,"N.I.O"),"")</f>
        <v/>
      </c>
    </row>
    <row r="30" ht="30" customHeight="1">
      <c r="A30" s="57">
        <f>IF(C30="","",COUNTA($C$9:C30))</f>
        <v/>
      </c>
      <c r="B30" s="58" t="inlineStr">
        <is>
          <t>Verfügbarkeit &amp; Störanfälligkeit</t>
        </is>
      </c>
      <c r="C30" s="58" t="inlineStr">
        <is>
          <t>Werden Störungen mit Ursachencodes erfasst (z. B. SAP PM) und sind die Top-Störer (Pareto) bekannt?</t>
        </is>
      </c>
      <c r="D30" s="59" t="inlineStr">
        <is>
          <t>Are breakdowns recorded with cause codes (e.g. SAP PM) and are the top failures (Pareto) known?</t>
        </is>
      </c>
      <c r="E30" s="60" t="inlineStr">
        <is>
          <t>DIN EN 13306</t>
        </is>
      </c>
      <c r="F30" s="61" t="n">
        <v>1</v>
      </c>
      <c r="G30" s="62" t="n"/>
      <c r="H30" s="63" t="n"/>
      <c r="I30" s="64" t="n"/>
      <c r="J30" s="64" t="n"/>
      <c r="K30" s="64" t="n"/>
      <c r="L30" s="65" t="n"/>
      <c r="M30" s="61" t="n"/>
      <c r="N30" s="41">
        <f>IF(OR(H30="N.I.O",H30="bed. OK"),IF(M30="ja","erledigt",IF(AND(L30&lt;&gt;"",L30&lt;TODAY()),"überfällig","offen")),"")</f>
        <v/>
      </c>
      <c r="O30" s="66">
        <f>IF(OR(H30="N.I.O",H30="bed. OK"),COUNTIF($H$9:H30,"N.I.O")+COUNTIF($H$9:H30,"bed. OK"),"")</f>
        <v/>
      </c>
      <c r="P30" s="60" t="inlineStr">
        <is>
          <t>NEU</t>
        </is>
      </c>
      <c r="Q30" s="66">
        <f>IF(H30="N.I.O",COUNTIF($H$9:H30,"N.I.O"),"")</f>
        <v/>
      </c>
    </row>
    <row r="31" ht="30" customHeight="1">
      <c r="A31" s="57">
        <f>IF(C31="","",COUNTA($C$9:C31))</f>
        <v/>
      </c>
      <c r="B31" s="58" t="inlineStr">
        <is>
          <t>Verfügbarkeit &amp; Störanfälligkeit</t>
        </is>
      </c>
      <c r="C31" s="58" t="inlineStr">
        <is>
          <t>Werden Wiederholstörungen mit Ursachenanalyse (5-Why, Ishikawa, 8D) nachhaltig abgestellt?</t>
        </is>
      </c>
      <c r="D31" s="59" t="inlineStr">
        <is>
          <t>Are recurring failures permanently eliminated using root-cause analysis (5-Why, Ishikawa, 8D)?</t>
        </is>
      </c>
      <c r="E31" s="60" t="inlineStr">
        <is>
          <t>IATF 10.2.3</t>
        </is>
      </c>
      <c r="F31" s="61" t="n">
        <v>2</v>
      </c>
      <c r="G31" s="62" t="n"/>
      <c r="H31" s="63" t="n"/>
      <c r="I31" s="64" t="n"/>
      <c r="J31" s="64" t="n"/>
      <c r="K31" s="64" t="n"/>
      <c r="L31" s="65" t="n"/>
      <c r="M31" s="61" t="n"/>
      <c r="N31" s="41">
        <f>IF(OR(H31="N.I.O",H31="bed. OK"),IF(M31="ja","erledigt",IF(AND(L31&lt;&gt;"",L31&lt;TODAY()),"überfällig","offen")),"")</f>
        <v/>
      </c>
      <c r="O31" s="66">
        <f>IF(OR(H31="N.I.O",H31="bed. OK"),COUNTIF($H$9:H31,"N.I.O")+COUNTIF($H$9:H31,"bed. OK"),"")</f>
        <v/>
      </c>
      <c r="P31" s="60" t="inlineStr">
        <is>
          <t>NEU</t>
        </is>
      </c>
      <c r="Q31" s="66">
        <f>IF(H31="N.I.O",COUNTIF($H$9:H31,"N.I.O"),"")</f>
        <v/>
      </c>
    </row>
    <row r="32" ht="30" customHeight="1">
      <c r="A32" s="57">
        <f>IF(C32="","",COUNTA($C$9:C32))</f>
        <v/>
      </c>
      <c r="B32" s="58" t="inlineStr">
        <is>
          <t>Wartungszustand</t>
        </is>
      </c>
      <c r="C32" s="58" t="inlineStr">
        <is>
          <t>Existiert eine vorbeugende Instandhaltung für diese Anlage – ist sie aktuell, wird sie gelebt und optimiert?</t>
        </is>
      </c>
      <c r="D32" s="59" t="inlineStr">
        <is>
          <t>Does preventive maintenance exist for this machine – is it up to date, followed and improved?</t>
        </is>
      </c>
      <c r="E32" s="60" t="inlineStr">
        <is>
          <t>IATF 8.5.1.5</t>
        </is>
      </c>
      <c r="F32" s="61" t="n">
        <v>2</v>
      </c>
      <c r="G32" s="62" t="n"/>
      <c r="H32" s="63" t="n"/>
      <c r="I32" s="64" t="n"/>
      <c r="J32" s="64" t="n"/>
      <c r="K32" s="64" t="n"/>
      <c r="L32" s="65" t="n"/>
      <c r="M32" s="61" t="n"/>
      <c r="N32" s="41">
        <f>IF(OR(H32="N.I.O",H32="bed. OK"),IF(M32="ja","erledigt",IF(AND(L32&lt;&gt;"",L32&lt;TODAY()),"überfällig","offen")),"")</f>
        <v/>
      </c>
      <c r="O32" s="66">
        <f>IF(OR(H32="N.I.O",H32="bed. OK"),COUNTIF($H$9:H32,"N.I.O")+COUNTIF($H$9:H32,"bed. OK"),"")</f>
        <v/>
      </c>
      <c r="P32" s="60" t="inlineStr">
        <is>
          <t>Vorlage M 2 / A1 B7</t>
        </is>
      </c>
      <c r="Q32" s="66">
        <f>IF(H32="N.I.O",COUNTIF($H$9:H32,"N.I.O"),"")</f>
        <v/>
      </c>
    </row>
    <row r="33" ht="55" customHeight="1">
      <c r="A33" s="57">
        <f>IF(C33="","",COUNTA($C$9:C33))</f>
        <v/>
      </c>
      <c r="B33" s="58" t="inlineStr">
        <is>
          <t>Wartungszustand</t>
        </is>
      </c>
      <c r="C33" s="58" t="inlineStr">
        <is>
          <t>Ist die Anlage als für einen Schlüsselprozess notwendig erfasst und stellt die Organisation Ressourcen für ein wirksames, geplantes, vorbeugendes Instandhaltungssystem bereit?</t>
        </is>
      </c>
      <c r="D33" s="59" t="inlineStr">
        <is>
          <t>Is the machine identified as necessary for a key process, and does the organisation provide resources for an effective, planned preventive maintenance system?</t>
        </is>
      </c>
      <c r="E33" s="60" t="inlineStr">
        <is>
          <t>IATF 8.5.1.5</t>
        </is>
      </c>
      <c r="F33" s="61" t="n">
        <v>2</v>
      </c>
      <c r="G33" s="62" t="n"/>
      <c r="H33" s="63" t="n"/>
      <c r="I33" s="64" t="n"/>
      <c r="J33" s="64" t="n"/>
      <c r="K33" s="64" t="n"/>
      <c r="L33" s="65" t="n"/>
      <c r="M33" s="61" t="n"/>
      <c r="N33" s="41">
        <f>IF(OR(H33="N.I.O",H33="bed. OK"),IF(M33="ja","erledigt",IF(AND(L33&lt;&gt;"",L33&lt;TODAY()),"überfällig","offen")),"")</f>
        <v/>
      </c>
      <c r="O33" s="66">
        <f>IF(OR(H33="N.I.O",H33="bed. OK"),COUNTIF($H$9:H33,"N.I.O")+COUNTIF($H$9:H33,"bed. OK"),"")</f>
        <v/>
      </c>
      <c r="P33" s="60" t="inlineStr">
        <is>
          <t>Vorlage A1 B13</t>
        </is>
      </c>
      <c r="Q33" s="66">
        <f>IF(H33="N.I.O",COUNTIF($H$9:H33,"N.I.O"),"")</f>
        <v/>
      </c>
    </row>
    <row r="34" ht="67.75" customHeight="1">
      <c r="A34" s="57">
        <f>IF(C34="","",COUNTA($C$9:C34))</f>
        <v/>
      </c>
      <c r="B34" s="58" t="inlineStr">
        <is>
          <t>Wartungszustand</t>
        </is>
      </c>
      <c r="C34" s="58" t="inlineStr">
        <is>
          <t>Umfasst das vorbeugende IH-System mindestens: geplante IH-Tätigkeiten, Verpackung und Konservierung von Betriebsmitteln, Werkzeugen und Prüfmitteln, Ersatzteilverfügbarkeit für Schlüsselprozesse, Dokumentation und Bewertung der IH-Ziele?</t>
        </is>
      </c>
      <c r="D34" s="59" t="inlineStr">
        <is>
          <t>Does the preventive maintenance system cover at least: planned maintenance, packaging and preservation of equipment, tooling and gauges, spare-part availability for key processes, documentation and evaluation of maintenance objectives?</t>
        </is>
      </c>
      <c r="E34" s="60" t="inlineStr">
        <is>
          <t>IATF 8.5.1.5</t>
        </is>
      </c>
      <c r="F34" s="61" t="n">
        <v>2</v>
      </c>
      <c r="G34" s="62" t="n"/>
      <c r="H34" s="63" t="n"/>
      <c r="I34" s="64" t="n"/>
      <c r="J34" s="64" t="n"/>
      <c r="K34" s="64" t="n"/>
      <c r="L34" s="65" t="n"/>
      <c r="M34" s="61" t="n"/>
      <c r="N34" s="41">
        <f>IF(OR(H34="N.I.O",H34="bed. OK"),IF(M34="ja","erledigt",IF(AND(L34&lt;&gt;"",L34&lt;TODAY()),"überfällig","offen")),"")</f>
        <v/>
      </c>
      <c r="O34" s="66">
        <f>IF(OR(H34="N.I.O",H34="bed. OK"),COUNTIF($H$9:H34,"N.I.O")+COUNTIF($H$9:H34,"bed. OK"),"")</f>
        <v/>
      </c>
      <c r="P34" s="60" t="inlineStr">
        <is>
          <t>Vorlage A1 B14</t>
        </is>
      </c>
      <c r="Q34" s="66">
        <f>IF(H34="N.I.O",COUNTIF($H$9:H34,"N.I.O"),"")</f>
        <v/>
      </c>
    </row>
    <row r="35" ht="30" customHeight="1">
      <c r="A35" s="57">
        <f>IF(C35="","",COUNTA($C$9:C35))</f>
        <v/>
      </c>
      <c r="B35" s="58" t="inlineStr">
        <is>
          <t>Wartungszustand</t>
        </is>
      </c>
      <c r="C35" s="58" t="inlineStr">
        <is>
          <t>Gibt es Schmierpläne für diese Maschine (an der Maschine verfügbar)?</t>
        </is>
      </c>
      <c r="D35" s="59" t="inlineStr">
        <is>
          <t>Are there lubrication plans for this machine (available at the machine)?</t>
        </is>
      </c>
      <c r="E35" s="60" t="inlineStr">
        <is>
          <t>DIN 31051</t>
        </is>
      </c>
      <c r="F35" s="61" t="n">
        <v>1</v>
      </c>
      <c r="G35" s="62" t="n"/>
      <c r="H35" s="63" t="n"/>
      <c r="I35" s="64" t="n"/>
      <c r="J35" s="64" t="n"/>
      <c r="K35" s="64" t="n"/>
      <c r="L35" s="65" t="n"/>
      <c r="M35" s="61" t="n"/>
      <c r="N35" s="41">
        <f>IF(OR(H35="N.I.O",H35="bed. OK"),IF(M35="ja","erledigt",IF(AND(L35&lt;&gt;"",L35&lt;TODAY()),"überfällig","offen")),"")</f>
        <v/>
      </c>
      <c r="O35" s="66">
        <f>IF(OR(H35="N.I.O",H35="bed. OK"),COUNTIF($H$9:H35,"N.I.O")+COUNTIF($H$9:H35,"bed. OK"),"")</f>
        <v/>
      </c>
      <c r="P35" s="60" t="inlineStr">
        <is>
          <t>Vorlage M 2.1 / A1 B8</t>
        </is>
      </c>
      <c r="Q35" s="66">
        <f>IF(H35="N.I.O",COUNTIF($H$9:H35,"N.I.O"),"")</f>
        <v/>
      </c>
    </row>
    <row r="36" ht="30" customHeight="1">
      <c r="A36" s="57">
        <f>IF(C36="","",COUNTA($C$9:C36))</f>
        <v/>
      </c>
      <c r="B36" s="58" t="inlineStr">
        <is>
          <t>Wartungszustand</t>
        </is>
      </c>
      <c r="C36" s="58" t="inlineStr">
        <is>
          <t>Werden die Schmierarbeiten gemäß den vorgegebenen Schmierintervallen durchgeführt?</t>
        </is>
      </c>
      <c r="D36" s="59" t="inlineStr">
        <is>
          <t>Is lubrication carried out according to the specified intervals?</t>
        </is>
      </c>
      <c r="E36" s="60" t="inlineStr">
        <is>
          <t>DIN 31051</t>
        </is>
      </c>
      <c r="F36" s="61" t="n">
        <v>1</v>
      </c>
      <c r="G36" s="62" t="n"/>
      <c r="H36" s="63" t="n"/>
      <c r="I36" s="64" t="n"/>
      <c r="J36" s="64" t="n"/>
      <c r="K36" s="64" t="n"/>
      <c r="L36" s="65" t="n"/>
      <c r="M36" s="61" t="n"/>
      <c r="N36" s="41">
        <f>IF(OR(H36="N.I.O",H36="bed. OK"),IF(M36="ja","erledigt",IF(AND(L36&lt;&gt;"",L36&lt;TODAY()),"überfällig","offen")),"")</f>
        <v/>
      </c>
      <c r="O36" s="66">
        <f>IF(OR(H36="N.I.O",H36="bed. OK"),COUNTIF($H$9:H36,"N.I.O")+COUNTIF($H$9:H36,"bed. OK"),"")</f>
        <v/>
      </c>
      <c r="P36" s="60" t="inlineStr">
        <is>
          <t>Vorlage M 2.2 / A1 B10</t>
        </is>
      </c>
      <c r="Q36" s="66">
        <f>IF(H36="N.I.O",COUNTIF($H$9:H36,"N.I.O"),"")</f>
        <v/>
      </c>
    </row>
    <row r="37" ht="30" customHeight="1">
      <c r="A37" s="57">
        <f>IF(C37="","",COUNTA($C$9:C37))</f>
        <v/>
      </c>
      <c r="B37" s="58" t="inlineStr">
        <is>
          <t>Wartungszustand</t>
        </is>
      </c>
      <c r="C37" s="58" t="inlineStr">
        <is>
          <t>Gibt es Nachweise über die wöchentlich, monatlich usw. durchgeführten Wartungs- und Inspektionsarbeiten?</t>
        </is>
      </c>
      <c r="D37" s="59" t="inlineStr">
        <is>
          <t>Is there evidence of the weekly, monthly etc. maintenance and inspection work carried out?</t>
        </is>
      </c>
      <c r="E37" s="60" t="inlineStr">
        <is>
          <t>IATF 8.5.1.5</t>
        </is>
      </c>
      <c r="F37" s="61" t="n">
        <v>2</v>
      </c>
      <c r="G37" s="62" t="n"/>
      <c r="H37" s="63" t="n"/>
      <c r="I37" s="64" t="n"/>
      <c r="J37" s="64" t="n"/>
      <c r="K37" s="64" t="n"/>
      <c r="L37" s="65" t="n"/>
      <c r="M37" s="61" t="n"/>
      <c r="N37" s="41">
        <f>IF(OR(H37="N.I.O",H37="bed. OK"),IF(M37="ja","erledigt",IF(AND(L37&lt;&gt;"",L37&lt;TODAY()),"überfällig","offen")),"")</f>
        <v/>
      </c>
      <c r="O37" s="66">
        <f>IF(OR(H37="N.I.O",H37="bed. OK"),COUNTIF($H$9:H37,"N.I.O")+COUNTIF($H$9:H37,"bed. OK"),"")</f>
        <v/>
      </c>
      <c r="P37" s="60" t="inlineStr">
        <is>
          <t>Vorlage M 2.3 / A1 B9</t>
        </is>
      </c>
      <c r="Q37" s="66">
        <f>IF(H37="N.I.O",COUNTIF($H$9:H37,"N.I.O"),"")</f>
        <v/>
      </c>
    </row>
    <row r="38" ht="30" customHeight="1">
      <c r="A38" s="57">
        <f>IF(C38="","",COUNTA($C$9:C38))</f>
        <v/>
      </c>
      <c r="B38" s="58" t="inlineStr">
        <is>
          <t>Wartungszustand</t>
        </is>
      </c>
      <c r="C38" s="58" t="inlineStr">
        <is>
          <t>Werden die Wartungspläne termingerecht erfüllt – keine überfälligen Wartungsaufträge (Backlog)?</t>
        </is>
      </c>
      <c r="D38" s="59" t="inlineStr">
        <is>
          <t>Are maintenance plans completed on time – no overdue maintenance orders (backlog)?</t>
        </is>
      </c>
      <c r="E38" s="60" t="inlineStr">
        <is>
          <t>DIN EN 15341</t>
        </is>
      </c>
      <c r="F38" s="61" t="n">
        <v>2</v>
      </c>
      <c r="G38" s="62" t="n"/>
      <c r="H38" s="63" t="n"/>
      <c r="I38" s="64" t="n"/>
      <c r="J38" s="64" t="n"/>
      <c r="K38" s="64" t="n"/>
      <c r="L38" s="65" t="n"/>
      <c r="M38" s="61" t="n"/>
      <c r="N38" s="41">
        <f>IF(OR(H38="N.I.O",H38="bed. OK"),IF(M38="ja","erledigt",IF(AND(L38&lt;&gt;"",L38&lt;TODAY()),"überfällig","offen")),"")</f>
        <v/>
      </c>
      <c r="O38" s="66">
        <f>IF(OR(H38="N.I.O",H38="bed. OK"),COUNTIF($H$9:H38,"N.I.O")+COUNTIF($H$9:H38,"bed. OK"),"")</f>
        <v/>
      </c>
      <c r="P38" s="60" t="inlineStr">
        <is>
          <t>NEU</t>
        </is>
      </c>
      <c r="Q38" s="66">
        <f>IF(H38="N.I.O",COUNTIF($H$9:H38,"N.I.O"),"")</f>
        <v/>
      </c>
    </row>
    <row r="39" ht="42.25" customHeight="1">
      <c r="A39" s="57">
        <f>IF(C39="","",COUNTA($C$9:C39))</f>
        <v/>
      </c>
      <c r="B39" s="58" t="inlineStr">
        <is>
          <t>Wartungszustand</t>
        </is>
      </c>
      <c r="C39" s="58" t="inlineStr">
        <is>
          <t>Werden periodische Überholungen und vorausschauende Methoden eingesetzt (z. B. Schwingungsmessung, Thermografie, Ölanalyse)?</t>
        </is>
      </c>
      <c r="D39" s="59" t="inlineStr">
        <is>
          <t>Are periodic overhauls and predictive methods used (e.g. vibration analysis, thermography, oil analysis)?</t>
        </is>
      </c>
      <c r="E39" s="60" t="inlineStr">
        <is>
          <t>IATF 8.5.1.5</t>
        </is>
      </c>
      <c r="F39" s="61" t="n">
        <v>1</v>
      </c>
      <c r="G39" s="62" t="n"/>
      <c r="H39" s="63" t="n"/>
      <c r="I39" s="64" t="n"/>
      <c r="J39" s="64" t="n"/>
      <c r="K39" s="64" t="n"/>
      <c r="L39" s="65" t="n"/>
      <c r="M39" s="61" t="n"/>
      <c r="N39" s="41">
        <f>IF(OR(H39="N.I.O",H39="bed. OK"),IF(M39="ja","erledigt",IF(AND(L39&lt;&gt;"",L39&lt;TODAY()),"überfällig","offen")),"")</f>
        <v/>
      </c>
      <c r="O39" s="66">
        <f>IF(OR(H39="N.I.O",H39="bed. OK"),COUNTIF($H$9:H39,"N.I.O")+COUNTIF($H$9:H39,"bed. OK"),"")</f>
        <v/>
      </c>
      <c r="P39" s="60" t="inlineStr">
        <is>
          <t>NEU</t>
        </is>
      </c>
      <c r="Q39" s="66">
        <f>IF(H39="N.I.O",COUNTIF($H$9:H39,"N.I.O"),"")</f>
        <v/>
      </c>
    </row>
    <row r="40" ht="42.25" customHeight="1">
      <c r="A40" s="57">
        <f>IF(C40="","",COUNTA($C$9:C40))</f>
        <v/>
      </c>
      <c r="B40" s="58" t="inlineStr">
        <is>
          <t>Wartungszustand</t>
        </is>
      </c>
      <c r="C40" s="58" t="inlineStr">
        <is>
          <t>Ist die autonome Instandhaltung durch die Bediener geregelt (Reinigen, Schmieren, Sichtprüfen nach Plan / TPM)?</t>
        </is>
      </c>
      <c r="D40" s="59" t="inlineStr">
        <is>
          <t>Is autonomous maintenance by operators defined (cleaning, lubricating, visual checks according to plan / TPM)?</t>
        </is>
      </c>
      <c r="E40" s="60" t="inlineStr">
        <is>
          <t>IATF 8.5.1.5</t>
        </is>
      </c>
      <c r="F40" s="61" t="n">
        <v>1</v>
      </c>
      <c r="G40" s="62" t="n"/>
      <c r="H40" s="63" t="n"/>
      <c r="I40" s="64" t="n"/>
      <c r="J40" s="64" t="n"/>
      <c r="K40" s="64" t="n"/>
      <c r="L40" s="65" t="n"/>
      <c r="M40" s="61" t="n"/>
      <c r="N40" s="41">
        <f>IF(OR(H40="N.I.O",H40="bed. OK"),IF(M40="ja","erledigt",IF(AND(L40&lt;&gt;"",L40&lt;TODAY()),"überfällig","offen")),"")</f>
        <v/>
      </c>
      <c r="O40" s="66">
        <f>IF(OR(H40="N.I.O",H40="bed. OK"),COUNTIF($H$9:H40,"N.I.O")+COUNTIF($H$9:H40,"bed. OK"),"")</f>
        <v/>
      </c>
      <c r="P40" s="60" t="inlineStr">
        <is>
          <t>NEU</t>
        </is>
      </c>
      <c r="Q40" s="66">
        <f>IF(H40="N.I.O",COUNTIF($H$9:H40,"N.I.O"),"")</f>
        <v/>
      </c>
    </row>
    <row r="41" ht="30" customHeight="1">
      <c r="A41" s="57">
        <f>IF(C41="","",COUNTA($C$9:C41))</f>
        <v/>
      </c>
      <c r="B41" s="58" t="inlineStr">
        <is>
          <t>Ersatzteilverfügbarkeit</t>
        </is>
      </c>
      <c r="C41" s="58" t="inlineStr">
        <is>
          <t>Ist der allgemeine Zustand der Ersatzteile in Ordnung (Sauberkeit, Umgebung, Lagerung)?</t>
        </is>
      </c>
      <c r="D41" s="59" t="inlineStr">
        <is>
          <t>Is the general condition of the spare parts in order (cleanliness, surroundings, storage)?</t>
        </is>
      </c>
      <c r="E41" s="60" t="inlineStr">
        <is>
          <t>IATF 8.5.1.5</t>
        </is>
      </c>
      <c r="F41" s="61" t="n">
        <v>1</v>
      </c>
      <c r="G41" s="62" t="n"/>
      <c r="H41" s="63" t="n"/>
      <c r="I41" s="64" t="n"/>
      <c r="J41" s="64" t="n"/>
      <c r="K41" s="64" t="n"/>
      <c r="L41" s="65" t="n"/>
      <c r="M41" s="61" t="n"/>
      <c r="N41" s="41">
        <f>IF(OR(H41="N.I.O",H41="bed. OK"),IF(M41="ja","erledigt",IF(AND(L41&lt;&gt;"",L41&lt;TODAY()),"überfällig","offen")),"")</f>
        <v/>
      </c>
      <c r="O41" s="66">
        <f>IF(OR(H41="N.I.O",H41="bed. OK"),COUNTIF($H$9:H41,"N.I.O")+COUNTIF($H$9:H41,"bed. OK"),"")</f>
        <v/>
      </c>
      <c r="P41" s="60" t="inlineStr">
        <is>
          <t>Vorlage A1 J6</t>
        </is>
      </c>
      <c r="Q41" s="66">
        <f>IF(H41="N.I.O",COUNTIF($H$9:H41,"N.I.O"),"")</f>
        <v/>
      </c>
    </row>
    <row r="42" ht="30" customHeight="1">
      <c r="A42" s="57">
        <f>IF(C42="","",COUNTA($C$9:C42))</f>
        <v/>
      </c>
      <c r="B42" s="58" t="inlineStr">
        <is>
          <t>Ersatzteilverfügbarkeit</t>
        </is>
      </c>
      <c r="C42" s="58" t="inlineStr">
        <is>
          <t>Existieren Ersatzteillisten für diese Anlage (eigen- und fremdgefertigte Maschinen)?</t>
        </is>
      </c>
      <c r="D42" s="59" t="inlineStr">
        <is>
          <t>Do spare-part lists exist for this machine (in-house and externally built machines)?</t>
        </is>
      </c>
      <c r="E42" s="60" t="inlineStr">
        <is>
          <t>IATF 8.5.1.5</t>
        </is>
      </c>
      <c r="F42" s="61" t="n">
        <v>2</v>
      </c>
      <c r="G42" s="62" t="n"/>
      <c r="H42" s="63" t="n"/>
      <c r="I42" s="64" t="n"/>
      <c r="J42" s="64" t="n"/>
      <c r="K42" s="64" t="n"/>
      <c r="L42" s="65" t="n"/>
      <c r="M42" s="61" t="n"/>
      <c r="N42" s="41">
        <f>IF(OR(H42="N.I.O",H42="bed. OK"),IF(M42="ja","erledigt",IF(AND(L42&lt;&gt;"",L42&lt;TODAY()),"überfällig","offen")),"")</f>
        <v/>
      </c>
      <c r="O42" s="66">
        <f>IF(OR(H42="N.I.O",H42="bed. OK"),COUNTIF($H$9:H42,"N.I.O")+COUNTIF($H$9:H42,"bed. OK"),"")</f>
        <v/>
      </c>
      <c r="P42" s="60" t="inlineStr">
        <is>
          <t>Vorlage A1 J8</t>
        </is>
      </c>
      <c r="Q42" s="66">
        <f>IF(H42="N.I.O",COUNTIF($H$9:H42,"N.I.O"),"")</f>
        <v/>
      </c>
    </row>
    <row r="43" ht="42.25" customHeight="1">
      <c r="A43" s="57">
        <f>IF(C43="","",COUNTA($C$9:C43))</f>
        <v/>
      </c>
      <c r="B43" s="58" t="inlineStr">
        <is>
          <t>Ersatzteilverfügbarkeit</t>
        </is>
      </c>
      <c r="C43" s="58" t="inlineStr">
        <is>
          <t>Sind die Ersatzteile im System mit Mindestbestand und Lagerplatz geführt und stimmt der Bestand?</t>
        </is>
      </c>
      <c r="D43" s="59" t="inlineStr">
        <is>
          <t>Are spare parts managed in the system with minimum stock and storage location, and is the stock accurate?</t>
        </is>
      </c>
      <c r="E43" s="60" t="inlineStr">
        <is>
          <t>IATF 8.5.1.5</t>
        </is>
      </c>
      <c r="F43" s="61" t="n">
        <v>1</v>
      </c>
      <c r="G43" s="62" t="n"/>
      <c r="H43" s="63" t="n"/>
      <c r="I43" s="64" t="n"/>
      <c r="J43" s="64" t="n"/>
      <c r="K43" s="64" t="n"/>
      <c r="L43" s="65" t="n"/>
      <c r="M43" s="61" t="n"/>
      <c r="N43" s="41">
        <f>IF(OR(H43="N.I.O",H43="bed. OK"),IF(M43="ja","erledigt",IF(AND(L43&lt;&gt;"",L43&lt;TODAY()),"überfällig","offen")),"")</f>
        <v/>
      </c>
      <c r="O43" s="66">
        <f>IF(OR(H43="N.I.O",H43="bed. OK"),COUNTIF($H$9:H43,"N.I.O")+COUNTIF($H$9:H43,"bed. OK"),"")</f>
        <v/>
      </c>
      <c r="P43" s="60" t="inlineStr">
        <is>
          <t>NEU</t>
        </is>
      </c>
      <c r="Q43" s="66">
        <f>IF(H43="N.I.O",COUNTIF($H$9:H43,"N.I.O"),"")</f>
        <v/>
      </c>
    </row>
    <row r="44" ht="30" customHeight="1">
      <c r="A44" s="57">
        <f>IF(C44="","",COUNTA($C$9:C44))</f>
        <v/>
      </c>
      <c r="B44" s="58" t="inlineStr">
        <is>
          <t>Ersatzteilverfügbarkeit</t>
        </is>
      </c>
      <c r="C44" s="58" t="inlineStr">
        <is>
          <t>Werden Ersatzteile sachgerecht gelagert und konserviert (Elastomere, Wälzlager, Elektronik / ESD, Haltbarkeitsdaten)?</t>
        </is>
      </c>
      <c r="D44" s="59" t="inlineStr">
        <is>
          <t>Are spare parts stored and preserved correctly (elastomers, bearings, electronics / ESD, shelf life)?</t>
        </is>
      </c>
      <c r="E44" s="60" t="inlineStr">
        <is>
          <t>IATF 8.5.1.5</t>
        </is>
      </c>
      <c r="F44" s="61" t="n">
        <v>1</v>
      </c>
      <c r="G44" s="62" t="n"/>
      <c r="H44" s="63" t="n"/>
      <c r="I44" s="64" t="n"/>
      <c r="J44" s="64" t="n"/>
      <c r="K44" s="64" t="n"/>
      <c r="L44" s="65" t="n"/>
      <c r="M44" s="61" t="n"/>
      <c r="N44" s="41">
        <f>IF(OR(H44="N.I.O",H44="bed. OK"),IF(M44="ja","erledigt",IF(AND(L44&lt;&gt;"",L44&lt;TODAY()),"überfällig","offen")),"")</f>
        <v/>
      </c>
      <c r="O44" s="66">
        <f>IF(OR(H44="N.I.O",H44="bed. OK"),COUNTIF($H$9:H44,"N.I.O")+COUNTIF($H$9:H44,"bed. OK"),"")</f>
        <v/>
      </c>
      <c r="P44" s="60" t="inlineStr">
        <is>
          <t>NEU</t>
        </is>
      </c>
      <c r="Q44" s="66">
        <f>IF(H44="N.I.O",COUNTIF($H$9:H44,"N.I.O"),"")</f>
        <v/>
      </c>
    </row>
    <row r="45" ht="30" customHeight="1">
      <c r="A45" s="57">
        <f>IF(C45="","",COUNTA($C$9:C45))</f>
        <v/>
      </c>
      <c r="B45" s="58" t="inlineStr">
        <is>
          <t>Ersatzteilverfügbarkeit</t>
        </is>
      </c>
      <c r="C45" s="58" t="inlineStr">
        <is>
          <t>Sind die Wiederbeschaffungszeiten der Ersatzteile bekannt und gepflegt?</t>
        </is>
      </c>
      <c r="D45" s="59" t="inlineStr">
        <is>
          <t>Are the replacement lead times of spare parts known and maintained?</t>
        </is>
      </c>
      <c r="E45" s="60" t="inlineStr">
        <is>
          <t>IATF 8.5.1.5</t>
        </is>
      </c>
      <c r="F45" s="61" t="n">
        <v>1</v>
      </c>
      <c r="G45" s="62" t="n"/>
      <c r="H45" s="63" t="n"/>
      <c r="I45" s="64" t="n"/>
      <c r="J45" s="64" t="n"/>
      <c r="K45" s="64" t="n"/>
      <c r="L45" s="65" t="n"/>
      <c r="M45" s="61" t="n"/>
      <c r="N45" s="41">
        <f>IF(OR(H45="N.I.O",H45="bed. OK"),IF(M45="ja","erledigt",IF(AND(L45&lt;&gt;"",L45&lt;TODAY()),"überfällig","offen")),"")</f>
        <v/>
      </c>
      <c r="O45" s="66">
        <f>IF(OR(H45="N.I.O",H45="bed. OK"),COUNTIF($H$9:H45,"N.I.O")+COUNTIF($H$9:H45,"bed. OK"),"")</f>
        <v/>
      </c>
      <c r="P45" s="60" t="inlineStr">
        <is>
          <t>NEU</t>
        </is>
      </c>
      <c r="Q45" s="66">
        <f>IF(H45="N.I.O",COUNTIF($H$9:H45,"N.I.O"),"")</f>
        <v/>
      </c>
    </row>
    <row r="46" ht="30" customHeight="1">
      <c r="A46" s="57">
        <f>IF(C46="","",COUNTA($C$9:C46))</f>
        <v/>
      </c>
      <c r="B46" s="58" t="inlineStr">
        <is>
          <t>Ersatzteilverfügbarkeit</t>
        </is>
      </c>
      <c r="C46" s="58" t="inlineStr">
        <is>
          <t>Werden innerhalb der Maschinengruppe Gleichteile genutzt, um die Ersatzteilvielfalt zu reduzieren?</t>
        </is>
      </c>
      <c r="D46" s="59" t="inlineStr">
        <is>
          <t>Are common parts used within the machine group to reduce spare-part variety?</t>
        </is>
      </c>
      <c r="E46" s="60" t="inlineStr">
        <is>
          <t>DIN EN 13306</t>
        </is>
      </c>
      <c r="F46" s="61" t="n">
        <v>1</v>
      </c>
      <c r="G46" s="62" t="n"/>
      <c r="H46" s="63" t="n"/>
      <c r="I46" s="64" t="n"/>
      <c r="J46" s="64" t="n"/>
      <c r="K46" s="64" t="n"/>
      <c r="L46" s="65" t="n"/>
      <c r="M46" s="61" t="n"/>
      <c r="N46" s="41">
        <f>IF(OR(H46="N.I.O",H46="bed. OK"),IF(M46="ja","erledigt",IF(AND(L46&lt;&gt;"",L46&lt;TODAY()),"überfällig","offen")),"")</f>
        <v/>
      </c>
      <c r="O46" s="66">
        <f>IF(OR(H46="N.I.O",H46="bed. OK"),COUNTIF($H$9:H46,"N.I.O")+COUNTIF($H$9:H46,"bed. OK"),"")</f>
        <v/>
      </c>
      <c r="P46" s="60" t="inlineStr">
        <is>
          <t>NEU</t>
        </is>
      </c>
      <c r="Q46" s="66">
        <f>IF(H46="N.I.O",COUNTIF($H$9:H46,"N.I.O"),"")</f>
        <v/>
      </c>
    </row>
    <row r="47" ht="42.25" customHeight="1">
      <c r="A47" s="57">
        <f>IF(C47="","",COUNTA($C$9:C47))</f>
        <v/>
      </c>
      <c r="B47" s="58" t="inlineStr">
        <is>
          <t>Kritische Ersatzteile</t>
        </is>
      </c>
      <c r="C47" s="58" t="inlineStr">
        <is>
          <t>Sind die kritischen Ersatzteile festgelegt (Ausfallwirkung, Lieferzeit, Alleinlieferant) und im Blatt „Kritische Ersatzteile“ erfasst?</t>
        </is>
      </c>
      <c r="D47" s="59" t="inlineStr">
        <is>
          <t>Are critical spare parts defined (failure impact, lead time, single source) and listed in sheet “Kritische Ersatzteile”?</t>
        </is>
      </c>
      <c r="E47" s="60" t="inlineStr">
        <is>
          <t>IATF 8.5.1.5</t>
        </is>
      </c>
      <c r="F47" s="61" t="n">
        <v>2</v>
      </c>
      <c r="G47" s="62" t="n"/>
      <c r="H47" s="63" t="n"/>
      <c r="I47" s="64" t="n"/>
      <c r="J47" s="64" t="n"/>
      <c r="K47" s="64" t="n"/>
      <c r="L47" s="65" t="n"/>
      <c r="M47" s="61" t="n"/>
      <c r="N47" s="41">
        <f>IF(OR(H47="N.I.O",H47="bed. OK"),IF(M47="ja","erledigt",IF(AND(L47&lt;&gt;"",L47&lt;TODAY()),"überfällig","offen")),"")</f>
        <v/>
      </c>
      <c r="O47" s="66">
        <f>IF(OR(H47="N.I.O",H47="bed. OK"),COUNTIF($H$9:H47,"N.I.O")+COUNTIF($H$9:H47,"bed. OK"),"")</f>
        <v/>
      </c>
      <c r="P47" s="60" t="inlineStr">
        <is>
          <t>NEU</t>
        </is>
      </c>
      <c r="Q47" s="66">
        <f>IF(H47="N.I.O",COUNTIF($H$9:H47,"N.I.O"),"")</f>
        <v/>
      </c>
    </row>
    <row r="48" ht="30" customHeight="1">
      <c r="A48" s="57">
        <f>IF(C48="","",COUNTA($C$9:C48))</f>
        <v/>
      </c>
      <c r="B48" s="58" t="inlineStr">
        <is>
          <t>Kritische Ersatzteile</t>
        </is>
      </c>
      <c r="C48" s="58" t="inlineStr">
        <is>
          <t>Sind die kritischen Ersatzteile bevorratet oder ist ihre Lieferung vertraglich gesichert?</t>
        </is>
      </c>
      <c r="D48" s="59" t="inlineStr">
        <is>
          <t>Are critical spare parts in stock or is their delivery contractually secured?</t>
        </is>
      </c>
      <c r="E48" s="60" t="inlineStr">
        <is>
          <t>IATF 8.5.1.5</t>
        </is>
      </c>
      <c r="F48" s="61" t="n">
        <v>3</v>
      </c>
      <c r="G48" s="62" t="n"/>
      <c r="H48" s="63" t="n"/>
      <c r="I48" s="64" t="n"/>
      <c r="J48" s="64" t="n"/>
      <c r="K48" s="64" t="n"/>
      <c r="L48" s="65" t="n"/>
      <c r="M48" s="61" t="n"/>
      <c r="N48" s="41">
        <f>IF(OR(H48="N.I.O",H48="bed. OK"),IF(M48="ja","erledigt",IF(AND(L48&lt;&gt;"",L48&lt;TODAY()),"überfällig","offen")),"")</f>
        <v/>
      </c>
      <c r="O48" s="66">
        <f>IF(OR(H48="N.I.O",H48="bed. OK"),COUNTIF($H$9:H48,"N.I.O")+COUNTIF($H$9:H48,"bed. OK"),"")</f>
        <v/>
      </c>
      <c r="P48" s="60" t="inlineStr">
        <is>
          <t>NEU</t>
        </is>
      </c>
      <c r="Q48" s="66">
        <f>IF(H48="N.I.O",COUNTIF($H$9:H48,"N.I.O"),"")</f>
        <v/>
      </c>
    </row>
    <row r="49" ht="42.25" customHeight="1">
      <c r="A49" s="57">
        <f>IF(C49="","",COUNTA($C$9:C49))</f>
        <v/>
      </c>
      <c r="B49" s="58" t="inlineStr">
        <is>
          <t>Kritische Ersatzteile</t>
        </is>
      </c>
      <c r="C49" s="58" t="inlineStr">
        <is>
          <t>Ist die Einbaufähigkeit bevorrateter kritischer Teile geprüft (Tauschteile getestet, passender Hardware- / Softwarestand)?</t>
        </is>
      </c>
      <c r="D49" s="59" t="inlineStr">
        <is>
          <t>Has the fit of stocked critical parts been verified (exchange parts tested, matching hardware / software version)?</t>
        </is>
      </c>
      <c r="E49" s="60" t="inlineStr">
        <is>
          <t>IATF 8.5.1.5</t>
        </is>
      </c>
      <c r="F49" s="61" t="n">
        <v>1</v>
      </c>
      <c r="G49" s="62" t="n"/>
      <c r="H49" s="63" t="n"/>
      <c r="I49" s="64" t="n"/>
      <c r="J49" s="64" t="n"/>
      <c r="K49" s="64" t="n"/>
      <c r="L49" s="65" t="n"/>
      <c r="M49" s="61" t="n"/>
      <c r="N49" s="41">
        <f>IF(OR(H49="N.I.O",H49="bed. OK"),IF(M49="ja","erledigt",IF(AND(L49&lt;&gt;"",L49&lt;TODAY()),"überfällig","offen")),"")</f>
        <v/>
      </c>
      <c r="O49" s="66">
        <f>IF(OR(H49="N.I.O",H49="bed. OK"),COUNTIF($H$9:H49,"N.I.O")+COUNTIF($H$9:H49,"bed. OK"),"")</f>
        <v/>
      </c>
      <c r="P49" s="60" t="inlineStr">
        <is>
          <t>NEU</t>
        </is>
      </c>
      <c r="Q49" s="66">
        <f>IF(H49="N.I.O",COUNTIF($H$9:H49,"N.I.O"),"")</f>
        <v/>
      </c>
    </row>
    <row r="50" ht="42.25" customHeight="1">
      <c r="A50" s="57">
        <f>IF(C50="","",COUNTA($C$9:C50))</f>
        <v/>
      </c>
      <c r="B50" s="58" t="inlineStr">
        <is>
          <t>Kritische Ersatzteile</t>
        </is>
      </c>
      <c r="C50" s="58" t="inlineStr">
        <is>
          <t>Ist der Reparaturkreislauf für reparaturfähige kritische Teile geregelt (intern / extern, Kennzeichnung defekt / geprüft)?</t>
        </is>
      </c>
      <c r="D50" s="59" t="inlineStr">
        <is>
          <t>Is the repair loop for repairable critical parts defined (internal / external, labelling defective / tested)?</t>
        </is>
      </c>
      <c r="E50" s="60" t="inlineStr">
        <is>
          <t>DIN EN 13306</t>
        </is>
      </c>
      <c r="F50" s="61" t="n">
        <v>1</v>
      </c>
      <c r="G50" s="62" t="n"/>
      <c r="H50" s="63" t="n"/>
      <c r="I50" s="64" t="n"/>
      <c r="J50" s="64" t="n"/>
      <c r="K50" s="64" t="n"/>
      <c r="L50" s="65" t="n"/>
      <c r="M50" s="61" t="n"/>
      <c r="N50" s="41">
        <f>IF(OR(H50="N.I.O",H50="bed. OK"),IF(M50="ja","erledigt",IF(AND(L50&lt;&gt;"",L50&lt;TODAY()),"überfällig","offen")),"")</f>
        <v/>
      </c>
      <c r="O50" s="66">
        <f>IF(OR(H50="N.I.O",H50="bed. OK"),COUNTIF($H$9:H50,"N.I.O")+COUNTIF($H$9:H50,"bed. OK"),"")</f>
        <v/>
      </c>
      <c r="P50" s="60" t="inlineStr">
        <is>
          <t>NEU</t>
        </is>
      </c>
      <c r="Q50" s="66">
        <f>IF(H50="N.I.O",COUNTIF($H$9:H50,"N.I.O"),"")</f>
        <v/>
      </c>
    </row>
    <row r="51" ht="30" customHeight="1">
      <c r="A51" s="57">
        <f>IF(C51="","",COUNTA($C$9:C51))</f>
        <v/>
      </c>
      <c r="B51" s="58" t="inlineStr">
        <is>
          <t>Werkzeugzustand &amp; -verfügbarkeit</t>
        </is>
      </c>
      <c r="C51" s="58" t="inlineStr">
        <is>
          <t>Ist der allgemeine Zustand der Werkzeuge in Ordnung (Sauberkeit, Umgebung)?</t>
        </is>
      </c>
      <c r="D51" s="59" t="inlineStr">
        <is>
          <t>Is the general condition of the tools in order (cleanliness, surroundings)?</t>
        </is>
      </c>
      <c r="E51" s="60" t="inlineStr">
        <is>
          <t>IATF 8.5.1.6</t>
        </is>
      </c>
      <c r="F51" s="61" t="n">
        <v>1</v>
      </c>
      <c r="G51" s="62" t="n"/>
      <c r="H51" s="63" t="n"/>
      <c r="I51" s="64" t="n"/>
      <c r="J51" s="64" t="n"/>
      <c r="K51" s="64" t="n"/>
      <c r="L51" s="65" t="n"/>
      <c r="M51" s="61" t="n"/>
      <c r="N51" s="41">
        <f>IF(OR(H51="N.I.O",H51="bed. OK"),IF(M51="ja","erledigt",IF(AND(L51&lt;&gt;"",L51&lt;TODAY()),"überfällig","offen")),"")</f>
        <v/>
      </c>
      <c r="O51" s="66">
        <f>IF(OR(H51="N.I.O",H51="bed. OK"),COUNTIF($H$9:H51,"N.I.O")+COUNTIF($H$9:H51,"bed. OK"),"")</f>
        <v/>
      </c>
      <c r="P51" s="60" t="inlineStr">
        <is>
          <t>Vorlage A1 F6</t>
        </is>
      </c>
      <c r="Q51" s="66">
        <f>IF(H51="N.I.O",COUNTIF($H$9:H51,"N.I.O"),"")</f>
        <v/>
      </c>
    </row>
    <row r="52" ht="30" customHeight="1">
      <c r="A52" s="57">
        <f>IF(C52="","",COUNTA($C$9:C52))</f>
        <v/>
      </c>
      <c r="B52" s="58" t="inlineStr">
        <is>
          <t>Werkzeugzustand &amp; -verfügbarkeit</t>
        </is>
      </c>
      <c r="C52" s="58" t="inlineStr">
        <is>
          <t>Ist die Werkzeugwartung geregelt und wird sie durchgeführt?</t>
        </is>
      </c>
      <c r="D52" s="59" t="inlineStr">
        <is>
          <t>Is tool maintenance defined and carried out?</t>
        </is>
      </c>
      <c r="E52" s="60" t="inlineStr">
        <is>
          <t>IATF 8.5.1.6</t>
        </is>
      </c>
      <c r="F52" s="61" t="n">
        <v>2</v>
      </c>
      <c r="G52" s="62" t="n"/>
      <c r="H52" s="63" t="n"/>
      <c r="I52" s="64" t="n"/>
      <c r="J52" s="64" t="n"/>
      <c r="K52" s="64" t="n"/>
      <c r="L52" s="65" t="n"/>
      <c r="M52" s="61" t="n"/>
      <c r="N52" s="41">
        <f>IF(OR(H52="N.I.O",H52="bed. OK"),IF(M52="ja","erledigt",IF(AND(L52&lt;&gt;"",L52&lt;TODAY()),"überfällig","offen")),"")</f>
        <v/>
      </c>
      <c r="O52" s="66">
        <f>IF(OR(H52="N.I.O",H52="bed. OK"),COUNTIF($H$9:H52,"N.I.O")+COUNTIF($H$9:H52,"bed. OK"),"")</f>
        <v/>
      </c>
      <c r="P52" s="60" t="inlineStr">
        <is>
          <t>Vorlage A1 J7</t>
        </is>
      </c>
      <c r="Q52" s="66">
        <f>IF(H52="N.I.O",COUNTIF($H$9:H52,"N.I.O"),"")</f>
        <v/>
      </c>
    </row>
    <row r="53" ht="42.25" customHeight="1">
      <c r="A53" s="57">
        <f>IF(C53="","",COUNTA($C$9:C53))</f>
        <v/>
      </c>
      <c r="B53" s="58" t="inlineStr">
        <is>
          <t>Werkzeugzustand &amp; -verfügbarkeit</t>
        </is>
      </c>
      <c r="C53" s="58" t="inlineStr">
        <is>
          <t>Gibt es festgelegte Kriterien, nach denen der Instandhalter / Meister entscheidet, dass ein Werkzeug verschleißbedingt überholt werden muss?</t>
        </is>
      </c>
      <c r="D53" s="59" t="inlineStr">
        <is>
          <t>Are there defined criteria by which maintenance / the foreman decides that a tool must be overhauled due to wear?</t>
        </is>
      </c>
      <c r="E53" s="60" t="inlineStr">
        <is>
          <t>IATF 8.5.1.6</t>
        </is>
      </c>
      <c r="F53" s="61" t="n">
        <v>1</v>
      </c>
      <c r="G53" s="62" t="n"/>
      <c r="H53" s="63" t="n"/>
      <c r="I53" s="64" t="n"/>
      <c r="J53" s="64" t="n"/>
      <c r="K53" s="64" t="n"/>
      <c r="L53" s="65" t="n"/>
      <c r="M53" s="61" t="n"/>
      <c r="N53" s="41">
        <f>IF(OR(H53="N.I.O",H53="bed. OK"),IF(M53="ja","erledigt",IF(AND(L53&lt;&gt;"",L53&lt;TODAY()),"überfällig","offen")),"")</f>
        <v/>
      </c>
      <c r="O53" s="66">
        <f>IF(OR(H53="N.I.O",H53="bed. OK"),COUNTIF($H$9:H53,"N.I.O")+COUNTIF($H$9:H53,"bed. OK"),"")</f>
        <v/>
      </c>
      <c r="P53" s="60" t="inlineStr">
        <is>
          <t>Vorlage A1 J10</t>
        </is>
      </c>
      <c r="Q53" s="66">
        <f>IF(H53="N.I.O",COUNTIF($H$9:H53,"N.I.O"),"")</f>
        <v/>
      </c>
    </row>
    <row r="54" ht="30" customHeight="1">
      <c r="A54" s="57">
        <f>IF(C54="","",COUNTA($C$9:C54))</f>
        <v/>
      </c>
      <c r="B54" s="58" t="inlineStr">
        <is>
          <t>Werkzeugzustand &amp; -verfügbarkeit</t>
        </is>
      </c>
      <c r="C54" s="58" t="inlineStr">
        <is>
          <t>Gibt es ein Werkzeugmanagement (Werkzeugmappen, Werkzeugstammdaten)?</t>
        </is>
      </c>
      <c r="D54" s="59" t="inlineStr">
        <is>
          <t>Is there a tool management system (tool files, tool master data)?</t>
        </is>
      </c>
      <c r="E54" s="60" t="inlineStr">
        <is>
          <t>IATF 8.5.1.6</t>
        </is>
      </c>
      <c r="F54" s="61" t="n">
        <v>1</v>
      </c>
      <c r="G54" s="62" t="n"/>
      <c r="H54" s="63" t="n"/>
      <c r="I54" s="64" t="n"/>
      <c r="J54" s="64" t="n"/>
      <c r="K54" s="64" t="n"/>
      <c r="L54" s="65" t="n"/>
      <c r="M54" s="61" t="n"/>
      <c r="N54" s="41">
        <f>IF(OR(H54="N.I.O",H54="bed. OK"),IF(M54="ja","erledigt",IF(AND(L54&lt;&gt;"",L54&lt;TODAY()),"überfällig","offen")),"")</f>
        <v/>
      </c>
      <c r="O54" s="66">
        <f>IF(OR(H54="N.I.O",H54="bed. OK"),COUNTIF($H$9:H54,"N.I.O")+COUNTIF($H$9:H54,"bed. OK"),"")</f>
        <v/>
      </c>
      <c r="P54" s="60" t="inlineStr">
        <is>
          <t>Vorlage A1 J11</t>
        </is>
      </c>
      <c r="Q54" s="66">
        <f>IF(H54="N.I.O",COUNTIF($H$9:H54,"N.I.O"),"")</f>
        <v/>
      </c>
    </row>
    <row r="55" ht="30" customHeight="1">
      <c r="A55" s="57">
        <f>IF(C55="","",COUNTA($C$9:C55))</f>
        <v/>
      </c>
      <c r="B55" s="58" t="inlineStr">
        <is>
          <t>Werkzeugzustand &amp; -verfügbarkeit</t>
        </is>
      </c>
      <c r="C55" s="58" t="inlineStr">
        <is>
          <t>Werden Standmengen / Hubzahlen erfasst und wird eine Werkzeughistorie geführt?</t>
        </is>
      </c>
      <c r="D55" s="59" t="inlineStr">
        <is>
          <t>Are tool life / stroke counts recorded and is a tool history kept?</t>
        </is>
      </c>
      <c r="E55" s="60" t="inlineStr">
        <is>
          <t>IATF 8.5.1.6</t>
        </is>
      </c>
      <c r="F55" s="61" t="n">
        <v>1</v>
      </c>
      <c r="G55" s="62" t="n"/>
      <c r="H55" s="63" t="n"/>
      <c r="I55" s="64" t="n"/>
      <c r="J55" s="64" t="n"/>
      <c r="K55" s="64" t="n"/>
      <c r="L55" s="65" t="n"/>
      <c r="M55" s="61" t="n"/>
      <c r="N55" s="41">
        <f>IF(OR(H55="N.I.O",H55="bed. OK"),IF(M55="ja","erledigt",IF(AND(L55&lt;&gt;"",L55&lt;TODAY()),"überfällig","offen")),"")</f>
        <v/>
      </c>
      <c r="O55" s="66">
        <f>IF(OR(H55="N.I.O",H55="bed. OK"),COUNTIF($H$9:H55,"N.I.O")+COUNTIF($H$9:H55,"bed. OK"),"")</f>
        <v/>
      </c>
      <c r="P55" s="60" t="inlineStr">
        <is>
          <t>NEU</t>
        </is>
      </c>
      <c r="Q55" s="66">
        <f>IF(H55="N.I.O",COUNTIF($H$9:H55,"N.I.O"),"")</f>
        <v/>
      </c>
    </row>
    <row r="56" ht="30" customHeight="1">
      <c r="A56" s="57">
        <f>IF(C56="","",COUNTA($C$9:C56))</f>
        <v/>
      </c>
      <c r="B56" s="58" t="inlineStr">
        <is>
          <t>Werkzeugzustand &amp; -verfügbarkeit</t>
        </is>
      </c>
      <c r="C56" s="58" t="inlineStr">
        <is>
          <t>Sind kundeneigene Werkzeuge dauerhaft und sichtbar als Kundeneigentum gekennzeichnet?</t>
        </is>
      </c>
      <c r="D56" s="59" t="inlineStr">
        <is>
          <t>Are customer-owned tools permanently and visibly marked as customer property?</t>
        </is>
      </c>
      <c r="E56" s="60" t="inlineStr">
        <is>
          <t>IATF 8.5.1.6 / 8.5.3</t>
        </is>
      </c>
      <c r="F56" s="61" t="n">
        <v>1</v>
      </c>
      <c r="G56" s="62" t="n"/>
      <c r="H56" s="63" t="n"/>
      <c r="I56" s="64" t="n"/>
      <c r="J56" s="64" t="n"/>
      <c r="K56" s="64" t="n"/>
      <c r="L56" s="65" t="n"/>
      <c r="M56" s="61" t="n"/>
      <c r="N56" s="41">
        <f>IF(OR(H56="N.I.O",H56="bed. OK"),IF(M56="ja","erledigt",IF(AND(L56&lt;&gt;"",L56&lt;TODAY()),"überfällig","offen")),"")</f>
        <v/>
      </c>
      <c r="O56" s="66">
        <f>IF(OR(H56="N.I.O",H56="bed. OK"),COUNTIF($H$9:H56,"N.I.O")+COUNTIF($H$9:H56,"bed. OK"),"")</f>
        <v/>
      </c>
      <c r="P56" s="60" t="inlineStr">
        <is>
          <t>NEU</t>
        </is>
      </c>
      <c r="Q56" s="66">
        <f>IF(H56="N.I.O",COUNTIF($H$9:H56,"N.I.O"),"")</f>
        <v/>
      </c>
    </row>
    <row r="57" ht="30" customHeight="1">
      <c r="A57" s="57">
        <f>IF(C57="","",COUNTA($C$9:C57))</f>
        <v/>
      </c>
      <c r="B57" s="58" t="inlineStr">
        <is>
          <t>Werkzeugzustand &amp; -verfügbarkeit</t>
        </is>
      </c>
      <c r="C57" s="58" t="inlineStr">
        <is>
          <t>Sind Ersatz- bzw. Doppelwerkzeuge und Werkzeug-Verschleißteile für Schlüsselprodukte verfügbar?</t>
        </is>
      </c>
      <c r="D57" s="59" t="inlineStr">
        <is>
          <t>Are spare / duplicate tools and tool wear parts available for key products?</t>
        </is>
      </c>
      <c r="E57" s="60" t="inlineStr">
        <is>
          <t>IATF 8.5.1.6</t>
        </is>
      </c>
      <c r="F57" s="61" t="n">
        <v>2</v>
      </c>
      <c r="G57" s="62" t="n"/>
      <c r="H57" s="63" t="n"/>
      <c r="I57" s="64" t="n"/>
      <c r="J57" s="64" t="n"/>
      <c r="K57" s="64" t="n"/>
      <c r="L57" s="65" t="n"/>
      <c r="M57" s="61" t="n"/>
      <c r="N57" s="41">
        <f>IF(OR(H57="N.I.O",H57="bed. OK"),IF(M57="ja","erledigt",IF(AND(L57&lt;&gt;"",L57&lt;TODAY()),"überfällig","offen")),"")</f>
        <v/>
      </c>
      <c r="O57" s="66">
        <f>IF(OR(H57="N.I.O",H57="bed. OK"),COUNTIF($H$9:H57,"N.I.O")+COUNTIF($H$9:H57,"bed. OK"),"")</f>
        <v/>
      </c>
      <c r="P57" s="60" t="inlineStr">
        <is>
          <t>NEU</t>
        </is>
      </c>
      <c r="Q57" s="66">
        <f>IF(H57="N.I.O",COUNTIF($H$9:H57,"N.I.O"),"")</f>
        <v/>
      </c>
    </row>
    <row r="58" ht="30" customHeight="1">
      <c r="A58" s="57">
        <f>IF(C58="","",COUNTA($C$9:C58))</f>
        <v/>
      </c>
      <c r="B58" s="58" t="inlineStr">
        <is>
          <t>Werkzeugzustand &amp; -verfügbarkeit</t>
        </is>
      </c>
      <c r="C58" s="58" t="inlineStr">
        <is>
          <t>Ist die Kapazität für Werkzeugreparatur und -neubau gesichert (intern / extern) und ist die Reaktionszeit bekannt?</t>
        </is>
      </c>
      <c r="D58" s="59" t="inlineStr">
        <is>
          <t>Is capacity for tool repair and new tools secured (internal / external) and is the response time known?</t>
        </is>
      </c>
      <c r="E58" s="60" t="inlineStr">
        <is>
          <t>IATF 8.5.1.6</t>
        </is>
      </c>
      <c r="F58" s="61" t="n">
        <v>1</v>
      </c>
      <c r="G58" s="62" t="n"/>
      <c r="H58" s="63" t="n"/>
      <c r="I58" s="64" t="n"/>
      <c r="J58" s="64" t="n"/>
      <c r="K58" s="64" t="n"/>
      <c r="L58" s="65" t="n"/>
      <c r="M58" s="61" t="n"/>
      <c r="N58" s="41">
        <f>IF(OR(H58="N.I.O",H58="bed. OK"),IF(M58="ja","erledigt",IF(AND(L58&lt;&gt;"",L58&lt;TODAY()),"überfällig","offen")),"")</f>
        <v/>
      </c>
      <c r="O58" s="66">
        <f>IF(OR(H58="N.I.O",H58="bed. OK"),COUNTIF($H$9:H58,"N.I.O")+COUNTIF($H$9:H58,"bed. OK"),"")</f>
        <v/>
      </c>
      <c r="P58" s="60" t="inlineStr">
        <is>
          <t>NEU</t>
        </is>
      </c>
      <c r="Q58" s="66">
        <f>IF(H58="N.I.O",COUNTIF($H$9:H58,"N.I.O"),"")</f>
        <v/>
      </c>
    </row>
    <row r="59" ht="30" customHeight="1">
      <c r="A59" s="57">
        <f>IF(C59="","",COUNTA($C$9:C59))</f>
        <v/>
      </c>
      <c r="B59" s="58" t="inlineStr">
        <is>
          <t>Werkzeugzustand &amp; -verfügbarkeit</t>
        </is>
      </c>
      <c r="C59" s="58" t="inlineStr">
        <is>
          <t>Werden Werkzeuge, Vorrichtungen und Prüfmittel sachgerecht gelagert und konserviert?</t>
        </is>
      </c>
      <c r="D59" s="59" t="inlineStr">
        <is>
          <t>Are tools, fixtures and gauges stored and preserved correctly?</t>
        </is>
      </c>
      <c r="E59" s="60" t="inlineStr">
        <is>
          <t>IATF 8.5.1.5</t>
        </is>
      </c>
      <c r="F59" s="61" t="n">
        <v>1</v>
      </c>
      <c r="G59" s="62" t="n"/>
      <c r="H59" s="63" t="n"/>
      <c r="I59" s="64" t="n"/>
      <c r="J59" s="64" t="n"/>
      <c r="K59" s="64" t="n"/>
      <c r="L59" s="65" t="n"/>
      <c r="M59" s="61" t="n"/>
      <c r="N59" s="41">
        <f>IF(OR(H59="N.I.O",H59="bed. OK"),IF(M59="ja","erledigt",IF(AND(L59&lt;&gt;"",L59&lt;TODAY()),"überfällig","offen")),"")</f>
        <v/>
      </c>
      <c r="O59" s="66">
        <f>IF(OR(H59="N.I.O",H59="bed. OK"),COUNTIF($H$9:H59,"N.I.O")+COUNTIF($H$9:H59,"bed. OK"),"")</f>
        <v/>
      </c>
      <c r="P59" s="60" t="inlineStr">
        <is>
          <t>Vorlage A1 B14 (Teil)</t>
        </is>
      </c>
      <c r="Q59" s="66">
        <f>IF(H59="N.I.O",COUNTIF($H$9:H59,"N.I.O"),"")</f>
        <v/>
      </c>
    </row>
    <row r="60" ht="42.25" customHeight="1">
      <c r="A60" s="57">
        <f>IF(C60="","",COUNTA($C$9:C60))</f>
        <v/>
      </c>
      <c r="B60" s="58" t="inlineStr">
        <is>
          <t>Obsoleszenz &amp; Herstellersupport</t>
        </is>
      </c>
      <c r="C60" s="58" t="inlineStr">
        <is>
          <t>Ist der Lebenszyklusstatus der Hauptkomponenten bekannt (Steuerung, Antriebe, HMI, Industrie-PC / Betriebssystem)?</t>
        </is>
      </c>
      <c r="D60" s="59" t="inlineStr">
        <is>
          <t>Is the life-cycle status of the main components known (control system, drives, HMI, industrial PC / operating system)?</t>
        </is>
      </c>
      <c r="E60" s="60" t="inlineStr">
        <is>
          <t>IEC 62402</t>
        </is>
      </c>
      <c r="F60" s="61" t="n">
        <v>2</v>
      </c>
      <c r="G60" s="62" t="n"/>
      <c r="H60" s="63" t="n"/>
      <c r="I60" s="64" t="n"/>
      <c r="J60" s="64" t="n"/>
      <c r="K60" s="64" t="n"/>
      <c r="L60" s="65" t="n"/>
      <c r="M60" s="61" t="n"/>
      <c r="N60" s="41">
        <f>IF(OR(H60="N.I.O",H60="bed. OK"),IF(M60="ja","erledigt",IF(AND(L60&lt;&gt;"",L60&lt;TODAY()),"überfällig","offen")),"")</f>
        <v/>
      </c>
      <c r="O60" s="66">
        <f>IF(OR(H60="N.I.O",H60="bed. OK"),COUNTIF($H$9:H60,"N.I.O")+COUNTIF($H$9:H60,"bed. OK"),"")</f>
        <v/>
      </c>
      <c r="P60" s="60" t="inlineStr">
        <is>
          <t>NEU</t>
        </is>
      </c>
      <c r="Q60" s="66">
        <f>IF(H60="N.I.O",COUNTIF($H$9:H60,"N.I.O"),"")</f>
        <v/>
      </c>
    </row>
    <row r="61" ht="42.25" customHeight="1">
      <c r="A61" s="57">
        <f>IF(C61="","",COUNTA($C$9:C61))</f>
        <v/>
      </c>
      <c r="B61" s="58" t="inlineStr">
        <is>
          <t>Obsoleszenz &amp; Herstellersupport</t>
        </is>
      </c>
      <c r="C61" s="58" t="inlineStr">
        <is>
          <t>Gibt es für abgekündigte Komponenten eine Ersatzlösung (Endbevorratung, Migrationspfad) und werden Abkündigungen überwacht?</t>
        </is>
      </c>
      <c r="D61" s="59" t="inlineStr">
        <is>
          <t>Is there a solution for discontinued components (last-time buy, migration path) and are discontinuations monitored?</t>
        </is>
      </c>
      <c r="E61" s="60" t="inlineStr">
        <is>
          <t>IEC 62402</t>
        </is>
      </c>
      <c r="F61" s="61" t="n">
        <v>3</v>
      </c>
      <c r="G61" s="62" t="n"/>
      <c r="H61" s="63" t="n"/>
      <c r="I61" s="64" t="n"/>
      <c r="J61" s="64" t="n"/>
      <c r="K61" s="64" t="n"/>
      <c r="L61" s="65" t="n"/>
      <c r="M61" s="61" t="n"/>
      <c r="N61" s="41">
        <f>IF(OR(H61="N.I.O",H61="bed. OK"),IF(M61="ja","erledigt",IF(AND(L61&lt;&gt;"",L61&lt;TODAY()),"überfällig","offen")),"")</f>
        <v/>
      </c>
      <c r="O61" s="66">
        <f>IF(OR(H61="N.I.O",H61="bed. OK"),COUNTIF($H$9:H61,"N.I.O")+COUNTIF($H$9:H61,"bed. OK"),"")</f>
        <v/>
      </c>
      <c r="P61" s="60" t="inlineStr">
        <is>
          <t>NEU</t>
        </is>
      </c>
      <c r="Q61" s="66">
        <f>IF(H61="N.I.O",COUNTIF($H$9:H61,"N.I.O"),"")</f>
        <v/>
      </c>
    </row>
    <row r="62" ht="42.25" customHeight="1">
      <c r="A62" s="57">
        <f>IF(C62="","",COUNTA($C$9:C62))</f>
        <v/>
      </c>
      <c r="B62" s="58" t="inlineStr">
        <is>
          <t>Obsoleszenz &amp; Herstellersupport</t>
        </is>
      </c>
      <c r="C62" s="58" t="inlineStr">
        <is>
          <t>Sind Software, Lizenzen und Programmier-Know-how verfügbar (Entwicklungsumgebung, Quellprogramme, Programmiergerät)?</t>
        </is>
      </c>
      <c r="D62" s="59" t="inlineStr">
        <is>
          <t>Are software, licences and programming know-how available (engineering tools, source programs, programming device)?</t>
        </is>
      </c>
      <c r="E62" s="60" t="inlineStr">
        <is>
          <t>IEC 62402</t>
        </is>
      </c>
      <c r="F62" s="61" t="n">
        <v>2</v>
      </c>
      <c r="G62" s="62" t="n"/>
      <c r="H62" s="63" t="n"/>
      <c r="I62" s="64" t="n"/>
      <c r="J62" s="64" t="n"/>
      <c r="K62" s="64" t="n"/>
      <c r="L62" s="65" t="n"/>
      <c r="M62" s="61" t="n"/>
      <c r="N62" s="41">
        <f>IF(OR(H62="N.I.O",H62="bed. OK"),IF(M62="ja","erledigt",IF(AND(L62&lt;&gt;"",L62&lt;TODAY()),"überfällig","offen")),"")</f>
        <v/>
      </c>
      <c r="O62" s="66">
        <f>IF(OR(H62="N.I.O",H62="bed. OK"),COUNTIF($H$9:H62,"N.I.O")+COUNTIF($H$9:H62,"bed. OK"),"")</f>
        <v/>
      </c>
      <c r="P62" s="60" t="inlineStr">
        <is>
          <t>NEU</t>
        </is>
      </c>
      <c r="Q62" s="66">
        <f>IF(H62="N.I.O",COUNTIF($H$9:H62,"N.I.O"),"")</f>
        <v/>
      </c>
    </row>
    <row r="63" ht="42.25" customHeight="1">
      <c r="A63" s="57">
        <f>IF(C63="","",COUNTA($C$9:C63))</f>
        <v/>
      </c>
      <c r="B63" s="58" t="inlineStr">
        <is>
          <t>Obsoleszenz &amp; Herstellersupport</t>
        </is>
      </c>
      <c r="C63" s="58" t="inlineStr">
        <is>
          <t>Existiert der Hersteller noch und leistet er Service (Ersatzteile, Techniker, ggf. Servicevertrag mit Reaktionszeit)?</t>
        </is>
      </c>
      <c r="D63" s="59" t="inlineStr">
        <is>
          <t>Does the manufacturer still exist and provide service (spare parts, technicians, service contract with response time if applicable)?</t>
        </is>
      </c>
      <c r="E63" s="60" t="inlineStr">
        <is>
          <t>IATF 8.5.1.5</t>
        </is>
      </c>
      <c r="F63" s="61" t="n">
        <v>2</v>
      </c>
      <c r="G63" s="62" t="n"/>
      <c r="H63" s="63" t="n"/>
      <c r="I63" s="64" t="n"/>
      <c r="J63" s="64" t="n"/>
      <c r="K63" s="64" t="n"/>
      <c r="L63" s="65" t="n"/>
      <c r="M63" s="61" t="n"/>
      <c r="N63" s="41">
        <f>IF(OR(H63="N.I.O",H63="bed. OK"),IF(M63="ja","erledigt",IF(AND(L63&lt;&gt;"",L63&lt;TODAY()),"überfällig","offen")),"")</f>
        <v/>
      </c>
      <c r="O63" s="66">
        <f>IF(OR(H63="N.I.O",H63="bed. OK"),COUNTIF($H$9:H63,"N.I.O")+COUNTIF($H$9:H63,"bed. OK"),"")</f>
        <v/>
      </c>
      <c r="P63" s="60" t="inlineStr">
        <is>
          <t>NEU</t>
        </is>
      </c>
      <c r="Q63" s="66">
        <f>IF(H63="N.I.O",COUNTIF($H$9:H63,"N.I.O"),"")</f>
        <v/>
      </c>
    </row>
    <row r="64" ht="30" customHeight="1">
      <c r="A64" s="57">
        <f>IF(C64="","",COUNTA($C$9:C64))</f>
        <v/>
      </c>
      <c r="B64" s="58" t="inlineStr">
        <is>
          <t>Obsoleszenz &amp; Herstellersupport</t>
        </is>
      </c>
      <c r="C64" s="58" t="inlineStr">
        <is>
          <t>Ist Fernwartung möglich bzw. sind alternative Dienstleister für die Anlage bekannt?</t>
        </is>
      </c>
      <c r="D64" s="59" t="inlineStr">
        <is>
          <t>Is remote service possible or are alternative service providers known for the machine?</t>
        </is>
      </c>
      <c r="E64" s="60" t="inlineStr">
        <is>
          <t>IATF 6.1.2.3</t>
        </is>
      </c>
      <c r="F64" s="61" t="n">
        <v>1</v>
      </c>
      <c r="G64" s="62" t="n"/>
      <c r="H64" s="63" t="n"/>
      <c r="I64" s="64" t="n"/>
      <c r="J64" s="64" t="n"/>
      <c r="K64" s="64" t="n"/>
      <c r="L64" s="65" t="n"/>
      <c r="M64" s="61" t="n"/>
      <c r="N64" s="41">
        <f>IF(OR(H64="N.I.O",H64="bed. OK"),IF(M64="ja","erledigt",IF(AND(L64&lt;&gt;"",L64&lt;TODAY()),"überfällig","offen")),"")</f>
        <v/>
      </c>
      <c r="O64" s="66">
        <f>IF(OR(H64="N.I.O",H64="bed. OK"),COUNTIF($H$9:H64,"N.I.O")+COUNTIF($H$9:H64,"bed. OK"),"")</f>
        <v/>
      </c>
      <c r="P64" s="60" t="inlineStr">
        <is>
          <t>NEU</t>
        </is>
      </c>
      <c r="Q64" s="66">
        <f>IF(H64="N.I.O",COUNTIF($H$9:H64,"N.I.O"),"")</f>
        <v/>
      </c>
    </row>
    <row r="65" ht="30" customHeight="1">
      <c r="A65" s="57">
        <f>IF(C65="","",COUNTA($C$9:C65))</f>
        <v/>
      </c>
      <c r="B65" s="58" t="inlineStr">
        <is>
          <t>Sicherheit &amp; Umwelt</t>
        </is>
      </c>
      <c r="C65" s="58" t="inlineStr">
        <is>
          <t>Sind die Sicherheitseinrichtungen an der Anlage vorhanden und wirksam (Schutzhauben, Schutztüren, Lichtgitter)?</t>
        </is>
      </c>
      <c r="D65" s="59" t="inlineStr">
        <is>
          <t>Are the safety devices on the machine present and effective (guards, safety doors, light curtains)?</t>
        </is>
      </c>
      <c r="E65" s="60" t="inlineStr">
        <is>
          <t>BetrSichV § 4 / § 6</t>
        </is>
      </c>
      <c r="F65" s="61" t="n">
        <v>3</v>
      </c>
      <c r="G65" s="62" t="inlineStr">
        <is>
          <t>K.O.</t>
        </is>
      </c>
      <c r="H65" s="63" t="n"/>
      <c r="I65" s="64" t="n"/>
      <c r="J65" s="64" t="n"/>
      <c r="K65" s="64" t="n"/>
      <c r="L65" s="65" t="n"/>
      <c r="M65" s="61" t="n"/>
      <c r="N65" s="41">
        <f>IF(OR(H65="N.I.O",H65="bed. OK"),IF(M65="ja","erledigt",IF(AND(L65&lt;&gt;"",L65&lt;TODAY()),"überfällig","offen")),"")</f>
        <v/>
      </c>
      <c r="O65" s="66">
        <f>IF(OR(H65="N.I.O",H65="bed. OK"),COUNTIF($H$9:H65,"N.I.O")+COUNTIF($H$9:H65,"bed. OK"),"")</f>
        <v/>
      </c>
      <c r="P65" s="60" t="inlineStr">
        <is>
          <t>Vorlage A1 B12</t>
        </is>
      </c>
      <c r="Q65" s="66">
        <f>IF(H65="N.I.O",COUNTIF($H$9:H65,"N.I.O"),"")</f>
        <v/>
      </c>
    </row>
    <row r="66" ht="30" customHeight="1">
      <c r="A66" s="57">
        <f>IF(C66="","",COUNTA($C$9:C66))</f>
        <v/>
      </c>
      <c r="B66" s="58" t="inlineStr">
        <is>
          <t>Sicherheit &amp; Umwelt</t>
        </is>
      </c>
      <c r="C66" s="58" t="inlineStr">
        <is>
          <t>Sind Not-Halt und Schutzeinrichtungen nachweislich in festgelegten Intervallen funktionsgeprüft?</t>
        </is>
      </c>
      <c r="D66" s="59" t="inlineStr">
        <is>
          <t>Are emergency stop and safety devices demonstrably function-tested at defined intervals?</t>
        </is>
      </c>
      <c r="E66" s="60" t="inlineStr">
        <is>
          <t>BetrSichV § 14</t>
        </is>
      </c>
      <c r="F66" s="61" t="n">
        <v>3</v>
      </c>
      <c r="G66" s="62" t="inlineStr">
        <is>
          <t>K.O.</t>
        </is>
      </c>
      <c r="H66" s="63" t="n"/>
      <c r="I66" s="64" t="n"/>
      <c r="J66" s="64" t="n"/>
      <c r="K66" s="64" t="n"/>
      <c r="L66" s="65" t="n"/>
      <c r="M66" s="61" t="n"/>
      <c r="N66" s="41">
        <f>IF(OR(H66="N.I.O",H66="bed. OK"),IF(M66="ja","erledigt",IF(AND(L66&lt;&gt;"",L66&lt;TODAY()),"überfällig","offen")),"")</f>
        <v/>
      </c>
      <c r="O66" s="66">
        <f>IF(OR(H66="N.I.O",H66="bed. OK"),COUNTIF($H$9:H66,"N.I.O")+COUNTIF($H$9:H66,"bed. OK"),"")</f>
        <v/>
      </c>
      <c r="P66" s="60" t="inlineStr">
        <is>
          <t>NEU</t>
        </is>
      </c>
      <c r="Q66" s="66">
        <f>IF(H66="N.I.O",COUNTIF($H$9:H66,"N.I.O"),"")</f>
        <v/>
      </c>
    </row>
    <row r="67" ht="42.25" customHeight="1">
      <c r="A67" s="57">
        <f>IF(C67="","",COUNTA($C$9:C67))</f>
        <v/>
      </c>
      <c r="B67" s="58" t="inlineStr">
        <is>
          <t>Sicherheit &amp; Umwelt</t>
        </is>
      </c>
      <c r="C67" s="58" t="inlineStr">
        <is>
          <t>Liegen Gefährdungsbeurteilung und Betriebsanweisung aktuell vor; wurde die CE-Konformität nach wesentlichen Veränderungen bewertet?</t>
        </is>
      </c>
      <c r="D67" s="59" t="inlineStr">
        <is>
          <t>Are risk assessment and operating instructions up to date; was CE conformity assessed after substantial modifications?</t>
        </is>
      </c>
      <c r="E67" s="60" t="inlineStr">
        <is>
          <t>ArbSchG § 5 / BetrSichV § 3</t>
        </is>
      </c>
      <c r="F67" s="61" t="n">
        <v>3</v>
      </c>
      <c r="G67" s="62" t="inlineStr">
        <is>
          <t>K.O.</t>
        </is>
      </c>
      <c r="H67" s="63" t="n"/>
      <c r="I67" s="64" t="n"/>
      <c r="J67" s="64" t="n"/>
      <c r="K67" s="64" t="n"/>
      <c r="L67" s="65" t="n"/>
      <c r="M67" s="61" t="n"/>
      <c r="N67" s="41">
        <f>IF(OR(H67="N.I.O",H67="bed. OK"),IF(M67="ja","erledigt",IF(AND(L67&lt;&gt;"",L67&lt;TODAY()),"überfällig","offen")),"")</f>
        <v/>
      </c>
      <c r="O67" s="66">
        <f>IF(OR(H67="N.I.O",H67="bed. OK"),COUNTIF($H$9:H67,"N.I.O")+COUNTIF($H$9:H67,"bed. OK"),"")</f>
        <v/>
      </c>
      <c r="P67" s="60" t="inlineStr">
        <is>
          <t>NEU</t>
        </is>
      </c>
      <c r="Q67" s="66">
        <f>IF(H67="N.I.O",COUNTIF($H$9:H67,"N.I.O"),"")</f>
        <v/>
      </c>
    </row>
    <row r="68" ht="30" customHeight="1">
      <c r="A68" s="57">
        <f>IF(C68="","",COUNTA($C$9:C68))</f>
        <v/>
      </c>
      <c r="B68" s="58" t="inlineStr">
        <is>
          <t>Sicherheit &amp; Umwelt</t>
        </is>
      </c>
      <c r="C68" s="58" t="inlineStr">
        <is>
          <t>Werden wiederkehrende Prüfungen fristgerecht durchgeführt (z. B. DGUV V3, Druckgeräte, Hebezeuge)?</t>
        </is>
      </c>
      <c r="D68" s="59" t="inlineStr">
        <is>
          <t>Are recurring inspections carried out on time (e.g. DGUV V3, pressure equipment, lifting gear)?</t>
        </is>
      </c>
      <c r="E68" s="60" t="inlineStr">
        <is>
          <t>BetrSichV § 14 / DGUV V3</t>
        </is>
      </c>
      <c r="F68" s="61" t="n">
        <v>3</v>
      </c>
      <c r="G68" s="62" t="inlineStr">
        <is>
          <t>K.O.</t>
        </is>
      </c>
      <c r="H68" s="63" t="n"/>
      <c r="I68" s="64" t="n"/>
      <c r="J68" s="64" t="n"/>
      <c r="K68" s="64" t="n"/>
      <c r="L68" s="65" t="n"/>
      <c r="M68" s="61" t="n"/>
      <c r="N68" s="41">
        <f>IF(OR(H68="N.I.O",H68="bed. OK"),IF(M68="ja","erledigt",IF(AND(L68&lt;&gt;"",L68&lt;TODAY()),"überfällig","offen")),"")</f>
        <v/>
      </c>
      <c r="O68" s="66">
        <f>IF(OR(H68="N.I.O",H68="bed. OK"),COUNTIF($H$9:H68,"N.I.O")+COUNTIF($H$9:H68,"bed. OK"),"")</f>
        <v/>
      </c>
      <c r="P68" s="60" t="inlineStr">
        <is>
          <t>NEU</t>
        </is>
      </c>
      <c r="Q68" s="66">
        <f>IF(H68="N.I.O",COUNTIF($H$9:H68,"N.I.O"),"")</f>
        <v/>
      </c>
    </row>
    <row r="69" ht="30" customHeight="1">
      <c r="A69" s="57">
        <f>IF(C69="","",COUNTA($C$9:C69))</f>
        <v/>
      </c>
      <c r="B69" s="58" t="inlineStr">
        <is>
          <t>Sicherheit &amp; Umwelt</t>
        </is>
      </c>
      <c r="C69" s="58" t="inlineStr">
        <is>
          <t>Ist das Freischalten und Sichern gegen Wiedereinschalten anlagenspezifisch beschrieben (LOTO, Restenergien)?</t>
        </is>
      </c>
      <c r="D69" s="59" t="inlineStr">
        <is>
          <t>Is isolation and securing against restart described for this machine (LOTO, residual energies)?</t>
        </is>
      </c>
      <c r="E69" s="60" t="inlineStr">
        <is>
          <t>BetrSichV § 10</t>
        </is>
      </c>
      <c r="F69" s="61" t="n">
        <v>2</v>
      </c>
      <c r="G69" s="62" t="n"/>
      <c r="H69" s="63" t="n"/>
      <c r="I69" s="64" t="n"/>
      <c r="J69" s="64" t="n"/>
      <c r="K69" s="64" t="n"/>
      <c r="L69" s="65" t="n"/>
      <c r="M69" s="61" t="n"/>
      <c r="N69" s="41">
        <f>IF(OR(H69="N.I.O",H69="bed. OK"),IF(M69="ja","erledigt",IF(AND(L69&lt;&gt;"",L69&lt;TODAY()),"überfällig","offen")),"")</f>
        <v/>
      </c>
      <c r="O69" s="66">
        <f>IF(OR(H69="N.I.O",H69="bed. OK"),COUNTIF($H$9:H69,"N.I.O")+COUNTIF($H$9:H69,"bed. OK"),"")</f>
        <v/>
      </c>
      <c r="P69" s="60" t="inlineStr">
        <is>
          <t>NEU</t>
        </is>
      </c>
      <c r="Q69" s="66">
        <f>IF(H69="N.I.O",COUNTIF($H$9:H69,"N.I.O"),"")</f>
        <v/>
      </c>
    </row>
    <row r="70" ht="30" customHeight="1">
      <c r="A70" s="57">
        <f>IF(C70="","",COUNTA($C$9:C70))</f>
        <v/>
      </c>
      <c r="B70" s="58" t="inlineStr">
        <is>
          <t>Sicherheit &amp; Umwelt</t>
        </is>
      </c>
      <c r="C70" s="58" t="inlineStr">
        <is>
          <t>Sind Umweltaspekte beherrscht (keine Leckagen, Auffangwannen, Umgang mit wassergefährdenden Stoffen)?</t>
        </is>
      </c>
      <c r="D70" s="59" t="inlineStr">
        <is>
          <t>Are environmental aspects under control (no leaks, drip trays, handling of water-polluting substances)?</t>
        </is>
      </c>
      <c r="E70" s="60" t="inlineStr">
        <is>
          <t>AwSV / ISO 14001</t>
        </is>
      </c>
      <c r="F70" s="61" t="n">
        <v>2</v>
      </c>
      <c r="G70" s="62" t="n"/>
      <c r="H70" s="63" t="n"/>
      <c r="I70" s="64" t="n"/>
      <c r="J70" s="64" t="n"/>
      <c r="K70" s="64" t="n"/>
      <c r="L70" s="65" t="n"/>
      <c r="M70" s="61" t="n"/>
      <c r="N70" s="41">
        <f>IF(OR(H70="N.I.O",H70="bed. OK"),IF(M70="ja","erledigt",IF(AND(L70&lt;&gt;"",L70&lt;TODAY()),"überfällig","offen")),"")</f>
        <v/>
      </c>
      <c r="O70" s="66">
        <f>IF(OR(H70="N.I.O",H70="bed. OK"),COUNTIF($H$9:H70,"N.I.O")+COUNTIF($H$9:H70,"bed. OK"),"")</f>
        <v/>
      </c>
      <c r="P70" s="60" t="inlineStr">
        <is>
          <t>NEU</t>
        </is>
      </c>
      <c r="Q70" s="66">
        <f>IF(H70="N.I.O",COUNTIF($H$9:H70,"N.I.O"),"")</f>
        <v/>
      </c>
    </row>
    <row r="71" ht="30" customHeight="1">
      <c r="A71" s="57">
        <f>IF(C71="","",COUNTA($C$9:C71))</f>
        <v/>
      </c>
      <c r="B71" s="58" t="inlineStr">
        <is>
          <t>Sicherheit &amp; Umwelt</t>
        </is>
      </c>
      <c r="C71" s="58" t="inlineStr">
        <is>
          <t>Ist der Brandschutz an der Anlage gewährleistet (Löscheinrichtung, Absaugung, Filterreinigung)?</t>
        </is>
      </c>
      <c r="D71" s="59" t="inlineStr">
        <is>
          <t>Is fire protection at the machine ensured (extinguishing system, extraction, filter cleaning)?</t>
        </is>
      </c>
      <c r="E71" s="60" t="inlineStr">
        <is>
          <t>ASR A2.2</t>
        </is>
      </c>
      <c r="F71" s="61" t="n">
        <v>1</v>
      </c>
      <c r="G71" s="62" t="n"/>
      <c r="H71" s="63" t="n"/>
      <c r="I71" s="64" t="n"/>
      <c r="J71" s="64" t="n"/>
      <c r="K71" s="64" t="n"/>
      <c r="L71" s="65" t="n"/>
      <c r="M71" s="61" t="n"/>
      <c r="N71" s="41">
        <f>IF(OR(H71="N.I.O",H71="bed. OK"),IF(M71="ja","erledigt",IF(AND(L71&lt;&gt;"",L71&lt;TODAY()),"überfällig","offen")),"")</f>
        <v/>
      </c>
      <c r="O71" s="66">
        <f>IF(OR(H71="N.I.O",H71="bed. OK"),COUNTIF($H$9:H71,"N.I.O")+COUNTIF($H$9:H71,"bed. OK"),"")</f>
        <v/>
      </c>
      <c r="P71" s="60" t="inlineStr">
        <is>
          <t>NEU</t>
        </is>
      </c>
      <c r="Q71" s="66">
        <f>IF(H71="N.I.O",COUNTIF($H$9:H71,"N.I.O"),"")</f>
        <v/>
      </c>
    </row>
    <row r="72" ht="42.25" customHeight="1">
      <c r="A72" s="57">
        <f>IF(C72="","",COUNTA($C$9:C72))</f>
        <v/>
      </c>
      <c r="B72" s="58" t="inlineStr">
        <is>
          <t>Produktionsrelevanz &amp; Engpass</t>
        </is>
      </c>
      <c r="C72" s="58" t="inlineStr">
        <is>
          <t>Hat die Organisation ermittelt, ob die Anlage für Schlüsselprozesse notwendig ist (Schlüssel- / Engpassanlage)?</t>
        </is>
      </c>
      <c r="D72" s="59" t="inlineStr">
        <is>
          <t>Has the organisation determined whether the machine is necessary for key processes (key / bottleneck machine)?</t>
        </is>
      </c>
      <c r="E72" s="60" t="inlineStr">
        <is>
          <t>IATF 8.5.1.5</t>
        </is>
      </c>
      <c r="F72" s="61" t="n">
        <v>2</v>
      </c>
      <c r="G72" s="62" t="n"/>
      <c r="H72" s="63" t="n"/>
      <c r="I72" s="64" t="n"/>
      <c r="J72" s="64" t="n"/>
      <c r="K72" s="64" t="n"/>
      <c r="L72" s="65" t="n"/>
      <c r="M72" s="61" t="n"/>
      <c r="N72" s="41">
        <f>IF(OR(H72="N.I.O",H72="bed. OK"),IF(M72="ja","erledigt",IF(AND(L72&lt;&gt;"",L72&lt;TODAY()),"überfällig","offen")),"")</f>
        <v/>
      </c>
      <c r="O72" s="66">
        <f>IF(OR(H72="N.I.O",H72="bed. OK"),COUNTIF($H$9:H72,"N.I.O")+COUNTIF($H$9:H72,"bed. OK"),"")</f>
        <v/>
      </c>
      <c r="P72" s="60" t="inlineStr">
        <is>
          <t>Vorlage A1 B13 (Teil)</t>
        </is>
      </c>
      <c r="Q72" s="66">
        <f>IF(H72="N.I.O",COUNTIF($H$9:H72,"N.I.O"),"")</f>
        <v/>
      </c>
    </row>
    <row r="73" ht="42.25" customHeight="1">
      <c r="A73" s="57">
        <f>IF(C73="","",COUNTA($C$9:C73))</f>
        <v/>
      </c>
      <c r="B73" s="58" t="inlineStr">
        <is>
          <t>Produktionsrelevanz &amp; Engpass</t>
        </is>
      </c>
      <c r="C73" s="58" t="inlineStr">
        <is>
          <t>Ist die Anlage einer Kritikalitätsklasse (A / B / C) zugeordnet und ist die IH-Strategie daraus abgeleitet?</t>
        </is>
      </c>
      <c r="D73" s="59" t="inlineStr">
        <is>
          <t>Is the machine assigned to a criticality class (A / B / C) and is the maintenance strategy derived from it?</t>
        </is>
      </c>
      <c r="E73" s="60" t="inlineStr">
        <is>
          <t>DIN EN 13306</t>
        </is>
      </c>
      <c r="F73" s="61" t="n">
        <v>2</v>
      </c>
      <c r="G73" s="62" t="n"/>
      <c r="H73" s="63" t="n"/>
      <c r="I73" s="64" t="n"/>
      <c r="J73" s="64" t="n"/>
      <c r="K73" s="64" t="n"/>
      <c r="L73" s="65" t="n"/>
      <c r="M73" s="61" t="n"/>
      <c r="N73" s="41">
        <f>IF(OR(H73="N.I.O",H73="bed. OK"),IF(M73="ja","erledigt",IF(AND(L73&lt;&gt;"",L73&lt;TODAY()),"überfällig","offen")),"")</f>
        <v/>
      </c>
      <c r="O73" s="66">
        <f>IF(OR(H73="N.I.O",H73="bed. OK"),COUNTIF($H$9:H73,"N.I.O")+COUNTIF($H$9:H73,"bed. OK"),"")</f>
        <v/>
      </c>
      <c r="P73" s="60" t="inlineStr">
        <is>
          <t>NEU</t>
        </is>
      </c>
      <c r="Q73" s="66">
        <f>IF(H73="N.I.O",COUNTIF($H$9:H73,"N.I.O"),"")</f>
        <v/>
      </c>
    </row>
    <row r="74" ht="30" customHeight="1">
      <c r="A74" s="57">
        <f>IF(C74="","",COUNTA($C$9:C74))</f>
        <v/>
      </c>
      <c r="B74" s="58" t="inlineStr">
        <is>
          <t>Produktionsrelevanz &amp; Engpass</t>
        </is>
      </c>
      <c r="C74" s="58" t="inlineStr">
        <is>
          <t>Ist die Produktionsrelevanz dokumentiert (Kunden, Teilenummern, Umsatz- bzw. Stückzahlanteil)?</t>
        </is>
      </c>
      <c r="D74" s="59" t="inlineStr">
        <is>
          <t>Is the production relevance documented (customers, part numbers, share of sales / volume)?</t>
        </is>
      </c>
      <c r="E74" s="60" t="inlineStr">
        <is>
          <t>IATF 6.1.2.3</t>
        </is>
      </c>
      <c r="F74" s="61" t="n">
        <v>1</v>
      </c>
      <c r="G74" s="62" t="n"/>
      <c r="H74" s="63" t="n"/>
      <c r="I74" s="64" t="n"/>
      <c r="J74" s="64" t="n"/>
      <c r="K74" s="64" t="n"/>
      <c r="L74" s="65" t="n"/>
      <c r="M74" s="61" t="n"/>
      <c r="N74" s="41">
        <f>IF(OR(H74="N.I.O",H74="bed. OK"),IF(M74="ja","erledigt",IF(AND(L74&lt;&gt;"",L74&lt;TODAY()),"überfällig","offen")),"")</f>
        <v/>
      </c>
      <c r="O74" s="66">
        <f>IF(OR(H74="N.I.O",H74="bed. OK"),COUNTIF($H$9:H74,"N.I.O")+COUNTIF($H$9:H74,"bed. OK"),"")</f>
        <v/>
      </c>
      <c r="P74" s="60" t="inlineStr">
        <is>
          <t>NEU</t>
        </is>
      </c>
      <c r="Q74" s="66">
        <f>IF(H74="N.I.O",COUNTIF($H$9:H74,"N.I.O"),"")</f>
        <v/>
      </c>
    </row>
    <row r="75" ht="42.25" customHeight="1">
      <c r="A75" s="57">
        <f>IF(C75="","",COUNTA($C$9:C75))</f>
        <v/>
      </c>
      <c r="B75" s="58" t="inlineStr">
        <is>
          <t>Produktionsrelevanz &amp; Engpass</t>
        </is>
      </c>
      <c r="C75" s="58" t="inlineStr">
        <is>
          <t>Sind besondere Merkmale bzw. Sonderprozesse auf der Anlage bekannt und ist der IH-Umfang darauf abgestimmt?</t>
        </is>
      </c>
      <c r="D75" s="59" t="inlineStr">
        <is>
          <t>Are special characteristics / special processes on the machine known and is maintenance scope aligned with them?</t>
        </is>
      </c>
      <c r="E75" s="60" t="inlineStr">
        <is>
          <t>IATF 8.3.3.3</t>
        </is>
      </c>
      <c r="F75" s="61" t="n">
        <v>1</v>
      </c>
      <c r="G75" s="62" t="n"/>
      <c r="H75" s="63" t="n"/>
      <c r="I75" s="64" t="n"/>
      <c r="J75" s="64" t="n"/>
      <c r="K75" s="64" t="n"/>
      <c r="L75" s="65" t="n"/>
      <c r="M75" s="61" t="n"/>
      <c r="N75" s="41">
        <f>IF(OR(H75="N.I.O",H75="bed. OK"),IF(M75="ja","erledigt",IF(AND(L75&lt;&gt;"",L75&lt;TODAY()),"überfällig","offen")),"")</f>
        <v/>
      </c>
      <c r="O75" s="66">
        <f>IF(OR(H75="N.I.O",H75="bed. OK"),COUNTIF($H$9:H75,"N.I.O")+COUNTIF($H$9:H75,"bed. OK"),"")</f>
        <v/>
      </c>
      <c r="P75" s="60" t="inlineStr">
        <is>
          <t>NEU</t>
        </is>
      </c>
      <c r="Q75" s="66">
        <f>IF(H75="N.I.O",COUNTIF($H$9:H75,"N.I.O"),"")</f>
        <v/>
      </c>
    </row>
    <row r="76" ht="30" customHeight="1">
      <c r="A76" s="57">
        <f>IF(C76="","",COUNTA($C$9:C76))</f>
        <v/>
      </c>
      <c r="B76" s="58" t="inlineStr">
        <is>
          <t>Produktionsrelevanz &amp; Engpass</t>
        </is>
      </c>
      <c r="C76" s="58" t="inlineStr">
        <is>
          <t>Ist die Kapazitätsauslastung bekannt und gibt es Reserve, um Ausfälle nachzuholen?</t>
        </is>
      </c>
      <c r="D76" s="59" t="inlineStr">
        <is>
          <t>Is the capacity utilisation known and is there reserve capacity to recover from breakdowns?</t>
        </is>
      </c>
      <c r="E76" s="60" t="inlineStr">
        <is>
          <t>IATF 6.1.2.3</t>
        </is>
      </c>
      <c r="F76" s="61" t="n">
        <v>1</v>
      </c>
      <c r="G76" s="62" t="n"/>
      <c r="H76" s="63" t="n"/>
      <c r="I76" s="64" t="n"/>
      <c r="J76" s="64" t="n"/>
      <c r="K76" s="64" t="n"/>
      <c r="L76" s="65" t="n"/>
      <c r="M76" s="61" t="n"/>
      <c r="N76" s="41">
        <f>IF(OR(H76="N.I.O",H76="bed. OK"),IF(M76="ja","erledigt",IF(AND(L76&lt;&gt;"",L76&lt;TODAY()),"überfällig","offen")),"")</f>
        <v/>
      </c>
      <c r="O76" s="66">
        <f>IF(OR(H76="N.I.O",H76="bed. OK"),COUNTIF($H$9:H76,"N.I.O")+COUNTIF($H$9:H76,"bed. OK"),"")</f>
        <v/>
      </c>
      <c r="P76" s="60" t="inlineStr">
        <is>
          <t>NEU</t>
        </is>
      </c>
      <c r="Q76" s="66">
        <f>IF(H76="N.I.O",COUNTIF($H$9:H76,"N.I.O"),"")</f>
        <v/>
      </c>
    </row>
    <row r="77" ht="30" customHeight="1">
      <c r="A77" s="57">
        <f>IF(C77="","",COUNTA($C$9:C77))</f>
        <v/>
      </c>
      <c r="B77" s="58" t="inlineStr">
        <is>
          <t>Ausweichfertigung &amp; Notfall</t>
        </is>
      </c>
      <c r="C77" s="58" t="inlineStr">
        <is>
          <t>Gibt es eine Ausweichmöglichkeit (intern / extern) mit ausreichender Kapazität?</t>
        </is>
      </c>
      <c r="D77" s="59" t="inlineStr">
        <is>
          <t>Is there an alternative production option (internal / external) with sufficient capacity?</t>
        </is>
      </c>
      <c r="E77" s="60" t="inlineStr">
        <is>
          <t>IATF 6.1.2.3</t>
        </is>
      </c>
      <c r="F77" s="61" t="n">
        <v>2</v>
      </c>
      <c r="G77" s="62" t="n"/>
      <c r="H77" s="63" t="n"/>
      <c r="I77" s="64" t="n"/>
      <c r="J77" s="64" t="n"/>
      <c r="K77" s="64" t="n"/>
      <c r="L77" s="65" t="n"/>
      <c r="M77" s="61" t="n"/>
      <c r="N77" s="41">
        <f>IF(OR(H77="N.I.O",H77="bed. OK"),IF(M77="ja","erledigt",IF(AND(L77&lt;&gt;"",L77&lt;TODAY()),"überfällig","offen")),"")</f>
        <v/>
      </c>
      <c r="O77" s="66">
        <f>IF(OR(H77="N.I.O",H77="bed. OK"),COUNTIF($H$9:H77,"N.I.O")+COUNTIF($H$9:H77,"bed. OK"),"")</f>
        <v/>
      </c>
      <c r="P77" s="60" t="inlineStr">
        <is>
          <t>NEU</t>
        </is>
      </c>
      <c r="Q77" s="66">
        <f>IF(H77="N.I.O",COUNTIF($H$9:H77,"N.I.O"),"")</f>
        <v/>
      </c>
    </row>
    <row r="78" ht="30" customHeight="1">
      <c r="A78" s="57">
        <f>IF(C78="","",COUNTA($C$9:C78))</f>
        <v/>
      </c>
      <c r="B78" s="58" t="inlineStr">
        <is>
          <t>Ausweichfertigung &amp; Notfall</t>
        </is>
      </c>
      <c r="C78" s="58" t="inlineStr">
        <is>
          <t>Ist die Ausweichfertigung vom Kunden freigegeben (PPAP / PPF) und ist die Umstellzeit bekannt?</t>
        </is>
      </c>
      <c r="D78" s="59" t="inlineStr">
        <is>
          <t>Is the alternative production approved by the customer (PPAP / PPF) and is the changeover time known?</t>
        </is>
      </c>
      <c r="E78" s="60" t="inlineStr">
        <is>
          <t>IATF 8.5.6.1.1</t>
        </is>
      </c>
      <c r="F78" s="61" t="n">
        <v>2</v>
      </c>
      <c r="G78" s="62" t="n"/>
      <c r="H78" s="63" t="n"/>
      <c r="I78" s="64" t="n"/>
      <c r="J78" s="64" t="n"/>
      <c r="K78" s="64" t="n"/>
      <c r="L78" s="65" t="n"/>
      <c r="M78" s="61" t="n"/>
      <c r="N78" s="41">
        <f>IF(OR(H78="N.I.O",H78="bed. OK"),IF(M78="ja","erledigt",IF(AND(L78&lt;&gt;"",L78&lt;TODAY()),"überfällig","offen")),"")</f>
        <v/>
      </c>
      <c r="O78" s="66">
        <f>IF(OR(H78="N.I.O",H78="bed. OK"),COUNTIF($H$9:H78,"N.I.O")+COUNTIF($H$9:H78,"bed. OK"),"")</f>
        <v/>
      </c>
      <c r="P78" s="60" t="inlineStr">
        <is>
          <t>NEU</t>
        </is>
      </c>
      <c r="Q78" s="66">
        <f>IF(H78="N.I.O",COUNTIF($H$9:H78,"N.I.O"),"")</f>
        <v/>
      </c>
    </row>
    <row r="79" ht="30" customHeight="1">
      <c r="A79" s="57">
        <f>IF(C79="","",COUNTA($C$9:C79))</f>
        <v/>
      </c>
      <c r="B79" s="58" t="inlineStr">
        <is>
          <t>Ausweichfertigung &amp; Notfall</t>
        </is>
      </c>
      <c r="C79" s="58" t="inlineStr">
        <is>
          <t>Gibt es einen Notfallplan für den Ausfall dieser Anlage?</t>
        </is>
      </c>
      <c r="D79" s="59" t="inlineStr">
        <is>
          <t>Is there a contingency plan for a breakdown of this machine?</t>
        </is>
      </c>
      <c r="E79" s="60" t="inlineStr">
        <is>
          <t>IATF 6.1.2.3</t>
        </is>
      </c>
      <c r="F79" s="61" t="n">
        <v>3</v>
      </c>
      <c r="G79" s="62" t="inlineStr">
        <is>
          <t>K.O.</t>
        </is>
      </c>
      <c r="H79" s="63" t="n"/>
      <c r="I79" s="64" t="n"/>
      <c r="J79" s="64" t="n"/>
      <c r="K79" s="64" t="n"/>
      <c r="L79" s="65" t="n"/>
      <c r="M79" s="61" t="n"/>
      <c r="N79" s="41">
        <f>IF(OR(H79="N.I.O",H79="bed. OK"),IF(M79="ja","erledigt",IF(AND(L79&lt;&gt;"",L79&lt;TODAY()),"überfällig","offen")),"")</f>
        <v/>
      </c>
      <c r="O79" s="66">
        <f>IF(OR(H79="N.I.O",H79="bed. OK"),COUNTIF($H$9:H79,"N.I.O")+COUNTIF($H$9:H79,"bed. OK"),"")</f>
        <v/>
      </c>
      <c r="P79" s="60" t="inlineStr">
        <is>
          <t>NEU</t>
        </is>
      </c>
      <c r="Q79" s="66">
        <f>IF(H79="N.I.O",COUNTIF($H$9:H79,"N.I.O"),"")</f>
        <v/>
      </c>
    </row>
    <row r="80" ht="42.25" customHeight="1">
      <c r="A80" s="57">
        <f>IF(C80="","",COUNTA($C$9:C80))</f>
        <v/>
      </c>
      <c r="B80" s="58" t="inlineStr">
        <is>
          <t>Ausweichfertigung &amp; Notfall</t>
        </is>
      </c>
      <c r="C80" s="58" t="inlineStr">
        <is>
          <t>Gibt es einen Wiederanlaufplan mit Zielzeit, Zuständigkeiten und Notfallkontakten (Hersteller, Dienstleister)?</t>
        </is>
      </c>
      <c r="D80" s="59" t="inlineStr">
        <is>
          <t>Is there a restart plan with target time, responsibilities and emergency contacts (manufacturer, service providers)?</t>
        </is>
      </c>
      <c r="E80" s="60" t="inlineStr">
        <is>
          <t>IATF 6.1.2.3</t>
        </is>
      </c>
      <c r="F80" s="61" t="n">
        <v>2</v>
      </c>
      <c r="G80" s="62" t="n"/>
      <c r="H80" s="63" t="n"/>
      <c r="I80" s="64" t="n"/>
      <c r="J80" s="64" t="n"/>
      <c r="K80" s="64" t="n"/>
      <c r="L80" s="65" t="n"/>
      <c r="M80" s="61" t="n"/>
      <c r="N80" s="41">
        <f>IF(OR(H80="N.I.O",H80="bed. OK"),IF(M80="ja","erledigt",IF(AND(L80&lt;&gt;"",L80&lt;TODAY()),"überfällig","offen")),"")</f>
        <v/>
      </c>
      <c r="O80" s="66">
        <f>IF(OR(H80="N.I.O",H80="bed. OK"),COUNTIF($H$9:H80,"N.I.O")+COUNTIF($H$9:H80,"bed. OK"),"")</f>
        <v/>
      </c>
      <c r="P80" s="60" t="inlineStr">
        <is>
          <t>NEU</t>
        </is>
      </c>
      <c r="Q80" s="66">
        <f>IF(H80="N.I.O",COUNTIF($H$9:H80,"N.I.O"),"")</f>
        <v/>
      </c>
    </row>
    <row r="81" ht="30" customHeight="1">
      <c r="A81" s="57">
        <f>IF(C81="","",COUNTA($C$9:C81))</f>
        <v/>
      </c>
      <c r="B81" s="58" t="inlineStr">
        <is>
          <t>Ausweichfertigung &amp; Notfall</t>
        </is>
      </c>
      <c r="C81" s="58" t="inlineStr">
        <is>
          <t>Wird der Notfallplan regelmäßig (mind. jährlich) getestet bzw. bewertet und aktualisiert?</t>
        </is>
      </c>
      <c r="D81" s="59" t="inlineStr">
        <is>
          <t>Is the contingency plan tested / reviewed and updated regularly (at least annually)?</t>
        </is>
      </c>
      <c r="E81" s="60" t="inlineStr">
        <is>
          <t>IATF 6.1.2.3</t>
        </is>
      </c>
      <c r="F81" s="61" t="n">
        <v>1</v>
      </c>
      <c r="G81" s="62" t="n"/>
      <c r="H81" s="63" t="n"/>
      <c r="I81" s="64" t="n"/>
      <c r="J81" s="64" t="n"/>
      <c r="K81" s="64" t="n"/>
      <c r="L81" s="65" t="n"/>
      <c r="M81" s="61" t="n"/>
      <c r="N81" s="41">
        <f>IF(OR(H81="N.I.O",H81="bed. OK"),IF(M81="ja","erledigt",IF(AND(L81&lt;&gt;"",L81&lt;TODAY()),"überfällig","offen")),"")</f>
        <v/>
      </c>
      <c r="O81" s="66">
        <f>IF(OR(H81="N.I.O",H81="bed. OK"),COUNTIF($H$9:H81,"N.I.O")+COUNTIF($H$9:H81,"bed. OK"),"")</f>
        <v/>
      </c>
      <c r="P81" s="60" t="inlineStr">
        <is>
          <t>NEU</t>
        </is>
      </c>
      <c r="Q81" s="66">
        <f>IF(H81="N.I.O",COUNTIF($H$9:H81,"N.I.O"),"")</f>
        <v/>
      </c>
    </row>
    <row r="82" ht="30" customHeight="1">
      <c r="A82" s="57">
        <f>IF(C82="","",COUNTA($C$9:C82))</f>
        <v/>
      </c>
      <c r="B82" s="58" t="inlineStr">
        <is>
          <t>Ausweichfertigung &amp; Notfall</t>
        </is>
      </c>
      <c r="C82" s="58" t="inlineStr">
        <is>
          <t>Ist ein Sicherheitsbestand an Fertigteilen bzw. ein Puffer für die erwartete Ausfallzeit festgelegt?</t>
        </is>
      </c>
      <c r="D82" s="59" t="inlineStr">
        <is>
          <t>Is a safety stock of finished parts or a buffer for the expected downtime defined?</t>
        </is>
      </c>
      <c r="E82" s="60" t="inlineStr">
        <is>
          <t>IATF 6.1.2.3</t>
        </is>
      </c>
      <c r="F82" s="61" t="n">
        <v>1</v>
      </c>
      <c r="G82" s="62" t="n"/>
      <c r="H82" s="63" t="n"/>
      <c r="I82" s="64" t="n"/>
      <c r="J82" s="64" t="n"/>
      <c r="K82" s="64" t="n"/>
      <c r="L82" s="65" t="n"/>
      <c r="M82" s="61" t="n"/>
      <c r="N82" s="41">
        <f>IF(OR(H82="N.I.O",H82="bed. OK"),IF(M82="ja","erledigt",IF(AND(L82&lt;&gt;"",L82&lt;TODAY()),"überfällig","offen")),"")</f>
        <v/>
      </c>
      <c r="O82" s="66">
        <f>IF(OR(H82="N.I.O",H82="bed. OK"),COUNTIF($H$9:H82,"N.I.O")+COUNTIF($H$9:H82,"bed. OK"),"")</f>
        <v/>
      </c>
      <c r="P82" s="60" t="inlineStr">
        <is>
          <t>NEU</t>
        </is>
      </c>
      <c r="Q82" s="66">
        <f>IF(H82="N.I.O",COUNTIF($H$9:H82,"N.I.O"),"")</f>
        <v/>
      </c>
    </row>
    <row r="83" ht="30" customHeight="1">
      <c r="A83" s="57">
        <f>IF(C83="","",COUNTA($C$9:C83))</f>
        <v/>
      </c>
      <c r="B83" s="58" t="inlineStr">
        <is>
          <t>Ausweichfertigung &amp; Notfall</t>
        </is>
      </c>
      <c r="C83" s="58" t="inlineStr">
        <is>
          <t>Sind IT- und Cyberrisiken berücksichtigt (Netzwerkanbindung, Virenschutz, Wiederherstellung)?</t>
        </is>
      </c>
      <c r="D83" s="59" t="inlineStr">
        <is>
          <t>Are IT and cyber risks considered (network connection, virus protection, recovery)?</t>
        </is>
      </c>
      <c r="E83" s="60" t="inlineStr">
        <is>
          <t>IATF 6.1.2.3</t>
        </is>
      </c>
      <c r="F83" s="61" t="n">
        <v>1</v>
      </c>
      <c r="G83" s="62" t="n"/>
      <c r="H83" s="63" t="n"/>
      <c r="I83" s="64" t="n"/>
      <c r="J83" s="64" t="n"/>
      <c r="K83" s="64" t="n"/>
      <c r="L83" s="65" t="n"/>
      <c r="M83" s="61" t="n"/>
      <c r="N83" s="41">
        <f>IF(OR(H83="N.I.O",H83="bed. OK"),IF(M83="ja","erledigt",IF(AND(L83&lt;&gt;"",L83&lt;TODAY()),"überfällig","offen")),"")</f>
        <v/>
      </c>
      <c r="O83" s="66">
        <f>IF(OR(H83="N.I.O",H83="bed. OK"),COUNTIF($H$9:H83,"N.I.O")+COUNTIF($H$9:H83,"bed. OK"),"")</f>
        <v/>
      </c>
      <c r="P83" s="60" t="inlineStr">
        <is>
          <t>NEU</t>
        </is>
      </c>
      <c r="Q83" s="66">
        <f>IF(H83="N.I.O",COUNTIF($H$9:H83,"N.I.O"),"")</f>
        <v/>
      </c>
    </row>
    <row r="84" ht="30" customHeight="1">
      <c r="A84" s="57">
        <f>IF(C84="","",COUNTA($C$9:C84))</f>
        <v/>
      </c>
      <c r="B84" s="58" t="inlineStr">
        <is>
          <t>Dokumentation &amp; Software</t>
        </is>
      </c>
      <c r="C84" s="58" t="inlineStr">
        <is>
          <t>Wird die technische Dokumentation verwaltet (Stücklisten, Maschinenbeschreibung, technische Zeichnungen)?</t>
        </is>
      </c>
      <c r="D84" s="59" t="inlineStr">
        <is>
          <t>Is the technical documentation managed (parts lists, machine description, technical drawings)?</t>
        </is>
      </c>
      <c r="E84" s="60" t="inlineStr">
        <is>
          <t>IATF 7.5</t>
        </is>
      </c>
      <c r="F84" s="61" t="n">
        <v>2</v>
      </c>
      <c r="G84" s="62" t="n"/>
      <c r="H84" s="63" t="n"/>
      <c r="I84" s="64" t="n"/>
      <c r="J84" s="64" t="n"/>
      <c r="K84" s="64" t="n"/>
      <c r="L84" s="65" t="n"/>
      <c r="M84" s="61" t="n"/>
      <c r="N84" s="41">
        <f>IF(OR(H84="N.I.O",H84="bed. OK"),IF(M84="ja","erledigt",IF(AND(L84&lt;&gt;"",L84&lt;TODAY()),"überfällig","offen")),"")</f>
        <v/>
      </c>
      <c r="O84" s="66">
        <f>IF(OR(H84="N.I.O",H84="bed. OK"),COUNTIF($H$9:H84,"N.I.O")+COUNTIF($H$9:H84,"bed. OK"),"")</f>
        <v/>
      </c>
      <c r="P84" s="60" t="inlineStr">
        <is>
          <t>Vorlage M 2.4 / A1 B17</t>
        </is>
      </c>
      <c r="Q84" s="66">
        <f>IF(H84="N.I.O",COUNTIF($H$9:H84,"N.I.O"),"")</f>
        <v/>
      </c>
    </row>
    <row r="85" ht="30" customHeight="1">
      <c r="A85" s="57">
        <f>IF(C85="","",COUNTA($C$9:C85))</f>
        <v/>
      </c>
      <c r="B85" s="58" t="inlineStr">
        <is>
          <t>Dokumentation &amp; Software</t>
        </is>
      </c>
      <c r="C85" s="58" t="inlineStr">
        <is>
          <t>Liegen technische Dokumente auch für Werkzeuge und Ersatzteile vor (Zeichnungen, Stücklisten)?</t>
        </is>
      </c>
      <c r="D85" s="59" t="inlineStr">
        <is>
          <t>Are technical documents also available for tools and spare parts (drawings, parts lists)?</t>
        </is>
      </c>
      <c r="E85" s="60" t="inlineStr">
        <is>
          <t>IATF 7.5</t>
        </is>
      </c>
      <c r="F85" s="61" t="n">
        <v>1</v>
      </c>
      <c r="G85" s="62" t="n"/>
      <c r="H85" s="63" t="n"/>
      <c r="I85" s="64" t="n"/>
      <c r="J85" s="64" t="n"/>
      <c r="K85" s="64" t="n"/>
      <c r="L85" s="65" t="n"/>
      <c r="M85" s="61" t="n"/>
      <c r="N85" s="41">
        <f>IF(OR(H85="N.I.O",H85="bed. OK"),IF(M85="ja","erledigt",IF(AND(L85&lt;&gt;"",L85&lt;TODAY()),"überfällig","offen")),"")</f>
        <v/>
      </c>
      <c r="O85" s="66">
        <f>IF(OR(H85="N.I.O",H85="bed. OK"),COUNTIF($H$9:H85,"N.I.O")+COUNTIF($H$9:H85,"bed. OK"),"")</f>
        <v/>
      </c>
      <c r="P85" s="60" t="inlineStr">
        <is>
          <t>Vorlage A1 F17 / J17</t>
        </is>
      </c>
      <c r="Q85" s="66">
        <f>IF(H85="N.I.O",COUNTIF($H$9:H85,"N.I.O"),"")</f>
        <v/>
      </c>
    </row>
    <row r="86" ht="30" customHeight="1">
      <c r="A86" s="57">
        <f>IF(C86="","",COUNTA($C$9:C86))</f>
        <v/>
      </c>
      <c r="B86" s="58" t="inlineStr">
        <is>
          <t>Dokumentation &amp; Software</t>
        </is>
      </c>
      <c r="C86" s="58" t="inlineStr">
        <is>
          <t>Ist die Dokumentation aktuell (Schaltpläne entsprechen dem Ist-Stand, Änderungsstand nach Umbauten)?</t>
        </is>
      </c>
      <c r="D86" s="59" t="inlineStr">
        <is>
          <t>Is the documentation up to date (wiring diagrams as built, revision status after modifications)?</t>
        </is>
      </c>
      <c r="E86" s="60" t="inlineStr">
        <is>
          <t>IATF 7.5.3</t>
        </is>
      </c>
      <c r="F86" s="61" t="n">
        <v>2</v>
      </c>
      <c r="G86" s="62" t="n"/>
      <c r="H86" s="63" t="n"/>
      <c r="I86" s="64" t="n"/>
      <c r="J86" s="64" t="n"/>
      <c r="K86" s="64" t="n"/>
      <c r="L86" s="65" t="n"/>
      <c r="M86" s="61" t="n"/>
      <c r="N86" s="41">
        <f>IF(OR(H86="N.I.O",H86="bed. OK"),IF(M86="ja","erledigt",IF(AND(L86&lt;&gt;"",L86&lt;TODAY()),"überfällig","offen")),"")</f>
        <v/>
      </c>
      <c r="O86" s="66">
        <f>IF(OR(H86="N.I.O",H86="bed. OK"),COUNTIF($H$9:H86,"N.I.O")+COUNTIF($H$9:H86,"bed. OK"),"")</f>
        <v/>
      </c>
      <c r="P86" s="60" t="inlineStr">
        <is>
          <t>NEU</t>
        </is>
      </c>
      <c r="Q86" s="66">
        <f>IF(H86="N.I.O",COUNTIF($H$9:H86,"N.I.O"),"")</f>
        <v/>
      </c>
    </row>
    <row r="87" ht="42.25" customHeight="1">
      <c r="A87" s="57">
        <f>IF(C87="","",COUNTA($C$9:C87))</f>
        <v/>
      </c>
      <c r="B87" s="58" t="inlineStr">
        <is>
          <t>Dokumentation &amp; Software</t>
        </is>
      </c>
      <c r="C87" s="58" t="inlineStr">
        <is>
          <t>Ist die Dokumentation im Störfall sofort zugänglich (digital / vor Ort) und liegt die Betriebsanleitung in Landessprache vor?</t>
        </is>
      </c>
      <c r="D87" s="59" t="inlineStr">
        <is>
          <t>Is the documentation immediately accessible in case of breakdown (digital / on site) and is the operating manual in the local language?</t>
        </is>
      </c>
      <c r="E87" s="60" t="inlineStr">
        <is>
          <t>IATF 7.5.3</t>
        </is>
      </c>
      <c r="F87" s="61" t="n">
        <v>1</v>
      </c>
      <c r="G87" s="62" t="n"/>
      <c r="H87" s="63" t="n"/>
      <c r="I87" s="64" t="n"/>
      <c r="J87" s="64" t="n"/>
      <c r="K87" s="64" t="n"/>
      <c r="L87" s="65" t="n"/>
      <c r="M87" s="61" t="n"/>
      <c r="N87" s="41">
        <f>IF(OR(H87="N.I.O",H87="bed. OK"),IF(M87="ja","erledigt",IF(AND(L87&lt;&gt;"",L87&lt;TODAY()),"überfällig","offen")),"")</f>
        <v/>
      </c>
      <c r="O87" s="66">
        <f>IF(OR(H87="N.I.O",H87="bed. OK"),COUNTIF($H$9:H87,"N.I.O")+COUNTIF($H$9:H87,"bed. OK"),"")</f>
        <v/>
      </c>
      <c r="P87" s="60" t="inlineStr">
        <is>
          <t>NEU</t>
        </is>
      </c>
      <c r="Q87" s="66">
        <f>IF(H87="N.I.O",COUNTIF($H$9:H87,"N.I.O"),"")</f>
        <v/>
      </c>
    </row>
    <row r="88" ht="30" customHeight="1">
      <c r="A88" s="57">
        <f>IF(C88="","",COUNTA($C$9:C88))</f>
        <v/>
      </c>
      <c r="B88" s="58" t="inlineStr">
        <is>
          <t>Dokumentation &amp; Software</t>
        </is>
      </c>
      <c r="C88" s="58" t="inlineStr">
        <is>
          <t>Ist die IH-Historie der Anlage vollständig im System erfasst (Störungen, Reparaturen, Kosten)?</t>
        </is>
      </c>
      <c r="D88" s="59" t="inlineStr">
        <is>
          <t>Is the maintenance history of the machine fully recorded in the system (breakdowns, repairs, costs)?</t>
        </is>
      </c>
      <c r="E88" s="60" t="inlineStr">
        <is>
          <t>IATF 8.5.1.5</t>
        </is>
      </c>
      <c r="F88" s="61" t="n">
        <v>1</v>
      </c>
      <c r="G88" s="62" t="n"/>
      <c r="H88" s="63" t="n"/>
      <c r="I88" s="64" t="n"/>
      <c r="J88" s="64" t="n"/>
      <c r="K88" s="64" t="n"/>
      <c r="L88" s="65" t="n"/>
      <c r="M88" s="61" t="n"/>
      <c r="N88" s="41">
        <f>IF(OR(H88="N.I.O",H88="bed. OK"),IF(M88="ja","erledigt",IF(AND(L88&lt;&gt;"",L88&lt;TODAY()),"überfällig","offen")),"")</f>
        <v/>
      </c>
      <c r="O88" s="66">
        <f>IF(OR(H88="N.I.O",H88="bed. OK"),COUNTIF($H$9:H88,"N.I.O")+COUNTIF($H$9:H88,"bed. OK"),"")</f>
        <v/>
      </c>
      <c r="P88" s="60" t="inlineStr">
        <is>
          <t>NEU</t>
        </is>
      </c>
      <c r="Q88" s="66">
        <f>IF(H88="N.I.O",COUNTIF($H$9:H88,"N.I.O"),"")</f>
        <v/>
      </c>
    </row>
    <row r="89" ht="42.25" customHeight="1">
      <c r="A89" s="57">
        <f>IF(C89="","",COUNTA($C$9:C89))</f>
        <v/>
      </c>
      <c r="B89" s="58" t="inlineStr">
        <is>
          <t>Dokumentation &amp; Software</t>
        </is>
      </c>
      <c r="C89" s="58" t="inlineStr">
        <is>
          <t>Werden Programme und Parameter (SPS, NC, Roboter, Antriebe) gesichert und versioniert, und ist die Rücksicherung getestet?</t>
        </is>
      </c>
      <c r="D89" s="59" t="inlineStr">
        <is>
          <t>Are programs and parameters (PLC, NC, robot, drives) backed up and versioned, and has restoring been tested?</t>
        </is>
      </c>
      <c r="E89" s="60" t="inlineStr">
        <is>
          <t>IATF 6.1.2.3</t>
        </is>
      </c>
      <c r="F89" s="61" t="n">
        <v>3</v>
      </c>
      <c r="G89" s="62" t="n"/>
      <c r="H89" s="63" t="n"/>
      <c r="I89" s="64" t="n"/>
      <c r="J89" s="64" t="n"/>
      <c r="K89" s="64" t="n"/>
      <c r="L89" s="65" t="n"/>
      <c r="M89" s="61" t="n"/>
      <c r="N89" s="41">
        <f>IF(OR(H89="N.I.O",H89="bed. OK"),IF(M89="ja","erledigt",IF(AND(L89&lt;&gt;"",L89&lt;TODAY()),"überfällig","offen")),"")</f>
        <v/>
      </c>
      <c r="O89" s="66">
        <f>IF(OR(H89="N.I.O",H89="bed. OK"),COUNTIF($H$9:H89,"N.I.O")+COUNTIF($H$9:H89,"bed. OK"),"")</f>
        <v/>
      </c>
      <c r="P89" s="60" t="inlineStr">
        <is>
          <t>NEU</t>
        </is>
      </c>
      <c r="Q89" s="66">
        <f>IF(H89="N.I.O",COUNTIF($H$9:H89,"N.I.O"),"")</f>
        <v/>
      </c>
    </row>
    <row r="90" ht="30" customHeight="1">
      <c r="A90" s="57">
        <f>IF(C90="","",COUNTA($C$9:C90))</f>
        <v/>
      </c>
      <c r="B90" s="58" t="inlineStr">
        <is>
          <t>Personal &amp; Know-how</t>
        </is>
      </c>
      <c r="C90" s="58" t="inlineStr">
        <is>
          <t>Werden die Instandhalter anlagenspezifisch geschult?</t>
        </is>
      </c>
      <c r="D90" s="59" t="inlineStr">
        <is>
          <t>Are maintenance staff trained specifically for this machine?</t>
        </is>
      </c>
      <c r="E90" s="60" t="inlineStr">
        <is>
          <t>IATF 7.2.1</t>
        </is>
      </c>
      <c r="F90" s="61" t="n">
        <v>2</v>
      </c>
      <c r="G90" s="62" t="n"/>
      <c r="H90" s="63" t="n"/>
      <c r="I90" s="64" t="n"/>
      <c r="J90" s="64" t="n"/>
      <c r="K90" s="64" t="n"/>
      <c r="L90" s="65" t="n"/>
      <c r="M90" s="61" t="n"/>
      <c r="N90" s="41">
        <f>IF(OR(H90="N.I.O",H90="bed. OK"),IF(M90="ja","erledigt",IF(AND(L90&lt;&gt;"",L90&lt;TODAY()),"überfällig","offen")),"")</f>
        <v/>
      </c>
      <c r="O90" s="66">
        <f>IF(OR(H90="N.I.O",H90="bed. OK"),COUNTIF($H$9:H90,"N.I.O")+COUNTIF($H$9:H90,"bed. OK"),"")</f>
        <v/>
      </c>
      <c r="P90" s="60" t="inlineStr">
        <is>
          <t>Vorlage A1 B16</t>
        </is>
      </c>
      <c r="Q90" s="66">
        <f>IF(H90="N.I.O",COUNTIF($H$9:H90,"N.I.O"),"")</f>
        <v/>
      </c>
    </row>
    <row r="91" ht="30" customHeight="1">
      <c r="A91" s="57">
        <f>IF(C91="","",COUNTA($C$9:C91))</f>
        <v/>
      </c>
      <c r="B91" s="58" t="inlineStr">
        <is>
          <t>Personal &amp; Know-how</t>
        </is>
      </c>
      <c r="C91" s="58" t="inlineStr">
        <is>
          <t>Ist die technische Betreuung der Anlage geregelt (Anlagenverantwortlicher benannt)?</t>
        </is>
      </c>
      <c r="D91" s="59" t="inlineStr">
        <is>
          <t>Is technical responsibility for the machine defined (machine owner appointed)?</t>
        </is>
      </c>
      <c r="E91" s="60" t="inlineStr">
        <is>
          <t>IATF 5.3</t>
        </is>
      </c>
      <c r="F91" s="61" t="n">
        <v>1</v>
      </c>
      <c r="G91" s="62" t="n"/>
      <c r="H91" s="63" t="n"/>
      <c r="I91" s="64" t="n"/>
      <c r="J91" s="64" t="n"/>
      <c r="K91" s="64" t="n"/>
      <c r="L91" s="65" t="n"/>
      <c r="M91" s="61" t="n"/>
      <c r="N91" s="41">
        <f>IF(OR(H91="N.I.O",H91="bed. OK"),IF(M91="ja","erledigt",IF(AND(L91&lt;&gt;"",L91&lt;TODAY()),"überfällig","offen")),"")</f>
        <v/>
      </c>
      <c r="O91" s="66">
        <f>IF(OR(H91="N.I.O",H91="bed. OK"),COUNTIF($H$9:H91,"N.I.O")+COUNTIF($H$9:H91,"bed. OK"),"")</f>
        <v/>
      </c>
      <c r="P91" s="60" t="inlineStr">
        <is>
          <t>Vorlage A1 B19 (präzisiert)</t>
        </is>
      </c>
      <c r="Q91" s="66">
        <f>IF(H91="N.I.O",COUNTIF($H$9:H91,"N.I.O"),"")</f>
        <v/>
      </c>
    </row>
    <row r="92" ht="30" customHeight="1">
      <c r="A92" s="57">
        <f>IF(C92="","",COUNTA($C$9:C92))</f>
        <v/>
      </c>
      <c r="B92" s="58" t="inlineStr">
        <is>
          <t>Personal &amp; Know-how</t>
        </is>
      </c>
      <c r="C92" s="58" t="inlineStr">
        <is>
          <t>Ist das Anlagen-Know-how nicht an einzelne Personen gebunden (Vertretung, Rufbereitschaft, Wissenssicherung)?</t>
        </is>
      </c>
      <c r="D92" s="59" t="inlineStr">
        <is>
          <t>Is machine know-how not tied to single persons (deputies, on-call service, knowledge retention)?</t>
        </is>
      </c>
      <c r="E92" s="60" t="inlineStr">
        <is>
          <t>IATF 7.1.6</t>
        </is>
      </c>
      <c r="F92" s="61" t="n">
        <v>2</v>
      </c>
      <c r="G92" s="62" t="n"/>
      <c r="H92" s="63" t="n"/>
      <c r="I92" s="64" t="n"/>
      <c r="J92" s="64" t="n"/>
      <c r="K92" s="64" t="n"/>
      <c r="L92" s="65" t="n"/>
      <c r="M92" s="61" t="n"/>
      <c r="N92" s="41">
        <f>IF(OR(H92="N.I.O",H92="bed. OK"),IF(M92="ja","erledigt",IF(AND(L92&lt;&gt;"",L92&lt;TODAY()),"überfällig","offen")),"")</f>
        <v/>
      </c>
      <c r="O92" s="66">
        <f>IF(OR(H92="N.I.O",H92="bed. OK"),COUNTIF($H$9:H92,"N.I.O")+COUNTIF($H$9:H92,"bed. OK"),"")</f>
        <v/>
      </c>
      <c r="P92" s="60" t="inlineStr">
        <is>
          <t>NEU</t>
        </is>
      </c>
      <c r="Q92" s="66">
        <f>IF(H92="N.I.O",COUNTIF($H$9:H92,"N.I.O"),"")</f>
        <v/>
      </c>
    </row>
    <row r="93" ht="42.25" customHeight="1">
      <c r="A93" s="57">
        <f>IF(C93="","",COUNTA($C$9:C93))</f>
        <v/>
      </c>
      <c r="B93" s="58" t="inlineStr">
        <is>
          <t>Modernisierung &amp; Investition</t>
        </is>
      </c>
      <c r="C93" s="58" t="inlineStr">
        <is>
          <t>Entspricht die Anlage dem Stand der Technik (Sicherheit, Steuerung, Energieeffizienz) – kein dringender Modernisierungsbedarf?</t>
        </is>
      </c>
      <c r="D93" s="59" t="inlineStr">
        <is>
          <t>Does the machine correspond to the state of the art (safety, control, energy efficiency) – no urgent need to modernise?</t>
        </is>
      </c>
      <c r="E93" s="60" t="inlineStr">
        <is>
          <t>IATF 7.1.3.1</t>
        </is>
      </c>
      <c r="F93" s="61" t="n">
        <v>1</v>
      </c>
      <c r="G93" s="62" t="n"/>
      <c r="H93" s="63" t="n"/>
      <c r="I93" s="64" t="n"/>
      <c r="J93" s="64" t="n"/>
      <c r="K93" s="64" t="n"/>
      <c r="L93" s="65" t="n"/>
      <c r="M93" s="61" t="n"/>
      <c r="N93" s="41">
        <f>IF(OR(H93="N.I.O",H93="bed. OK"),IF(M93="ja","erledigt",IF(AND(L93&lt;&gt;"",L93&lt;TODAY()),"überfällig","offen")),"")</f>
        <v/>
      </c>
      <c r="O93" s="66">
        <f>IF(OR(H93="N.I.O",H93="bed. OK"),COUNTIF($H$9:H93,"N.I.O")+COUNTIF($H$9:H93,"bed. OK"),"")</f>
        <v/>
      </c>
      <c r="P93" s="60" t="inlineStr">
        <is>
          <t>NEU</t>
        </is>
      </c>
      <c r="Q93" s="66">
        <f>IF(H93="N.I.O",COUNTIF($H$9:H93,"N.I.O"),"")</f>
        <v/>
      </c>
    </row>
    <row r="94" ht="42.25" customHeight="1">
      <c r="A94" s="57">
        <f>IF(C94="","",COUNTA($C$9:C94))</f>
        <v/>
      </c>
      <c r="B94" s="58" t="inlineStr">
        <is>
          <t>Modernisierung &amp; Investition</t>
        </is>
      </c>
      <c r="C94" s="58" t="inlineStr">
        <is>
          <t>Ist die Restnutzungsdauer bewertet und rechtfertigt der Zustand den Weiterbetrieb im Planungszeitraum?</t>
        </is>
      </c>
      <c r="D94" s="59" t="inlineStr">
        <is>
          <t>Has the remaining useful life been assessed and does the condition justify continued operation in the planning period?</t>
        </is>
      </c>
      <c r="E94" s="60" t="inlineStr">
        <is>
          <t>DIN EN 13306</t>
        </is>
      </c>
      <c r="F94" s="61" t="n">
        <v>2</v>
      </c>
      <c r="G94" s="62" t="n"/>
      <c r="H94" s="63" t="n"/>
      <c r="I94" s="64" t="n"/>
      <c r="J94" s="64" t="n"/>
      <c r="K94" s="64" t="n"/>
      <c r="L94" s="65" t="n"/>
      <c r="M94" s="61" t="n"/>
      <c r="N94" s="41">
        <f>IF(OR(H94="N.I.O",H94="bed. OK"),IF(M94="ja","erledigt",IF(AND(L94&lt;&gt;"",L94&lt;TODAY()),"überfällig","offen")),"")</f>
        <v/>
      </c>
      <c r="O94" s="66">
        <f>IF(OR(H94="N.I.O",H94="bed. OK"),COUNTIF($H$9:H94,"N.I.O")+COUNTIF($H$9:H94,"bed. OK"),"")</f>
        <v/>
      </c>
      <c r="P94" s="60" t="inlineStr">
        <is>
          <t>NEU</t>
        </is>
      </c>
      <c r="Q94" s="66">
        <f>IF(H94="N.I.O",COUNTIF($H$9:H94,"N.I.O"),"")</f>
        <v/>
      </c>
    </row>
    <row r="95" ht="42.25" customHeight="1">
      <c r="A95" s="57">
        <f>IF(C95="","",COUNTA($C$9:C95))</f>
        <v/>
      </c>
      <c r="B95" s="58" t="inlineStr">
        <is>
          <t>Modernisierung &amp; Investition</t>
        </is>
      </c>
      <c r="C95" s="58" t="inlineStr">
        <is>
          <t>Werden die IH-Kosten je Anlage erfasst und liegt die IH-Kostenquote unter dem Grenzwert (Blatt „Einstellungen“)?</t>
        </is>
      </c>
      <c r="D95" s="59" t="inlineStr">
        <is>
          <t>Are maintenance costs recorded per machine and is the maintenance cost ratio below the limit (sheet “Einstellungen”)?</t>
        </is>
      </c>
      <c r="E95" s="60" t="inlineStr">
        <is>
          <t>DIN EN 15341</t>
        </is>
      </c>
      <c r="F95" s="61" t="n">
        <v>1</v>
      </c>
      <c r="G95" s="62" t="n"/>
      <c r="H95" s="63" t="n"/>
      <c r="I95" s="64" t="n"/>
      <c r="J95" s="64" t="n"/>
      <c r="K95" s="64" t="n"/>
      <c r="L95" s="65" t="n"/>
      <c r="M95" s="61" t="n"/>
      <c r="N95" s="41">
        <f>IF(OR(H95="N.I.O",H95="bed. OK"),IF(M95="ja","erledigt",IF(AND(L95&lt;&gt;"",L95&lt;TODAY()),"überfällig","offen")),"")</f>
        <v/>
      </c>
      <c r="O95" s="66">
        <f>IF(OR(H95="N.I.O",H95="bed. OK"),COUNTIF($H$9:H95,"N.I.O")+COUNTIF($H$9:H95,"bed. OK"),"")</f>
        <v/>
      </c>
      <c r="P95" s="60" t="inlineStr">
        <is>
          <t>NEU</t>
        </is>
      </c>
      <c r="Q95" s="66">
        <f>IF(H95="N.I.O",COUNTIF($H$9:H95,"N.I.O"),"")</f>
        <v/>
      </c>
    </row>
    <row r="96" ht="42.25" customHeight="1">
      <c r="A96" s="57">
        <f>IF(C96="","",COUNTA($C$9:C96))</f>
        <v/>
      </c>
      <c r="B96" s="58" t="inlineStr">
        <is>
          <t>Modernisierung &amp; Investition</t>
        </is>
      </c>
      <c r="C96" s="58" t="inlineStr">
        <is>
          <t>Ist der Investitions- bzw. Retrofit-Bedarf ermittelt, bewertet (Optionen, Kosten) und in die Investitionsplanung eingebracht?</t>
        </is>
      </c>
      <c r="D96" s="59" t="inlineStr">
        <is>
          <t>Has the investment / retrofit need been determined, assessed (options, costs) and included in investment planning?</t>
        </is>
      </c>
      <c r="E96" s="60" t="inlineStr">
        <is>
          <t>IATF 7.1.3.1</t>
        </is>
      </c>
      <c r="F96" s="61" t="n">
        <v>1</v>
      </c>
      <c r="G96" s="62" t="n"/>
      <c r="H96" s="63" t="n"/>
      <c r="I96" s="64" t="n"/>
      <c r="J96" s="64" t="n"/>
      <c r="K96" s="64" t="n"/>
      <c r="L96" s="65" t="n"/>
      <c r="M96" s="61" t="n"/>
      <c r="N96" s="41">
        <f>IF(OR(H96="N.I.O",H96="bed. OK"),IF(M96="ja","erledigt",IF(AND(L96&lt;&gt;"",L96&lt;TODAY()),"überfällig","offen")),"")</f>
        <v/>
      </c>
      <c r="O96" s="66">
        <f>IF(OR(H96="N.I.O",H96="bed. OK"),COUNTIF($H$9:H96,"N.I.O")+COUNTIF($H$9:H96,"bed. OK"),"")</f>
        <v/>
      </c>
      <c r="P96" s="60" t="inlineStr">
        <is>
          <t>NEU</t>
        </is>
      </c>
      <c r="Q96" s="66">
        <f>IF(H96="N.I.O",COUNTIF($H$9:H96,"N.I.O"),"")</f>
        <v/>
      </c>
    </row>
    <row r="97" ht="30" customHeight="1">
      <c r="A97" s="57">
        <f>IF(C97="","",COUNTA($C$9:C97))</f>
        <v/>
      </c>
      <c r="B97" s="58" t="n"/>
      <c r="C97" s="58" t="n"/>
      <c r="D97" s="59" t="n"/>
      <c r="E97" s="60" t="n"/>
      <c r="F97" s="61" t="n">
        <v>1</v>
      </c>
      <c r="G97" s="62" t="n"/>
      <c r="H97" s="63" t="n"/>
      <c r="I97" s="64" t="n"/>
      <c r="J97" s="64" t="n"/>
      <c r="K97" s="64" t="n"/>
      <c r="L97" s="65" t="n"/>
      <c r="M97" s="61" t="n"/>
      <c r="N97" s="41">
        <f>IF(OR(H97="N.I.O",H97="bed. OK"),IF(M97="ja","erledigt",IF(AND(L97&lt;&gt;"",L97&lt;TODAY()),"überfällig","offen")),"")</f>
        <v/>
      </c>
      <c r="O97" s="66">
        <f>IF(OR(H97="N.I.O",H97="bed. OK"),COUNTIF($H$9:H97,"N.I.O")+COUNTIF($H$9:H97,"bed. OK"),"")</f>
        <v/>
      </c>
      <c r="P97" s="60" t="n"/>
      <c r="Q97" s="66">
        <f>IF(H97="N.I.O",COUNTIF($H$9:H97,"N.I.O"),"")</f>
        <v/>
      </c>
    </row>
    <row r="98" ht="30" customHeight="1">
      <c r="A98" s="57">
        <f>IF(C98="","",COUNTA($C$9:C98))</f>
        <v/>
      </c>
      <c r="B98" s="58" t="n"/>
      <c r="C98" s="58" t="n"/>
      <c r="D98" s="59" t="n"/>
      <c r="E98" s="60" t="n"/>
      <c r="F98" s="61" t="n">
        <v>1</v>
      </c>
      <c r="G98" s="62" t="n"/>
      <c r="H98" s="63" t="n"/>
      <c r="I98" s="64" t="n"/>
      <c r="J98" s="64" t="n"/>
      <c r="K98" s="64" t="n"/>
      <c r="L98" s="65" t="n"/>
      <c r="M98" s="61" t="n"/>
      <c r="N98" s="41">
        <f>IF(OR(H98="N.I.O",H98="bed. OK"),IF(M98="ja","erledigt",IF(AND(L98&lt;&gt;"",L98&lt;TODAY()),"überfällig","offen")),"")</f>
        <v/>
      </c>
      <c r="O98" s="66">
        <f>IF(OR(H98="N.I.O",H98="bed. OK"),COUNTIF($H$9:H98,"N.I.O")+COUNTIF($H$9:H98,"bed. OK"),"")</f>
        <v/>
      </c>
      <c r="P98" s="60" t="n"/>
      <c r="Q98" s="66">
        <f>IF(H98="N.I.O",COUNTIF($H$9:H98,"N.I.O"),"")</f>
        <v/>
      </c>
    </row>
    <row r="99" ht="30" customHeight="1">
      <c r="A99" s="57">
        <f>IF(C99="","",COUNTA($C$9:C99))</f>
        <v/>
      </c>
      <c r="B99" s="58" t="n"/>
      <c r="C99" s="58" t="n"/>
      <c r="D99" s="59" t="n"/>
      <c r="E99" s="60" t="n"/>
      <c r="F99" s="61" t="n">
        <v>1</v>
      </c>
      <c r="G99" s="62" t="n"/>
      <c r="H99" s="63" t="n"/>
      <c r="I99" s="64" t="n"/>
      <c r="J99" s="64" t="n"/>
      <c r="K99" s="64" t="n"/>
      <c r="L99" s="65" t="n"/>
      <c r="M99" s="61" t="n"/>
      <c r="N99" s="41">
        <f>IF(OR(H99="N.I.O",H99="bed. OK"),IF(M99="ja","erledigt",IF(AND(L99&lt;&gt;"",L99&lt;TODAY()),"überfällig","offen")),"")</f>
        <v/>
      </c>
      <c r="O99" s="66">
        <f>IF(OR(H99="N.I.O",H99="bed. OK"),COUNTIF($H$9:H99,"N.I.O")+COUNTIF($H$9:H99,"bed. OK"),"")</f>
        <v/>
      </c>
      <c r="P99" s="60" t="n"/>
      <c r="Q99" s="66">
        <f>IF(H99="N.I.O",COUNTIF($H$9:H99,"N.I.O"),"")</f>
        <v/>
      </c>
    </row>
    <row r="100" ht="30" customHeight="1">
      <c r="A100" s="57">
        <f>IF(C100="","",COUNTA($C$9:C100))</f>
        <v/>
      </c>
      <c r="B100" s="58" t="n"/>
      <c r="C100" s="58" t="n"/>
      <c r="D100" s="59" t="n"/>
      <c r="E100" s="60" t="n"/>
      <c r="F100" s="61" t="n">
        <v>1</v>
      </c>
      <c r="G100" s="62" t="n"/>
      <c r="H100" s="63" t="n"/>
      <c r="I100" s="64" t="n"/>
      <c r="J100" s="64" t="n"/>
      <c r="K100" s="64" t="n"/>
      <c r="L100" s="65" t="n"/>
      <c r="M100" s="61" t="n"/>
      <c r="N100" s="41">
        <f>IF(OR(H100="N.I.O",H100="bed. OK"),IF(M100="ja","erledigt",IF(AND(L100&lt;&gt;"",L100&lt;TODAY()),"überfällig","offen")),"")</f>
        <v/>
      </c>
      <c r="O100" s="66">
        <f>IF(OR(H100="N.I.O",H100="bed. OK"),COUNTIF($H$9:H100,"N.I.O")+COUNTIF($H$9:H100,"bed. OK"),"")</f>
        <v/>
      </c>
      <c r="P100" s="60" t="n"/>
      <c r="Q100" s="66">
        <f>IF(H100="N.I.O",COUNTIF($H$9:H100,"N.I.O"),"")</f>
        <v/>
      </c>
    </row>
    <row r="101" ht="30" customHeight="1">
      <c r="A101" s="57">
        <f>IF(C101="","",COUNTA($C$9:C101))</f>
        <v/>
      </c>
      <c r="B101" s="58" t="n"/>
      <c r="C101" s="58" t="n"/>
      <c r="D101" s="59" t="n"/>
      <c r="E101" s="60" t="n"/>
      <c r="F101" s="61" t="n">
        <v>1</v>
      </c>
      <c r="G101" s="62" t="n"/>
      <c r="H101" s="63" t="n"/>
      <c r="I101" s="64" t="n"/>
      <c r="J101" s="64" t="n"/>
      <c r="K101" s="64" t="n"/>
      <c r="L101" s="65" t="n"/>
      <c r="M101" s="61" t="n"/>
      <c r="N101" s="41">
        <f>IF(OR(H101="N.I.O",H101="bed. OK"),IF(M101="ja","erledigt",IF(AND(L101&lt;&gt;"",L101&lt;TODAY()),"überfällig","offen")),"")</f>
        <v/>
      </c>
      <c r="O101" s="66">
        <f>IF(OR(H101="N.I.O",H101="bed. OK"),COUNTIF($H$9:H101,"N.I.O")+COUNTIF($H$9:H101,"bed. OK"),"")</f>
        <v/>
      </c>
      <c r="P101" s="60" t="n"/>
      <c r="Q101" s="66">
        <f>IF(H101="N.I.O",COUNTIF($H$9:H101,"N.I.O"),"")</f>
        <v/>
      </c>
    </row>
    <row r="102" ht="30" customHeight="1">
      <c r="A102" s="57">
        <f>IF(C102="","",COUNTA($C$9:C102))</f>
        <v/>
      </c>
      <c r="B102" s="58" t="n"/>
      <c r="C102" s="58" t="n"/>
      <c r="D102" s="59" t="n"/>
      <c r="E102" s="60" t="n"/>
      <c r="F102" s="61" t="n">
        <v>1</v>
      </c>
      <c r="G102" s="62" t="n"/>
      <c r="H102" s="63" t="n"/>
      <c r="I102" s="64" t="n"/>
      <c r="J102" s="64" t="n"/>
      <c r="K102" s="64" t="n"/>
      <c r="L102" s="65" t="n"/>
      <c r="M102" s="61" t="n"/>
      <c r="N102" s="41">
        <f>IF(OR(H102="N.I.O",H102="bed. OK"),IF(M102="ja","erledigt",IF(AND(L102&lt;&gt;"",L102&lt;TODAY()),"überfällig","offen")),"")</f>
        <v/>
      </c>
      <c r="O102" s="66">
        <f>IF(OR(H102="N.I.O",H102="bed. OK"),COUNTIF($H$9:H102,"N.I.O")+COUNTIF($H$9:H102,"bed. OK"),"")</f>
        <v/>
      </c>
      <c r="P102" s="60" t="n"/>
      <c r="Q102" s="66">
        <f>IF(H102="N.I.O",COUNTIF($H$9:H102,"N.I.O"),"")</f>
        <v/>
      </c>
    </row>
    <row r="103" ht="30" customHeight="1">
      <c r="A103" s="57">
        <f>IF(C103="","",COUNTA($C$9:C103))</f>
        <v/>
      </c>
      <c r="B103" s="58" t="n"/>
      <c r="C103" s="58" t="n"/>
      <c r="D103" s="59" t="n"/>
      <c r="E103" s="60" t="n"/>
      <c r="F103" s="61" t="n">
        <v>1</v>
      </c>
      <c r="G103" s="62" t="n"/>
      <c r="H103" s="63" t="n"/>
      <c r="I103" s="64" t="n"/>
      <c r="J103" s="64" t="n"/>
      <c r="K103" s="64" t="n"/>
      <c r="L103" s="65" t="n"/>
      <c r="M103" s="61" t="n"/>
      <c r="N103" s="41">
        <f>IF(OR(H103="N.I.O",H103="bed. OK"),IF(M103="ja","erledigt",IF(AND(L103&lt;&gt;"",L103&lt;TODAY()),"überfällig","offen")),"")</f>
        <v/>
      </c>
      <c r="O103" s="66">
        <f>IF(OR(H103="N.I.O",H103="bed. OK"),COUNTIF($H$9:H103,"N.I.O")+COUNTIF($H$9:H103,"bed. OK"),"")</f>
        <v/>
      </c>
      <c r="P103" s="60" t="n"/>
      <c r="Q103" s="66">
        <f>IF(H103="N.I.O",COUNTIF($H$9:H103,"N.I.O"),"")</f>
        <v/>
      </c>
    </row>
    <row r="104" ht="30" customHeight="1">
      <c r="A104" s="57">
        <f>IF(C104="","",COUNTA($C$9:C104))</f>
        <v/>
      </c>
      <c r="B104" s="58" t="n"/>
      <c r="C104" s="58" t="n"/>
      <c r="D104" s="59" t="n"/>
      <c r="E104" s="60" t="n"/>
      <c r="F104" s="61" t="n">
        <v>1</v>
      </c>
      <c r="G104" s="62" t="n"/>
      <c r="H104" s="63" t="n"/>
      <c r="I104" s="64" t="n"/>
      <c r="J104" s="64" t="n"/>
      <c r="K104" s="64" t="n"/>
      <c r="L104" s="65" t="n"/>
      <c r="M104" s="61" t="n"/>
      <c r="N104" s="41">
        <f>IF(OR(H104="N.I.O",H104="bed. OK"),IF(M104="ja","erledigt",IF(AND(L104&lt;&gt;"",L104&lt;TODAY()),"überfällig","offen")),"")</f>
        <v/>
      </c>
      <c r="O104" s="66">
        <f>IF(OR(H104="N.I.O",H104="bed. OK"),COUNTIF($H$9:H104,"N.I.O")+COUNTIF($H$9:H104,"bed. OK"),"")</f>
        <v/>
      </c>
      <c r="P104" s="60" t="n"/>
      <c r="Q104" s="66">
        <f>IF(H104="N.I.O",COUNTIF($H$9:H104,"N.I.O"),"")</f>
        <v/>
      </c>
    </row>
    <row r="105" ht="30" customHeight="1">
      <c r="A105" s="57">
        <f>IF(C105="","",COUNTA($C$9:C105))</f>
        <v/>
      </c>
      <c r="B105" s="58" t="n"/>
      <c r="C105" s="58" t="n"/>
      <c r="D105" s="59" t="n"/>
      <c r="E105" s="60" t="n"/>
      <c r="F105" s="61" t="n">
        <v>1</v>
      </c>
      <c r="G105" s="62" t="n"/>
      <c r="H105" s="63" t="n"/>
      <c r="I105" s="64" t="n"/>
      <c r="J105" s="64" t="n"/>
      <c r="K105" s="64" t="n"/>
      <c r="L105" s="65" t="n"/>
      <c r="M105" s="61" t="n"/>
      <c r="N105" s="41">
        <f>IF(OR(H105="N.I.O",H105="bed. OK"),IF(M105="ja","erledigt",IF(AND(L105&lt;&gt;"",L105&lt;TODAY()),"überfällig","offen")),"")</f>
        <v/>
      </c>
      <c r="O105" s="66">
        <f>IF(OR(H105="N.I.O",H105="bed. OK"),COUNTIF($H$9:H105,"N.I.O")+COUNTIF($H$9:H105,"bed. OK"),"")</f>
        <v/>
      </c>
      <c r="P105" s="60" t="n"/>
      <c r="Q105" s="66">
        <f>IF(H105="N.I.O",COUNTIF($H$9:H105,"N.I.O"),"")</f>
        <v/>
      </c>
    </row>
    <row r="106" ht="30" customHeight="1">
      <c r="A106" s="57">
        <f>IF(C106="","",COUNTA($C$9:C106))</f>
        <v/>
      </c>
      <c r="B106" s="58" t="n"/>
      <c r="C106" s="58" t="n"/>
      <c r="D106" s="59" t="n"/>
      <c r="E106" s="60" t="n"/>
      <c r="F106" s="61" t="n">
        <v>1</v>
      </c>
      <c r="G106" s="62" t="n"/>
      <c r="H106" s="63" t="n"/>
      <c r="I106" s="64" t="n"/>
      <c r="J106" s="64" t="n"/>
      <c r="K106" s="64" t="n"/>
      <c r="L106" s="65" t="n"/>
      <c r="M106" s="61" t="n"/>
      <c r="N106" s="41">
        <f>IF(OR(H106="N.I.O",H106="bed. OK"),IF(M106="ja","erledigt",IF(AND(L106&lt;&gt;"",L106&lt;TODAY()),"überfällig","offen")),"")</f>
        <v/>
      </c>
      <c r="O106" s="66">
        <f>IF(OR(H106="N.I.O",H106="bed. OK"),COUNTIF($H$9:H106,"N.I.O")+COUNTIF($H$9:H106,"bed. OK"),"")</f>
        <v/>
      </c>
      <c r="P106" s="60" t="n"/>
      <c r="Q106" s="66">
        <f>IF(H106="N.I.O",COUNTIF($H$9:H106,"N.I.O"),"")</f>
        <v/>
      </c>
    </row>
    <row r="107">
      <c r="A107" s="5" t="inlineStr">
        <is>
          <t>Leere Zeilen oberhalb sind für eigene Prüfpunkte vorbereitet. Weitere Zeilen bitte innerhalb der Liste einfügen (siehe Blatt „Anleitung“).</t>
        </is>
      </c>
      <c r="B107" s="1" t="n"/>
      <c r="C107" s="1" t="n"/>
      <c r="D107" s="1" t="n"/>
      <c r="E107" s="1" t="n"/>
      <c r="F107" s="1" t="n"/>
      <c r="G107" s="1" t="n"/>
      <c r="H107" s="1" t="n"/>
      <c r="I107" s="1" t="n"/>
      <c r="J107" s="1" t="n"/>
      <c r="K107" s="1" t="n"/>
      <c r="L107" s="1" t="n"/>
      <c r="M107" s="1" t="n"/>
      <c r="N107" s="1" t="n"/>
      <c r="O107" s="1" t="n"/>
      <c r="P107" s="1" t="n"/>
      <c r="Q107" s="1" t="n"/>
    </row>
  </sheetData>
  <autoFilter ref="A8:Q106"/>
  <mergeCells count="10">
    <mergeCell ref="A4:B4"/>
    <mergeCell ref="P5:P6"/>
    <mergeCell ref="E3:H3"/>
    <mergeCell ref="E4:H4"/>
    <mergeCell ref="A5:B5"/>
    <mergeCell ref="E6:H6"/>
    <mergeCell ref="J5:O6"/>
    <mergeCell ref="A6:B6"/>
    <mergeCell ref="A3:B3"/>
    <mergeCell ref="E5:H5"/>
  </mergeCells>
  <conditionalFormatting sqref="P5">
    <cfRule type="expression" priority="1" dxfId="0">
      <formula>$P$5="gut"</formula>
    </cfRule>
    <cfRule type="expression" priority="2" dxfId="1">
      <formula>$P$5="mittel"</formula>
    </cfRule>
    <cfRule type="expression" priority="3" dxfId="5">
      <formula>LEFT($P$5,8)="kritisch"</formula>
    </cfRule>
  </conditionalFormatting>
  <conditionalFormatting sqref="P4">
    <cfRule type="expression" priority="4" dxfId="0">
      <formula>AND($P$4&lt;&gt;"",$P$4&gt;=Ampel_gruen)</formula>
    </cfRule>
    <cfRule type="expression" priority="5" dxfId="1">
      <formula>AND($P$4&lt;&gt;"",$P$4&gt;=Ampel_gelb,$P$4&lt;Ampel_gruen)</formula>
    </cfRule>
    <cfRule type="expression" priority="6" dxfId="5">
      <formula>AND($P$4&lt;&gt;"",$P$4&lt;Ampel_gelb)</formula>
    </cfRule>
  </conditionalFormatting>
  <conditionalFormatting sqref="O4">
    <cfRule type="cellIs" priority="7" operator="greaterThan" dxfId="9">
      <formula>0</formula>
    </cfRule>
  </conditionalFormatting>
  <conditionalFormatting sqref="J4">
    <cfRule type="cellIs" priority="8" operator="greaterThan" dxfId="4">
      <formula>0</formula>
    </cfRule>
  </conditionalFormatting>
  <conditionalFormatting sqref="H9:H106">
    <cfRule type="cellIs" priority="9" operator="equal" dxfId="10">
      <formula>"N.I.O"</formula>
    </cfRule>
    <cfRule type="cellIs" priority="10" operator="equal" dxfId="11">
      <formula>"bed. OK"</formula>
    </cfRule>
    <cfRule type="cellIs" priority="11" operator="equal" dxfId="12">
      <formula>"OK"</formula>
    </cfRule>
    <cfRule type="cellIs" priority="12" operator="equal" dxfId="13">
      <formula>"n. b."</formula>
    </cfRule>
  </conditionalFormatting>
  <conditionalFormatting sqref="N9:N106">
    <cfRule type="cellIs" priority="13" operator="equal" dxfId="5">
      <formula>"überfällig"</formula>
    </cfRule>
    <cfRule type="cellIs" priority="14" operator="equal" dxfId="1">
      <formula>"offen"</formula>
    </cfRule>
    <cfRule type="cellIs" priority="15" operator="equal" dxfId="0">
      <formula>"erledigt"</formula>
    </cfRule>
  </conditionalFormatting>
  <conditionalFormatting sqref="A9:A106">
    <cfRule type="expression" priority="16" dxfId="14">
      <formula>$P9="NEU"</formula>
    </cfRule>
  </conditionalFormatting>
  <conditionalFormatting sqref="P9:P106">
    <cfRule type="cellIs" priority="17" operator="equal" dxfId="15">
      <formula>"NEU"</formula>
    </cfRule>
  </conditionalFormatting>
  <dataValidations count="8">
    <dataValidation sqref="E3" showDropDown="0" showInputMessage="0" showErrorMessage="0" allowBlank="1" error="Bitte ein Datum eingeben (TT.MM.JJJJ)." type="date" operator="greaterThan">
      <formula1>36526</formula1>
    </dataValidation>
    <dataValidation sqref="E5" showDropDown="0" showInputMessage="0" showErrorMessage="0" allowBlank="1" errorTitle="Ungültige Eingabe" error="Bitte einen Wert aus der Liste wählen." type="list">
      <formula1>=L_Geltung</formula1>
    </dataValidation>
    <dataValidation sqref="B9:B106" showDropDown="0" showInputMessage="0" showErrorMessage="0" allowBlank="1" errorTitle="Ungültige Eingabe" error="Bitte einen Wert aus der Liste wählen." type="list">
      <formula1>=Kapitel_Liste</formula1>
    </dataValidation>
    <dataValidation sqref="H9:H106" showDropDown="0" showInputMessage="0" showErrorMessage="0" allowBlank="1" errorTitle="Ungültige Eingabe" error="Bitte einen Wert aus der Liste wählen." type="list">
      <formula1>"N.I.O,bed. OK,OK,n. b."</formula1>
    </dataValidation>
    <dataValidation sqref="M9:M106" showDropDown="0" showInputMessage="0" showErrorMessage="0" allowBlank="1" errorTitle="Ungültige Eingabe" error="Bitte einen Wert aus der Liste wählen." type="list">
      <formula1>"ja,nein"</formula1>
    </dataValidation>
    <dataValidation sqref="G9:G106" showDropDown="0" showInputMessage="0" showErrorMessage="0" allowBlank="1" errorTitle="Ungültige Eingabe" error="Bitte einen Wert aus der Liste wählen." type="list">
      <formula1>"K.O."</formula1>
    </dataValidation>
    <dataValidation sqref="F9:F106" showDropDown="0" showInputMessage="0" showErrorMessage="0" allowBlank="1" errorTitle="Ungültige Eingabe" error="Gewicht 1, 2 oder 3 eingeben." type="whole" operator="between">
      <formula1>1</formula1>
      <formula2>3</formula2>
    </dataValidation>
    <dataValidation sqref="L9:L106" showDropDown="0" showInputMessage="0" showErrorMessage="0" allowBlank="1" error="Bitte ein Datum eingeben (TT.MM.JJJJ)." type="date" operator="greaterThan">
      <formula1>36526</formula1>
    </dataValidation>
  </dataValidations>
  <pageMargins left="0.4" right="0.4" top="0.5" bottom="0.5" header="0.5" footer="0.5"/>
  <pageSetup orientation="landscape" paperSize="9" fitToHeight="0" fitToWidth="1"/>
  <headerFooter>
    <oddHeader/>
    <oddFooter>&amp;L&amp;8 Anlagenzustandsanalyse – Checkliste&amp;R&amp;8 Seite &amp;P von &amp;N</oddFooter>
    <evenHeader/>
    <evenFooter/>
    <firstHeader/>
    <firstFooter/>
  </headerFooter>
</worksheet>
</file>

<file path=xl/worksheets/sheet3.xml><?xml version="1.0" encoding="utf-8"?>
<worksheet xmlns="http://schemas.openxmlformats.org/spreadsheetml/2006/main">
  <sheetPr>
    <tabColor rgb="00F0A812"/>
    <outlinePr summaryBelow="1" summaryRight="1"/>
    <pageSetUpPr fitToPage="1"/>
  </sheetPr>
  <dimension ref="A1:I102"/>
  <sheetViews>
    <sheetView showGridLines="0" workbookViewId="0">
      <pane ySplit="4" topLeftCell="A5" activePane="bottomLeft" state="frozen"/>
      <selection pane="bottomLeft" activeCell="A1" sqref="A1"/>
    </sheetView>
  </sheetViews>
  <sheetFormatPr baseColWidth="8" defaultRowHeight="15"/>
  <cols>
    <col width="6.7" customWidth="1" min="1" max="1"/>
    <col width="7.7" customWidth="1" min="2" max="2"/>
    <col width="24.7" customWidth="1" min="3" max="3"/>
    <col width="60.7" customWidth="1" min="4" max="4"/>
    <col width="11.7" customWidth="1" min="5" max="5"/>
    <col width="44.7" customWidth="1" min="6" max="6"/>
    <col width="18.7" customWidth="1" min="7" max="7"/>
    <col width="12.7" customWidth="1" min="8" max="8"/>
    <col width="12.7" customWidth="1" min="9" max="9"/>
  </cols>
  <sheetData>
    <row r="1" ht="21.95" customHeight="1">
      <c r="A1" s="44" t="inlineStr">
        <is>
          <t>Maßnahmenplan – Anlagenzustandsanalyse</t>
        </is>
      </c>
      <c r="B1" s="1" t="n"/>
      <c r="C1" s="1" t="n"/>
      <c r="D1" s="1" t="n"/>
      <c r="E1" s="1" t="n"/>
      <c r="F1" s="1" t="n"/>
      <c r="G1" s="1" t="n"/>
      <c r="H1" s="1" t="n"/>
      <c r="I1" s="1" t="n"/>
    </row>
    <row r="2">
      <c r="A2" s="45" t="inlineStr">
        <is>
          <t>Füllt sich automatisch aus allen Prüfpunkten mit N.I.O oder bed. OK. Eingaben bitte im Blatt „Audit“ machen.</t>
        </is>
      </c>
      <c r="B2" s="1" t="n"/>
      <c r="C2" s="1" t="n"/>
      <c r="D2" s="1" t="n"/>
      <c r="E2" s="1" t="n"/>
      <c r="F2" s="1" t="n"/>
      <c r="G2" s="1" t="n"/>
      <c r="H2" s="1" t="n"/>
      <c r="I2" s="1" t="n"/>
    </row>
    <row r="3">
      <c r="A3" s="1" t="n"/>
      <c r="B3" s="1" t="n"/>
      <c r="C3" s="1" t="n"/>
      <c r="D3" s="1" t="n"/>
      <c r="E3" s="1" t="n"/>
      <c r="F3" s="1" t="n"/>
      <c r="G3" s="1" t="n"/>
      <c r="H3" s="1" t="n"/>
      <c r="I3" s="1" t="n"/>
    </row>
    <row r="4" ht="26.1" customHeight="1">
      <c r="A4" s="52" t="inlineStr">
        <is>
          <t>Nr.</t>
        </is>
      </c>
      <c r="B4" s="52" t="inlineStr">
        <is>
          <t>Punkt</t>
        </is>
      </c>
      <c r="C4" s="52" t="inlineStr">
        <is>
          <t>Kapitel</t>
        </is>
      </c>
      <c r="D4" s="52" t="inlineStr">
        <is>
          <t>Check-Punkt</t>
        </is>
      </c>
      <c r="E4" s="52" t="inlineStr">
        <is>
          <t>Bewertung</t>
        </is>
      </c>
      <c r="F4" s="52" t="inlineStr">
        <is>
          <t>Befund / Maßnahme</t>
        </is>
      </c>
      <c r="G4" s="52" t="inlineStr">
        <is>
          <t>Verantwortlich</t>
        </is>
      </c>
      <c r="H4" s="52" t="inlineStr">
        <is>
          <t>Termin</t>
        </is>
      </c>
      <c r="I4" s="52" t="inlineStr">
        <is>
          <t>Status</t>
        </is>
      </c>
    </row>
    <row r="5" ht="39" customHeight="1">
      <c r="A5" s="20">
        <f>IF(1&lt;=COUNT(Aud_MNr),1,"")</f>
        <v/>
      </c>
      <c r="B5" s="20">
        <f>IFERROR(IF($A5="","",INDEX(Aud_Nr,MATCH($A5,Aud_MNr,0))),"")</f>
        <v/>
      </c>
      <c r="C5" s="30">
        <f>IFERROR(IF($A5="","",INDEX(Aud_Kapitel,MATCH($A5,Aud_MNr,0))),"")</f>
        <v/>
      </c>
      <c r="D5" s="30">
        <f>IFERROR(IF($A5="","",INDEX(Aud_Punkt,MATCH($A5,Aud_MNr,0))),"")</f>
        <v/>
      </c>
      <c r="E5" s="20">
        <f>IFERROR(IF($A5="","",INDEX(Aud_Bew,MATCH($A5,Aud_MNr,0))),"")</f>
        <v/>
      </c>
      <c r="F5" s="30">
        <f>IFERROR(IF($A5="","",IF(INDEX(Aud_Massn,MATCH($A5,Aud_MNr,0))="","",INDEX(Aud_Massn,MATCH($A5,Aud_MNr,0)))),"")</f>
        <v/>
      </c>
      <c r="G5" s="30">
        <f>IFERROR(IF($A5="","",IF(INDEX(Aud_Verantw,MATCH($A5,Aud_MNr,0))="","",INDEX(Aud_Verantw,MATCH($A5,Aud_MNr,0)))),"")</f>
        <v/>
      </c>
      <c r="H5" s="67">
        <f>IFERROR(IF($A5="","",IF(INDEX(Aud_Termin,MATCH($A5,Aud_MNr,0))="","",INDEX(Aud_Termin,MATCH($A5,Aud_MNr,0)))),"")</f>
        <v/>
      </c>
      <c r="I5" s="41">
        <f>IFERROR(IF($A5="","",INDEX(Aud_Status,MATCH($A5,Aud_MNr,0))),"")</f>
        <v/>
      </c>
    </row>
    <row r="6" ht="39" customHeight="1">
      <c r="A6" s="20">
        <f>IF(2&lt;=COUNT(Aud_MNr),2,"")</f>
        <v/>
      </c>
      <c r="B6" s="20">
        <f>IFERROR(IF($A6="","",INDEX(Aud_Nr,MATCH($A6,Aud_MNr,0))),"")</f>
        <v/>
      </c>
      <c r="C6" s="30">
        <f>IFERROR(IF($A6="","",INDEX(Aud_Kapitel,MATCH($A6,Aud_MNr,0))),"")</f>
        <v/>
      </c>
      <c r="D6" s="30">
        <f>IFERROR(IF($A6="","",INDEX(Aud_Punkt,MATCH($A6,Aud_MNr,0))),"")</f>
        <v/>
      </c>
      <c r="E6" s="20">
        <f>IFERROR(IF($A6="","",INDEX(Aud_Bew,MATCH($A6,Aud_MNr,0))),"")</f>
        <v/>
      </c>
      <c r="F6" s="30">
        <f>IFERROR(IF($A6="","",IF(INDEX(Aud_Massn,MATCH($A6,Aud_MNr,0))="","",INDEX(Aud_Massn,MATCH($A6,Aud_MNr,0)))),"")</f>
        <v/>
      </c>
      <c r="G6" s="30">
        <f>IFERROR(IF($A6="","",IF(INDEX(Aud_Verantw,MATCH($A6,Aud_MNr,0))="","",INDEX(Aud_Verantw,MATCH($A6,Aud_MNr,0)))),"")</f>
        <v/>
      </c>
      <c r="H6" s="67">
        <f>IFERROR(IF($A6="","",IF(INDEX(Aud_Termin,MATCH($A6,Aud_MNr,0))="","",INDEX(Aud_Termin,MATCH($A6,Aud_MNr,0)))),"")</f>
        <v/>
      </c>
      <c r="I6" s="41">
        <f>IFERROR(IF($A6="","",INDEX(Aud_Status,MATCH($A6,Aud_MNr,0))),"")</f>
        <v/>
      </c>
    </row>
    <row r="7" ht="39" customHeight="1">
      <c r="A7" s="20">
        <f>IF(3&lt;=COUNT(Aud_MNr),3,"")</f>
        <v/>
      </c>
      <c r="B7" s="20">
        <f>IFERROR(IF($A7="","",INDEX(Aud_Nr,MATCH($A7,Aud_MNr,0))),"")</f>
        <v/>
      </c>
      <c r="C7" s="30">
        <f>IFERROR(IF($A7="","",INDEX(Aud_Kapitel,MATCH($A7,Aud_MNr,0))),"")</f>
        <v/>
      </c>
      <c r="D7" s="30">
        <f>IFERROR(IF($A7="","",INDEX(Aud_Punkt,MATCH($A7,Aud_MNr,0))),"")</f>
        <v/>
      </c>
      <c r="E7" s="20">
        <f>IFERROR(IF($A7="","",INDEX(Aud_Bew,MATCH($A7,Aud_MNr,0))),"")</f>
        <v/>
      </c>
      <c r="F7" s="30">
        <f>IFERROR(IF($A7="","",IF(INDEX(Aud_Massn,MATCH($A7,Aud_MNr,0))="","",INDEX(Aud_Massn,MATCH($A7,Aud_MNr,0)))),"")</f>
        <v/>
      </c>
      <c r="G7" s="30">
        <f>IFERROR(IF($A7="","",IF(INDEX(Aud_Verantw,MATCH($A7,Aud_MNr,0))="","",INDEX(Aud_Verantw,MATCH($A7,Aud_MNr,0)))),"")</f>
        <v/>
      </c>
      <c r="H7" s="67">
        <f>IFERROR(IF($A7="","",IF(INDEX(Aud_Termin,MATCH($A7,Aud_MNr,0))="","",INDEX(Aud_Termin,MATCH($A7,Aud_MNr,0)))),"")</f>
        <v/>
      </c>
      <c r="I7" s="41">
        <f>IFERROR(IF($A7="","",INDEX(Aud_Status,MATCH($A7,Aud_MNr,0))),"")</f>
        <v/>
      </c>
    </row>
    <row r="8" ht="39" customHeight="1">
      <c r="A8" s="20">
        <f>IF(4&lt;=COUNT(Aud_MNr),4,"")</f>
        <v/>
      </c>
      <c r="B8" s="20">
        <f>IFERROR(IF($A8="","",INDEX(Aud_Nr,MATCH($A8,Aud_MNr,0))),"")</f>
        <v/>
      </c>
      <c r="C8" s="30">
        <f>IFERROR(IF($A8="","",INDEX(Aud_Kapitel,MATCH($A8,Aud_MNr,0))),"")</f>
        <v/>
      </c>
      <c r="D8" s="30">
        <f>IFERROR(IF($A8="","",INDEX(Aud_Punkt,MATCH($A8,Aud_MNr,0))),"")</f>
        <v/>
      </c>
      <c r="E8" s="20">
        <f>IFERROR(IF($A8="","",INDEX(Aud_Bew,MATCH($A8,Aud_MNr,0))),"")</f>
        <v/>
      </c>
      <c r="F8" s="30">
        <f>IFERROR(IF($A8="","",IF(INDEX(Aud_Massn,MATCH($A8,Aud_MNr,0))="","",INDEX(Aud_Massn,MATCH($A8,Aud_MNr,0)))),"")</f>
        <v/>
      </c>
      <c r="G8" s="30">
        <f>IFERROR(IF($A8="","",IF(INDEX(Aud_Verantw,MATCH($A8,Aud_MNr,0))="","",INDEX(Aud_Verantw,MATCH($A8,Aud_MNr,0)))),"")</f>
        <v/>
      </c>
      <c r="H8" s="67">
        <f>IFERROR(IF($A8="","",IF(INDEX(Aud_Termin,MATCH($A8,Aud_MNr,0))="","",INDEX(Aud_Termin,MATCH($A8,Aud_MNr,0)))),"")</f>
        <v/>
      </c>
      <c r="I8" s="41">
        <f>IFERROR(IF($A8="","",INDEX(Aud_Status,MATCH($A8,Aud_MNr,0))),"")</f>
        <v/>
      </c>
    </row>
    <row r="9" ht="39" customHeight="1">
      <c r="A9" s="20">
        <f>IF(5&lt;=COUNT(Aud_MNr),5,"")</f>
        <v/>
      </c>
      <c r="B9" s="20">
        <f>IFERROR(IF($A9="","",INDEX(Aud_Nr,MATCH($A9,Aud_MNr,0))),"")</f>
        <v/>
      </c>
      <c r="C9" s="30">
        <f>IFERROR(IF($A9="","",INDEX(Aud_Kapitel,MATCH($A9,Aud_MNr,0))),"")</f>
        <v/>
      </c>
      <c r="D9" s="30">
        <f>IFERROR(IF($A9="","",INDEX(Aud_Punkt,MATCH($A9,Aud_MNr,0))),"")</f>
        <v/>
      </c>
      <c r="E9" s="20">
        <f>IFERROR(IF($A9="","",INDEX(Aud_Bew,MATCH($A9,Aud_MNr,0))),"")</f>
        <v/>
      </c>
      <c r="F9" s="30">
        <f>IFERROR(IF($A9="","",IF(INDEX(Aud_Massn,MATCH($A9,Aud_MNr,0))="","",INDEX(Aud_Massn,MATCH($A9,Aud_MNr,0)))),"")</f>
        <v/>
      </c>
      <c r="G9" s="30">
        <f>IFERROR(IF($A9="","",IF(INDEX(Aud_Verantw,MATCH($A9,Aud_MNr,0))="","",INDEX(Aud_Verantw,MATCH($A9,Aud_MNr,0)))),"")</f>
        <v/>
      </c>
      <c r="H9" s="67">
        <f>IFERROR(IF($A9="","",IF(INDEX(Aud_Termin,MATCH($A9,Aud_MNr,0))="","",INDEX(Aud_Termin,MATCH($A9,Aud_MNr,0)))),"")</f>
        <v/>
      </c>
      <c r="I9" s="41">
        <f>IFERROR(IF($A9="","",INDEX(Aud_Status,MATCH($A9,Aud_MNr,0))),"")</f>
        <v/>
      </c>
    </row>
    <row r="10" ht="39" customHeight="1">
      <c r="A10" s="20">
        <f>IF(6&lt;=COUNT(Aud_MNr),6,"")</f>
        <v/>
      </c>
      <c r="B10" s="20">
        <f>IFERROR(IF($A10="","",INDEX(Aud_Nr,MATCH($A10,Aud_MNr,0))),"")</f>
        <v/>
      </c>
      <c r="C10" s="30">
        <f>IFERROR(IF($A10="","",INDEX(Aud_Kapitel,MATCH($A10,Aud_MNr,0))),"")</f>
        <v/>
      </c>
      <c r="D10" s="30">
        <f>IFERROR(IF($A10="","",INDEX(Aud_Punkt,MATCH($A10,Aud_MNr,0))),"")</f>
        <v/>
      </c>
      <c r="E10" s="20">
        <f>IFERROR(IF($A10="","",INDEX(Aud_Bew,MATCH($A10,Aud_MNr,0))),"")</f>
        <v/>
      </c>
      <c r="F10" s="30">
        <f>IFERROR(IF($A10="","",IF(INDEX(Aud_Massn,MATCH($A10,Aud_MNr,0))="","",INDEX(Aud_Massn,MATCH($A10,Aud_MNr,0)))),"")</f>
        <v/>
      </c>
      <c r="G10" s="30">
        <f>IFERROR(IF($A10="","",IF(INDEX(Aud_Verantw,MATCH($A10,Aud_MNr,0))="","",INDEX(Aud_Verantw,MATCH($A10,Aud_MNr,0)))),"")</f>
        <v/>
      </c>
      <c r="H10" s="67">
        <f>IFERROR(IF($A10="","",IF(INDEX(Aud_Termin,MATCH($A10,Aud_MNr,0))="","",INDEX(Aud_Termin,MATCH($A10,Aud_MNr,0)))),"")</f>
        <v/>
      </c>
      <c r="I10" s="41">
        <f>IFERROR(IF($A10="","",INDEX(Aud_Status,MATCH($A10,Aud_MNr,0))),"")</f>
        <v/>
      </c>
    </row>
    <row r="11" ht="39" customHeight="1">
      <c r="A11" s="20">
        <f>IF(7&lt;=COUNT(Aud_MNr),7,"")</f>
        <v/>
      </c>
      <c r="B11" s="20">
        <f>IFERROR(IF($A11="","",INDEX(Aud_Nr,MATCH($A11,Aud_MNr,0))),"")</f>
        <v/>
      </c>
      <c r="C11" s="30">
        <f>IFERROR(IF($A11="","",INDEX(Aud_Kapitel,MATCH($A11,Aud_MNr,0))),"")</f>
        <v/>
      </c>
      <c r="D11" s="30">
        <f>IFERROR(IF($A11="","",INDEX(Aud_Punkt,MATCH($A11,Aud_MNr,0))),"")</f>
        <v/>
      </c>
      <c r="E11" s="20">
        <f>IFERROR(IF($A11="","",INDEX(Aud_Bew,MATCH($A11,Aud_MNr,0))),"")</f>
        <v/>
      </c>
      <c r="F11" s="30">
        <f>IFERROR(IF($A11="","",IF(INDEX(Aud_Massn,MATCH($A11,Aud_MNr,0))="","",INDEX(Aud_Massn,MATCH($A11,Aud_MNr,0)))),"")</f>
        <v/>
      </c>
      <c r="G11" s="30">
        <f>IFERROR(IF($A11="","",IF(INDEX(Aud_Verantw,MATCH($A11,Aud_MNr,0))="","",INDEX(Aud_Verantw,MATCH($A11,Aud_MNr,0)))),"")</f>
        <v/>
      </c>
      <c r="H11" s="67">
        <f>IFERROR(IF($A11="","",IF(INDEX(Aud_Termin,MATCH($A11,Aud_MNr,0))="","",INDEX(Aud_Termin,MATCH($A11,Aud_MNr,0)))),"")</f>
        <v/>
      </c>
      <c r="I11" s="41">
        <f>IFERROR(IF($A11="","",INDEX(Aud_Status,MATCH($A11,Aud_MNr,0))),"")</f>
        <v/>
      </c>
    </row>
    <row r="12" ht="39" customHeight="1">
      <c r="A12" s="20">
        <f>IF(8&lt;=COUNT(Aud_MNr),8,"")</f>
        <v/>
      </c>
      <c r="B12" s="20">
        <f>IFERROR(IF($A12="","",INDEX(Aud_Nr,MATCH($A12,Aud_MNr,0))),"")</f>
        <v/>
      </c>
      <c r="C12" s="30">
        <f>IFERROR(IF($A12="","",INDEX(Aud_Kapitel,MATCH($A12,Aud_MNr,0))),"")</f>
        <v/>
      </c>
      <c r="D12" s="30">
        <f>IFERROR(IF($A12="","",INDEX(Aud_Punkt,MATCH($A12,Aud_MNr,0))),"")</f>
        <v/>
      </c>
      <c r="E12" s="20">
        <f>IFERROR(IF($A12="","",INDEX(Aud_Bew,MATCH($A12,Aud_MNr,0))),"")</f>
        <v/>
      </c>
      <c r="F12" s="30">
        <f>IFERROR(IF($A12="","",IF(INDEX(Aud_Massn,MATCH($A12,Aud_MNr,0))="","",INDEX(Aud_Massn,MATCH($A12,Aud_MNr,0)))),"")</f>
        <v/>
      </c>
      <c r="G12" s="30">
        <f>IFERROR(IF($A12="","",IF(INDEX(Aud_Verantw,MATCH($A12,Aud_MNr,0))="","",INDEX(Aud_Verantw,MATCH($A12,Aud_MNr,0)))),"")</f>
        <v/>
      </c>
      <c r="H12" s="67">
        <f>IFERROR(IF($A12="","",IF(INDEX(Aud_Termin,MATCH($A12,Aud_MNr,0))="","",INDEX(Aud_Termin,MATCH($A12,Aud_MNr,0)))),"")</f>
        <v/>
      </c>
      <c r="I12" s="41">
        <f>IFERROR(IF($A12="","",INDEX(Aud_Status,MATCH($A12,Aud_MNr,0))),"")</f>
        <v/>
      </c>
    </row>
    <row r="13" ht="39" customHeight="1">
      <c r="A13" s="20">
        <f>IF(9&lt;=COUNT(Aud_MNr),9,"")</f>
        <v/>
      </c>
      <c r="B13" s="20">
        <f>IFERROR(IF($A13="","",INDEX(Aud_Nr,MATCH($A13,Aud_MNr,0))),"")</f>
        <v/>
      </c>
      <c r="C13" s="30">
        <f>IFERROR(IF($A13="","",INDEX(Aud_Kapitel,MATCH($A13,Aud_MNr,0))),"")</f>
        <v/>
      </c>
      <c r="D13" s="30">
        <f>IFERROR(IF($A13="","",INDEX(Aud_Punkt,MATCH($A13,Aud_MNr,0))),"")</f>
        <v/>
      </c>
      <c r="E13" s="20">
        <f>IFERROR(IF($A13="","",INDEX(Aud_Bew,MATCH($A13,Aud_MNr,0))),"")</f>
        <v/>
      </c>
      <c r="F13" s="30">
        <f>IFERROR(IF($A13="","",IF(INDEX(Aud_Massn,MATCH($A13,Aud_MNr,0))="","",INDEX(Aud_Massn,MATCH($A13,Aud_MNr,0)))),"")</f>
        <v/>
      </c>
      <c r="G13" s="30">
        <f>IFERROR(IF($A13="","",IF(INDEX(Aud_Verantw,MATCH($A13,Aud_MNr,0))="","",INDEX(Aud_Verantw,MATCH($A13,Aud_MNr,0)))),"")</f>
        <v/>
      </c>
      <c r="H13" s="67">
        <f>IFERROR(IF($A13="","",IF(INDEX(Aud_Termin,MATCH($A13,Aud_MNr,0))="","",INDEX(Aud_Termin,MATCH($A13,Aud_MNr,0)))),"")</f>
        <v/>
      </c>
      <c r="I13" s="41">
        <f>IFERROR(IF($A13="","",INDEX(Aud_Status,MATCH($A13,Aud_MNr,0))),"")</f>
        <v/>
      </c>
    </row>
    <row r="14" ht="39" customHeight="1">
      <c r="A14" s="20">
        <f>IF(10&lt;=COUNT(Aud_MNr),10,"")</f>
        <v/>
      </c>
      <c r="B14" s="20">
        <f>IFERROR(IF($A14="","",INDEX(Aud_Nr,MATCH($A14,Aud_MNr,0))),"")</f>
        <v/>
      </c>
      <c r="C14" s="30">
        <f>IFERROR(IF($A14="","",INDEX(Aud_Kapitel,MATCH($A14,Aud_MNr,0))),"")</f>
        <v/>
      </c>
      <c r="D14" s="30">
        <f>IFERROR(IF($A14="","",INDEX(Aud_Punkt,MATCH($A14,Aud_MNr,0))),"")</f>
        <v/>
      </c>
      <c r="E14" s="20">
        <f>IFERROR(IF($A14="","",INDEX(Aud_Bew,MATCH($A14,Aud_MNr,0))),"")</f>
        <v/>
      </c>
      <c r="F14" s="30">
        <f>IFERROR(IF($A14="","",IF(INDEX(Aud_Massn,MATCH($A14,Aud_MNr,0))="","",INDEX(Aud_Massn,MATCH($A14,Aud_MNr,0)))),"")</f>
        <v/>
      </c>
      <c r="G14" s="30">
        <f>IFERROR(IF($A14="","",IF(INDEX(Aud_Verantw,MATCH($A14,Aud_MNr,0))="","",INDEX(Aud_Verantw,MATCH($A14,Aud_MNr,0)))),"")</f>
        <v/>
      </c>
      <c r="H14" s="67">
        <f>IFERROR(IF($A14="","",IF(INDEX(Aud_Termin,MATCH($A14,Aud_MNr,0))="","",INDEX(Aud_Termin,MATCH($A14,Aud_MNr,0)))),"")</f>
        <v/>
      </c>
      <c r="I14" s="41">
        <f>IFERROR(IF($A14="","",INDEX(Aud_Status,MATCH($A14,Aud_MNr,0))),"")</f>
        <v/>
      </c>
    </row>
    <row r="15" ht="39" customHeight="1">
      <c r="A15" s="20">
        <f>IF(11&lt;=COUNT(Aud_MNr),11,"")</f>
        <v/>
      </c>
      <c r="B15" s="20">
        <f>IFERROR(IF($A15="","",INDEX(Aud_Nr,MATCH($A15,Aud_MNr,0))),"")</f>
        <v/>
      </c>
      <c r="C15" s="30">
        <f>IFERROR(IF($A15="","",INDEX(Aud_Kapitel,MATCH($A15,Aud_MNr,0))),"")</f>
        <v/>
      </c>
      <c r="D15" s="30">
        <f>IFERROR(IF($A15="","",INDEX(Aud_Punkt,MATCH($A15,Aud_MNr,0))),"")</f>
        <v/>
      </c>
      <c r="E15" s="20">
        <f>IFERROR(IF($A15="","",INDEX(Aud_Bew,MATCH($A15,Aud_MNr,0))),"")</f>
        <v/>
      </c>
      <c r="F15" s="30">
        <f>IFERROR(IF($A15="","",IF(INDEX(Aud_Massn,MATCH($A15,Aud_MNr,0))="","",INDEX(Aud_Massn,MATCH($A15,Aud_MNr,0)))),"")</f>
        <v/>
      </c>
      <c r="G15" s="30">
        <f>IFERROR(IF($A15="","",IF(INDEX(Aud_Verantw,MATCH($A15,Aud_MNr,0))="","",INDEX(Aud_Verantw,MATCH($A15,Aud_MNr,0)))),"")</f>
        <v/>
      </c>
      <c r="H15" s="67">
        <f>IFERROR(IF($A15="","",IF(INDEX(Aud_Termin,MATCH($A15,Aud_MNr,0))="","",INDEX(Aud_Termin,MATCH($A15,Aud_MNr,0)))),"")</f>
        <v/>
      </c>
      <c r="I15" s="41">
        <f>IFERROR(IF($A15="","",INDEX(Aud_Status,MATCH($A15,Aud_MNr,0))),"")</f>
        <v/>
      </c>
    </row>
    <row r="16" ht="39" customHeight="1">
      <c r="A16" s="20">
        <f>IF(12&lt;=COUNT(Aud_MNr),12,"")</f>
        <v/>
      </c>
      <c r="B16" s="20">
        <f>IFERROR(IF($A16="","",INDEX(Aud_Nr,MATCH($A16,Aud_MNr,0))),"")</f>
        <v/>
      </c>
      <c r="C16" s="30">
        <f>IFERROR(IF($A16="","",INDEX(Aud_Kapitel,MATCH($A16,Aud_MNr,0))),"")</f>
        <v/>
      </c>
      <c r="D16" s="30">
        <f>IFERROR(IF($A16="","",INDEX(Aud_Punkt,MATCH($A16,Aud_MNr,0))),"")</f>
        <v/>
      </c>
      <c r="E16" s="20">
        <f>IFERROR(IF($A16="","",INDEX(Aud_Bew,MATCH($A16,Aud_MNr,0))),"")</f>
        <v/>
      </c>
      <c r="F16" s="30">
        <f>IFERROR(IF($A16="","",IF(INDEX(Aud_Massn,MATCH($A16,Aud_MNr,0))="","",INDEX(Aud_Massn,MATCH($A16,Aud_MNr,0)))),"")</f>
        <v/>
      </c>
      <c r="G16" s="30">
        <f>IFERROR(IF($A16="","",IF(INDEX(Aud_Verantw,MATCH($A16,Aud_MNr,0))="","",INDEX(Aud_Verantw,MATCH($A16,Aud_MNr,0)))),"")</f>
        <v/>
      </c>
      <c r="H16" s="67">
        <f>IFERROR(IF($A16="","",IF(INDEX(Aud_Termin,MATCH($A16,Aud_MNr,0))="","",INDEX(Aud_Termin,MATCH($A16,Aud_MNr,0)))),"")</f>
        <v/>
      </c>
      <c r="I16" s="41">
        <f>IFERROR(IF($A16="","",INDEX(Aud_Status,MATCH($A16,Aud_MNr,0))),"")</f>
        <v/>
      </c>
    </row>
    <row r="17" ht="39" customHeight="1">
      <c r="A17" s="20">
        <f>IF(13&lt;=COUNT(Aud_MNr),13,"")</f>
        <v/>
      </c>
      <c r="B17" s="20">
        <f>IFERROR(IF($A17="","",INDEX(Aud_Nr,MATCH($A17,Aud_MNr,0))),"")</f>
        <v/>
      </c>
      <c r="C17" s="30">
        <f>IFERROR(IF($A17="","",INDEX(Aud_Kapitel,MATCH($A17,Aud_MNr,0))),"")</f>
        <v/>
      </c>
      <c r="D17" s="30">
        <f>IFERROR(IF($A17="","",INDEX(Aud_Punkt,MATCH($A17,Aud_MNr,0))),"")</f>
        <v/>
      </c>
      <c r="E17" s="20">
        <f>IFERROR(IF($A17="","",INDEX(Aud_Bew,MATCH($A17,Aud_MNr,0))),"")</f>
        <v/>
      </c>
      <c r="F17" s="30">
        <f>IFERROR(IF($A17="","",IF(INDEX(Aud_Massn,MATCH($A17,Aud_MNr,0))="","",INDEX(Aud_Massn,MATCH($A17,Aud_MNr,0)))),"")</f>
        <v/>
      </c>
      <c r="G17" s="30">
        <f>IFERROR(IF($A17="","",IF(INDEX(Aud_Verantw,MATCH($A17,Aud_MNr,0))="","",INDEX(Aud_Verantw,MATCH($A17,Aud_MNr,0)))),"")</f>
        <v/>
      </c>
      <c r="H17" s="67">
        <f>IFERROR(IF($A17="","",IF(INDEX(Aud_Termin,MATCH($A17,Aud_MNr,0))="","",INDEX(Aud_Termin,MATCH($A17,Aud_MNr,0)))),"")</f>
        <v/>
      </c>
      <c r="I17" s="41">
        <f>IFERROR(IF($A17="","",INDEX(Aud_Status,MATCH($A17,Aud_MNr,0))),"")</f>
        <v/>
      </c>
    </row>
    <row r="18" ht="39" customHeight="1">
      <c r="A18" s="20">
        <f>IF(14&lt;=COUNT(Aud_MNr),14,"")</f>
        <v/>
      </c>
      <c r="B18" s="20">
        <f>IFERROR(IF($A18="","",INDEX(Aud_Nr,MATCH($A18,Aud_MNr,0))),"")</f>
        <v/>
      </c>
      <c r="C18" s="30">
        <f>IFERROR(IF($A18="","",INDEX(Aud_Kapitel,MATCH($A18,Aud_MNr,0))),"")</f>
        <v/>
      </c>
      <c r="D18" s="30">
        <f>IFERROR(IF($A18="","",INDEX(Aud_Punkt,MATCH($A18,Aud_MNr,0))),"")</f>
        <v/>
      </c>
      <c r="E18" s="20">
        <f>IFERROR(IF($A18="","",INDEX(Aud_Bew,MATCH($A18,Aud_MNr,0))),"")</f>
        <v/>
      </c>
      <c r="F18" s="30">
        <f>IFERROR(IF($A18="","",IF(INDEX(Aud_Massn,MATCH($A18,Aud_MNr,0))="","",INDEX(Aud_Massn,MATCH($A18,Aud_MNr,0)))),"")</f>
        <v/>
      </c>
      <c r="G18" s="30">
        <f>IFERROR(IF($A18="","",IF(INDEX(Aud_Verantw,MATCH($A18,Aud_MNr,0))="","",INDEX(Aud_Verantw,MATCH($A18,Aud_MNr,0)))),"")</f>
        <v/>
      </c>
      <c r="H18" s="67">
        <f>IFERROR(IF($A18="","",IF(INDEX(Aud_Termin,MATCH($A18,Aud_MNr,0))="","",INDEX(Aud_Termin,MATCH($A18,Aud_MNr,0)))),"")</f>
        <v/>
      </c>
      <c r="I18" s="41">
        <f>IFERROR(IF($A18="","",INDEX(Aud_Status,MATCH($A18,Aud_MNr,0))),"")</f>
        <v/>
      </c>
    </row>
    <row r="19" ht="39" customHeight="1">
      <c r="A19" s="20">
        <f>IF(15&lt;=COUNT(Aud_MNr),15,"")</f>
        <v/>
      </c>
      <c r="B19" s="20">
        <f>IFERROR(IF($A19="","",INDEX(Aud_Nr,MATCH($A19,Aud_MNr,0))),"")</f>
        <v/>
      </c>
      <c r="C19" s="30">
        <f>IFERROR(IF($A19="","",INDEX(Aud_Kapitel,MATCH($A19,Aud_MNr,0))),"")</f>
        <v/>
      </c>
      <c r="D19" s="30">
        <f>IFERROR(IF($A19="","",INDEX(Aud_Punkt,MATCH($A19,Aud_MNr,0))),"")</f>
        <v/>
      </c>
      <c r="E19" s="20">
        <f>IFERROR(IF($A19="","",INDEX(Aud_Bew,MATCH($A19,Aud_MNr,0))),"")</f>
        <v/>
      </c>
      <c r="F19" s="30">
        <f>IFERROR(IF($A19="","",IF(INDEX(Aud_Massn,MATCH($A19,Aud_MNr,0))="","",INDEX(Aud_Massn,MATCH($A19,Aud_MNr,0)))),"")</f>
        <v/>
      </c>
      <c r="G19" s="30">
        <f>IFERROR(IF($A19="","",IF(INDEX(Aud_Verantw,MATCH($A19,Aud_MNr,0))="","",INDEX(Aud_Verantw,MATCH($A19,Aud_MNr,0)))),"")</f>
        <v/>
      </c>
      <c r="H19" s="67">
        <f>IFERROR(IF($A19="","",IF(INDEX(Aud_Termin,MATCH($A19,Aud_MNr,0))="","",INDEX(Aud_Termin,MATCH($A19,Aud_MNr,0)))),"")</f>
        <v/>
      </c>
      <c r="I19" s="41">
        <f>IFERROR(IF($A19="","",INDEX(Aud_Status,MATCH($A19,Aud_MNr,0))),"")</f>
        <v/>
      </c>
    </row>
    <row r="20" ht="39" customHeight="1">
      <c r="A20" s="20">
        <f>IF(16&lt;=COUNT(Aud_MNr),16,"")</f>
        <v/>
      </c>
      <c r="B20" s="20">
        <f>IFERROR(IF($A20="","",INDEX(Aud_Nr,MATCH($A20,Aud_MNr,0))),"")</f>
        <v/>
      </c>
      <c r="C20" s="30">
        <f>IFERROR(IF($A20="","",INDEX(Aud_Kapitel,MATCH($A20,Aud_MNr,0))),"")</f>
        <v/>
      </c>
      <c r="D20" s="30">
        <f>IFERROR(IF($A20="","",INDEX(Aud_Punkt,MATCH($A20,Aud_MNr,0))),"")</f>
        <v/>
      </c>
      <c r="E20" s="20">
        <f>IFERROR(IF($A20="","",INDEX(Aud_Bew,MATCH($A20,Aud_MNr,0))),"")</f>
        <v/>
      </c>
      <c r="F20" s="30">
        <f>IFERROR(IF($A20="","",IF(INDEX(Aud_Massn,MATCH($A20,Aud_MNr,0))="","",INDEX(Aud_Massn,MATCH($A20,Aud_MNr,0)))),"")</f>
        <v/>
      </c>
      <c r="G20" s="30">
        <f>IFERROR(IF($A20="","",IF(INDEX(Aud_Verantw,MATCH($A20,Aud_MNr,0))="","",INDEX(Aud_Verantw,MATCH($A20,Aud_MNr,0)))),"")</f>
        <v/>
      </c>
      <c r="H20" s="67">
        <f>IFERROR(IF($A20="","",IF(INDEX(Aud_Termin,MATCH($A20,Aud_MNr,0))="","",INDEX(Aud_Termin,MATCH($A20,Aud_MNr,0)))),"")</f>
        <v/>
      </c>
      <c r="I20" s="41">
        <f>IFERROR(IF($A20="","",INDEX(Aud_Status,MATCH($A20,Aud_MNr,0))),"")</f>
        <v/>
      </c>
    </row>
    <row r="21" ht="39" customHeight="1">
      <c r="A21" s="20">
        <f>IF(17&lt;=COUNT(Aud_MNr),17,"")</f>
        <v/>
      </c>
      <c r="B21" s="20">
        <f>IFERROR(IF($A21="","",INDEX(Aud_Nr,MATCH($A21,Aud_MNr,0))),"")</f>
        <v/>
      </c>
      <c r="C21" s="30">
        <f>IFERROR(IF($A21="","",INDEX(Aud_Kapitel,MATCH($A21,Aud_MNr,0))),"")</f>
        <v/>
      </c>
      <c r="D21" s="30">
        <f>IFERROR(IF($A21="","",INDEX(Aud_Punkt,MATCH($A21,Aud_MNr,0))),"")</f>
        <v/>
      </c>
      <c r="E21" s="20">
        <f>IFERROR(IF($A21="","",INDEX(Aud_Bew,MATCH($A21,Aud_MNr,0))),"")</f>
        <v/>
      </c>
      <c r="F21" s="30">
        <f>IFERROR(IF($A21="","",IF(INDEX(Aud_Massn,MATCH($A21,Aud_MNr,0))="","",INDEX(Aud_Massn,MATCH($A21,Aud_MNr,0)))),"")</f>
        <v/>
      </c>
      <c r="G21" s="30">
        <f>IFERROR(IF($A21="","",IF(INDEX(Aud_Verantw,MATCH($A21,Aud_MNr,0))="","",INDEX(Aud_Verantw,MATCH($A21,Aud_MNr,0)))),"")</f>
        <v/>
      </c>
      <c r="H21" s="67">
        <f>IFERROR(IF($A21="","",IF(INDEX(Aud_Termin,MATCH($A21,Aud_MNr,0))="","",INDEX(Aud_Termin,MATCH($A21,Aud_MNr,0)))),"")</f>
        <v/>
      </c>
      <c r="I21" s="41">
        <f>IFERROR(IF($A21="","",INDEX(Aud_Status,MATCH($A21,Aud_MNr,0))),"")</f>
        <v/>
      </c>
    </row>
    <row r="22" ht="39" customHeight="1">
      <c r="A22" s="20">
        <f>IF(18&lt;=COUNT(Aud_MNr),18,"")</f>
        <v/>
      </c>
      <c r="B22" s="20">
        <f>IFERROR(IF($A22="","",INDEX(Aud_Nr,MATCH($A22,Aud_MNr,0))),"")</f>
        <v/>
      </c>
      <c r="C22" s="30">
        <f>IFERROR(IF($A22="","",INDEX(Aud_Kapitel,MATCH($A22,Aud_MNr,0))),"")</f>
        <v/>
      </c>
      <c r="D22" s="30">
        <f>IFERROR(IF($A22="","",INDEX(Aud_Punkt,MATCH($A22,Aud_MNr,0))),"")</f>
        <v/>
      </c>
      <c r="E22" s="20">
        <f>IFERROR(IF($A22="","",INDEX(Aud_Bew,MATCH($A22,Aud_MNr,0))),"")</f>
        <v/>
      </c>
      <c r="F22" s="30">
        <f>IFERROR(IF($A22="","",IF(INDEX(Aud_Massn,MATCH($A22,Aud_MNr,0))="","",INDEX(Aud_Massn,MATCH($A22,Aud_MNr,0)))),"")</f>
        <v/>
      </c>
      <c r="G22" s="30">
        <f>IFERROR(IF($A22="","",IF(INDEX(Aud_Verantw,MATCH($A22,Aud_MNr,0))="","",INDEX(Aud_Verantw,MATCH($A22,Aud_MNr,0)))),"")</f>
        <v/>
      </c>
      <c r="H22" s="67">
        <f>IFERROR(IF($A22="","",IF(INDEX(Aud_Termin,MATCH($A22,Aud_MNr,0))="","",INDEX(Aud_Termin,MATCH($A22,Aud_MNr,0)))),"")</f>
        <v/>
      </c>
      <c r="I22" s="41">
        <f>IFERROR(IF($A22="","",INDEX(Aud_Status,MATCH($A22,Aud_MNr,0))),"")</f>
        <v/>
      </c>
    </row>
    <row r="23" ht="39" customHeight="1">
      <c r="A23" s="20">
        <f>IF(19&lt;=COUNT(Aud_MNr),19,"")</f>
        <v/>
      </c>
      <c r="B23" s="20">
        <f>IFERROR(IF($A23="","",INDEX(Aud_Nr,MATCH($A23,Aud_MNr,0))),"")</f>
        <v/>
      </c>
      <c r="C23" s="30">
        <f>IFERROR(IF($A23="","",INDEX(Aud_Kapitel,MATCH($A23,Aud_MNr,0))),"")</f>
        <v/>
      </c>
      <c r="D23" s="30">
        <f>IFERROR(IF($A23="","",INDEX(Aud_Punkt,MATCH($A23,Aud_MNr,0))),"")</f>
        <v/>
      </c>
      <c r="E23" s="20">
        <f>IFERROR(IF($A23="","",INDEX(Aud_Bew,MATCH($A23,Aud_MNr,0))),"")</f>
        <v/>
      </c>
      <c r="F23" s="30">
        <f>IFERROR(IF($A23="","",IF(INDEX(Aud_Massn,MATCH($A23,Aud_MNr,0))="","",INDEX(Aud_Massn,MATCH($A23,Aud_MNr,0)))),"")</f>
        <v/>
      </c>
      <c r="G23" s="30">
        <f>IFERROR(IF($A23="","",IF(INDEX(Aud_Verantw,MATCH($A23,Aud_MNr,0))="","",INDEX(Aud_Verantw,MATCH($A23,Aud_MNr,0)))),"")</f>
        <v/>
      </c>
      <c r="H23" s="67">
        <f>IFERROR(IF($A23="","",IF(INDEX(Aud_Termin,MATCH($A23,Aud_MNr,0))="","",INDEX(Aud_Termin,MATCH($A23,Aud_MNr,0)))),"")</f>
        <v/>
      </c>
      <c r="I23" s="41">
        <f>IFERROR(IF($A23="","",INDEX(Aud_Status,MATCH($A23,Aud_MNr,0))),"")</f>
        <v/>
      </c>
    </row>
    <row r="24" ht="39" customHeight="1">
      <c r="A24" s="20">
        <f>IF(20&lt;=COUNT(Aud_MNr),20,"")</f>
        <v/>
      </c>
      <c r="B24" s="20">
        <f>IFERROR(IF($A24="","",INDEX(Aud_Nr,MATCH($A24,Aud_MNr,0))),"")</f>
        <v/>
      </c>
      <c r="C24" s="30">
        <f>IFERROR(IF($A24="","",INDEX(Aud_Kapitel,MATCH($A24,Aud_MNr,0))),"")</f>
        <v/>
      </c>
      <c r="D24" s="30">
        <f>IFERROR(IF($A24="","",INDEX(Aud_Punkt,MATCH($A24,Aud_MNr,0))),"")</f>
        <v/>
      </c>
      <c r="E24" s="20">
        <f>IFERROR(IF($A24="","",INDEX(Aud_Bew,MATCH($A24,Aud_MNr,0))),"")</f>
        <v/>
      </c>
      <c r="F24" s="30">
        <f>IFERROR(IF($A24="","",IF(INDEX(Aud_Massn,MATCH($A24,Aud_MNr,0))="","",INDEX(Aud_Massn,MATCH($A24,Aud_MNr,0)))),"")</f>
        <v/>
      </c>
      <c r="G24" s="30">
        <f>IFERROR(IF($A24="","",IF(INDEX(Aud_Verantw,MATCH($A24,Aud_MNr,0))="","",INDEX(Aud_Verantw,MATCH($A24,Aud_MNr,0)))),"")</f>
        <v/>
      </c>
      <c r="H24" s="67">
        <f>IFERROR(IF($A24="","",IF(INDEX(Aud_Termin,MATCH($A24,Aud_MNr,0))="","",INDEX(Aud_Termin,MATCH($A24,Aud_MNr,0)))),"")</f>
        <v/>
      </c>
      <c r="I24" s="41">
        <f>IFERROR(IF($A24="","",INDEX(Aud_Status,MATCH($A24,Aud_MNr,0))),"")</f>
        <v/>
      </c>
    </row>
    <row r="25" ht="39" customHeight="1">
      <c r="A25" s="20">
        <f>IF(21&lt;=COUNT(Aud_MNr),21,"")</f>
        <v/>
      </c>
      <c r="B25" s="20">
        <f>IFERROR(IF($A25="","",INDEX(Aud_Nr,MATCH($A25,Aud_MNr,0))),"")</f>
        <v/>
      </c>
      <c r="C25" s="30">
        <f>IFERROR(IF($A25="","",INDEX(Aud_Kapitel,MATCH($A25,Aud_MNr,0))),"")</f>
        <v/>
      </c>
      <c r="D25" s="30">
        <f>IFERROR(IF($A25="","",INDEX(Aud_Punkt,MATCH($A25,Aud_MNr,0))),"")</f>
        <v/>
      </c>
      <c r="E25" s="20">
        <f>IFERROR(IF($A25="","",INDEX(Aud_Bew,MATCH($A25,Aud_MNr,0))),"")</f>
        <v/>
      </c>
      <c r="F25" s="30">
        <f>IFERROR(IF($A25="","",IF(INDEX(Aud_Massn,MATCH($A25,Aud_MNr,0))="","",INDEX(Aud_Massn,MATCH($A25,Aud_MNr,0)))),"")</f>
        <v/>
      </c>
      <c r="G25" s="30">
        <f>IFERROR(IF($A25="","",IF(INDEX(Aud_Verantw,MATCH($A25,Aud_MNr,0))="","",INDEX(Aud_Verantw,MATCH($A25,Aud_MNr,0)))),"")</f>
        <v/>
      </c>
      <c r="H25" s="67">
        <f>IFERROR(IF($A25="","",IF(INDEX(Aud_Termin,MATCH($A25,Aud_MNr,0))="","",INDEX(Aud_Termin,MATCH($A25,Aud_MNr,0)))),"")</f>
        <v/>
      </c>
      <c r="I25" s="41">
        <f>IFERROR(IF($A25="","",INDEX(Aud_Status,MATCH($A25,Aud_MNr,0))),"")</f>
        <v/>
      </c>
    </row>
    <row r="26" ht="39" customHeight="1">
      <c r="A26" s="20">
        <f>IF(22&lt;=COUNT(Aud_MNr),22,"")</f>
        <v/>
      </c>
      <c r="B26" s="20">
        <f>IFERROR(IF($A26="","",INDEX(Aud_Nr,MATCH($A26,Aud_MNr,0))),"")</f>
        <v/>
      </c>
      <c r="C26" s="30">
        <f>IFERROR(IF($A26="","",INDEX(Aud_Kapitel,MATCH($A26,Aud_MNr,0))),"")</f>
        <v/>
      </c>
      <c r="D26" s="30">
        <f>IFERROR(IF($A26="","",INDEX(Aud_Punkt,MATCH($A26,Aud_MNr,0))),"")</f>
        <v/>
      </c>
      <c r="E26" s="20">
        <f>IFERROR(IF($A26="","",INDEX(Aud_Bew,MATCH($A26,Aud_MNr,0))),"")</f>
        <v/>
      </c>
      <c r="F26" s="30">
        <f>IFERROR(IF($A26="","",IF(INDEX(Aud_Massn,MATCH($A26,Aud_MNr,0))="","",INDEX(Aud_Massn,MATCH($A26,Aud_MNr,0)))),"")</f>
        <v/>
      </c>
      <c r="G26" s="30">
        <f>IFERROR(IF($A26="","",IF(INDEX(Aud_Verantw,MATCH($A26,Aud_MNr,0))="","",INDEX(Aud_Verantw,MATCH($A26,Aud_MNr,0)))),"")</f>
        <v/>
      </c>
      <c r="H26" s="67">
        <f>IFERROR(IF($A26="","",IF(INDEX(Aud_Termin,MATCH($A26,Aud_MNr,0))="","",INDEX(Aud_Termin,MATCH($A26,Aud_MNr,0)))),"")</f>
        <v/>
      </c>
      <c r="I26" s="41">
        <f>IFERROR(IF($A26="","",INDEX(Aud_Status,MATCH($A26,Aud_MNr,0))),"")</f>
        <v/>
      </c>
    </row>
    <row r="27" ht="39" customHeight="1">
      <c r="A27" s="20">
        <f>IF(23&lt;=COUNT(Aud_MNr),23,"")</f>
        <v/>
      </c>
      <c r="B27" s="20">
        <f>IFERROR(IF($A27="","",INDEX(Aud_Nr,MATCH($A27,Aud_MNr,0))),"")</f>
        <v/>
      </c>
      <c r="C27" s="30">
        <f>IFERROR(IF($A27="","",INDEX(Aud_Kapitel,MATCH($A27,Aud_MNr,0))),"")</f>
        <v/>
      </c>
      <c r="D27" s="30">
        <f>IFERROR(IF($A27="","",INDEX(Aud_Punkt,MATCH($A27,Aud_MNr,0))),"")</f>
        <v/>
      </c>
      <c r="E27" s="20">
        <f>IFERROR(IF($A27="","",INDEX(Aud_Bew,MATCH($A27,Aud_MNr,0))),"")</f>
        <v/>
      </c>
      <c r="F27" s="30">
        <f>IFERROR(IF($A27="","",IF(INDEX(Aud_Massn,MATCH($A27,Aud_MNr,0))="","",INDEX(Aud_Massn,MATCH($A27,Aud_MNr,0)))),"")</f>
        <v/>
      </c>
      <c r="G27" s="30">
        <f>IFERROR(IF($A27="","",IF(INDEX(Aud_Verantw,MATCH($A27,Aud_MNr,0))="","",INDEX(Aud_Verantw,MATCH($A27,Aud_MNr,0)))),"")</f>
        <v/>
      </c>
      <c r="H27" s="67">
        <f>IFERROR(IF($A27="","",IF(INDEX(Aud_Termin,MATCH($A27,Aud_MNr,0))="","",INDEX(Aud_Termin,MATCH($A27,Aud_MNr,0)))),"")</f>
        <v/>
      </c>
      <c r="I27" s="41">
        <f>IFERROR(IF($A27="","",INDEX(Aud_Status,MATCH($A27,Aud_MNr,0))),"")</f>
        <v/>
      </c>
    </row>
    <row r="28" ht="39" customHeight="1">
      <c r="A28" s="20">
        <f>IF(24&lt;=COUNT(Aud_MNr),24,"")</f>
        <v/>
      </c>
      <c r="B28" s="20">
        <f>IFERROR(IF($A28="","",INDEX(Aud_Nr,MATCH($A28,Aud_MNr,0))),"")</f>
        <v/>
      </c>
      <c r="C28" s="30">
        <f>IFERROR(IF($A28="","",INDEX(Aud_Kapitel,MATCH($A28,Aud_MNr,0))),"")</f>
        <v/>
      </c>
      <c r="D28" s="30">
        <f>IFERROR(IF($A28="","",INDEX(Aud_Punkt,MATCH($A28,Aud_MNr,0))),"")</f>
        <v/>
      </c>
      <c r="E28" s="20">
        <f>IFERROR(IF($A28="","",INDEX(Aud_Bew,MATCH($A28,Aud_MNr,0))),"")</f>
        <v/>
      </c>
      <c r="F28" s="30">
        <f>IFERROR(IF($A28="","",IF(INDEX(Aud_Massn,MATCH($A28,Aud_MNr,0))="","",INDEX(Aud_Massn,MATCH($A28,Aud_MNr,0)))),"")</f>
        <v/>
      </c>
      <c r="G28" s="30">
        <f>IFERROR(IF($A28="","",IF(INDEX(Aud_Verantw,MATCH($A28,Aud_MNr,0))="","",INDEX(Aud_Verantw,MATCH($A28,Aud_MNr,0)))),"")</f>
        <v/>
      </c>
      <c r="H28" s="67">
        <f>IFERROR(IF($A28="","",IF(INDEX(Aud_Termin,MATCH($A28,Aud_MNr,0))="","",INDEX(Aud_Termin,MATCH($A28,Aud_MNr,0)))),"")</f>
        <v/>
      </c>
      <c r="I28" s="41">
        <f>IFERROR(IF($A28="","",INDEX(Aud_Status,MATCH($A28,Aud_MNr,0))),"")</f>
        <v/>
      </c>
    </row>
    <row r="29" ht="39" customHeight="1">
      <c r="A29" s="20">
        <f>IF(25&lt;=COUNT(Aud_MNr),25,"")</f>
        <v/>
      </c>
      <c r="B29" s="20">
        <f>IFERROR(IF($A29="","",INDEX(Aud_Nr,MATCH($A29,Aud_MNr,0))),"")</f>
        <v/>
      </c>
      <c r="C29" s="30">
        <f>IFERROR(IF($A29="","",INDEX(Aud_Kapitel,MATCH($A29,Aud_MNr,0))),"")</f>
        <v/>
      </c>
      <c r="D29" s="30">
        <f>IFERROR(IF($A29="","",INDEX(Aud_Punkt,MATCH($A29,Aud_MNr,0))),"")</f>
        <v/>
      </c>
      <c r="E29" s="20">
        <f>IFERROR(IF($A29="","",INDEX(Aud_Bew,MATCH($A29,Aud_MNr,0))),"")</f>
        <v/>
      </c>
      <c r="F29" s="30">
        <f>IFERROR(IF($A29="","",IF(INDEX(Aud_Massn,MATCH($A29,Aud_MNr,0))="","",INDEX(Aud_Massn,MATCH($A29,Aud_MNr,0)))),"")</f>
        <v/>
      </c>
      <c r="G29" s="30">
        <f>IFERROR(IF($A29="","",IF(INDEX(Aud_Verantw,MATCH($A29,Aud_MNr,0))="","",INDEX(Aud_Verantw,MATCH($A29,Aud_MNr,0)))),"")</f>
        <v/>
      </c>
      <c r="H29" s="67">
        <f>IFERROR(IF($A29="","",IF(INDEX(Aud_Termin,MATCH($A29,Aud_MNr,0))="","",INDEX(Aud_Termin,MATCH($A29,Aud_MNr,0)))),"")</f>
        <v/>
      </c>
      <c r="I29" s="41">
        <f>IFERROR(IF($A29="","",INDEX(Aud_Status,MATCH($A29,Aud_MNr,0))),"")</f>
        <v/>
      </c>
    </row>
    <row r="30" ht="39" customHeight="1">
      <c r="A30" s="20">
        <f>IF(26&lt;=COUNT(Aud_MNr),26,"")</f>
        <v/>
      </c>
      <c r="B30" s="20">
        <f>IFERROR(IF($A30="","",INDEX(Aud_Nr,MATCH($A30,Aud_MNr,0))),"")</f>
        <v/>
      </c>
      <c r="C30" s="30">
        <f>IFERROR(IF($A30="","",INDEX(Aud_Kapitel,MATCH($A30,Aud_MNr,0))),"")</f>
        <v/>
      </c>
      <c r="D30" s="30">
        <f>IFERROR(IF($A30="","",INDEX(Aud_Punkt,MATCH($A30,Aud_MNr,0))),"")</f>
        <v/>
      </c>
      <c r="E30" s="20">
        <f>IFERROR(IF($A30="","",INDEX(Aud_Bew,MATCH($A30,Aud_MNr,0))),"")</f>
        <v/>
      </c>
      <c r="F30" s="30">
        <f>IFERROR(IF($A30="","",IF(INDEX(Aud_Massn,MATCH($A30,Aud_MNr,0))="","",INDEX(Aud_Massn,MATCH($A30,Aud_MNr,0)))),"")</f>
        <v/>
      </c>
      <c r="G30" s="30">
        <f>IFERROR(IF($A30="","",IF(INDEX(Aud_Verantw,MATCH($A30,Aud_MNr,0))="","",INDEX(Aud_Verantw,MATCH($A30,Aud_MNr,0)))),"")</f>
        <v/>
      </c>
      <c r="H30" s="67">
        <f>IFERROR(IF($A30="","",IF(INDEX(Aud_Termin,MATCH($A30,Aud_MNr,0))="","",INDEX(Aud_Termin,MATCH($A30,Aud_MNr,0)))),"")</f>
        <v/>
      </c>
      <c r="I30" s="41">
        <f>IFERROR(IF($A30="","",INDEX(Aud_Status,MATCH($A30,Aud_MNr,0))),"")</f>
        <v/>
      </c>
    </row>
    <row r="31" ht="39" customHeight="1">
      <c r="A31" s="20">
        <f>IF(27&lt;=COUNT(Aud_MNr),27,"")</f>
        <v/>
      </c>
      <c r="B31" s="20">
        <f>IFERROR(IF($A31="","",INDEX(Aud_Nr,MATCH($A31,Aud_MNr,0))),"")</f>
        <v/>
      </c>
      <c r="C31" s="30">
        <f>IFERROR(IF($A31="","",INDEX(Aud_Kapitel,MATCH($A31,Aud_MNr,0))),"")</f>
        <v/>
      </c>
      <c r="D31" s="30">
        <f>IFERROR(IF($A31="","",INDEX(Aud_Punkt,MATCH($A31,Aud_MNr,0))),"")</f>
        <v/>
      </c>
      <c r="E31" s="20">
        <f>IFERROR(IF($A31="","",INDEX(Aud_Bew,MATCH($A31,Aud_MNr,0))),"")</f>
        <v/>
      </c>
      <c r="F31" s="30">
        <f>IFERROR(IF($A31="","",IF(INDEX(Aud_Massn,MATCH($A31,Aud_MNr,0))="","",INDEX(Aud_Massn,MATCH($A31,Aud_MNr,0)))),"")</f>
        <v/>
      </c>
      <c r="G31" s="30">
        <f>IFERROR(IF($A31="","",IF(INDEX(Aud_Verantw,MATCH($A31,Aud_MNr,0))="","",INDEX(Aud_Verantw,MATCH($A31,Aud_MNr,0)))),"")</f>
        <v/>
      </c>
      <c r="H31" s="67">
        <f>IFERROR(IF($A31="","",IF(INDEX(Aud_Termin,MATCH($A31,Aud_MNr,0))="","",INDEX(Aud_Termin,MATCH($A31,Aud_MNr,0)))),"")</f>
        <v/>
      </c>
      <c r="I31" s="41">
        <f>IFERROR(IF($A31="","",INDEX(Aud_Status,MATCH($A31,Aud_MNr,0))),"")</f>
        <v/>
      </c>
    </row>
    <row r="32" ht="39" customHeight="1">
      <c r="A32" s="20">
        <f>IF(28&lt;=COUNT(Aud_MNr),28,"")</f>
        <v/>
      </c>
      <c r="B32" s="20">
        <f>IFERROR(IF($A32="","",INDEX(Aud_Nr,MATCH($A32,Aud_MNr,0))),"")</f>
        <v/>
      </c>
      <c r="C32" s="30">
        <f>IFERROR(IF($A32="","",INDEX(Aud_Kapitel,MATCH($A32,Aud_MNr,0))),"")</f>
        <v/>
      </c>
      <c r="D32" s="30">
        <f>IFERROR(IF($A32="","",INDEX(Aud_Punkt,MATCH($A32,Aud_MNr,0))),"")</f>
        <v/>
      </c>
      <c r="E32" s="20">
        <f>IFERROR(IF($A32="","",INDEX(Aud_Bew,MATCH($A32,Aud_MNr,0))),"")</f>
        <v/>
      </c>
      <c r="F32" s="30">
        <f>IFERROR(IF($A32="","",IF(INDEX(Aud_Massn,MATCH($A32,Aud_MNr,0))="","",INDEX(Aud_Massn,MATCH($A32,Aud_MNr,0)))),"")</f>
        <v/>
      </c>
      <c r="G32" s="30">
        <f>IFERROR(IF($A32="","",IF(INDEX(Aud_Verantw,MATCH($A32,Aud_MNr,0))="","",INDEX(Aud_Verantw,MATCH($A32,Aud_MNr,0)))),"")</f>
        <v/>
      </c>
      <c r="H32" s="67">
        <f>IFERROR(IF($A32="","",IF(INDEX(Aud_Termin,MATCH($A32,Aud_MNr,0))="","",INDEX(Aud_Termin,MATCH($A32,Aud_MNr,0)))),"")</f>
        <v/>
      </c>
      <c r="I32" s="41">
        <f>IFERROR(IF($A32="","",INDEX(Aud_Status,MATCH($A32,Aud_MNr,0))),"")</f>
        <v/>
      </c>
    </row>
    <row r="33" ht="39" customHeight="1">
      <c r="A33" s="20">
        <f>IF(29&lt;=COUNT(Aud_MNr),29,"")</f>
        <v/>
      </c>
      <c r="B33" s="20">
        <f>IFERROR(IF($A33="","",INDEX(Aud_Nr,MATCH($A33,Aud_MNr,0))),"")</f>
        <v/>
      </c>
      <c r="C33" s="30">
        <f>IFERROR(IF($A33="","",INDEX(Aud_Kapitel,MATCH($A33,Aud_MNr,0))),"")</f>
        <v/>
      </c>
      <c r="D33" s="30">
        <f>IFERROR(IF($A33="","",INDEX(Aud_Punkt,MATCH($A33,Aud_MNr,0))),"")</f>
        <v/>
      </c>
      <c r="E33" s="20">
        <f>IFERROR(IF($A33="","",INDEX(Aud_Bew,MATCH($A33,Aud_MNr,0))),"")</f>
        <v/>
      </c>
      <c r="F33" s="30">
        <f>IFERROR(IF($A33="","",IF(INDEX(Aud_Massn,MATCH($A33,Aud_MNr,0))="","",INDEX(Aud_Massn,MATCH($A33,Aud_MNr,0)))),"")</f>
        <v/>
      </c>
      <c r="G33" s="30">
        <f>IFERROR(IF($A33="","",IF(INDEX(Aud_Verantw,MATCH($A33,Aud_MNr,0))="","",INDEX(Aud_Verantw,MATCH($A33,Aud_MNr,0)))),"")</f>
        <v/>
      </c>
      <c r="H33" s="67">
        <f>IFERROR(IF($A33="","",IF(INDEX(Aud_Termin,MATCH($A33,Aud_MNr,0))="","",INDEX(Aud_Termin,MATCH($A33,Aud_MNr,0)))),"")</f>
        <v/>
      </c>
      <c r="I33" s="41">
        <f>IFERROR(IF($A33="","",INDEX(Aud_Status,MATCH($A33,Aud_MNr,0))),"")</f>
        <v/>
      </c>
    </row>
    <row r="34" ht="39" customHeight="1">
      <c r="A34" s="20">
        <f>IF(30&lt;=COUNT(Aud_MNr),30,"")</f>
        <v/>
      </c>
      <c r="B34" s="20">
        <f>IFERROR(IF($A34="","",INDEX(Aud_Nr,MATCH($A34,Aud_MNr,0))),"")</f>
        <v/>
      </c>
      <c r="C34" s="30">
        <f>IFERROR(IF($A34="","",INDEX(Aud_Kapitel,MATCH($A34,Aud_MNr,0))),"")</f>
        <v/>
      </c>
      <c r="D34" s="30">
        <f>IFERROR(IF($A34="","",INDEX(Aud_Punkt,MATCH($A34,Aud_MNr,0))),"")</f>
        <v/>
      </c>
      <c r="E34" s="20">
        <f>IFERROR(IF($A34="","",INDEX(Aud_Bew,MATCH($A34,Aud_MNr,0))),"")</f>
        <v/>
      </c>
      <c r="F34" s="30">
        <f>IFERROR(IF($A34="","",IF(INDEX(Aud_Massn,MATCH($A34,Aud_MNr,0))="","",INDEX(Aud_Massn,MATCH($A34,Aud_MNr,0)))),"")</f>
        <v/>
      </c>
      <c r="G34" s="30">
        <f>IFERROR(IF($A34="","",IF(INDEX(Aud_Verantw,MATCH($A34,Aud_MNr,0))="","",INDEX(Aud_Verantw,MATCH($A34,Aud_MNr,0)))),"")</f>
        <v/>
      </c>
      <c r="H34" s="67">
        <f>IFERROR(IF($A34="","",IF(INDEX(Aud_Termin,MATCH($A34,Aud_MNr,0))="","",INDEX(Aud_Termin,MATCH($A34,Aud_MNr,0)))),"")</f>
        <v/>
      </c>
      <c r="I34" s="41">
        <f>IFERROR(IF($A34="","",INDEX(Aud_Status,MATCH($A34,Aud_MNr,0))),"")</f>
        <v/>
      </c>
    </row>
    <row r="35" ht="39" customHeight="1">
      <c r="A35" s="20">
        <f>IF(31&lt;=COUNT(Aud_MNr),31,"")</f>
        <v/>
      </c>
      <c r="B35" s="20">
        <f>IFERROR(IF($A35="","",INDEX(Aud_Nr,MATCH($A35,Aud_MNr,0))),"")</f>
        <v/>
      </c>
      <c r="C35" s="30">
        <f>IFERROR(IF($A35="","",INDEX(Aud_Kapitel,MATCH($A35,Aud_MNr,0))),"")</f>
        <v/>
      </c>
      <c r="D35" s="30">
        <f>IFERROR(IF($A35="","",INDEX(Aud_Punkt,MATCH($A35,Aud_MNr,0))),"")</f>
        <v/>
      </c>
      <c r="E35" s="20">
        <f>IFERROR(IF($A35="","",INDEX(Aud_Bew,MATCH($A35,Aud_MNr,0))),"")</f>
        <v/>
      </c>
      <c r="F35" s="30">
        <f>IFERROR(IF($A35="","",IF(INDEX(Aud_Massn,MATCH($A35,Aud_MNr,0))="","",INDEX(Aud_Massn,MATCH($A35,Aud_MNr,0)))),"")</f>
        <v/>
      </c>
      <c r="G35" s="30">
        <f>IFERROR(IF($A35="","",IF(INDEX(Aud_Verantw,MATCH($A35,Aud_MNr,0))="","",INDEX(Aud_Verantw,MATCH($A35,Aud_MNr,0)))),"")</f>
        <v/>
      </c>
      <c r="H35" s="67">
        <f>IFERROR(IF($A35="","",IF(INDEX(Aud_Termin,MATCH($A35,Aud_MNr,0))="","",INDEX(Aud_Termin,MATCH($A35,Aud_MNr,0)))),"")</f>
        <v/>
      </c>
      <c r="I35" s="41">
        <f>IFERROR(IF($A35="","",INDEX(Aud_Status,MATCH($A35,Aud_MNr,0))),"")</f>
        <v/>
      </c>
    </row>
    <row r="36" ht="39" customHeight="1">
      <c r="A36" s="20">
        <f>IF(32&lt;=COUNT(Aud_MNr),32,"")</f>
        <v/>
      </c>
      <c r="B36" s="20">
        <f>IFERROR(IF($A36="","",INDEX(Aud_Nr,MATCH($A36,Aud_MNr,0))),"")</f>
        <v/>
      </c>
      <c r="C36" s="30">
        <f>IFERROR(IF($A36="","",INDEX(Aud_Kapitel,MATCH($A36,Aud_MNr,0))),"")</f>
        <v/>
      </c>
      <c r="D36" s="30">
        <f>IFERROR(IF($A36="","",INDEX(Aud_Punkt,MATCH($A36,Aud_MNr,0))),"")</f>
        <v/>
      </c>
      <c r="E36" s="20">
        <f>IFERROR(IF($A36="","",INDEX(Aud_Bew,MATCH($A36,Aud_MNr,0))),"")</f>
        <v/>
      </c>
      <c r="F36" s="30">
        <f>IFERROR(IF($A36="","",IF(INDEX(Aud_Massn,MATCH($A36,Aud_MNr,0))="","",INDEX(Aud_Massn,MATCH($A36,Aud_MNr,0)))),"")</f>
        <v/>
      </c>
      <c r="G36" s="30">
        <f>IFERROR(IF($A36="","",IF(INDEX(Aud_Verantw,MATCH($A36,Aud_MNr,0))="","",INDEX(Aud_Verantw,MATCH($A36,Aud_MNr,0)))),"")</f>
        <v/>
      </c>
      <c r="H36" s="67">
        <f>IFERROR(IF($A36="","",IF(INDEX(Aud_Termin,MATCH($A36,Aud_MNr,0))="","",INDEX(Aud_Termin,MATCH($A36,Aud_MNr,0)))),"")</f>
        <v/>
      </c>
      <c r="I36" s="41">
        <f>IFERROR(IF($A36="","",INDEX(Aud_Status,MATCH($A36,Aud_MNr,0))),"")</f>
        <v/>
      </c>
    </row>
    <row r="37" ht="39" customHeight="1">
      <c r="A37" s="20">
        <f>IF(33&lt;=COUNT(Aud_MNr),33,"")</f>
        <v/>
      </c>
      <c r="B37" s="20">
        <f>IFERROR(IF($A37="","",INDEX(Aud_Nr,MATCH($A37,Aud_MNr,0))),"")</f>
        <v/>
      </c>
      <c r="C37" s="30">
        <f>IFERROR(IF($A37="","",INDEX(Aud_Kapitel,MATCH($A37,Aud_MNr,0))),"")</f>
        <v/>
      </c>
      <c r="D37" s="30">
        <f>IFERROR(IF($A37="","",INDEX(Aud_Punkt,MATCH($A37,Aud_MNr,0))),"")</f>
        <v/>
      </c>
      <c r="E37" s="20">
        <f>IFERROR(IF($A37="","",INDEX(Aud_Bew,MATCH($A37,Aud_MNr,0))),"")</f>
        <v/>
      </c>
      <c r="F37" s="30">
        <f>IFERROR(IF($A37="","",IF(INDEX(Aud_Massn,MATCH($A37,Aud_MNr,0))="","",INDEX(Aud_Massn,MATCH($A37,Aud_MNr,0)))),"")</f>
        <v/>
      </c>
      <c r="G37" s="30">
        <f>IFERROR(IF($A37="","",IF(INDEX(Aud_Verantw,MATCH($A37,Aud_MNr,0))="","",INDEX(Aud_Verantw,MATCH($A37,Aud_MNr,0)))),"")</f>
        <v/>
      </c>
      <c r="H37" s="67">
        <f>IFERROR(IF($A37="","",IF(INDEX(Aud_Termin,MATCH($A37,Aud_MNr,0))="","",INDEX(Aud_Termin,MATCH($A37,Aud_MNr,0)))),"")</f>
        <v/>
      </c>
      <c r="I37" s="41">
        <f>IFERROR(IF($A37="","",INDEX(Aud_Status,MATCH($A37,Aud_MNr,0))),"")</f>
        <v/>
      </c>
    </row>
    <row r="38" ht="39" customHeight="1">
      <c r="A38" s="20">
        <f>IF(34&lt;=COUNT(Aud_MNr),34,"")</f>
        <v/>
      </c>
      <c r="B38" s="20">
        <f>IFERROR(IF($A38="","",INDEX(Aud_Nr,MATCH($A38,Aud_MNr,0))),"")</f>
        <v/>
      </c>
      <c r="C38" s="30">
        <f>IFERROR(IF($A38="","",INDEX(Aud_Kapitel,MATCH($A38,Aud_MNr,0))),"")</f>
        <v/>
      </c>
      <c r="D38" s="30">
        <f>IFERROR(IF($A38="","",INDEX(Aud_Punkt,MATCH($A38,Aud_MNr,0))),"")</f>
        <v/>
      </c>
      <c r="E38" s="20">
        <f>IFERROR(IF($A38="","",INDEX(Aud_Bew,MATCH($A38,Aud_MNr,0))),"")</f>
        <v/>
      </c>
      <c r="F38" s="30">
        <f>IFERROR(IF($A38="","",IF(INDEX(Aud_Massn,MATCH($A38,Aud_MNr,0))="","",INDEX(Aud_Massn,MATCH($A38,Aud_MNr,0)))),"")</f>
        <v/>
      </c>
      <c r="G38" s="30">
        <f>IFERROR(IF($A38="","",IF(INDEX(Aud_Verantw,MATCH($A38,Aud_MNr,0))="","",INDEX(Aud_Verantw,MATCH($A38,Aud_MNr,0)))),"")</f>
        <v/>
      </c>
      <c r="H38" s="67">
        <f>IFERROR(IF($A38="","",IF(INDEX(Aud_Termin,MATCH($A38,Aud_MNr,0))="","",INDEX(Aud_Termin,MATCH($A38,Aud_MNr,0)))),"")</f>
        <v/>
      </c>
      <c r="I38" s="41">
        <f>IFERROR(IF($A38="","",INDEX(Aud_Status,MATCH($A38,Aud_MNr,0))),"")</f>
        <v/>
      </c>
    </row>
    <row r="39" ht="39" customHeight="1">
      <c r="A39" s="20">
        <f>IF(35&lt;=COUNT(Aud_MNr),35,"")</f>
        <v/>
      </c>
      <c r="B39" s="20">
        <f>IFERROR(IF($A39="","",INDEX(Aud_Nr,MATCH($A39,Aud_MNr,0))),"")</f>
        <v/>
      </c>
      <c r="C39" s="30">
        <f>IFERROR(IF($A39="","",INDEX(Aud_Kapitel,MATCH($A39,Aud_MNr,0))),"")</f>
        <v/>
      </c>
      <c r="D39" s="30">
        <f>IFERROR(IF($A39="","",INDEX(Aud_Punkt,MATCH($A39,Aud_MNr,0))),"")</f>
        <v/>
      </c>
      <c r="E39" s="20">
        <f>IFERROR(IF($A39="","",INDEX(Aud_Bew,MATCH($A39,Aud_MNr,0))),"")</f>
        <v/>
      </c>
      <c r="F39" s="30">
        <f>IFERROR(IF($A39="","",IF(INDEX(Aud_Massn,MATCH($A39,Aud_MNr,0))="","",INDEX(Aud_Massn,MATCH($A39,Aud_MNr,0)))),"")</f>
        <v/>
      </c>
      <c r="G39" s="30">
        <f>IFERROR(IF($A39="","",IF(INDEX(Aud_Verantw,MATCH($A39,Aud_MNr,0))="","",INDEX(Aud_Verantw,MATCH($A39,Aud_MNr,0)))),"")</f>
        <v/>
      </c>
      <c r="H39" s="67">
        <f>IFERROR(IF($A39="","",IF(INDEX(Aud_Termin,MATCH($A39,Aud_MNr,0))="","",INDEX(Aud_Termin,MATCH($A39,Aud_MNr,0)))),"")</f>
        <v/>
      </c>
      <c r="I39" s="41">
        <f>IFERROR(IF($A39="","",INDEX(Aud_Status,MATCH($A39,Aud_MNr,0))),"")</f>
        <v/>
      </c>
    </row>
    <row r="40" ht="39" customHeight="1">
      <c r="A40" s="20">
        <f>IF(36&lt;=COUNT(Aud_MNr),36,"")</f>
        <v/>
      </c>
      <c r="B40" s="20">
        <f>IFERROR(IF($A40="","",INDEX(Aud_Nr,MATCH($A40,Aud_MNr,0))),"")</f>
        <v/>
      </c>
      <c r="C40" s="30">
        <f>IFERROR(IF($A40="","",INDEX(Aud_Kapitel,MATCH($A40,Aud_MNr,0))),"")</f>
        <v/>
      </c>
      <c r="D40" s="30">
        <f>IFERROR(IF($A40="","",INDEX(Aud_Punkt,MATCH($A40,Aud_MNr,0))),"")</f>
        <v/>
      </c>
      <c r="E40" s="20">
        <f>IFERROR(IF($A40="","",INDEX(Aud_Bew,MATCH($A40,Aud_MNr,0))),"")</f>
        <v/>
      </c>
      <c r="F40" s="30">
        <f>IFERROR(IF($A40="","",IF(INDEX(Aud_Massn,MATCH($A40,Aud_MNr,0))="","",INDEX(Aud_Massn,MATCH($A40,Aud_MNr,0)))),"")</f>
        <v/>
      </c>
      <c r="G40" s="30">
        <f>IFERROR(IF($A40="","",IF(INDEX(Aud_Verantw,MATCH($A40,Aud_MNr,0))="","",INDEX(Aud_Verantw,MATCH($A40,Aud_MNr,0)))),"")</f>
        <v/>
      </c>
      <c r="H40" s="67">
        <f>IFERROR(IF($A40="","",IF(INDEX(Aud_Termin,MATCH($A40,Aud_MNr,0))="","",INDEX(Aud_Termin,MATCH($A40,Aud_MNr,0)))),"")</f>
        <v/>
      </c>
      <c r="I40" s="41">
        <f>IFERROR(IF($A40="","",INDEX(Aud_Status,MATCH($A40,Aud_MNr,0))),"")</f>
        <v/>
      </c>
    </row>
    <row r="41" ht="39" customHeight="1">
      <c r="A41" s="20">
        <f>IF(37&lt;=COUNT(Aud_MNr),37,"")</f>
        <v/>
      </c>
      <c r="B41" s="20">
        <f>IFERROR(IF($A41="","",INDEX(Aud_Nr,MATCH($A41,Aud_MNr,0))),"")</f>
        <v/>
      </c>
      <c r="C41" s="30">
        <f>IFERROR(IF($A41="","",INDEX(Aud_Kapitel,MATCH($A41,Aud_MNr,0))),"")</f>
        <v/>
      </c>
      <c r="D41" s="30">
        <f>IFERROR(IF($A41="","",INDEX(Aud_Punkt,MATCH($A41,Aud_MNr,0))),"")</f>
        <v/>
      </c>
      <c r="E41" s="20">
        <f>IFERROR(IF($A41="","",INDEX(Aud_Bew,MATCH($A41,Aud_MNr,0))),"")</f>
        <v/>
      </c>
      <c r="F41" s="30">
        <f>IFERROR(IF($A41="","",IF(INDEX(Aud_Massn,MATCH($A41,Aud_MNr,0))="","",INDEX(Aud_Massn,MATCH($A41,Aud_MNr,0)))),"")</f>
        <v/>
      </c>
      <c r="G41" s="30">
        <f>IFERROR(IF($A41="","",IF(INDEX(Aud_Verantw,MATCH($A41,Aud_MNr,0))="","",INDEX(Aud_Verantw,MATCH($A41,Aud_MNr,0)))),"")</f>
        <v/>
      </c>
      <c r="H41" s="67">
        <f>IFERROR(IF($A41="","",IF(INDEX(Aud_Termin,MATCH($A41,Aud_MNr,0))="","",INDEX(Aud_Termin,MATCH($A41,Aud_MNr,0)))),"")</f>
        <v/>
      </c>
      <c r="I41" s="41">
        <f>IFERROR(IF($A41="","",INDEX(Aud_Status,MATCH($A41,Aud_MNr,0))),"")</f>
        <v/>
      </c>
    </row>
    <row r="42" ht="39" customHeight="1">
      <c r="A42" s="20">
        <f>IF(38&lt;=COUNT(Aud_MNr),38,"")</f>
        <v/>
      </c>
      <c r="B42" s="20">
        <f>IFERROR(IF($A42="","",INDEX(Aud_Nr,MATCH($A42,Aud_MNr,0))),"")</f>
        <v/>
      </c>
      <c r="C42" s="30">
        <f>IFERROR(IF($A42="","",INDEX(Aud_Kapitel,MATCH($A42,Aud_MNr,0))),"")</f>
        <v/>
      </c>
      <c r="D42" s="30">
        <f>IFERROR(IF($A42="","",INDEX(Aud_Punkt,MATCH($A42,Aud_MNr,0))),"")</f>
        <v/>
      </c>
      <c r="E42" s="20">
        <f>IFERROR(IF($A42="","",INDEX(Aud_Bew,MATCH($A42,Aud_MNr,0))),"")</f>
        <v/>
      </c>
      <c r="F42" s="30">
        <f>IFERROR(IF($A42="","",IF(INDEX(Aud_Massn,MATCH($A42,Aud_MNr,0))="","",INDEX(Aud_Massn,MATCH($A42,Aud_MNr,0)))),"")</f>
        <v/>
      </c>
      <c r="G42" s="30">
        <f>IFERROR(IF($A42="","",IF(INDEX(Aud_Verantw,MATCH($A42,Aud_MNr,0))="","",INDEX(Aud_Verantw,MATCH($A42,Aud_MNr,0)))),"")</f>
        <v/>
      </c>
      <c r="H42" s="67">
        <f>IFERROR(IF($A42="","",IF(INDEX(Aud_Termin,MATCH($A42,Aud_MNr,0))="","",INDEX(Aud_Termin,MATCH($A42,Aud_MNr,0)))),"")</f>
        <v/>
      </c>
      <c r="I42" s="41">
        <f>IFERROR(IF($A42="","",INDEX(Aud_Status,MATCH($A42,Aud_MNr,0))),"")</f>
        <v/>
      </c>
    </row>
    <row r="43" ht="39" customHeight="1">
      <c r="A43" s="20">
        <f>IF(39&lt;=COUNT(Aud_MNr),39,"")</f>
        <v/>
      </c>
      <c r="B43" s="20">
        <f>IFERROR(IF($A43="","",INDEX(Aud_Nr,MATCH($A43,Aud_MNr,0))),"")</f>
        <v/>
      </c>
      <c r="C43" s="30">
        <f>IFERROR(IF($A43="","",INDEX(Aud_Kapitel,MATCH($A43,Aud_MNr,0))),"")</f>
        <v/>
      </c>
      <c r="D43" s="30">
        <f>IFERROR(IF($A43="","",INDEX(Aud_Punkt,MATCH($A43,Aud_MNr,0))),"")</f>
        <v/>
      </c>
      <c r="E43" s="20">
        <f>IFERROR(IF($A43="","",INDEX(Aud_Bew,MATCH($A43,Aud_MNr,0))),"")</f>
        <v/>
      </c>
      <c r="F43" s="30">
        <f>IFERROR(IF($A43="","",IF(INDEX(Aud_Massn,MATCH($A43,Aud_MNr,0))="","",INDEX(Aud_Massn,MATCH($A43,Aud_MNr,0)))),"")</f>
        <v/>
      </c>
      <c r="G43" s="30">
        <f>IFERROR(IF($A43="","",IF(INDEX(Aud_Verantw,MATCH($A43,Aud_MNr,0))="","",INDEX(Aud_Verantw,MATCH($A43,Aud_MNr,0)))),"")</f>
        <v/>
      </c>
      <c r="H43" s="67">
        <f>IFERROR(IF($A43="","",IF(INDEX(Aud_Termin,MATCH($A43,Aud_MNr,0))="","",INDEX(Aud_Termin,MATCH($A43,Aud_MNr,0)))),"")</f>
        <v/>
      </c>
      <c r="I43" s="41">
        <f>IFERROR(IF($A43="","",INDEX(Aud_Status,MATCH($A43,Aud_MNr,0))),"")</f>
        <v/>
      </c>
    </row>
    <row r="44" ht="39" customHeight="1">
      <c r="A44" s="20">
        <f>IF(40&lt;=COUNT(Aud_MNr),40,"")</f>
        <v/>
      </c>
      <c r="B44" s="20">
        <f>IFERROR(IF($A44="","",INDEX(Aud_Nr,MATCH($A44,Aud_MNr,0))),"")</f>
        <v/>
      </c>
      <c r="C44" s="30">
        <f>IFERROR(IF($A44="","",INDEX(Aud_Kapitel,MATCH($A44,Aud_MNr,0))),"")</f>
        <v/>
      </c>
      <c r="D44" s="30">
        <f>IFERROR(IF($A44="","",INDEX(Aud_Punkt,MATCH($A44,Aud_MNr,0))),"")</f>
        <v/>
      </c>
      <c r="E44" s="20">
        <f>IFERROR(IF($A44="","",INDEX(Aud_Bew,MATCH($A44,Aud_MNr,0))),"")</f>
        <v/>
      </c>
      <c r="F44" s="30">
        <f>IFERROR(IF($A44="","",IF(INDEX(Aud_Massn,MATCH($A44,Aud_MNr,0))="","",INDEX(Aud_Massn,MATCH($A44,Aud_MNr,0)))),"")</f>
        <v/>
      </c>
      <c r="G44" s="30">
        <f>IFERROR(IF($A44="","",IF(INDEX(Aud_Verantw,MATCH($A44,Aud_MNr,0))="","",INDEX(Aud_Verantw,MATCH($A44,Aud_MNr,0)))),"")</f>
        <v/>
      </c>
      <c r="H44" s="67">
        <f>IFERROR(IF($A44="","",IF(INDEX(Aud_Termin,MATCH($A44,Aud_MNr,0))="","",INDEX(Aud_Termin,MATCH($A44,Aud_MNr,0)))),"")</f>
        <v/>
      </c>
      <c r="I44" s="41">
        <f>IFERROR(IF($A44="","",INDEX(Aud_Status,MATCH($A44,Aud_MNr,0))),"")</f>
        <v/>
      </c>
    </row>
    <row r="45" ht="39" customHeight="1">
      <c r="A45" s="20">
        <f>IF(41&lt;=COUNT(Aud_MNr),41,"")</f>
        <v/>
      </c>
      <c r="B45" s="20">
        <f>IFERROR(IF($A45="","",INDEX(Aud_Nr,MATCH($A45,Aud_MNr,0))),"")</f>
        <v/>
      </c>
      <c r="C45" s="30">
        <f>IFERROR(IF($A45="","",INDEX(Aud_Kapitel,MATCH($A45,Aud_MNr,0))),"")</f>
        <v/>
      </c>
      <c r="D45" s="30">
        <f>IFERROR(IF($A45="","",INDEX(Aud_Punkt,MATCH($A45,Aud_MNr,0))),"")</f>
        <v/>
      </c>
      <c r="E45" s="20">
        <f>IFERROR(IF($A45="","",INDEX(Aud_Bew,MATCH($A45,Aud_MNr,0))),"")</f>
        <v/>
      </c>
      <c r="F45" s="30">
        <f>IFERROR(IF($A45="","",IF(INDEX(Aud_Massn,MATCH($A45,Aud_MNr,0))="","",INDEX(Aud_Massn,MATCH($A45,Aud_MNr,0)))),"")</f>
        <v/>
      </c>
      <c r="G45" s="30">
        <f>IFERROR(IF($A45="","",IF(INDEX(Aud_Verantw,MATCH($A45,Aud_MNr,0))="","",INDEX(Aud_Verantw,MATCH($A45,Aud_MNr,0)))),"")</f>
        <v/>
      </c>
      <c r="H45" s="67">
        <f>IFERROR(IF($A45="","",IF(INDEX(Aud_Termin,MATCH($A45,Aud_MNr,0))="","",INDEX(Aud_Termin,MATCH($A45,Aud_MNr,0)))),"")</f>
        <v/>
      </c>
      <c r="I45" s="41">
        <f>IFERROR(IF($A45="","",INDEX(Aud_Status,MATCH($A45,Aud_MNr,0))),"")</f>
        <v/>
      </c>
    </row>
    <row r="46" ht="39" customHeight="1">
      <c r="A46" s="20">
        <f>IF(42&lt;=COUNT(Aud_MNr),42,"")</f>
        <v/>
      </c>
      <c r="B46" s="20">
        <f>IFERROR(IF($A46="","",INDEX(Aud_Nr,MATCH($A46,Aud_MNr,0))),"")</f>
        <v/>
      </c>
      <c r="C46" s="30">
        <f>IFERROR(IF($A46="","",INDEX(Aud_Kapitel,MATCH($A46,Aud_MNr,0))),"")</f>
        <v/>
      </c>
      <c r="D46" s="30">
        <f>IFERROR(IF($A46="","",INDEX(Aud_Punkt,MATCH($A46,Aud_MNr,0))),"")</f>
        <v/>
      </c>
      <c r="E46" s="20">
        <f>IFERROR(IF($A46="","",INDEX(Aud_Bew,MATCH($A46,Aud_MNr,0))),"")</f>
        <v/>
      </c>
      <c r="F46" s="30">
        <f>IFERROR(IF($A46="","",IF(INDEX(Aud_Massn,MATCH($A46,Aud_MNr,0))="","",INDEX(Aud_Massn,MATCH($A46,Aud_MNr,0)))),"")</f>
        <v/>
      </c>
      <c r="G46" s="30">
        <f>IFERROR(IF($A46="","",IF(INDEX(Aud_Verantw,MATCH($A46,Aud_MNr,0))="","",INDEX(Aud_Verantw,MATCH($A46,Aud_MNr,0)))),"")</f>
        <v/>
      </c>
      <c r="H46" s="67">
        <f>IFERROR(IF($A46="","",IF(INDEX(Aud_Termin,MATCH($A46,Aud_MNr,0))="","",INDEX(Aud_Termin,MATCH($A46,Aud_MNr,0)))),"")</f>
        <v/>
      </c>
      <c r="I46" s="41">
        <f>IFERROR(IF($A46="","",INDEX(Aud_Status,MATCH($A46,Aud_MNr,0))),"")</f>
        <v/>
      </c>
    </row>
    <row r="47" ht="39" customHeight="1">
      <c r="A47" s="20">
        <f>IF(43&lt;=COUNT(Aud_MNr),43,"")</f>
        <v/>
      </c>
      <c r="B47" s="20">
        <f>IFERROR(IF($A47="","",INDEX(Aud_Nr,MATCH($A47,Aud_MNr,0))),"")</f>
        <v/>
      </c>
      <c r="C47" s="30">
        <f>IFERROR(IF($A47="","",INDEX(Aud_Kapitel,MATCH($A47,Aud_MNr,0))),"")</f>
        <v/>
      </c>
      <c r="D47" s="30">
        <f>IFERROR(IF($A47="","",INDEX(Aud_Punkt,MATCH($A47,Aud_MNr,0))),"")</f>
        <v/>
      </c>
      <c r="E47" s="20">
        <f>IFERROR(IF($A47="","",INDEX(Aud_Bew,MATCH($A47,Aud_MNr,0))),"")</f>
        <v/>
      </c>
      <c r="F47" s="30">
        <f>IFERROR(IF($A47="","",IF(INDEX(Aud_Massn,MATCH($A47,Aud_MNr,0))="","",INDEX(Aud_Massn,MATCH($A47,Aud_MNr,0)))),"")</f>
        <v/>
      </c>
      <c r="G47" s="30">
        <f>IFERROR(IF($A47="","",IF(INDEX(Aud_Verantw,MATCH($A47,Aud_MNr,0))="","",INDEX(Aud_Verantw,MATCH($A47,Aud_MNr,0)))),"")</f>
        <v/>
      </c>
      <c r="H47" s="67">
        <f>IFERROR(IF($A47="","",IF(INDEX(Aud_Termin,MATCH($A47,Aud_MNr,0))="","",INDEX(Aud_Termin,MATCH($A47,Aud_MNr,0)))),"")</f>
        <v/>
      </c>
      <c r="I47" s="41">
        <f>IFERROR(IF($A47="","",INDEX(Aud_Status,MATCH($A47,Aud_MNr,0))),"")</f>
        <v/>
      </c>
    </row>
    <row r="48" ht="39" customHeight="1">
      <c r="A48" s="20">
        <f>IF(44&lt;=COUNT(Aud_MNr),44,"")</f>
        <v/>
      </c>
      <c r="B48" s="20">
        <f>IFERROR(IF($A48="","",INDEX(Aud_Nr,MATCH($A48,Aud_MNr,0))),"")</f>
        <v/>
      </c>
      <c r="C48" s="30">
        <f>IFERROR(IF($A48="","",INDEX(Aud_Kapitel,MATCH($A48,Aud_MNr,0))),"")</f>
        <v/>
      </c>
      <c r="D48" s="30">
        <f>IFERROR(IF($A48="","",INDEX(Aud_Punkt,MATCH($A48,Aud_MNr,0))),"")</f>
        <v/>
      </c>
      <c r="E48" s="20">
        <f>IFERROR(IF($A48="","",INDEX(Aud_Bew,MATCH($A48,Aud_MNr,0))),"")</f>
        <v/>
      </c>
      <c r="F48" s="30">
        <f>IFERROR(IF($A48="","",IF(INDEX(Aud_Massn,MATCH($A48,Aud_MNr,0))="","",INDEX(Aud_Massn,MATCH($A48,Aud_MNr,0)))),"")</f>
        <v/>
      </c>
      <c r="G48" s="30">
        <f>IFERROR(IF($A48="","",IF(INDEX(Aud_Verantw,MATCH($A48,Aud_MNr,0))="","",INDEX(Aud_Verantw,MATCH($A48,Aud_MNr,0)))),"")</f>
        <v/>
      </c>
      <c r="H48" s="67">
        <f>IFERROR(IF($A48="","",IF(INDEX(Aud_Termin,MATCH($A48,Aud_MNr,0))="","",INDEX(Aud_Termin,MATCH($A48,Aud_MNr,0)))),"")</f>
        <v/>
      </c>
      <c r="I48" s="41">
        <f>IFERROR(IF($A48="","",INDEX(Aud_Status,MATCH($A48,Aud_MNr,0))),"")</f>
        <v/>
      </c>
    </row>
    <row r="49" ht="39" customHeight="1">
      <c r="A49" s="20">
        <f>IF(45&lt;=COUNT(Aud_MNr),45,"")</f>
        <v/>
      </c>
      <c r="B49" s="20">
        <f>IFERROR(IF($A49="","",INDEX(Aud_Nr,MATCH($A49,Aud_MNr,0))),"")</f>
        <v/>
      </c>
      <c r="C49" s="30">
        <f>IFERROR(IF($A49="","",INDEX(Aud_Kapitel,MATCH($A49,Aud_MNr,0))),"")</f>
        <v/>
      </c>
      <c r="D49" s="30">
        <f>IFERROR(IF($A49="","",INDEX(Aud_Punkt,MATCH($A49,Aud_MNr,0))),"")</f>
        <v/>
      </c>
      <c r="E49" s="20">
        <f>IFERROR(IF($A49="","",INDEX(Aud_Bew,MATCH($A49,Aud_MNr,0))),"")</f>
        <v/>
      </c>
      <c r="F49" s="30">
        <f>IFERROR(IF($A49="","",IF(INDEX(Aud_Massn,MATCH($A49,Aud_MNr,0))="","",INDEX(Aud_Massn,MATCH($A49,Aud_MNr,0)))),"")</f>
        <v/>
      </c>
      <c r="G49" s="30">
        <f>IFERROR(IF($A49="","",IF(INDEX(Aud_Verantw,MATCH($A49,Aud_MNr,0))="","",INDEX(Aud_Verantw,MATCH($A49,Aud_MNr,0)))),"")</f>
        <v/>
      </c>
      <c r="H49" s="67">
        <f>IFERROR(IF($A49="","",IF(INDEX(Aud_Termin,MATCH($A49,Aud_MNr,0))="","",INDEX(Aud_Termin,MATCH($A49,Aud_MNr,0)))),"")</f>
        <v/>
      </c>
      <c r="I49" s="41">
        <f>IFERROR(IF($A49="","",INDEX(Aud_Status,MATCH($A49,Aud_MNr,0))),"")</f>
        <v/>
      </c>
    </row>
    <row r="50" ht="39" customHeight="1">
      <c r="A50" s="20">
        <f>IF(46&lt;=COUNT(Aud_MNr),46,"")</f>
        <v/>
      </c>
      <c r="B50" s="20">
        <f>IFERROR(IF($A50="","",INDEX(Aud_Nr,MATCH($A50,Aud_MNr,0))),"")</f>
        <v/>
      </c>
      <c r="C50" s="30">
        <f>IFERROR(IF($A50="","",INDEX(Aud_Kapitel,MATCH($A50,Aud_MNr,0))),"")</f>
        <v/>
      </c>
      <c r="D50" s="30">
        <f>IFERROR(IF($A50="","",INDEX(Aud_Punkt,MATCH($A50,Aud_MNr,0))),"")</f>
        <v/>
      </c>
      <c r="E50" s="20">
        <f>IFERROR(IF($A50="","",INDEX(Aud_Bew,MATCH($A50,Aud_MNr,0))),"")</f>
        <v/>
      </c>
      <c r="F50" s="30">
        <f>IFERROR(IF($A50="","",IF(INDEX(Aud_Massn,MATCH($A50,Aud_MNr,0))="","",INDEX(Aud_Massn,MATCH($A50,Aud_MNr,0)))),"")</f>
        <v/>
      </c>
      <c r="G50" s="30">
        <f>IFERROR(IF($A50="","",IF(INDEX(Aud_Verantw,MATCH($A50,Aud_MNr,0))="","",INDEX(Aud_Verantw,MATCH($A50,Aud_MNr,0)))),"")</f>
        <v/>
      </c>
      <c r="H50" s="67">
        <f>IFERROR(IF($A50="","",IF(INDEX(Aud_Termin,MATCH($A50,Aud_MNr,0))="","",INDEX(Aud_Termin,MATCH($A50,Aud_MNr,0)))),"")</f>
        <v/>
      </c>
      <c r="I50" s="41">
        <f>IFERROR(IF($A50="","",INDEX(Aud_Status,MATCH($A50,Aud_MNr,0))),"")</f>
        <v/>
      </c>
    </row>
    <row r="51" ht="39" customHeight="1">
      <c r="A51" s="20">
        <f>IF(47&lt;=COUNT(Aud_MNr),47,"")</f>
        <v/>
      </c>
      <c r="B51" s="20">
        <f>IFERROR(IF($A51="","",INDEX(Aud_Nr,MATCH($A51,Aud_MNr,0))),"")</f>
        <v/>
      </c>
      <c r="C51" s="30">
        <f>IFERROR(IF($A51="","",INDEX(Aud_Kapitel,MATCH($A51,Aud_MNr,0))),"")</f>
        <v/>
      </c>
      <c r="D51" s="30">
        <f>IFERROR(IF($A51="","",INDEX(Aud_Punkt,MATCH($A51,Aud_MNr,0))),"")</f>
        <v/>
      </c>
      <c r="E51" s="20">
        <f>IFERROR(IF($A51="","",INDEX(Aud_Bew,MATCH($A51,Aud_MNr,0))),"")</f>
        <v/>
      </c>
      <c r="F51" s="30">
        <f>IFERROR(IF($A51="","",IF(INDEX(Aud_Massn,MATCH($A51,Aud_MNr,0))="","",INDEX(Aud_Massn,MATCH($A51,Aud_MNr,0)))),"")</f>
        <v/>
      </c>
      <c r="G51" s="30">
        <f>IFERROR(IF($A51="","",IF(INDEX(Aud_Verantw,MATCH($A51,Aud_MNr,0))="","",INDEX(Aud_Verantw,MATCH($A51,Aud_MNr,0)))),"")</f>
        <v/>
      </c>
      <c r="H51" s="67">
        <f>IFERROR(IF($A51="","",IF(INDEX(Aud_Termin,MATCH($A51,Aud_MNr,0))="","",INDEX(Aud_Termin,MATCH($A51,Aud_MNr,0)))),"")</f>
        <v/>
      </c>
      <c r="I51" s="41">
        <f>IFERROR(IF($A51="","",INDEX(Aud_Status,MATCH($A51,Aud_MNr,0))),"")</f>
        <v/>
      </c>
    </row>
    <row r="52" ht="39" customHeight="1">
      <c r="A52" s="20">
        <f>IF(48&lt;=COUNT(Aud_MNr),48,"")</f>
        <v/>
      </c>
      <c r="B52" s="20">
        <f>IFERROR(IF($A52="","",INDEX(Aud_Nr,MATCH($A52,Aud_MNr,0))),"")</f>
        <v/>
      </c>
      <c r="C52" s="30">
        <f>IFERROR(IF($A52="","",INDEX(Aud_Kapitel,MATCH($A52,Aud_MNr,0))),"")</f>
        <v/>
      </c>
      <c r="D52" s="30">
        <f>IFERROR(IF($A52="","",INDEX(Aud_Punkt,MATCH($A52,Aud_MNr,0))),"")</f>
        <v/>
      </c>
      <c r="E52" s="20">
        <f>IFERROR(IF($A52="","",INDEX(Aud_Bew,MATCH($A52,Aud_MNr,0))),"")</f>
        <v/>
      </c>
      <c r="F52" s="30">
        <f>IFERROR(IF($A52="","",IF(INDEX(Aud_Massn,MATCH($A52,Aud_MNr,0))="","",INDEX(Aud_Massn,MATCH($A52,Aud_MNr,0)))),"")</f>
        <v/>
      </c>
      <c r="G52" s="30">
        <f>IFERROR(IF($A52="","",IF(INDEX(Aud_Verantw,MATCH($A52,Aud_MNr,0))="","",INDEX(Aud_Verantw,MATCH($A52,Aud_MNr,0)))),"")</f>
        <v/>
      </c>
      <c r="H52" s="67">
        <f>IFERROR(IF($A52="","",IF(INDEX(Aud_Termin,MATCH($A52,Aud_MNr,0))="","",INDEX(Aud_Termin,MATCH($A52,Aud_MNr,0)))),"")</f>
        <v/>
      </c>
      <c r="I52" s="41">
        <f>IFERROR(IF($A52="","",INDEX(Aud_Status,MATCH($A52,Aud_MNr,0))),"")</f>
        <v/>
      </c>
    </row>
    <row r="53" ht="39" customHeight="1">
      <c r="A53" s="20">
        <f>IF(49&lt;=COUNT(Aud_MNr),49,"")</f>
        <v/>
      </c>
      <c r="B53" s="20">
        <f>IFERROR(IF($A53="","",INDEX(Aud_Nr,MATCH($A53,Aud_MNr,0))),"")</f>
        <v/>
      </c>
      <c r="C53" s="30">
        <f>IFERROR(IF($A53="","",INDEX(Aud_Kapitel,MATCH($A53,Aud_MNr,0))),"")</f>
        <v/>
      </c>
      <c r="D53" s="30">
        <f>IFERROR(IF($A53="","",INDEX(Aud_Punkt,MATCH($A53,Aud_MNr,0))),"")</f>
        <v/>
      </c>
      <c r="E53" s="20">
        <f>IFERROR(IF($A53="","",INDEX(Aud_Bew,MATCH($A53,Aud_MNr,0))),"")</f>
        <v/>
      </c>
      <c r="F53" s="30">
        <f>IFERROR(IF($A53="","",IF(INDEX(Aud_Massn,MATCH($A53,Aud_MNr,0))="","",INDEX(Aud_Massn,MATCH($A53,Aud_MNr,0)))),"")</f>
        <v/>
      </c>
      <c r="G53" s="30">
        <f>IFERROR(IF($A53="","",IF(INDEX(Aud_Verantw,MATCH($A53,Aud_MNr,0))="","",INDEX(Aud_Verantw,MATCH($A53,Aud_MNr,0)))),"")</f>
        <v/>
      </c>
      <c r="H53" s="67">
        <f>IFERROR(IF($A53="","",IF(INDEX(Aud_Termin,MATCH($A53,Aud_MNr,0))="","",INDEX(Aud_Termin,MATCH($A53,Aud_MNr,0)))),"")</f>
        <v/>
      </c>
      <c r="I53" s="41">
        <f>IFERROR(IF($A53="","",INDEX(Aud_Status,MATCH($A53,Aud_MNr,0))),"")</f>
        <v/>
      </c>
    </row>
    <row r="54" ht="39" customHeight="1">
      <c r="A54" s="20">
        <f>IF(50&lt;=COUNT(Aud_MNr),50,"")</f>
        <v/>
      </c>
      <c r="B54" s="20">
        <f>IFERROR(IF($A54="","",INDEX(Aud_Nr,MATCH($A54,Aud_MNr,0))),"")</f>
        <v/>
      </c>
      <c r="C54" s="30">
        <f>IFERROR(IF($A54="","",INDEX(Aud_Kapitel,MATCH($A54,Aud_MNr,0))),"")</f>
        <v/>
      </c>
      <c r="D54" s="30">
        <f>IFERROR(IF($A54="","",INDEX(Aud_Punkt,MATCH($A54,Aud_MNr,0))),"")</f>
        <v/>
      </c>
      <c r="E54" s="20">
        <f>IFERROR(IF($A54="","",INDEX(Aud_Bew,MATCH($A54,Aud_MNr,0))),"")</f>
        <v/>
      </c>
      <c r="F54" s="30">
        <f>IFERROR(IF($A54="","",IF(INDEX(Aud_Massn,MATCH($A54,Aud_MNr,0))="","",INDEX(Aud_Massn,MATCH($A54,Aud_MNr,0)))),"")</f>
        <v/>
      </c>
      <c r="G54" s="30">
        <f>IFERROR(IF($A54="","",IF(INDEX(Aud_Verantw,MATCH($A54,Aud_MNr,0))="","",INDEX(Aud_Verantw,MATCH($A54,Aud_MNr,0)))),"")</f>
        <v/>
      </c>
      <c r="H54" s="67">
        <f>IFERROR(IF($A54="","",IF(INDEX(Aud_Termin,MATCH($A54,Aud_MNr,0))="","",INDEX(Aud_Termin,MATCH($A54,Aud_MNr,0)))),"")</f>
        <v/>
      </c>
      <c r="I54" s="41">
        <f>IFERROR(IF($A54="","",INDEX(Aud_Status,MATCH($A54,Aud_MNr,0))),"")</f>
        <v/>
      </c>
    </row>
    <row r="55" ht="39" customHeight="1">
      <c r="A55" s="20">
        <f>IF(51&lt;=COUNT(Aud_MNr),51,"")</f>
        <v/>
      </c>
      <c r="B55" s="20">
        <f>IFERROR(IF($A55="","",INDEX(Aud_Nr,MATCH($A55,Aud_MNr,0))),"")</f>
        <v/>
      </c>
      <c r="C55" s="30">
        <f>IFERROR(IF($A55="","",INDEX(Aud_Kapitel,MATCH($A55,Aud_MNr,0))),"")</f>
        <v/>
      </c>
      <c r="D55" s="30">
        <f>IFERROR(IF($A55="","",INDEX(Aud_Punkt,MATCH($A55,Aud_MNr,0))),"")</f>
        <v/>
      </c>
      <c r="E55" s="20">
        <f>IFERROR(IF($A55="","",INDEX(Aud_Bew,MATCH($A55,Aud_MNr,0))),"")</f>
        <v/>
      </c>
      <c r="F55" s="30">
        <f>IFERROR(IF($A55="","",IF(INDEX(Aud_Massn,MATCH($A55,Aud_MNr,0))="","",INDEX(Aud_Massn,MATCH($A55,Aud_MNr,0)))),"")</f>
        <v/>
      </c>
      <c r="G55" s="30">
        <f>IFERROR(IF($A55="","",IF(INDEX(Aud_Verantw,MATCH($A55,Aud_MNr,0))="","",INDEX(Aud_Verantw,MATCH($A55,Aud_MNr,0)))),"")</f>
        <v/>
      </c>
      <c r="H55" s="67">
        <f>IFERROR(IF($A55="","",IF(INDEX(Aud_Termin,MATCH($A55,Aud_MNr,0))="","",INDEX(Aud_Termin,MATCH($A55,Aud_MNr,0)))),"")</f>
        <v/>
      </c>
      <c r="I55" s="41">
        <f>IFERROR(IF($A55="","",INDEX(Aud_Status,MATCH($A55,Aud_MNr,0))),"")</f>
        <v/>
      </c>
    </row>
    <row r="56" ht="39" customHeight="1">
      <c r="A56" s="20">
        <f>IF(52&lt;=COUNT(Aud_MNr),52,"")</f>
        <v/>
      </c>
      <c r="B56" s="20">
        <f>IFERROR(IF($A56="","",INDEX(Aud_Nr,MATCH($A56,Aud_MNr,0))),"")</f>
        <v/>
      </c>
      <c r="C56" s="30">
        <f>IFERROR(IF($A56="","",INDEX(Aud_Kapitel,MATCH($A56,Aud_MNr,0))),"")</f>
        <v/>
      </c>
      <c r="D56" s="30">
        <f>IFERROR(IF($A56="","",INDEX(Aud_Punkt,MATCH($A56,Aud_MNr,0))),"")</f>
        <v/>
      </c>
      <c r="E56" s="20">
        <f>IFERROR(IF($A56="","",INDEX(Aud_Bew,MATCH($A56,Aud_MNr,0))),"")</f>
        <v/>
      </c>
      <c r="F56" s="30">
        <f>IFERROR(IF($A56="","",IF(INDEX(Aud_Massn,MATCH($A56,Aud_MNr,0))="","",INDEX(Aud_Massn,MATCH($A56,Aud_MNr,0)))),"")</f>
        <v/>
      </c>
      <c r="G56" s="30">
        <f>IFERROR(IF($A56="","",IF(INDEX(Aud_Verantw,MATCH($A56,Aud_MNr,0))="","",INDEX(Aud_Verantw,MATCH($A56,Aud_MNr,0)))),"")</f>
        <v/>
      </c>
      <c r="H56" s="67">
        <f>IFERROR(IF($A56="","",IF(INDEX(Aud_Termin,MATCH($A56,Aud_MNr,0))="","",INDEX(Aud_Termin,MATCH($A56,Aud_MNr,0)))),"")</f>
        <v/>
      </c>
      <c r="I56" s="41">
        <f>IFERROR(IF($A56="","",INDEX(Aud_Status,MATCH($A56,Aud_MNr,0))),"")</f>
        <v/>
      </c>
    </row>
    <row r="57" ht="39" customHeight="1">
      <c r="A57" s="20">
        <f>IF(53&lt;=COUNT(Aud_MNr),53,"")</f>
        <v/>
      </c>
      <c r="B57" s="20">
        <f>IFERROR(IF($A57="","",INDEX(Aud_Nr,MATCH($A57,Aud_MNr,0))),"")</f>
        <v/>
      </c>
      <c r="C57" s="30">
        <f>IFERROR(IF($A57="","",INDEX(Aud_Kapitel,MATCH($A57,Aud_MNr,0))),"")</f>
        <v/>
      </c>
      <c r="D57" s="30">
        <f>IFERROR(IF($A57="","",INDEX(Aud_Punkt,MATCH($A57,Aud_MNr,0))),"")</f>
        <v/>
      </c>
      <c r="E57" s="20">
        <f>IFERROR(IF($A57="","",INDEX(Aud_Bew,MATCH($A57,Aud_MNr,0))),"")</f>
        <v/>
      </c>
      <c r="F57" s="30">
        <f>IFERROR(IF($A57="","",IF(INDEX(Aud_Massn,MATCH($A57,Aud_MNr,0))="","",INDEX(Aud_Massn,MATCH($A57,Aud_MNr,0)))),"")</f>
        <v/>
      </c>
      <c r="G57" s="30">
        <f>IFERROR(IF($A57="","",IF(INDEX(Aud_Verantw,MATCH($A57,Aud_MNr,0))="","",INDEX(Aud_Verantw,MATCH($A57,Aud_MNr,0)))),"")</f>
        <v/>
      </c>
      <c r="H57" s="67">
        <f>IFERROR(IF($A57="","",IF(INDEX(Aud_Termin,MATCH($A57,Aud_MNr,0))="","",INDEX(Aud_Termin,MATCH($A57,Aud_MNr,0)))),"")</f>
        <v/>
      </c>
      <c r="I57" s="41">
        <f>IFERROR(IF($A57="","",INDEX(Aud_Status,MATCH($A57,Aud_MNr,0))),"")</f>
        <v/>
      </c>
    </row>
    <row r="58" ht="39" customHeight="1">
      <c r="A58" s="20">
        <f>IF(54&lt;=COUNT(Aud_MNr),54,"")</f>
        <v/>
      </c>
      <c r="B58" s="20">
        <f>IFERROR(IF($A58="","",INDEX(Aud_Nr,MATCH($A58,Aud_MNr,0))),"")</f>
        <v/>
      </c>
      <c r="C58" s="30">
        <f>IFERROR(IF($A58="","",INDEX(Aud_Kapitel,MATCH($A58,Aud_MNr,0))),"")</f>
        <v/>
      </c>
      <c r="D58" s="30">
        <f>IFERROR(IF($A58="","",INDEX(Aud_Punkt,MATCH($A58,Aud_MNr,0))),"")</f>
        <v/>
      </c>
      <c r="E58" s="20">
        <f>IFERROR(IF($A58="","",INDEX(Aud_Bew,MATCH($A58,Aud_MNr,0))),"")</f>
        <v/>
      </c>
      <c r="F58" s="30">
        <f>IFERROR(IF($A58="","",IF(INDEX(Aud_Massn,MATCH($A58,Aud_MNr,0))="","",INDEX(Aud_Massn,MATCH($A58,Aud_MNr,0)))),"")</f>
        <v/>
      </c>
      <c r="G58" s="30">
        <f>IFERROR(IF($A58="","",IF(INDEX(Aud_Verantw,MATCH($A58,Aud_MNr,0))="","",INDEX(Aud_Verantw,MATCH($A58,Aud_MNr,0)))),"")</f>
        <v/>
      </c>
      <c r="H58" s="67">
        <f>IFERROR(IF($A58="","",IF(INDEX(Aud_Termin,MATCH($A58,Aud_MNr,0))="","",INDEX(Aud_Termin,MATCH($A58,Aud_MNr,0)))),"")</f>
        <v/>
      </c>
      <c r="I58" s="41">
        <f>IFERROR(IF($A58="","",INDEX(Aud_Status,MATCH($A58,Aud_MNr,0))),"")</f>
        <v/>
      </c>
    </row>
    <row r="59" ht="39" customHeight="1">
      <c r="A59" s="20">
        <f>IF(55&lt;=COUNT(Aud_MNr),55,"")</f>
        <v/>
      </c>
      <c r="B59" s="20">
        <f>IFERROR(IF($A59="","",INDEX(Aud_Nr,MATCH($A59,Aud_MNr,0))),"")</f>
        <v/>
      </c>
      <c r="C59" s="30">
        <f>IFERROR(IF($A59="","",INDEX(Aud_Kapitel,MATCH($A59,Aud_MNr,0))),"")</f>
        <v/>
      </c>
      <c r="D59" s="30">
        <f>IFERROR(IF($A59="","",INDEX(Aud_Punkt,MATCH($A59,Aud_MNr,0))),"")</f>
        <v/>
      </c>
      <c r="E59" s="20">
        <f>IFERROR(IF($A59="","",INDEX(Aud_Bew,MATCH($A59,Aud_MNr,0))),"")</f>
        <v/>
      </c>
      <c r="F59" s="30">
        <f>IFERROR(IF($A59="","",IF(INDEX(Aud_Massn,MATCH($A59,Aud_MNr,0))="","",INDEX(Aud_Massn,MATCH($A59,Aud_MNr,0)))),"")</f>
        <v/>
      </c>
      <c r="G59" s="30">
        <f>IFERROR(IF($A59="","",IF(INDEX(Aud_Verantw,MATCH($A59,Aud_MNr,0))="","",INDEX(Aud_Verantw,MATCH($A59,Aud_MNr,0)))),"")</f>
        <v/>
      </c>
      <c r="H59" s="67">
        <f>IFERROR(IF($A59="","",IF(INDEX(Aud_Termin,MATCH($A59,Aud_MNr,0))="","",INDEX(Aud_Termin,MATCH($A59,Aud_MNr,0)))),"")</f>
        <v/>
      </c>
      <c r="I59" s="41">
        <f>IFERROR(IF($A59="","",INDEX(Aud_Status,MATCH($A59,Aud_MNr,0))),"")</f>
        <v/>
      </c>
    </row>
    <row r="60" ht="39" customHeight="1">
      <c r="A60" s="20">
        <f>IF(56&lt;=COUNT(Aud_MNr),56,"")</f>
        <v/>
      </c>
      <c r="B60" s="20">
        <f>IFERROR(IF($A60="","",INDEX(Aud_Nr,MATCH($A60,Aud_MNr,0))),"")</f>
        <v/>
      </c>
      <c r="C60" s="30">
        <f>IFERROR(IF($A60="","",INDEX(Aud_Kapitel,MATCH($A60,Aud_MNr,0))),"")</f>
        <v/>
      </c>
      <c r="D60" s="30">
        <f>IFERROR(IF($A60="","",INDEX(Aud_Punkt,MATCH($A60,Aud_MNr,0))),"")</f>
        <v/>
      </c>
      <c r="E60" s="20">
        <f>IFERROR(IF($A60="","",INDEX(Aud_Bew,MATCH($A60,Aud_MNr,0))),"")</f>
        <v/>
      </c>
      <c r="F60" s="30">
        <f>IFERROR(IF($A60="","",IF(INDEX(Aud_Massn,MATCH($A60,Aud_MNr,0))="","",INDEX(Aud_Massn,MATCH($A60,Aud_MNr,0)))),"")</f>
        <v/>
      </c>
      <c r="G60" s="30">
        <f>IFERROR(IF($A60="","",IF(INDEX(Aud_Verantw,MATCH($A60,Aud_MNr,0))="","",INDEX(Aud_Verantw,MATCH($A60,Aud_MNr,0)))),"")</f>
        <v/>
      </c>
      <c r="H60" s="67">
        <f>IFERROR(IF($A60="","",IF(INDEX(Aud_Termin,MATCH($A60,Aud_MNr,0))="","",INDEX(Aud_Termin,MATCH($A60,Aud_MNr,0)))),"")</f>
        <v/>
      </c>
      <c r="I60" s="41">
        <f>IFERROR(IF($A60="","",INDEX(Aud_Status,MATCH($A60,Aud_MNr,0))),"")</f>
        <v/>
      </c>
    </row>
    <row r="61" ht="39" customHeight="1">
      <c r="A61" s="20">
        <f>IF(57&lt;=COUNT(Aud_MNr),57,"")</f>
        <v/>
      </c>
      <c r="B61" s="20">
        <f>IFERROR(IF($A61="","",INDEX(Aud_Nr,MATCH($A61,Aud_MNr,0))),"")</f>
        <v/>
      </c>
      <c r="C61" s="30">
        <f>IFERROR(IF($A61="","",INDEX(Aud_Kapitel,MATCH($A61,Aud_MNr,0))),"")</f>
        <v/>
      </c>
      <c r="D61" s="30">
        <f>IFERROR(IF($A61="","",INDEX(Aud_Punkt,MATCH($A61,Aud_MNr,0))),"")</f>
        <v/>
      </c>
      <c r="E61" s="20">
        <f>IFERROR(IF($A61="","",INDEX(Aud_Bew,MATCH($A61,Aud_MNr,0))),"")</f>
        <v/>
      </c>
      <c r="F61" s="30">
        <f>IFERROR(IF($A61="","",IF(INDEX(Aud_Massn,MATCH($A61,Aud_MNr,0))="","",INDEX(Aud_Massn,MATCH($A61,Aud_MNr,0)))),"")</f>
        <v/>
      </c>
      <c r="G61" s="30">
        <f>IFERROR(IF($A61="","",IF(INDEX(Aud_Verantw,MATCH($A61,Aud_MNr,0))="","",INDEX(Aud_Verantw,MATCH($A61,Aud_MNr,0)))),"")</f>
        <v/>
      </c>
      <c r="H61" s="67">
        <f>IFERROR(IF($A61="","",IF(INDEX(Aud_Termin,MATCH($A61,Aud_MNr,0))="","",INDEX(Aud_Termin,MATCH($A61,Aud_MNr,0)))),"")</f>
        <v/>
      </c>
      <c r="I61" s="41">
        <f>IFERROR(IF($A61="","",INDEX(Aud_Status,MATCH($A61,Aud_MNr,0))),"")</f>
        <v/>
      </c>
    </row>
    <row r="62" ht="39" customHeight="1">
      <c r="A62" s="20">
        <f>IF(58&lt;=COUNT(Aud_MNr),58,"")</f>
        <v/>
      </c>
      <c r="B62" s="20">
        <f>IFERROR(IF($A62="","",INDEX(Aud_Nr,MATCH($A62,Aud_MNr,0))),"")</f>
        <v/>
      </c>
      <c r="C62" s="30">
        <f>IFERROR(IF($A62="","",INDEX(Aud_Kapitel,MATCH($A62,Aud_MNr,0))),"")</f>
        <v/>
      </c>
      <c r="D62" s="30">
        <f>IFERROR(IF($A62="","",INDEX(Aud_Punkt,MATCH($A62,Aud_MNr,0))),"")</f>
        <v/>
      </c>
      <c r="E62" s="20">
        <f>IFERROR(IF($A62="","",INDEX(Aud_Bew,MATCH($A62,Aud_MNr,0))),"")</f>
        <v/>
      </c>
      <c r="F62" s="30">
        <f>IFERROR(IF($A62="","",IF(INDEX(Aud_Massn,MATCH($A62,Aud_MNr,0))="","",INDEX(Aud_Massn,MATCH($A62,Aud_MNr,0)))),"")</f>
        <v/>
      </c>
      <c r="G62" s="30">
        <f>IFERROR(IF($A62="","",IF(INDEX(Aud_Verantw,MATCH($A62,Aud_MNr,0))="","",INDEX(Aud_Verantw,MATCH($A62,Aud_MNr,0)))),"")</f>
        <v/>
      </c>
      <c r="H62" s="67">
        <f>IFERROR(IF($A62="","",IF(INDEX(Aud_Termin,MATCH($A62,Aud_MNr,0))="","",INDEX(Aud_Termin,MATCH($A62,Aud_MNr,0)))),"")</f>
        <v/>
      </c>
      <c r="I62" s="41">
        <f>IFERROR(IF($A62="","",INDEX(Aud_Status,MATCH($A62,Aud_MNr,0))),"")</f>
        <v/>
      </c>
    </row>
    <row r="63" ht="39" customHeight="1">
      <c r="A63" s="20">
        <f>IF(59&lt;=COUNT(Aud_MNr),59,"")</f>
        <v/>
      </c>
      <c r="B63" s="20">
        <f>IFERROR(IF($A63="","",INDEX(Aud_Nr,MATCH($A63,Aud_MNr,0))),"")</f>
        <v/>
      </c>
      <c r="C63" s="30">
        <f>IFERROR(IF($A63="","",INDEX(Aud_Kapitel,MATCH($A63,Aud_MNr,0))),"")</f>
        <v/>
      </c>
      <c r="D63" s="30">
        <f>IFERROR(IF($A63="","",INDEX(Aud_Punkt,MATCH($A63,Aud_MNr,0))),"")</f>
        <v/>
      </c>
      <c r="E63" s="20">
        <f>IFERROR(IF($A63="","",INDEX(Aud_Bew,MATCH($A63,Aud_MNr,0))),"")</f>
        <v/>
      </c>
      <c r="F63" s="30">
        <f>IFERROR(IF($A63="","",IF(INDEX(Aud_Massn,MATCH($A63,Aud_MNr,0))="","",INDEX(Aud_Massn,MATCH($A63,Aud_MNr,0)))),"")</f>
        <v/>
      </c>
      <c r="G63" s="30">
        <f>IFERROR(IF($A63="","",IF(INDEX(Aud_Verantw,MATCH($A63,Aud_MNr,0))="","",INDEX(Aud_Verantw,MATCH($A63,Aud_MNr,0)))),"")</f>
        <v/>
      </c>
      <c r="H63" s="67">
        <f>IFERROR(IF($A63="","",IF(INDEX(Aud_Termin,MATCH($A63,Aud_MNr,0))="","",INDEX(Aud_Termin,MATCH($A63,Aud_MNr,0)))),"")</f>
        <v/>
      </c>
      <c r="I63" s="41">
        <f>IFERROR(IF($A63="","",INDEX(Aud_Status,MATCH($A63,Aud_MNr,0))),"")</f>
        <v/>
      </c>
    </row>
    <row r="64" ht="39" customHeight="1">
      <c r="A64" s="20">
        <f>IF(60&lt;=COUNT(Aud_MNr),60,"")</f>
        <v/>
      </c>
      <c r="B64" s="20">
        <f>IFERROR(IF($A64="","",INDEX(Aud_Nr,MATCH($A64,Aud_MNr,0))),"")</f>
        <v/>
      </c>
      <c r="C64" s="30">
        <f>IFERROR(IF($A64="","",INDEX(Aud_Kapitel,MATCH($A64,Aud_MNr,0))),"")</f>
        <v/>
      </c>
      <c r="D64" s="30">
        <f>IFERROR(IF($A64="","",INDEX(Aud_Punkt,MATCH($A64,Aud_MNr,0))),"")</f>
        <v/>
      </c>
      <c r="E64" s="20">
        <f>IFERROR(IF($A64="","",INDEX(Aud_Bew,MATCH($A64,Aud_MNr,0))),"")</f>
        <v/>
      </c>
      <c r="F64" s="30">
        <f>IFERROR(IF($A64="","",IF(INDEX(Aud_Massn,MATCH($A64,Aud_MNr,0))="","",INDEX(Aud_Massn,MATCH($A64,Aud_MNr,0)))),"")</f>
        <v/>
      </c>
      <c r="G64" s="30">
        <f>IFERROR(IF($A64="","",IF(INDEX(Aud_Verantw,MATCH($A64,Aud_MNr,0))="","",INDEX(Aud_Verantw,MATCH($A64,Aud_MNr,0)))),"")</f>
        <v/>
      </c>
      <c r="H64" s="67">
        <f>IFERROR(IF($A64="","",IF(INDEX(Aud_Termin,MATCH($A64,Aud_MNr,0))="","",INDEX(Aud_Termin,MATCH($A64,Aud_MNr,0)))),"")</f>
        <v/>
      </c>
      <c r="I64" s="41">
        <f>IFERROR(IF($A64="","",INDEX(Aud_Status,MATCH($A64,Aud_MNr,0))),"")</f>
        <v/>
      </c>
    </row>
    <row r="65" ht="39" customHeight="1">
      <c r="A65" s="20">
        <f>IF(61&lt;=COUNT(Aud_MNr),61,"")</f>
        <v/>
      </c>
      <c r="B65" s="20">
        <f>IFERROR(IF($A65="","",INDEX(Aud_Nr,MATCH($A65,Aud_MNr,0))),"")</f>
        <v/>
      </c>
      <c r="C65" s="30">
        <f>IFERROR(IF($A65="","",INDEX(Aud_Kapitel,MATCH($A65,Aud_MNr,0))),"")</f>
        <v/>
      </c>
      <c r="D65" s="30">
        <f>IFERROR(IF($A65="","",INDEX(Aud_Punkt,MATCH($A65,Aud_MNr,0))),"")</f>
        <v/>
      </c>
      <c r="E65" s="20">
        <f>IFERROR(IF($A65="","",INDEX(Aud_Bew,MATCH($A65,Aud_MNr,0))),"")</f>
        <v/>
      </c>
      <c r="F65" s="30">
        <f>IFERROR(IF($A65="","",IF(INDEX(Aud_Massn,MATCH($A65,Aud_MNr,0))="","",INDEX(Aud_Massn,MATCH($A65,Aud_MNr,0)))),"")</f>
        <v/>
      </c>
      <c r="G65" s="30">
        <f>IFERROR(IF($A65="","",IF(INDEX(Aud_Verantw,MATCH($A65,Aud_MNr,0))="","",INDEX(Aud_Verantw,MATCH($A65,Aud_MNr,0)))),"")</f>
        <v/>
      </c>
      <c r="H65" s="67">
        <f>IFERROR(IF($A65="","",IF(INDEX(Aud_Termin,MATCH($A65,Aud_MNr,0))="","",INDEX(Aud_Termin,MATCH($A65,Aud_MNr,0)))),"")</f>
        <v/>
      </c>
      <c r="I65" s="41">
        <f>IFERROR(IF($A65="","",INDEX(Aud_Status,MATCH($A65,Aud_MNr,0))),"")</f>
        <v/>
      </c>
    </row>
    <row r="66" ht="39" customHeight="1">
      <c r="A66" s="20">
        <f>IF(62&lt;=COUNT(Aud_MNr),62,"")</f>
        <v/>
      </c>
      <c r="B66" s="20">
        <f>IFERROR(IF($A66="","",INDEX(Aud_Nr,MATCH($A66,Aud_MNr,0))),"")</f>
        <v/>
      </c>
      <c r="C66" s="30">
        <f>IFERROR(IF($A66="","",INDEX(Aud_Kapitel,MATCH($A66,Aud_MNr,0))),"")</f>
        <v/>
      </c>
      <c r="D66" s="30">
        <f>IFERROR(IF($A66="","",INDEX(Aud_Punkt,MATCH($A66,Aud_MNr,0))),"")</f>
        <v/>
      </c>
      <c r="E66" s="20">
        <f>IFERROR(IF($A66="","",INDEX(Aud_Bew,MATCH($A66,Aud_MNr,0))),"")</f>
        <v/>
      </c>
      <c r="F66" s="30">
        <f>IFERROR(IF($A66="","",IF(INDEX(Aud_Massn,MATCH($A66,Aud_MNr,0))="","",INDEX(Aud_Massn,MATCH($A66,Aud_MNr,0)))),"")</f>
        <v/>
      </c>
      <c r="G66" s="30">
        <f>IFERROR(IF($A66="","",IF(INDEX(Aud_Verantw,MATCH($A66,Aud_MNr,0))="","",INDEX(Aud_Verantw,MATCH($A66,Aud_MNr,0)))),"")</f>
        <v/>
      </c>
      <c r="H66" s="67">
        <f>IFERROR(IF($A66="","",IF(INDEX(Aud_Termin,MATCH($A66,Aud_MNr,0))="","",INDEX(Aud_Termin,MATCH($A66,Aud_MNr,0)))),"")</f>
        <v/>
      </c>
      <c r="I66" s="41">
        <f>IFERROR(IF($A66="","",INDEX(Aud_Status,MATCH($A66,Aud_MNr,0))),"")</f>
        <v/>
      </c>
    </row>
    <row r="67" ht="39" customHeight="1">
      <c r="A67" s="20">
        <f>IF(63&lt;=COUNT(Aud_MNr),63,"")</f>
        <v/>
      </c>
      <c r="B67" s="20">
        <f>IFERROR(IF($A67="","",INDEX(Aud_Nr,MATCH($A67,Aud_MNr,0))),"")</f>
        <v/>
      </c>
      <c r="C67" s="30">
        <f>IFERROR(IF($A67="","",INDEX(Aud_Kapitel,MATCH($A67,Aud_MNr,0))),"")</f>
        <v/>
      </c>
      <c r="D67" s="30">
        <f>IFERROR(IF($A67="","",INDEX(Aud_Punkt,MATCH($A67,Aud_MNr,0))),"")</f>
        <v/>
      </c>
      <c r="E67" s="20">
        <f>IFERROR(IF($A67="","",INDEX(Aud_Bew,MATCH($A67,Aud_MNr,0))),"")</f>
        <v/>
      </c>
      <c r="F67" s="30">
        <f>IFERROR(IF($A67="","",IF(INDEX(Aud_Massn,MATCH($A67,Aud_MNr,0))="","",INDEX(Aud_Massn,MATCH($A67,Aud_MNr,0)))),"")</f>
        <v/>
      </c>
      <c r="G67" s="30">
        <f>IFERROR(IF($A67="","",IF(INDEX(Aud_Verantw,MATCH($A67,Aud_MNr,0))="","",INDEX(Aud_Verantw,MATCH($A67,Aud_MNr,0)))),"")</f>
        <v/>
      </c>
      <c r="H67" s="67">
        <f>IFERROR(IF($A67="","",IF(INDEX(Aud_Termin,MATCH($A67,Aud_MNr,0))="","",INDEX(Aud_Termin,MATCH($A67,Aud_MNr,0)))),"")</f>
        <v/>
      </c>
      <c r="I67" s="41">
        <f>IFERROR(IF($A67="","",INDEX(Aud_Status,MATCH($A67,Aud_MNr,0))),"")</f>
        <v/>
      </c>
    </row>
    <row r="68" ht="39" customHeight="1">
      <c r="A68" s="20">
        <f>IF(64&lt;=COUNT(Aud_MNr),64,"")</f>
        <v/>
      </c>
      <c r="B68" s="20">
        <f>IFERROR(IF($A68="","",INDEX(Aud_Nr,MATCH($A68,Aud_MNr,0))),"")</f>
        <v/>
      </c>
      <c r="C68" s="30">
        <f>IFERROR(IF($A68="","",INDEX(Aud_Kapitel,MATCH($A68,Aud_MNr,0))),"")</f>
        <v/>
      </c>
      <c r="D68" s="30">
        <f>IFERROR(IF($A68="","",INDEX(Aud_Punkt,MATCH($A68,Aud_MNr,0))),"")</f>
        <v/>
      </c>
      <c r="E68" s="20">
        <f>IFERROR(IF($A68="","",INDEX(Aud_Bew,MATCH($A68,Aud_MNr,0))),"")</f>
        <v/>
      </c>
      <c r="F68" s="30">
        <f>IFERROR(IF($A68="","",IF(INDEX(Aud_Massn,MATCH($A68,Aud_MNr,0))="","",INDEX(Aud_Massn,MATCH($A68,Aud_MNr,0)))),"")</f>
        <v/>
      </c>
      <c r="G68" s="30">
        <f>IFERROR(IF($A68="","",IF(INDEX(Aud_Verantw,MATCH($A68,Aud_MNr,0))="","",INDEX(Aud_Verantw,MATCH($A68,Aud_MNr,0)))),"")</f>
        <v/>
      </c>
      <c r="H68" s="67">
        <f>IFERROR(IF($A68="","",IF(INDEX(Aud_Termin,MATCH($A68,Aud_MNr,0))="","",INDEX(Aud_Termin,MATCH($A68,Aud_MNr,0)))),"")</f>
        <v/>
      </c>
      <c r="I68" s="41">
        <f>IFERROR(IF($A68="","",INDEX(Aud_Status,MATCH($A68,Aud_MNr,0))),"")</f>
        <v/>
      </c>
    </row>
    <row r="69" ht="39" customHeight="1">
      <c r="A69" s="20">
        <f>IF(65&lt;=COUNT(Aud_MNr),65,"")</f>
        <v/>
      </c>
      <c r="B69" s="20">
        <f>IFERROR(IF($A69="","",INDEX(Aud_Nr,MATCH($A69,Aud_MNr,0))),"")</f>
        <v/>
      </c>
      <c r="C69" s="30">
        <f>IFERROR(IF($A69="","",INDEX(Aud_Kapitel,MATCH($A69,Aud_MNr,0))),"")</f>
        <v/>
      </c>
      <c r="D69" s="30">
        <f>IFERROR(IF($A69="","",INDEX(Aud_Punkt,MATCH($A69,Aud_MNr,0))),"")</f>
        <v/>
      </c>
      <c r="E69" s="20">
        <f>IFERROR(IF($A69="","",INDEX(Aud_Bew,MATCH($A69,Aud_MNr,0))),"")</f>
        <v/>
      </c>
      <c r="F69" s="30">
        <f>IFERROR(IF($A69="","",IF(INDEX(Aud_Massn,MATCH($A69,Aud_MNr,0))="","",INDEX(Aud_Massn,MATCH($A69,Aud_MNr,0)))),"")</f>
        <v/>
      </c>
      <c r="G69" s="30">
        <f>IFERROR(IF($A69="","",IF(INDEX(Aud_Verantw,MATCH($A69,Aud_MNr,0))="","",INDEX(Aud_Verantw,MATCH($A69,Aud_MNr,0)))),"")</f>
        <v/>
      </c>
      <c r="H69" s="67">
        <f>IFERROR(IF($A69="","",IF(INDEX(Aud_Termin,MATCH($A69,Aud_MNr,0))="","",INDEX(Aud_Termin,MATCH($A69,Aud_MNr,0)))),"")</f>
        <v/>
      </c>
      <c r="I69" s="41">
        <f>IFERROR(IF($A69="","",INDEX(Aud_Status,MATCH($A69,Aud_MNr,0))),"")</f>
        <v/>
      </c>
    </row>
    <row r="70" ht="39" customHeight="1">
      <c r="A70" s="20">
        <f>IF(66&lt;=COUNT(Aud_MNr),66,"")</f>
        <v/>
      </c>
      <c r="B70" s="20">
        <f>IFERROR(IF($A70="","",INDEX(Aud_Nr,MATCH($A70,Aud_MNr,0))),"")</f>
        <v/>
      </c>
      <c r="C70" s="30">
        <f>IFERROR(IF($A70="","",INDEX(Aud_Kapitel,MATCH($A70,Aud_MNr,0))),"")</f>
        <v/>
      </c>
      <c r="D70" s="30">
        <f>IFERROR(IF($A70="","",INDEX(Aud_Punkt,MATCH($A70,Aud_MNr,0))),"")</f>
        <v/>
      </c>
      <c r="E70" s="20">
        <f>IFERROR(IF($A70="","",INDEX(Aud_Bew,MATCH($A70,Aud_MNr,0))),"")</f>
        <v/>
      </c>
      <c r="F70" s="30">
        <f>IFERROR(IF($A70="","",IF(INDEX(Aud_Massn,MATCH($A70,Aud_MNr,0))="","",INDEX(Aud_Massn,MATCH($A70,Aud_MNr,0)))),"")</f>
        <v/>
      </c>
      <c r="G70" s="30">
        <f>IFERROR(IF($A70="","",IF(INDEX(Aud_Verantw,MATCH($A70,Aud_MNr,0))="","",INDEX(Aud_Verantw,MATCH($A70,Aud_MNr,0)))),"")</f>
        <v/>
      </c>
      <c r="H70" s="67">
        <f>IFERROR(IF($A70="","",IF(INDEX(Aud_Termin,MATCH($A70,Aud_MNr,0))="","",INDEX(Aud_Termin,MATCH($A70,Aud_MNr,0)))),"")</f>
        <v/>
      </c>
      <c r="I70" s="41">
        <f>IFERROR(IF($A70="","",INDEX(Aud_Status,MATCH($A70,Aud_MNr,0))),"")</f>
        <v/>
      </c>
    </row>
    <row r="71" ht="39" customHeight="1">
      <c r="A71" s="20">
        <f>IF(67&lt;=COUNT(Aud_MNr),67,"")</f>
        <v/>
      </c>
      <c r="B71" s="20">
        <f>IFERROR(IF($A71="","",INDEX(Aud_Nr,MATCH($A71,Aud_MNr,0))),"")</f>
        <v/>
      </c>
      <c r="C71" s="30">
        <f>IFERROR(IF($A71="","",INDEX(Aud_Kapitel,MATCH($A71,Aud_MNr,0))),"")</f>
        <v/>
      </c>
      <c r="D71" s="30">
        <f>IFERROR(IF($A71="","",INDEX(Aud_Punkt,MATCH($A71,Aud_MNr,0))),"")</f>
        <v/>
      </c>
      <c r="E71" s="20">
        <f>IFERROR(IF($A71="","",INDEX(Aud_Bew,MATCH($A71,Aud_MNr,0))),"")</f>
        <v/>
      </c>
      <c r="F71" s="30">
        <f>IFERROR(IF($A71="","",IF(INDEX(Aud_Massn,MATCH($A71,Aud_MNr,0))="","",INDEX(Aud_Massn,MATCH($A71,Aud_MNr,0)))),"")</f>
        <v/>
      </c>
      <c r="G71" s="30">
        <f>IFERROR(IF($A71="","",IF(INDEX(Aud_Verantw,MATCH($A71,Aud_MNr,0))="","",INDEX(Aud_Verantw,MATCH($A71,Aud_MNr,0)))),"")</f>
        <v/>
      </c>
      <c r="H71" s="67">
        <f>IFERROR(IF($A71="","",IF(INDEX(Aud_Termin,MATCH($A71,Aud_MNr,0))="","",INDEX(Aud_Termin,MATCH($A71,Aud_MNr,0)))),"")</f>
        <v/>
      </c>
      <c r="I71" s="41">
        <f>IFERROR(IF($A71="","",INDEX(Aud_Status,MATCH($A71,Aud_MNr,0))),"")</f>
        <v/>
      </c>
    </row>
    <row r="72" ht="39" customHeight="1">
      <c r="A72" s="20">
        <f>IF(68&lt;=COUNT(Aud_MNr),68,"")</f>
        <v/>
      </c>
      <c r="B72" s="20">
        <f>IFERROR(IF($A72="","",INDEX(Aud_Nr,MATCH($A72,Aud_MNr,0))),"")</f>
        <v/>
      </c>
      <c r="C72" s="30">
        <f>IFERROR(IF($A72="","",INDEX(Aud_Kapitel,MATCH($A72,Aud_MNr,0))),"")</f>
        <v/>
      </c>
      <c r="D72" s="30">
        <f>IFERROR(IF($A72="","",INDEX(Aud_Punkt,MATCH($A72,Aud_MNr,0))),"")</f>
        <v/>
      </c>
      <c r="E72" s="20">
        <f>IFERROR(IF($A72="","",INDEX(Aud_Bew,MATCH($A72,Aud_MNr,0))),"")</f>
        <v/>
      </c>
      <c r="F72" s="30">
        <f>IFERROR(IF($A72="","",IF(INDEX(Aud_Massn,MATCH($A72,Aud_MNr,0))="","",INDEX(Aud_Massn,MATCH($A72,Aud_MNr,0)))),"")</f>
        <v/>
      </c>
      <c r="G72" s="30">
        <f>IFERROR(IF($A72="","",IF(INDEX(Aud_Verantw,MATCH($A72,Aud_MNr,0))="","",INDEX(Aud_Verantw,MATCH($A72,Aud_MNr,0)))),"")</f>
        <v/>
      </c>
      <c r="H72" s="67">
        <f>IFERROR(IF($A72="","",IF(INDEX(Aud_Termin,MATCH($A72,Aud_MNr,0))="","",INDEX(Aud_Termin,MATCH($A72,Aud_MNr,0)))),"")</f>
        <v/>
      </c>
      <c r="I72" s="41">
        <f>IFERROR(IF($A72="","",INDEX(Aud_Status,MATCH($A72,Aud_MNr,0))),"")</f>
        <v/>
      </c>
    </row>
    <row r="73" ht="39" customHeight="1">
      <c r="A73" s="20">
        <f>IF(69&lt;=COUNT(Aud_MNr),69,"")</f>
        <v/>
      </c>
      <c r="B73" s="20">
        <f>IFERROR(IF($A73="","",INDEX(Aud_Nr,MATCH($A73,Aud_MNr,0))),"")</f>
        <v/>
      </c>
      <c r="C73" s="30">
        <f>IFERROR(IF($A73="","",INDEX(Aud_Kapitel,MATCH($A73,Aud_MNr,0))),"")</f>
        <v/>
      </c>
      <c r="D73" s="30">
        <f>IFERROR(IF($A73="","",INDEX(Aud_Punkt,MATCH($A73,Aud_MNr,0))),"")</f>
        <v/>
      </c>
      <c r="E73" s="20">
        <f>IFERROR(IF($A73="","",INDEX(Aud_Bew,MATCH($A73,Aud_MNr,0))),"")</f>
        <v/>
      </c>
      <c r="F73" s="30">
        <f>IFERROR(IF($A73="","",IF(INDEX(Aud_Massn,MATCH($A73,Aud_MNr,0))="","",INDEX(Aud_Massn,MATCH($A73,Aud_MNr,0)))),"")</f>
        <v/>
      </c>
      <c r="G73" s="30">
        <f>IFERROR(IF($A73="","",IF(INDEX(Aud_Verantw,MATCH($A73,Aud_MNr,0))="","",INDEX(Aud_Verantw,MATCH($A73,Aud_MNr,0)))),"")</f>
        <v/>
      </c>
      <c r="H73" s="67">
        <f>IFERROR(IF($A73="","",IF(INDEX(Aud_Termin,MATCH($A73,Aud_MNr,0))="","",INDEX(Aud_Termin,MATCH($A73,Aud_MNr,0)))),"")</f>
        <v/>
      </c>
      <c r="I73" s="41">
        <f>IFERROR(IF($A73="","",INDEX(Aud_Status,MATCH($A73,Aud_MNr,0))),"")</f>
        <v/>
      </c>
    </row>
    <row r="74" ht="39" customHeight="1">
      <c r="A74" s="20">
        <f>IF(70&lt;=COUNT(Aud_MNr),70,"")</f>
        <v/>
      </c>
      <c r="B74" s="20">
        <f>IFERROR(IF($A74="","",INDEX(Aud_Nr,MATCH($A74,Aud_MNr,0))),"")</f>
        <v/>
      </c>
      <c r="C74" s="30">
        <f>IFERROR(IF($A74="","",INDEX(Aud_Kapitel,MATCH($A74,Aud_MNr,0))),"")</f>
        <v/>
      </c>
      <c r="D74" s="30">
        <f>IFERROR(IF($A74="","",INDEX(Aud_Punkt,MATCH($A74,Aud_MNr,0))),"")</f>
        <v/>
      </c>
      <c r="E74" s="20">
        <f>IFERROR(IF($A74="","",INDEX(Aud_Bew,MATCH($A74,Aud_MNr,0))),"")</f>
        <v/>
      </c>
      <c r="F74" s="30">
        <f>IFERROR(IF($A74="","",IF(INDEX(Aud_Massn,MATCH($A74,Aud_MNr,0))="","",INDEX(Aud_Massn,MATCH($A74,Aud_MNr,0)))),"")</f>
        <v/>
      </c>
      <c r="G74" s="30">
        <f>IFERROR(IF($A74="","",IF(INDEX(Aud_Verantw,MATCH($A74,Aud_MNr,0))="","",INDEX(Aud_Verantw,MATCH($A74,Aud_MNr,0)))),"")</f>
        <v/>
      </c>
      <c r="H74" s="67">
        <f>IFERROR(IF($A74="","",IF(INDEX(Aud_Termin,MATCH($A74,Aud_MNr,0))="","",INDEX(Aud_Termin,MATCH($A74,Aud_MNr,0)))),"")</f>
        <v/>
      </c>
      <c r="I74" s="41">
        <f>IFERROR(IF($A74="","",INDEX(Aud_Status,MATCH($A74,Aud_MNr,0))),"")</f>
        <v/>
      </c>
    </row>
    <row r="75" ht="39" customHeight="1">
      <c r="A75" s="20">
        <f>IF(71&lt;=COUNT(Aud_MNr),71,"")</f>
        <v/>
      </c>
      <c r="B75" s="20">
        <f>IFERROR(IF($A75="","",INDEX(Aud_Nr,MATCH($A75,Aud_MNr,0))),"")</f>
        <v/>
      </c>
      <c r="C75" s="30">
        <f>IFERROR(IF($A75="","",INDEX(Aud_Kapitel,MATCH($A75,Aud_MNr,0))),"")</f>
        <v/>
      </c>
      <c r="D75" s="30">
        <f>IFERROR(IF($A75="","",INDEX(Aud_Punkt,MATCH($A75,Aud_MNr,0))),"")</f>
        <v/>
      </c>
      <c r="E75" s="20">
        <f>IFERROR(IF($A75="","",INDEX(Aud_Bew,MATCH($A75,Aud_MNr,0))),"")</f>
        <v/>
      </c>
      <c r="F75" s="30">
        <f>IFERROR(IF($A75="","",IF(INDEX(Aud_Massn,MATCH($A75,Aud_MNr,0))="","",INDEX(Aud_Massn,MATCH($A75,Aud_MNr,0)))),"")</f>
        <v/>
      </c>
      <c r="G75" s="30">
        <f>IFERROR(IF($A75="","",IF(INDEX(Aud_Verantw,MATCH($A75,Aud_MNr,0))="","",INDEX(Aud_Verantw,MATCH($A75,Aud_MNr,0)))),"")</f>
        <v/>
      </c>
      <c r="H75" s="67">
        <f>IFERROR(IF($A75="","",IF(INDEX(Aud_Termin,MATCH($A75,Aud_MNr,0))="","",INDEX(Aud_Termin,MATCH($A75,Aud_MNr,0)))),"")</f>
        <v/>
      </c>
      <c r="I75" s="41">
        <f>IFERROR(IF($A75="","",INDEX(Aud_Status,MATCH($A75,Aud_MNr,0))),"")</f>
        <v/>
      </c>
    </row>
    <row r="76" ht="39" customHeight="1">
      <c r="A76" s="20">
        <f>IF(72&lt;=COUNT(Aud_MNr),72,"")</f>
        <v/>
      </c>
      <c r="B76" s="20">
        <f>IFERROR(IF($A76="","",INDEX(Aud_Nr,MATCH($A76,Aud_MNr,0))),"")</f>
        <v/>
      </c>
      <c r="C76" s="30">
        <f>IFERROR(IF($A76="","",INDEX(Aud_Kapitel,MATCH($A76,Aud_MNr,0))),"")</f>
        <v/>
      </c>
      <c r="D76" s="30">
        <f>IFERROR(IF($A76="","",INDEX(Aud_Punkt,MATCH($A76,Aud_MNr,0))),"")</f>
        <v/>
      </c>
      <c r="E76" s="20">
        <f>IFERROR(IF($A76="","",INDEX(Aud_Bew,MATCH($A76,Aud_MNr,0))),"")</f>
        <v/>
      </c>
      <c r="F76" s="30">
        <f>IFERROR(IF($A76="","",IF(INDEX(Aud_Massn,MATCH($A76,Aud_MNr,0))="","",INDEX(Aud_Massn,MATCH($A76,Aud_MNr,0)))),"")</f>
        <v/>
      </c>
      <c r="G76" s="30">
        <f>IFERROR(IF($A76="","",IF(INDEX(Aud_Verantw,MATCH($A76,Aud_MNr,0))="","",INDEX(Aud_Verantw,MATCH($A76,Aud_MNr,0)))),"")</f>
        <v/>
      </c>
      <c r="H76" s="67">
        <f>IFERROR(IF($A76="","",IF(INDEX(Aud_Termin,MATCH($A76,Aud_MNr,0))="","",INDEX(Aud_Termin,MATCH($A76,Aud_MNr,0)))),"")</f>
        <v/>
      </c>
      <c r="I76" s="41">
        <f>IFERROR(IF($A76="","",INDEX(Aud_Status,MATCH($A76,Aud_MNr,0))),"")</f>
        <v/>
      </c>
    </row>
    <row r="77" ht="39" customHeight="1">
      <c r="A77" s="20">
        <f>IF(73&lt;=COUNT(Aud_MNr),73,"")</f>
        <v/>
      </c>
      <c r="B77" s="20">
        <f>IFERROR(IF($A77="","",INDEX(Aud_Nr,MATCH($A77,Aud_MNr,0))),"")</f>
        <v/>
      </c>
      <c r="C77" s="30">
        <f>IFERROR(IF($A77="","",INDEX(Aud_Kapitel,MATCH($A77,Aud_MNr,0))),"")</f>
        <v/>
      </c>
      <c r="D77" s="30">
        <f>IFERROR(IF($A77="","",INDEX(Aud_Punkt,MATCH($A77,Aud_MNr,0))),"")</f>
        <v/>
      </c>
      <c r="E77" s="20">
        <f>IFERROR(IF($A77="","",INDEX(Aud_Bew,MATCH($A77,Aud_MNr,0))),"")</f>
        <v/>
      </c>
      <c r="F77" s="30">
        <f>IFERROR(IF($A77="","",IF(INDEX(Aud_Massn,MATCH($A77,Aud_MNr,0))="","",INDEX(Aud_Massn,MATCH($A77,Aud_MNr,0)))),"")</f>
        <v/>
      </c>
      <c r="G77" s="30">
        <f>IFERROR(IF($A77="","",IF(INDEX(Aud_Verantw,MATCH($A77,Aud_MNr,0))="","",INDEX(Aud_Verantw,MATCH($A77,Aud_MNr,0)))),"")</f>
        <v/>
      </c>
      <c r="H77" s="67">
        <f>IFERROR(IF($A77="","",IF(INDEX(Aud_Termin,MATCH($A77,Aud_MNr,0))="","",INDEX(Aud_Termin,MATCH($A77,Aud_MNr,0)))),"")</f>
        <v/>
      </c>
      <c r="I77" s="41">
        <f>IFERROR(IF($A77="","",INDEX(Aud_Status,MATCH($A77,Aud_MNr,0))),"")</f>
        <v/>
      </c>
    </row>
    <row r="78" ht="39" customHeight="1">
      <c r="A78" s="20">
        <f>IF(74&lt;=COUNT(Aud_MNr),74,"")</f>
        <v/>
      </c>
      <c r="B78" s="20">
        <f>IFERROR(IF($A78="","",INDEX(Aud_Nr,MATCH($A78,Aud_MNr,0))),"")</f>
        <v/>
      </c>
      <c r="C78" s="30">
        <f>IFERROR(IF($A78="","",INDEX(Aud_Kapitel,MATCH($A78,Aud_MNr,0))),"")</f>
        <v/>
      </c>
      <c r="D78" s="30">
        <f>IFERROR(IF($A78="","",INDEX(Aud_Punkt,MATCH($A78,Aud_MNr,0))),"")</f>
        <v/>
      </c>
      <c r="E78" s="20">
        <f>IFERROR(IF($A78="","",INDEX(Aud_Bew,MATCH($A78,Aud_MNr,0))),"")</f>
        <v/>
      </c>
      <c r="F78" s="30">
        <f>IFERROR(IF($A78="","",IF(INDEX(Aud_Massn,MATCH($A78,Aud_MNr,0))="","",INDEX(Aud_Massn,MATCH($A78,Aud_MNr,0)))),"")</f>
        <v/>
      </c>
      <c r="G78" s="30">
        <f>IFERROR(IF($A78="","",IF(INDEX(Aud_Verantw,MATCH($A78,Aud_MNr,0))="","",INDEX(Aud_Verantw,MATCH($A78,Aud_MNr,0)))),"")</f>
        <v/>
      </c>
      <c r="H78" s="67">
        <f>IFERROR(IF($A78="","",IF(INDEX(Aud_Termin,MATCH($A78,Aud_MNr,0))="","",INDEX(Aud_Termin,MATCH($A78,Aud_MNr,0)))),"")</f>
        <v/>
      </c>
      <c r="I78" s="41">
        <f>IFERROR(IF($A78="","",INDEX(Aud_Status,MATCH($A78,Aud_MNr,0))),"")</f>
        <v/>
      </c>
    </row>
    <row r="79" ht="39" customHeight="1">
      <c r="A79" s="20">
        <f>IF(75&lt;=COUNT(Aud_MNr),75,"")</f>
        <v/>
      </c>
      <c r="B79" s="20">
        <f>IFERROR(IF($A79="","",INDEX(Aud_Nr,MATCH($A79,Aud_MNr,0))),"")</f>
        <v/>
      </c>
      <c r="C79" s="30">
        <f>IFERROR(IF($A79="","",INDEX(Aud_Kapitel,MATCH($A79,Aud_MNr,0))),"")</f>
        <v/>
      </c>
      <c r="D79" s="30">
        <f>IFERROR(IF($A79="","",INDEX(Aud_Punkt,MATCH($A79,Aud_MNr,0))),"")</f>
        <v/>
      </c>
      <c r="E79" s="20">
        <f>IFERROR(IF($A79="","",INDEX(Aud_Bew,MATCH($A79,Aud_MNr,0))),"")</f>
        <v/>
      </c>
      <c r="F79" s="30">
        <f>IFERROR(IF($A79="","",IF(INDEX(Aud_Massn,MATCH($A79,Aud_MNr,0))="","",INDEX(Aud_Massn,MATCH($A79,Aud_MNr,0)))),"")</f>
        <v/>
      </c>
      <c r="G79" s="30">
        <f>IFERROR(IF($A79="","",IF(INDEX(Aud_Verantw,MATCH($A79,Aud_MNr,0))="","",INDEX(Aud_Verantw,MATCH($A79,Aud_MNr,0)))),"")</f>
        <v/>
      </c>
      <c r="H79" s="67">
        <f>IFERROR(IF($A79="","",IF(INDEX(Aud_Termin,MATCH($A79,Aud_MNr,0))="","",INDEX(Aud_Termin,MATCH($A79,Aud_MNr,0)))),"")</f>
        <v/>
      </c>
      <c r="I79" s="41">
        <f>IFERROR(IF($A79="","",INDEX(Aud_Status,MATCH($A79,Aud_MNr,0))),"")</f>
        <v/>
      </c>
    </row>
    <row r="80" ht="39" customHeight="1">
      <c r="A80" s="20">
        <f>IF(76&lt;=COUNT(Aud_MNr),76,"")</f>
        <v/>
      </c>
      <c r="B80" s="20">
        <f>IFERROR(IF($A80="","",INDEX(Aud_Nr,MATCH($A80,Aud_MNr,0))),"")</f>
        <v/>
      </c>
      <c r="C80" s="30">
        <f>IFERROR(IF($A80="","",INDEX(Aud_Kapitel,MATCH($A80,Aud_MNr,0))),"")</f>
        <v/>
      </c>
      <c r="D80" s="30">
        <f>IFERROR(IF($A80="","",INDEX(Aud_Punkt,MATCH($A80,Aud_MNr,0))),"")</f>
        <v/>
      </c>
      <c r="E80" s="20">
        <f>IFERROR(IF($A80="","",INDEX(Aud_Bew,MATCH($A80,Aud_MNr,0))),"")</f>
        <v/>
      </c>
      <c r="F80" s="30">
        <f>IFERROR(IF($A80="","",IF(INDEX(Aud_Massn,MATCH($A80,Aud_MNr,0))="","",INDEX(Aud_Massn,MATCH($A80,Aud_MNr,0)))),"")</f>
        <v/>
      </c>
      <c r="G80" s="30">
        <f>IFERROR(IF($A80="","",IF(INDEX(Aud_Verantw,MATCH($A80,Aud_MNr,0))="","",INDEX(Aud_Verantw,MATCH($A80,Aud_MNr,0)))),"")</f>
        <v/>
      </c>
      <c r="H80" s="67">
        <f>IFERROR(IF($A80="","",IF(INDEX(Aud_Termin,MATCH($A80,Aud_MNr,0))="","",INDEX(Aud_Termin,MATCH($A80,Aud_MNr,0)))),"")</f>
        <v/>
      </c>
      <c r="I80" s="41">
        <f>IFERROR(IF($A80="","",INDEX(Aud_Status,MATCH($A80,Aud_MNr,0))),"")</f>
        <v/>
      </c>
    </row>
    <row r="81" ht="39" customHeight="1">
      <c r="A81" s="20">
        <f>IF(77&lt;=COUNT(Aud_MNr),77,"")</f>
        <v/>
      </c>
      <c r="B81" s="20">
        <f>IFERROR(IF($A81="","",INDEX(Aud_Nr,MATCH($A81,Aud_MNr,0))),"")</f>
        <v/>
      </c>
      <c r="C81" s="30">
        <f>IFERROR(IF($A81="","",INDEX(Aud_Kapitel,MATCH($A81,Aud_MNr,0))),"")</f>
        <v/>
      </c>
      <c r="D81" s="30">
        <f>IFERROR(IF($A81="","",INDEX(Aud_Punkt,MATCH($A81,Aud_MNr,0))),"")</f>
        <v/>
      </c>
      <c r="E81" s="20">
        <f>IFERROR(IF($A81="","",INDEX(Aud_Bew,MATCH($A81,Aud_MNr,0))),"")</f>
        <v/>
      </c>
      <c r="F81" s="30">
        <f>IFERROR(IF($A81="","",IF(INDEX(Aud_Massn,MATCH($A81,Aud_MNr,0))="","",INDEX(Aud_Massn,MATCH($A81,Aud_MNr,0)))),"")</f>
        <v/>
      </c>
      <c r="G81" s="30">
        <f>IFERROR(IF($A81="","",IF(INDEX(Aud_Verantw,MATCH($A81,Aud_MNr,0))="","",INDEX(Aud_Verantw,MATCH($A81,Aud_MNr,0)))),"")</f>
        <v/>
      </c>
      <c r="H81" s="67">
        <f>IFERROR(IF($A81="","",IF(INDEX(Aud_Termin,MATCH($A81,Aud_MNr,0))="","",INDEX(Aud_Termin,MATCH($A81,Aud_MNr,0)))),"")</f>
        <v/>
      </c>
      <c r="I81" s="41">
        <f>IFERROR(IF($A81="","",INDEX(Aud_Status,MATCH($A81,Aud_MNr,0))),"")</f>
        <v/>
      </c>
    </row>
    <row r="82" ht="39" customHeight="1">
      <c r="A82" s="20">
        <f>IF(78&lt;=COUNT(Aud_MNr),78,"")</f>
        <v/>
      </c>
      <c r="B82" s="20">
        <f>IFERROR(IF($A82="","",INDEX(Aud_Nr,MATCH($A82,Aud_MNr,0))),"")</f>
        <v/>
      </c>
      <c r="C82" s="30">
        <f>IFERROR(IF($A82="","",INDEX(Aud_Kapitel,MATCH($A82,Aud_MNr,0))),"")</f>
        <v/>
      </c>
      <c r="D82" s="30">
        <f>IFERROR(IF($A82="","",INDEX(Aud_Punkt,MATCH($A82,Aud_MNr,0))),"")</f>
        <v/>
      </c>
      <c r="E82" s="20">
        <f>IFERROR(IF($A82="","",INDEX(Aud_Bew,MATCH($A82,Aud_MNr,0))),"")</f>
        <v/>
      </c>
      <c r="F82" s="30">
        <f>IFERROR(IF($A82="","",IF(INDEX(Aud_Massn,MATCH($A82,Aud_MNr,0))="","",INDEX(Aud_Massn,MATCH($A82,Aud_MNr,0)))),"")</f>
        <v/>
      </c>
      <c r="G82" s="30">
        <f>IFERROR(IF($A82="","",IF(INDEX(Aud_Verantw,MATCH($A82,Aud_MNr,0))="","",INDEX(Aud_Verantw,MATCH($A82,Aud_MNr,0)))),"")</f>
        <v/>
      </c>
      <c r="H82" s="67">
        <f>IFERROR(IF($A82="","",IF(INDEX(Aud_Termin,MATCH($A82,Aud_MNr,0))="","",INDEX(Aud_Termin,MATCH($A82,Aud_MNr,0)))),"")</f>
        <v/>
      </c>
      <c r="I82" s="41">
        <f>IFERROR(IF($A82="","",INDEX(Aud_Status,MATCH($A82,Aud_MNr,0))),"")</f>
        <v/>
      </c>
    </row>
    <row r="83" ht="39" customHeight="1">
      <c r="A83" s="20">
        <f>IF(79&lt;=COUNT(Aud_MNr),79,"")</f>
        <v/>
      </c>
      <c r="B83" s="20">
        <f>IFERROR(IF($A83="","",INDEX(Aud_Nr,MATCH($A83,Aud_MNr,0))),"")</f>
        <v/>
      </c>
      <c r="C83" s="30">
        <f>IFERROR(IF($A83="","",INDEX(Aud_Kapitel,MATCH($A83,Aud_MNr,0))),"")</f>
        <v/>
      </c>
      <c r="D83" s="30">
        <f>IFERROR(IF($A83="","",INDEX(Aud_Punkt,MATCH($A83,Aud_MNr,0))),"")</f>
        <v/>
      </c>
      <c r="E83" s="20">
        <f>IFERROR(IF($A83="","",INDEX(Aud_Bew,MATCH($A83,Aud_MNr,0))),"")</f>
        <v/>
      </c>
      <c r="F83" s="30">
        <f>IFERROR(IF($A83="","",IF(INDEX(Aud_Massn,MATCH($A83,Aud_MNr,0))="","",INDEX(Aud_Massn,MATCH($A83,Aud_MNr,0)))),"")</f>
        <v/>
      </c>
      <c r="G83" s="30">
        <f>IFERROR(IF($A83="","",IF(INDEX(Aud_Verantw,MATCH($A83,Aud_MNr,0))="","",INDEX(Aud_Verantw,MATCH($A83,Aud_MNr,0)))),"")</f>
        <v/>
      </c>
      <c r="H83" s="67">
        <f>IFERROR(IF($A83="","",IF(INDEX(Aud_Termin,MATCH($A83,Aud_MNr,0))="","",INDEX(Aud_Termin,MATCH($A83,Aud_MNr,0)))),"")</f>
        <v/>
      </c>
      <c r="I83" s="41">
        <f>IFERROR(IF($A83="","",INDEX(Aud_Status,MATCH($A83,Aud_MNr,0))),"")</f>
        <v/>
      </c>
    </row>
    <row r="84" ht="39" customHeight="1">
      <c r="A84" s="20">
        <f>IF(80&lt;=COUNT(Aud_MNr),80,"")</f>
        <v/>
      </c>
      <c r="B84" s="20">
        <f>IFERROR(IF($A84="","",INDEX(Aud_Nr,MATCH($A84,Aud_MNr,0))),"")</f>
        <v/>
      </c>
      <c r="C84" s="30">
        <f>IFERROR(IF($A84="","",INDEX(Aud_Kapitel,MATCH($A84,Aud_MNr,0))),"")</f>
        <v/>
      </c>
      <c r="D84" s="30">
        <f>IFERROR(IF($A84="","",INDEX(Aud_Punkt,MATCH($A84,Aud_MNr,0))),"")</f>
        <v/>
      </c>
      <c r="E84" s="20">
        <f>IFERROR(IF($A84="","",INDEX(Aud_Bew,MATCH($A84,Aud_MNr,0))),"")</f>
        <v/>
      </c>
      <c r="F84" s="30">
        <f>IFERROR(IF($A84="","",IF(INDEX(Aud_Massn,MATCH($A84,Aud_MNr,0))="","",INDEX(Aud_Massn,MATCH($A84,Aud_MNr,0)))),"")</f>
        <v/>
      </c>
      <c r="G84" s="30">
        <f>IFERROR(IF($A84="","",IF(INDEX(Aud_Verantw,MATCH($A84,Aud_MNr,0))="","",INDEX(Aud_Verantw,MATCH($A84,Aud_MNr,0)))),"")</f>
        <v/>
      </c>
      <c r="H84" s="67">
        <f>IFERROR(IF($A84="","",IF(INDEX(Aud_Termin,MATCH($A84,Aud_MNr,0))="","",INDEX(Aud_Termin,MATCH($A84,Aud_MNr,0)))),"")</f>
        <v/>
      </c>
      <c r="I84" s="41">
        <f>IFERROR(IF($A84="","",INDEX(Aud_Status,MATCH($A84,Aud_MNr,0))),"")</f>
        <v/>
      </c>
    </row>
    <row r="85" ht="39" customHeight="1">
      <c r="A85" s="20">
        <f>IF(81&lt;=COUNT(Aud_MNr),81,"")</f>
        <v/>
      </c>
      <c r="B85" s="20">
        <f>IFERROR(IF($A85="","",INDEX(Aud_Nr,MATCH($A85,Aud_MNr,0))),"")</f>
        <v/>
      </c>
      <c r="C85" s="30">
        <f>IFERROR(IF($A85="","",INDEX(Aud_Kapitel,MATCH($A85,Aud_MNr,0))),"")</f>
        <v/>
      </c>
      <c r="D85" s="30">
        <f>IFERROR(IF($A85="","",INDEX(Aud_Punkt,MATCH($A85,Aud_MNr,0))),"")</f>
        <v/>
      </c>
      <c r="E85" s="20">
        <f>IFERROR(IF($A85="","",INDEX(Aud_Bew,MATCH($A85,Aud_MNr,0))),"")</f>
        <v/>
      </c>
      <c r="F85" s="30">
        <f>IFERROR(IF($A85="","",IF(INDEX(Aud_Massn,MATCH($A85,Aud_MNr,0))="","",INDEX(Aud_Massn,MATCH($A85,Aud_MNr,0)))),"")</f>
        <v/>
      </c>
      <c r="G85" s="30">
        <f>IFERROR(IF($A85="","",IF(INDEX(Aud_Verantw,MATCH($A85,Aud_MNr,0))="","",INDEX(Aud_Verantw,MATCH($A85,Aud_MNr,0)))),"")</f>
        <v/>
      </c>
      <c r="H85" s="67">
        <f>IFERROR(IF($A85="","",IF(INDEX(Aud_Termin,MATCH($A85,Aud_MNr,0))="","",INDEX(Aud_Termin,MATCH($A85,Aud_MNr,0)))),"")</f>
        <v/>
      </c>
      <c r="I85" s="41">
        <f>IFERROR(IF($A85="","",INDEX(Aud_Status,MATCH($A85,Aud_MNr,0))),"")</f>
        <v/>
      </c>
    </row>
    <row r="86" ht="39" customHeight="1">
      <c r="A86" s="20">
        <f>IF(82&lt;=COUNT(Aud_MNr),82,"")</f>
        <v/>
      </c>
      <c r="B86" s="20">
        <f>IFERROR(IF($A86="","",INDEX(Aud_Nr,MATCH($A86,Aud_MNr,0))),"")</f>
        <v/>
      </c>
      <c r="C86" s="30">
        <f>IFERROR(IF($A86="","",INDEX(Aud_Kapitel,MATCH($A86,Aud_MNr,0))),"")</f>
        <v/>
      </c>
      <c r="D86" s="30">
        <f>IFERROR(IF($A86="","",INDEX(Aud_Punkt,MATCH($A86,Aud_MNr,0))),"")</f>
        <v/>
      </c>
      <c r="E86" s="20">
        <f>IFERROR(IF($A86="","",INDEX(Aud_Bew,MATCH($A86,Aud_MNr,0))),"")</f>
        <v/>
      </c>
      <c r="F86" s="30">
        <f>IFERROR(IF($A86="","",IF(INDEX(Aud_Massn,MATCH($A86,Aud_MNr,0))="","",INDEX(Aud_Massn,MATCH($A86,Aud_MNr,0)))),"")</f>
        <v/>
      </c>
      <c r="G86" s="30">
        <f>IFERROR(IF($A86="","",IF(INDEX(Aud_Verantw,MATCH($A86,Aud_MNr,0))="","",INDEX(Aud_Verantw,MATCH($A86,Aud_MNr,0)))),"")</f>
        <v/>
      </c>
      <c r="H86" s="67">
        <f>IFERROR(IF($A86="","",IF(INDEX(Aud_Termin,MATCH($A86,Aud_MNr,0))="","",INDEX(Aud_Termin,MATCH($A86,Aud_MNr,0)))),"")</f>
        <v/>
      </c>
      <c r="I86" s="41">
        <f>IFERROR(IF($A86="","",INDEX(Aud_Status,MATCH($A86,Aud_MNr,0))),"")</f>
        <v/>
      </c>
    </row>
    <row r="87" ht="39" customHeight="1">
      <c r="A87" s="20">
        <f>IF(83&lt;=COUNT(Aud_MNr),83,"")</f>
        <v/>
      </c>
      <c r="B87" s="20">
        <f>IFERROR(IF($A87="","",INDEX(Aud_Nr,MATCH($A87,Aud_MNr,0))),"")</f>
        <v/>
      </c>
      <c r="C87" s="30">
        <f>IFERROR(IF($A87="","",INDEX(Aud_Kapitel,MATCH($A87,Aud_MNr,0))),"")</f>
        <v/>
      </c>
      <c r="D87" s="30">
        <f>IFERROR(IF($A87="","",INDEX(Aud_Punkt,MATCH($A87,Aud_MNr,0))),"")</f>
        <v/>
      </c>
      <c r="E87" s="20">
        <f>IFERROR(IF($A87="","",INDEX(Aud_Bew,MATCH($A87,Aud_MNr,0))),"")</f>
        <v/>
      </c>
      <c r="F87" s="30">
        <f>IFERROR(IF($A87="","",IF(INDEX(Aud_Massn,MATCH($A87,Aud_MNr,0))="","",INDEX(Aud_Massn,MATCH($A87,Aud_MNr,0)))),"")</f>
        <v/>
      </c>
      <c r="G87" s="30">
        <f>IFERROR(IF($A87="","",IF(INDEX(Aud_Verantw,MATCH($A87,Aud_MNr,0))="","",INDEX(Aud_Verantw,MATCH($A87,Aud_MNr,0)))),"")</f>
        <v/>
      </c>
      <c r="H87" s="67">
        <f>IFERROR(IF($A87="","",IF(INDEX(Aud_Termin,MATCH($A87,Aud_MNr,0))="","",INDEX(Aud_Termin,MATCH($A87,Aud_MNr,0)))),"")</f>
        <v/>
      </c>
      <c r="I87" s="41">
        <f>IFERROR(IF($A87="","",INDEX(Aud_Status,MATCH($A87,Aud_MNr,0))),"")</f>
        <v/>
      </c>
    </row>
    <row r="88" ht="39" customHeight="1">
      <c r="A88" s="20">
        <f>IF(84&lt;=COUNT(Aud_MNr),84,"")</f>
        <v/>
      </c>
      <c r="B88" s="20">
        <f>IFERROR(IF($A88="","",INDEX(Aud_Nr,MATCH($A88,Aud_MNr,0))),"")</f>
        <v/>
      </c>
      <c r="C88" s="30">
        <f>IFERROR(IF($A88="","",INDEX(Aud_Kapitel,MATCH($A88,Aud_MNr,0))),"")</f>
        <v/>
      </c>
      <c r="D88" s="30">
        <f>IFERROR(IF($A88="","",INDEX(Aud_Punkt,MATCH($A88,Aud_MNr,0))),"")</f>
        <v/>
      </c>
      <c r="E88" s="20">
        <f>IFERROR(IF($A88="","",INDEX(Aud_Bew,MATCH($A88,Aud_MNr,0))),"")</f>
        <v/>
      </c>
      <c r="F88" s="30">
        <f>IFERROR(IF($A88="","",IF(INDEX(Aud_Massn,MATCH($A88,Aud_MNr,0))="","",INDEX(Aud_Massn,MATCH($A88,Aud_MNr,0)))),"")</f>
        <v/>
      </c>
      <c r="G88" s="30">
        <f>IFERROR(IF($A88="","",IF(INDEX(Aud_Verantw,MATCH($A88,Aud_MNr,0))="","",INDEX(Aud_Verantw,MATCH($A88,Aud_MNr,0)))),"")</f>
        <v/>
      </c>
      <c r="H88" s="67">
        <f>IFERROR(IF($A88="","",IF(INDEX(Aud_Termin,MATCH($A88,Aud_MNr,0))="","",INDEX(Aud_Termin,MATCH($A88,Aud_MNr,0)))),"")</f>
        <v/>
      </c>
      <c r="I88" s="41">
        <f>IFERROR(IF($A88="","",INDEX(Aud_Status,MATCH($A88,Aud_MNr,0))),"")</f>
        <v/>
      </c>
    </row>
    <row r="89" ht="39" customHeight="1">
      <c r="A89" s="20">
        <f>IF(85&lt;=COUNT(Aud_MNr),85,"")</f>
        <v/>
      </c>
      <c r="B89" s="20">
        <f>IFERROR(IF($A89="","",INDEX(Aud_Nr,MATCH($A89,Aud_MNr,0))),"")</f>
        <v/>
      </c>
      <c r="C89" s="30">
        <f>IFERROR(IF($A89="","",INDEX(Aud_Kapitel,MATCH($A89,Aud_MNr,0))),"")</f>
        <v/>
      </c>
      <c r="D89" s="30">
        <f>IFERROR(IF($A89="","",INDEX(Aud_Punkt,MATCH($A89,Aud_MNr,0))),"")</f>
        <v/>
      </c>
      <c r="E89" s="20">
        <f>IFERROR(IF($A89="","",INDEX(Aud_Bew,MATCH($A89,Aud_MNr,0))),"")</f>
        <v/>
      </c>
      <c r="F89" s="30">
        <f>IFERROR(IF($A89="","",IF(INDEX(Aud_Massn,MATCH($A89,Aud_MNr,0))="","",INDEX(Aud_Massn,MATCH($A89,Aud_MNr,0)))),"")</f>
        <v/>
      </c>
      <c r="G89" s="30">
        <f>IFERROR(IF($A89="","",IF(INDEX(Aud_Verantw,MATCH($A89,Aud_MNr,0))="","",INDEX(Aud_Verantw,MATCH($A89,Aud_MNr,0)))),"")</f>
        <v/>
      </c>
      <c r="H89" s="67">
        <f>IFERROR(IF($A89="","",IF(INDEX(Aud_Termin,MATCH($A89,Aud_MNr,0))="","",INDEX(Aud_Termin,MATCH($A89,Aud_MNr,0)))),"")</f>
        <v/>
      </c>
      <c r="I89" s="41">
        <f>IFERROR(IF($A89="","",INDEX(Aud_Status,MATCH($A89,Aud_MNr,0))),"")</f>
        <v/>
      </c>
    </row>
    <row r="90" ht="39" customHeight="1">
      <c r="A90" s="20">
        <f>IF(86&lt;=COUNT(Aud_MNr),86,"")</f>
        <v/>
      </c>
      <c r="B90" s="20">
        <f>IFERROR(IF($A90="","",INDEX(Aud_Nr,MATCH($A90,Aud_MNr,0))),"")</f>
        <v/>
      </c>
      <c r="C90" s="30">
        <f>IFERROR(IF($A90="","",INDEX(Aud_Kapitel,MATCH($A90,Aud_MNr,0))),"")</f>
        <v/>
      </c>
      <c r="D90" s="30">
        <f>IFERROR(IF($A90="","",INDEX(Aud_Punkt,MATCH($A90,Aud_MNr,0))),"")</f>
        <v/>
      </c>
      <c r="E90" s="20">
        <f>IFERROR(IF($A90="","",INDEX(Aud_Bew,MATCH($A90,Aud_MNr,0))),"")</f>
        <v/>
      </c>
      <c r="F90" s="30">
        <f>IFERROR(IF($A90="","",IF(INDEX(Aud_Massn,MATCH($A90,Aud_MNr,0))="","",INDEX(Aud_Massn,MATCH($A90,Aud_MNr,0)))),"")</f>
        <v/>
      </c>
      <c r="G90" s="30">
        <f>IFERROR(IF($A90="","",IF(INDEX(Aud_Verantw,MATCH($A90,Aud_MNr,0))="","",INDEX(Aud_Verantw,MATCH($A90,Aud_MNr,0)))),"")</f>
        <v/>
      </c>
      <c r="H90" s="67">
        <f>IFERROR(IF($A90="","",IF(INDEX(Aud_Termin,MATCH($A90,Aud_MNr,0))="","",INDEX(Aud_Termin,MATCH($A90,Aud_MNr,0)))),"")</f>
        <v/>
      </c>
      <c r="I90" s="41">
        <f>IFERROR(IF($A90="","",INDEX(Aud_Status,MATCH($A90,Aud_MNr,0))),"")</f>
        <v/>
      </c>
    </row>
    <row r="91" ht="39" customHeight="1">
      <c r="A91" s="20">
        <f>IF(87&lt;=COUNT(Aud_MNr),87,"")</f>
        <v/>
      </c>
      <c r="B91" s="20">
        <f>IFERROR(IF($A91="","",INDEX(Aud_Nr,MATCH($A91,Aud_MNr,0))),"")</f>
        <v/>
      </c>
      <c r="C91" s="30">
        <f>IFERROR(IF($A91="","",INDEX(Aud_Kapitel,MATCH($A91,Aud_MNr,0))),"")</f>
        <v/>
      </c>
      <c r="D91" s="30">
        <f>IFERROR(IF($A91="","",INDEX(Aud_Punkt,MATCH($A91,Aud_MNr,0))),"")</f>
        <v/>
      </c>
      <c r="E91" s="20">
        <f>IFERROR(IF($A91="","",INDEX(Aud_Bew,MATCH($A91,Aud_MNr,0))),"")</f>
        <v/>
      </c>
      <c r="F91" s="30">
        <f>IFERROR(IF($A91="","",IF(INDEX(Aud_Massn,MATCH($A91,Aud_MNr,0))="","",INDEX(Aud_Massn,MATCH($A91,Aud_MNr,0)))),"")</f>
        <v/>
      </c>
      <c r="G91" s="30">
        <f>IFERROR(IF($A91="","",IF(INDEX(Aud_Verantw,MATCH($A91,Aud_MNr,0))="","",INDEX(Aud_Verantw,MATCH($A91,Aud_MNr,0)))),"")</f>
        <v/>
      </c>
      <c r="H91" s="67">
        <f>IFERROR(IF($A91="","",IF(INDEX(Aud_Termin,MATCH($A91,Aud_MNr,0))="","",INDEX(Aud_Termin,MATCH($A91,Aud_MNr,0)))),"")</f>
        <v/>
      </c>
      <c r="I91" s="41">
        <f>IFERROR(IF($A91="","",INDEX(Aud_Status,MATCH($A91,Aud_MNr,0))),"")</f>
        <v/>
      </c>
    </row>
    <row r="92" ht="39" customHeight="1">
      <c r="A92" s="20">
        <f>IF(88&lt;=COUNT(Aud_MNr),88,"")</f>
        <v/>
      </c>
      <c r="B92" s="20">
        <f>IFERROR(IF($A92="","",INDEX(Aud_Nr,MATCH($A92,Aud_MNr,0))),"")</f>
        <v/>
      </c>
      <c r="C92" s="30">
        <f>IFERROR(IF($A92="","",INDEX(Aud_Kapitel,MATCH($A92,Aud_MNr,0))),"")</f>
        <v/>
      </c>
      <c r="D92" s="30">
        <f>IFERROR(IF($A92="","",INDEX(Aud_Punkt,MATCH($A92,Aud_MNr,0))),"")</f>
        <v/>
      </c>
      <c r="E92" s="20">
        <f>IFERROR(IF($A92="","",INDEX(Aud_Bew,MATCH($A92,Aud_MNr,0))),"")</f>
        <v/>
      </c>
      <c r="F92" s="30">
        <f>IFERROR(IF($A92="","",IF(INDEX(Aud_Massn,MATCH($A92,Aud_MNr,0))="","",INDEX(Aud_Massn,MATCH($A92,Aud_MNr,0)))),"")</f>
        <v/>
      </c>
      <c r="G92" s="30">
        <f>IFERROR(IF($A92="","",IF(INDEX(Aud_Verantw,MATCH($A92,Aud_MNr,0))="","",INDEX(Aud_Verantw,MATCH($A92,Aud_MNr,0)))),"")</f>
        <v/>
      </c>
      <c r="H92" s="67">
        <f>IFERROR(IF($A92="","",IF(INDEX(Aud_Termin,MATCH($A92,Aud_MNr,0))="","",INDEX(Aud_Termin,MATCH($A92,Aud_MNr,0)))),"")</f>
        <v/>
      </c>
      <c r="I92" s="41">
        <f>IFERROR(IF($A92="","",INDEX(Aud_Status,MATCH($A92,Aud_MNr,0))),"")</f>
        <v/>
      </c>
    </row>
    <row r="93" ht="39" customHeight="1">
      <c r="A93" s="20">
        <f>IF(89&lt;=COUNT(Aud_MNr),89,"")</f>
        <v/>
      </c>
      <c r="B93" s="20">
        <f>IFERROR(IF($A93="","",INDEX(Aud_Nr,MATCH($A93,Aud_MNr,0))),"")</f>
        <v/>
      </c>
      <c r="C93" s="30">
        <f>IFERROR(IF($A93="","",INDEX(Aud_Kapitel,MATCH($A93,Aud_MNr,0))),"")</f>
        <v/>
      </c>
      <c r="D93" s="30">
        <f>IFERROR(IF($A93="","",INDEX(Aud_Punkt,MATCH($A93,Aud_MNr,0))),"")</f>
        <v/>
      </c>
      <c r="E93" s="20">
        <f>IFERROR(IF($A93="","",INDEX(Aud_Bew,MATCH($A93,Aud_MNr,0))),"")</f>
        <v/>
      </c>
      <c r="F93" s="30">
        <f>IFERROR(IF($A93="","",IF(INDEX(Aud_Massn,MATCH($A93,Aud_MNr,0))="","",INDEX(Aud_Massn,MATCH($A93,Aud_MNr,0)))),"")</f>
        <v/>
      </c>
      <c r="G93" s="30">
        <f>IFERROR(IF($A93="","",IF(INDEX(Aud_Verantw,MATCH($A93,Aud_MNr,0))="","",INDEX(Aud_Verantw,MATCH($A93,Aud_MNr,0)))),"")</f>
        <v/>
      </c>
      <c r="H93" s="67">
        <f>IFERROR(IF($A93="","",IF(INDEX(Aud_Termin,MATCH($A93,Aud_MNr,0))="","",INDEX(Aud_Termin,MATCH($A93,Aud_MNr,0)))),"")</f>
        <v/>
      </c>
      <c r="I93" s="41">
        <f>IFERROR(IF($A93="","",INDEX(Aud_Status,MATCH($A93,Aud_MNr,0))),"")</f>
        <v/>
      </c>
    </row>
    <row r="94" ht="39" customHeight="1">
      <c r="A94" s="20">
        <f>IF(90&lt;=COUNT(Aud_MNr),90,"")</f>
        <v/>
      </c>
      <c r="B94" s="20">
        <f>IFERROR(IF($A94="","",INDEX(Aud_Nr,MATCH($A94,Aud_MNr,0))),"")</f>
        <v/>
      </c>
      <c r="C94" s="30">
        <f>IFERROR(IF($A94="","",INDEX(Aud_Kapitel,MATCH($A94,Aud_MNr,0))),"")</f>
        <v/>
      </c>
      <c r="D94" s="30">
        <f>IFERROR(IF($A94="","",INDEX(Aud_Punkt,MATCH($A94,Aud_MNr,0))),"")</f>
        <v/>
      </c>
      <c r="E94" s="20">
        <f>IFERROR(IF($A94="","",INDEX(Aud_Bew,MATCH($A94,Aud_MNr,0))),"")</f>
        <v/>
      </c>
      <c r="F94" s="30">
        <f>IFERROR(IF($A94="","",IF(INDEX(Aud_Massn,MATCH($A94,Aud_MNr,0))="","",INDEX(Aud_Massn,MATCH($A94,Aud_MNr,0)))),"")</f>
        <v/>
      </c>
      <c r="G94" s="30">
        <f>IFERROR(IF($A94="","",IF(INDEX(Aud_Verantw,MATCH($A94,Aud_MNr,0))="","",INDEX(Aud_Verantw,MATCH($A94,Aud_MNr,0)))),"")</f>
        <v/>
      </c>
      <c r="H94" s="67">
        <f>IFERROR(IF($A94="","",IF(INDEX(Aud_Termin,MATCH($A94,Aud_MNr,0))="","",INDEX(Aud_Termin,MATCH($A94,Aud_MNr,0)))),"")</f>
        <v/>
      </c>
      <c r="I94" s="41">
        <f>IFERROR(IF($A94="","",INDEX(Aud_Status,MATCH($A94,Aud_MNr,0))),"")</f>
        <v/>
      </c>
    </row>
    <row r="95" ht="39" customHeight="1">
      <c r="A95" s="20">
        <f>IF(91&lt;=COUNT(Aud_MNr),91,"")</f>
        <v/>
      </c>
      <c r="B95" s="20">
        <f>IFERROR(IF($A95="","",INDEX(Aud_Nr,MATCH($A95,Aud_MNr,0))),"")</f>
        <v/>
      </c>
      <c r="C95" s="30">
        <f>IFERROR(IF($A95="","",INDEX(Aud_Kapitel,MATCH($A95,Aud_MNr,0))),"")</f>
        <v/>
      </c>
      <c r="D95" s="30">
        <f>IFERROR(IF($A95="","",INDEX(Aud_Punkt,MATCH($A95,Aud_MNr,0))),"")</f>
        <v/>
      </c>
      <c r="E95" s="20">
        <f>IFERROR(IF($A95="","",INDEX(Aud_Bew,MATCH($A95,Aud_MNr,0))),"")</f>
        <v/>
      </c>
      <c r="F95" s="30">
        <f>IFERROR(IF($A95="","",IF(INDEX(Aud_Massn,MATCH($A95,Aud_MNr,0))="","",INDEX(Aud_Massn,MATCH($A95,Aud_MNr,0)))),"")</f>
        <v/>
      </c>
      <c r="G95" s="30">
        <f>IFERROR(IF($A95="","",IF(INDEX(Aud_Verantw,MATCH($A95,Aud_MNr,0))="","",INDEX(Aud_Verantw,MATCH($A95,Aud_MNr,0)))),"")</f>
        <v/>
      </c>
      <c r="H95" s="67">
        <f>IFERROR(IF($A95="","",IF(INDEX(Aud_Termin,MATCH($A95,Aud_MNr,0))="","",INDEX(Aud_Termin,MATCH($A95,Aud_MNr,0)))),"")</f>
        <v/>
      </c>
      <c r="I95" s="41">
        <f>IFERROR(IF($A95="","",INDEX(Aud_Status,MATCH($A95,Aud_MNr,0))),"")</f>
        <v/>
      </c>
    </row>
    <row r="96" ht="39" customHeight="1">
      <c r="A96" s="20">
        <f>IF(92&lt;=COUNT(Aud_MNr),92,"")</f>
        <v/>
      </c>
      <c r="B96" s="20">
        <f>IFERROR(IF($A96="","",INDEX(Aud_Nr,MATCH($A96,Aud_MNr,0))),"")</f>
        <v/>
      </c>
      <c r="C96" s="30">
        <f>IFERROR(IF($A96="","",INDEX(Aud_Kapitel,MATCH($A96,Aud_MNr,0))),"")</f>
        <v/>
      </c>
      <c r="D96" s="30">
        <f>IFERROR(IF($A96="","",INDEX(Aud_Punkt,MATCH($A96,Aud_MNr,0))),"")</f>
        <v/>
      </c>
      <c r="E96" s="20">
        <f>IFERROR(IF($A96="","",INDEX(Aud_Bew,MATCH($A96,Aud_MNr,0))),"")</f>
        <v/>
      </c>
      <c r="F96" s="30">
        <f>IFERROR(IF($A96="","",IF(INDEX(Aud_Massn,MATCH($A96,Aud_MNr,0))="","",INDEX(Aud_Massn,MATCH($A96,Aud_MNr,0)))),"")</f>
        <v/>
      </c>
      <c r="G96" s="30">
        <f>IFERROR(IF($A96="","",IF(INDEX(Aud_Verantw,MATCH($A96,Aud_MNr,0))="","",INDEX(Aud_Verantw,MATCH($A96,Aud_MNr,0)))),"")</f>
        <v/>
      </c>
      <c r="H96" s="67">
        <f>IFERROR(IF($A96="","",IF(INDEX(Aud_Termin,MATCH($A96,Aud_MNr,0))="","",INDEX(Aud_Termin,MATCH($A96,Aud_MNr,0)))),"")</f>
        <v/>
      </c>
      <c r="I96" s="41">
        <f>IFERROR(IF($A96="","",INDEX(Aud_Status,MATCH($A96,Aud_MNr,0))),"")</f>
        <v/>
      </c>
    </row>
    <row r="97" ht="39" customHeight="1">
      <c r="A97" s="20">
        <f>IF(93&lt;=COUNT(Aud_MNr),93,"")</f>
        <v/>
      </c>
      <c r="B97" s="20">
        <f>IFERROR(IF($A97="","",INDEX(Aud_Nr,MATCH($A97,Aud_MNr,0))),"")</f>
        <v/>
      </c>
      <c r="C97" s="30">
        <f>IFERROR(IF($A97="","",INDEX(Aud_Kapitel,MATCH($A97,Aud_MNr,0))),"")</f>
        <v/>
      </c>
      <c r="D97" s="30">
        <f>IFERROR(IF($A97="","",INDEX(Aud_Punkt,MATCH($A97,Aud_MNr,0))),"")</f>
        <v/>
      </c>
      <c r="E97" s="20">
        <f>IFERROR(IF($A97="","",INDEX(Aud_Bew,MATCH($A97,Aud_MNr,0))),"")</f>
        <v/>
      </c>
      <c r="F97" s="30">
        <f>IFERROR(IF($A97="","",IF(INDEX(Aud_Massn,MATCH($A97,Aud_MNr,0))="","",INDEX(Aud_Massn,MATCH($A97,Aud_MNr,0)))),"")</f>
        <v/>
      </c>
      <c r="G97" s="30">
        <f>IFERROR(IF($A97="","",IF(INDEX(Aud_Verantw,MATCH($A97,Aud_MNr,0))="","",INDEX(Aud_Verantw,MATCH($A97,Aud_MNr,0)))),"")</f>
        <v/>
      </c>
      <c r="H97" s="67">
        <f>IFERROR(IF($A97="","",IF(INDEX(Aud_Termin,MATCH($A97,Aud_MNr,0))="","",INDEX(Aud_Termin,MATCH($A97,Aud_MNr,0)))),"")</f>
        <v/>
      </c>
      <c r="I97" s="41">
        <f>IFERROR(IF($A97="","",INDEX(Aud_Status,MATCH($A97,Aud_MNr,0))),"")</f>
        <v/>
      </c>
    </row>
    <row r="98" ht="39" customHeight="1">
      <c r="A98" s="20">
        <f>IF(94&lt;=COUNT(Aud_MNr),94,"")</f>
        <v/>
      </c>
      <c r="B98" s="20">
        <f>IFERROR(IF($A98="","",INDEX(Aud_Nr,MATCH($A98,Aud_MNr,0))),"")</f>
        <v/>
      </c>
      <c r="C98" s="30">
        <f>IFERROR(IF($A98="","",INDEX(Aud_Kapitel,MATCH($A98,Aud_MNr,0))),"")</f>
        <v/>
      </c>
      <c r="D98" s="30">
        <f>IFERROR(IF($A98="","",INDEX(Aud_Punkt,MATCH($A98,Aud_MNr,0))),"")</f>
        <v/>
      </c>
      <c r="E98" s="20">
        <f>IFERROR(IF($A98="","",INDEX(Aud_Bew,MATCH($A98,Aud_MNr,0))),"")</f>
        <v/>
      </c>
      <c r="F98" s="30">
        <f>IFERROR(IF($A98="","",IF(INDEX(Aud_Massn,MATCH($A98,Aud_MNr,0))="","",INDEX(Aud_Massn,MATCH($A98,Aud_MNr,0)))),"")</f>
        <v/>
      </c>
      <c r="G98" s="30">
        <f>IFERROR(IF($A98="","",IF(INDEX(Aud_Verantw,MATCH($A98,Aud_MNr,0))="","",INDEX(Aud_Verantw,MATCH($A98,Aud_MNr,0)))),"")</f>
        <v/>
      </c>
      <c r="H98" s="67">
        <f>IFERROR(IF($A98="","",IF(INDEX(Aud_Termin,MATCH($A98,Aud_MNr,0))="","",INDEX(Aud_Termin,MATCH($A98,Aud_MNr,0)))),"")</f>
        <v/>
      </c>
      <c r="I98" s="41">
        <f>IFERROR(IF($A98="","",INDEX(Aud_Status,MATCH($A98,Aud_MNr,0))),"")</f>
        <v/>
      </c>
    </row>
    <row r="99" ht="39" customHeight="1">
      <c r="A99" s="20">
        <f>IF(95&lt;=COUNT(Aud_MNr),95,"")</f>
        <v/>
      </c>
      <c r="B99" s="20">
        <f>IFERROR(IF($A99="","",INDEX(Aud_Nr,MATCH($A99,Aud_MNr,0))),"")</f>
        <v/>
      </c>
      <c r="C99" s="30">
        <f>IFERROR(IF($A99="","",INDEX(Aud_Kapitel,MATCH($A99,Aud_MNr,0))),"")</f>
        <v/>
      </c>
      <c r="D99" s="30">
        <f>IFERROR(IF($A99="","",INDEX(Aud_Punkt,MATCH($A99,Aud_MNr,0))),"")</f>
        <v/>
      </c>
      <c r="E99" s="20">
        <f>IFERROR(IF($A99="","",INDEX(Aud_Bew,MATCH($A99,Aud_MNr,0))),"")</f>
        <v/>
      </c>
      <c r="F99" s="30">
        <f>IFERROR(IF($A99="","",IF(INDEX(Aud_Massn,MATCH($A99,Aud_MNr,0))="","",INDEX(Aud_Massn,MATCH($A99,Aud_MNr,0)))),"")</f>
        <v/>
      </c>
      <c r="G99" s="30">
        <f>IFERROR(IF($A99="","",IF(INDEX(Aud_Verantw,MATCH($A99,Aud_MNr,0))="","",INDEX(Aud_Verantw,MATCH($A99,Aud_MNr,0)))),"")</f>
        <v/>
      </c>
      <c r="H99" s="67">
        <f>IFERROR(IF($A99="","",IF(INDEX(Aud_Termin,MATCH($A99,Aud_MNr,0))="","",INDEX(Aud_Termin,MATCH($A99,Aud_MNr,0)))),"")</f>
        <v/>
      </c>
      <c r="I99" s="41">
        <f>IFERROR(IF($A99="","",INDEX(Aud_Status,MATCH($A99,Aud_MNr,0))),"")</f>
        <v/>
      </c>
    </row>
    <row r="100" ht="39" customHeight="1">
      <c r="A100" s="20">
        <f>IF(96&lt;=COUNT(Aud_MNr),96,"")</f>
        <v/>
      </c>
      <c r="B100" s="20">
        <f>IFERROR(IF($A100="","",INDEX(Aud_Nr,MATCH($A100,Aud_MNr,0))),"")</f>
        <v/>
      </c>
      <c r="C100" s="30">
        <f>IFERROR(IF($A100="","",INDEX(Aud_Kapitel,MATCH($A100,Aud_MNr,0))),"")</f>
        <v/>
      </c>
      <c r="D100" s="30">
        <f>IFERROR(IF($A100="","",INDEX(Aud_Punkt,MATCH($A100,Aud_MNr,0))),"")</f>
        <v/>
      </c>
      <c r="E100" s="20">
        <f>IFERROR(IF($A100="","",INDEX(Aud_Bew,MATCH($A100,Aud_MNr,0))),"")</f>
        <v/>
      </c>
      <c r="F100" s="30">
        <f>IFERROR(IF($A100="","",IF(INDEX(Aud_Massn,MATCH($A100,Aud_MNr,0))="","",INDEX(Aud_Massn,MATCH($A100,Aud_MNr,0)))),"")</f>
        <v/>
      </c>
      <c r="G100" s="30">
        <f>IFERROR(IF($A100="","",IF(INDEX(Aud_Verantw,MATCH($A100,Aud_MNr,0))="","",INDEX(Aud_Verantw,MATCH($A100,Aud_MNr,0)))),"")</f>
        <v/>
      </c>
      <c r="H100" s="67">
        <f>IFERROR(IF($A100="","",IF(INDEX(Aud_Termin,MATCH($A100,Aud_MNr,0))="","",INDEX(Aud_Termin,MATCH($A100,Aud_MNr,0)))),"")</f>
        <v/>
      </c>
      <c r="I100" s="41">
        <f>IFERROR(IF($A100="","",INDEX(Aud_Status,MATCH($A100,Aud_MNr,0))),"")</f>
        <v/>
      </c>
    </row>
    <row r="101" ht="39" customHeight="1">
      <c r="A101" s="20">
        <f>IF(97&lt;=COUNT(Aud_MNr),97,"")</f>
        <v/>
      </c>
      <c r="B101" s="20">
        <f>IFERROR(IF($A101="","",INDEX(Aud_Nr,MATCH($A101,Aud_MNr,0))),"")</f>
        <v/>
      </c>
      <c r="C101" s="30">
        <f>IFERROR(IF($A101="","",INDEX(Aud_Kapitel,MATCH($A101,Aud_MNr,0))),"")</f>
        <v/>
      </c>
      <c r="D101" s="30">
        <f>IFERROR(IF($A101="","",INDEX(Aud_Punkt,MATCH($A101,Aud_MNr,0))),"")</f>
        <v/>
      </c>
      <c r="E101" s="20">
        <f>IFERROR(IF($A101="","",INDEX(Aud_Bew,MATCH($A101,Aud_MNr,0))),"")</f>
        <v/>
      </c>
      <c r="F101" s="30">
        <f>IFERROR(IF($A101="","",IF(INDEX(Aud_Massn,MATCH($A101,Aud_MNr,0))="","",INDEX(Aud_Massn,MATCH($A101,Aud_MNr,0)))),"")</f>
        <v/>
      </c>
      <c r="G101" s="30">
        <f>IFERROR(IF($A101="","",IF(INDEX(Aud_Verantw,MATCH($A101,Aud_MNr,0))="","",INDEX(Aud_Verantw,MATCH($A101,Aud_MNr,0)))),"")</f>
        <v/>
      </c>
      <c r="H101" s="67">
        <f>IFERROR(IF($A101="","",IF(INDEX(Aud_Termin,MATCH($A101,Aud_MNr,0))="","",INDEX(Aud_Termin,MATCH($A101,Aud_MNr,0)))),"")</f>
        <v/>
      </c>
      <c r="I101" s="41">
        <f>IFERROR(IF($A101="","",INDEX(Aud_Status,MATCH($A101,Aud_MNr,0))),"")</f>
        <v/>
      </c>
    </row>
    <row r="102" ht="39" customHeight="1">
      <c r="A102" s="20">
        <f>IF(98&lt;=COUNT(Aud_MNr),98,"")</f>
        <v/>
      </c>
      <c r="B102" s="20">
        <f>IFERROR(IF($A102="","",INDEX(Aud_Nr,MATCH($A102,Aud_MNr,0))),"")</f>
        <v/>
      </c>
      <c r="C102" s="30">
        <f>IFERROR(IF($A102="","",INDEX(Aud_Kapitel,MATCH($A102,Aud_MNr,0))),"")</f>
        <v/>
      </c>
      <c r="D102" s="30">
        <f>IFERROR(IF($A102="","",INDEX(Aud_Punkt,MATCH($A102,Aud_MNr,0))),"")</f>
        <v/>
      </c>
      <c r="E102" s="20">
        <f>IFERROR(IF($A102="","",INDEX(Aud_Bew,MATCH($A102,Aud_MNr,0))),"")</f>
        <v/>
      </c>
      <c r="F102" s="30">
        <f>IFERROR(IF($A102="","",IF(INDEX(Aud_Massn,MATCH($A102,Aud_MNr,0))="","",INDEX(Aud_Massn,MATCH($A102,Aud_MNr,0)))),"")</f>
        <v/>
      </c>
      <c r="G102" s="30">
        <f>IFERROR(IF($A102="","",IF(INDEX(Aud_Verantw,MATCH($A102,Aud_MNr,0))="","",INDEX(Aud_Verantw,MATCH($A102,Aud_MNr,0)))),"")</f>
        <v/>
      </c>
      <c r="H102" s="67">
        <f>IFERROR(IF($A102="","",IF(INDEX(Aud_Termin,MATCH($A102,Aud_MNr,0))="","",INDEX(Aud_Termin,MATCH($A102,Aud_MNr,0)))),"")</f>
        <v/>
      </c>
      <c r="I102" s="41">
        <f>IFERROR(IF($A102="","",INDEX(Aud_Status,MATCH($A102,Aud_MNr,0))),"")</f>
        <v/>
      </c>
    </row>
  </sheetData>
  <autoFilter ref="A4:I102"/>
  <conditionalFormatting sqref="E5:E102">
    <cfRule type="cellIs" priority="1" operator="equal" dxfId="10">
      <formula>"N.I.O"</formula>
    </cfRule>
    <cfRule type="cellIs" priority="2" operator="equal" dxfId="11">
      <formula>"bed. OK"</formula>
    </cfRule>
    <cfRule type="cellIs" priority="3" operator="equal" dxfId="12">
      <formula>"OK"</formula>
    </cfRule>
    <cfRule type="cellIs" priority="4" operator="equal" dxfId="13">
      <formula>"n. b."</formula>
    </cfRule>
  </conditionalFormatting>
  <conditionalFormatting sqref="I5:I102">
    <cfRule type="cellIs" priority="5" operator="equal" dxfId="5">
      <formula>"überfällig"</formula>
    </cfRule>
    <cfRule type="cellIs" priority="6" operator="equal" dxfId="1">
      <formula>"offen"</formula>
    </cfRule>
    <cfRule type="cellIs" priority="7" operator="equal" dxfId="0">
      <formula>"erledigt"</formula>
    </cfRule>
  </conditionalFormatting>
  <pageMargins left="0.4" right="0.4" top="0.5" bottom="0.5" header="0.5" footer="0.5"/>
  <pageSetup orientation="landscape" paperSize="9" fitToHeight="0" fitToWidth="1"/>
  <headerFooter>
    <oddHeader/>
    <oddFooter>&amp;L&amp;8 Maßnahmenplan – Anlagenzustandsanalyse&amp;R&amp;8 Seite &amp;P von &amp;N</oddFooter>
    <evenHeader/>
    <evenFooter/>
    <firstHeader/>
    <firstFooter/>
  </headerFooter>
</worksheet>
</file>

<file path=xl/worksheets/sheet4.xml><?xml version="1.0" encoding="utf-8"?>
<worksheet xmlns="http://schemas.openxmlformats.org/spreadsheetml/2006/main">
  <sheetPr>
    <tabColor rgb="001D4ED8"/>
    <outlinePr summaryBelow="1" summaryRight="1"/>
    <pageSetUpPr fitToPage="1"/>
  </sheetPr>
  <dimension ref="A1:Z3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7" customWidth="1" min="1" max="1"/>
    <col width="13.7" customWidth="1" min="2" max="2"/>
    <col width="24.7" customWidth="1" min="3" max="3"/>
    <col width="18.7" customWidth="1" min="4" max="4"/>
    <col width="8.699999999999999" customWidth="1" min="5" max="5"/>
    <col width="8.699999999999999" customWidth="1" min="6" max="6"/>
    <col width="16.7" customWidth="1" min="7" max="7"/>
    <col width="10.7" customWidth="1" min="8" max="8"/>
    <col width="11.7" customWidth="1" min="9" max="9"/>
    <col width="11.7" customWidth="1" min="10" max="10"/>
    <col width="9.699999999999999" customWidth="1" min="11" max="11"/>
    <col width="9.699999999999999" customWidth="1" min="12" max="12"/>
    <col width="14.7" customWidth="1" min="13" max="13"/>
    <col width="13.7" customWidth="1" min="14" max="14"/>
    <col width="15.7" customWidth="1" min="15" max="15"/>
    <col width="10.7" customWidth="1" min="16" max="16"/>
    <col width="11.7" customWidth="1" min="17" max="17"/>
    <col width="10.7" customWidth="1" min="18" max="18"/>
    <col width="9.699999999999999" customWidth="1" min="19" max="19"/>
    <col width="10.7" customWidth="1" min="20" max="20"/>
    <col width="16.7" customWidth="1" min="21" max="21"/>
    <col width="13.7" customWidth="1" min="22" max="22"/>
    <col width="10.7" customWidth="1" min="23" max="23"/>
    <col width="34.7" customWidth="1" min="24" max="24"/>
    <col width="30.7" customWidth="1" min="25" max="25"/>
    <col width="10.7" customWidth="1" min="26" max="26"/>
  </cols>
  <sheetData>
    <row r="1" ht="21.95" customHeight="1">
      <c r="A1" s="44" t="inlineStr">
        <is>
          <t>Anlagenübersicht – Risiko, Obsoleszenz und Investition (NEU)</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45" t="inlineStr">
        <is>
          <t>Eine Zeile je Anlage: für eine Einzelanlage nur die erste Zeile, für eine Maschinengruppe alle Anlagen der Gruppe. Gelbe Felder sind Eingaben; Skalen und Klassen im Blatt „Einstellungen“.</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39" customHeight="1">
      <c r="A4" s="18" t="inlineStr">
        <is>
          <t>Nr.</t>
        </is>
      </c>
      <c r="B4" s="18" t="inlineStr">
        <is>
          <t>Equipment-Nr.</t>
        </is>
      </c>
      <c r="C4" s="18" t="inlineStr">
        <is>
          <t>Anlagenbezeichnung</t>
        </is>
      </c>
      <c r="D4" s="18" t="inlineStr">
        <is>
          <t>Hersteller / Typ</t>
        </is>
      </c>
      <c r="E4" s="18" t="inlineStr">
        <is>
          <t>Baujahr</t>
        </is>
      </c>
      <c r="F4" s="18" t="inlineStr">
        <is>
          <t>Alter (Jahre)</t>
        </is>
      </c>
      <c r="G4" s="18" t="inlineStr">
        <is>
          <t>Steuerung / Hauptkomponente</t>
        </is>
      </c>
      <c r="H4" s="18" t="inlineStr">
        <is>
          <t>Kritikalität (A/B/C)</t>
        </is>
      </c>
      <c r="I4" s="18" t="inlineStr">
        <is>
          <t>Engpass- / Schlüsselanlage</t>
        </is>
      </c>
      <c r="J4" s="18" t="inlineStr">
        <is>
          <t>Techn. Verfügbarkeit (Ist)</t>
        </is>
      </c>
      <c r="K4" s="18" t="inlineStr">
        <is>
          <t>MTBF (h)</t>
        </is>
      </c>
      <c r="L4" s="18" t="inlineStr">
        <is>
          <t>MTTR (h)</t>
        </is>
      </c>
      <c r="M4" s="18" t="inlineStr">
        <is>
          <t>Obsoleszenzstatus</t>
        </is>
      </c>
      <c r="N4" s="18" t="inlineStr">
        <is>
          <t>Hersteller-unterstützung</t>
        </is>
      </c>
      <c r="O4" s="18" t="inlineStr">
        <is>
          <t>Ausweich-fertigung</t>
        </is>
      </c>
      <c r="P4" s="18" t="inlineStr">
        <is>
          <t>Notfallplan vorhanden</t>
        </is>
      </c>
      <c r="Q4" s="18" t="inlineStr">
        <is>
          <t>Ausfallwahr-scheinlichkeit W (1–5)</t>
        </is>
      </c>
      <c r="R4" s="18" t="inlineStr">
        <is>
          <t>Auswirkung A (1–5)</t>
        </is>
      </c>
      <c r="S4" s="18" t="inlineStr">
        <is>
          <t>Risikozahl W × A</t>
        </is>
      </c>
      <c r="T4" s="18" t="inlineStr">
        <is>
          <t>Risikoklasse</t>
        </is>
      </c>
      <c r="U4" s="18" t="inlineStr">
        <is>
          <t>Empfohlene Option</t>
        </is>
      </c>
      <c r="V4" s="18" t="inlineStr">
        <is>
          <t>Investition geschätzt (€)</t>
        </is>
      </c>
      <c r="W4" s="18" t="inlineStr">
        <is>
          <t>Umsetzung bis (Jahr)</t>
        </is>
      </c>
      <c r="X4" s="18" t="inlineStr">
        <is>
          <t>Auffälligkeiten (automatisch)</t>
        </is>
      </c>
      <c r="Y4" s="18" t="inlineStr">
        <is>
          <t>Bemerkung</t>
        </is>
      </c>
      <c r="Z4" s="68" t="inlineStr">
        <is>
          <t>Rang-Schlüssel (Hilfswert)</t>
        </is>
      </c>
    </row>
    <row r="5" ht="30" customHeight="1">
      <c r="A5" s="20">
        <f>IF(B5="","",COUNTA($B$5:B5))</f>
        <v/>
      </c>
      <c r="B5" s="48" t="n"/>
      <c r="C5" s="48" t="n"/>
      <c r="D5" s="48" t="n"/>
      <c r="E5" s="69" t="n"/>
      <c r="F5" s="70">
        <f>IF(E5="","",YEAR(IF(Audit!$E$3="",TODAY(),Audit!$E$3))-E5)</f>
        <v/>
      </c>
      <c r="G5" s="48" t="n"/>
      <c r="H5" s="63" t="n"/>
      <c r="I5" s="63" t="n"/>
      <c r="J5" s="71" t="n"/>
      <c r="K5" s="72" t="n"/>
      <c r="L5" s="73" t="n"/>
      <c r="M5" s="63" t="n"/>
      <c r="N5" s="63" t="n"/>
      <c r="O5" s="63" t="n"/>
      <c r="P5" s="63" t="n"/>
      <c r="Q5" s="63" t="n"/>
      <c r="R5" s="63" t="n"/>
      <c r="S5" s="41">
        <f>IF(OR(Q5="",R5=""),"",Q5*R5)</f>
        <v/>
      </c>
      <c r="T5" s="20">
        <f>IF(S5="","",IF(S5&gt;=Risiko_hoch,"hoch",IF(S5&gt;=Risiko_mittel,"mittel","gering")))</f>
        <v/>
      </c>
      <c r="U5" s="63" t="n"/>
      <c r="V5" s="74" t="n"/>
      <c r="W5" s="63" t="n"/>
      <c r="X5" s="75">
        <f>IF(B5="","",MID(IF(AND(H5="A",P5="nein"),"· A-Anlage ohne Notfallplan ","")&amp;IF(AND(OR(H5="A",I5="ja"),O5="keine"),"· keine Ausweichfertigung ","")&amp;IF(OR(M5="abgekündigt",M5="nicht mehr lieferbar"),"· Obsoleszenz: "&amp;M5&amp;" ","")&amp;IF(N5="keiner","· kein Herstellersupport ","")&amp;IF(AND(J5&lt;&gt;"",J5&lt;Ziel_Verfuegbarkeit),"· Verfügbarkeit unter Ziel ","")&amp;IF(AND(F5&lt;&gt;"",F5&gt;=25),"· Alter ≥ 25 Jahre ",""),3,300))</f>
        <v/>
      </c>
      <c r="Y5" s="48" t="n"/>
      <c r="Z5" s="76">
        <f>IF(S5="","",S5+(1000-ROW())/100000)</f>
        <v/>
      </c>
    </row>
    <row r="6" ht="30" customHeight="1">
      <c r="A6" s="20">
        <f>IF(B6="","",COUNTA($B$5:B6))</f>
        <v/>
      </c>
      <c r="B6" s="48" t="n"/>
      <c r="C6" s="48" t="n"/>
      <c r="D6" s="48" t="n"/>
      <c r="E6" s="69" t="n"/>
      <c r="F6" s="70">
        <f>IF(E6="","",YEAR(IF(Audit!$E$3="",TODAY(),Audit!$E$3))-E6)</f>
        <v/>
      </c>
      <c r="G6" s="48" t="n"/>
      <c r="H6" s="63" t="n"/>
      <c r="I6" s="63" t="n"/>
      <c r="J6" s="71" t="n"/>
      <c r="K6" s="72" t="n"/>
      <c r="L6" s="73" t="n"/>
      <c r="M6" s="63" t="n"/>
      <c r="N6" s="63" t="n"/>
      <c r="O6" s="63" t="n"/>
      <c r="P6" s="63" t="n"/>
      <c r="Q6" s="63" t="n"/>
      <c r="R6" s="63" t="n"/>
      <c r="S6" s="41">
        <f>IF(OR(Q6="",R6=""),"",Q6*R6)</f>
        <v/>
      </c>
      <c r="T6" s="20">
        <f>IF(S6="","",IF(S6&gt;=Risiko_hoch,"hoch",IF(S6&gt;=Risiko_mittel,"mittel","gering")))</f>
        <v/>
      </c>
      <c r="U6" s="63" t="n"/>
      <c r="V6" s="74" t="n"/>
      <c r="W6" s="63" t="n"/>
      <c r="X6" s="75">
        <f>IF(B6="","",MID(IF(AND(H6="A",P6="nein"),"· A-Anlage ohne Notfallplan ","")&amp;IF(AND(OR(H6="A",I6="ja"),O6="keine"),"· keine Ausweichfertigung ","")&amp;IF(OR(M6="abgekündigt",M6="nicht mehr lieferbar"),"· Obsoleszenz: "&amp;M6&amp;" ","")&amp;IF(N6="keiner","· kein Herstellersupport ","")&amp;IF(AND(J6&lt;&gt;"",J6&lt;Ziel_Verfuegbarkeit),"· Verfügbarkeit unter Ziel ","")&amp;IF(AND(F6&lt;&gt;"",F6&gt;=25),"· Alter ≥ 25 Jahre ",""),3,300))</f>
        <v/>
      </c>
      <c r="Y6" s="48" t="n"/>
      <c r="Z6" s="76">
        <f>IF(S6="","",S6+(1000-ROW())/100000)</f>
        <v/>
      </c>
    </row>
    <row r="7" ht="30" customHeight="1">
      <c r="A7" s="20">
        <f>IF(B7="","",COUNTA($B$5:B7))</f>
        <v/>
      </c>
      <c r="B7" s="48" t="n"/>
      <c r="C7" s="48" t="n"/>
      <c r="D7" s="48" t="n"/>
      <c r="E7" s="69" t="n"/>
      <c r="F7" s="70">
        <f>IF(E7="","",YEAR(IF(Audit!$E$3="",TODAY(),Audit!$E$3))-E7)</f>
        <v/>
      </c>
      <c r="G7" s="48" t="n"/>
      <c r="H7" s="63" t="n"/>
      <c r="I7" s="63" t="n"/>
      <c r="J7" s="71" t="n"/>
      <c r="K7" s="72" t="n"/>
      <c r="L7" s="73" t="n"/>
      <c r="M7" s="63" t="n"/>
      <c r="N7" s="63" t="n"/>
      <c r="O7" s="63" t="n"/>
      <c r="P7" s="63" t="n"/>
      <c r="Q7" s="63" t="n"/>
      <c r="R7" s="63" t="n"/>
      <c r="S7" s="41">
        <f>IF(OR(Q7="",R7=""),"",Q7*R7)</f>
        <v/>
      </c>
      <c r="T7" s="20">
        <f>IF(S7="","",IF(S7&gt;=Risiko_hoch,"hoch",IF(S7&gt;=Risiko_mittel,"mittel","gering")))</f>
        <v/>
      </c>
      <c r="U7" s="63" t="n"/>
      <c r="V7" s="74" t="n"/>
      <c r="W7" s="63" t="n"/>
      <c r="X7" s="75">
        <f>IF(B7="","",MID(IF(AND(H7="A",P7="nein"),"· A-Anlage ohne Notfallplan ","")&amp;IF(AND(OR(H7="A",I7="ja"),O7="keine"),"· keine Ausweichfertigung ","")&amp;IF(OR(M7="abgekündigt",M7="nicht mehr lieferbar"),"· Obsoleszenz: "&amp;M7&amp;" ","")&amp;IF(N7="keiner","· kein Herstellersupport ","")&amp;IF(AND(J7&lt;&gt;"",J7&lt;Ziel_Verfuegbarkeit),"· Verfügbarkeit unter Ziel ","")&amp;IF(AND(F7&lt;&gt;"",F7&gt;=25),"· Alter ≥ 25 Jahre ",""),3,300))</f>
        <v/>
      </c>
      <c r="Y7" s="48" t="n"/>
      <c r="Z7" s="76">
        <f>IF(S7="","",S7+(1000-ROW())/100000)</f>
        <v/>
      </c>
    </row>
    <row r="8" ht="30" customHeight="1">
      <c r="A8" s="20">
        <f>IF(B8="","",COUNTA($B$5:B8))</f>
        <v/>
      </c>
      <c r="B8" s="48" t="n"/>
      <c r="C8" s="48" t="n"/>
      <c r="D8" s="48" t="n"/>
      <c r="E8" s="69" t="n"/>
      <c r="F8" s="70">
        <f>IF(E8="","",YEAR(IF(Audit!$E$3="",TODAY(),Audit!$E$3))-E8)</f>
        <v/>
      </c>
      <c r="G8" s="48" t="n"/>
      <c r="H8" s="63" t="n"/>
      <c r="I8" s="63" t="n"/>
      <c r="J8" s="71" t="n"/>
      <c r="K8" s="72" t="n"/>
      <c r="L8" s="73" t="n"/>
      <c r="M8" s="63" t="n"/>
      <c r="N8" s="63" t="n"/>
      <c r="O8" s="63" t="n"/>
      <c r="P8" s="63" t="n"/>
      <c r="Q8" s="63" t="n"/>
      <c r="R8" s="63" t="n"/>
      <c r="S8" s="41">
        <f>IF(OR(Q8="",R8=""),"",Q8*R8)</f>
        <v/>
      </c>
      <c r="T8" s="20">
        <f>IF(S8="","",IF(S8&gt;=Risiko_hoch,"hoch",IF(S8&gt;=Risiko_mittel,"mittel","gering")))</f>
        <v/>
      </c>
      <c r="U8" s="63" t="n"/>
      <c r="V8" s="74" t="n"/>
      <c r="W8" s="63" t="n"/>
      <c r="X8" s="75">
        <f>IF(B8="","",MID(IF(AND(H8="A",P8="nein"),"· A-Anlage ohne Notfallplan ","")&amp;IF(AND(OR(H8="A",I8="ja"),O8="keine"),"· keine Ausweichfertigung ","")&amp;IF(OR(M8="abgekündigt",M8="nicht mehr lieferbar"),"· Obsoleszenz: "&amp;M8&amp;" ","")&amp;IF(N8="keiner","· kein Herstellersupport ","")&amp;IF(AND(J8&lt;&gt;"",J8&lt;Ziel_Verfuegbarkeit),"· Verfügbarkeit unter Ziel ","")&amp;IF(AND(F8&lt;&gt;"",F8&gt;=25),"· Alter ≥ 25 Jahre ",""),3,300))</f>
        <v/>
      </c>
      <c r="Y8" s="48" t="n"/>
      <c r="Z8" s="76">
        <f>IF(S8="","",S8+(1000-ROW())/100000)</f>
        <v/>
      </c>
    </row>
    <row r="9" ht="30" customHeight="1">
      <c r="A9" s="20">
        <f>IF(B9="","",COUNTA($B$5:B9))</f>
        <v/>
      </c>
      <c r="B9" s="48" t="n"/>
      <c r="C9" s="48" t="n"/>
      <c r="D9" s="48" t="n"/>
      <c r="E9" s="69" t="n"/>
      <c r="F9" s="70">
        <f>IF(E9="","",YEAR(IF(Audit!$E$3="",TODAY(),Audit!$E$3))-E9)</f>
        <v/>
      </c>
      <c r="G9" s="48" t="n"/>
      <c r="H9" s="63" t="n"/>
      <c r="I9" s="63" t="n"/>
      <c r="J9" s="71" t="n"/>
      <c r="K9" s="72" t="n"/>
      <c r="L9" s="73" t="n"/>
      <c r="M9" s="63" t="n"/>
      <c r="N9" s="63" t="n"/>
      <c r="O9" s="63" t="n"/>
      <c r="P9" s="63" t="n"/>
      <c r="Q9" s="63" t="n"/>
      <c r="R9" s="63" t="n"/>
      <c r="S9" s="41">
        <f>IF(OR(Q9="",R9=""),"",Q9*R9)</f>
        <v/>
      </c>
      <c r="T9" s="20">
        <f>IF(S9="","",IF(S9&gt;=Risiko_hoch,"hoch",IF(S9&gt;=Risiko_mittel,"mittel","gering")))</f>
        <v/>
      </c>
      <c r="U9" s="63" t="n"/>
      <c r="V9" s="74" t="n"/>
      <c r="W9" s="63" t="n"/>
      <c r="X9" s="75">
        <f>IF(B9="","",MID(IF(AND(H9="A",P9="nein"),"· A-Anlage ohne Notfallplan ","")&amp;IF(AND(OR(H9="A",I9="ja"),O9="keine"),"· keine Ausweichfertigung ","")&amp;IF(OR(M9="abgekündigt",M9="nicht mehr lieferbar"),"· Obsoleszenz: "&amp;M9&amp;" ","")&amp;IF(N9="keiner","· kein Herstellersupport ","")&amp;IF(AND(J9&lt;&gt;"",J9&lt;Ziel_Verfuegbarkeit),"· Verfügbarkeit unter Ziel ","")&amp;IF(AND(F9&lt;&gt;"",F9&gt;=25),"· Alter ≥ 25 Jahre ",""),3,300))</f>
        <v/>
      </c>
      <c r="Y9" s="48" t="n"/>
      <c r="Z9" s="76">
        <f>IF(S9="","",S9+(1000-ROW())/100000)</f>
        <v/>
      </c>
    </row>
    <row r="10" ht="30" customHeight="1">
      <c r="A10" s="20">
        <f>IF(B10="","",COUNTA($B$5:B10))</f>
        <v/>
      </c>
      <c r="B10" s="48" t="n"/>
      <c r="C10" s="48" t="n"/>
      <c r="D10" s="48" t="n"/>
      <c r="E10" s="69" t="n"/>
      <c r="F10" s="70">
        <f>IF(E10="","",YEAR(IF(Audit!$E$3="",TODAY(),Audit!$E$3))-E10)</f>
        <v/>
      </c>
      <c r="G10" s="48" t="n"/>
      <c r="H10" s="63" t="n"/>
      <c r="I10" s="63" t="n"/>
      <c r="J10" s="71" t="n"/>
      <c r="K10" s="72" t="n"/>
      <c r="L10" s="73" t="n"/>
      <c r="M10" s="63" t="n"/>
      <c r="N10" s="63" t="n"/>
      <c r="O10" s="63" t="n"/>
      <c r="P10" s="63" t="n"/>
      <c r="Q10" s="63" t="n"/>
      <c r="R10" s="63" t="n"/>
      <c r="S10" s="41">
        <f>IF(OR(Q10="",R10=""),"",Q10*R10)</f>
        <v/>
      </c>
      <c r="T10" s="20">
        <f>IF(S10="","",IF(S10&gt;=Risiko_hoch,"hoch",IF(S10&gt;=Risiko_mittel,"mittel","gering")))</f>
        <v/>
      </c>
      <c r="U10" s="63" t="n"/>
      <c r="V10" s="74" t="n"/>
      <c r="W10" s="63" t="n"/>
      <c r="X10" s="75">
        <f>IF(B10="","",MID(IF(AND(H10="A",P10="nein"),"· A-Anlage ohne Notfallplan ","")&amp;IF(AND(OR(H10="A",I10="ja"),O10="keine"),"· keine Ausweichfertigung ","")&amp;IF(OR(M10="abgekündigt",M10="nicht mehr lieferbar"),"· Obsoleszenz: "&amp;M10&amp;" ","")&amp;IF(N10="keiner","· kein Herstellersupport ","")&amp;IF(AND(J10&lt;&gt;"",J10&lt;Ziel_Verfuegbarkeit),"· Verfügbarkeit unter Ziel ","")&amp;IF(AND(F10&lt;&gt;"",F10&gt;=25),"· Alter ≥ 25 Jahre ",""),3,300))</f>
        <v/>
      </c>
      <c r="Y10" s="48" t="n"/>
      <c r="Z10" s="76">
        <f>IF(S10="","",S10+(1000-ROW())/100000)</f>
        <v/>
      </c>
    </row>
    <row r="11" ht="30" customHeight="1">
      <c r="A11" s="20">
        <f>IF(B11="","",COUNTA($B$5:B11))</f>
        <v/>
      </c>
      <c r="B11" s="48" t="n"/>
      <c r="C11" s="48" t="n"/>
      <c r="D11" s="48" t="n"/>
      <c r="E11" s="69" t="n"/>
      <c r="F11" s="70">
        <f>IF(E11="","",YEAR(IF(Audit!$E$3="",TODAY(),Audit!$E$3))-E11)</f>
        <v/>
      </c>
      <c r="G11" s="48" t="n"/>
      <c r="H11" s="63" t="n"/>
      <c r="I11" s="63" t="n"/>
      <c r="J11" s="71" t="n"/>
      <c r="K11" s="72" t="n"/>
      <c r="L11" s="73" t="n"/>
      <c r="M11" s="63" t="n"/>
      <c r="N11" s="63" t="n"/>
      <c r="O11" s="63" t="n"/>
      <c r="P11" s="63" t="n"/>
      <c r="Q11" s="63" t="n"/>
      <c r="R11" s="63" t="n"/>
      <c r="S11" s="41">
        <f>IF(OR(Q11="",R11=""),"",Q11*R11)</f>
        <v/>
      </c>
      <c r="T11" s="20">
        <f>IF(S11="","",IF(S11&gt;=Risiko_hoch,"hoch",IF(S11&gt;=Risiko_mittel,"mittel","gering")))</f>
        <v/>
      </c>
      <c r="U11" s="63" t="n"/>
      <c r="V11" s="74" t="n"/>
      <c r="W11" s="63" t="n"/>
      <c r="X11" s="75">
        <f>IF(B11="","",MID(IF(AND(H11="A",P11="nein"),"· A-Anlage ohne Notfallplan ","")&amp;IF(AND(OR(H11="A",I11="ja"),O11="keine"),"· keine Ausweichfertigung ","")&amp;IF(OR(M11="abgekündigt",M11="nicht mehr lieferbar"),"· Obsoleszenz: "&amp;M11&amp;" ","")&amp;IF(N11="keiner","· kein Herstellersupport ","")&amp;IF(AND(J11&lt;&gt;"",J11&lt;Ziel_Verfuegbarkeit),"· Verfügbarkeit unter Ziel ","")&amp;IF(AND(F11&lt;&gt;"",F11&gt;=25),"· Alter ≥ 25 Jahre ",""),3,300))</f>
        <v/>
      </c>
      <c r="Y11" s="48" t="n"/>
      <c r="Z11" s="76">
        <f>IF(S11="","",S11+(1000-ROW())/100000)</f>
        <v/>
      </c>
    </row>
    <row r="12" ht="30" customHeight="1">
      <c r="A12" s="20">
        <f>IF(B12="","",COUNTA($B$5:B12))</f>
        <v/>
      </c>
      <c r="B12" s="48" t="n"/>
      <c r="C12" s="48" t="n"/>
      <c r="D12" s="48" t="n"/>
      <c r="E12" s="69" t="n"/>
      <c r="F12" s="70">
        <f>IF(E12="","",YEAR(IF(Audit!$E$3="",TODAY(),Audit!$E$3))-E12)</f>
        <v/>
      </c>
      <c r="G12" s="48" t="n"/>
      <c r="H12" s="63" t="n"/>
      <c r="I12" s="63" t="n"/>
      <c r="J12" s="71" t="n"/>
      <c r="K12" s="72" t="n"/>
      <c r="L12" s="73" t="n"/>
      <c r="M12" s="63" t="n"/>
      <c r="N12" s="63" t="n"/>
      <c r="O12" s="63" t="n"/>
      <c r="P12" s="63" t="n"/>
      <c r="Q12" s="63" t="n"/>
      <c r="R12" s="63" t="n"/>
      <c r="S12" s="41">
        <f>IF(OR(Q12="",R12=""),"",Q12*R12)</f>
        <v/>
      </c>
      <c r="T12" s="20">
        <f>IF(S12="","",IF(S12&gt;=Risiko_hoch,"hoch",IF(S12&gt;=Risiko_mittel,"mittel","gering")))</f>
        <v/>
      </c>
      <c r="U12" s="63" t="n"/>
      <c r="V12" s="74" t="n"/>
      <c r="W12" s="63" t="n"/>
      <c r="X12" s="75">
        <f>IF(B12="","",MID(IF(AND(H12="A",P12="nein"),"· A-Anlage ohne Notfallplan ","")&amp;IF(AND(OR(H12="A",I12="ja"),O12="keine"),"· keine Ausweichfertigung ","")&amp;IF(OR(M12="abgekündigt",M12="nicht mehr lieferbar"),"· Obsoleszenz: "&amp;M12&amp;" ","")&amp;IF(N12="keiner","· kein Herstellersupport ","")&amp;IF(AND(J12&lt;&gt;"",J12&lt;Ziel_Verfuegbarkeit),"· Verfügbarkeit unter Ziel ","")&amp;IF(AND(F12&lt;&gt;"",F12&gt;=25),"· Alter ≥ 25 Jahre ",""),3,300))</f>
        <v/>
      </c>
      <c r="Y12" s="48" t="n"/>
      <c r="Z12" s="76">
        <f>IF(S12="","",S12+(1000-ROW())/100000)</f>
        <v/>
      </c>
    </row>
    <row r="13" ht="30" customHeight="1">
      <c r="A13" s="20">
        <f>IF(B13="","",COUNTA($B$5:B13))</f>
        <v/>
      </c>
      <c r="B13" s="48" t="n"/>
      <c r="C13" s="48" t="n"/>
      <c r="D13" s="48" t="n"/>
      <c r="E13" s="69" t="n"/>
      <c r="F13" s="70">
        <f>IF(E13="","",YEAR(IF(Audit!$E$3="",TODAY(),Audit!$E$3))-E13)</f>
        <v/>
      </c>
      <c r="G13" s="48" t="n"/>
      <c r="H13" s="63" t="n"/>
      <c r="I13" s="63" t="n"/>
      <c r="J13" s="71" t="n"/>
      <c r="K13" s="72" t="n"/>
      <c r="L13" s="73" t="n"/>
      <c r="M13" s="63" t="n"/>
      <c r="N13" s="63" t="n"/>
      <c r="O13" s="63" t="n"/>
      <c r="P13" s="63" t="n"/>
      <c r="Q13" s="63" t="n"/>
      <c r="R13" s="63" t="n"/>
      <c r="S13" s="41">
        <f>IF(OR(Q13="",R13=""),"",Q13*R13)</f>
        <v/>
      </c>
      <c r="T13" s="20">
        <f>IF(S13="","",IF(S13&gt;=Risiko_hoch,"hoch",IF(S13&gt;=Risiko_mittel,"mittel","gering")))</f>
        <v/>
      </c>
      <c r="U13" s="63" t="n"/>
      <c r="V13" s="74" t="n"/>
      <c r="W13" s="63" t="n"/>
      <c r="X13" s="75">
        <f>IF(B13="","",MID(IF(AND(H13="A",P13="nein"),"· A-Anlage ohne Notfallplan ","")&amp;IF(AND(OR(H13="A",I13="ja"),O13="keine"),"· keine Ausweichfertigung ","")&amp;IF(OR(M13="abgekündigt",M13="nicht mehr lieferbar"),"· Obsoleszenz: "&amp;M13&amp;" ","")&amp;IF(N13="keiner","· kein Herstellersupport ","")&amp;IF(AND(J13&lt;&gt;"",J13&lt;Ziel_Verfuegbarkeit),"· Verfügbarkeit unter Ziel ","")&amp;IF(AND(F13&lt;&gt;"",F13&gt;=25),"· Alter ≥ 25 Jahre ",""),3,300))</f>
        <v/>
      </c>
      <c r="Y13" s="48" t="n"/>
      <c r="Z13" s="76">
        <f>IF(S13="","",S13+(1000-ROW())/100000)</f>
        <v/>
      </c>
    </row>
    <row r="14" ht="30" customHeight="1">
      <c r="A14" s="20">
        <f>IF(B14="","",COUNTA($B$5:B14))</f>
        <v/>
      </c>
      <c r="B14" s="48" t="n"/>
      <c r="C14" s="48" t="n"/>
      <c r="D14" s="48" t="n"/>
      <c r="E14" s="69" t="n"/>
      <c r="F14" s="70">
        <f>IF(E14="","",YEAR(IF(Audit!$E$3="",TODAY(),Audit!$E$3))-E14)</f>
        <v/>
      </c>
      <c r="G14" s="48" t="n"/>
      <c r="H14" s="63" t="n"/>
      <c r="I14" s="63" t="n"/>
      <c r="J14" s="71" t="n"/>
      <c r="K14" s="72" t="n"/>
      <c r="L14" s="73" t="n"/>
      <c r="M14" s="63" t="n"/>
      <c r="N14" s="63" t="n"/>
      <c r="O14" s="63" t="n"/>
      <c r="P14" s="63" t="n"/>
      <c r="Q14" s="63" t="n"/>
      <c r="R14" s="63" t="n"/>
      <c r="S14" s="41">
        <f>IF(OR(Q14="",R14=""),"",Q14*R14)</f>
        <v/>
      </c>
      <c r="T14" s="20">
        <f>IF(S14="","",IF(S14&gt;=Risiko_hoch,"hoch",IF(S14&gt;=Risiko_mittel,"mittel","gering")))</f>
        <v/>
      </c>
      <c r="U14" s="63" t="n"/>
      <c r="V14" s="74" t="n"/>
      <c r="W14" s="63" t="n"/>
      <c r="X14" s="75">
        <f>IF(B14="","",MID(IF(AND(H14="A",P14="nein"),"· A-Anlage ohne Notfallplan ","")&amp;IF(AND(OR(H14="A",I14="ja"),O14="keine"),"· keine Ausweichfertigung ","")&amp;IF(OR(M14="abgekündigt",M14="nicht mehr lieferbar"),"· Obsoleszenz: "&amp;M14&amp;" ","")&amp;IF(N14="keiner","· kein Herstellersupport ","")&amp;IF(AND(J14&lt;&gt;"",J14&lt;Ziel_Verfuegbarkeit),"· Verfügbarkeit unter Ziel ","")&amp;IF(AND(F14&lt;&gt;"",F14&gt;=25),"· Alter ≥ 25 Jahre ",""),3,300))</f>
        <v/>
      </c>
      <c r="Y14" s="48" t="n"/>
      <c r="Z14" s="76">
        <f>IF(S14="","",S14+(1000-ROW())/100000)</f>
        <v/>
      </c>
    </row>
    <row r="15" ht="30" customHeight="1">
      <c r="A15" s="20">
        <f>IF(B15="","",COUNTA($B$5:B15))</f>
        <v/>
      </c>
      <c r="B15" s="48" t="n"/>
      <c r="C15" s="48" t="n"/>
      <c r="D15" s="48" t="n"/>
      <c r="E15" s="69" t="n"/>
      <c r="F15" s="70">
        <f>IF(E15="","",YEAR(IF(Audit!$E$3="",TODAY(),Audit!$E$3))-E15)</f>
        <v/>
      </c>
      <c r="G15" s="48" t="n"/>
      <c r="H15" s="63" t="n"/>
      <c r="I15" s="63" t="n"/>
      <c r="J15" s="71" t="n"/>
      <c r="K15" s="72" t="n"/>
      <c r="L15" s="73" t="n"/>
      <c r="M15" s="63" t="n"/>
      <c r="N15" s="63" t="n"/>
      <c r="O15" s="63" t="n"/>
      <c r="P15" s="63" t="n"/>
      <c r="Q15" s="63" t="n"/>
      <c r="R15" s="63" t="n"/>
      <c r="S15" s="41">
        <f>IF(OR(Q15="",R15=""),"",Q15*R15)</f>
        <v/>
      </c>
      <c r="T15" s="20">
        <f>IF(S15="","",IF(S15&gt;=Risiko_hoch,"hoch",IF(S15&gt;=Risiko_mittel,"mittel","gering")))</f>
        <v/>
      </c>
      <c r="U15" s="63" t="n"/>
      <c r="V15" s="74" t="n"/>
      <c r="W15" s="63" t="n"/>
      <c r="X15" s="75">
        <f>IF(B15="","",MID(IF(AND(H15="A",P15="nein"),"· A-Anlage ohne Notfallplan ","")&amp;IF(AND(OR(H15="A",I15="ja"),O15="keine"),"· keine Ausweichfertigung ","")&amp;IF(OR(M15="abgekündigt",M15="nicht mehr lieferbar"),"· Obsoleszenz: "&amp;M15&amp;" ","")&amp;IF(N15="keiner","· kein Herstellersupport ","")&amp;IF(AND(J15&lt;&gt;"",J15&lt;Ziel_Verfuegbarkeit),"· Verfügbarkeit unter Ziel ","")&amp;IF(AND(F15&lt;&gt;"",F15&gt;=25),"· Alter ≥ 25 Jahre ",""),3,300))</f>
        <v/>
      </c>
      <c r="Y15" s="48" t="n"/>
      <c r="Z15" s="76">
        <f>IF(S15="","",S15+(1000-ROW())/100000)</f>
        <v/>
      </c>
    </row>
    <row r="16" ht="30" customHeight="1">
      <c r="A16" s="20">
        <f>IF(B16="","",COUNTA($B$5:B16))</f>
        <v/>
      </c>
      <c r="B16" s="48" t="n"/>
      <c r="C16" s="48" t="n"/>
      <c r="D16" s="48" t="n"/>
      <c r="E16" s="69" t="n"/>
      <c r="F16" s="70">
        <f>IF(E16="","",YEAR(IF(Audit!$E$3="",TODAY(),Audit!$E$3))-E16)</f>
        <v/>
      </c>
      <c r="G16" s="48" t="n"/>
      <c r="H16" s="63" t="n"/>
      <c r="I16" s="63" t="n"/>
      <c r="J16" s="71" t="n"/>
      <c r="K16" s="72" t="n"/>
      <c r="L16" s="73" t="n"/>
      <c r="M16" s="63" t="n"/>
      <c r="N16" s="63" t="n"/>
      <c r="O16" s="63" t="n"/>
      <c r="P16" s="63" t="n"/>
      <c r="Q16" s="63" t="n"/>
      <c r="R16" s="63" t="n"/>
      <c r="S16" s="41">
        <f>IF(OR(Q16="",R16=""),"",Q16*R16)</f>
        <v/>
      </c>
      <c r="T16" s="20">
        <f>IF(S16="","",IF(S16&gt;=Risiko_hoch,"hoch",IF(S16&gt;=Risiko_mittel,"mittel","gering")))</f>
        <v/>
      </c>
      <c r="U16" s="63" t="n"/>
      <c r="V16" s="74" t="n"/>
      <c r="W16" s="63" t="n"/>
      <c r="X16" s="75">
        <f>IF(B16="","",MID(IF(AND(H16="A",P16="nein"),"· A-Anlage ohne Notfallplan ","")&amp;IF(AND(OR(H16="A",I16="ja"),O16="keine"),"· keine Ausweichfertigung ","")&amp;IF(OR(M16="abgekündigt",M16="nicht mehr lieferbar"),"· Obsoleszenz: "&amp;M16&amp;" ","")&amp;IF(N16="keiner","· kein Herstellersupport ","")&amp;IF(AND(J16&lt;&gt;"",J16&lt;Ziel_Verfuegbarkeit),"· Verfügbarkeit unter Ziel ","")&amp;IF(AND(F16&lt;&gt;"",F16&gt;=25),"· Alter ≥ 25 Jahre ",""),3,300))</f>
        <v/>
      </c>
      <c r="Y16" s="48" t="n"/>
      <c r="Z16" s="76">
        <f>IF(S16="","",S16+(1000-ROW())/100000)</f>
        <v/>
      </c>
    </row>
    <row r="17" ht="30" customHeight="1">
      <c r="A17" s="20">
        <f>IF(B17="","",COUNTA($B$5:B17))</f>
        <v/>
      </c>
      <c r="B17" s="48" t="n"/>
      <c r="C17" s="48" t="n"/>
      <c r="D17" s="48" t="n"/>
      <c r="E17" s="69" t="n"/>
      <c r="F17" s="70">
        <f>IF(E17="","",YEAR(IF(Audit!$E$3="",TODAY(),Audit!$E$3))-E17)</f>
        <v/>
      </c>
      <c r="G17" s="48" t="n"/>
      <c r="H17" s="63" t="n"/>
      <c r="I17" s="63" t="n"/>
      <c r="J17" s="71" t="n"/>
      <c r="K17" s="72" t="n"/>
      <c r="L17" s="73" t="n"/>
      <c r="M17" s="63" t="n"/>
      <c r="N17" s="63" t="n"/>
      <c r="O17" s="63" t="n"/>
      <c r="P17" s="63" t="n"/>
      <c r="Q17" s="63" t="n"/>
      <c r="R17" s="63" t="n"/>
      <c r="S17" s="41">
        <f>IF(OR(Q17="",R17=""),"",Q17*R17)</f>
        <v/>
      </c>
      <c r="T17" s="20">
        <f>IF(S17="","",IF(S17&gt;=Risiko_hoch,"hoch",IF(S17&gt;=Risiko_mittel,"mittel","gering")))</f>
        <v/>
      </c>
      <c r="U17" s="63" t="n"/>
      <c r="V17" s="74" t="n"/>
      <c r="W17" s="63" t="n"/>
      <c r="X17" s="75">
        <f>IF(B17="","",MID(IF(AND(H17="A",P17="nein"),"· A-Anlage ohne Notfallplan ","")&amp;IF(AND(OR(H17="A",I17="ja"),O17="keine"),"· keine Ausweichfertigung ","")&amp;IF(OR(M17="abgekündigt",M17="nicht mehr lieferbar"),"· Obsoleszenz: "&amp;M17&amp;" ","")&amp;IF(N17="keiner","· kein Herstellersupport ","")&amp;IF(AND(J17&lt;&gt;"",J17&lt;Ziel_Verfuegbarkeit),"· Verfügbarkeit unter Ziel ","")&amp;IF(AND(F17&lt;&gt;"",F17&gt;=25),"· Alter ≥ 25 Jahre ",""),3,300))</f>
        <v/>
      </c>
      <c r="Y17" s="48" t="n"/>
      <c r="Z17" s="76">
        <f>IF(S17="","",S17+(1000-ROW())/100000)</f>
        <v/>
      </c>
    </row>
    <row r="18" ht="30" customHeight="1">
      <c r="A18" s="20">
        <f>IF(B18="","",COUNTA($B$5:B18))</f>
        <v/>
      </c>
      <c r="B18" s="48" t="n"/>
      <c r="C18" s="48" t="n"/>
      <c r="D18" s="48" t="n"/>
      <c r="E18" s="69" t="n"/>
      <c r="F18" s="70">
        <f>IF(E18="","",YEAR(IF(Audit!$E$3="",TODAY(),Audit!$E$3))-E18)</f>
        <v/>
      </c>
      <c r="G18" s="48" t="n"/>
      <c r="H18" s="63" t="n"/>
      <c r="I18" s="63" t="n"/>
      <c r="J18" s="71" t="n"/>
      <c r="K18" s="72" t="n"/>
      <c r="L18" s="73" t="n"/>
      <c r="M18" s="63" t="n"/>
      <c r="N18" s="63" t="n"/>
      <c r="O18" s="63" t="n"/>
      <c r="P18" s="63" t="n"/>
      <c r="Q18" s="63" t="n"/>
      <c r="R18" s="63" t="n"/>
      <c r="S18" s="41">
        <f>IF(OR(Q18="",R18=""),"",Q18*R18)</f>
        <v/>
      </c>
      <c r="T18" s="20">
        <f>IF(S18="","",IF(S18&gt;=Risiko_hoch,"hoch",IF(S18&gt;=Risiko_mittel,"mittel","gering")))</f>
        <v/>
      </c>
      <c r="U18" s="63" t="n"/>
      <c r="V18" s="74" t="n"/>
      <c r="W18" s="63" t="n"/>
      <c r="X18" s="75">
        <f>IF(B18="","",MID(IF(AND(H18="A",P18="nein"),"· A-Anlage ohne Notfallplan ","")&amp;IF(AND(OR(H18="A",I18="ja"),O18="keine"),"· keine Ausweichfertigung ","")&amp;IF(OR(M18="abgekündigt",M18="nicht mehr lieferbar"),"· Obsoleszenz: "&amp;M18&amp;" ","")&amp;IF(N18="keiner","· kein Herstellersupport ","")&amp;IF(AND(J18&lt;&gt;"",J18&lt;Ziel_Verfuegbarkeit),"· Verfügbarkeit unter Ziel ","")&amp;IF(AND(F18&lt;&gt;"",F18&gt;=25),"· Alter ≥ 25 Jahre ",""),3,300))</f>
        <v/>
      </c>
      <c r="Y18" s="48" t="n"/>
      <c r="Z18" s="76">
        <f>IF(S18="","",S18+(1000-ROW())/100000)</f>
        <v/>
      </c>
    </row>
    <row r="19" ht="30" customHeight="1">
      <c r="A19" s="20">
        <f>IF(B19="","",COUNTA($B$5:B19))</f>
        <v/>
      </c>
      <c r="B19" s="48" t="n"/>
      <c r="C19" s="48" t="n"/>
      <c r="D19" s="48" t="n"/>
      <c r="E19" s="69" t="n"/>
      <c r="F19" s="70">
        <f>IF(E19="","",YEAR(IF(Audit!$E$3="",TODAY(),Audit!$E$3))-E19)</f>
        <v/>
      </c>
      <c r="G19" s="48" t="n"/>
      <c r="H19" s="63" t="n"/>
      <c r="I19" s="63" t="n"/>
      <c r="J19" s="71" t="n"/>
      <c r="K19" s="72" t="n"/>
      <c r="L19" s="73" t="n"/>
      <c r="M19" s="63" t="n"/>
      <c r="N19" s="63" t="n"/>
      <c r="O19" s="63" t="n"/>
      <c r="P19" s="63" t="n"/>
      <c r="Q19" s="63" t="n"/>
      <c r="R19" s="63" t="n"/>
      <c r="S19" s="41">
        <f>IF(OR(Q19="",R19=""),"",Q19*R19)</f>
        <v/>
      </c>
      <c r="T19" s="20">
        <f>IF(S19="","",IF(S19&gt;=Risiko_hoch,"hoch",IF(S19&gt;=Risiko_mittel,"mittel","gering")))</f>
        <v/>
      </c>
      <c r="U19" s="63" t="n"/>
      <c r="V19" s="74" t="n"/>
      <c r="W19" s="63" t="n"/>
      <c r="X19" s="75">
        <f>IF(B19="","",MID(IF(AND(H19="A",P19="nein"),"· A-Anlage ohne Notfallplan ","")&amp;IF(AND(OR(H19="A",I19="ja"),O19="keine"),"· keine Ausweichfertigung ","")&amp;IF(OR(M19="abgekündigt",M19="nicht mehr lieferbar"),"· Obsoleszenz: "&amp;M19&amp;" ","")&amp;IF(N19="keiner","· kein Herstellersupport ","")&amp;IF(AND(J19&lt;&gt;"",J19&lt;Ziel_Verfuegbarkeit),"· Verfügbarkeit unter Ziel ","")&amp;IF(AND(F19&lt;&gt;"",F19&gt;=25),"· Alter ≥ 25 Jahre ",""),3,300))</f>
        <v/>
      </c>
      <c r="Y19" s="48" t="n"/>
      <c r="Z19" s="76">
        <f>IF(S19="","",S19+(1000-ROW())/100000)</f>
        <v/>
      </c>
    </row>
    <row r="20" ht="30" customHeight="1">
      <c r="A20" s="20">
        <f>IF(B20="","",COUNTA($B$5:B20))</f>
        <v/>
      </c>
      <c r="B20" s="48" t="n"/>
      <c r="C20" s="48" t="n"/>
      <c r="D20" s="48" t="n"/>
      <c r="E20" s="69" t="n"/>
      <c r="F20" s="70">
        <f>IF(E20="","",YEAR(IF(Audit!$E$3="",TODAY(),Audit!$E$3))-E20)</f>
        <v/>
      </c>
      <c r="G20" s="48" t="n"/>
      <c r="H20" s="63" t="n"/>
      <c r="I20" s="63" t="n"/>
      <c r="J20" s="71" t="n"/>
      <c r="K20" s="72" t="n"/>
      <c r="L20" s="73" t="n"/>
      <c r="M20" s="63" t="n"/>
      <c r="N20" s="63" t="n"/>
      <c r="O20" s="63" t="n"/>
      <c r="P20" s="63" t="n"/>
      <c r="Q20" s="63" t="n"/>
      <c r="R20" s="63" t="n"/>
      <c r="S20" s="41">
        <f>IF(OR(Q20="",R20=""),"",Q20*R20)</f>
        <v/>
      </c>
      <c r="T20" s="20">
        <f>IF(S20="","",IF(S20&gt;=Risiko_hoch,"hoch",IF(S20&gt;=Risiko_mittel,"mittel","gering")))</f>
        <v/>
      </c>
      <c r="U20" s="63" t="n"/>
      <c r="V20" s="74" t="n"/>
      <c r="W20" s="63" t="n"/>
      <c r="X20" s="75">
        <f>IF(B20="","",MID(IF(AND(H20="A",P20="nein"),"· A-Anlage ohne Notfallplan ","")&amp;IF(AND(OR(H20="A",I20="ja"),O20="keine"),"· keine Ausweichfertigung ","")&amp;IF(OR(M20="abgekündigt",M20="nicht mehr lieferbar"),"· Obsoleszenz: "&amp;M20&amp;" ","")&amp;IF(N20="keiner","· kein Herstellersupport ","")&amp;IF(AND(J20&lt;&gt;"",J20&lt;Ziel_Verfuegbarkeit),"· Verfügbarkeit unter Ziel ","")&amp;IF(AND(F20&lt;&gt;"",F20&gt;=25),"· Alter ≥ 25 Jahre ",""),3,300))</f>
        <v/>
      </c>
      <c r="Y20" s="48" t="n"/>
      <c r="Z20" s="76">
        <f>IF(S20="","",S20+(1000-ROW())/100000)</f>
        <v/>
      </c>
    </row>
    <row r="21" ht="30" customHeight="1">
      <c r="A21" s="20">
        <f>IF(B21="","",COUNTA($B$5:B21))</f>
        <v/>
      </c>
      <c r="B21" s="48" t="n"/>
      <c r="C21" s="48" t="n"/>
      <c r="D21" s="48" t="n"/>
      <c r="E21" s="69" t="n"/>
      <c r="F21" s="70">
        <f>IF(E21="","",YEAR(IF(Audit!$E$3="",TODAY(),Audit!$E$3))-E21)</f>
        <v/>
      </c>
      <c r="G21" s="48" t="n"/>
      <c r="H21" s="63" t="n"/>
      <c r="I21" s="63" t="n"/>
      <c r="J21" s="71" t="n"/>
      <c r="K21" s="72" t="n"/>
      <c r="L21" s="73" t="n"/>
      <c r="M21" s="63" t="n"/>
      <c r="N21" s="63" t="n"/>
      <c r="O21" s="63" t="n"/>
      <c r="P21" s="63" t="n"/>
      <c r="Q21" s="63" t="n"/>
      <c r="R21" s="63" t="n"/>
      <c r="S21" s="41">
        <f>IF(OR(Q21="",R21=""),"",Q21*R21)</f>
        <v/>
      </c>
      <c r="T21" s="20">
        <f>IF(S21="","",IF(S21&gt;=Risiko_hoch,"hoch",IF(S21&gt;=Risiko_mittel,"mittel","gering")))</f>
        <v/>
      </c>
      <c r="U21" s="63" t="n"/>
      <c r="V21" s="74" t="n"/>
      <c r="W21" s="63" t="n"/>
      <c r="X21" s="75">
        <f>IF(B21="","",MID(IF(AND(H21="A",P21="nein"),"· A-Anlage ohne Notfallplan ","")&amp;IF(AND(OR(H21="A",I21="ja"),O21="keine"),"· keine Ausweichfertigung ","")&amp;IF(OR(M21="abgekündigt",M21="nicht mehr lieferbar"),"· Obsoleszenz: "&amp;M21&amp;" ","")&amp;IF(N21="keiner","· kein Herstellersupport ","")&amp;IF(AND(J21&lt;&gt;"",J21&lt;Ziel_Verfuegbarkeit),"· Verfügbarkeit unter Ziel ","")&amp;IF(AND(F21&lt;&gt;"",F21&gt;=25),"· Alter ≥ 25 Jahre ",""),3,300))</f>
        <v/>
      </c>
      <c r="Y21" s="48" t="n"/>
      <c r="Z21" s="76">
        <f>IF(S21="","",S21+(1000-ROW())/100000)</f>
        <v/>
      </c>
    </row>
    <row r="22" ht="30" customHeight="1">
      <c r="A22" s="20">
        <f>IF(B22="","",COUNTA($B$5:B22))</f>
        <v/>
      </c>
      <c r="B22" s="48" t="n"/>
      <c r="C22" s="48" t="n"/>
      <c r="D22" s="48" t="n"/>
      <c r="E22" s="69" t="n"/>
      <c r="F22" s="70">
        <f>IF(E22="","",YEAR(IF(Audit!$E$3="",TODAY(),Audit!$E$3))-E22)</f>
        <v/>
      </c>
      <c r="G22" s="48" t="n"/>
      <c r="H22" s="63" t="n"/>
      <c r="I22" s="63" t="n"/>
      <c r="J22" s="71" t="n"/>
      <c r="K22" s="72" t="n"/>
      <c r="L22" s="73" t="n"/>
      <c r="M22" s="63" t="n"/>
      <c r="N22" s="63" t="n"/>
      <c r="O22" s="63" t="n"/>
      <c r="P22" s="63" t="n"/>
      <c r="Q22" s="63" t="n"/>
      <c r="R22" s="63" t="n"/>
      <c r="S22" s="41">
        <f>IF(OR(Q22="",R22=""),"",Q22*R22)</f>
        <v/>
      </c>
      <c r="T22" s="20">
        <f>IF(S22="","",IF(S22&gt;=Risiko_hoch,"hoch",IF(S22&gt;=Risiko_mittel,"mittel","gering")))</f>
        <v/>
      </c>
      <c r="U22" s="63" t="n"/>
      <c r="V22" s="74" t="n"/>
      <c r="W22" s="63" t="n"/>
      <c r="X22" s="75">
        <f>IF(B22="","",MID(IF(AND(H22="A",P22="nein"),"· A-Anlage ohne Notfallplan ","")&amp;IF(AND(OR(H22="A",I22="ja"),O22="keine"),"· keine Ausweichfertigung ","")&amp;IF(OR(M22="abgekündigt",M22="nicht mehr lieferbar"),"· Obsoleszenz: "&amp;M22&amp;" ","")&amp;IF(N22="keiner","· kein Herstellersupport ","")&amp;IF(AND(J22&lt;&gt;"",J22&lt;Ziel_Verfuegbarkeit),"· Verfügbarkeit unter Ziel ","")&amp;IF(AND(F22&lt;&gt;"",F22&gt;=25),"· Alter ≥ 25 Jahre ",""),3,300))</f>
        <v/>
      </c>
      <c r="Y22" s="48" t="n"/>
      <c r="Z22" s="76">
        <f>IF(S22="","",S22+(1000-ROW())/100000)</f>
        <v/>
      </c>
    </row>
    <row r="23" ht="30" customHeight="1">
      <c r="A23" s="20">
        <f>IF(B23="","",COUNTA($B$5:B23))</f>
        <v/>
      </c>
      <c r="B23" s="48" t="n"/>
      <c r="C23" s="48" t="n"/>
      <c r="D23" s="48" t="n"/>
      <c r="E23" s="69" t="n"/>
      <c r="F23" s="70">
        <f>IF(E23="","",YEAR(IF(Audit!$E$3="",TODAY(),Audit!$E$3))-E23)</f>
        <v/>
      </c>
      <c r="G23" s="48" t="n"/>
      <c r="H23" s="63" t="n"/>
      <c r="I23" s="63" t="n"/>
      <c r="J23" s="71" t="n"/>
      <c r="K23" s="72" t="n"/>
      <c r="L23" s="73" t="n"/>
      <c r="M23" s="63" t="n"/>
      <c r="N23" s="63" t="n"/>
      <c r="O23" s="63" t="n"/>
      <c r="P23" s="63" t="n"/>
      <c r="Q23" s="63" t="n"/>
      <c r="R23" s="63" t="n"/>
      <c r="S23" s="41">
        <f>IF(OR(Q23="",R23=""),"",Q23*R23)</f>
        <v/>
      </c>
      <c r="T23" s="20">
        <f>IF(S23="","",IF(S23&gt;=Risiko_hoch,"hoch",IF(S23&gt;=Risiko_mittel,"mittel","gering")))</f>
        <v/>
      </c>
      <c r="U23" s="63" t="n"/>
      <c r="V23" s="74" t="n"/>
      <c r="W23" s="63" t="n"/>
      <c r="X23" s="75">
        <f>IF(B23="","",MID(IF(AND(H23="A",P23="nein"),"· A-Anlage ohne Notfallplan ","")&amp;IF(AND(OR(H23="A",I23="ja"),O23="keine"),"· keine Ausweichfertigung ","")&amp;IF(OR(M23="abgekündigt",M23="nicht mehr lieferbar"),"· Obsoleszenz: "&amp;M23&amp;" ","")&amp;IF(N23="keiner","· kein Herstellersupport ","")&amp;IF(AND(J23&lt;&gt;"",J23&lt;Ziel_Verfuegbarkeit),"· Verfügbarkeit unter Ziel ","")&amp;IF(AND(F23&lt;&gt;"",F23&gt;=25),"· Alter ≥ 25 Jahre ",""),3,300))</f>
        <v/>
      </c>
      <c r="Y23" s="48" t="n"/>
      <c r="Z23" s="76">
        <f>IF(S23="","",S23+(1000-ROW())/100000)</f>
        <v/>
      </c>
    </row>
    <row r="24" ht="30" customHeight="1">
      <c r="A24" s="20">
        <f>IF(B24="","",COUNTA($B$5:B24))</f>
        <v/>
      </c>
      <c r="B24" s="48" t="n"/>
      <c r="C24" s="48" t="n"/>
      <c r="D24" s="48" t="n"/>
      <c r="E24" s="69" t="n"/>
      <c r="F24" s="70">
        <f>IF(E24="","",YEAR(IF(Audit!$E$3="",TODAY(),Audit!$E$3))-E24)</f>
        <v/>
      </c>
      <c r="G24" s="48" t="n"/>
      <c r="H24" s="63" t="n"/>
      <c r="I24" s="63" t="n"/>
      <c r="J24" s="71" t="n"/>
      <c r="K24" s="72" t="n"/>
      <c r="L24" s="73" t="n"/>
      <c r="M24" s="63" t="n"/>
      <c r="N24" s="63" t="n"/>
      <c r="O24" s="63" t="n"/>
      <c r="P24" s="63" t="n"/>
      <c r="Q24" s="63" t="n"/>
      <c r="R24" s="63" t="n"/>
      <c r="S24" s="41">
        <f>IF(OR(Q24="",R24=""),"",Q24*R24)</f>
        <v/>
      </c>
      <c r="T24" s="20">
        <f>IF(S24="","",IF(S24&gt;=Risiko_hoch,"hoch",IF(S24&gt;=Risiko_mittel,"mittel","gering")))</f>
        <v/>
      </c>
      <c r="U24" s="63" t="n"/>
      <c r="V24" s="74" t="n"/>
      <c r="W24" s="63" t="n"/>
      <c r="X24" s="75">
        <f>IF(B24="","",MID(IF(AND(H24="A",P24="nein"),"· A-Anlage ohne Notfallplan ","")&amp;IF(AND(OR(H24="A",I24="ja"),O24="keine"),"· keine Ausweichfertigung ","")&amp;IF(OR(M24="abgekündigt",M24="nicht mehr lieferbar"),"· Obsoleszenz: "&amp;M24&amp;" ","")&amp;IF(N24="keiner","· kein Herstellersupport ","")&amp;IF(AND(J24&lt;&gt;"",J24&lt;Ziel_Verfuegbarkeit),"· Verfügbarkeit unter Ziel ","")&amp;IF(AND(F24&lt;&gt;"",F24&gt;=25),"· Alter ≥ 25 Jahre ",""),3,300))</f>
        <v/>
      </c>
      <c r="Y24" s="48" t="n"/>
      <c r="Z24" s="76">
        <f>IF(S24="","",S24+(1000-ROW())/100000)</f>
        <v/>
      </c>
    </row>
    <row r="25" ht="30" customHeight="1">
      <c r="A25" s="20">
        <f>IF(B25="","",COUNTA($B$5:B25))</f>
        <v/>
      </c>
      <c r="B25" s="48" t="n"/>
      <c r="C25" s="48" t="n"/>
      <c r="D25" s="48" t="n"/>
      <c r="E25" s="69" t="n"/>
      <c r="F25" s="70">
        <f>IF(E25="","",YEAR(IF(Audit!$E$3="",TODAY(),Audit!$E$3))-E25)</f>
        <v/>
      </c>
      <c r="G25" s="48" t="n"/>
      <c r="H25" s="63" t="n"/>
      <c r="I25" s="63" t="n"/>
      <c r="J25" s="71" t="n"/>
      <c r="K25" s="72" t="n"/>
      <c r="L25" s="73" t="n"/>
      <c r="M25" s="63" t="n"/>
      <c r="N25" s="63" t="n"/>
      <c r="O25" s="63" t="n"/>
      <c r="P25" s="63" t="n"/>
      <c r="Q25" s="63" t="n"/>
      <c r="R25" s="63" t="n"/>
      <c r="S25" s="41">
        <f>IF(OR(Q25="",R25=""),"",Q25*R25)</f>
        <v/>
      </c>
      <c r="T25" s="20">
        <f>IF(S25="","",IF(S25&gt;=Risiko_hoch,"hoch",IF(S25&gt;=Risiko_mittel,"mittel","gering")))</f>
        <v/>
      </c>
      <c r="U25" s="63" t="n"/>
      <c r="V25" s="74" t="n"/>
      <c r="W25" s="63" t="n"/>
      <c r="X25" s="75">
        <f>IF(B25="","",MID(IF(AND(H25="A",P25="nein"),"· A-Anlage ohne Notfallplan ","")&amp;IF(AND(OR(H25="A",I25="ja"),O25="keine"),"· keine Ausweichfertigung ","")&amp;IF(OR(M25="abgekündigt",M25="nicht mehr lieferbar"),"· Obsoleszenz: "&amp;M25&amp;" ","")&amp;IF(N25="keiner","· kein Herstellersupport ","")&amp;IF(AND(J25&lt;&gt;"",J25&lt;Ziel_Verfuegbarkeit),"· Verfügbarkeit unter Ziel ","")&amp;IF(AND(F25&lt;&gt;"",F25&gt;=25),"· Alter ≥ 25 Jahre ",""),3,300))</f>
        <v/>
      </c>
      <c r="Y25" s="48" t="n"/>
      <c r="Z25" s="76">
        <f>IF(S25="","",S25+(1000-ROW())/100000)</f>
        <v/>
      </c>
    </row>
    <row r="26" ht="30" customHeight="1">
      <c r="A26" s="20">
        <f>IF(B26="","",COUNTA($B$5:B26))</f>
        <v/>
      </c>
      <c r="B26" s="48" t="n"/>
      <c r="C26" s="48" t="n"/>
      <c r="D26" s="48" t="n"/>
      <c r="E26" s="69" t="n"/>
      <c r="F26" s="70">
        <f>IF(E26="","",YEAR(IF(Audit!$E$3="",TODAY(),Audit!$E$3))-E26)</f>
        <v/>
      </c>
      <c r="G26" s="48" t="n"/>
      <c r="H26" s="63" t="n"/>
      <c r="I26" s="63" t="n"/>
      <c r="J26" s="71" t="n"/>
      <c r="K26" s="72" t="n"/>
      <c r="L26" s="73" t="n"/>
      <c r="M26" s="63" t="n"/>
      <c r="N26" s="63" t="n"/>
      <c r="O26" s="63" t="n"/>
      <c r="P26" s="63" t="n"/>
      <c r="Q26" s="63" t="n"/>
      <c r="R26" s="63" t="n"/>
      <c r="S26" s="41">
        <f>IF(OR(Q26="",R26=""),"",Q26*R26)</f>
        <v/>
      </c>
      <c r="T26" s="20">
        <f>IF(S26="","",IF(S26&gt;=Risiko_hoch,"hoch",IF(S26&gt;=Risiko_mittel,"mittel","gering")))</f>
        <v/>
      </c>
      <c r="U26" s="63" t="n"/>
      <c r="V26" s="74" t="n"/>
      <c r="W26" s="63" t="n"/>
      <c r="X26" s="75">
        <f>IF(B26="","",MID(IF(AND(H26="A",P26="nein"),"· A-Anlage ohne Notfallplan ","")&amp;IF(AND(OR(H26="A",I26="ja"),O26="keine"),"· keine Ausweichfertigung ","")&amp;IF(OR(M26="abgekündigt",M26="nicht mehr lieferbar"),"· Obsoleszenz: "&amp;M26&amp;" ","")&amp;IF(N26="keiner","· kein Herstellersupport ","")&amp;IF(AND(J26&lt;&gt;"",J26&lt;Ziel_Verfuegbarkeit),"· Verfügbarkeit unter Ziel ","")&amp;IF(AND(F26&lt;&gt;"",F26&gt;=25),"· Alter ≥ 25 Jahre ",""),3,300))</f>
        <v/>
      </c>
      <c r="Y26" s="48" t="n"/>
      <c r="Z26" s="76">
        <f>IF(S26="","",S26+(1000-ROW())/100000)</f>
        <v/>
      </c>
    </row>
    <row r="27" ht="30" customHeight="1">
      <c r="A27" s="20">
        <f>IF(B27="","",COUNTA($B$5:B27))</f>
        <v/>
      </c>
      <c r="B27" s="48" t="n"/>
      <c r="C27" s="48" t="n"/>
      <c r="D27" s="48" t="n"/>
      <c r="E27" s="69" t="n"/>
      <c r="F27" s="70">
        <f>IF(E27="","",YEAR(IF(Audit!$E$3="",TODAY(),Audit!$E$3))-E27)</f>
        <v/>
      </c>
      <c r="G27" s="48" t="n"/>
      <c r="H27" s="63" t="n"/>
      <c r="I27" s="63" t="n"/>
      <c r="J27" s="71" t="n"/>
      <c r="K27" s="72" t="n"/>
      <c r="L27" s="73" t="n"/>
      <c r="M27" s="63" t="n"/>
      <c r="N27" s="63" t="n"/>
      <c r="O27" s="63" t="n"/>
      <c r="P27" s="63" t="n"/>
      <c r="Q27" s="63" t="n"/>
      <c r="R27" s="63" t="n"/>
      <c r="S27" s="41">
        <f>IF(OR(Q27="",R27=""),"",Q27*R27)</f>
        <v/>
      </c>
      <c r="T27" s="20">
        <f>IF(S27="","",IF(S27&gt;=Risiko_hoch,"hoch",IF(S27&gt;=Risiko_mittel,"mittel","gering")))</f>
        <v/>
      </c>
      <c r="U27" s="63" t="n"/>
      <c r="V27" s="74" t="n"/>
      <c r="W27" s="63" t="n"/>
      <c r="X27" s="75">
        <f>IF(B27="","",MID(IF(AND(H27="A",P27="nein"),"· A-Anlage ohne Notfallplan ","")&amp;IF(AND(OR(H27="A",I27="ja"),O27="keine"),"· keine Ausweichfertigung ","")&amp;IF(OR(M27="abgekündigt",M27="nicht mehr lieferbar"),"· Obsoleszenz: "&amp;M27&amp;" ","")&amp;IF(N27="keiner","· kein Herstellersupport ","")&amp;IF(AND(J27&lt;&gt;"",J27&lt;Ziel_Verfuegbarkeit),"· Verfügbarkeit unter Ziel ","")&amp;IF(AND(F27&lt;&gt;"",F27&gt;=25),"· Alter ≥ 25 Jahre ",""),3,300))</f>
        <v/>
      </c>
      <c r="Y27" s="48" t="n"/>
      <c r="Z27" s="76">
        <f>IF(S27="","",S27+(1000-ROW())/100000)</f>
        <v/>
      </c>
    </row>
    <row r="28" ht="30" customHeight="1">
      <c r="A28" s="20">
        <f>IF(B28="","",COUNTA($B$5:B28))</f>
        <v/>
      </c>
      <c r="B28" s="48" t="n"/>
      <c r="C28" s="48" t="n"/>
      <c r="D28" s="48" t="n"/>
      <c r="E28" s="69" t="n"/>
      <c r="F28" s="70">
        <f>IF(E28="","",YEAR(IF(Audit!$E$3="",TODAY(),Audit!$E$3))-E28)</f>
        <v/>
      </c>
      <c r="G28" s="48" t="n"/>
      <c r="H28" s="63" t="n"/>
      <c r="I28" s="63" t="n"/>
      <c r="J28" s="71" t="n"/>
      <c r="K28" s="72" t="n"/>
      <c r="L28" s="73" t="n"/>
      <c r="M28" s="63" t="n"/>
      <c r="N28" s="63" t="n"/>
      <c r="O28" s="63" t="n"/>
      <c r="P28" s="63" t="n"/>
      <c r="Q28" s="63" t="n"/>
      <c r="R28" s="63" t="n"/>
      <c r="S28" s="41">
        <f>IF(OR(Q28="",R28=""),"",Q28*R28)</f>
        <v/>
      </c>
      <c r="T28" s="20">
        <f>IF(S28="","",IF(S28&gt;=Risiko_hoch,"hoch",IF(S28&gt;=Risiko_mittel,"mittel","gering")))</f>
        <v/>
      </c>
      <c r="U28" s="63" t="n"/>
      <c r="V28" s="74" t="n"/>
      <c r="W28" s="63" t="n"/>
      <c r="X28" s="75">
        <f>IF(B28="","",MID(IF(AND(H28="A",P28="nein"),"· A-Anlage ohne Notfallplan ","")&amp;IF(AND(OR(H28="A",I28="ja"),O28="keine"),"· keine Ausweichfertigung ","")&amp;IF(OR(M28="abgekündigt",M28="nicht mehr lieferbar"),"· Obsoleszenz: "&amp;M28&amp;" ","")&amp;IF(N28="keiner","· kein Herstellersupport ","")&amp;IF(AND(J28&lt;&gt;"",J28&lt;Ziel_Verfuegbarkeit),"· Verfügbarkeit unter Ziel ","")&amp;IF(AND(F28&lt;&gt;"",F28&gt;=25),"· Alter ≥ 25 Jahre ",""),3,300))</f>
        <v/>
      </c>
      <c r="Y28" s="48" t="n"/>
      <c r="Z28" s="76">
        <f>IF(S28="","",S28+(1000-ROW())/100000)</f>
        <v/>
      </c>
    </row>
    <row r="29" ht="30" customHeight="1">
      <c r="A29" s="20">
        <f>IF(B29="","",COUNTA($B$5:B29))</f>
        <v/>
      </c>
      <c r="B29" s="48" t="n"/>
      <c r="C29" s="48" t="n"/>
      <c r="D29" s="48" t="n"/>
      <c r="E29" s="69" t="n"/>
      <c r="F29" s="70">
        <f>IF(E29="","",YEAR(IF(Audit!$E$3="",TODAY(),Audit!$E$3))-E29)</f>
        <v/>
      </c>
      <c r="G29" s="48" t="n"/>
      <c r="H29" s="63" t="n"/>
      <c r="I29" s="63" t="n"/>
      <c r="J29" s="71" t="n"/>
      <c r="K29" s="72" t="n"/>
      <c r="L29" s="73" t="n"/>
      <c r="M29" s="63" t="n"/>
      <c r="N29" s="63" t="n"/>
      <c r="O29" s="63" t="n"/>
      <c r="P29" s="63" t="n"/>
      <c r="Q29" s="63" t="n"/>
      <c r="R29" s="63" t="n"/>
      <c r="S29" s="41">
        <f>IF(OR(Q29="",R29=""),"",Q29*R29)</f>
        <v/>
      </c>
      <c r="T29" s="20">
        <f>IF(S29="","",IF(S29&gt;=Risiko_hoch,"hoch",IF(S29&gt;=Risiko_mittel,"mittel","gering")))</f>
        <v/>
      </c>
      <c r="U29" s="63" t="n"/>
      <c r="V29" s="74" t="n"/>
      <c r="W29" s="63" t="n"/>
      <c r="X29" s="75">
        <f>IF(B29="","",MID(IF(AND(H29="A",P29="nein"),"· A-Anlage ohne Notfallplan ","")&amp;IF(AND(OR(H29="A",I29="ja"),O29="keine"),"· keine Ausweichfertigung ","")&amp;IF(OR(M29="abgekündigt",M29="nicht mehr lieferbar"),"· Obsoleszenz: "&amp;M29&amp;" ","")&amp;IF(N29="keiner","· kein Herstellersupport ","")&amp;IF(AND(J29&lt;&gt;"",J29&lt;Ziel_Verfuegbarkeit),"· Verfügbarkeit unter Ziel ","")&amp;IF(AND(F29&lt;&gt;"",F29&gt;=25),"· Alter ≥ 25 Jahre ",""),3,300))</f>
        <v/>
      </c>
      <c r="Y29" s="48" t="n"/>
      <c r="Z29" s="76">
        <f>IF(S29="","",S29+(1000-ROW())/100000)</f>
        <v/>
      </c>
    </row>
    <row r="30" ht="30" customHeight="1">
      <c r="A30" s="20">
        <f>IF(B30="","",COUNTA($B$5:B30))</f>
        <v/>
      </c>
      <c r="B30" s="48" t="n"/>
      <c r="C30" s="48" t="n"/>
      <c r="D30" s="48" t="n"/>
      <c r="E30" s="69" t="n"/>
      <c r="F30" s="70">
        <f>IF(E30="","",YEAR(IF(Audit!$E$3="",TODAY(),Audit!$E$3))-E30)</f>
        <v/>
      </c>
      <c r="G30" s="48" t="n"/>
      <c r="H30" s="63" t="n"/>
      <c r="I30" s="63" t="n"/>
      <c r="J30" s="71" t="n"/>
      <c r="K30" s="72" t="n"/>
      <c r="L30" s="73" t="n"/>
      <c r="M30" s="63" t="n"/>
      <c r="N30" s="63" t="n"/>
      <c r="O30" s="63" t="n"/>
      <c r="P30" s="63" t="n"/>
      <c r="Q30" s="63" t="n"/>
      <c r="R30" s="63" t="n"/>
      <c r="S30" s="41">
        <f>IF(OR(Q30="",R30=""),"",Q30*R30)</f>
        <v/>
      </c>
      <c r="T30" s="20">
        <f>IF(S30="","",IF(S30&gt;=Risiko_hoch,"hoch",IF(S30&gt;=Risiko_mittel,"mittel","gering")))</f>
        <v/>
      </c>
      <c r="U30" s="63" t="n"/>
      <c r="V30" s="74" t="n"/>
      <c r="W30" s="63" t="n"/>
      <c r="X30" s="75">
        <f>IF(B30="","",MID(IF(AND(H30="A",P30="nein"),"· A-Anlage ohne Notfallplan ","")&amp;IF(AND(OR(H30="A",I30="ja"),O30="keine"),"· keine Ausweichfertigung ","")&amp;IF(OR(M30="abgekündigt",M30="nicht mehr lieferbar"),"· Obsoleszenz: "&amp;M30&amp;" ","")&amp;IF(N30="keiner","· kein Herstellersupport ","")&amp;IF(AND(J30&lt;&gt;"",J30&lt;Ziel_Verfuegbarkeit),"· Verfügbarkeit unter Ziel ","")&amp;IF(AND(F30&lt;&gt;"",F30&gt;=25),"· Alter ≥ 25 Jahre ",""),3,300))</f>
        <v/>
      </c>
      <c r="Y30" s="48" t="n"/>
      <c r="Z30" s="76">
        <f>IF(S30="","",S30+(1000-ROW())/100000)</f>
        <v/>
      </c>
    </row>
    <row r="31" ht="30" customHeight="1">
      <c r="A31" s="20">
        <f>IF(B31="","",COUNTA($B$5:B31))</f>
        <v/>
      </c>
      <c r="B31" s="48" t="n"/>
      <c r="C31" s="48" t="n"/>
      <c r="D31" s="48" t="n"/>
      <c r="E31" s="69" t="n"/>
      <c r="F31" s="70">
        <f>IF(E31="","",YEAR(IF(Audit!$E$3="",TODAY(),Audit!$E$3))-E31)</f>
        <v/>
      </c>
      <c r="G31" s="48" t="n"/>
      <c r="H31" s="63" t="n"/>
      <c r="I31" s="63" t="n"/>
      <c r="J31" s="71" t="n"/>
      <c r="K31" s="72" t="n"/>
      <c r="L31" s="73" t="n"/>
      <c r="M31" s="63" t="n"/>
      <c r="N31" s="63" t="n"/>
      <c r="O31" s="63" t="n"/>
      <c r="P31" s="63" t="n"/>
      <c r="Q31" s="63" t="n"/>
      <c r="R31" s="63" t="n"/>
      <c r="S31" s="41">
        <f>IF(OR(Q31="",R31=""),"",Q31*R31)</f>
        <v/>
      </c>
      <c r="T31" s="20">
        <f>IF(S31="","",IF(S31&gt;=Risiko_hoch,"hoch",IF(S31&gt;=Risiko_mittel,"mittel","gering")))</f>
        <v/>
      </c>
      <c r="U31" s="63" t="n"/>
      <c r="V31" s="74" t="n"/>
      <c r="W31" s="63" t="n"/>
      <c r="X31" s="75">
        <f>IF(B31="","",MID(IF(AND(H31="A",P31="nein"),"· A-Anlage ohne Notfallplan ","")&amp;IF(AND(OR(H31="A",I31="ja"),O31="keine"),"· keine Ausweichfertigung ","")&amp;IF(OR(M31="abgekündigt",M31="nicht mehr lieferbar"),"· Obsoleszenz: "&amp;M31&amp;" ","")&amp;IF(N31="keiner","· kein Herstellersupport ","")&amp;IF(AND(J31&lt;&gt;"",J31&lt;Ziel_Verfuegbarkeit),"· Verfügbarkeit unter Ziel ","")&amp;IF(AND(F31&lt;&gt;"",F31&gt;=25),"· Alter ≥ 25 Jahre ",""),3,300))</f>
        <v/>
      </c>
      <c r="Y31" s="48" t="n"/>
      <c r="Z31" s="76">
        <f>IF(S31="","",S31+(1000-ROW())/100000)</f>
        <v/>
      </c>
    </row>
    <row r="32" ht="30" customHeight="1">
      <c r="A32" s="20">
        <f>IF(B32="","",COUNTA($B$5:B32))</f>
        <v/>
      </c>
      <c r="B32" s="48" t="n"/>
      <c r="C32" s="48" t="n"/>
      <c r="D32" s="48" t="n"/>
      <c r="E32" s="69" t="n"/>
      <c r="F32" s="70">
        <f>IF(E32="","",YEAR(IF(Audit!$E$3="",TODAY(),Audit!$E$3))-E32)</f>
        <v/>
      </c>
      <c r="G32" s="48" t="n"/>
      <c r="H32" s="63" t="n"/>
      <c r="I32" s="63" t="n"/>
      <c r="J32" s="71" t="n"/>
      <c r="K32" s="72" t="n"/>
      <c r="L32" s="73" t="n"/>
      <c r="M32" s="63" t="n"/>
      <c r="N32" s="63" t="n"/>
      <c r="O32" s="63" t="n"/>
      <c r="P32" s="63" t="n"/>
      <c r="Q32" s="63" t="n"/>
      <c r="R32" s="63" t="n"/>
      <c r="S32" s="41">
        <f>IF(OR(Q32="",R32=""),"",Q32*R32)</f>
        <v/>
      </c>
      <c r="T32" s="20">
        <f>IF(S32="","",IF(S32&gt;=Risiko_hoch,"hoch",IF(S32&gt;=Risiko_mittel,"mittel","gering")))</f>
        <v/>
      </c>
      <c r="U32" s="63" t="n"/>
      <c r="V32" s="74" t="n"/>
      <c r="W32" s="63" t="n"/>
      <c r="X32" s="75">
        <f>IF(B32="","",MID(IF(AND(H32="A",P32="nein"),"· A-Anlage ohne Notfallplan ","")&amp;IF(AND(OR(H32="A",I32="ja"),O32="keine"),"· keine Ausweichfertigung ","")&amp;IF(OR(M32="abgekündigt",M32="nicht mehr lieferbar"),"· Obsoleszenz: "&amp;M32&amp;" ","")&amp;IF(N32="keiner","· kein Herstellersupport ","")&amp;IF(AND(J32&lt;&gt;"",J32&lt;Ziel_Verfuegbarkeit),"· Verfügbarkeit unter Ziel ","")&amp;IF(AND(F32&lt;&gt;"",F32&gt;=25),"· Alter ≥ 25 Jahre ",""),3,300))</f>
        <v/>
      </c>
      <c r="Y32" s="48" t="n"/>
      <c r="Z32" s="76">
        <f>IF(S32="","",S32+(1000-ROW())/100000)</f>
        <v/>
      </c>
    </row>
    <row r="33" ht="30" customHeight="1">
      <c r="A33" s="20">
        <f>IF(B33="","",COUNTA($B$5:B33))</f>
        <v/>
      </c>
      <c r="B33" s="48" t="n"/>
      <c r="C33" s="48" t="n"/>
      <c r="D33" s="48" t="n"/>
      <c r="E33" s="69" t="n"/>
      <c r="F33" s="70">
        <f>IF(E33="","",YEAR(IF(Audit!$E$3="",TODAY(),Audit!$E$3))-E33)</f>
        <v/>
      </c>
      <c r="G33" s="48" t="n"/>
      <c r="H33" s="63" t="n"/>
      <c r="I33" s="63" t="n"/>
      <c r="J33" s="71" t="n"/>
      <c r="K33" s="72" t="n"/>
      <c r="L33" s="73" t="n"/>
      <c r="M33" s="63" t="n"/>
      <c r="N33" s="63" t="n"/>
      <c r="O33" s="63" t="n"/>
      <c r="P33" s="63" t="n"/>
      <c r="Q33" s="63" t="n"/>
      <c r="R33" s="63" t="n"/>
      <c r="S33" s="41">
        <f>IF(OR(Q33="",R33=""),"",Q33*R33)</f>
        <v/>
      </c>
      <c r="T33" s="20">
        <f>IF(S33="","",IF(S33&gt;=Risiko_hoch,"hoch",IF(S33&gt;=Risiko_mittel,"mittel","gering")))</f>
        <v/>
      </c>
      <c r="U33" s="63" t="n"/>
      <c r="V33" s="74" t="n"/>
      <c r="W33" s="63" t="n"/>
      <c r="X33" s="75">
        <f>IF(B33="","",MID(IF(AND(H33="A",P33="nein"),"· A-Anlage ohne Notfallplan ","")&amp;IF(AND(OR(H33="A",I33="ja"),O33="keine"),"· keine Ausweichfertigung ","")&amp;IF(OR(M33="abgekündigt",M33="nicht mehr lieferbar"),"· Obsoleszenz: "&amp;M33&amp;" ","")&amp;IF(N33="keiner","· kein Herstellersupport ","")&amp;IF(AND(J33&lt;&gt;"",J33&lt;Ziel_Verfuegbarkeit),"· Verfügbarkeit unter Ziel ","")&amp;IF(AND(F33&lt;&gt;"",F33&gt;=25),"· Alter ≥ 25 Jahre ",""),3,300))</f>
        <v/>
      </c>
      <c r="Y33" s="48" t="n"/>
      <c r="Z33" s="76">
        <f>IF(S33="","",S33+(1000-ROW())/100000)</f>
        <v/>
      </c>
    </row>
    <row r="34" ht="30" customHeight="1">
      <c r="A34" s="20">
        <f>IF(B34="","",COUNTA($B$5:B34))</f>
        <v/>
      </c>
      <c r="B34" s="48" t="n"/>
      <c r="C34" s="48" t="n"/>
      <c r="D34" s="48" t="n"/>
      <c r="E34" s="69" t="n"/>
      <c r="F34" s="70">
        <f>IF(E34="","",YEAR(IF(Audit!$E$3="",TODAY(),Audit!$E$3))-E34)</f>
        <v/>
      </c>
      <c r="G34" s="48" t="n"/>
      <c r="H34" s="63" t="n"/>
      <c r="I34" s="63" t="n"/>
      <c r="J34" s="71" t="n"/>
      <c r="K34" s="72" t="n"/>
      <c r="L34" s="73" t="n"/>
      <c r="M34" s="63" t="n"/>
      <c r="N34" s="63" t="n"/>
      <c r="O34" s="63" t="n"/>
      <c r="P34" s="63" t="n"/>
      <c r="Q34" s="63" t="n"/>
      <c r="R34" s="63" t="n"/>
      <c r="S34" s="41">
        <f>IF(OR(Q34="",R34=""),"",Q34*R34)</f>
        <v/>
      </c>
      <c r="T34" s="20">
        <f>IF(S34="","",IF(S34&gt;=Risiko_hoch,"hoch",IF(S34&gt;=Risiko_mittel,"mittel","gering")))</f>
        <v/>
      </c>
      <c r="U34" s="63" t="n"/>
      <c r="V34" s="74" t="n"/>
      <c r="W34" s="63" t="n"/>
      <c r="X34" s="75">
        <f>IF(B34="","",MID(IF(AND(H34="A",P34="nein"),"· A-Anlage ohne Notfallplan ","")&amp;IF(AND(OR(H34="A",I34="ja"),O34="keine"),"· keine Ausweichfertigung ","")&amp;IF(OR(M34="abgekündigt",M34="nicht mehr lieferbar"),"· Obsoleszenz: "&amp;M34&amp;" ","")&amp;IF(N34="keiner","· kein Herstellersupport ","")&amp;IF(AND(J34&lt;&gt;"",J34&lt;Ziel_Verfuegbarkeit),"· Verfügbarkeit unter Ziel ","")&amp;IF(AND(F34&lt;&gt;"",F34&gt;=25),"· Alter ≥ 25 Jahre ",""),3,300))</f>
        <v/>
      </c>
      <c r="Y34" s="48" t="n"/>
      <c r="Z34" s="76">
        <f>IF(S34="","",S34+(1000-ROW())/100000)</f>
        <v/>
      </c>
    </row>
    <row r="35">
      <c r="A35" s="5" t="inlineStr">
        <is>
          <t>Auffälligkeiten werden automatisch erkannt: A-Anlage ohne Notfallplan, A- / Engpassanlage ohne Ausweichfertigung, Obsoleszenz, kein Herstellersupport, Verfügbarkeit unter Ziel (Einstellungen), Alter ≥ 25 Jahre.</t>
        </is>
      </c>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sheetData>
  <autoFilter ref="A4:Y34"/>
  <conditionalFormatting sqref="T5:T34">
    <cfRule type="expression" priority="1" dxfId="6">
      <formula>$T5="hoch"</formula>
    </cfRule>
    <cfRule type="expression" priority="2" dxfId="7">
      <formula>$T5="mittel"</formula>
    </cfRule>
    <cfRule type="expression" priority="3" dxfId="8">
      <formula>$T5="gering"</formula>
    </cfRule>
  </conditionalFormatting>
  <conditionalFormatting sqref="J5:J34">
    <cfRule type="expression" priority="4" dxfId="4">
      <formula>AND(J5&lt;&gt;"",J5&lt;Ziel_Verfuegbarkeit)</formula>
    </cfRule>
  </conditionalFormatting>
  <conditionalFormatting sqref="M5:M34">
    <cfRule type="expression" priority="5" dxfId="4">
      <formula>OR(M5="abgekündigt",M5="nicht mehr lieferbar")</formula>
    </cfRule>
  </conditionalFormatting>
  <conditionalFormatting sqref="H5:H34">
    <cfRule type="cellIs" priority="6" operator="equal" dxfId="16">
      <formula>"A"</formula>
    </cfRule>
  </conditionalFormatting>
  <dataValidations count="12">
    <dataValidation sqref="H5:H34" showDropDown="0" showInputMessage="0" showErrorMessage="0" allowBlank="1" errorTitle="Ungültige Eingabe" error="Bitte einen Wert aus der Liste wählen." type="list">
      <formula1>=L_Krit</formula1>
    </dataValidation>
    <dataValidation sqref="I5:I34" showDropDown="0" showInputMessage="0" showErrorMessage="0" allowBlank="1" errorTitle="Ungültige Eingabe" error="Bitte einen Wert aus der Liste wählen." type="list">
      <formula1>=L_JaNein</formula1>
    </dataValidation>
    <dataValidation sqref="P5:P34" showDropDown="0" showInputMessage="0" showErrorMessage="0" allowBlank="1" errorTitle="Ungültige Eingabe" error="Bitte einen Wert aus der Liste wählen." type="list">
      <formula1>=L_JaNein</formula1>
    </dataValidation>
    <dataValidation sqref="M5:M34" showDropDown="0" showInputMessage="0" showErrorMessage="0" allowBlank="1" errorTitle="Ungültige Eingabe" error="Bitte einen Wert aus der Liste wählen." type="list">
      <formula1>=L_Obs</formula1>
    </dataValidation>
    <dataValidation sqref="N5:N34" showDropDown="0" showInputMessage="0" showErrorMessage="0" allowBlank="1" errorTitle="Ungültige Eingabe" error="Bitte einen Wert aus der Liste wählen." type="list">
      <formula1>=L_Support</formula1>
    </dataValidation>
    <dataValidation sqref="O5:O34" showDropDown="0" showInputMessage="0" showErrorMessage="0" allowBlank="1" errorTitle="Ungültige Eingabe" error="Bitte einen Wert aus der Liste wählen." type="list">
      <formula1>=L_Ausweich</formula1>
    </dataValidation>
    <dataValidation sqref="U5:U34" showDropDown="0" showInputMessage="0" showErrorMessage="0" allowBlank="1" errorTitle="Ungültige Eingabe" error="Bitte einen Wert aus der Liste wählen." type="list">
      <formula1>=L_Option</formula1>
    </dataValidation>
    <dataValidation sqref="Q5:Q34" showDropDown="0" showInputMessage="0" showErrorMessage="0" allowBlank="1" errorTitle="Ungültige Eingabe" error="Stufe 1 bis 5 eingeben (Skala im Blatt „Einstellungen“)." type="whole" operator="between">
      <formula1>1</formula1>
      <formula2>5</formula2>
    </dataValidation>
    <dataValidation sqref="R5:R34" showDropDown="0" showInputMessage="0" showErrorMessage="0" allowBlank="1" errorTitle="Ungültige Eingabe" error="Stufe 1 bis 5 eingeben (Skala im Blatt „Einstellungen“)." type="whole" operator="between">
      <formula1>1</formula1>
      <formula2>5</formula2>
    </dataValidation>
    <dataValidation sqref="E5:E34" showDropDown="0" showInputMessage="0" showErrorMessage="0" allowBlank="1" errorTitle="Ungültige Eingabe" error="Baujahr als Jahreszahl eingeben (z. B. 2004)." type="whole" operator="between">
      <formula1>1950</formula1>
      <formula2>2100</formula2>
    </dataValidation>
    <dataValidation sqref="W5:W34" showDropDown="0" showInputMessage="0" showErrorMessage="0" allowBlank="1" errorTitle="Ungültige Eingabe" error="Jahr eingeben (z. B. 2028)." type="whole" operator="between">
      <formula1>2000</formula1>
      <formula2>2100</formula2>
    </dataValidation>
    <dataValidation sqref="J5:J34" showDropDown="0" showInputMessage="0" showErrorMessage="0" allowBlank="1" errorTitle="Ungültige Eingabe" error="Verfügbarkeit in % eingeben (z. B. 91 %)." type="decimal" operator="between">
      <formula1>0</formula1>
      <formula2>1</formula2>
    </dataValidation>
  </dataValidations>
  <pageMargins left="0.4" right="0.4" top="0.5" bottom="0.5" header="0.5" footer="0.5"/>
  <pageSetup orientation="landscape" paperSize="9" fitToHeight="0" fitToWidth="1"/>
  <headerFooter>
    <oddHeader/>
    <oddFooter>&amp;L&amp;8 Anlagenzustandsanalyse – Anlagenübersicht&amp;R&amp;8 Seite &amp;P von &amp;N</oddFooter>
    <evenHeader/>
    <evenFooter/>
    <firstHeader/>
    <firstFooter/>
  </headerFooter>
</worksheet>
</file>

<file path=xl/worksheets/sheet5.xml><?xml version="1.0" encoding="utf-8"?>
<worksheet xmlns="http://schemas.openxmlformats.org/spreadsheetml/2006/main">
  <sheetPr>
    <tabColor rgb="001D4ED8"/>
    <outlinePr summaryBelow="1" summaryRight="1"/>
    <pageSetUpPr fitToPage="1"/>
  </sheetPr>
  <dimension ref="A1:N4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7" customWidth="1" min="1" max="1"/>
    <col width="13.7" customWidth="1" min="2" max="2"/>
    <col width="28.7" customWidth="1" min="3" max="3"/>
    <col width="18.7" customWidth="1" min="4" max="4"/>
    <col width="18.7" customWidth="1" min="5" max="5"/>
    <col width="9.699999999999999" customWidth="1" min="6" max="6"/>
    <col width="12.7" customWidth="1" min="7" max="7"/>
    <col width="9.699999999999999" customWidth="1" min="8" max="8"/>
    <col width="9.699999999999999" customWidth="1" min="9" max="9"/>
    <col width="12.7" customWidth="1" min="10" max="10"/>
    <col width="15.7" customWidth="1" min="11" max="11"/>
    <col width="24.7" customWidth="1" min="12" max="12"/>
    <col width="22.7" customWidth="1" min="13" max="13"/>
    <col width="28.7" customWidth="1" min="14" max="14"/>
  </cols>
  <sheetData>
    <row r="1" ht="21.95" customHeight="1">
      <c r="A1" s="44" t="inlineStr">
        <is>
          <t>Kritische Ersatzteile und Obsoleszenz (NEU)</t>
        </is>
      </c>
      <c r="B1" s="1" t="n"/>
      <c r="C1" s="1" t="n"/>
      <c r="D1" s="1" t="n"/>
      <c r="E1" s="1" t="n"/>
      <c r="F1" s="1" t="n"/>
      <c r="G1" s="1" t="n"/>
      <c r="H1" s="1" t="n"/>
      <c r="I1" s="1" t="n"/>
      <c r="J1" s="1" t="n"/>
      <c r="K1" s="1" t="n"/>
      <c r="L1" s="1" t="n"/>
      <c r="M1" s="1" t="n"/>
      <c r="N1" s="1" t="n"/>
    </row>
    <row r="2">
      <c r="A2" s="45" t="inlineStr">
        <is>
          <t>Teile, deren Fehlen die Anlage stilllegt: lange Lieferzeit, Alleinlieferant oder abgekündigt. Gelbe Felder sind Eingaben; die Bewertung rechnet automatisch.</t>
        </is>
      </c>
      <c r="B2" s="1" t="n"/>
      <c r="C2" s="1" t="n"/>
      <c r="D2" s="1" t="n"/>
      <c r="E2" s="1" t="n"/>
      <c r="F2" s="1" t="n"/>
      <c r="G2" s="1" t="n"/>
      <c r="H2" s="1" t="n"/>
      <c r="I2" s="1" t="n"/>
      <c r="J2" s="1" t="n"/>
      <c r="K2" s="1" t="n"/>
      <c r="L2" s="1" t="n"/>
      <c r="M2" s="1" t="n"/>
      <c r="N2" s="1" t="n"/>
    </row>
    <row r="3">
      <c r="A3" s="1" t="n"/>
      <c r="B3" s="1" t="n"/>
      <c r="C3" s="1" t="n"/>
      <c r="D3" s="1" t="n"/>
      <c r="E3" s="1" t="n"/>
      <c r="F3" s="1" t="n"/>
      <c r="G3" s="1" t="n"/>
      <c r="H3" s="1" t="n"/>
      <c r="I3" s="1" t="n"/>
      <c r="J3" s="1" t="n"/>
      <c r="K3" s="1" t="n"/>
      <c r="L3" s="1" t="n"/>
      <c r="M3" s="1" t="n"/>
      <c r="N3" s="1" t="n"/>
    </row>
    <row r="4" ht="39" customHeight="1">
      <c r="A4" s="18" t="inlineStr">
        <is>
          <t>Nr.</t>
        </is>
      </c>
      <c r="B4" s="18" t="inlineStr">
        <is>
          <t>Equipment-Nr. (Anlage)</t>
        </is>
      </c>
      <c r="C4" s="18" t="inlineStr">
        <is>
          <t>Bauteil / Bezeichnung</t>
        </is>
      </c>
      <c r="D4" s="18" t="inlineStr">
        <is>
          <t>Material-Nr. / Herst.-Art.-Nr.</t>
        </is>
      </c>
      <c r="E4" s="18" t="inlineStr">
        <is>
          <t>Hersteller / Lieferant</t>
        </is>
      </c>
      <c r="F4" s="18" t="inlineStr">
        <is>
          <t>Allein-lieferant</t>
        </is>
      </c>
      <c r="G4" s="18" t="inlineStr">
        <is>
          <t>Wiederbe-schaffungszeit (Wochen)</t>
        </is>
      </c>
      <c r="H4" s="18" t="inlineStr">
        <is>
          <t>Mindest-bestand</t>
        </is>
      </c>
      <c r="I4" s="18" t="inlineStr">
        <is>
          <t>Ist-Bestand</t>
        </is>
      </c>
      <c r="J4" s="18" t="inlineStr">
        <is>
          <t>Lagerort</t>
        </is>
      </c>
      <c r="K4" s="18" t="inlineStr">
        <is>
          <t>Lebenszyklus-status</t>
        </is>
      </c>
      <c r="L4" s="18" t="inlineStr">
        <is>
          <t>Ersatzlösung / Alternative</t>
        </is>
      </c>
      <c r="M4" s="18" t="inlineStr">
        <is>
          <t>Bewertung (automatisch)</t>
        </is>
      </c>
      <c r="N4" s="18" t="inlineStr">
        <is>
          <t>Bemerkung</t>
        </is>
      </c>
    </row>
    <row r="5" ht="24" customHeight="1">
      <c r="A5" s="20">
        <f>IF(C5="","",COUNTA($C$5:C5))</f>
        <v/>
      </c>
      <c r="B5" s="48" t="n"/>
      <c r="C5" s="48" t="n"/>
      <c r="D5" s="48" t="n"/>
      <c r="E5" s="48" t="n"/>
      <c r="F5" s="61" t="n"/>
      <c r="G5" s="61" t="n"/>
      <c r="H5" s="61" t="n"/>
      <c r="I5" s="61" t="n"/>
      <c r="J5" s="48" t="n"/>
      <c r="K5" s="61" t="n"/>
      <c r="L5" s="48" t="n"/>
      <c r="M5" s="77">
        <f>IF(C5="","",IF(AND(H5&lt;&gt;"",I5=""),"Bestand nicht erfasst",IF(AND(H5&lt;&gt;"",I5&lt;H5),"Bestand unter Minimum",IF(AND(K5="nicht mehr lieferbar",L5=""),"obsolet ohne Ersatzlösung",IF(K5="abgekündigt","abgekündigt – Endbevorratung prüfen",IF(F5="ja","Alleinlieferant – Lieferung absichern","in Ordnung"))))))</f>
        <v/>
      </c>
      <c r="N5" s="48" t="n"/>
    </row>
    <row r="6" ht="24" customHeight="1">
      <c r="A6" s="20">
        <f>IF(C6="","",COUNTA($C$5:C6))</f>
        <v/>
      </c>
      <c r="B6" s="48" t="n"/>
      <c r="C6" s="48" t="n"/>
      <c r="D6" s="48" t="n"/>
      <c r="E6" s="48" t="n"/>
      <c r="F6" s="61" t="n"/>
      <c r="G6" s="61" t="n"/>
      <c r="H6" s="61" t="n"/>
      <c r="I6" s="61" t="n"/>
      <c r="J6" s="48" t="n"/>
      <c r="K6" s="61" t="n"/>
      <c r="L6" s="48" t="n"/>
      <c r="M6" s="77">
        <f>IF(C6="","",IF(AND(H6&lt;&gt;"",I6=""),"Bestand nicht erfasst",IF(AND(H6&lt;&gt;"",I6&lt;H6),"Bestand unter Minimum",IF(AND(K6="nicht mehr lieferbar",L6=""),"obsolet ohne Ersatzlösung",IF(K6="abgekündigt","abgekündigt – Endbevorratung prüfen",IF(F6="ja","Alleinlieferant – Lieferung absichern","in Ordnung"))))))</f>
        <v/>
      </c>
      <c r="N6" s="48" t="n"/>
    </row>
    <row r="7" ht="24" customHeight="1">
      <c r="A7" s="20">
        <f>IF(C7="","",COUNTA($C$5:C7))</f>
        <v/>
      </c>
      <c r="B7" s="48" t="n"/>
      <c r="C7" s="48" t="n"/>
      <c r="D7" s="48" t="n"/>
      <c r="E7" s="48" t="n"/>
      <c r="F7" s="61" t="n"/>
      <c r="G7" s="61" t="n"/>
      <c r="H7" s="61" t="n"/>
      <c r="I7" s="61" t="n"/>
      <c r="J7" s="48" t="n"/>
      <c r="K7" s="61" t="n"/>
      <c r="L7" s="48" t="n"/>
      <c r="M7" s="77">
        <f>IF(C7="","",IF(AND(H7&lt;&gt;"",I7=""),"Bestand nicht erfasst",IF(AND(H7&lt;&gt;"",I7&lt;H7),"Bestand unter Minimum",IF(AND(K7="nicht mehr lieferbar",L7=""),"obsolet ohne Ersatzlösung",IF(K7="abgekündigt","abgekündigt – Endbevorratung prüfen",IF(F7="ja","Alleinlieferant – Lieferung absichern","in Ordnung"))))))</f>
        <v/>
      </c>
      <c r="N7" s="48" t="n"/>
    </row>
    <row r="8" ht="24" customHeight="1">
      <c r="A8" s="20">
        <f>IF(C8="","",COUNTA($C$5:C8))</f>
        <v/>
      </c>
      <c r="B8" s="48" t="n"/>
      <c r="C8" s="48" t="n"/>
      <c r="D8" s="48" t="n"/>
      <c r="E8" s="48" t="n"/>
      <c r="F8" s="61" t="n"/>
      <c r="G8" s="61" t="n"/>
      <c r="H8" s="61" t="n"/>
      <c r="I8" s="61" t="n"/>
      <c r="J8" s="48" t="n"/>
      <c r="K8" s="61" t="n"/>
      <c r="L8" s="48" t="n"/>
      <c r="M8" s="77">
        <f>IF(C8="","",IF(AND(H8&lt;&gt;"",I8=""),"Bestand nicht erfasst",IF(AND(H8&lt;&gt;"",I8&lt;H8),"Bestand unter Minimum",IF(AND(K8="nicht mehr lieferbar",L8=""),"obsolet ohne Ersatzlösung",IF(K8="abgekündigt","abgekündigt – Endbevorratung prüfen",IF(F8="ja","Alleinlieferant – Lieferung absichern","in Ordnung"))))))</f>
        <v/>
      </c>
      <c r="N8" s="48" t="n"/>
    </row>
    <row r="9" ht="24" customHeight="1">
      <c r="A9" s="20">
        <f>IF(C9="","",COUNTA($C$5:C9))</f>
        <v/>
      </c>
      <c r="B9" s="48" t="n"/>
      <c r="C9" s="48" t="n"/>
      <c r="D9" s="48" t="n"/>
      <c r="E9" s="48" t="n"/>
      <c r="F9" s="61" t="n"/>
      <c r="G9" s="61" t="n"/>
      <c r="H9" s="61" t="n"/>
      <c r="I9" s="61" t="n"/>
      <c r="J9" s="48" t="n"/>
      <c r="K9" s="61" t="n"/>
      <c r="L9" s="48" t="n"/>
      <c r="M9" s="77">
        <f>IF(C9="","",IF(AND(H9&lt;&gt;"",I9=""),"Bestand nicht erfasst",IF(AND(H9&lt;&gt;"",I9&lt;H9),"Bestand unter Minimum",IF(AND(K9="nicht mehr lieferbar",L9=""),"obsolet ohne Ersatzlösung",IF(K9="abgekündigt","abgekündigt – Endbevorratung prüfen",IF(F9="ja","Alleinlieferant – Lieferung absichern","in Ordnung"))))))</f>
        <v/>
      </c>
      <c r="N9" s="48" t="n"/>
    </row>
    <row r="10" ht="24" customHeight="1">
      <c r="A10" s="20">
        <f>IF(C10="","",COUNTA($C$5:C10))</f>
        <v/>
      </c>
      <c r="B10" s="48" t="n"/>
      <c r="C10" s="48" t="n"/>
      <c r="D10" s="48" t="n"/>
      <c r="E10" s="48" t="n"/>
      <c r="F10" s="61" t="n"/>
      <c r="G10" s="61" t="n"/>
      <c r="H10" s="61" t="n"/>
      <c r="I10" s="61" t="n"/>
      <c r="J10" s="48" t="n"/>
      <c r="K10" s="61" t="n"/>
      <c r="L10" s="48" t="n"/>
      <c r="M10" s="77">
        <f>IF(C10="","",IF(AND(H10&lt;&gt;"",I10=""),"Bestand nicht erfasst",IF(AND(H10&lt;&gt;"",I10&lt;H10),"Bestand unter Minimum",IF(AND(K10="nicht mehr lieferbar",L10=""),"obsolet ohne Ersatzlösung",IF(K10="abgekündigt","abgekündigt – Endbevorratung prüfen",IF(F10="ja","Alleinlieferant – Lieferung absichern","in Ordnung"))))))</f>
        <v/>
      </c>
      <c r="N10" s="48" t="n"/>
    </row>
    <row r="11" ht="24" customHeight="1">
      <c r="A11" s="20">
        <f>IF(C11="","",COUNTA($C$5:C11))</f>
        <v/>
      </c>
      <c r="B11" s="48" t="n"/>
      <c r="C11" s="48" t="n"/>
      <c r="D11" s="48" t="n"/>
      <c r="E11" s="48" t="n"/>
      <c r="F11" s="61" t="n"/>
      <c r="G11" s="61" t="n"/>
      <c r="H11" s="61" t="n"/>
      <c r="I11" s="61" t="n"/>
      <c r="J11" s="48" t="n"/>
      <c r="K11" s="61" t="n"/>
      <c r="L11" s="48" t="n"/>
      <c r="M11" s="77">
        <f>IF(C11="","",IF(AND(H11&lt;&gt;"",I11=""),"Bestand nicht erfasst",IF(AND(H11&lt;&gt;"",I11&lt;H11),"Bestand unter Minimum",IF(AND(K11="nicht mehr lieferbar",L11=""),"obsolet ohne Ersatzlösung",IF(K11="abgekündigt","abgekündigt – Endbevorratung prüfen",IF(F11="ja","Alleinlieferant – Lieferung absichern","in Ordnung"))))))</f>
        <v/>
      </c>
      <c r="N11" s="48" t="n"/>
    </row>
    <row r="12" ht="24" customHeight="1">
      <c r="A12" s="20">
        <f>IF(C12="","",COUNTA($C$5:C12))</f>
        <v/>
      </c>
      <c r="B12" s="48" t="n"/>
      <c r="C12" s="48" t="n"/>
      <c r="D12" s="48" t="n"/>
      <c r="E12" s="48" t="n"/>
      <c r="F12" s="61" t="n"/>
      <c r="G12" s="61" t="n"/>
      <c r="H12" s="61" t="n"/>
      <c r="I12" s="61" t="n"/>
      <c r="J12" s="48" t="n"/>
      <c r="K12" s="61" t="n"/>
      <c r="L12" s="48" t="n"/>
      <c r="M12" s="77">
        <f>IF(C12="","",IF(AND(H12&lt;&gt;"",I12=""),"Bestand nicht erfasst",IF(AND(H12&lt;&gt;"",I12&lt;H12),"Bestand unter Minimum",IF(AND(K12="nicht mehr lieferbar",L12=""),"obsolet ohne Ersatzlösung",IF(K12="abgekündigt","abgekündigt – Endbevorratung prüfen",IF(F12="ja","Alleinlieferant – Lieferung absichern","in Ordnung"))))))</f>
        <v/>
      </c>
      <c r="N12" s="48" t="n"/>
    </row>
    <row r="13" ht="24" customHeight="1">
      <c r="A13" s="20">
        <f>IF(C13="","",COUNTA($C$5:C13))</f>
        <v/>
      </c>
      <c r="B13" s="48" t="n"/>
      <c r="C13" s="48" t="n"/>
      <c r="D13" s="48" t="n"/>
      <c r="E13" s="48" t="n"/>
      <c r="F13" s="61" t="n"/>
      <c r="G13" s="61" t="n"/>
      <c r="H13" s="61" t="n"/>
      <c r="I13" s="61" t="n"/>
      <c r="J13" s="48" t="n"/>
      <c r="K13" s="61" t="n"/>
      <c r="L13" s="48" t="n"/>
      <c r="M13" s="77">
        <f>IF(C13="","",IF(AND(H13&lt;&gt;"",I13=""),"Bestand nicht erfasst",IF(AND(H13&lt;&gt;"",I13&lt;H13),"Bestand unter Minimum",IF(AND(K13="nicht mehr lieferbar",L13=""),"obsolet ohne Ersatzlösung",IF(K13="abgekündigt","abgekündigt – Endbevorratung prüfen",IF(F13="ja","Alleinlieferant – Lieferung absichern","in Ordnung"))))))</f>
        <v/>
      </c>
      <c r="N13" s="48" t="n"/>
    </row>
    <row r="14" ht="24" customHeight="1">
      <c r="A14" s="20">
        <f>IF(C14="","",COUNTA($C$5:C14))</f>
        <v/>
      </c>
      <c r="B14" s="48" t="n"/>
      <c r="C14" s="48" t="n"/>
      <c r="D14" s="48" t="n"/>
      <c r="E14" s="48" t="n"/>
      <c r="F14" s="61" t="n"/>
      <c r="G14" s="61" t="n"/>
      <c r="H14" s="61" t="n"/>
      <c r="I14" s="61" t="n"/>
      <c r="J14" s="48" t="n"/>
      <c r="K14" s="61" t="n"/>
      <c r="L14" s="48" t="n"/>
      <c r="M14" s="77">
        <f>IF(C14="","",IF(AND(H14&lt;&gt;"",I14=""),"Bestand nicht erfasst",IF(AND(H14&lt;&gt;"",I14&lt;H14),"Bestand unter Minimum",IF(AND(K14="nicht mehr lieferbar",L14=""),"obsolet ohne Ersatzlösung",IF(K14="abgekündigt","abgekündigt – Endbevorratung prüfen",IF(F14="ja","Alleinlieferant – Lieferung absichern","in Ordnung"))))))</f>
        <v/>
      </c>
      <c r="N14" s="48" t="n"/>
    </row>
    <row r="15" ht="24" customHeight="1">
      <c r="A15" s="20">
        <f>IF(C15="","",COUNTA($C$5:C15))</f>
        <v/>
      </c>
      <c r="B15" s="48" t="n"/>
      <c r="C15" s="48" t="n"/>
      <c r="D15" s="48" t="n"/>
      <c r="E15" s="48" t="n"/>
      <c r="F15" s="61" t="n"/>
      <c r="G15" s="61" t="n"/>
      <c r="H15" s="61" t="n"/>
      <c r="I15" s="61" t="n"/>
      <c r="J15" s="48" t="n"/>
      <c r="K15" s="61" t="n"/>
      <c r="L15" s="48" t="n"/>
      <c r="M15" s="77">
        <f>IF(C15="","",IF(AND(H15&lt;&gt;"",I15=""),"Bestand nicht erfasst",IF(AND(H15&lt;&gt;"",I15&lt;H15),"Bestand unter Minimum",IF(AND(K15="nicht mehr lieferbar",L15=""),"obsolet ohne Ersatzlösung",IF(K15="abgekündigt","abgekündigt – Endbevorratung prüfen",IF(F15="ja","Alleinlieferant – Lieferung absichern","in Ordnung"))))))</f>
        <v/>
      </c>
      <c r="N15" s="48" t="n"/>
    </row>
    <row r="16" ht="24" customHeight="1">
      <c r="A16" s="20">
        <f>IF(C16="","",COUNTA($C$5:C16))</f>
        <v/>
      </c>
      <c r="B16" s="48" t="n"/>
      <c r="C16" s="48" t="n"/>
      <c r="D16" s="48" t="n"/>
      <c r="E16" s="48" t="n"/>
      <c r="F16" s="61" t="n"/>
      <c r="G16" s="61" t="n"/>
      <c r="H16" s="61" t="n"/>
      <c r="I16" s="61" t="n"/>
      <c r="J16" s="48" t="n"/>
      <c r="K16" s="61" t="n"/>
      <c r="L16" s="48" t="n"/>
      <c r="M16" s="77">
        <f>IF(C16="","",IF(AND(H16&lt;&gt;"",I16=""),"Bestand nicht erfasst",IF(AND(H16&lt;&gt;"",I16&lt;H16),"Bestand unter Minimum",IF(AND(K16="nicht mehr lieferbar",L16=""),"obsolet ohne Ersatzlösung",IF(K16="abgekündigt","abgekündigt – Endbevorratung prüfen",IF(F16="ja","Alleinlieferant – Lieferung absichern","in Ordnung"))))))</f>
        <v/>
      </c>
      <c r="N16" s="48" t="n"/>
    </row>
    <row r="17" ht="24" customHeight="1">
      <c r="A17" s="20">
        <f>IF(C17="","",COUNTA($C$5:C17))</f>
        <v/>
      </c>
      <c r="B17" s="48" t="n"/>
      <c r="C17" s="48" t="n"/>
      <c r="D17" s="48" t="n"/>
      <c r="E17" s="48" t="n"/>
      <c r="F17" s="61" t="n"/>
      <c r="G17" s="61" t="n"/>
      <c r="H17" s="61" t="n"/>
      <c r="I17" s="61" t="n"/>
      <c r="J17" s="48" t="n"/>
      <c r="K17" s="61" t="n"/>
      <c r="L17" s="48" t="n"/>
      <c r="M17" s="77">
        <f>IF(C17="","",IF(AND(H17&lt;&gt;"",I17=""),"Bestand nicht erfasst",IF(AND(H17&lt;&gt;"",I17&lt;H17),"Bestand unter Minimum",IF(AND(K17="nicht mehr lieferbar",L17=""),"obsolet ohne Ersatzlösung",IF(K17="abgekündigt","abgekündigt – Endbevorratung prüfen",IF(F17="ja","Alleinlieferant – Lieferung absichern","in Ordnung"))))))</f>
        <v/>
      </c>
      <c r="N17" s="48" t="n"/>
    </row>
    <row r="18" ht="24" customHeight="1">
      <c r="A18" s="20">
        <f>IF(C18="","",COUNTA($C$5:C18))</f>
        <v/>
      </c>
      <c r="B18" s="48" t="n"/>
      <c r="C18" s="48" t="n"/>
      <c r="D18" s="48" t="n"/>
      <c r="E18" s="48" t="n"/>
      <c r="F18" s="61" t="n"/>
      <c r="G18" s="61" t="n"/>
      <c r="H18" s="61" t="n"/>
      <c r="I18" s="61" t="n"/>
      <c r="J18" s="48" t="n"/>
      <c r="K18" s="61" t="n"/>
      <c r="L18" s="48" t="n"/>
      <c r="M18" s="77">
        <f>IF(C18="","",IF(AND(H18&lt;&gt;"",I18=""),"Bestand nicht erfasst",IF(AND(H18&lt;&gt;"",I18&lt;H18),"Bestand unter Minimum",IF(AND(K18="nicht mehr lieferbar",L18=""),"obsolet ohne Ersatzlösung",IF(K18="abgekündigt","abgekündigt – Endbevorratung prüfen",IF(F18="ja","Alleinlieferant – Lieferung absichern","in Ordnung"))))))</f>
        <v/>
      </c>
      <c r="N18" s="48" t="n"/>
    </row>
    <row r="19" ht="24" customHeight="1">
      <c r="A19" s="20">
        <f>IF(C19="","",COUNTA($C$5:C19))</f>
        <v/>
      </c>
      <c r="B19" s="48" t="n"/>
      <c r="C19" s="48" t="n"/>
      <c r="D19" s="48" t="n"/>
      <c r="E19" s="48" t="n"/>
      <c r="F19" s="61" t="n"/>
      <c r="G19" s="61" t="n"/>
      <c r="H19" s="61" t="n"/>
      <c r="I19" s="61" t="n"/>
      <c r="J19" s="48" t="n"/>
      <c r="K19" s="61" t="n"/>
      <c r="L19" s="48" t="n"/>
      <c r="M19" s="77">
        <f>IF(C19="","",IF(AND(H19&lt;&gt;"",I19=""),"Bestand nicht erfasst",IF(AND(H19&lt;&gt;"",I19&lt;H19),"Bestand unter Minimum",IF(AND(K19="nicht mehr lieferbar",L19=""),"obsolet ohne Ersatzlösung",IF(K19="abgekündigt","abgekündigt – Endbevorratung prüfen",IF(F19="ja","Alleinlieferant – Lieferung absichern","in Ordnung"))))))</f>
        <v/>
      </c>
      <c r="N19" s="48" t="n"/>
    </row>
    <row r="20" ht="24" customHeight="1">
      <c r="A20" s="20">
        <f>IF(C20="","",COUNTA($C$5:C20))</f>
        <v/>
      </c>
      <c r="B20" s="48" t="n"/>
      <c r="C20" s="48" t="n"/>
      <c r="D20" s="48" t="n"/>
      <c r="E20" s="48" t="n"/>
      <c r="F20" s="61" t="n"/>
      <c r="G20" s="61" t="n"/>
      <c r="H20" s="61" t="n"/>
      <c r="I20" s="61" t="n"/>
      <c r="J20" s="48" t="n"/>
      <c r="K20" s="61" t="n"/>
      <c r="L20" s="48" t="n"/>
      <c r="M20" s="77">
        <f>IF(C20="","",IF(AND(H20&lt;&gt;"",I20=""),"Bestand nicht erfasst",IF(AND(H20&lt;&gt;"",I20&lt;H20),"Bestand unter Minimum",IF(AND(K20="nicht mehr lieferbar",L20=""),"obsolet ohne Ersatzlösung",IF(K20="abgekündigt","abgekündigt – Endbevorratung prüfen",IF(F20="ja","Alleinlieferant – Lieferung absichern","in Ordnung"))))))</f>
        <v/>
      </c>
      <c r="N20" s="48" t="n"/>
    </row>
    <row r="21" ht="24" customHeight="1">
      <c r="A21" s="20">
        <f>IF(C21="","",COUNTA($C$5:C21))</f>
        <v/>
      </c>
      <c r="B21" s="48" t="n"/>
      <c r="C21" s="48" t="n"/>
      <c r="D21" s="48" t="n"/>
      <c r="E21" s="48" t="n"/>
      <c r="F21" s="61" t="n"/>
      <c r="G21" s="61" t="n"/>
      <c r="H21" s="61" t="n"/>
      <c r="I21" s="61" t="n"/>
      <c r="J21" s="48" t="n"/>
      <c r="K21" s="61" t="n"/>
      <c r="L21" s="48" t="n"/>
      <c r="M21" s="77">
        <f>IF(C21="","",IF(AND(H21&lt;&gt;"",I21=""),"Bestand nicht erfasst",IF(AND(H21&lt;&gt;"",I21&lt;H21),"Bestand unter Minimum",IF(AND(K21="nicht mehr lieferbar",L21=""),"obsolet ohne Ersatzlösung",IF(K21="abgekündigt","abgekündigt – Endbevorratung prüfen",IF(F21="ja","Alleinlieferant – Lieferung absichern","in Ordnung"))))))</f>
        <v/>
      </c>
      <c r="N21" s="48" t="n"/>
    </row>
    <row r="22" ht="24" customHeight="1">
      <c r="A22" s="20">
        <f>IF(C22="","",COUNTA($C$5:C22))</f>
        <v/>
      </c>
      <c r="B22" s="48" t="n"/>
      <c r="C22" s="48" t="n"/>
      <c r="D22" s="48" t="n"/>
      <c r="E22" s="48" t="n"/>
      <c r="F22" s="61" t="n"/>
      <c r="G22" s="61" t="n"/>
      <c r="H22" s="61" t="n"/>
      <c r="I22" s="61" t="n"/>
      <c r="J22" s="48" t="n"/>
      <c r="K22" s="61" t="n"/>
      <c r="L22" s="48" t="n"/>
      <c r="M22" s="77">
        <f>IF(C22="","",IF(AND(H22&lt;&gt;"",I22=""),"Bestand nicht erfasst",IF(AND(H22&lt;&gt;"",I22&lt;H22),"Bestand unter Minimum",IF(AND(K22="nicht mehr lieferbar",L22=""),"obsolet ohne Ersatzlösung",IF(K22="abgekündigt","abgekündigt – Endbevorratung prüfen",IF(F22="ja","Alleinlieferant – Lieferung absichern","in Ordnung"))))))</f>
        <v/>
      </c>
      <c r="N22" s="48" t="n"/>
    </row>
    <row r="23" ht="24" customHeight="1">
      <c r="A23" s="20">
        <f>IF(C23="","",COUNTA($C$5:C23))</f>
        <v/>
      </c>
      <c r="B23" s="48" t="n"/>
      <c r="C23" s="48" t="n"/>
      <c r="D23" s="48" t="n"/>
      <c r="E23" s="48" t="n"/>
      <c r="F23" s="61" t="n"/>
      <c r="G23" s="61" t="n"/>
      <c r="H23" s="61" t="n"/>
      <c r="I23" s="61" t="n"/>
      <c r="J23" s="48" t="n"/>
      <c r="K23" s="61" t="n"/>
      <c r="L23" s="48" t="n"/>
      <c r="M23" s="77">
        <f>IF(C23="","",IF(AND(H23&lt;&gt;"",I23=""),"Bestand nicht erfasst",IF(AND(H23&lt;&gt;"",I23&lt;H23),"Bestand unter Minimum",IF(AND(K23="nicht mehr lieferbar",L23=""),"obsolet ohne Ersatzlösung",IF(K23="abgekündigt","abgekündigt – Endbevorratung prüfen",IF(F23="ja","Alleinlieferant – Lieferung absichern","in Ordnung"))))))</f>
        <v/>
      </c>
      <c r="N23" s="48" t="n"/>
    </row>
    <row r="24" ht="24" customHeight="1">
      <c r="A24" s="20">
        <f>IF(C24="","",COUNTA($C$5:C24))</f>
        <v/>
      </c>
      <c r="B24" s="48" t="n"/>
      <c r="C24" s="48" t="n"/>
      <c r="D24" s="48" t="n"/>
      <c r="E24" s="48" t="n"/>
      <c r="F24" s="61" t="n"/>
      <c r="G24" s="61" t="n"/>
      <c r="H24" s="61" t="n"/>
      <c r="I24" s="61" t="n"/>
      <c r="J24" s="48" t="n"/>
      <c r="K24" s="61" t="n"/>
      <c r="L24" s="48" t="n"/>
      <c r="M24" s="77">
        <f>IF(C24="","",IF(AND(H24&lt;&gt;"",I24=""),"Bestand nicht erfasst",IF(AND(H24&lt;&gt;"",I24&lt;H24),"Bestand unter Minimum",IF(AND(K24="nicht mehr lieferbar",L24=""),"obsolet ohne Ersatzlösung",IF(K24="abgekündigt","abgekündigt – Endbevorratung prüfen",IF(F24="ja","Alleinlieferant – Lieferung absichern","in Ordnung"))))))</f>
        <v/>
      </c>
      <c r="N24" s="48" t="n"/>
    </row>
    <row r="25" ht="24" customHeight="1">
      <c r="A25" s="20">
        <f>IF(C25="","",COUNTA($C$5:C25))</f>
        <v/>
      </c>
      <c r="B25" s="48" t="n"/>
      <c r="C25" s="48" t="n"/>
      <c r="D25" s="48" t="n"/>
      <c r="E25" s="48" t="n"/>
      <c r="F25" s="61" t="n"/>
      <c r="G25" s="61" t="n"/>
      <c r="H25" s="61" t="n"/>
      <c r="I25" s="61" t="n"/>
      <c r="J25" s="48" t="n"/>
      <c r="K25" s="61" t="n"/>
      <c r="L25" s="48" t="n"/>
      <c r="M25" s="77">
        <f>IF(C25="","",IF(AND(H25&lt;&gt;"",I25=""),"Bestand nicht erfasst",IF(AND(H25&lt;&gt;"",I25&lt;H25),"Bestand unter Minimum",IF(AND(K25="nicht mehr lieferbar",L25=""),"obsolet ohne Ersatzlösung",IF(K25="abgekündigt","abgekündigt – Endbevorratung prüfen",IF(F25="ja","Alleinlieferant – Lieferung absichern","in Ordnung"))))))</f>
        <v/>
      </c>
      <c r="N25" s="48" t="n"/>
    </row>
    <row r="26" ht="24" customHeight="1">
      <c r="A26" s="20">
        <f>IF(C26="","",COUNTA($C$5:C26))</f>
        <v/>
      </c>
      <c r="B26" s="48" t="n"/>
      <c r="C26" s="48" t="n"/>
      <c r="D26" s="48" t="n"/>
      <c r="E26" s="48" t="n"/>
      <c r="F26" s="61" t="n"/>
      <c r="G26" s="61" t="n"/>
      <c r="H26" s="61" t="n"/>
      <c r="I26" s="61" t="n"/>
      <c r="J26" s="48" t="n"/>
      <c r="K26" s="61" t="n"/>
      <c r="L26" s="48" t="n"/>
      <c r="M26" s="77">
        <f>IF(C26="","",IF(AND(H26&lt;&gt;"",I26=""),"Bestand nicht erfasst",IF(AND(H26&lt;&gt;"",I26&lt;H26),"Bestand unter Minimum",IF(AND(K26="nicht mehr lieferbar",L26=""),"obsolet ohne Ersatzlösung",IF(K26="abgekündigt","abgekündigt – Endbevorratung prüfen",IF(F26="ja","Alleinlieferant – Lieferung absichern","in Ordnung"))))))</f>
        <v/>
      </c>
      <c r="N26" s="48" t="n"/>
    </row>
    <row r="27" ht="24" customHeight="1">
      <c r="A27" s="20">
        <f>IF(C27="","",COUNTA($C$5:C27))</f>
        <v/>
      </c>
      <c r="B27" s="48" t="n"/>
      <c r="C27" s="48" t="n"/>
      <c r="D27" s="48" t="n"/>
      <c r="E27" s="48" t="n"/>
      <c r="F27" s="61" t="n"/>
      <c r="G27" s="61" t="n"/>
      <c r="H27" s="61" t="n"/>
      <c r="I27" s="61" t="n"/>
      <c r="J27" s="48" t="n"/>
      <c r="K27" s="61" t="n"/>
      <c r="L27" s="48" t="n"/>
      <c r="M27" s="77">
        <f>IF(C27="","",IF(AND(H27&lt;&gt;"",I27=""),"Bestand nicht erfasst",IF(AND(H27&lt;&gt;"",I27&lt;H27),"Bestand unter Minimum",IF(AND(K27="nicht mehr lieferbar",L27=""),"obsolet ohne Ersatzlösung",IF(K27="abgekündigt","abgekündigt – Endbevorratung prüfen",IF(F27="ja","Alleinlieferant – Lieferung absichern","in Ordnung"))))))</f>
        <v/>
      </c>
      <c r="N27" s="48" t="n"/>
    </row>
    <row r="28" ht="24" customHeight="1">
      <c r="A28" s="20">
        <f>IF(C28="","",COUNTA($C$5:C28))</f>
        <v/>
      </c>
      <c r="B28" s="48" t="n"/>
      <c r="C28" s="48" t="n"/>
      <c r="D28" s="48" t="n"/>
      <c r="E28" s="48" t="n"/>
      <c r="F28" s="61" t="n"/>
      <c r="G28" s="61" t="n"/>
      <c r="H28" s="61" t="n"/>
      <c r="I28" s="61" t="n"/>
      <c r="J28" s="48" t="n"/>
      <c r="K28" s="61" t="n"/>
      <c r="L28" s="48" t="n"/>
      <c r="M28" s="77">
        <f>IF(C28="","",IF(AND(H28&lt;&gt;"",I28=""),"Bestand nicht erfasst",IF(AND(H28&lt;&gt;"",I28&lt;H28),"Bestand unter Minimum",IF(AND(K28="nicht mehr lieferbar",L28=""),"obsolet ohne Ersatzlösung",IF(K28="abgekündigt","abgekündigt – Endbevorratung prüfen",IF(F28="ja","Alleinlieferant – Lieferung absichern","in Ordnung"))))))</f>
        <v/>
      </c>
      <c r="N28" s="48" t="n"/>
    </row>
    <row r="29" ht="24" customHeight="1">
      <c r="A29" s="20">
        <f>IF(C29="","",COUNTA($C$5:C29))</f>
        <v/>
      </c>
      <c r="B29" s="48" t="n"/>
      <c r="C29" s="48" t="n"/>
      <c r="D29" s="48" t="n"/>
      <c r="E29" s="48" t="n"/>
      <c r="F29" s="61" t="n"/>
      <c r="G29" s="61" t="n"/>
      <c r="H29" s="61" t="n"/>
      <c r="I29" s="61" t="n"/>
      <c r="J29" s="48" t="n"/>
      <c r="K29" s="61" t="n"/>
      <c r="L29" s="48" t="n"/>
      <c r="M29" s="77">
        <f>IF(C29="","",IF(AND(H29&lt;&gt;"",I29=""),"Bestand nicht erfasst",IF(AND(H29&lt;&gt;"",I29&lt;H29),"Bestand unter Minimum",IF(AND(K29="nicht mehr lieferbar",L29=""),"obsolet ohne Ersatzlösung",IF(K29="abgekündigt","abgekündigt – Endbevorratung prüfen",IF(F29="ja","Alleinlieferant – Lieferung absichern","in Ordnung"))))))</f>
        <v/>
      </c>
      <c r="N29" s="48" t="n"/>
    </row>
    <row r="30" ht="24" customHeight="1">
      <c r="A30" s="20">
        <f>IF(C30="","",COUNTA($C$5:C30))</f>
        <v/>
      </c>
      <c r="B30" s="48" t="n"/>
      <c r="C30" s="48" t="n"/>
      <c r="D30" s="48" t="n"/>
      <c r="E30" s="48" t="n"/>
      <c r="F30" s="61" t="n"/>
      <c r="G30" s="61" t="n"/>
      <c r="H30" s="61" t="n"/>
      <c r="I30" s="61" t="n"/>
      <c r="J30" s="48" t="n"/>
      <c r="K30" s="61" t="n"/>
      <c r="L30" s="48" t="n"/>
      <c r="M30" s="77">
        <f>IF(C30="","",IF(AND(H30&lt;&gt;"",I30=""),"Bestand nicht erfasst",IF(AND(H30&lt;&gt;"",I30&lt;H30),"Bestand unter Minimum",IF(AND(K30="nicht mehr lieferbar",L30=""),"obsolet ohne Ersatzlösung",IF(K30="abgekündigt","abgekündigt – Endbevorratung prüfen",IF(F30="ja","Alleinlieferant – Lieferung absichern","in Ordnung"))))))</f>
        <v/>
      </c>
      <c r="N30" s="48" t="n"/>
    </row>
    <row r="31" ht="24" customHeight="1">
      <c r="A31" s="20">
        <f>IF(C31="","",COUNTA($C$5:C31))</f>
        <v/>
      </c>
      <c r="B31" s="48" t="n"/>
      <c r="C31" s="48" t="n"/>
      <c r="D31" s="48" t="n"/>
      <c r="E31" s="48" t="n"/>
      <c r="F31" s="61" t="n"/>
      <c r="G31" s="61" t="n"/>
      <c r="H31" s="61" t="n"/>
      <c r="I31" s="61" t="n"/>
      <c r="J31" s="48" t="n"/>
      <c r="K31" s="61" t="n"/>
      <c r="L31" s="48" t="n"/>
      <c r="M31" s="77">
        <f>IF(C31="","",IF(AND(H31&lt;&gt;"",I31=""),"Bestand nicht erfasst",IF(AND(H31&lt;&gt;"",I31&lt;H31),"Bestand unter Minimum",IF(AND(K31="nicht mehr lieferbar",L31=""),"obsolet ohne Ersatzlösung",IF(K31="abgekündigt","abgekündigt – Endbevorratung prüfen",IF(F31="ja","Alleinlieferant – Lieferung absichern","in Ordnung"))))))</f>
        <v/>
      </c>
      <c r="N31" s="48" t="n"/>
    </row>
    <row r="32" ht="24" customHeight="1">
      <c r="A32" s="20">
        <f>IF(C32="","",COUNTA($C$5:C32))</f>
        <v/>
      </c>
      <c r="B32" s="48" t="n"/>
      <c r="C32" s="48" t="n"/>
      <c r="D32" s="48" t="n"/>
      <c r="E32" s="48" t="n"/>
      <c r="F32" s="61" t="n"/>
      <c r="G32" s="61" t="n"/>
      <c r="H32" s="61" t="n"/>
      <c r="I32" s="61" t="n"/>
      <c r="J32" s="48" t="n"/>
      <c r="K32" s="61" t="n"/>
      <c r="L32" s="48" t="n"/>
      <c r="M32" s="77">
        <f>IF(C32="","",IF(AND(H32&lt;&gt;"",I32=""),"Bestand nicht erfasst",IF(AND(H32&lt;&gt;"",I32&lt;H32),"Bestand unter Minimum",IF(AND(K32="nicht mehr lieferbar",L32=""),"obsolet ohne Ersatzlösung",IF(K32="abgekündigt","abgekündigt – Endbevorratung prüfen",IF(F32="ja","Alleinlieferant – Lieferung absichern","in Ordnung"))))))</f>
        <v/>
      </c>
      <c r="N32" s="48" t="n"/>
    </row>
    <row r="33" ht="24" customHeight="1">
      <c r="A33" s="20">
        <f>IF(C33="","",COUNTA($C$5:C33))</f>
        <v/>
      </c>
      <c r="B33" s="48" t="n"/>
      <c r="C33" s="48" t="n"/>
      <c r="D33" s="48" t="n"/>
      <c r="E33" s="48" t="n"/>
      <c r="F33" s="61" t="n"/>
      <c r="G33" s="61" t="n"/>
      <c r="H33" s="61" t="n"/>
      <c r="I33" s="61" t="n"/>
      <c r="J33" s="48" t="n"/>
      <c r="K33" s="61" t="n"/>
      <c r="L33" s="48" t="n"/>
      <c r="M33" s="77">
        <f>IF(C33="","",IF(AND(H33&lt;&gt;"",I33=""),"Bestand nicht erfasst",IF(AND(H33&lt;&gt;"",I33&lt;H33),"Bestand unter Minimum",IF(AND(K33="nicht mehr lieferbar",L33=""),"obsolet ohne Ersatzlösung",IF(K33="abgekündigt","abgekündigt – Endbevorratung prüfen",IF(F33="ja","Alleinlieferant – Lieferung absichern","in Ordnung"))))))</f>
        <v/>
      </c>
      <c r="N33" s="48" t="n"/>
    </row>
    <row r="34" ht="24" customHeight="1">
      <c r="A34" s="20">
        <f>IF(C34="","",COUNTA($C$5:C34))</f>
        <v/>
      </c>
      <c r="B34" s="48" t="n"/>
      <c r="C34" s="48" t="n"/>
      <c r="D34" s="48" t="n"/>
      <c r="E34" s="48" t="n"/>
      <c r="F34" s="61" t="n"/>
      <c r="G34" s="61" t="n"/>
      <c r="H34" s="61" t="n"/>
      <c r="I34" s="61" t="n"/>
      <c r="J34" s="48" t="n"/>
      <c r="K34" s="61" t="n"/>
      <c r="L34" s="48" t="n"/>
      <c r="M34" s="77">
        <f>IF(C34="","",IF(AND(H34&lt;&gt;"",I34=""),"Bestand nicht erfasst",IF(AND(H34&lt;&gt;"",I34&lt;H34),"Bestand unter Minimum",IF(AND(K34="nicht mehr lieferbar",L34=""),"obsolet ohne Ersatzlösung",IF(K34="abgekündigt","abgekündigt – Endbevorratung prüfen",IF(F34="ja","Alleinlieferant – Lieferung absichern","in Ordnung"))))))</f>
        <v/>
      </c>
      <c r="N34" s="48" t="n"/>
    </row>
    <row r="35" ht="24" customHeight="1">
      <c r="A35" s="20">
        <f>IF(C35="","",COUNTA($C$5:C35))</f>
        <v/>
      </c>
      <c r="B35" s="48" t="n"/>
      <c r="C35" s="48" t="n"/>
      <c r="D35" s="48" t="n"/>
      <c r="E35" s="48" t="n"/>
      <c r="F35" s="61" t="n"/>
      <c r="G35" s="61" t="n"/>
      <c r="H35" s="61" t="n"/>
      <c r="I35" s="61" t="n"/>
      <c r="J35" s="48" t="n"/>
      <c r="K35" s="61" t="n"/>
      <c r="L35" s="48" t="n"/>
      <c r="M35" s="77">
        <f>IF(C35="","",IF(AND(H35&lt;&gt;"",I35=""),"Bestand nicht erfasst",IF(AND(H35&lt;&gt;"",I35&lt;H35),"Bestand unter Minimum",IF(AND(K35="nicht mehr lieferbar",L35=""),"obsolet ohne Ersatzlösung",IF(K35="abgekündigt","abgekündigt – Endbevorratung prüfen",IF(F35="ja","Alleinlieferant – Lieferung absichern","in Ordnung"))))))</f>
        <v/>
      </c>
      <c r="N35" s="48" t="n"/>
    </row>
    <row r="36" ht="24" customHeight="1">
      <c r="A36" s="20">
        <f>IF(C36="","",COUNTA($C$5:C36))</f>
        <v/>
      </c>
      <c r="B36" s="48" t="n"/>
      <c r="C36" s="48" t="n"/>
      <c r="D36" s="48" t="n"/>
      <c r="E36" s="48" t="n"/>
      <c r="F36" s="61" t="n"/>
      <c r="G36" s="61" t="n"/>
      <c r="H36" s="61" t="n"/>
      <c r="I36" s="61" t="n"/>
      <c r="J36" s="48" t="n"/>
      <c r="K36" s="61" t="n"/>
      <c r="L36" s="48" t="n"/>
      <c r="M36" s="77">
        <f>IF(C36="","",IF(AND(H36&lt;&gt;"",I36=""),"Bestand nicht erfasst",IF(AND(H36&lt;&gt;"",I36&lt;H36),"Bestand unter Minimum",IF(AND(K36="nicht mehr lieferbar",L36=""),"obsolet ohne Ersatzlösung",IF(K36="abgekündigt","abgekündigt – Endbevorratung prüfen",IF(F36="ja","Alleinlieferant – Lieferung absichern","in Ordnung"))))))</f>
        <v/>
      </c>
      <c r="N36" s="48" t="n"/>
    </row>
    <row r="37" ht="24" customHeight="1">
      <c r="A37" s="20">
        <f>IF(C37="","",COUNTA($C$5:C37))</f>
        <v/>
      </c>
      <c r="B37" s="48" t="n"/>
      <c r="C37" s="48" t="n"/>
      <c r="D37" s="48" t="n"/>
      <c r="E37" s="48" t="n"/>
      <c r="F37" s="61" t="n"/>
      <c r="G37" s="61" t="n"/>
      <c r="H37" s="61" t="n"/>
      <c r="I37" s="61" t="n"/>
      <c r="J37" s="48" t="n"/>
      <c r="K37" s="61" t="n"/>
      <c r="L37" s="48" t="n"/>
      <c r="M37" s="77">
        <f>IF(C37="","",IF(AND(H37&lt;&gt;"",I37=""),"Bestand nicht erfasst",IF(AND(H37&lt;&gt;"",I37&lt;H37),"Bestand unter Minimum",IF(AND(K37="nicht mehr lieferbar",L37=""),"obsolet ohne Ersatzlösung",IF(K37="abgekündigt","abgekündigt – Endbevorratung prüfen",IF(F37="ja","Alleinlieferant – Lieferung absichern","in Ordnung"))))))</f>
        <v/>
      </c>
      <c r="N37" s="48" t="n"/>
    </row>
    <row r="38" ht="24" customHeight="1">
      <c r="A38" s="20">
        <f>IF(C38="","",COUNTA($C$5:C38))</f>
        <v/>
      </c>
      <c r="B38" s="48" t="n"/>
      <c r="C38" s="48" t="n"/>
      <c r="D38" s="48" t="n"/>
      <c r="E38" s="48" t="n"/>
      <c r="F38" s="61" t="n"/>
      <c r="G38" s="61" t="n"/>
      <c r="H38" s="61" t="n"/>
      <c r="I38" s="61" t="n"/>
      <c r="J38" s="48" t="n"/>
      <c r="K38" s="61" t="n"/>
      <c r="L38" s="48" t="n"/>
      <c r="M38" s="77">
        <f>IF(C38="","",IF(AND(H38&lt;&gt;"",I38=""),"Bestand nicht erfasst",IF(AND(H38&lt;&gt;"",I38&lt;H38),"Bestand unter Minimum",IF(AND(K38="nicht mehr lieferbar",L38=""),"obsolet ohne Ersatzlösung",IF(K38="abgekündigt","abgekündigt – Endbevorratung prüfen",IF(F38="ja","Alleinlieferant – Lieferung absichern","in Ordnung"))))))</f>
        <v/>
      </c>
      <c r="N38" s="48" t="n"/>
    </row>
    <row r="39" ht="24" customHeight="1">
      <c r="A39" s="20">
        <f>IF(C39="","",COUNTA($C$5:C39))</f>
        <v/>
      </c>
      <c r="B39" s="48" t="n"/>
      <c r="C39" s="48" t="n"/>
      <c r="D39" s="48" t="n"/>
      <c r="E39" s="48" t="n"/>
      <c r="F39" s="61" t="n"/>
      <c r="G39" s="61" t="n"/>
      <c r="H39" s="61" t="n"/>
      <c r="I39" s="61" t="n"/>
      <c r="J39" s="48" t="n"/>
      <c r="K39" s="61" t="n"/>
      <c r="L39" s="48" t="n"/>
      <c r="M39" s="77">
        <f>IF(C39="","",IF(AND(H39&lt;&gt;"",I39=""),"Bestand nicht erfasst",IF(AND(H39&lt;&gt;"",I39&lt;H39),"Bestand unter Minimum",IF(AND(K39="nicht mehr lieferbar",L39=""),"obsolet ohne Ersatzlösung",IF(K39="abgekündigt","abgekündigt – Endbevorratung prüfen",IF(F39="ja","Alleinlieferant – Lieferung absichern","in Ordnung"))))))</f>
        <v/>
      </c>
      <c r="N39" s="48" t="n"/>
    </row>
    <row r="40" ht="24" customHeight="1">
      <c r="A40" s="20">
        <f>IF(C40="","",COUNTA($C$5:C40))</f>
        <v/>
      </c>
      <c r="B40" s="48" t="n"/>
      <c r="C40" s="48" t="n"/>
      <c r="D40" s="48" t="n"/>
      <c r="E40" s="48" t="n"/>
      <c r="F40" s="61" t="n"/>
      <c r="G40" s="61" t="n"/>
      <c r="H40" s="61" t="n"/>
      <c r="I40" s="61" t="n"/>
      <c r="J40" s="48" t="n"/>
      <c r="K40" s="61" t="n"/>
      <c r="L40" s="48" t="n"/>
      <c r="M40" s="77">
        <f>IF(C40="","",IF(AND(H40&lt;&gt;"",I40=""),"Bestand nicht erfasst",IF(AND(H40&lt;&gt;"",I40&lt;H40),"Bestand unter Minimum",IF(AND(K40="nicht mehr lieferbar",L40=""),"obsolet ohne Ersatzlösung",IF(K40="abgekündigt","abgekündigt – Endbevorratung prüfen",IF(F40="ja","Alleinlieferant – Lieferung absichern","in Ordnung"))))))</f>
        <v/>
      </c>
      <c r="N40" s="48" t="n"/>
    </row>
    <row r="41" ht="24" customHeight="1">
      <c r="A41" s="20">
        <f>IF(C41="","",COUNTA($C$5:C41))</f>
        <v/>
      </c>
      <c r="B41" s="48" t="n"/>
      <c r="C41" s="48" t="n"/>
      <c r="D41" s="48" t="n"/>
      <c r="E41" s="48" t="n"/>
      <c r="F41" s="61" t="n"/>
      <c r="G41" s="61" t="n"/>
      <c r="H41" s="61" t="n"/>
      <c r="I41" s="61" t="n"/>
      <c r="J41" s="48" t="n"/>
      <c r="K41" s="61" t="n"/>
      <c r="L41" s="48" t="n"/>
      <c r="M41" s="77">
        <f>IF(C41="","",IF(AND(H41&lt;&gt;"",I41=""),"Bestand nicht erfasst",IF(AND(H41&lt;&gt;"",I41&lt;H41),"Bestand unter Minimum",IF(AND(K41="nicht mehr lieferbar",L41=""),"obsolet ohne Ersatzlösung",IF(K41="abgekündigt","abgekündigt – Endbevorratung prüfen",IF(F41="ja","Alleinlieferant – Lieferung absichern","in Ordnung"))))))</f>
        <v/>
      </c>
      <c r="N41" s="48" t="n"/>
    </row>
    <row r="42" ht="24" customHeight="1">
      <c r="A42" s="20">
        <f>IF(C42="","",COUNTA($C$5:C42))</f>
        <v/>
      </c>
      <c r="B42" s="48" t="n"/>
      <c r="C42" s="48" t="n"/>
      <c r="D42" s="48" t="n"/>
      <c r="E42" s="48" t="n"/>
      <c r="F42" s="61" t="n"/>
      <c r="G42" s="61" t="n"/>
      <c r="H42" s="61" t="n"/>
      <c r="I42" s="61" t="n"/>
      <c r="J42" s="48" t="n"/>
      <c r="K42" s="61" t="n"/>
      <c r="L42" s="48" t="n"/>
      <c r="M42" s="77">
        <f>IF(C42="","",IF(AND(H42&lt;&gt;"",I42=""),"Bestand nicht erfasst",IF(AND(H42&lt;&gt;"",I42&lt;H42),"Bestand unter Minimum",IF(AND(K42="nicht mehr lieferbar",L42=""),"obsolet ohne Ersatzlösung",IF(K42="abgekündigt","abgekündigt – Endbevorratung prüfen",IF(F42="ja","Alleinlieferant – Lieferung absichern","in Ordnung"))))))</f>
        <v/>
      </c>
      <c r="N42" s="48" t="n"/>
    </row>
    <row r="43" ht="24" customHeight="1">
      <c r="A43" s="20">
        <f>IF(C43="","",COUNTA($C$5:C43))</f>
        <v/>
      </c>
      <c r="B43" s="48" t="n"/>
      <c r="C43" s="48" t="n"/>
      <c r="D43" s="48" t="n"/>
      <c r="E43" s="48" t="n"/>
      <c r="F43" s="61" t="n"/>
      <c r="G43" s="61" t="n"/>
      <c r="H43" s="61" t="n"/>
      <c r="I43" s="61" t="n"/>
      <c r="J43" s="48" t="n"/>
      <c r="K43" s="61" t="n"/>
      <c r="L43" s="48" t="n"/>
      <c r="M43" s="77">
        <f>IF(C43="","",IF(AND(H43&lt;&gt;"",I43=""),"Bestand nicht erfasst",IF(AND(H43&lt;&gt;"",I43&lt;H43),"Bestand unter Minimum",IF(AND(K43="nicht mehr lieferbar",L43=""),"obsolet ohne Ersatzlösung",IF(K43="abgekündigt","abgekündigt – Endbevorratung prüfen",IF(F43="ja","Alleinlieferant – Lieferung absichern","in Ordnung"))))))</f>
        <v/>
      </c>
      <c r="N43" s="48" t="n"/>
    </row>
    <row r="44" ht="24" customHeight="1">
      <c r="A44" s="20">
        <f>IF(C44="","",COUNTA($C$5:C44))</f>
        <v/>
      </c>
      <c r="B44" s="48" t="n"/>
      <c r="C44" s="48" t="n"/>
      <c r="D44" s="48" t="n"/>
      <c r="E44" s="48" t="n"/>
      <c r="F44" s="61" t="n"/>
      <c r="G44" s="61" t="n"/>
      <c r="H44" s="61" t="n"/>
      <c r="I44" s="61" t="n"/>
      <c r="J44" s="48" t="n"/>
      <c r="K44" s="61" t="n"/>
      <c r="L44" s="48" t="n"/>
      <c r="M44" s="77">
        <f>IF(C44="","",IF(AND(H44&lt;&gt;"",I44=""),"Bestand nicht erfasst",IF(AND(H44&lt;&gt;"",I44&lt;H44),"Bestand unter Minimum",IF(AND(K44="nicht mehr lieferbar",L44=""),"obsolet ohne Ersatzlösung",IF(K44="abgekündigt","abgekündigt – Endbevorratung prüfen",IF(F44="ja","Alleinlieferant – Lieferung absichern","in Ordnung"))))))</f>
        <v/>
      </c>
      <c r="N44" s="48" t="n"/>
    </row>
  </sheetData>
  <autoFilter ref="A4:N44"/>
  <conditionalFormatting sqref="M5:M44">
    <cfRule type="cellIs" priority="1" operator="equal" dxfId="0">
      <formula>"in Ordnung"</formula>
    </cfRule>
    <cfRule type="expression" priority="2" dxfId="2">
      <formula>OR(M5="Bestand unter Minimum",M5="obsolet ohne Ersatzlösung")</formula>
    </cfRule>
    <cfRule type="expression" priority="3" dxfId="1">
      <formula>AND(M5&lt;&gt;"",M5&lt;&gt;"in Ordnung",M5&lt;&gt;"Bestand unter Minimum",M5&lt;&gt;"obsolet ohne Ersatzlösung")</formula>
    </cfRule>
  </conditionalFormatting>
  <dataValidations count="5">
    <dataValidation sqref="F5:F44" showDropDown="0" showInputMessage="0" showErrorMessage="0" allowBlank="1" errorTitle="Ungültige Eingabe" error="Bitte einen Wert aus der Liste wählen." type="list">
      <formula1>=L_JaNein</formula1>
    </dataValidation>
    <dataValidation sqref="K5:K44" showDropDown="0" showInputMessage="0" showErrorMessage="0" allowBlank="1" errorTitle="Ungültige Eingabe" error="Bitte einen Wert aus der Liste wählen." type="list">
      <formula1>=L_Obs</formula1>
    </dataValidation>
    <dataValidation sqref="G5:G44" showDropDown="0" showInputMessage="0" showErrorMessage="0" allowBlank="1" errorTitle="Ungültige Eingabe" error="Wochen als Zahl eingeben." type="decimal" operator="between">
      <formula1>0</formula1>
      <formula2>520</formula2>
    </dataValidation>
    <dataValidation sqref="H5:H44" showDropDown="0" showInputMessage="0" showErrorMessage="0" allowBlank="1" errorTitle="Ungültige Eingabe" error="Ganze Zahl eingeben." type="whole" operator="between">
      <formula1>0</formula1>
      <formula2>100000</formula2>
    </dataValidation>
    <dataValidation sqref="I5:I44" showDropDown="0" showInputMessage="0" showErrorMessage="0" allowBlank="1" errorTitle="Ungültige Eingabe" error="Ganze Zahl eingeben." type="whole" operator="between">
      <formula1>0</formula1>
      <formula2>100000</formula2>
    </dataValidation>
  </dataValidations>
  <pageMargins left="0.4" right="0.4" top="0.5" bottom="0.5" header="0.5" footer="0.5"/>
  <pageSetup orientation="landscape" paperSize="9" fitToHeight="0" fitToWidth="1"/>
  <headerFooter>
    <oddHeader/>
    <oddFooter>&amp;L&amp;8 Anlagenzustandsanalyse – Kritische Ersatzteile&amp;R&amp;8 Seite &amp;P von &amp;N</oddFooter>
    <evenHeader/>
    <evenFooter/>
    <firstHeader/>
    <firstFooter/>
  </headerFooter>
</worksheet>
</file>

<file path=xl/worksheets/sheet6.xml><?xml version="1.0" encoding="utf-8"?>
<worksheet xmlns="http://schemas.openxmlformats.org/spreadsheetml/2006/main">
  <sheetPr>
    <tabColor rgb="008A94A6"/>
    <outlinePr summaryBelow="1" summaryRight="1"/>
    <pageSetUpPr fitToPage="1"/>
  </sheetPr>
  <dimension ref="A1:G69"/>
  <sheetViews>
    <sheetView showGridLines="0" workbookViewId="0">
      <selection activeCell="A1" sqref="A1"/>
    </sheetView>
  </sheetViews>
  <sheetFormatPr baseColWidth="8" defaultRowHeight="15"/>
  <cols>
    <col width="30.7" customWidth="1" min="1" max="1"/>
    <col width="40.7" customWidth="1" min="2" max="2"/>
    <col width="14.7" customWidth="1" min="3" max="3"/>
    <col width="90.7" customWidth="1" min="4" max="4"/>
    <col width="22.7" customWidth="1" min="5" max="5"/>
    <col width="26.7" customWidth="1" min="6" max="6"/>
    <col width="22.7" customWidth="1" min="7" max="7"/>
  </cols>
  <sheetData>
    <row r="1" ht="21.95" customHeight="1">
      <c r="A1" s="44" t="inlineStr">
        <is>
          <t>Einstellungen</t>
        </is>
      </c>
      <c r="B1" s="1" t="n"/>
      <c r="C1" s="1" t="n"/>
      <c r="D1" s="1" t="n"/>
      <c r="E1" s="1" t="n"/>
      <c r="F1" s="1" t="n"/>
      <c r="G1" s="1" t="n"/>
    </row>
    <row r="2">
      <c r="A2" s="45" t="inlineStr">
        <is>
          <t>Gelbe Felder sind Eingaben. Alle Auswertungen greifen auf diese Werte zu.</t>
        </is>
      </c>
      <c r="B2" s="1" t="n"/>
      <c r="C2" s="1" t="n"/>
      <c r="D2" s="1" t="n"/>
      <c r="E2" s="1" t="n"/>
      <c r="F2" s="1" t="n"/>
      <c r="G2" s="1" t="n"/>
    </row>
    <row r="3">
      <c r="A3" s="1" t="n"/>
      <c r="B3" s="1" t="n"/>
      <c r="C3" s="1" t="n"/>
      <c r="D3" s="1" t="n"/>
      <c r="E3" s="1" t="n"/>
      <c r="F3" s="1" t="n"/>
      <c r="G3" s="1" t="n"/>
    </row>
    <row r="4">
      <c r="A4" s="78" t="inlineStr">
        <is>
          <t>Bewertung</t>
        </is>
      </c>
      <c r="B4" s="1" t="n"/>
      <c r="C4" s="1" t="n"/>
      <c r="D4" s="1" t="n"/>
      <c r="E4" s="1" t="n"/>
      <c r="F4" s="1" t="n"/>
      <c r="G4" s="1" t="n"/>
    </row>
    <row r="5">
      <c r="A5" s="79" t="inlineStr">
        <is>
          <t>Gewicht „bed. OK“</t>
        </is>
      </c>
      <c r="B5" s="1" t="n"/>
      <c r="C5" s="80" t="n">
        <v>0.5</v>
      </c>
      <c r="D5" s="4" t="inlineStr">
        <is>
          <t>Aus der Vorlage „2026_Audit_Instandhaltung_Allgemein“ übernommen: „bed. OK“ zählt zur Hälfte. Frei änderbar.</t>
        </is>
      </c>
      <c r="E5" s="1" t="n"/>
      <c r="F5" s="1" t="n"/>
      <c r="G5" s="1" t="n"/>
    </row>
    <row r="6">
      <c r="A6" s="79" t="inlineStr">
        <is>
          <t>Ampel grün ab</t>
        </is>
      </c>
      <c r="B6" s="1" t="n"/>
      <c r="C6" s="80" t="n">
        <v>0.85</v>
      </c>
      <c r="D6" s="4" t="inlineStr">
        <is>
          <t>Aus der Vorlage übernommen, frei änderbar. Ab diesem Erfüllungsgrad: „gut“.</t>
        </is>
      </c>
      <c r="E6" s="1" t="n"/>
      <c r="F6" s="1" t="n"/>
      <c r="G6" s="1" t="n"/>
    </row>
    <row r="7">
      <c r="A7" s="79" t="inlineStr">
        <is>
          <t>Ampel gelb ab</t>
        </is>
      </c>
      <c r="B7" s="1" t="n"/>
      <c r="C7" s="80" t="n">
        <v>0.6</v>
      </c>
      <c r="D7" s="4" t="inlineStr">
        <is>
          <t>Aus der Vorlage übernommen, frei änderbar. Ab diesem Erfüllungsgrad: „mittel“, darunter „kritisch“.</t>
        </is>
      </c>
      <c r="E7" s="1" t="n"/>
      <c r="F7" s="1" t="n"/>
      <c r="G7" s="1" t="n"/>
    </row>
    <row r="8">
      <c r="A8" s="79" t="inlineStr">
        <is>
          <t>K.O.-Regel aktiv</t>
        </is>
      </c>
      <c r="B8" s="1" t="n"/>
      <c r="C8" s="61" t="inlineStr">
        <is>
          <t>ja</t>
        </is>
      </c>
      <c r="D8" s="4" t="inlineStr">
        <is>
          <t>NEU: Ist ein K.O.-Prüfpunkt mit N.I.O bewertet, lautet die Gesamtbewertung „kritisch (K.O.)“ – unabhängig vom Erfüllungsgrad.</t>
        </is>
      </c>
      <c r="E8" s="1" t="n"/>
      <c r="F8" s="1" t="n"/>
      <c r="G8" s="1" t="n"/>
    </row>
    <row r="9">
      <c r="A9" s="1" t="n"/>
      <c r="B9" s="1" t="n"/>
      <c r="C9" s="1" t="n"/>
      <c r="D9" s="1" t="n"/>
      <c r="E9" s="1" t="n"/>
      <c r="F9" s="1" t="n"/>
      <c r="G9" s="1" t="n"/>
    </row>
    <row r="10">
      <c r="A10" s="78" t="inlineStr">
        <is>
          <t>Zielwerte und Grenzwerte (NEU)</t>
        </is>
      </c>
      <c r="B10" s="1" t="n"/>
      <c r="C10" s="1" t="n"/>
      <c r="D10" s="1" t="n"/>
      <c r="E10" s="1" t="n"/>
      <c r="F10" s="1" t="n"/>
      <c r="G10" s="1" t="n"/>
    </row>
    <row r="11">
      <c r="A11" s="79" t="inlineStr">
        <is>
          <t>Ziel technische Verfügbarkeit</t>
        </is>
      </c>
      <c r="B11" s="1" t="n"/>
      <c r="C11" s="80" t="n">
        <v>0.92</v>
      </c>
      <c r="D11" s="4" t="inlineStr">
        <is>
          <t>Annahme: 92 % wie im Vorlage-Punkt 24 der Datei „2026_Audit_Instandhaltung_Allgemein“ (dort Hinweis 90 % / 80 %). Bitte gültigen Zielwert bestätigen.</t>
        </is>
      </c>
      <c r="E11" s="1" t="n"/>
      <c r="F11" s="1" t="n"/>
      <c r="G11" s="1" t="n"/>
    </row>
    <row r="12">
      <c r="A12" s="79" t="inlineStr">
        <is>
          <t>Grenzwert IH-Kostenquote</t>
        </is>
      </c>
      <c r="B12" s="1" t="n"/>
      <c r="C12" s="71" t="n">
        <v>0.05</v>
      </c>
      <c r="D12" s="4" t="inlineStr">
        <is>
          <t>Annahme (Vorschlag), frei änderbar: IH-Kosten pro Jahr ÷ Wiederbeschaffungswert. Darüber ist eine Ersatz- oder Retrofit-Prüfung angeraten.</t>
        </is>
      </c>
      <c r="E12" s="1" t="n"/>
      <c r="F12" s="1" t="n"/>
      <c r="G12" s="1" t="n"/>
    </row>
    <row r="13">
      <c r="A13" s="79" t="inlineStr">
        <is>
          <t>Risiko „hoch“ ab Risikozahl</t>
        </is>
      </c>
      <c r="B13" s="1" t="n"/>
      <c r="C13" s="69" t="n">
        <v>15</v>
      </c>
      <c r="D13" s="4" t="inlineStr">
        <is>
          <t>Annahme (Vorschlag), frei änderbar. Risikozahl = Ausfallwahrscheinlichkeit (1–5) × Auswirkung (1–5), maximal 25.</t>
        </is>
      </c>
      <c r="E13" s="1" t="n"/>
      <c r="F13" s="1" t="n"/>
      <c r="G13" s="1" t="n"/>
    </row>
    <row r="14">
      <c r="A14" s="79" t="inlineStr">
        <is>
          <t>Risiko „mittel“ ab Risikozahl</t>
        </is>
      </c>
      <c r="B14" s="1" t="n"/>
      <c r="C14" s="69" t="n">
        <v>8</v>
      </c>
      <c r="D14" s="4" t="inlineStr">
        <is>
          <t>Annahme (Vorschlag), frei änderbar. Darunter: „gering“.</t>
        </is>
      </c>
      <c r="E14" s="1" t="n"/>
      <c r="F14" s="1" t="n"/>
      <c r="G14" s="1" t="n"/>
    </row>
    <row r="15">
      <c r="A15" s="1" t="n"/>
      <c r="B15" s="1" t="n"/>
      <c r="C15" s="1" t="n"/>
      <c r="D15" s="1" t="n"/>
      <c r="E15" s="1" t="n"/>
      <c r="F15" s="1" t="n"/>
      <c r="G15" s="1" t="n"/>
    </row>
    <row r="16">
      <c r="A16" s="78" t="inlineStr">
        <is>
          <t>Kapitel</t>
        </is>
      </c>
      <c r="B16" s="1" t="n"/>
      <c r="C16" s="1" t="n"/>
      <c r="D16" s="1" t="n"/>
      <c r="E16" s="1" t="n"/>
      <c r="F16" s="1" t="n"/>
      <c r="G16" s="1" t="n"/>
    </row>
    <row r="17">
      <c r="A17" s="52" t="inlineStr">
        <is>
          <t>Nr.</t>
        </is>
      </c>
      <c r="B17" s="52" t="inlineStr">
        <is>
          <t>Kapitel</t>
        </is>
      </c>
      <c r="C17" s="1" t="n"/>
      <c r="D17" s="1" t="n"/>
      <c r="E17" s="1" t="n"/>
      <c r="F17" s="1" t="n"/>
      <c r="G17" s="1" t="n"/>
    </row>
    <row r="18">
      <c r="A18" s="81" t="n">
        <v>1</v>
      </c>
      <c r="B18" s="82" t="inlineStr">
        <is>
          <t>Technischer Zustand</t>
        </is>
      </c>
      <c r="C18" s="1" t="n"/>
      <c r="D18" s="83" t="inlineStr">
        <is>
          <t>Diese Liste steuert das Dashboard und die Auswahlliste im Blatt „Audit“. Wird ein Name geändert, die Prüfpunkte im Blatt „Audit“ (Spalte Kapitel) neu zuordnen.</t>
        </is>
      </c>
      <c r="E18" s="1" t="n"/>
      <c r="F18" s="1" t="n"/>
      <c r="G18" s="1" t="n"/>
    </row>
    <row r="19">
      <c r="A19" s="81" t="n">
        <v>2</v>
      </c>
      <c r="B19" s="82" t="inlineStr">
        <is>
          <t>Betriebsbereitschaft</t>
        </is>
      </c>
      <c r="C19" s="1" t="n"/>
      <c r="D19" s="1" t="n"/>
      <c r="E19" s="1" t="n"/>
      <c r="F19" s="1" t="n"/>
      <c r="G19" s="1" t="n"/>
    </row>
    <row r="20">
      <c r="A20" s="81" t="n">
        <v>3</v>
      </c>
      <c r="B20" s="82" t="inlineStr">
        <is>
          <t>Verfügbarkeit &amp; Störanfälligkeit</t>
        </is>
      </c>
      <c r="C20" s="1" t="n"/>
      <c r="D20" s="1" t="n"/>
      <c r="E20" s="1" t="n"/>
      <c r="F20" s="1" t="n"/>
      <c r="G20" s="1" t="n"/>
    </row>
    <row r="21">
      <c r="A21" s="81" t="n">
        <v>4</v>
      </c>
      <c r="B21" s="82" t="inlineStr">
        <is>
          <t>Wartungszustand</t>
        </is>
      </c>
      <c r="C21" s="1" t="n"/>
      <c r="D21" s="1" t="n"/>
      <c r="E21" s="1" t="n"/>
      <c r="F21" s="1" t="n"/>
      <c r="G21" s="1" t="n"/>
    </row>
    <row r="22">
      <c r="A22" s="81" t="n">
        <v>5</v>
      </c>
      <c r="B22" s="82" t="inlineStr">
        <is>
          <t>Ersatzteilverfügbarkeit</t>
        </is>
      </c>
      <c r="C22" s="1" t="n"/>
      <c r="D22" s="1" t="n"/>
      <c r="E22" s="1" t="n"/>
      <c r="F22" s="1" t="n"/>
      <c r="G22" s="1" t="n"/>
    </row>
    <row r="23">
      <c r="A23" s="81" t="n">
        <v>6</v>
      </c>
      <c r="B23" s="82" t="inlineStr">
        <is>
          <t>Kritische Ersatzteile</t>
        </is>
      </c>
      <c r="C23" s="1" t="n"/>
      <c r="D23" s="1" t="n"/>
      <c r="E23" s="1" t="n"/>
      <c r="F23" s="1" t="n"/>
      <c r="G23" s="1" t="n"/>
    </row>
    <row r="24">
      <c r="A24" s="81" t="n">
        <v>7</v>
      </c>
      <c r="B24" s="82" t="inlineStr">
        <is>
          <t>Werkzeugzustand &amp; -verfügbarkeit</t>
        </is>
      </c>
      <c r="C24" s="1" t="n"/>
      <c r="D24" s="1" t="n"/>
      <c r="E24" s="1" t="n"/>
      <c r="F24" s="1" t="n"/>
      <c r="G24" s="1" t="n"/>
    </row>
    <row r="25">
      <c r="A25" s="81" t="n">
        <v>8</v>
      </c>
      <c r="B25" s="82" t="inlineStr">
        <is>
          <t>Obsoleszenz &amp; Herstellersupport</t>
        </is>
      </c>
      <c r="C25" s="1" t="n"/>
      <c r="D25" s="1" t="n"/>
      <c r="E25" s="1" t="n"/>
      <c r="F25" s="1" t="n"/>
      <c r="G25" s="1" t="n"/>
    </row>
    <row r="26">
      <c r="A26" s="81" t="n">
        <v>9</v>
      </c>
      <c r="B26" s="82" t="inlineStr">
        <is>
          <t>Sicherheit &amp; Umwelt</t>
        </is>
      </c>
      <c r="C26" s="1" t="n"/>
      <c r="D26" s="1" t="n"/>
      <c r="E26" s="1" t="n"/>
      <c r="F26" s="1" t="n"/>
      <c r="G26" s="1" t="n"/>
    </row>
    <row r="27">
      <c r="A27" s="81" t="n">
        <v>10</v>
      </c>
      <c r="B27" s="82" t="inlineStr">
        <is>
          <t>Produktionsrelevanz &amp; Engpass</t>
        </is>
      </c>
      <c r="C27" s="1" t="n"/>
      <c r="D27" s="1" t="n"/>
      <c r="E27" s="1" t="n"/>
      <c r="F27" s="1" t="n"/>
      <c r="G27" s="1" t="n"/>
    </row>
    <row r="28">
      <c r="A28" s="81" t="n">
        <v>11</v>
      </c>
      <c r="B28" s="82" t="inlineStr">
        <is>
          <t>Ausweichfertigung &amp; Notfall</t>
        </is>
      </c>
      <c r="C28" s="1" t="n"/>
      <c r="D28" s="1" t="n"/>
      <c r="E28" s="1" t="n"/>
      <c r="F28" s="1" t="n"/>
      <c r="G28" s="1" t="n"/>
    </row>
    <row r="29">
      <c r="A29" s="81" t="n">
        <v>12</v>
      </c>
      <c r="B29" s="82" t="inlineStr">
        <is>
          <t>Dokumentation &amp; Software</t>
        </is>
      </c>
      <c r="C29" s="1" t="n"/>
      <c r="D29" s="1" t="n"/>
      <c r="E29" s="1" t="n"/>
      <c r="F29" s="1" t="n"/>
      <c r="G29" s="1" t="n"/>
    </row>
    <row r="30">
      <c r="A30" s="81" t="n">
        <v>13</v>
      </c>
      <c r="B30" s="82" t="inlineStr">
        <is>
          <t>Personal &amp; Know-how</t>
        </is>
      </c>
      <c r="C30" s="1" t="n"/>
      <c r="D30" s="1" t="n"/>
      <c r="E30" s="1" t="n"/>
      <c r="F30" s="1" t="n"/>
      <c r="G30" s="1" t="n"/>
    </row>
    <row r="31">
      <c r="A31" s="81" t="n">
        <v>14</v>
      </c>
      <c r="B31" s="82" t="inlineStr">
        <is>
          <t>Modernisierung &amp; Investition</t>
        </is>
      </c>
      <c r="C31" s="1" t="n"/>
      <c r="D31" s="1" t="n"/>
      <c r="E31" s="1" t="n"/>
      <c r="F31" s="1" t="n"/>
      <c r="G31" s="1" t="n"/>
    </row>
    <row r="32">
      <c r="A32" s="1" t="n"/>
      <c r="B32" s="1" t="n"/>
      <c r="C32" s="1" t="n"/>
      <c r="D32" s="1" t="n"/>
      <c r="E32" s="1" t="n"/>
      <c r="F32" s="1" t="n"/>
      <c r="G32" s="1" t="n"/>
    </row>
    <row r="33">
      <c r="A33" s="1" t="n"/>
      <c r="B33" s="1" t="n"/>
      <c r="C33" s="1" t="n"/>
      <c r="D33" s="1" t="n"/>
      <c r="E33" s="1" t="n"/>
      <c r="F33" s="1" t="n"/>
      <c r="G33" s="1" t="n"/>
    </row>
    <row r="34">
      <c r="A34" s="78" t="inlineStr">
        <is>
          <t>Bewertungsskala</t>
        </is>
      </c>
      <c r="B34" s="1" t="n"/>
      <c r="C34" s="1" t="n"/>
      <c r="D34" s="1" t="n"/>
      <c r="E34" s="1" t="n"/>
      <c r="F34" s="1" t="n"/>
      <c r="G34" s="1" t="n"/>
    </row>
    <row r="35">
      <c r="A35" s="52" t="inlineStr">
        <is>
          <t>Bewertung</t>
        </is>
      </c>
      <c r="B35" s="52" t="inlineStr">
        <is>
          <t>Bedeutung</t>
        </is>
      </c>
      <c r="C35" s="52" t="inlineStr">
        <is>
          <t>Wertung</t>
        </is>
      </c>
      <c r="D35" s="1" t="n"/>
      <c r="E35" s="1" t="n"/>
      <c r="F35" s="1" t="n"/>
      <c r="G35" s="1" t="n"/>
    </row>
    <row r="36">
      <c r="A36" s="41" t="inlineStr">
        <is>
          <t>N.I.O</t>
        </is>
      </c>
      <c r="B36" s="84" t="inlineStr">
        <is>
          <t>nicht in Ordnung – Anforderung nicht erfüllt</t>
        </is>
      </c>
      <c r="C36" s="85" t="n">
        <v>0</v>
      </c>
      <c r="D36" s="4" t="inlineStr">
        <is>
          <t>Maßnahme, Verantwortlicher und Termin erforderlich.</t>
        </is>
      </c>
      <c r="E36" s="1" t="n"/>
      <c r="F36" s="1" t="n"/>
      <c r="G36" s="1" t="n"/>
    </row>
    <row r="37">
      <c r="A37" s="41" t="inlineStr">
        <is>
          <t>bed. OK</t>
        </is>
      </c>
      <c r="B37" s="84" t="inlineStr">
        <is>
          <t>bedingt in Ordnung – teilweise erfüllt</t>
        </is>
      </c>
      <c r="C37" s="85">
        <f>Gewicht_bedOK</f>
        <v/>
      </c>
      <c r="D37" s="4" t="inlineStr">
        <is>
          <t>Maßnahme zur Verbesserung festlegen.</t>
        </is>
      </c>
      <c r="E37" s="1" t="n"/>
      <c r="F37" s="1" t="n"/>
      <c r="G37" s="1" t="n"/>
    </row>
    <row r="38">
      <c r="A38" s="41" t="inlineStr">
        <is>
          <t>OK</t>
        </is>
      </c>
      <c r="B38" s="84" t="inlineStr">
        <is>
          <t>in Ordnung – Anforderung erfüllt</t>
        </is>
      </c>
      <c r="C38" s="85" t="n">
        <v>1</v>
      </c>
      <c r="D38" s="4" t="inlineStr">
        <is>
          <t>Nachweis in Spalte „Nachweis / Evidenz“ eintragen.</t>
        </is>
      </c>
      <c r="E38" s="1" t="n"/>
      <c r="F38" s="1" t="n"/>
      <c r="G38" s="1" t="n"/>
    </row>
    <row r="39">
      <c r="A39" s="41" t="inlineStr">
        <is>
          <t>n. b.</t>
        </is>
      </c>
      <c r="B39" s="84" t="inlineStr">
        <is>
          <t>nicht bewertet / nicht zutreffend</t>
        </is>
      </c>
      <c r="C39" s="85" t="inlineStr">
        <is>
          <t>zählt nicht</t>
        </is>
      </c>
      <c r="D39" s="4" t="inlineStr">
        <is>
          <t>Geht nicht in den Erfüllungsgrad ein.</t>
        </is>
      </c>
      <c r="E39" s="1" t="n"/>
      <c r="F39" s="1" t="n"/>
      <c r="G39" s="1" t="n"/>
    </row>
    <row r="40">
      <c r="A40" s="1" t="n"/>
      <c r="B40" s="1" t="n"/>
      <c r="C40" s="1" t="n"/>
      <c r="D40" s="1" t="n"/>
      <c r="E40" s="1" t="n"/>
      <c r="F40" s="1" t="n"/>
      <c r="G40" s="1" t="n"/>
    </row>
    <row r="41">
      <c r="A41" s="78" t="inlineStr">
        <is>
          <t>Gewichtung der Prüfpunkte (NEU)</t>
        </is>
      </c>
      <c r="B41" s="1" t="n"/>
      <c r="C41" s="1" t="n"/>
      <c r="D41" s="1" t="n"/>
      <c r="E41" s="1" t="n"/>
      <c r="F41" s="1" t="n"/>
      <c r="G41" s="1" t="n"/>
    </row>
    <row r="42">
      <c r="A42" s="52" t="inlineStr">
        <is>
          <t>Gewicht</t>
        </is>
      </c>
      <c r="B42" s="52" t="inlineStr">
        <is>
          <t>Bedeutung</t>
        </is>
      </c>
      <c r="C42" s="52" t="inlineStr">
        <is>
          <t>Beispiel</t>
        </is>
      </c>
      <c r="D42" s="1" t="n"/>
      <c r="E42" s="1" t="n"/>
      <c r="F42" s="1" t="n"/>
      <c r="G42" s="1" t="n"/>
    </row>
    <row r="43">
      <c r="A43" s="41" t="n">
        <v>1</v>
      </c>
      <c r="B43" s="86" t="inlineStr">
        <is>
          <t>normal</t>
        </is>
      </c>
      <c r="C43" s="87" t="inlineStr">
        <is>
          <t>Ordnung, Kennzeichnung, Nachweise mit geringer Ausfallwirkung</t>
        </is>
      </c>
      <c r="D43" s="1" t="n"/>
      <c r="E43" s="1" t="n"/>
      <c r="F43" s="1" t="n"/>
      <c r="G43" s="1" t="n"/>
    </row>
    <row r="44">
      <c r="A44" s="41" t="n">
        <v>2</v>
      </c>
      <c r="B44" s="86" t="inlineStr">
        <is>
          <t>wichtig – direkte Wirkung auf Verfügbarkeit oder Qualität</t>
        </is>
      </c>
      <c r="C44" s="87" t="inlineStr">
        <is>
          <t>Zustand Hydraulik, Ersatzteillisten, Wartungsnachweise</t>
        </is>
      </c>
      <c r="D44" s="1" t="n"/>
      <c r="E44" s="1" t="n"/>
      <c r="F44" s="1" t="n"/>
      <c r="G44" s="1" t="n"/>
    </row>
    <row r="45">
      <c r="A45" s="41" t="n">
        <v>3</v>
      </c>
      <c r="B45" s="86" t="inlineStr">
        <is>
          <t>sehr wichtig – Sicherheit, Notfall, Ausfall ohne Ersatz</t>
        </is>
      </c>
      <c r="C45" s="87" t="inlineStr">
        <is>
          <t>Schutzeinrichtungen, Notfallplan, kritische Ersatzteile, Datensicherung</t>
        </is>
      </c>
      <c r="D45" s="1" t="n"/>
      <c r="E45" s="1" t="n"/>
      <c r="F45" s="1" t="n"/>
      <c r="G45" s="1" t="n"/>
    </row>
    <row r="46">
      <c r="A46" s="4" t="inlineStr">
        <is>
          <t>Erfüllungsgrad = Σ(Gewicht × Wertung) ÷ Σ(Gewicht) über alle mit N.I.O, bed. OK oder OK bewerteten Punkte. Mit Gewicht 1 für alle Punkte entspricht das der Berechnung der Vorlage.</t>
        </is>
      </c>
      <c r="B46" s="1" t="n"/>
      <c r="C46" s="1" t="n"/>
      <c r="D46" s="1" t="n"/>
      <c r="E46" s="1" t="n"/>
      <c r="F46" s="1" t="n"/>
      <c r="G46" s="1" t="n"/>
    </row>
    <row r="47">
      <c r="A47" s="1" t="n"/>
      <c r="B47" s="1" t="n"/>
      <c r="C47" s="1" t="n"/>
      <c r="D47" s="1" t="n"/>
      <c r="E47" s="1" t="n"/>
      <c r="F47" s="1" t="n"/>
      <c r="G47" s="1" t="n"/>
    </row>
    <row r="48">
      <c r="A48" s="78" t="inlineStr">
        <is>
          <t>Risikoskalen (NEU) – für das Blatt „Anlagenübersicht“</t>
        </is>
      </c>
      <c r="B48" s="1" t="n"/>
      <c r="C48" s="1" t="n"/>
      <c r="D48" s="1" t="n"/>
      <c r="E48" s="1" t="n"/>
      <c r="F48" s="1" t="n"/>
      <c r="G48" s="1" t="n"/>
    </row>
    <row r="49">
      <c r="A49" s="52" t="inlineStr">
        <is>
          <t>Stufe</t>
        </is>
      </c>
      <c r="B49" s="52" t="inlineStr">
        <is>
          <t>Ausfallwahrscheinlichkeit (W)</t>
        </is>
      </c>
      <c r="C49" s="88" t="n"/>
      <c r="D49" s="52" t="inlineStr">
        <is>
          <t>Auswirkung (A)</t>
        </is>
      </c>
      <c r="E49" s="1" t="n"/>
      <c r="F49" s="1" t="n"/>
      <c r="G49" s="1" t="n"/>
    </row>
    <row r="50" ht="27" customHeight="1">
      <c r="A50" s="41" t="n">
        <v>1</v>
      </c>
      <c r="B50" s="58" t="inlineStr">
        <is>
          <t>sehr gering – neuwertiger Zustand, keine Störungen in 12 Monaten, Ersatzteile verfügbar</t>
        </is>
      </c>
      <c r="C50" s="58" t="n"/>
      <c r="D50" s="58" t="inlineStr">
        <is>
          <t>unbedeutend – C-Anlage, Ausweichfertigung freigegeben, kein Kundeneinfluss</t>
        </is>
      </c>
      <c r="E50" s="1" t="n"/>
      <c r="F50" s="1" t="n"/>
      <c r="G50" s="1" t="n"/>
    </row>
    <row r="51" ht="27" customHeight="1">
      <c r="A51" s="41" t="n">
        <v>2</v>
      </c>
      <c r="B51" s="58" t="inlineStr">
        <is>
          <t>gering – guter Zustand, vereinzelte Störungen, MTBF stabil</t>
        </is>
      </c>
      <c r="C51" s="58" t="n"/>
      <c r="D51" s="58" t="inlineStr">
        <is>
          <t>gering – Ausfall über Puffer / Ausweichfertigung ohne Lieferverzug abfangbar</t>
        </is>
      </c>
      <c r="E51" s="1" t="n"/>
      <c r="F51" s="1" t="n"/>
      <c r="G51" s="1" t="n"/>
    </row>
    <row r="52" ht="27" customHeight="1">
      <c r="A52" s="41" t="n">
        <v>3</v>
      </c>
      <c r="B52" s="58" t="inlineStr">
        <is>
          <t>mittel – Verschleiß sichtbar, wiederkehrende Störungen oder einzelne abgekündigte Komponenten</t>
        </is>
      </c>
      <c r="C52" s="58" t="n"/>
      <c r="D52" s="58" t="inlineStr">
        <is>
          <t>mittel – B-Anlage, Ausweichfertigung nur eingeschränkt, Sonderschichten nötig</t>
        </is>
      </c>
      <c r="E52" s="1" t="n"/>
      <c r="F52" s="1" t="n"/>
      <c r="G52" s="1" t="n"/>
    </row>
    <row r="53" ht="27" customHeight="1">
      <c r="A53" s="41" t="n">
        <v>4</v>
      </c>
      <c r="B53" s="58" t="inlineStr">
        <is>
          <t>hoch – deutlicher Verschleiß, häufige Störungen, Obsoleszenz ohne Ersatzlösung</t>
        </is>
      </c>
      <c r="C53" s="58" t="n"/>
      <c r="D53" s="58" t="inlineStr">
        <is>
          <t>hoch – A- / Engpassanlage, Lieferverzug beim Kunden möglich</t>
        </is>
      </c>
      <c r="E53" s="1" t="n"/>
      <c r="F53" s="1" t="n"/>
      <c r="G53" s="1" t="n"/>
    </row>
    <row r="54" ht="27" customHeight="1">
      <c r="A54" s="41" t="n">
        <v>5</v>
      </c>
      <c r="B54" s="58" t="inlineStr">
        <is>
          <t>sehr hoch – Ausfall jederzeit zu erwarten, kein Herstellersupport, kritische Teile nicht beschaffbar</t>
        </is>
      </c>
      <c r="C54" s="58" t="n"/>
      <c r="D54" s="58" t="inlineStr">
        <is>
          <t>sehr hoch – Bandstillstand beim Kunden, Sicherheits- / Sondermerkmale, keine Ausweichfertigung</t>
        </is>
      </c>
      <c r="E54" s="1" t="n"/>
      <c r="F54" s="1" t="n"/>
      <c r="G54" s="1" t="n"/>
    </row>
    <row r="55">
      <c r="A55" s="4" t="inlineStr">
        <is>
          <t>Risikozahl = W × A. Klassen: „hoch“ ab dem Wert in Zeile 13, „mittel“ ab dem Wert in Zeile 14, darunter „gering“.</t>
        </is>
      </c>
      <c r="B55" s="1" t="n"/>
      <c r="C55" s="1" t="n"/>
      <c r="D55" s="1" t="n"/>
      <c r="E55" s="1" t="n"/>
      <c r="F55" s="1" t="n"/>
      <c r="G55" s="1" t="n"/>
    </row>
    <row r="56">
      <c r="A56" s="1" t="n"/>
      <c r="B56" s="1" t="n"/>
      <c r="C56" s="1" t="n"/>
      <c r="D56" s="1" t="n"/>
      <c r="E56" s="1" t="n"/>
      <c r="F56" s="1" t="n"/>
      <c r="G56" s="1" t="n"/>
    </row>
    <row r="57">
      <c r="A57" s="78" t="inlineStr">
        <is>
          <t>Kritikalitätsklassen (NEU)</t>
        </is>
      </c>
      <c r="B57" s="1" t="n"/>
      <c r="C57" s="1" t="n"/>
      <c r="D57" s="1" t="n"/>
      <c r="E57" s="1" t="n"/>
      <c r="F57" s="1" t="n"/>
      <c r="G57" s="1" t="n"/>
    </row>
    <row r="58">
      <c r="A58" s="52" t="inlineStr">
        <is>
          <t>Klasse</t>
        </is>
      </c>
      <c r="B58" s="52" t="inlineStr">
        <is>
          <t>Bedeutung</t>
        </is>
      </c>
      <c r="C58" s="88" t="n"/>
      <c r="D58" s="52" t="inlineStr">
        <is>
          <t>Folge für die IH-Strategie</t>
        </is>
      </c>
      <c r="E58" s="1" t="n"/>
      <c r="F58" s="1" t="n"/>
      <c r="G58" s="1" t="n"/>
    </row>
    <row r="59" ht="27" customHeight="1">
      <c r="A59" s="41" t="inlineStr">
        <is>
          <t>A</t>
        </is>
      </c>
      <c r="B59" s="58" t="inlineStr">
        <is>
          <t>Schlüssel- oder Engpassanlage, keine freigegebene Ausweichfertigung, Ausfall stoppt Kundenlieferung</t>
        </is>
      </c>
      <c r="C59" s="58" t="n"/>
      <c r="D59" s="58" t="inlineStr">
        <is>
          <t>vorbeugend + zustandsorientiert, kritische Ersatzteile bevorratet, Notfallplan Pflicht</t>
        </is>
      </c>
      <c r="E59" s="1" t="n"/>
      <c r="F59" s="1" t="n"/>
      <c r="G59" s="1" t="n"/>
    </row>
    <row r="60" ht="27" customHeight="1">
      <c r="A60" s="41" t="inlineStr">
        <is>
          <t>B</t>
        </is>
      </c>
      <c r="B60" s="58" t="inlineStr">
        <is>
          <t>wichtige Anlage, Ausweichfertigung eingeschränkt möglich</t>
        </is>
      </c>
      <c r="C60" s="58" t="n"/>
      <c r="D60" s="58" t="inlineStr">
        <is>
          <t>vorbeugend nach Plan, Ersatzteile mit gesicherter Lieferzeit</t>
        </is>
      </c>
      <c r="E60" s="1" t="n"/>
      <c r="F60" s="1" t="n"/>
      <c r="G60" s="1" t="n"/>
    </row>
    <row r="61" ht="27" customHeight="1">
      <c r="A61" s="41" t="inlineStr">
        <is>
          <t>C</t>
        </is>
      </c>
      <c r="B61" s="58" t="inlineStr">
        <is>
          <t>unkritisch, redundant oder Ausweichfertigung freigegeben</t>
        </is>
      </c>
      <c r="C61" s="58" t="n"/>
      <c r="D61" s="58" t="inlineStr">
        <is>
          <t>ausfallorientiert / Basiswartung</t>
        </is>
      </c>
      <c r="E61" s="1" t="n"/>
      <c r="F61" s="1" t="n"/>
      <c r="G61" s="1" t="n"/>
    </row>
    <row r="62">
      <c r="A62" s="1" t="n"/>
      <c r="B62" s="1" t="n"/>
      <c r="C62" s="1" t="n"/>
      <c r="D62" s="1" t="n"/>
      <c r="E62" s="1" t="n"/>
      <c r="F62" s="1" t="n"/>
      <c r="G62" s="1" t="n"/>
    </row>
    <row r="63">
      <c r="A63" s="78" t="inlineStr">
        <is>
          <t>Auswahllisten (NEU)</t>
        </is>
      </c>
      <c r="B63" s="4" t="inlineStr">
        <is>
          <t>Werte können ergänzt werden; die Auswahlfelder in den anderen Blättern greifen darauf zu.</t>
        </is>
      </c>
      <c r="C63" s="1" t="n"/>
      <c r="D63" s="1" t="n"/>
      <c r="E63" s="1" t="n"/>
      <c r="F63" s="1" t="n"/>
      <c r="G63" s="1" t="n"/>
    </row>
    <row r="64">
      <c r="A64" s="52" t="inlineStr">
        <is>
          <t>Geltungsbereich</t>
        </is>
      </c>
      <c r="B64" s="52" t="inlineStr">
        <is>
          <t>ja / nein</t>
        </is>
      </c>
      <c r="C64" s="52" t="inlineStr">
        <is>
          <t>Kritikalität</t>
        </is>
      </c>
      <c r="D64" s="52" t="inlineStr">
        <is>
          <t>Obsoleszenzstatus</t>
        </is>
      </c>
      <c r="E64" s="52" t="inlineStr">
        <is>
          <t>Herstellerunterstützung</t>
        </is>
      </c>
      <c r="F64" s="52" t="inlineStr">
        <is>
          <t>Ausweichfertigung</t>
        </is>
      </c>
      <c r="G64" s="52" t="inlineStr">
        <is>
          <t>Empfohlene Option</t>
        </is>
      </c>
    </row>
    <row r="65">
      <c r="A65" s="89" t="inlineStr">
        <is>
          <t>Einzelanlage</t>
        </is>
      </c>
      <c r="B65" s="89" t="inlineStr">
        <is>
          <t>ja</t>
        </is>
      </c>
      <c r="C65" s="89" t="inlineStr">
        <is>
          <t>A</t>
        </is>
      </c>
      <c r="D65" s="89" t="inlineStr">
        <is>
          <t>aktiv</t>
        </is>
      </c>
      <c r="E65" s="89" t="inlineStr">
        <is>
          <t>vollständig</t>
        </is>
      </c>
      <c r="F65" s="89" t="inlineStr">
        <is>
          <t>freigegeben</t>
        </is>
      </c>
      <c r="G65" s="89" t="inlineStr">
        <is>
          <t>Weiterbetrieb</t>
        </is>
      </c>
    </row>
    <row r="66">
      <c r="A66" s="89" t="inlineStr">
        <is>
          <t>Maschinengruppe</t>
        </is>
      </c>
      <c r="B66" s="89" t="inlineStr">
        <is>
          <t>nein</t>
        </is>
      </c>
      <c r="C66" s="89" t="inlineStr">
        <is>
          <t>B</t>
        </is>
      </c>
      <c r="D66" s="89" t="inlineStr">
        <is>
          <t>abgekündigt</t>
        </is>
      </c>
      <c r="E66" s="89" t="inlineStr">
        <is>
          <t>eingeschränkt</t>
        </is>
      </c>
      <c r="F66" s="89" t="inlineStr">
        <is>
          <t>möglich, nicht freigegeben</t>
        </is>
      </c>
      <c r="G66" s="89" t="inlineStr">
        <is>
          <t>Instandsetzung</t>
        </is>
      </c>
    </row>
    <row r="67">
      <c r="A67" s="1" t="n"/>
      <c r="B67" s="1" t="n"/>
      <c r="C67" s="89" t="inlineStr">
        <is>
          <t>C</t>
        </is>
      </c>
      <c r="D67" s="89" t="inlineStr">
        <is>
          <t>nicht mehr lieferbar</t>
        </is>
      </c>
      <c r="E67" s="89" t="inlineStr">
        <is>
          <t>keiner</t>
        </is>
      </c>
      <c r="F67" s="89" t="inlineStr">
        <is>
          <t>keine</t>
        </is>
      </c>
      <c r="G67" s="89" t="inlineStr">
        <is>
          <t>Generalüberholung</t>
        </is>
      </c>
    </row>
    <row r="68">
      <c r="A68" s="1" t="n"/>
      <c r="B68" s="1" t="n"/>
      <c r="C68" s="1" t="n"/>
      <c r="D68" s="89" t="inlineStr">
        <is>
          <t>unbekannt</t>
        </is>
      </c>
      <c r="E68" s="89" t="inlineStr">
        <is>
          <t>unbekannt</t>
        </is>
      </c>
      <c r="F68" s="1" t="n"/>
      <c r="G68" s="89" t="inlineStr">
        <is>
          <t>Retrofit</t>
        </is>
      </c>
    </row>
    <row r="69">
      <c r="A69" s="1" t="n"/>
      <c r="B69" s="1" t="n"/>
      <c r="C69" s="1" t="n"/>
      <c r="D69" s="1" t="n"/>
      <c r="E69" s="1" t="n"/>
      <c r="F69" s="1" t="n"/>
      <c r="G69" s="89" t="inlineStr">
        <is>
          <t>Ersatzinvestition</t>
        </is>
      </c>
    </row>
  </sheetData>
  <mergeCells count="14">
    <mergeCell ref="C43:D43"/>
    <mergeCell ref="B52:C52"/>
    <mergeCell ref="B54:C54"/>
    <mergeCell ref="B59:C59"/>
    <mergeCell ref="B51:C51"/>
    <mergeCell ref="B61:C61"/>
    <mergeCell ref="C45:D45"/>
    <mergeCell ref="C44:D44"/>
    <mergeCell ref="B53:C53"/>
    <mergeCell ref="B50:C50"/>
    <mergeCell ref="B60:C60"/>
    <mergeCell ref="B49:C49"/>
    <mergeCell ref="D18:D20"/>
    <mergeCell ref="B58:C58"/>
  </mergeCells>
  <conditionalFormatting sqref="A36:A39">
    <cfRule type="cellIs" priority="1" operator="equal" dxfId="10">
      <formula>"N.I.O"</formula>
    </cfRule>
    <cfRule type="cellIs" priority="2" operator="equal" dxfId="11">
      <formula>"bed. OK"</formula>
    </cfRule>
    <cfRule type="cellIs" priority="3" operator="equal" dxfId="12">
      <formula>"OK"</formula>
    </cfRule>
    <cfRule type="cellIs" priority="4" operator="equal" dxfId="13">
      <formula>"n. b."</formula>
    </cfRule>
  </conditionalFormatting>
  <dataValidations count="1">
    <dataValidation sqref="C8" showDropDown="0" showInputMessage="0" showErrorMessage="0" allowBlank="0" errorTitle="Ungültige Eingabe" error="Bitte einen Wert aus der Liste wählen." type="list">
      <formula1>"ja,nein"</formula1>
    </dataValidation>
  </dataValidations>
  <pageMargins left="0.4" right="0.4" top="0.5" bottom="0.5" header="0.5" footer="0.5"/>
  <pageSetup orientation="landscape" paperSize="9" fitToHeight="0" fitToWidth="1"/>
  <headerFooter>
    <oddHeader/>
    <oddFooter>&amp;L&amp;8 Anlagenzustandsanalyse – Einstellungen&amp;R&amp;8 Seite &amp;P von &amp;N</oddFooter>
    <evenHeader/>
    <evenFooter/>
    <firstHeader/>
    <firstFooter/>
  </headerFooter>
</worksheet>
</file>

<file path=xl/worksheets/sheet7.xml><?xml version="1.0" encoding="utf-8"?>
<worksheet xmlns="http://schemas.openxmlformats.org/spreadsheetml/2006/main">
  <sheetPr>
    <tabColor rgb="008A94A6"/>
    <outlinePr summaryBelow="1" summaryRight="1"/>
    <pageSetUpPr fitToPage="1"/>
  </sheetPr>
  <dimension ref="A1:B52"/>
  <sheetViews>
    <sheetView showGridLines="0" workbookViewId="0">
      <selection activeCell="A1" sqref="A1"/>
    </sheetView>
  </sheetViews>
  <sheetFormatPr baseColWidth="8" defaultRowHeight="15"/>
  <cols>
    <col width="30.7" customWidth="1" min="1" max="1"/>
    <col width="125.7" customWidth="1" min="2" max="2"/>
  </cols>
  <sheetData>
    <row r="1" ht="21.95" customHeight="1">
      <c r="A1" s="44" t="inlineStr">
        <is>
          <t>Anleitung</t>
        </is>
      </c>
      <c r="B1" s="1" t="n"/>
    </row>
    <row r="2">
      <c r="A2" s="45" t="inlineStr">
        <is>
          <t>Anlagenzustandsanalyse für Einzelanlagen und Maschinengruppen – Aufbau und Formatierung nach „2026_Audit_Instandhaltung_Allgemein“, Prüfpunkte aus „Vorlage_Audit_Instandhaltung_01“ ergänzt. Ohne Makros.</t>
        </is>
      </c>
      <c r="B2" s="1" t="n"/>
    </row>
    <row r="3">
      <c r="A3" s="1" t="n"/>
      <c r="B3" s="1" t="n"/>
    </row>
    <row r="4" ht="15.75" customHeight="1">
      <c r="A4" s="78" t="inlineStr">
        <is>
          <t>So geht's</t>
        </is>
      </c>
      <c r="B4" s="1" t="n"/>
    </row>
    <row r="5" ht="27" customHeight="1">
      <c r="A5" s="90" t="inlineStr">
        <is>
          <t>1. Kopfdaten</t>
        </is>
      </c>
      <c r="B5" s="91" t="inlineStr">
        <is>
          <t>Im Blatt „Audit“ Werk / Standort, Anlage bzw. Maschinengruppe, Equipment-Nr. (bei Gruppen alle), Geltungsbereich, Teilnehmer, Datum, Auditor und Kostenstelle ausfüllen.</t>
        </is>
      </c>
    </row>
    <row r="6" ht="27" customHeight="1">
      <c r="A6" s="90" t="inlineStr">
        <is>
          <t>2. Bewerten</t>
        </is>
      </c>
      <c r="B6" s="91" t="inlineStr">
        <is>
          <t>In Spalte „Bewertung“ je Prüfpunkt wählen: N.I.O, bed. OK, OK oder n. b. In „Nachweis / Evidenz“ festhalten, welches Dokument bzw. welcher Befund gesehen wurde (z. B. „Wartungsplan SAP-Auftrag 4711, Stand 05/2026“).</t>
        </is>
      </c>
    </row>
    <row r="7" ht="27" customHeight="1">
      <c r="A7" s="90" t="inlineStr">
        <is>
          <t>3. Maßnahmen</t>
        </is>
      </c>
      <c r="B7" s="91" t="inlineStr">
        <is>
          <t>Bei N.I.O und bed. OK: Maßnahme, Verantwortlich und Termin eintragen. „Erledigt = ja“ setzt den Status auf „erledigt“, ein überschrittener Termin auf „überfällig“. Der Maßnahmenplan füllt sich automatisch.</t>
        </is>
      </c>
    </row>
    <row r="8" ht="40.5" customHeight="1">
      <c r="A8" s="90" t="inlineStr">
        <is>
          <t>4. Anlagen erfassen</t>
        </is>
      </c>
      <c r="B8" s="91" t="inlineStr">
        <is>
          <t>Im Blatt „Anlagenübersicht“ je Anlage eine Zeile: Stammdaten, Kritikalität, Kennzahlen, Obsoleszenz, Support, Ausweichfertigung, Notfallplan, Risiko (W und A nach Skala in „Einstellungen“), empfohlene Option und Investition. Bei einer Einzelanlage nur Zeile 1.</t>
        </is>
      </c>
    </row>
    <row r="9" ht="27" customHeight="1">
      <c r="A9" s="90" t="inlineStr">
        <is>
          <t>5. Kritische Ersatzteile</t>
        </is>
      </c>
      <c r="B9" s="91" t="inlineStr">
        <is>
          <t>Im Blatt „Kritische Ersatzteile“ die Teile erfassen, deren Fehlen die Anlage stilllegt. Die Spalte „Bewertung“ zeigt automatisch Bestand unter Minimum, Obsoleszenz und Alleinlieferant.</t>
        </is>
      </c>
    </row>
    <row r="10" ht="27" customHeight="1">
      <c r="A10" s="90" t="inlineStr">
        <is>
          <t>6. Auswertung</t>
        </is>
      </c>
      <c r="B10" s="91" t="inlineStr">
        <is>
          <t>Das Blatt „Dashboard“ rechnet sich automatisch: Seite 1 Gesamtergebnis, Kapitel und Diagramme · Seite 2 Handlungsbedarf, Maßnahmenstand, N.I.O-Liste · Seite 3 Risikomatrix, Top-5-Risiken, kritische Ersatzteile, Investitionsbedarf.</t>
        </is>
      </c>
    </row>
    <row r="11" ht="27" customHeight="1">
      <c r="A11" s="90" t="inlineStr">
        <is>
          <t>7. Drucken</t>
        </is>
      </c>
      <c r="B11" s="91" t="inlineStr">
        <is>
          <t>Dashboard: 3 Seiten A4 quer. Audit, Maßnahmen, Anlagenübersicht und Ersatzteile: A4 quer, auf Seitenbreite skaliert, Kopfzeile der Tabelle wiederholt sich.</t>
        </is>
      </c>
    </row>
    <row r="12">
      <c r="A12" s="1" t="n"/>
      <c r="B12" s="1" t="n"/>
    </row>
    <row r="13" ht="15.75" customHeight="1">
      <c r="A13" s="78" t="inlineStr">
        <is>
          <t>Farben</t>
        </is>
      </c>
      <c r="B13" s="1" t="n"/>
    </row>
    <row r="14" ht="13.5" customHeight="1">
      <c r="A14" s="92" t="inlineStr">
        <is>
          <t>Gelbe Zellen, blaue Schrift</t>
        </is>
      </c>
      <c r="B14" s="91" t="inlineStr">
        <is>
          <t>Eingabefelder – nur hier eintragen.</t>
        </is>
      </c>
    </row>
    <row r="15" ht="27" customHeight="1">
      <c r="A15" s="90" t="inlineStr">
        <is>
          <t>Weiße Zellen</t>
        </is>
      </c>
      <c r="B15" s="91" t="inlineStr">
        <is>
          <t>Texte und Formeln. Formeln (Nr., Status, Maßn.-Nr., Alter, Risikozahl, Auffälligkeiten, Bewertung, Dashboard, Maßnahmen) nicht überschreiben.</t>
        </is>
      </c>
    </row>
    <row r="16" ht="13.5" customHeight="1">
      <c r="A16" s="93" t="inlineStr">
        <is>
          <t>Blau markiert: „NEU“</t>
        </is>
      </c>
      <c r="B16" s="91" t="inlineStr">
        <is>
          <t>Ergänzter Prüfpunkt, der in der Ursprungsdatei nicht enthalten war (Spalte „Herkunft“ im Blatt „Audit“).</t>
        </is>
      </c>
    </row>
    <row r="17" ht="27" customHeight="1">
      <c r="A17" s="90" t="inlineStr">
        <is>
          <t>Herkunft „Vorlage …“</t>
        </is>
      </c>
      <c r="B17" s="91" t="inlineStr">
        <is>
          <t>„M x“ = Blatt „Auditcheckliste_Maschine“, Nr. x · „A1 Zn“ = Blatt „Auditcheckliste_1“, Zelle Zn der Datei „Vorlage_Audit_Instandhaltung_01.xlsm“. „(präzisiert)“ = Text geschärft, „(Teil)“ = Teilaspekt eines Vorlage-Punkts.</t>
        </is>
      </c>
    </row>
    <row r="18" ht="27" customHeight="1">
      <c r="A18" s="94" t="inlineStr">
        <is>
          <t>Rot „K.O.“</t>
        </is>
      </c>
      <c r="B18" s="91" t="inlineStr">
        <is>
          <t>K.O.-Prüfpunkt (Sicherheit, Notfallplan). Ein N.I.O führt zur Gesamtbewertung „kritisch (K.O.)“ (abschaltbar im Blatt „Einstellungen“).</t>
        </is>
      </c>
    </row>
    <row r="19">
      <c r="A19" s="1" t="n"/>
      <c r="B19" s="1" t="n"/>
    </row>
    <row r="20" ht="15.75" customHeight="1">
      <c r="A20" s="78" t="inlineStr">
        <is>
          <t>Beispiele (nur Format)</t>
        </is>
      </c>
      <c r="B20" s="1" t="n"/>
    </row>
    <row r="21" ht="27" customHeight="1">
      <c r="A21" s="90" t="inlineStr">
        <is>
          <t>Eine Zeile im Blatt „Audit“</t>
        </is>
      </c>
      <c r="B21" s="91" t="inlineStr">
        <is>
          <t>Bewertung: bed. OK · Nachweis: Schmierplan liegt im SAP vor, nicht an der Maschine · Maßnahme: Schmierplan an der Maschine aushängen · Verantwortlich: Meister IH · Termin: 31.12.2026 · Erledigt: nein</t>
        </is>
      </c>
    </row>
    <row r="22" ht="40.5" customHeight="1">
      <c r="A22" s="90" t="inlineStr">
        <is>
          <t>Eine Zeile „Anlagenübersicht“</t>
        </is>
      </c>
      <c r="B22" s="91" t="inlineStr">
        <is>
          <t>Equipment-Nr. 10004711 · Rundtaktanlage RT 12 · Hersteller XY / RT12 · Baujahr 2003 · Steuerung S7-300 · Kritikalität A · Engpass ja · Verfügbarkeit 88 % · MTBF 120 h · MTTR 3,5 h · Obsoleszenz abgekündigt · Support eingeschränkt · Ausweichfertigung keine · Notfallplan nein · W 4 · A 5 · Option Retrofit · 180.000 € · 2027</t>
        </is>
      </c>
    </row>
    <row r="23" ht="27" customHeight="1">
      <c r="A23" s="90" t="inlineStr">
        <is>
          <t>Eine Zeile „Kritische Ersatzteile“</t>
        </is>
      </c>
      <c r="B23" s="91" t="inlineStr">
        <is>
          <t>Equipment-Nr. 10004711 · CPU 315-2DP · 6ES7315-2AG10-0AB0 · Siemens · Alleinlieferant nein · 12 Wochen · Mindestbestand 1 · Ist-Bestand 0 · Lager IH-E-03 · abgekündigt ⇒ Bewertung „Bestand unter Minimum“</t>
        </is>
      </c>
    </row>
    <row r="24">
      <c r="A24" s="1" t="n"/>
      <c r="B24" s="1" t="n"/>
    </row>
    <row r="25" ht="15.75" customHeight="1">
      <c r="A25" s="78" t="inlineStr">
        <is>
          <t>Prüfpunkte</t>
        </is>
      </c>
      <c r="B25" s="1" t="n"/>
    </row>
    <row r="26" ht="27" customHeight="1">
      <c r="A26" s="90" t="inlineStr">
        <is>
          <t>Umfang</t>
        </is>
      </c>
      <c r="B26" s="91" t="inlineStr">
        <is>
          <t>88 Prüfpunkte in 14 Kapiteln: 29 aus der Ursprungsdatei (Herkunft „Vorlage …“, sprachlich bereinigt, alle 23 Kriterien der Ursprungsdatei abgedeckt) und 59 ergänzte Punkte (Herkunft „NEU“). Alle Punkte noch unbewertet.</t>
        </is>
      </c>
    </row>
    <row r="27" ht="40.5" customHeight="1">
      <c r="A27" s="90" t="inlineStr">
        <is>
          <t>Einzelanlage / Gruppe</t>
        </is>
      </c>
      <c r="B27" s="91" t="inlineStr">
        <is>
          <t>Bei einer Maschinengruppe gilt die Checkliste für die Gruppe als Ganzes (schlechtester relevanter Zustand bestimmt die Bewertung, Abweichungen einzelner Anlagen in „Nachweis“ bzw. „Maßnahmen“ benennen). Die anlagenbezogenen Werte (Risiko, Obsoleszenz, Investition) stehen je Anlage in der „Anlagenübersicht“.</t>
        </is>
      </c>
    </row>
    <row r="28" ht="27" customHeight="1">
      <c r="A28" s="90" t="inlineStr">
        <is>
          <t>Nicht benötigte Punkte</t>
        </is>
      </c>
      <c r="B28" s="91" t="inlineStr">
        <is>
          <t>Ganze Zeile markieren (Zeilenkopf) und löschen oder mit „n. b.“ bewerten. Nummerierung, Dashboard und Maßnahmenplan passen sich automatisch an.</t>
        </is>
      </c>
    </row>
    <row r="29" ht="27" customHeight="1">
      <c r="A29" s="90" t="inlineStr">
        <is>
          <t>Eigene Punkte ergänzen</t>
        </is>
      </c>
      <c r="B29" s="91" t="inlineStr">
        <is>
          <t>Die 10 leeren Zeilen am Ende der Liste nutzen: Kapitel wählen, Check-Punkt und Gewicht eintragen. Für weitere Punkte eine Zeile innerhalb der Liste einfügen und die Formeln der Zeile darüber übernehmen.</t>
        </is>
      </c>
    </row>
    <row r="30" ht="27" customHeight="1">
      <c r="A30" s="90" t="inlineStr">
        <is>
          <t>Kapitel</t>
        </is>
      </c>
      <c r="B30" s="91" t="inlineStr">
        <is>
          <t>Die Kapitelnamen stehen im Blatt „Einstellungen“. Die Zuordnung eines Punkts erfolgt über die Spalte „Kapitel“ im Blatt „Audit“.</t>
        </is>
      </c>
    </row>
    <row r="31">
      <c r="A31" s="1" t="n"/>
      <c r="B31" s="1" t="n"/>
    </row>
    <row r="32" ht="15.75" customHeight="1">
      <c r="A32" s="78" t="inlineStr">
        <is>
          <t>Berechnung</t>
        </is>
      </c>
      <c r="B32" s="1" t="n"/>
    </row>
    <row r="33" ht="27" customHeight="1">
      <c r="A33" s="90" t="inlineStr">
        <is>
          <t>Erfüllungsgrad</t>
        </is>
      </c>
      <c r="B33" s="91" t="inlineStr">
        <is>
          <t>Σ(Gewicht × Wertung) ÷ Σ(Gewicht) über die mit N.I.O, bed. OK oder OK bewerteten Punkte; OK = 100 %, bed. OK = 50 % (Einstellung), N.I.O = 0 %. „n. b.“ und offene Punkte zählen nicht.</t>
        </is>
      </c>
    </row>
    <row r="34" ht="27" customHeight="1">
      <c r="A34" s="90" t="inlineStr">
        <is>
          <t>Ampel</t>
        </is>
      </c>
      <c r="B34" s="91" t="inlineStr">
        <is>
          <t>„gut“ ab der grünen Grenze (85 %), „mittel“ ab der gelben Grenze (60 %), darunter „kritisch“. Ein K.O.-Punkt mit N.I.O ergibt „kritisch (K.O.)“. Ohne bewertete Punkte: „nicht bewertet“.</t>
        </is>
      </c>
    </row>
    <row r="35" ht="13.5" customHeight="1">
      <c r="A35" s="90" t="inlineStr">
        <is>
          <t>Maßnahmenstatus</t>
        </is>
      </c>
      <c r="B35" s="91" t="inlineStr">
        <is>
          <t>Nur für N.I.O und bed. OK: „erledigt“ bei Erledigt = ja, „überfällig“ bei Termin vor dem heutigen Datum, sonst „offen“.</t>
        </is>
      </c>
    </row>
    <row r="36" ht="27" customHeight="1">
      <c r="A36" s="90" t="inlineStr">
        <is>
          <t>Risiko</t>
        </is>
      </c>
      <c r="B36" s="91" t="inlineStr">
        <is>
          <t>Risikozahl = W × A (1–25). Klassen „hoch“ ab 15, „mittel“ ab 8, sonst „gering“ (Annahmen, änderbar). Die Risikomatrix im Dashboard zählt die Anlagen je Feld.</t>
        </is>
      </c>
    </row>
    <row r="37">
      <c r="A37" s="1" t="n"/>
      <c r="B37" s="1" t="n"/>
    </row>
    <row r="38" ht="15.75" customHeight="1">
      <c r="A38" s="78" t="inlineStr">
        <is>
          <t>Neu gegenüber den Vorlagen (NEU)</t>
        </is>
      </c>
      <c r="B38" s="1" t="n"/>
    </row>
    <row r="39" ht="13.5" customHeight="1">
      <c r="A39" s="90" t="inlineStr">
        <is>
          <t>Gewichtung 1–3</t>
        </is>
      </c>
      <c r="B39" s="91" t="inlineStr">
        <is>
          <t>Wichtige und sicherheitsrelevante Punkte zählen stärker. Mit Gewicht 1 überall ergibt sich die Berechnung der Vorlage.</t>
        </is>
      </c>
    </row>
    <row r="40" ht="27" customHeight="1">
      <c r="A40" s="90" t="inlineStr">
        <is>
          <t>K.O.-Kriterien</t>
        </is>
      </c>
      <c r="B40" s="91" t="inlineStr">
        <is>
          <t>Sicherheit und Notfallplan: ein N.I.O kann nicht durch gute Bewertungen anderer Punkte ausgeglichen werden (wie die Abwertungsregel in VDA 6.3).</t>
        </is>
      </c>
    </row>
    <row r="41" ht="27" customHeight="1">
      <c r="A41" s="90" t="inlineStr">
        <is>
          <t>Normbezug und Nachweis</t>
        </is>
      </c>
      <c r="B41" s="91" t="inlineStr">
        <is>
          <t>Jeder Punkt nennt seine Grundlage (IATF 16949, BetrSichV, DIN EN 13306 …) und hat ein Nachweisfeld – für die Auditfähigkeit nach IATF 16949.</t>
        </is>
      </c>
    </row>
    <row r="42" ht="27" customHeight="1">
      <c r="A42" s="90" t="inlineStr">
        <is>
          <t>Anlagenübersicht</t>
        </is>
      </c>
      <c r="B42" s="91" t="inlineStr">
        <is>
          <t>Risikobewertung, Obsoleszenz, Herstellersupport, Ausweichfertigung, Notfallplan und Investitionsbedarf je Anlage – Grundlage für Management- und Investitionsentscheidungen, auch für Maschinengruppen.</t>
        </is>
      </c>
    </row>
    <row r="43" ht="13.5" customHeight="1">
      <c r="A43" s="90" t="inlineStr">
        <is>
          <t>Kritische Ersatzteile</t>
        </is>
      </c>
      <c r="B43" s="91" t="inlineStr">
        <is>
          <t>Liste mit Lieferzeit, Bestand, Alleinlieferant und Lebenszyklusstatus mit automatischer Bewertung.</t>
        </is>
      </c>
    </row>
    <row r="44" ht="13.5" customHeight="1">
      <c r="A44" s="90" t="inlineStr">
        <is>
          <t>Dashboard Seite 3</t>
        </is>
      </c>
      <c r="B44" s="91" t="inlineStr">
        <is>
          <t>Risikomatrix, Top-5-Risikoanlagen, Auffälligkeiten und Investitionssumme je Option.</t>
        </is>
      </c>
    </row>
    <row r="45">
      <c r="A45" s="1" t="n"/>
      <c r="B45" s="1" t="n"/>
    </row>
    <row r="46" ht="15.75" customHeight="1">
      <c r="A46" s="78" t="inlineStr">
        <is>
          <t>Offene Punkte / Annahmen</t>
        </is>
      </c>
      <c r="B46" s="1" t="n"/>
    </row>
    <row r="47" ht="27" customHeight="1">
      <c r="A47" s="90" t="inlineStr">
        <is>
          <t>Ziel Verfügbarkeit</t>
        </is>
      </c>
      <c r="B47" s="91" t="inlineStr">
        <is>
          <t>92 % aus Vorlage-Punkt 24 der Datei „2026_Audit_Instandhaltung_Allgemein“ übernommen; dort ist der Wert zwischen deutscher und englischer Fassung uneinheitlich. Bitte bestätigen (Blatt „Einstellungen“).</t>
        </is>
      </c>
    </row>
    <row r="48" ht="13.5" customHeight="1">
      <c r="A48" s="90" t="inlineStr">
        <is>
          <t>Grenzwerte</t>
        </is>
      </c>
      <c r="B48" s="91" t="inlineStr">
        <is>
          <t>IH-Kostenquote 5 %, Risiko „hoch“ ab 15 und „mittel“ ab 8 sind Vorschläge und frei änderbar.</t>
        </is>
      </c>
    </row>
    <row r="49">
      <c r="A49" s="1" t="n"/>
      <c r="B49" s="1" t="n"/>
    </row>
    <row r="50" ht="15.75" customHeight="1">
      <c r="A50" s="78" t="inlineStr">
        <is>
          <t>Normbezüge</t>
        </is>
      </c>
      <c r="B50" s="1" t="n"/>
    </row>
    <row r="51" ht="40.5" customHeight="1">
      <c r="A51" s="90" t="inlineStr">
        <is>
          <t>IATF 16949</t>
        </is>
      </c>
      <c r="B51" s="91" t="inlineStr">
        <is>
          <t>6.1.2.3 Notfallpläne · 7.1.3.1 Anlagenplanung · 7.1.4.1 Arbeitsumgebung · 7.1.6 Wissen · 7.2.1 Kompetenz · 7.5 Dokumentierte Information · 8.3.3.3 Besondere Merkmale · 8.5.1.3 Verifizierung von Einrichtvorgängen · 8.5.1.4 Verifizierung nach Stillstand · 8.5.1.5 TPM · 8.5.1.6 Produktionswerkzeuge · 8.5.3 Eigentum der Kunden · 8.5.6.1.1 Zeitweilige Änderung von Prozesslenkungen · 9.1.1.1 Prozessüberwachung · 10.2.3 Problemlösung</t>
        </is>
      </c>
    </row>
    <row r="52" ht="27" customHeight="1">
      <c r="A52" s="90" t="inlineStr">
        <is>
          <t>Weitere</t>
        </is>
      </c>
      <c r="B52" s="91" t="inlineStr">
        <is>
          <t>DIN 31051 und DIN EN 13306 (Grundlagen, Begriffe) · DIN EN 15341 (Kennzahlen) · IEC 62402 (Obsoleszenzmanagement) · BetrSichV · ArbSchG § 5 · DGUV Vorschrift 3 · AwSV / ISO 14001 · ASR A2.2 (Brandschutz)</t>
        </is>
      </c>
    </row>
  </sheetData>
  <pageMargins left="0.4" right="0.4" top="0.5" bottom="0.5" header="0.5" footer="0.5"/>
  <pageSetup orientation="landscape" paperSize="9" fitToHeight="0" fitToWidth="1"/>
  <headerFooter>
    <oddHeader/>
    <oddFooter>&amp;L&amp;8 Anlagenzustandsanalyse – Anleitung&amp;R&amp;8 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2026-10-09T09:57:12Z</dcterms:created>
  <dcterms:modified xmlns:dcterms="http://purl.org/dc/terms/" xmlns:xsi="http://www.w3.org/2001/XMLSchema-instance" xsi:type="dcterms:W3CDTF">2026-10-09T09:57:12Z</dcterms:modified>
</cp:coreProperties>
</file>